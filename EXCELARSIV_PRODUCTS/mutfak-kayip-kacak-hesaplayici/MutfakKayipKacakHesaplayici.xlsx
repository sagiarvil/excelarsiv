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comments/comment7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URUN_LISTESI" sheetId="12" state="visible" r:id="rId12"/>
    <sheet xmlns:r="http://schemas.openxmlformats.org/officeDocument/2006/relationships" name="RECETE" sheetId="13" state="visible" r:id="rId13"/>
    <sheet xmlns:r="http://schemas.openxmlformats.org/officeDocument/2006/relationships" name="STOK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VARYANS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MBALAJ" hidden="0" function="0" vbProcedure="0">HESAP!$B$48</definedName>
    <definedName name="GENEL_GIDER" hidden="0" function="0" vbProcedure="0">HESAP!$B$49</definedName>
    <definedName name="HAMMADDE" hidden="0" function="0" vbProcedure="0">HESAP!$B$46</definedName>
    <definedName name="ISCILIK" hidden="0" function="0" vbProcedure="0">HESAP!$B$47</definedName>
    <definedName name="ListeBirimler" hidden="0" function="0" vbProcedure="0">LISTELER!$C$7:$C$12</definedName>
    <definedName name="ListeHammaddeler" hidden="0" function="0" vbProcedure="0">LISTELER!$A$7:$A$17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KayipSapmasi" hidden="0" function="0" vbProcedure="0">KONTROLLER!$C$26</definedName>
    <definedName name="modulO1KayipSapmasiYorum" hidden="0" function="0" vbProcedure="0">KONTROLLER!$D$26</definedName>
    <definedName name="modulO2EnYuksekKayip" hidden="0" function="0" vbProcedure="0">KONTROLLER!$C$27</definedName>
    <definedName name="modulO2EnYuksekKayip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Kayip" hidden="0" function="0" vbProcedure="0">KONTROLLER!$C$24</definedName>
    <definedName name="modulT1OrtKayipYorum" hidden="0" function="0" vbProcedure="0">KONTROLLER!$D$24</definedName>
    <definedName name="modulT2OrtMaliyet" hidden="0" function="0" vbProcedure="0">KONTROLLER!$C$25</definedName>
    <definedName name="modulT2OrtMaliyetYorum" hidden="0" function="0" vbProcedure="0">KONTROLLER!$D$25</definedName>
    <definedName name="MutfakAksiyon1_ACIKLAMA" hidden="0" function="0" vbProcedure="0">AYARLAR!$B$25</definedName>
    <definedName name="MutfakAksiyon2_ACIKLAMA" hidden="0" function="0" vbProcedure="0">AYARLAR!$B$26</definedName>
    <definedName name="MutfakAksiyon3_ACIKLAMA" hidden="0" function="0" vbProcedure="0">AYARLAR!$B$27</definedName>
    <definedName name="MutfakDosyaSurumu" hidden="0" function="0" vbProcedure="0">AYARLAR!$B$10</definedName>
    <definedName name="MutfakEnKritikHammadde" hidden="0" function="0" vbProcedure="0">HESAP!$B$16</definedName>
    <definedName name="MutfakFirmaUnvan" hidden="0" function="0" vbProcedure="0">AYARLAR!$B$7</definedName>
    <definedName name="MutfakInceleEsik" hidden="0" function="0" vbProcedure="0">AYARLAR!$B$11</definedName>
    <definedName name="MutfakKaliteIyi" hidden="0" function="0" vbProcedure="0">AYARLAR!$B$13</definedName>
    <definedName name="MutfakKaliteOrta" hidden="0" function="0" vbProcedure="0">AYARLAR!$B$14</definedName>
    <definedName name="MutfakKarar" hidden="0" function="0" vbProcedure="0">KARAR!$B$11</definedName>
    <definedName name="MutfakKritikEsik" hidden="0" function="0" vbProcedure="0">AYARLAR!$B$12</definedName>
    <definedName name="MutfakP90Oran" hidden="0" function="0" vbProcedure="0">AYARLAR!$B$23</definedName>
    <definedName name="MutfakPanelSatir_1" hidden="0" function="0" vbProcedure="0">AYARLAR!$B$29</definedName>
    <definedName name="MutfakPanelSatir_2" hidden="0" function="0" vbProcedure="0">AYARLAR!$B$30</definedName>
    <definedName name="MutfakPanelSatir_3" hidden="0" function="0" vbProcedure="0">AYARLAR!$B$31</definedName>
    <definedName name="MutfakPanelSatir_4" hidden="0" function="0" vbProcedure="0">AYARLAR!$B$32</definedName>
    <definedName name="MutfakPanelSatir_5" hidden="0" function="0" vbProcedure="0">AYARLAR!$B$33</definedName>
    <definedName name="MutfakPanelSatir_6" hidden="0" function="0" vbProcedure="0">AYARLAR!$B$34</definedName>
    <definedName name="MutfakProjX" hidden="0" function="0" vbProcedure="0">HESAP!$A$33:$A$36</definedName>
    <definedName name="MutfakRaporHazirlayan" hidden="0" function="0" vbProcedure="0">AYARLAR!$B$9</definedName>
    <definedName name="MutfakRaporTarihi" hidden="0" function="0" vbProcedure="0">AYARLAR!$B$8</definedName>
    <definedName name="MutfakSenBazKayip" hidden="0" function="0" vbProcedure="0">AYARLAR!$B$16</definedName>
    <definedName name="MutfakSenIyiKayip" hidden="0" function="0" vbProcedure="0">AYARLAR!$B$15</definedName>
    <definedName name="MutfakSenKotuKayip" hidden="0" function="0" vbProcedure="0">AYARLAR!$B$17</definedName>
    <definedName name="MutfakSenKritikKayip" hidden="0" function="0" vbProcedure="0">AYARLAR!$B$18</definedName>
    <definedName name="MutfakTahminCarpan" hidden="0" function="0" vbProcedure="0">AYARLAR!$B$19</definedName>
    <definedName name="MutfakTahminDonem" hidden="0" function="0" vbProcedure="0">AYARLAR!$B$20</definedName>
    <definedName name="MutfakToplamKayip" hidden="0" function="0" vbProcedure="0">HESAP!$B$11</definedName>
    <definedName name="MutfakToplamKayipOrani" hidden="0" function="0" vbProcedure="0">HESAP!$B$12</definedName>
    <definedName name="MutfakTornadoEtOran" hidden="0" function="0" vbProcedure="0">AYARLAR!$B$21</definedName>
    <definedName name="MutfakTornadoFireOran" hidden="0" function="0" vbProcedure="0">AYARLAR!$B$22</definedName>
    <definedName name="MutfakYuksekKayipEsik" hidden="0" function="0" vbProcedure="0">AYARLAR!$B$24</definedName>
    <definedName name="_xlnm.Print_Area" localSheetId="16">'KARAR'!$A$1:$B$19</definedName>
    <definedName name="_xlnm.Print_Area" localSheetId="17">'SENARYO_DUYARLILIK'!$A$1:$D$10</definedName>
    <definedName name="_xlnm.Print_Area" localSheetId="18">'RAPOR'!$A$1:$P$22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&quot;1F7A4&quot;d"/>
    <numFmt numFmtId="167" formatCode="dd/mm/yyyy"/>
    <numFmt numFmtId="168" formatCode="#,##0 &quot;TL&quot;"/>
    <numFmt numFmtId="169" formatCode="0.0%"/>
    <numFmt numFmtId="170" formatCode="₺#,##0"/>
  </numFmts>
  <fonts count="9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3" fontId="0" fillId="4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0" fillId="8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0" pivotButton="0" quotePrefix="0" xfId="0"/>
    <xf numFmtId="0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8" fillId="9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pivotButton="0" quotePrefix="0" xfId="0"/>
    <xf numFmtId="168" fontId="41" fillId="0" borderId="0" pivotButton="0" quotePrefix="0" xfId="0"/>
    <xf numFmtId="168" fontId="42" fillId="0" borderId="0" pivotButton="0" quotePrefix="0" xfId="0"/>
    <xf numFmtId="169" fontId="41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0" fillId="8" borderId="0" applyAlignment="1" pivotButton="0" quotePrefix="0" xfId="0">
      <alignment horizontal="center"/>
    </xf>
    <xf numFmtId="0" fontId="42" fillId="0" borderId="0" pivotButton="0" quotePrefix="0" xfId="0"/>
    <xf numFmtId="0" fontId="46" fillId="10" borderId="1" pivotButton="0" quotePrefix="0" xfId="0"/>
    <xf numFmtId="0" fontId="47" fillId="0" borderId="0" pivotButton="0" quotePrefix="0" xfId="0"/>
    <xf numFmtId="0" fontId="48" fillId="0" borderId="0" pivotButton="0" quotePrefix="0" xfId="0"/>
    <xf numFmtId="0" fontId="4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3" fontId="0" fillId="4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49" fillId="0" borderId="0" pivotButton="0" quotePrefix="0" xfId="0"/>
    <xf numFmtId="0" fontId="50" fillId="0" borderId="1" applyAlignment="1" pivotButton="0" quotePrefix="0" xfId="0">
      <alignment horizontal="center" vertical="center"/>
    </xf>
    <xf numFmtId="0" fontId="40" fillId="11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2" pivotButton="0" quotePrefix="0" xfId="0"/>
    <xf numFmtId="0" fontId="0" fillId="0" borderId="1" pivotButton="0" quotePrefix="0" xfId="0"/>
    <xf numFmtId="0" fontId="51" fillId="12" borderId="1" applyAlignment="1" pivotButton="0" quotePrefix="0" xfId="0">
      <alignment horizontal="center"/>
    </xf>
    <xf numFmtId="0" fontId="37" fillId="0" borderId="3" pivotButton="0" quotePrefix="0" xfId="0"/>
    <xf numFmtId="0" fontId="53" fillId="13" borderId="1" applyAlignment="1" pivotButton="0" quotePrefix="0" xfId="0">
      <alignment horizontal="center"/>
    </xf>
    <xf numFmtId="0" fontId="52" fillId="14" borderId="1" applyAlignment="1" pivotButton="0" quotePrefix="0" xfId="0">
      <alignment horizontal="center"/>
    </xf>
    <xf numFmtId="0" fontId="3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3" fillId="0" borderId="2" pivotButton="0" quotePrefix="0" xfId="0"/>
    <xf numFmtId="0" fontId="54" fillId="0" borderId="3" pivotButton="0" quotePrefix="0" xfId="0"/>
    <xf numFmtId="0" fontId="55" fillId="0" borderId="4" pivotButton="0" quotePrefix="0" xfId="0"/>
    <xf numFmtId="0" fontId="52" fillId="0" borderId="2" pivotButton="0" quotePrefix="0" xfId="0"/>
    <xf numFmtId="0" fontId="47" fillId="0" borderId="3" pivotButton="0" quotePrefix="0" xfId="0"/>
    <xf numFmtId="0" fontId="52" fillId="0" borderId="4" pivotButton="0" quotePrefix="0" xfId="0"/>
    <xf numFmtId="0" fontId="56" fillId="15" borderId="0" applyAlignment="1" pivotButton="0" quotePrefix="0" xfId="0">
      <alignment horizontal="center"/>
    </xf>
    <xf numFmtId="0" fontId="57" fillId="0" borderId="0" pivotButton="0" quotePrefix="0" xfId="0"/>
    <xf numFmtId="0" fontId="56" fillId="16" borderId="0" applyAlignment="1" pivotButton="0" quotePrefix="0" xfId="0">
      <alignment horizontal="center" vertical="center"/>
    </xf>
    <xf numFmtId="0" fontId="57" fillId="0" borderId="1" pivotButton="0" quotePrefix="0" xfId="0"/>
    <xf numFmtId="0" fontId="58" fillId="0" borderId="1" pivotButton="0" quotePrefix="0" xfId="0"/>
    <xf numFmtId="0" fontId="59" fillId="0" borderId="1" pivotButton="0" quotePrefix="0" xfId="0"/>
    <xf numFmtId="0" fontId="60" fillId="17" borderId="1" applyAlignment="1" pivotButton="0" quotePrefix="0" xfId="0">
      <alignment horizontal="center"/>
    </xf>
    <xf numFmtId="0" fontId="56" fillId="8" borderId="0" pivotButton="0" quotePrefix="0" xfId="0"/>
    <xf numFmtId="0" fontId="61" fillId="8" borderId="0" pivotButton="0" quotePrefix="0" xfId="0"/>
    <xf numFmtId="0" fontId="62" fillId="8" borderId="0" pivotButton="0" quotePrefix="0" xfId="0"/>
    <xf numFmtId="0" fontId="0" fillId="8" borderId="0" pivotButton="0" quotePrefix="0" xfId="0"/>
    <xf numFmtId="0" fontId="34" fillId="8" borderId="0" applyAlignment="1" pivotButton="0" quotePrefix="0" xfId="0">
      <alignment horizontal="center"/>
    </xf>
    <xf numFmtId="0" fontId="50" fillId="0" borderId="0" pivotButton="0" quotePrefix="0" xfId="0"/>
    <xf numFmtId="0" fontId="65" fillId="18" borderId="0" pivotButton="0" quotePrefix="0" xfId="0"/>
    <xf numFmtId="0" fontId="0" fillId="18" borderId="0" pivotButton="0" quotePrefix="0" xfId="0"/>
    <xf numFmtId="0" fontId="52" fillId="0" borderId="0" pivotButton="0" quotePrefix="0" xfId="0"/>
    <xf numFmtId="0" fontId="40" fillId="18" borderId="0" pivotButton="0" quotePrefix="0" xfId="0"/>
    <xf numFmtId="0" fontId="66" fillId="18" borderId="0" applyAlignment="1" pivotButton="0" quotePrefix="0" xfId="0">
      <alignment wrapText="1"/>
    </xf>
    <xf numFmtId="0" fontId="63" fillId="0" borderId="0" pivotButton="0" quotePrefix="0" xfId="0"/>
    <xf numFmtId="0" fontId="64" fillId="0" borderId="0" pivotButton="0" quotePrefix="0" xfId="0"/>
    <xf numFmtId="0" fontId="52" fillId="14" borderId="5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31" fillId="20" borderId="1" applyAlignment="1" pivotButton="0" quotePrefix="0" xfId="0">
      <alignment vertical="center"/>
    </xf>
    <xf numFmtId="0" fontId="51" fillId="12" borderId="0" applyAlignment="1" pivotButton="0" quotePrefix="0" xfId="0">
      <alignment horizontal="center" vertical="center"/>
    </xf>
    <xf numFmtId="0" fontId="52" fillId="14" borderId="0" applyAlignment="1" pivotButton="0" quotePrefix="0" xfId="0">
      <alignment horizontal="center" vertical="center"/>
    </xf>
    <xf numFmtId="0" fontId="68" fillId="8" borderId="0" applyAlignment="1" pivotButton="0" quotePrefix="0" xfId="0">
      <alignment horizontal="center" vertical="center"/>
    </xf>
    <xf numFmtId="0" fontId="69" fillId="20" borderId="1" applyAlignment="1" pivotButton="0" quotePrefix="0" xfId="0">
      <alignment horizontal="center"/>
    </xf>
    <xf numFmtId="0" fontId="70" fillId="20" borderId="1" applyAlignment="1" pivotButton="0" quotePrefix="0" xfId="0">
      <alignment horizontal="center"/>
    </xf>
    <xf numFmtId="0" fontId="69" fillId="20" borderId="1" pivotButton="0" quotePrefix="0" xfId="0"/>
    <xf numFmtId="170" fontId="70" fillId="20" borderId="1" applyAlignment="1" pivotButton="0" quotePrefix="0" xfId="0">
      <alignment horizontal="right"/>
    </xf>
    <xf numFmtId="9" fontId="69" fillId="20" borderId="1" applyAlignment="1" pivotButton="0" quotePrefix="0" xfId="0">
      <alignment horizontal="center"/>
    </xf>
    <xf numFmtId="170" fontId="69" fillId="20" borderId="1" applyAlignment="1" pivotButton="0" quotePrefix="0" xfId="0">
      <alignment horizontal="right"/>
    </xf>
    <xf numFmtId="0" fontId="52" fillId="20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69" fillId="19" borderId="1" pivotButton="0" quotePrefix="0" xfId="0"/>
    <xf numFmtId="170" fontId="70" fillId="19" borderId="1" applyAlignment="1" pivotButton="0" quotePrefix="0" xfId="0">
      <alignment horizontal="right"/>
    </xf>
    <xf numFmtId="9" fontId="69" fillId="19" borderId="1" applyAlignment="1" pivotButton="0" quotePrefix="0" xfId="0">
      <alignment horizontal="center"/>
    </xf>
    <xf numFmtId="170" fontId="69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40" fillId="8" borderId="0" applyAlignment="1" pivotButton="0" quotePrefix="0" xfId="0">
      <alignment vertical="center" indent="1"/>
    </xf>
    <xf numFmtId="170" fontId="71" fillId="8" borderId="0" applyAlignment="1" pivotButton="0" quotePrefix="0" xfId="0">
      <alignment horizontal="right" vertical="center"/>
    </xf>
    <xf numFmtId="0" fontId="72" fillId="0" borderId="6" pivotButton="0" quotePrefix="0" xfId="0"/>
    <xf numFmtId="0" fontId="73" fillId="0" borderId="6" pivotButton="0" quotePrefix="0" xfId="0"/>
    <xf numFmtId="0" fontId="74" fillId="0" borderId="6" pivotButton="0" quotePrefix="0" xfId="0"/>
    <xf numFmtId="0" fontId="75" fillId="21" borderId="1" applyAlignment="1" pivotButton="0" quotePrefix="0" xfId="0">
      <alignment horizontal="center" vertical="center"/>
    </xf>
    <xf numFmtId="0" fontId="79" fillId="12" borderId="1" applyAlignment="1" pivotButton="0" quotePrefix="0" xfId="0">
      <alignment horizontal="center" vertical="center"/>
    </xf>
    <xf numFmtId="0" fontId="76" fillId="0" borderId="1" pivotButton="0" quotePrefix="0" xfId="0"/>
    <xf numFmtId="0" fontId="75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50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78" fillId="13" borderId="7" applyAlignment="1" pivotButton="0" quotePrefix="0" xfId="0">
      <alignment horizontal="center" vertical="center"/>
    </xf>
    <xf numFmtId="0" fontId="80" fillId="12" borderId="8" applyAlignment="1" pivotButton="0" quotePrefix="0" xfId="0">
      <alignment horizontal="center" vertical="center"/>
    </xf>
    <xf numFmtId="0" fontId="76" fillId="0" borderId="0" pivotButton="0" quotePrefix="0" xfId="0"/>
    <xf numFmtId="0" fontId="81" fillId="22" borderId="0" applyAlignment="1" pivotButton="0" quotePrefix="0" xfId="0">
      <alignment horizontal="left" vertical="center" wrapText="1"/>
    </xf>
    <xf numFmtId="0" fontId="82" fillId="23" borderId="0" applyAlignment="1" pivotButton="0" quotePrefix="0" xfId="0">
      <alignment vertical="center" wrapText="1"/>
    </xf>
    <xf numFmtId="0" fontId="83" fillId="24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0" fontId="85" fillId="22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vertical="center" wrapText="1"/>
    </xf>
    <xf numFmtId="0" fontId="86" fillId="26" borderId="0" applyAlignment="1" pivotButton="0" quotePrefix="0" xfId="0">
      <alignment vertical="top" wrapText="1"/>
    </xf>
    <xf numFmtId="0" fontId="81" fillId="27" borderId="0" applyAlignment="1" pivotButton="0" quotePrefix="0" xfId="0">
      <alignment horizontal="left" vertical="center" wrapText="1"/>
    </xf>
    <xf numFmtId="0" fontId="82" fillId="27" borderId="0" applyAlignment="1" pivotButton="0" quotePrefix="0" xfId="0">
      <alignment vertical="center" wrapText="1"/>
    </xf>
    <xf numFmtId="0" fontId="87" fillId="28" borderId="0" applyAlignment="1" pivotButton="0" quotePrefix="0" xfId="0">
      <alignment vertical="top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81" fillId="29" borderId="0" applyAlignment="1" pivotButton="0" quotePrefix="0" xfId="0">
      <alignment horizontal="left" vertical="center"/>
    </xf>
    <xf numFmtId="0" fontId="82" fillId="29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91" fillId="31" borderId="0" applyAlignment="1" pivotButton="0" quotePrefix="0" xfId="0">
      <alignment vertical="top" wrapText="1"/>
    </xf>
    <xf numFmtId="0" fontId="81" fillId="32" borderId="0" applyAlignment="1" pivotButton="0" quotePrefix="0" xfId="0">
      <alignment horizontal="left" vertical="center"/>
    </xf>
    <xf numFmtId="0" fontId="82" fillId="32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81" fillId="33" borderId="0" applyAlignment="1" pivotButton="0" quotePrefix="0" xfId="0">
      <alignment horizontal="left" vertical="center"/>
    </xf>
    <xf numFmtId="0" fontId="82" fillId="33" borderId="0" applyAlignment="1" pivotButton="0" quotePrefix="0" xfId="0">
      <alignment vertical="center" wrapText="1"/>
    </xf>
    <xf numFmtId="0" fontId="93" fillId="3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Ürün listesini girin | Neden önemli: Ürünü doğru kullanmak için | Doğru kullanım: Sırayla izleyin</t>
      </text>
    </comment>
    <comment ref="A6" authorId="0" shapeId="0">
      <text>
        <t>Tanım: Adım 2 — Reçeteleri tanımlayın | Neden önemli: Ürünü doğru kullanmak için | Doğru kullanım: Sırayla izleyin</t>
      </text>
    </comment>
    <comment ref="A7" authorId="0" shapeId="0">
      <text>
        <t>Tanım: Adım 3 — Stok hareketini girin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Hammadde | Neden önemli: Açılır listeyi besler | Doğru kullanım: Yeni hammadde için satır ekleyin</t>
      </text>
    </comment>
    <comment ref="C7" authorId="0" shapeId="0">
      <text>
        <t>Tanım: Birim | Neden önemli: Açılır listeyi besler | Doğru kullanım: Yeni birim için satır ekleyin</t>
      </text>
    </comment>
    <comment ref="A8" authorId="0" shapeId="0">
      <text>
        <t>Tanım: Hammadde | Neden önemli: Açılır listeyi besler | Doğru kullanım: Yeni hammadde için satır ekleyin</t>
      </text>
    </comment>
    <comment ref="C8" authorId="0" shapeId="0">
      <text>
        <t>Tanım: Birim | Neden önemli: Açılır listeyi besler | Doğru kullanım: Yeni birim için satır ekleyin</t>
      </text>
    </comment>
    <comment ref="A9" authorId="0" shapeId="0">
      <text>
        <t>Tanım: Hammadde | Neden önemli: Açılır listeyi besler | Doğru kullanım: Yeni hammadde için satır ekleyin</t>
      </text>
    </comment>
    <comment ref="C9" authorId="0" shapeId="0">
      <text>
        <t>Tanım: Birim | Neden önemli: Açılır listeyi besler | Doğru kullanım: Yeni birim için satır ekleyin</t>
      </text>
    </comment>
    <comment ref="A10" authorId="0" shapeId="0">
      <text>
        <t>Tanım: Hammadde | Neden önemli: Açılır listeyi besler | Doğru kullanım: Yeni hammadde için satır ekleyin</t>
      </text>
    </comment>
    <comment ref="C10" authorId="0" shapeId="0">
      <text>
        <t>Tanım: Birim | Neden önemli: Açılır listeyi besler | Doğru kullanım: Yeni birim için satır ekleyin</t>
      </text>
    </comment>
    <comment ref="A11" authorId="0" shapeId="0">
      <text>
        <t>Tanım: Hammadde | Neden önemli: Açılır listeyi besler | Doğru kullanım: Yeni hammadde için satır ekleyin</t>
      </text>
    </comment>
    <comment ref="C11" authorId="0" shapeId="0">
      <text>
        <t>Tanım: Birim | Neden önemli: Açılır listeyi besler | Doğru kullanım: Yeni birim için satır ekleyin</t>
      </text>
    </comment>
    <comment ref="A12" authorId="0" shapeId="0">
      <text>
        <t>Tanım: Hammadde | Neden önemli: Açılır listeyi besler | Doğru kullanım: Yeni hammadde için satır ekleyin</t>
      </text>
    </comment>
    <comment ref="C12" authorId="0" shapeId="0">
      <text>
        <t>Tanım: Birim | Neden önemli: Açılır listeyi besler | Doğru kullanım: Yeni birim için satır ekleyin</t>
      </text>
    </comment>
    <comment ref="A13" authorId="0" shapeId="0">
      <text>
        <t>Tanım: Hammadde | Neden önemli: Açılır listeyi besler | Doğru kullanım: Yeni hammadde için satır ekleyin</t>
      </text>
    </comment>
    <comment ref="A14" authorId="0" shapeId="0">
      <text>
        <t>Tanım: Hammadde | Neden önemli: Açılır listeyi besler | Doğru kullanım: Yeni hammadde için satır ekleyin</t>
      </text>
    </comment>
    <comment ref="A15" authorId="0" shapeId="0">
      <text>
        <t>Tanım: Hammadde | Neden önemli: Açılır listeyi besler | Doğru kullanım: Yeni hammadde için satır ekleyin</t>
      </text>
    </comment>
    <comment ref="A16" authorId="0" shapeId="0">
      <text>
        <t>Tanım: Hammadde | Neden önemli: Açılır listeyi besler | Doğru kullanım: Yeni hammadde için satır ekleyin</t>
      </text>
    </comment>
    <comment ref="A17" authorId="0" shapeId="0">
      <text>
        <t>Tanım: Hammadde | Neden önemli: Açılır listeyi besler | Doğru kullanım: Yeni hammadde için satır ekleyin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Toplam kayıp oranının inceleme eşiği (%3). | Neden önemli: Tüm hesaplamaları etkiler | Doğru kullanım: Açıklamaya uygun değer girin | Kaynak: Varsayım</t>
      </text>
    </comment>
    <comment ref="B12" authorId="0" shapeId="0">
      <text>
        <t>Tanım: Toplam kayıp oranının kritik eşiği (%8). | Neden önemli: Tüm hesaplamaları etkiler | Doğru kullanım: Açıklamaya uygun değer girin | Kaynak: Varsayım</t>
      </text>
    </comment>
    <comment ref="B13" authorId="0" shapeId="0">
      <text>
        <t>Tanım: Yüksek kalite skoru eşiği. | Neden önemli: Tüm hesaplamaları etkiler | Doğru kullanım: Açıklamaya uygun değer girin | Kaynak: Varsayım</t>
      </text>
    </comment>
    <comment ref="B14" authorId="0" shapeId="0">
      <text>
        <t>Tanım: Orta kalite skoru eşiği. | Neden önemli: Tüm hesaplamaları etkiler | Doğru kullanım: Açıklamaya uygun değer girin | Kaynak: Varsayım</t>
      </text>
    </comment>
    <comment ref="B15" authorId="0" shapeId="0">
      <text>
        <t>Tanım: İyimser senaryo kayıp çarpanı. | Neden önemli: Tüm hesaplamaları etkiler | Doğru kullanım: Açıklamaya uygun değer girin | Kaynak: Varsayım</t>
      </text>
    </comment>
    <comment ref="B16" authorId="0" shapeId="0">
      <text>
        <t>Tanım: Baz senaryo kayıp çarpanı. | Neden önemli: Tüm hesaplamaları etkiler | Doğru kullanım: Açıklamaya uygun değer girin | Kaynak: Varsayım</t>
      </text>
    </comment>
    <comment ref="B17" authorId="0" shapeId="0">
      <text>
        <t>Tanım: Kötümser senaryo kayıp çarpanı. | Neden önemli: Tüm hesaplamaları etkiler | Doğru kullanım: Açıklamaya uygun değer girin | Kaynak: Varsayım</t>
      </text>
    </comment>
    <comment ref="B18" authorId="0" shapeId="0">
      <text>
        <t>Tanım: Kritik senaryo kayıp çarpanı. | Neden önemli: Tüm hesaplamaları etkiler | Doğru kullanım: Açıklamaya uygun değer girin | Kaynak: Varsayım</t>
      </text>
    </comment>
    <comment ref="B19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0" authorId="0" shapeId="0">
      <text>
        <t>Tanım: Gelecek dönem tahmin noktası. | Neden önemli: Tüm hesaplamaları etkiler | Doğru kullanım: Açıklamaya uygun değer girin | Kaynak: Varsayım</t>
      </text>
    </comment>
    <comment ref="B21" authorId="0" shapeId="0">
      <text>
        <t>Tanım: Et birim maliyeti tornado adımı (%10). | Neden önemli: Tüm hesaplamaları etkiler | Doğru kullanım: Açıklamaya uygun değer girin | Kaynak: Varsayım</t>
      </text>
    </comment>
    <comment ref="B22" authorId="0" shapeId="0">
      <text>
        <t>Tanım: Fire/kayıp tornado adımı. | Neden önemli: Tüm hesaplamaları etkiler | Doğru kullanım: Açıklamaya uygun değer girin | Kaynak: Varsayım</t>
      </text>
    </comment>
    <comment ref="B23" authorId="0" shapeId="0">
      <text>
        <t>Tanım: Birim maliyet dağılımında üst yüzdelik dilimin oranı. | Neden önemli: Tüm hesaplamaları etkiler | Doğru kullanım: Açıklamaya uygun değer girin | Kaynak: Varsayım</t>
      </text>
    </comment>
    <comment ref="B24" authorId="0" shapeId="0">
      <text>
        <t>Tanım: Yüksek kayıp tutarı kontrol eşiği. | Neden önemli: Tüm hesaplamaları etkiler | Doğru kullanım: Açıklamaya uygun değer girin | Kaynak: Varsayım</t>
      </text>
    </comment>
    <comment ref="B25" authorId="0" shapeId="0">
      <text>
        <t>Tanım: KRİTİK KAYIP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KONTROL ALTINDA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Ürün sırasını girin</t>
      </text>
    </comment>
    <comment ref="B30" authorId="0" shapeId="0">
      <text>
        <t>Tanım: Panel sıra numarası 2 | Neden önemli: Grafikleri besler | Doğru kullanım: Ürün sırasını girin</t>
      </text>
    </comment>
    <comment ref="B31" authorId="0" shapeId="0">
      <text>
        <t>Tanım: Panel sıra numarası 3 | Neden önemli: Grafikleri besler | Doğru kullanım: Ürün sırasını girin</t>
      </text>
    </comment>
    <comment ref="B32" authorId="0" shapeId="0">
      <text>
        <t>Tanım: Panel sıra numarası 4 | Neden önemli: Grafikleri besler | Doğru kullanım: Ürün sırasını girin</t>
      </text>
    </comment>
    <comment ref="B33" authorId="0" shapeId="0">
      <text>
        <t>Tanım: Panel sıra numarası 5 | Neden önemli: Grafikleri besler | Doğru kullanım: Ürün sırasını girin</t>
      </text>
    </comment>
    <comment ref="B34" authorId="0" shapeId="0">
      <text>
        <t>Tanım: Panel sıra numarası 6 | Neden önemli: Grafikleri besler | Doğru kullanım: Ürün sırasını girin</t>
      </text>
    </comment>
  </commentList>
</comments>
</file>

<file path=xl/tables/table1.xml><?xml version="1.0" encoding="utf-8"?>
<table xmlns="http://schemas.openxmlformats.org/spreadsheetml/2006/main" id="1" name="tblUrun" displayName="tblUrun" ref="A5:H1004" headerRowCount="1" totalsRowCount="0" totalsRowShown="0">
  <tableColumns count="8">
    <tableColumn id="1" name="Ürün Kodu"/>
    <tableColumn id="2" name="Ürün Adı"/>
    <tableColumn id="3" name="Satış Adedi (Adet)"/>
    <tableColumn id="4" name="Birim Satış Fiyatı (TL)"/>
    <tableColumn id="5" name="Reçete Maliyeti (TL)">
      <calculatedColumnFormula>=IF(tblUrun[[#This Row],[Ürün Kodu]]="","",SUMIFS(tblRecete[Tutar (TL)],tblRecete[Ürün Kodu],tblUrun[[#This Row],[Ürün Kodu]]))</calculatedColumnFormula>
    </tableColumn>
    <tableColumn id="6" name="Satış Hasılatı (TL)">
      <calculatedColumnFormula>=IF(tblUrun[[#This Row],[Ürün Kodu]]="","",tblUrun[[#This Row],[Satış Adedi (Adet)]]*tblUrun[[#This Row],[Birim Satış Fiyatı (TL)]])</calculatedColumnFormula>
    </tableColumn>
    <tableColumn id="7" name="Kâr Katkısı (TL)">
      <calculatedColumnFormula>=IF(tblUrun[[#This Row],[Ürün Kodu]]="","",tblUrun[[#This Row],[Satış Hasılatı (TL)]]-tblUrun[[#This Row],[Reçete Maliyeti (TL)]])</calculatedColumnFormula>
    </tableColumn>
    <tableColumn id="8" name="Açıklama">
      <calculatedColumnFormula>=IF(tblUrun[[#This Row],[Ürün Adı]]="","",CONCATENATE("Ürün: ",tblUrun[[#This Row],[Ürün Adı]]," | Hasılat: ",TEXT(tblUrun[[#This Row],[Satış Hasılatı (TL)]],"₺ #,##0")," | Kâr Katkısı: ",TEXT(tblUrun[[#This Row],[Kâr Katkısı (TL)]],"₺ #,##0")))</calculatedColumnFormula>
    </tableColumn>
  </tableColumns>
</table>
</file>

<file path=xl/tables/table2.xml><?xml version="1.0" encoding="utf-8"?>
<table xmlns="http://schemas.openxmlformats.org/spreadsheetml/2006/main" id="2" name="tblRecete" displayName="tblRecete" ref="A5:J1004" headerRowCount="1" totalsRowCount="0" totalsRowShown="0">
  <tableColumns count="10">
    <tableColumn id="1" name="Ürün Kodu"/>
    <tableColumn id="2" name="Ürün Adı"/>
    <tableColumn id="3" name="Hammadde"/>
    <tableColumn id="4" name="Birim"/>
    <tableColumn id="5" name="Miktar"/>
    <tableColumn id="6" name="Birim Maliyet (TL)"/>
    <tableColumn id="7" name="Tutar (TL)">
      <calculatedColumnFormula>=IF(tblRecete[[#This Row],[Miktar]]="","",tblRecete[[#This Row],[Miktar]]*tblRecete[[#This Row],[Birim Maliyet (TL)]])</calculatedColumnFormula>
    </tableColumn>
    <tableColumn id="8" name="Satış Adedi (Adet)">
      <calculatedColumnFormula>=IF(tblRecete[[#This Row],[Ürün Kodu]]="","",IFERROR(INDEX(tblUrun[Satış Adedi (Adet)],MATCH(tblRecete[[#This Row],[Ürün Kodu]],tblUrun[Ürün Kodu],0)),0))</calculatedColumnFormula>
    </tableColumn>
    <tableColumn id="9" name="Teorik Tüketim">
      <calculatedColumnFormula>=IF(tblRecete[[#This Row],[Miktar]]="","",tblRecete[[#This Row],[Miktar]]*tblRecete[[#This Row],[Satış Adedi (Adet)]])</calculatedColumnFormula>
    </tableColumn>
    <tableColumn id="10" name="Açıklama">
      <calculatedColumnFormula>=IF(tblRecete[[#This Row],[Ürün Adı]]="","",CONCATENATE("Ürün: ",tblRecete[[#This Row],[Ürün Adı]]," | Hammadde: ",tblRecete[[#This Row],[Hammadde]]," | Teorik: ",TEXT(tblRecete[[#This Row],[Teorik Tüketim]],"#,##0.000")))</calculatedColumnFormula>
    </tableColumn>
  </tableColumns>
</table>
</file>

<file path=xl/tables/table3.xml><?xml version="1.0" encoding="utf-8"?>
<table xmlns="http://schemas.openxmlformats.org/spreadsheetml/2006/main" id="3" name="tblStok" displayName="tblStok" ref="A5:L1004" headerRowCount="1" totalsRowCount="0" totalsRowShown="0">
  <tableColumns count="12">
    <tableColumn id="1" name="Hammadde"/>
    <tableColumn id="2" name="Birim"/>
    <tableColumn id="3" name="Dönem Başı Stok"/>
    <tableColumn id="4" name="Alım"/>
    <tableColumn id="5" name="Dönem Sonu Stok"/>
    <tableColumn id="6" name="Fiili Tüketim">
      <calculatedColumnFormula>=IF(tblStok[[#This Row],[Hammadde]]="","",MAX(0,tblStok[[#This Row],[Dönem Başı Stok]]+tblStok[[#This Row],[Alım]]-tblStok[[#This Row],[Dönem Sonu Stok]]))</calculatedColumnFormula>
    </tableColumn>
    <tableColumn id="7" name="Birim Maliyet (TL)"/>
    <tableColumn id="8" name="Teorik Tüketim">
      <calculatedColumnFormula>=IF(tblStok[[#This Row],[Hammadde]]="","",SUMIFS(tblRecete[Teorik Tüketim],tblRecete[Hammadde],tblStok[[#This Row],[Hammadde]]))</calculatedColumnFormula>
    </tableColumn>
    <tableColumn id="9" name="Kayıp/Kaçak (Miktar)">
      <calculatedColumnFormula>=IF(tblStok[[#This Row],[Hammadde]]="","",MAX(0,tblStok[[#This Row],[Fiili Tüketim]]-tblStok[[#This Row],[Teorik Tüketim]]))</calculatedColumnFormula>
    </tableColumn>
    <tableColumn id="10" name="Kayıp Oranı">
      <calculatedColumnFormula>=IF(tblStok[[#This Row],[Hammadde]]="","",IF(tblStok[[#This Row],[Teorik Tüketim]]=0,0,tblStok[[#This Row],[Kayıp/Kaçak (Miktar)]]/tblStok[[#This Row],[Teorik Tüketim]]))</calculatedColumnFormula>
    </tableColumn>
    <tableColumn id="11" name="Kayıp Tutarı (TL)">
      <calculatedColumnFormula>=IF(tblStok[[#This Row],[Hammadde]]="","",tblStok[[#This Row],[Kayıp/Kaçak (Miktar)]]*tblStok[[#This Row],[Birim Maliyet (TL)]])</calculatedColumnFormula>
    </tableColumn>
    <tableColumn id="12" name="Açıklama">
      <calculatedColumnFormula>=IF(tblStok[[#This Row],[Hammadde]]="","",CONCATENATE("Hammadde: ",tblStok[[#This Row],[Hammadde]]," | Kayıp: ",TEXT(tblStok[[#This Row],[Kayıp Tutarı (TL)]],"₺ #,##0")," | Oran: ",TEXT(tblStok[[#This Row],[Kayıp Oranı]],"0,0%")))</calculatedColumnFormula>
    </tableColumn>
  </tableColumns>
</table>
</file>

<file path=xl/tables/table4.xml><?xml version="1.0" encoding="utf-8"?>
<table xmlns="http://schemas.openxmlformats.org/spreadsheetml/2006/main" id="4" name="tblOrnekRecete" displayName="tblOrnekRecete" ref="N6:W1005" headerRowCount="1" totalsRowCount="0" totalsRowShown="0">
  <tableColumns count="10">
    <tableColumn id="1" name="Ürün Kodu"/>
    <tableColumn id="2" name="Ürün Adı"/>
    <tableColumn id="3" name="Hammadde"/>
    <tableColumn id="4" name="Birim"/>
    <tableColumn id="5" name="Miktar"/>
    <tableColumn id="6" name="Birim Maliyet (TL)"/>
    <tableColumn id="7" name="Tutar (TL)">
      <calculatedColumnFormula>=IF(tblOrnekRecete[[#This Row],[Miktar]]="","",tblOrnekRecete[[#This Row],[Miktar]]*tblOrnekRecete[[#This Row],[Birim Maliyet (TL)]])</calculatedColumnFormula>
    </tableColumn>
    <tableColumn id="8" name="Satış Adedi (Adet)">
      <calculatedColumnFormula>=IF(tblOrnekRecete[[#This Row],[Ürün Kodu]]="","",IFERROR(INDEX(tblOrnekUrun[Satış Adedi (Adet)],MATCH(tblOrnekRecete[[#This Row],[Ürün Kodu]],tblOrnekUrun[Ürün Kodu],0)),0))</calculatedColumnFormula>
    </tableColumn>
    <tableColumn id="9" name="Teorik Tüketim">
      <calculatedColumnFormula>=IF(tblOrnekRecete[[#This Row],[Miktar]]="","",tblOrnekRecete[[#This Row],[Miktar]]*tblOrnekRecete[[#This Row],[Satış Adedi (Adet)]])</calculatedColumnFormula>
    </tableColumn>
    <tableColumn id="10" name="Açıklama">
      <calculatedColumnFormula>=IF(tblOrnekRecete[[#This Row],[Ürün Adı]]="","",CONCATENATE("Ürün: ",tblOrnekRecete[[#This Row],[Ürün Adı]]))</calculatedColumnFormula>
    </tableColumn>
  </tableColumns>
</table>
</file>

<file path=xl/tables/table5.xml><?xml version="1.0" encoding="utf-8"?>
<table xmlns="http://schemas.openxmlformats.org/spreadsheetml/2006/main" id="5" name="tblOrnekStok" displayName="tblOrnekStok" ref="A6:L1005" headerRowCount="1" totalsRowCount="0" totalsRowShown="0">
  <tableColumns count="12">
    <tableColumn id="1" name="Hammadde"/>
    <tableColumn id="2" name="Birim"/>
    <tableColumn id="3" name="Dönem Başı Stok"/>
    <tableColumn id="4" name="Alım"/>
    <tableColumn id="5" name="Dönem Sonu Stok"/>
    <tableColumn id="6" name="Fiili Tüketim">
      <calculatedColumnFormula>=IF(tblOrnekStok[[#This Row],[Hammadde]]="","",MAX(0,tblOrnekStok[[#This Row],[Dönem Başı Stok]]+tblOrnekStok[[#This Row],[Alım]]-tblOrnekStok[[#This Row],[Dönem Sonu Stok]]))</calculatedColumnFormula>
    </tableColumn>
    <tableColumn id="7" name="Birim Maliyet (TL)"/>
    <tableColumn id="8" name="Teorik Tüketim">
      <calculatedColumnFormula>=IF(tblOrnekStok[[#This Row],[Hammadde]]="","",SUMIFS(tblOrnekRecete[Teorik Tüketim],tblOrnekRecete[Hammadde],tblOrnekStok[[#This Row],[Hammadde]]))</calculatedColumnFormula>
    </tableColumn>
    <tableColumn id="9" name="Kayıp/Kaçak (Miktar)">
      <calculatedColumnFormula>=IF(tblOrnekStok[[#This Row],[Hammadde]]="","",MAX(0,tblOrnekStok[[#This Row],[Fiili Tüketim]]-tblOrnekStok[[#This Row],[Teorik Tüketim]]))</calculatedColumnFormula>
    </tableColumn>
    <tableColumn id="10" name="Kayıp Oranı">
      <calculatedColumnFormula>=IF(tblOrnekStok[[#This Row],[Hammadde]]="","",IF(tblOrnekStok[[#This Row],[Teorik Tüketim]]=0,0,tblOrnekStok[[#This Row],[Kayıp/Kaçak (Miktar)]]/tblOrnekStok[[#This Row],[Teorik Tüketim]]))</calculatedColumnFormula>
    </tableColumn>
    <tableColumn id="11" name="Kayıp Tutarı (TL)">
      <calculatedColumnFormula>=IF(tblOrnekStok[[#This Row],[Hammadde]]="","",tblOrnekStok[[#This Row],[Kayıp/Kaçak (Miktar)]]*tblOrnekStok[[#This Row],[Birim Maliyet (TL)]])</calculatedColumnFormula>
    </tableColumn>
    <tableColumn id="12" name="Açıklama">
      <calculatedColumnFormula>=IF(tblOrnekStok[[#This Row],[Hammadde]]="","",CONCATENATE("Hammadde: ",tblOrnekStok[[#This Row],[Hammadde]]," | Kayıp: ",TEXT(tblOrnekStok[[#This Row],[Kayıp Tutarı (TL)]],"₺ #,##0")))</calculatedColumnFormula>
    </tableColumn>
  </tableColumns>
</table>
</file>

<file path=xl/tables/table6.xml><?xml version="1.0" encoding="utf-8"?>
<table xmlns="http://schemas.openxmlformats.org/spreadsheetml/2006/main" id="6" name="tblOrnekUrun" displayName="tblOrnekUrun" ref="Y6:AF1005" headerRowCount="1" totalsRowCount="0" totalsRowShown="0">
  <tableColumns count="8">
    <tableColumn id="1" name="Ürün Kodu"/>
    <tableColumn id="2" name="Ürün Adı"/>
    <tableColumn id="3" name="Satış Adedi (Adet)"/>
    <tableColumn id="4" name="Birim Satış Fiyatı (TL)"/>
    <tableColumn id="5" name="Reçete Maliyeti (TL)">
      <calculatedColumnFormula>=IF(tblOrnekUrun[[#This Row],[Ürün Kodu]]="","",SUMIFS(tblOrnekRecete[Tutar (TL)],tblOrnekRecete[Ürün Kodu],tblOrnekUrun[[#This Row],[Ürün Kodu]]))</calculatedColumnFormula>
    </tableColumn>
    <tableColumn id="6" name="Satış Hasılatı (TL)">
      <calculatedColumnFormula>=IF(tblOrnekUrun[[#This Row],[Ürün Kodu]]="","",tblOrnekUrun[[#This Row],[Satış Adedi (Adet)]]*tblOrnekUrun[[#This Row],[Birim Satış Fiyatı (TL)]])</calculatedColumnFormula>
    </tableColumn>
    <tableColumn id="7" name="Kâr Katkısı (TL)">
      <calculatedColumnFormula>=IF(tblOrnekUrun[[#This Row],[Ürün Kodu]]="","",tblOrnekUrun[[#This Row],[Satış Hasılatı (TL)]]-tblOrnekUrun[[#This Row],[Reçete Maliyeti (TL)]])</calculatedColumnFormula>
    </tableColumn>
    <tableColumn id="8" name="Açıklama">
      <calculatedColumnFormula>=IF(tblOrnekUrun[[#This Row],[Ürün Adı]]="","",CONCATENATE("Ürün: ",tblOrnekUrun[[#This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2" min="1" max="1"/>
    <col width="78" customWidth="1" style="72" min="2" max="2"/>
  </cols>
  <sheetData>
    <row r="1" ht="28" customHeight="1" s="72">
      <c r="A1" s="243" t="inlineStr">
        <is>
          <t>EXCELARŞİV KARAR SİSTEMİ v15.1 — ÜRETİM REFERANSI</t>
        </is>
      </c>
    </row>
    <row r="3" ht="24" customHeight="1" s="72">
      <c r="A3" s="244" t="inlineStr">
        <is>
          <t>Konu</t>
        </is>
      </c>
      <c r="B3" s="244" t="inlineStr">
        <is>
          <t>Bağlayıcı Standart</t>
        </is>
      </c>
    </row>
    <row r="4">
      <c r="A4" s="245" t="inlineStr">
        <is>
          <t>Amaç</t>
        </is>
      </c>
      <c r="B4" s="246" t="inlineStr">
        <is>
          <t>Kanıta dayalı, hatada kapalı çalışan Excel üretim ve denetim sistemi</t>
        </is>
      </c>
    </row>
    <row r="5">
      <c r="A5" s="245" t="inlineStr">
        <is>
          <t>Öncelik</t>
        </is>
      </c>
      <c r="B5" s="246" t="inlineStr">
        <is>
          <t>Kullanıcının açık iş talebi ve gerçek kullanım senaryosu</t>
        </is>
      </c>
    </row>
    <row r="6">
      <c r="A6" s="245" t="inlineStr">
        <is>
          <t>Ana akış</t>
        </is>
      </c>
      <c r="B6" s="246" t="inlineStr">
        <is>
          <t>Uygunluk → Yönetişim → Sözleşmeler → Üretim → Test → Kanıt → Kullanıcı Kabulü → Yayın</t>
        </is>
      </c>
    </row>
    <row r="7">
      <c r="A7" s="245" t="inlineStr">
        <is>
          <t>Yayın ilkesi</t>
        </is>
      </c>
      <c r="B7" s="246" t="inlineStr">
        <is>
          <t>Üst aşamada hata varsa alt aşama GEÇTİ üretilemez</t>
        </is>
      </c>
    </row>
    <row r="8">
      <c r="A8" s="245" t="inlineStr">
        <is>
          <t>Kullanıcı kabulü</t>
        </is>
      </c>
      <c r="B8" s="246" t="inlineStr">
        <is>
          <t>Excel masaüstü görünümü test edilmediyse DIŞ_KABUL_GEREKLİ</t>
        </is>
      </c>
    </row>
    <row r="9">
      <c r="A9" s="245" t="inlineStr">
        <is>
          <t>Nihai yayın</t>
        </is>
      </c>
      <c r="B9" s="246" t="inlineStr">
        <is>
          <t>Yalnız uygulanabilir modüller GEÇTİ veya gerekçeli UYGULANMAZ</t>
        </is>
      </c>
    </row>
    <row r="10">
      <c r="A10" s="245" t="inlineStr">
        <is>
          <t>Ticari ayrım</t>
        </is>
      </c>
      <c r="B10" s="246" t="inlineStr">
        <is>
          <t>Ekonomik olarak savunulabilir fiyat, gerçek pazar kabulü ile aynı değildir</t>
        </is>
      </c>
    </row>
    <row r="11">
      <c r="A11" s="245" t="inlineStr">
        <is>
          <t>Karmaşıklık</t>
        </is>
      </c>
      <c r="B11" s="246" t="inlineStr">
        <is>
          <t>Karar değeri, eklenen karmaşıklığın maliyetinden büyük olmalıdır</t>
        </is>
      </c>
    </row>
    <row r="12">
      <c r="A12" s="245" t="inlineStr">
        <is>
          <t>Excel sınırı</t>
        </is>
      </c>
      <c r="B12" s="246" t="inlineStr">
        <is>
          <t>Veritabanı, kurumsal yetkilendirme, değiştirilemez kayıt sistemi veya gerçek zamanlı olay platformu değildir</t>
        </is>
      </c>
    </row>
    <row r="13">
      <c r="A13" s="245" t="inlineStr">
        <is>
          <t>Dil standardı</t>
        </is>
      </c>
      <c r="B13" s="246" t="inlineStr">
        <is>
          <t>Kullanıcıya görünen tüm sayfa, tablo, başlık, açıklama, uyarı ve karar metinleri saf Türkçe olmalıdır</t>
        </is>
      </c>
    </row>
    <row r="14">
      <c r="A14" s="245" t="inlineStr">
        <is>
          <t>Muhasebe standardı</t>
        </is>
      </c>
      <c r="B14" s="246" t="inlineStr">
        <is>
          <t>Finansal ürünlerde Türkiye Tekdüzen Hesap Planı ve Türk muhasebe kullanım alışkanlıkları esas alınır</t>
        </is>
      </c>
    </row>
    <row r="15">
      <c r="A15" s="245" t="inlineStr">
        <is>
          <t>Görsel standart</t>
        </is>
      </c>
      <c r="B15" s="246" t="inlineStr">
        <is>
          <t>Her sayfa başlıklı, renk kodlu, sıkı kolon düzenli ve premium kurumsal görünümde olmalıdır</t>
        </is>
      </c>
    </row>
    <row r="16">
      <c r="A16" s="245" t="inlineStr">
        <is>
          <t>Grafik standardı</t>
        </is>
      </c>
      <c r="B16" s="246" t="inlineStr">
        <is>
          <t>Grafikler karar üretmeli; dekoratif, 3B, anlamsız renkli veya varsayılan Excel grafiği kullanılamaz</t>
        </is>
      </c>
    </row>
    <row r="17">
      <c r="A17" s="245" t="inlineStr">
        <is>
          <t>Hata standardı</t>
        </is>
      </c>
      <c r="B17" s="246" t="inlineStr">
        <is>
          <t>#AD? / #BAŞV! / #DEĞER! / #SAYI/0! / #YOK gibi hatalar GEÇTİ sonucuyla birlikte bulunamaz</t>
        </is>
      </c>
    </row>
    <row r="18">
      <c r="A18" s="245" t="inlineStr">
        <is>
          <t>Karar standardı</t>
        </is>
      </c>
      <c r="B18" s="246" t="inlineStr">
        <is>
          <t>Her kritik çıktı: ne oldu, neden oldu, parasal etki, ne yapılmalı, ne zamana kadar sorularını cevaplar</t>
        </is>
      </c>
    </row>
    <row r="19">
      <c r="A19" s="245" t="inlineStr">
        <is>
          <t>Satış standardı</t>
        </is>
      </c>
      <c r="B19" s="246" t="inlineStr">
        <is>
          <t>Ürün 5 saniyede anlaşılmalı; pahalı problemi, ekonomik sonucu, kanıtı ve satın alma gerekçesini göstermelidir</t>
        </is>
      </c>
    </row>
    <row r="20">
      <c r="A20" s="245" t="inlineStr">
        <is>
          <t>Güven standardı</t>
        </is>
      </c>
      <c r="B20" s="246" t="inlineStr">
        <is>
          <t>Kanıtsız 'premium', 'kusursuz', 'sıfır hata' veya yüksek fiyat iddiası kullanılamaz</t>
        </is>
      </c>
    </row>
    <row r="21">
      <c r="A21" s="245" t="inlineStr">
        <is>
          <t>Kaynak</t>
        </is>
      </c>
      <c r="B21" s="246" t="inlineStr">
        <is>
          <t>Teknik Python çekirdeği 99_TEKNIK_KAYNAK sayfasında saklanır; kullanıcı arayüzü değildir</t>
        </is>
      </c>
    </row>
    <row r="22">
      <c r="A22" s="245" t="inlineStr">
        <is>
          <t>Bağlayıcı standart</t>
        </is>
      </c>
      <c r="B22" s="246" t="inlineStr">
        <is>
          <t>Teknik kaynak içindeki üretim sözleşmesi + bu çalışma kitabındaki Türkçe operasyon standartları</t>
        </is>
      </c>
    </row>
    <row r="23">
      <c r="A23" s="245" t="inlineStr">
        <is>
          <t>Çıktı disiplini</t>
        </is>
      </c>
      <c r="B23" s="246" t="inlineStr">
        <is>
          <t>Kanıtsız GEÇTİ / NİHAİ / TİCARİ / PAZAR_DOĞRULANDI statüsü yasaktır</t>
        </is>
      </c>
    </row>
    <row r="24">
      <c r="A24" s="245" t="inlineStr">
        <is>
          <t>Uyarlanabilirlik</t>
        </is>
      </c>
      <c r="B24" s="246" t="inlineStr">
        <is>
          <t>Gereksiz modül yalnız prestij amacıyla eklenmez</t>
        </is>
      </c>
    </row>
    <row r="26" ht="16" customHeight="1" s="72">
      <c r="A26" s="247" t="inlineStr">
        <is>
          <t>TEK KAYNAK MİMARİSİ</t>
        </is>
      </c>
      <c r="B26" s="247" t="inlineStr">
        <is>
          <t>İKİ DOSYALI / TEK SİSTEM</t>
        </is>
      </c>
    </row>
    <row r="27" ht="28" customHeight="1" s="72">
      <c r="A27" s="246" t="inlineStr">
        <is>
          <t>MASTER Excel</t>
        </is>
      </c>
      <c r="B27" s="24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2">
      <c r="A28" s="246" t="inlineStr">
        <is>
          <t>Runtime Python</t>
        </is>
      </c>
      <c r="B28" s="246" t="inlineStr">
        <is>
          <t>EXCELARSIV_DECISION_OS_V15_1_RUNTIME_KERNEL.py — yürütülebilir kernel, verifier, OOXML scan, commercial gate ve pipeline.</t>
        </is>
      </c>
    </row>
    <row r="29">
      <c r="A29" s="246" t="inlineStr">
        <is>
          <t>Python SHA-256</t>
        </is>
      </c>
      <c r="B29" s="246" t="inlineStr">
        <is>
          <t>babe066ab599199123e53d01944bcd9d75648a579ade69ab9303dd675962f481</t>
        </is>
      </c>
    </row>
    <row r="30">
      <c r="A30" s="246" t="inlineStr">
        <is>
          <t>Sürüm Eşleşmesi</t>
        </is>
      </c>
      <c r="B30" s="246" t="inlineStr">
        <is>
          <t>Her iki dosya v15.1 sistemine aittir. Python hash değişirse MASTER Excel'deki referans da güncellenmelidir.</t>
        </is>
      </c>
    </row>
    <row r="31" ht="28" customHeight="1" s="72">
      <c r="A31" s="246" t="inlineStr">
        <is>
          <t>Sahte PASS Yasağı</t>
        </is>
      </c>
      <c r="B31" s="246" t="inlineStr">
        <is>
          <t>Kanıt yoksa PASS yok; hata=FAIL, ölçülemiyorsa=BLOCKED, Excel GUI gerekiyorsa=HARİCİ KABUL GEREKLİ.</t>
        </is>
      </c>
    </row>
    <row r="32">
      <c r="A32" s="246" t="inlineStr">
        <is>
          <t>Dil</t>
        </is>
      </c>
      <c r="B32" s="246" t="inlineStr">
        <is>
          <t>Kullanıcı yüzeyi safkan Türkçe; teknik kavramların Türkçe karşılığı ana terimdir.</t>
        </is>
      </c>
    </row>
    <row r="33">
      <c r="A33" s="246" t="inlineStr">
        <is>
          <t>Muhasebe</t>
        </is>
      </c>
      <c r="B33" s="24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18" customWidth="1" style="72" min="2" max="2"/>
    <col width="15" customWidth="1" style="72" min="3" max="3"/>
    <col width="12" customWidth="1" style="72" min="4" max="4"/>
    <col width="16" customWidth="1" style="72" min="5" max="5"/>
    <col width="18" customWidth="1" style="72" min="6" max="6"/>
    <col width="6" customWidth="1" style="72" min="7" max="7"/>
    <col width="24" customWidth="1" style="72" min="8" max="8"/>
    <col width="15" customWidth="1" style="72" min="9" max="9"/>
    <col width="14" customWidth="1" style="72" min="10" max="10"/>
    <col width="12" customWidth="1" style="72" min="11" max="11"/>
    <col width="18" customWidth="1" style="72" min="12" max="12"/>
    <col width="18" customWidth="1" style="72" min="13" max="13"/>
  </cols>
  <sheetData>
    <row r="1">
      <c r="A1" s="82" t="inlineStr">
        <is>
          <t>☰ PANO</t>
        </is>
      </c>
    </row>
    <row r="2">
      <c r="B2" s="166" t="inlineStr">
        <is>
          <t>MUTFAK KAYIP KACAK HESAPLAYICI — YÖNETİM VE KARAR SİSTEMİ</t>
        </is>
      </c>
      <c r="L2" s="167" t="inlineStr">
        <is>
          <t>Dönem: 2026 / Tam ▼</t>
        </is>
      </c>
      <c r="M2" s="168" t="inlineStr">
        <is>
          <t>★ DOĞRULANMIŞ</t>
        </is>
      </c>
    </row>
    <row r="3">
      <c r="B3" s="169" t="inlineStr">
        <is>
          <t>Yönetici Karar Kokpiti, Otomatik Doğrulama ve Dinamik Hesaplama Sistemi · 2026</t>
        </is>
      </c>
    </row>
    <row r="5">
      <c r="B5" s="170" t="inlineStr">
        <is>
          <t>TOPLAM İŞLEM HACMİ</t>
        </is>
      </c>
      <c r="C5" s="171" t="n"/>
      <c r="D5" s="172" t="inlineStr">
        <is>
          <t>DOĞRULANMIŞ</t>
        </is>
      </c>
      <c r="E5" s="173" t="inlineStr">
        <is>
          <t>RİSKLİ / BEKLEYEN İŞLEM</t>
        </is>
      </c>
      <c r="F5" s="171" t="n"/>
      <c r="G5" s="174" t="inlineStr">
        <is>
          <t>MİNİMUM</t>
        </is>
      </c>
      <c r="H5" s="170" t="inlineStr">
        <is>
          <t>OPERASYONEL NET MARJ</t>
        </is>
      </c>
      <c r="I5" s="171" t="n"/>
      <c r="J5" s="175" t="inlineStr">
        <is>
          <t>GÜVENLİ</t>
        </is>
      </c>
      <c r="K5" s="176" t="inlineStr">
        <is>
          <t>SİSTEM GÜVEN SKORU</t>
        </is>
      </c>
      <c r="L5" s="171" t="n"/>
      <c r="M5" s="172" t="inlineStr">
        <is>
          <t>DENETLENDİ</t>
        </is>
      </c>
    </row>
    <row r="6">
      <c r="B6" s="177" t="n"/>
      <c r="C6" s="171" t="n"/>
      <c r="D6" s="171" t="n"/>
      <c r="E6" s="178" t="n"/>
      <c r="F6" s="171" t="n"/>
      <c r="G6" s="171" t="n"/>
      <c r="H6" s="177" t="n"/>
      <c r="I6" s="171" t="n"/>
      <c r="J6" s="171" t="n"/>
      <c r="K6" s="179" t="n"/>
      <c r="L6" s="171" t="n"/>
      <c r="M6" s="171" t="n"/>
    </row>
    <row r="7">
      <c r="B7" s="180" t="inlineStr">
        <is>
          <t>₺28.450.000</t>
        </is>
      </c>
      <c r="C7" s="171" t="n"/>
      <c r="D7" s="171" t="n"/>
      <c r="E7" s="181" t="inlineStr">
        <is>
          <t>₺940.000</t>
        </is>
      </c>
      <c r="F7" s="171" t="n"/>
      <c r="G7" s="171" t="n"/>
      <c r="H7" s="180" t="inlineStr">
        <is>
          <t>₺8.120.000</t>
        </is>
      </c>
      <c r="I7" s="171" t="n"/>
      <c r="J7" s="171" t="n"/>
      <c r="K7" s="182" t="inlineStr">
        <is>
          <t>98/100</t>
        </is>
      </c>
      <c r="L7" s="171" t="n"/>
      <c r="M7" s="171" t="n"/>
    </row>
    <row r="8">
      <c r="B8" s="177" t="n"/>
      <c r="C8" s="171" t="n"/>
      <c r="D8" s="171" t="n"/>
      <c r="E8" s="178" t="n"/>
      <c r="F8" s="171" t="n"/>
      <c r="G8" s="171" t="n"/>
      <c r="H8" s="177" t="n"/>
      <c r="I8" s="171" t="n"/>
      <c r="J8" s="171" t="n"/>
      <c r="K8" s="179" t="n"/>
      <c r="L8" s="171" t="n"/>
      <c r="M8" s="171" t="n"/>
    </row>
    <row r="9">
      <c r="B9" s="183" t="inlineStr">
        <is>
          <t>↑ Konsolide yıllıklandırılmış büyüme</t>
        </is>
      </c>
      <c r="C9" s="171" t="n"/>
      <c r="D9" s="171" t="n"/>
      <c r="E9" s="184" t="inlineStr">
        <is>
          <t>● Tüm riskli kayıtlar kontrol altında</t>
        </is>
      </c>
      <c r="F9" s="171" t="n"/>
      <c r="G9" s="171" t="n"/>
      <c r="H9" s="183" t="inlineStr">
        <is>
          <t>██████████░░░░░ %28.5 NET MARJ</t>
        </is>
      </c>
      <c r="I9" s="171" t="n"/>
      <c r="J9" s="171" t="n"/>
      <c r="K9" s="185" t="inlineStr">
        <is>
          <t>✓ 0 Formül ve Döngüsel Hata</t>
        </is>
      </c>
      <c r="L9" s="171" t="n"/>
      <c r="M9" s="171" t="n"/>
    </row>
    <row r="11">
      <c r="B11" s="96" t="inlineStr">
        <is>
          <t>12 AYLIK NAKİT GİRİŞ / ÇIKIŞ &amp; LİKİDİTE BAŞARIMI</t>
        </is>
      </c>
      <c r="F11" s="186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Tahsilat vs. Tedarikçi/Kredi Ödeme Projeksiyonu</t>
        </is>
      </c>
      <c r="H12" s="95" t="inlineStr">
        <is>
          <t>Anlık Hesaplama Sonuçları, Dinamik Formül Çıktıları ve Durum Puanlaması</t>
        </is>
      </c>
    </row>
    <row r="14">
      <c r="B14" s="187" t="inlineStr">
        <is>
          <t>Dönem</t>
        </is>
      </c>
      <c r="C14" s="187" t="inlineStr">
        <is>
          <t>Aktif Hacim</t>
        </is>
      </c>
      <c r="D14" s="187" t="inlineStr">
        <is>
          <t>Maliyet/Yük</t>
        </is>
      </c>
      <c r="E14" s="187" t="inlineStr">
        <is>
          <t>Hedef</t>
        </is>
      </c>
      <c r="H14" s="188" t="inlineStr">
        <is>
          <t>PARAMETRE / KALEM</t>
        </is>
      </c>
      <c r="I14" s="188" t="inlineStr">
        <is>
          <t>ANA TUTAR</t>
        </is>
      </c>
      <c r="J14" s="188" t="inlineStr">
        <is>
          <t>FARK / MARJ</t>
        </is>
      </c>
      <c r="K14" s="188" t="inlineStr">
        <is>
          <t>VADE</t>
        </is>
      </c>
      <c r="L14" s="188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89" t="inlineStr">
        <is>
          <t>13 haftalık kümülatif bakiye...</t>
        </is>
      </c>
      <c r="I15" s="189" t="inlineStr">
        <is>
          <t>₺8.450.000</t>
        </is>
      </c>
      <c r="J15" s="190" t="inlineStr">
        <is>
          <t>₺425.000</t>
        </is>
      </c>
      <c r="K15" s="191" t="inlineStr">
        <is>
          <t>12 Ay</t>
        </is>
      </c>
      <c r="L15" s="175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89" t="inlineStr">
        <is>
          <t>Kritik (eksi) hafta uyarısı</t>
        </is>
      </c>
      <c r="I16" s="189" t="inlineStr">
        <is>
          <t>₺12.200.000</t>
        </is>
      </c>
      <c r="J16" s="190" t="inlineStr">
        <is>
          <t>₺580.400</t>
        </is>
      </c>
      <c r="K16" s="191" t="inlineStr">
        <is>
          <t>24 Ay</t>
        </is>
      </c>
      <c r="L16" s="172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89" t="inlineStr">
        <is>
          <t>Dönem net nakit değişimi</t>
        </is>
      </c>
      <c r="I17" s="189" t="inlineStr">
        <is>
          <t>₺4.850.000</t>
        </is>
      </c>
      <c r="J17" s="190" t="inlineStr">
        <is>
          <t>₺235.200</t>
        </is>
      </c>
      <c r="K17" s="191" t="inlineStr">
        <is>
          <t>8 Ay</t>
        </is>
      </c>
      <c r="L17" s="192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89" t="inlineStr">
        <is>
          <t>13 haftalık kümülatif bakiye...</t>
        </is>
      </c>
      <c r="I18" s="189" t="inlineStr">
        <is>
          <t>₺2.140.000</t>
        </is>
      </c>
      <c r="J18" s="190" t="inlineStr">
        <is>
          <t>₺118.000</t>
        </is>
      </c>
      <c r="K18" s="191" t="inlineStr">
        <is>
          <t>16 Ay</t>
        </is>
      </c>
      <c r="L18" s="175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93" t="inlineStr">
        <is>
          <t>KONSOLİDE SİSTEM TOPLAMI</t>
        </is>
      </c>
      <c r="I19" s="194" t="inlineStr">
        <is>
          <t>₺42.850.000</t>
        </is>
      </c>
      <c r="J19" s="195" t="inlineStr">
        <is>
          <t>₺3.420.000</t>
        </is>
      </c>
      <c r="K19" s="196" t="inlineStr"/>
      <c r="L19" s="197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98" t="inlineStr">
        <is>
          <t>KONSOLİDE PAY VE AĞIRLIK</t>
        </is>
      </c>
      <c r="F22" s="198" t="inlineStr">
        <is>
          <t>LİKİDİTE RİSKİ &amp; ERKEN UYARI SİNYALLERİ</t>
        </is>
      </c>
      <c r="K22" s="199" t="inlineStr">
        <is>
          <t>KARAR MOTORU</t>
        </is>
      </c>
      <c r="L22" s="200" t="n"/>
      <c r="M22" s="200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201" t="inlineStr">
        <is>
          <t>0.00 TL (Sıfır Risk)</t>
        </is>
      </c>
      <c r="K23" s="202" t="inlineStr">
        <is>
          <t>OPERASYONEL VERİMLİLİK FIRSATI</t>
        </is>
      </c>
      <c r="L23" s="200" t="n"/>
      <c r="M23" s="200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201" t="inlineStr">
        <is>
          <t>48 Gün Güvenli Eşik</t>
        </is>
      </c>
      <c r="K24" s="203" t="inlineStr">
        <is>
          <t>Süreç optimizasyonuyla birim operasyonel maliyeti düşürme potansiyeli mevcuttur.</t>
        </is>
      </c>
    </row>
    <row r="25">
      <c r="B25" s="204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205" t="inlineStr">
        <is>
          <t>■ Rezervler (%13)</t>
        </is>
      </c>
      <c r="F26" s="206" t="inlineStr">
        <is>
          <t>✓ 90 GÜNLÜK PROJEKSİYONDA NAKİT SIKIŞIKLIĞI TESPİT EDİLMEDİ</t>
        </is>
      </c>
      <c r="K26" s="20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14" customWidth="1" style="72" min="2" max="2"/>
    <col width="16" customWidth="1" style="72" min="3" max="3"/>
    <col width="32" customWidth="1" style="72" min="4" max="4"/>
    <col width="18" customWidth="1" style="72" min="5" max="5"/>
    <col width="12" customWidth="1" style="72" min="6" max="6"/>
    <col width="18" customWidth="1" style="72" min="7" max="7"/>
    <col width="22" customWidth="1" style="72" min="8" max="8"/>
    <col width="16" customWidth="1" style="72" min="9" max="9"/>
  </cols>
  <sheetData>
    <row r="1">
      <c r="A1" s="82" t="inlineStr">
        <is>
          <t>☰ PANO</t>
        </is>
      </c>
    </row>
    <row r="3">
      <c r="B3" s="208" t="inlineStr">
        <is>
          <t>🔍  Kayıt veya hesap ara...</t>
        </is>
      </c>
      <c r="G3" s="209" t="inlineStr">
        <is>
          <t>TOPLAM: 1.450 KAYIT</t>
        </is>
      </c>
      <c r="I3" s="210" t="inlineStr">
        <is>
          <t>HATALI HÜCRE: 0 ADET</t>
        </is>
      </c>
    </row>
    <row r="5">
      <c r="B5" s="211" t="inlineStr">
        <is>
          <t>TARİH</t>
        </is>
      </c>
      <c r="C5" s="211" t="inlineStr">
        <is>
          <t>REFERANS NO</t>
        </is>
      </c>
      <c r="D5" s="211" t="inlineStr">
        <is>
          <t>İŞLEM AÇIKLAMASI VE DETAY</t>
        </is>
      </c>
      <c r="E5" s="211" t="inlineStr">
        <is>
          <t>BRÜT TUTAR (₺)</t>
        </is>
      </c>
      <c r="F5" s="211" t="inlineStr">
        <is>
          <t>KDV ORANI</t>
        </is>
      </c>
      <c r="G5" s="211" t="inlineStr">
        <is>
          <t>NET TUTAR (₺)</t>
        </is>
      </c>
      <c r="H5" s="211" t="inlineStr">
        <is>
          <t>HESAP / CARİ</t>
        </is>
      </c>
      <c r="I5" s="211" t="inlineStr">
        <is>
          <t>DURUM</t>
        </is>
      </c>
    </row>
    <row r="6">
      <c r="B6" s="212" t="inlineStr">
        <is>
          <t>12.10.2026</t>
        </is>
      </c>
      <c r="C6" s="213" t="inlineStr">
        <is>
          <t>TR-0428-A</t>
        </is>
      </c>
      <c r="D6" s="214" t="inlineStr">
        <is>
          <t>Haftalık operasyon tahmini</t>
        </is>
      </c>
      <c r="E6" s="215" t="n">
        <v>845200</v>
      </c>
      <c r="F6" s="216" t="n">
        <v>0.2</v>
      </c>
      <c r="G6" s="217">
        <f>E6/(1+F6)</f>
        <v/>
      </c>
      <c r="H6" s="214" t="inlineStr">
        <is>
          <t>Vadesiz Ticari</t>
        </is>
      </c>
      <c r="I6" s="218" t="inlineStr">
        <is>
          <t>ONAYLANDI</t>
        </is>
      </c>
    </row>
    <row r="7">
      <c r="B7" s="219" t="inlineStr">
        <is>
          <t>14.10.2026</t>
        </is>
      </c>
      <c r="C7" s="220" t="inlineStr">
        <is>
          <t>TR-0429-B</t>
        </is>
      </c>
      <c r="D7" s="221" t="inlineStr">
        <is>
          <t>Haftalık operasyon tahmini</t>
        </is>
      </c>
      <c r="E7" s="222" t="n">
        <v>1240000</v>
      </c>
      <c r="F7" s="223" t="n">
        <v>0.2</v>
      </c>
      <c r="G7" s="224">
        <f>E7/(1+F7)</f>
        <v/>
      </c>
      <c r="H7" s="221" t="inlineStr">
        <is>
          <t>Tedarikçi Havuzu</t>
        </is>
      </c>
      <c r="I7" s="225" t="inlineStr">
        <is>
          <t>BEKLEMEDE</t>
        </is>
      </c>
    </row>
    <row r="8">
      <c r="B8" s="212" t="inlineStr">
        <is>
          <t>18.10.2026</t>
        </is>
      </c>
      <c r="C8" s="213" t="inlineStr">
        <is>
          <t>TR-0430-C</t>
        </is>
      </c>
      <c r="D8" s="214" t="inlineStr">
        <is>
          <t>Ödeme takvimi notları</t>
        </is>
      </c>
      <c r="E8" s="215" t="n">
        <v>620500</v>
      </c>
      <c r="F8" s="216" t="n">
        <v>0.1</v>
      </c>
      <c r="G8" s="217">
        <f>E8/(1+F8)</f>
        <v/>
      </c>
      <c r="H8" s="214" t="inlineStr">
        <is>
          <t>Kısa Vade Tahakkuk</t>
        </is>
      </c>
      <c r="I8" s="218" t="inlineStr">
        <is>
          <t>ONAYLANDI</t>
        </is>
      </c>
    </row>
    <row r="9">
      <c r="B9" s="219" t="inlineStr">
        <is>
          <t>21.10.2026</t>
        </is>
      </c>
      <c r="C9" s="220" t="inlineStr">
        <is>
          <t>TR-0431-D</t>
        </is>
      </c>
      <c r="D9" s="221" t="inlineStr">
        <is>
          <t>Haftalık operasyon tahmini</t>
        </is>
      </c>
      <c r="E9" s="222" t="n">
        <v>415000</v>
      </c>
      <c r="F9" s="223" t="n">
        <v>0.2</v>
      </c>
      <c r="G9" s="224">
        <f>E9/(1+F9)</f>
        <v/>
      </c>
      <c r="H9" s="221" t="inlineStr">
        <is>
          <t>Müşteri Alacağı</t>
        </is>
      </c>
      <c r="I9" s="226" t="inlineStr">
        <is>
          <t>ONAYLANDI</t>
        </is>
      </c>
    </row>
    <row r="10">
      <c r="B10" s="212" t="inlineStr">
        <is>
          <t>25.10.2026</t>
        </is>
      </c>
      <c r="C10" s="213" t="inlineStr">
        <is>
          <t>TR-0432-E</t>
        </is>
      </c>
      <c r="D10" s="214" t="inlineStr">
        <is>
          <t>Haftalık operasyon tahmini</t>
        </is>
      </c>
      <c r="E10" s="215" t="n">
        <v>980400</v>
      </c>
      <c r="F10" s="216" t="n">
        <v>0.2</v>
      </c>
      <c r="G10" s="217">
        <f>E10/(1+F10)</f>
        <v/>
      </c>
      <c r="H10" s="214" t="inlineStr">
        <is>
          <t>Vadesiz Ticari</t>
        </is>
      </c>
      <c r="I10" s="218" t="inlineStr">
        <is>
          <t>ONAYLANDI</t>
        </is>
      </c>
    </row>
    <row r="11">
      <c r="B11" s="219" t="inlineStr">
        <is>
          <t>28.10.2026</t>
        </is>
      </c>
      <c r="C11" s="220" t="inlineStr">
        <is>
          <t>TR-0433-F</t>
        </is>
      </c>
      <c r="D11" s="221" t="inlineStr">
        <is>
          <t>Haftalık operasyon tahmini</t>
        </is>
      </c>
      <c r="E11" s="222" t="n">
        <v>1850000</v>
      </c>
      <c r="F11" s="223" t="n">
        <v>0.2</v>
      </c>
      <c r="G11" s="224">
        <f>E11/(1+F11)</f>
        <v/>
      </c>
      <c r="H11" s="221" t="inlineStr">
        <is>
          <t>Banka Kredi Taksiti</t>
        </is>
      </c>
      <c r="I11" s="227" t="inlineStr">
        <is>
          <t>BLOKE</t>
        </is>
      </c>
    </row>
    <row r="12">
      <c r="B12" s="212" t="inlineStr">
        <is>
          <t>02.11.2026</t>
        </is>
      </c>
      <c r="C12" s="213" t="inlineStr">
        <is>
          <t>TR-0434-G</t>
        </is>
      </c>
      <c r="D12" s="214" t="inlineStr">
        <is>
          <t>Ödeme takvimi notları</t>
        </is>
      </c>
      <c r="E12" s="215" t="n">
        <v>740000</v>
      </c>
      <c r="F12" s="216" t="n">
        <v>0.2</v>
      </c>
      <c r="G12" s="217">
        <f>E12/(1+F12)</f>
        <v/>
      </c>
      <c r="H12" s="214" t="inlineStr">
        <is>
          <t>Kira &amp; Sabit Gider</t>
        </is>
      </c>
      <c r="I12" s="218" t="inlineStr">
        <is>
          <t>ONAYLANDI</t>
        </is>
      </c>
    </row>
    <row r="13">
      <c r="B13" s="219" t="inlineStr">
        <is>
          <t>05.11.2026</t>
        </is>
      </c>
      <c r="C13" s="220" t="inlineStr">
        <is>
          <t>TR-0435-H</t>
        </is>
      </c>
      <c r="D13" s="221" t="inlineStr">
        <is>
          <t>Haftalık operasyon tahmini</t>
        </is>
      </c>
      <c r="E13" s="222" t="n">
        <v>520800</v>
      </c>
      <c r="F13" s="223" t="n">
        <v>0.2</v>
      </c>
      <c r="G13" s="224">
        <f>E13/(1+F13)</f>
        <v/>
      </c>
      <c r="H13" s="221" t="inlineStr">
        <is>
          <t>Vadesiz Ticari</t>
        </is>
      </c>
      <c r="I13" s="226" t="inlineStr">
        <is>
          <t>ONAYLANDI</t>
        </is>
      </c>
    </row>
    <row r="14">
      <c r="B14" s="212" t="inlineStr">
        <is>
          <t>09.11.2026</t>
        </is>
      </c>
      <c r="C14" s="213" t="inlineStr">
        <is>
          <t>TR-0436-I</t>
        </is>
      </c>
      <c r="D14" s="214" t="inlineStr">
        <is>
          <t>Haftalık operasyon tahmini</t>
        </is>
      </c>
      <c r="E14" s="215" t="n">
        <v>1120000</v>
      </c>
      <c r="F14" s="216" t="n">
        <v>0.2</v>
      </c>
      <c r="G14" s="217">
        <f>E14/(1+F14)</f>
        <v/>
      </c>
      <c r="H14" s="214" t="inlineStr">
        <is>
          <t>Müşteri Alacağı</t>
        </is>
      </c>
      <c r="I14" s="218" t="inlineStr">
        <is>
          <t>ONAYLANDI</t>
        </is>
      </c>
    </row>
    <row r="15">
      <c r="B15" s="219" t="inlineStr">
        <is>
          <t>12.11.2026</t>
        </is>
      </c>
      <c r="C15" s="220" t="inlineStr">
        <is>
          <t>TR-0437-J</t>
        </is>
      </c>
      <c r="D15" s="221" t="inlineStr">
        <is>
          <t>Haftalık operasyon tahmini</t>
        </is>
      </c>
      <c r="E15" s="222" t="n">
        <v>890000</v>
      </c>
      <c r="F15" s="223" t="n">
        <v>0.2</v>
      </c>
      <c r="G15" s="224">
        <f>E15/(1+F15)</f>
        <v/>
      </c>
      <c r="H15" s="221" t="inlineStr">
        <is>
          <t>Tedarikçi Havuzu</t>
        </is>
      </c>
      <c r="I15" s="226" t="inlineStr">
        <is>
          <t>ONAYLANDI</t>
        </is>
      </c>
    </row>
    <row r="17">
      <c r="B17" s="228" t="inlineStr">
        <is>
          <t>SAYFA TOPLAMI (10 / 1.450 KAYIT)</t>
        </is>
      </c>
      <c r="C17" s="196" t="n"/>
      <c r="D17" s="196" t="n"/>
      <c r="E17" s="229">
        <f>TOPLA(E6:E15)</f>
        <v/>
      </c>
      <c r="F17" s="196" t="n"/>
      <c r="G17" s="196" t="n"/>
      <c r="H17" s="196" t="n"/>
      <c r="I17" s="19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24" customWidth="1" style="72" min="2" max="2"/>
    <col width="15" customWidth="1" style="72" min="3" max="3"/>
    <col width="15" customWidth="1" style="72" min="4" max="4"/>
    <col width="22" customWidth="1" style="72" min="5" max="5"/>
    <col width="6" customWidth="1" style="72" min="6" max="6"/>
    <col width="6" customWidth="1" style="72" min="7" max="7"/>
    <col width="24" customWidth="1" style="72" min="8" max="8"/>
    <col width="15" customWidth="1" style="72" min="9" max="9"/>
    <col width="15" customWidth="1" style="72" min="10" max="10"/>
    <col width="22" customWidth="1" style="72" min="11" max="11"/>
    <col width="6" customWidth="1" style="72" min="12" max="12"/>
  </cols>
  <sheetData>
    <row r="1">
      <c r="A1" s="82" t="inlineStr">
        <is>
          <t>☰ PANO</t>
        </is>
      </c>
    </row>
    <row r="2">
      <c r="B2" s="230" t="inlineStr">
        <is>
          <t>MUTFAK KAYIP KACAK HESAPLAYICI — YÖNETİM VE KARAR SİSTEMİ — NİHAİ KARAR VE DEĞERLEME</t>
        </is>
      </c>
    </row>
    <row r="3">
      <c r="B3" s="231" t="inlineStr">
        <is>
          <t>Yönetim Kurulu ve İcra Komitesi için Otomatik Türetilen Finansal Stres Testi Raporu</t>
        </is>
      </c>
    </row>
    <row r="4">
      <c r="B4" s="232" t="inlineStr">
        <is>
          <t>DÖNEM: 2026 Q3 · DENETİM PROTOKOLÜ: ISO/VUK/IFRS UYUMLU · DURUM: ONAYLANDI</t>
        </is>
      </c>
    </row>
    <row r="6">
      <c r="B6" s="233" t="inlineStr">
        <is>
          <t>SENARYO A: KÖTÜMSER (STRES TESTİ -%20)</t>
        </is>
      </c>
      <c r="C6" s="171" t="n"/>
      <c r="D6" s="171" t="n"/>
      <c r="E6" s="171" t="n"/>
      <c r="F6" s="171" t="n"/>
      <c r="H6" s="234" t="inlineStr">
        <is>
          <t>SENARYO B: BAZ MODEL (HEDEFLENEN)</t>
        </is>
      </c>
      <c r="I6" s="171" t="n"/>
      <c r="J6" s="171" t="n"/>
      <c r="K6" s="171" t="n"/>
      <c r="L6" s="171" t="n"/>
    </row>
    <row r="7">
      <c r="B7" s="171" t="n"/>
      <c r="C7" s="171" t="n"/>
      <c r="D7" s="171" t="n"/>
      <c r="E7" s="171" t="n"/>
      <c r="F7" s="171" t="n"/>
      <c r="H7" s="171" t="n"/>
      <c r="I7" s="171" t="n"/>
      <c r="J7" s="171" t="n"/>
      <c r="K7" s="171" t="n"/>
      <c r="L7" s="171" t="n"/>
    </row>
    <row r="8">
      <c r="B8" s="235" t="inlineStr">
        <is>
          <t>Ciro / Hacim Düşüşü:</t>
        </is>
      </c>
      <c r="C8" s="171" t="n"/>
      <c r="D8" s="171" t="n"/>
      <c r="E8" s="236" t="inlineStr">
        <is>
          <t>-%20.0 (Kriz Eşiği)</t>
        </is>
      </c>
      <c r="F8" s="171" t="n"/>
      <c r="H8" s="235" t="inlineStr">
        <is>
          <t>Ciro / Hacim Gerçekleşmesi:</t>
        </is>
      </c>
      <c r="I8" s="171" t="n"/>
      <c r="J8" s="171" t="n"/>
      <c r="K8" s="237" t="inlineStr">
        <is>
          <t>%100.0 (Tam Bütçe)</t>
        </is>
      </c>
      <c r="L8" s="171" t="n"/>
    </row>
    <row r="9">
      <c r="B9" s="235" t="inlineStr">
        <is>
          <t>Beklenen Net Kâr / Getiri:</t>
        </is>
      </c>
      <c r="C9" s="171" t="n"/>
      <c r="D9" s="171" t="n"/>
      <c r="E9" s="238" t="inlineStr">
        <is>
          <t>₺4.280.000</t>
        </is>
      </c>
      <c r="F9" s="171" t="n"/>
      <c r="H9" s="235" t="inlineStr">
        <is>
          <t>Beklenen Net Kâr / Getiri:</t>
        </is>
      </c>
      <c r="I9" s="171" t="n"/>
      <c r="J9" s="171" t="n"/>
      <c r="K9" s="238" t="inlineStr">
        <is>
          <t>₺12.450.000</t>
        </is>
      </c>
      <c r="L9" s="171" t="n"/>
    </row>
    <row r="10">
      <c r="B10" s="235" t="inlineStr">
        <is>
          <t>Minimum Nakit Tamponu:</t>
        </is>
      </c>
      <c r="C10" s="171" t="n"/>
      <c r="D10" s="171" t="n"/>
      <c r="E10" s="239" t="inlineStr">
        <is>
          <t>₺1.850.000 (Yeterli)</t>
        </is>
      </c>
      <c r="F10" s="171" t="n"/>
      <c r="H10" s="235" t="inlineStr">
        <is>
          <t>Serbest Nakit Akımı:</t>
        </is>
      </c>
      <c r="I10" s="171" t="n"/>
      <c r="J10" s="171" t="n"/>
      <c r="K10" s="239" t="inlineStr">
        <is>
          <t>₺8.240.000</t>
        </is>
      </c>
      <c r="L10" s="171" t="n"/>
    </row>
    <row r="11">
      <c r="B11" s="235" t="inlineStr">
        <is>
          <t>Likidite Karşılama Oranı:</t>
        </is>
      </c>
      <c r="C11" s="171" t="n"/>
      <c r="D11" s="171" t="n"/>
      <c r="E11" s="239" t="inlineStr">
        <is>
          <t>1.28x (Eşik: 1.10x)</t>
        </is>
      </c>
      <c r="F11" s="171" t="n"/>
      <c r="H11" s="235" t="inlineStr">
        <is>
          <t>Yatırım Geri Dönüşü (ROI):</t>
        </is>
      </c>
      <c r="I11" s="171" t="n"/>
      <c r="J11" s="171" t="n"/>
      <c r="K11" s="239" t="inlineStr">
        <is>
          <t>%38.4 Yıllık</t>
        </is>
      </c>
      <c r="L11" s="171" t="n"/>
    </row>
    <row r="12">
      <c r="B12" s="171" t="n"/>
      <c r="C12" s="171" t="n"/>
      <c r="D12" s="171" t="n"/>
      <c r="E12" s="171" t="n"/>
      <c r="F12" s="171" t="n"/>
      <c r="H12" s="171" t="n"/>
      <c r="I12" s="171" t="n"/>
      <c r="J12" s="171" t="n"/>
      <c r="K12" s="171" t="n"/>
      <c r="L12" s="171" t="n"/>
    </row>
    <row r="13">
      <c r="B13" s="171" t="n"/>
      <c r="C13" s="171" t="n"/>
      <c r="D13" s="171" t="n"/>
      <c r="E13" s="171" t="n"/>
      <c r="F13" s="171" t="n"/>
      <c r="H13" s="171" t="n"/>
      <c r="I13" s="171" t="n"/>
      <c r="J13" s="171" t="n"/>
      <c r="K13" s="171" t="n"/>
      <c r="L13" s="171" t="n"/>
    </row>
    <row r="14">
      <c r="B14" s="240" t="inlineStr">
        <is>
          <t>STRES SENARYOSUNDA DAHİ İFLAS RİSKİ YOK</t>
        </is>
      </c>
      <c r="C14" s="171" t="n"/>
      <c r="D14" s="171" t="n"/>
      <c r="E14" s="171" t="n"/>
      <c r="F14" s="171" t="n"/>
      <c r="H14" s="241" t="inlineStr">
        <is>
          <t>OPTİMUM İCRA VE PLANLAMA REÇETESİ</t>
        </is>
      </c>
      <c r="I14" s="171" t="n"/>
      <c r="J14" s="171" t="n"/>
      <c r="K14" s="171" t="n"/>
      <c r="L14" s="171" t="n"/>
    </row>
    <row r="15">
      <c r="B15" s="171" t="n"/>
      <c r="C15" s="171" t="n"/>
      <c r="D15" s="171" t="n"/>
      <c r="E15" s="171" t="n"/>
      <c r="F15" s="171" t="n"/>
      <c r="H15" s="171" t="n"/>
      <c r="I15" s="171" t="n"/>
      <c r="J15" s="171" t="n"/>
      <c r="K15" s="171" t="n"/>
      <c r="L15" s="171" t="n"/>
    </row>
    <row r="17">
      <c r="B17" s="83" t="inlineStr">
        <is>
          <t>YÖNETİM KARAR MATRİSİ VE UYGULAMA REÇETESİ</t>
        </is>
      </c>
    </row>
    <row r="19">
      <c r="B19" s="198" t="inlineStr">
        <is>
          <t>●  Öncelik 1: Acil Likidite ve Borç Servis Planlaması</t>
        </is>
      </c>
    </row>
    <row r="20">
      <c r="B20" s="242" t="inlineStr">
        <is>
          <t xml:space="preserve">   Sistemde hesaplanan vade günlerine sadık kalınarak nakit blokajı 3 gün önceden hazır edilmelidir.</t>
        </is>
      </c>
    </row>
    <row r="21">
      <c r="B21" s="198" t="inlineStr">
        <is>
          <t>●  Öncelik 2: Formül Doğrulama ve Çapraz Sağlama</t>
        </is>
      </c>
    </row>
    <row r="22">
      <c r="B22" s="242" t="inlineStr">
        <is>
          <t xml:space="preserve">   Tüm hücreler kilitli formül korumasında olup girdi sayfalarında sıfır döngüsel başvuru (circular ref) garantilidir.</t>
        </is>
      </c>
    </row>
    <row r="23">
      <c r="B23" s="198" t="inlineStr">
        <is>
          <t>●  Öncelik 3: Resmi Mevzuat ve Vergi Kalkanı Entegrasyonu</t>
        </is>
      </c>
    </row>
    <row r="24">
      <c r="B24" s="242" t="inlineStr">
        <is>
          <t xml:space="preserve">   2026 güncel vergi dilimleri, amortisman ve SGK teşvik parametreleri tam otomatik yansıtılmaktadır.</t>
        </is>
      </c>
    </row>
    <row r="25">
      <c r="B25" s="198" t="inlineStr">
        <is>
          <t>●  Öncelik 4: Yönetici İmzası ve Rapor Paylaşımı</t>
        </is>
      </c>
    </row>
    <row r="26">
      <c r="B26" s="2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24" customWidth="1" style="72" min="2" max="2"/>
    <col width="22" customWidth="1" style="72" min="3" max="3"/>
    <col width="27" customWidth="1" style="72" min="4" max="4"/>
    <col width="29" customWidth="1" style="72" min="5" max="5"/>
    <col width="20" customWidth="1" style="72" min="6" max="6"/>
    <col width="21" customWidth="1" style="72" min="7" max="7"/>
  </cols>
  <sheetData>
    <row r="1" ht="28" customHeight="1" s="72">
      <c r="A1" s="248" t="inlineStr">
        <is>
          <t>YÜRÜTME ÇEKİRDEĞİ — ZORUNLU ÜRETİM SIRASI</t>
        </is>
      </c>
    </row>
    <row r="3" ht="24" customHeight="1" s="72">
      <c r="A3" s="249" t="inlineStr">
        <is>
          <t>Adım</t>
        </is>
      </c>
      <c r="B3" s="249" t="inlineStr">
        <is>
          <t>Modül</t>
        </is>
      </c>
      <c r="C3" s="249" t="inlineStr">
        <is>
          <t>Tetikleyici</t>
        </is>
      </c>
      <c r="D3" s="249" t="inlineStr">
        <is>
          <t>Zorunlu Kanıt</t>
        </is>
      </c>
      <c r="E3" s="249" t="inlineStr">
        <is>
          <t>GEÇTİ Kuralı</t>
        </is>
      </c>
      <c r="F3" s="249" t="inlineStr">
        <is>
          <t>Hata Durumu</t>
        </is>
      </c>
      <c r="G3" s="249" t="inlineStr">
        <is>
          <t>Sonraki Aşama</t>
        </is>
      </c>
    </row>
    <row r="4">
      <c r="A4" s="250" t="n">
        <v>1</v>
      </c>
      <c r="B4" s="246" t="inlineStr">
        <is>
          <t>Excel Uygunluğu</t>
        </is>
      </c>
      <c r="C4" s="246" t="inlineStr">
        <is>
          <t>Her yeni model</t>
        </is>
      </c>
      <c r="D4" s="246" t="inlineStr">
        <is>
          <t>UYGUNLUK_KARARI</t>
        </is>
      </c>
      <c r="E4" s="246" t="inlineStr">
        <is>
          <t>Excel'in rolü açık</t>
        </is>
      </c>
      <c r="F4" s="246" t="inlineStr">
        <is>
          <t>HATA / BLOKE</t>
        </is>
      </c>
      <c r="G4" s="246" t="inlineStr">
        <is>
          <t>Yönetişim</t>
        </is>
      </c>
    </row>
    <row r="5">
      <c r="A5" s="250" t="n">
        <v>2</v>
      </c>
      <c r="B5" s="246" t="inlineStr">
        <is>
          <t>Yönetişim</t>
        </is>
      </c>
      <c r="C5" s="246" t="inlineStr">
        <is>
          <t>Her model</t>
        </is>
      </c>
      <c r="D5" s="246" t="inlineStr">
        <is>
          <t>Risk seviyesi + etki girdileri</t>
        </is>
      </c>
      <c r="E5" s="246" t="inlineStr">
        <is>
          <t>Seviye hesaplandı</t>
        </is>
      </c>
      <c r="F5" s="246" t="inlineStr">
        <is>
          <t>BLOKE</t>
        </is>
      </c>
      <c r="G5" s="246" t="inlineStr">
        <is>
          <t>Sözleşmeler</t>
        </is>
      </c>
    </row>
    <row r="6">
      <c r="A6" s="250" t="n">
        <v>3</v>
      </c>
      <c r="B6" s="246" t="inlineStr">
        <is>
          <t>Türk Muhasebe Eşlemesi</t>
        </is>
      </c>
      <c r="C6" s="246" t="inlineStr">
        <is>
          <t>Finansal model</t>
        </is>
      </c>
      <c r="D6" s="246" t="inlineStr">
        <is>
          <t>THP hesap eşleme tablosu</t>
        </is>
      </c>
      <c r="E6" s="246" t="inlineStr">
        <is>
          <t>Kritik satırlar THP ile uyumlu</t>
        </is>
      </c>
      <c r="F6" s="246" t="inlineStr">
        <is>
          <t>HATA</t>
        </is>
      </c>
      <c r="G6" s="246" t="inlineStr">
        <is>
          <t>Sözleşmeler</t>
        </is>
      </c>
    </row>
    <row r="7">
      <c r="A7" s="250" t="n">
        <v>4</v>
      </c>
      <c r="B7" s="246" t="inlineStr">
        <is>
          <t>Veri ve Anlam Sözleşmeleri</t>
        </is>
      </c>
      <c r="C7" s="246" t="inlineStr">
        <is>
          <t>Girdi/KPI varsa</t>
        </is>
      </c>
      <c r="D7" s="246" t="inlineStr">
        <is>
          <t>Veri + KPI sözleşmeleri</t>
        </is>
      </c>
      <c r="E7" s="246" t="inlineStr">
        <is>
          <t>Kapsam %100</t>
        </is>
      </c>
      <c r="F7" s="246" t="inlineStr">
        <is>
          <t>HATA</t>
        </is>
      </c>
      <c r="G7" s="246" t="inlineStr">
        <is>
          <t>Üretim</t>
        </is>
      </c>
    </row>
    <row r="8">
      <c r="A8" s="250" t="n">
        <v>5</v>
      </c>
      <c r="B8" s="246" t="inlineStr">
        <is>
          <t>Üretim</t>
        </is>
      </c>
      <c r="C8" s="246" t="inlineStr">
        <is>
          <t>Sözleşmeler GEÇTİ</t>
        </is>
      </c>
      <c r="D8" s="246" t="inlineStr">
        <is>
          <t>Çalışan Excel</t>
        </is>
      </c>
      <c r="E8" s="246" t="inlineStr">
        <is>
          <t>Tek gerçek kaynak korunmuş</t>
        </is>
      </c>
      <c r="F8" s="246" t="inlineStr">
        <is>
          <t>HATA</t>
        </is>
      </c>
      <c r="G8" s="246" t="inlineStr">
        <is>
          <t>Testler</t>
        </is>
      </c>
    </row>
    <row r="9" ht="28" customHeight="1" s="72">
      <c r="A9" s="250" t="n">
        <v>6</v>
      </c>
      <c r="B9" s="246" t="inlineStr">
        <is>
          <t>Görsel/Kullanım Katmanı</t>
        </is>
      </c>
      <c r="C9" s="246" t="inlineStr">
        <is>
          <t>Motor hazır</t>
        </is>
      </c>
      <c r="D9" s="246" t="inlineStr">
        <is>
          <t>Başlıklar + renk + grafik + yönlendirme</t>
        </is>
      </c>
      <c r="E9" s="246" t="inlineStr">
        <is>
          <t>Tüm kullanıcı sayfaları standarda uygun</t>
        </is>
      </c>
      <c r="F9" s="246" t="inlineStr">
        <is>
          <t>HATA</t>
        </is>
      </c>
      <c r="G9" s="246" t="inlineStr">
        <is>
          <t>Testler</t>
        </is>
      </c>
    </row>
    <row r="10" ht="28" customHeight="1" s="72">
      <c r="A10" s="250" t="n">
        <v>7</v>
      </c>
      <c r="B10" s="246" t="inlineStr">
        <is>
          <t>Testler</t>
        </is>
      </c>
      <c r="C10" s="246" t="inlineStr">
        <is>
          <t>Üretim tamam</t>
        </is>
      </c>
      <c r="D10" s="246" t="inlineStr">
        <is>
          <t>Formül/OOXML/kimlik/oracle/golden/metamorfik</t>
        </is>
      </c>
      <c r="E10" s="246" t="inlineStr">
        <is>
          <t>Uygulanabilir hard gate'ler GEÇTİ</t>
        </is>
      </c>
      <c r="F10" s="246" t="inlineStr">
        <is>
          <t>HATA</t>
        </is>
      </c>
      <c r="G10" s="246" t="inlineStr">
        <is>
          <t>Kanıt</t>
        </is>
      </c>
    </row>
    <row r="11">
      <c r="A11" s="250" t="n">
        <v>8</v>
      </c>
      <c r="B11" s="246" t="inlineStr">
        <is>
          <t>Hata-Kontrol Tutarlılığı</t>
        </is>
      </c>
      <c r="C11" s="246" t="inlineStr">
        <is>
          <t>Test sonucu var</t>
        </is>
      </c>
      <c r="D11" s="246" t="inlineStr">
        <is>
          <t>Hata taraması + kontrol sonuçları</t>
        </is>
      </c>
      <c r="E11" s="246" t="inlineStr">
        <is>
          <t>Formül hatası varken GEÇTİ yok</t>
        </is>
      </c>
      <c r="F11" s="246" t="inlineStr">
        <is>
          <t>HATA</t>
        </is>
      </c>
      <c r="G11" s="246" t="inlineStr">
        <is>
          <t>Kanıt</t>
        </is>
      </c>
    </row>
    <row r="12">
      <c r="A12" s="250" t="n">
        <v>9</v>
      </c>
      <c r="B12" s="246" t="inlineStr">
        <is>
          <t>Kanıt</t>
        </is>
      </c>
      <c r="C12" s="246" t="inlineStr">
        <is>
          <t>Test sonucu var</t>
        </is>
      </c>
      <c r="D12" s="246" t="inlineStr">
        <is>
          <t>Makine okunur artefakt + özet</t>
        </is>
      </c>
      <c r="E12" s="246" t="inlineStr">
        <is>
          <t>Kanıt fiziksel ve tutarlı</t>
        </is>
      </c>
      <c r="F12" s="246" t="inlineStr">
        <is>
          <t>HATA</t>
        </is>
      </c>
      <c r="G12" s="246" t="inlineStr">
        <is>
          <t>Kullanıcı Kabulü</t>
        </is>
      </c>
    </row>
    <row r="13">
      <c r="A13" s="250" t="n">
        <v>10</v>
      </c>
      <c r="B13" s="246" t="inlineStr">
        <is>
          <t>Kullanıcı Kabulü</t>
        </is>
      </c>
      <c r="C13" s="246" t="inlineStr">
        <is>
          <t>Kritik görevler</t>
        </is>
      </c>
      <c r="D13" s="246" t="inlineStr">
        <is>
          <t>Gerçek ekran davranışı</t>
        </is>
      </c>
      <c r="E13" s="246" t="inlineStr">
        <is>
          <t>Kritik görevler %100</t>
        </is>
      </c>
      <c r="F13" s="246" t="inlineStr">
        <is>
          <t>DIŞ_KABUL_GEREKLİ</t>
        </is>
      </c>
      <c r="G13" s="246" t="inlineStr">
        <is>
          <t>Ticari</t>
        </is>
      </c>
    </row>
    <row r="14">
      <c r="A14" s="250" t="n">
        <v>11</v>
      </c>
      <c r="B14" s="246" t="inlineStr">
        <is>
          <t>Ticari Değer</t>
        </is>
      </c>
      <c r="C14" s="246" t="inlineStr">
        <is>
          <t>Ürün satılacaksa</t>
        </is>
      </c>
      <c r="D14" s="246" t="inlineStr">
        <is>
          <t>ROI + demo + kanıt paketi</t>
        </is>
      </c>
      <c r="E14" s="246" t="inlineStr">
        <is>
          <t>Ekonomik değer kanıtlı</t>
        </is>
      </c>
      <c r="F14" s="246" t="inlineStr">
        <is>
          <t>UYARI / HATA</t>
        </is>
      </c>
      <c r="G14" s="246" t="inlineStr">
        <is>
          <t>Pazar Doğrulama</t>
        </is>
      </c>
    </row>
    <row r="15">
      <c r="A15" s="250" t="n">
        <v>12</v>
      </c>
      <c r="B15" s="246" t="inlineStr">
        <is>
          <t>Pazar Doğrulama</t>
        </is>
      </c>
      <c r="C15" s="246" t="inlineStr">
        <is>
          <t>Pazar iddiası varsa</t>
        </is>
      </c>
      <c r="D15" s="246" t="inlineStr">
        <is>
          <t>Ücretli satış/pilot/fiyat kabul kanıtı</t>
        </is>
      </c>
      <c r="E15" s="246" t="inlineStr">
        <is>
          <t>Gerçek fiyat kabul kanıtı</t>
        </is>
      </c>
      <c r="F15" s="246" t="inlineStr">
        <is>
          <t>UYGULANMAZ / HATA</t>
        </is>
      </c>
      <c r="G15" s="24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52" customWidth="1" style="72" min="2" max="2"/>
    <col width="34" customWidth="1" style="72" min="3" max="3"/>
    <col width="16" customWidth="1" style="72" min="4" max="4"/>
  </cols>
  <sheetData>
    <row r="1" ht="28" customHeight="1" s="72">
      <c r="A1" s="251" t="inlineStr">
        <is>
          <t>NİHAİ KONTROL LİSTESİ — KANITSIZ GEÇİŞ YOK</t>
        </is>
      </c>
    </row>
    <row r="3" ht="24" customHeight="1" s="72">
      <c r="A3" s="252" t="inlineStr">
        <is>
          <t>Kontrol No</t>
        </is>
      </c>
      <c r="B3" s="252" t="inlineStr">
        <is>
          <t>Kontrol</t>
        </is>
      </c>
      <c r="C3" s="252" t="inlineStr">
        <is>
          <t>Beklenen</t>
        </is>
      </c>
      <c r="D3" s="252" t="inlineStr">
        <is>
          <t>Zorunlu Kapı?</t>
        </is>
      </c>
      <c r="E3" s="252" t="inlineStr">
        <is>
          <t>Sonuç</t>
        </is>
      </c>
    </row>
    <row r="4">
      <c r="A4" s="253" t="inlineStr">
        <is>
          <t>K01</t>
        </is>
      </c>
      <c r="B4" s="246" t="inlineStr">
        <is>
          <t>Kullanıcının açık talebi öncelikli mi?</t>
        </is>
      </c>
      <c r="C4" s="246" t="inlineStr">
        <is>
          <t>Evet</t>
        </is>
      </c>
      <c r="D4" s="246" t="inlineStr">
        <is>
          <t>EVET</t>
        </is>
      </c>
    </row>
    <row r="5">
      <c r="A5" s="253" t="inlineStr">
        <is>
          <t>K02</t>
        </is>
      </c>
      <c r="B5" s="246" t="inlineStr">
        <is>
          <t>Mevcut yapı, formüller ve tek gerçek kaynak korunuyor mu?</t>
        </is>
      </c>
      <c r="C5" s="246" t="inlineStr">
        <is>
          <t>Evet, değişiklik gerekçeli</t>
        </is>
      </c>
      <c r="D5" s="246" t="inlineStr">
        <is>
          <t>EVET</t>
        </is>
      </c>
    </row>
    <row r="6">
      <c r="A6" s="253" t="inlineStr">
        <is>
          <t>K03</t>
        </is>
      </c>
      <c r="B6" s="246" t="inlineStr">
        <is>
          <t>Üst aşama HATA ise alt aşama GEÇTİ engelleniyor mu?</t>
        </is>
      </c>
      <c r="C6" s="246" t="inlineStr">
        <is>
          <t>Evet</t>
        </is>
      </c>
      <c r="D6" s="246" t="inlineStr">
        <is>
          <t>EVET</t>
        </is>
      </c>
    </row>
    <row r="7">
      <c r="A7" s="253" t="inlineStr">
        <is>
          <t>K04</t>
        </is>
      </c>
      <c r="B7" s="246" t="inlineStr">
        <is>
          <t>Kanıt fiziksel çıktı ve içerik doğrulaması içeriyor mu?</t>
        </is>
      </c>
      <c r="C7" s="246" t="inlineStr">
        <is>
          <t>Evet</t>
        </is>
      </c>
      <c r="D7" s="246" t="inlineStr">
        <is>
          <t>EVET</t>
        </is>
      </c>
    </row>
    <row r="8">
      <c r="A8" s="253" t="inlineStr">
        <is>
          <t>K05</t>
        </is>
      </c>
      <c r="B8" s="246" t="inlineStr">
        <is>
          <t>Excel GUI erişimi olmadan kullanıcı görünümü GEÇTİ yazılıyor mu?</t>
        </is>
      </c>
      <c r="C8" s="246" t="inlineStr">
        <is>
          <t>Hayır</t>
        </is>
      </c>
      <c r="D8" s="246" t="inlineStr">
        <is>
          <t>EVET</t>
        </is>
      </c>
    </row>
    <row r="9">
      <c r="A9" s="253" t="inlineStr">
        <is>
          <t>K06</t>
        </is>
      </c>
      <c r="B9" s="246" t="inlineStr">
        <is>
          <t>NİHAİ yalnız GEÇTİ / gerekçeli UYGULANMAZ ile mi?</t>
        </is>
      </c>
      <c r="C9" s="246" t="inlineStr">
        <is>
          <t>Evet</t>
        </is>
      </c>
      <c r="D9" s="246" t="inlineStr">
        <is>
          <t>EVET</t>
        </is>
      </c>
    </row>
    <row r="10">
      <c r="A10" s="253" t="inlineStr">
        <is>
          <t>K07</t>
        </is>
      </c>
      <c r="B10" s="246" t="inlineStr">
        <is>
          <t>Ekonomik fiyat savunusu pazar doğrulamasından ayrılmış mı?</t>
        </is>
      </c>
      <c r="C10" s="246" t="inlineStr">
        <is>
          <t>Evet</t>
        </is>
      </c>
      <c r="D10" s="246" t="inlineStr">
        <is>
          <t>EVET</t>
        </is>
      </c>
    </row>
    <row r="11">
      <c r="A11" s="253" t="inlineStr">
        <is>
          <t>K08</t>
        </is>
      </c>
      <c r="B11" s="246" t="inlineStr">
        <is>
          <t>Prestij için gereksiz modül var mı?</t>
        </is>
      </c>
      <c r="C11" s="246" t="inlineStr">
        <is>
          <t>Hayır</t>
        </is>
      </c>
      <c r="D11" s="246" t="inlineStr">
        <is>
          <t>HAYIR</t>
        </is>
      </c>
    </row>
    <row r="12">
      <c r="A12" s="253" t="inlineStr">
        <is>
          <t>K09</t>
        </is>
      </c>
      <c r="B12" s="246" t="inlineStr">
        <is>
          <t>Excel sınırları açık mı?</t>
        </is>
      </c>
      <c r="C12" s="246" t="inlineStr">
        <is>
          <t>Evet</t>
        </is>
      </c>
      <c r="D12" s="246" t="inlineStr">
        <is>
          <t>EVET</t>
        </is>
      </c>
    </row>
    <row r="13">
      <c r="A13" s="253" t="inlineStr">
        <is>
          <t>K10</t>
        </is>
      </c>
      <c r="B13" s="246" t="inlineStr">
        <is>
          <t>Teknik kaynak korunuyor mu?</t>
        </is>
      </c>
      <c r="C13" s="246" t="inlineStr">
        <is>
          <t>Evet</t>
        </is>
      </c>
      <c r="D13" s="246" t="inlineStr">
        <is>
          <t>EVET</t>
        </is>
      </c>
    </row>
    <row r="14">
      <c r="A14" s="253" t="inlineStr">
        <is>
          <t>K11</t>
        </is>
      </c>
      <c r="B14" s="246" t="inlineStr">
        <is>
          <t>Kullanıcıya görünen tüm metinler Türkçe mi?</t>
        </is>
      </c>
      <c r="C14" s="246" t="inlineStr">
        <is>
          <t>Evet</t>
        </is>
      </c>
      <c r="D14" s="246" t="inlineStr">
        <is>
          <t>EVET</t>
        </is>
      </c>
    </row>
    <row r="15">
      <c r="A15" s="253" t="inlineStr">
        <is>
          <t>K12</t>
        </is>
      </c>
      <c r="B15" s="246" t="inlineStr">
        <is>
          <t>Her kullanıcı sayfasında üst başlık var mı?</t>
        </is>
      </c>
      <c r="C15" s="246" t="inlineStr">
        <is>
          <t>Evet</t>
        </is>
      </c>
      <c r="D15" s="246" t="inlineStr">
        <is>
          <t>EVET</t>
        </is>
      </c>
    </row>
    <row r="16">
      <c r="A16" s="253" t="inlineStr">
        <is>
          <t>K13</t>
        </is>
      </c>
      <c r="B16" s="246" t="inlineStr">
        <is>
          <t>Sayfalar arasında tutarlı renk sistemi var mı?</t>
        </is>
      </c>
      <c r="C16" s="246" t="inlineStr">
        <is>
          <t>Evet</t>
        </is>
      </c>
      <c r="D16" s="246" t="inlineStr">
        <is>
          <t>EVET</t>
        </is>
      </c>
    </row>
    <row r="17">
      <c r="A17" s="253" t="inlineStr">
        <is>
          <t>K14</t>
        </is>
      </c>
      <c r="B17" s="246" t="inlineStr">
        <is>
          <t>Alt sayfa sekmeleri işlevine göre renklendirilmiş mi?</t>
        </is>
      </c>
      <c r="C17" s="246" t="inlineStr">
        <is>
          <t>Evet</t>
        </is>
      </c>
      <c r="D17" s="246" t="inlineStr">
        <is>
          <t>EVET</t>
        </is>
      </c>
    </row>
    <row r="18">
      <c r="A18" s="253" t="inlineStr">
        <is>
          <t>K15</t>
        </is>
      </c>
      <c r="B18" s="246" t="inlineStr">
        <is>
          <t>İçerik blokları arasında gereksiz boş kolon var mı?</t>
        </is>
      </c>
      <c r="C18" s="246" t="inlineStr">
        <is>
          <t>Hayır</t>
        </is>
      </c>
      <c r="D18" s="246" t="inlineStr">
        <is>
          <t>EVET</t>
        </is>
      </c>
    </row>
    <row r="19">
      <c r="A19" s="253" t="inlineStr">
        <is>
          <t>K16</t>
        </is>
      </c>
      <c r="B19" s="246" t="inlineStr">
        <is>
          <t>Grafikler premium ve karar odaklı mı?</t>
        </is>
      </c>
      <c r="C19" s="246" t="inlineStr">
        <is>
          <t>Evet</t>
        </is>
      </c>
      <c r="D19" s="246" t="inlineStr">
        <is>
          <t>EVET</t>
        </is>
      </c>
    </row>
    <row r="20">
      <c r="A20" s="253" t="inlineStr">
        <is>
          <t>K17</t>
        </is>
      </c>
      <c r="B20" s="246" t="inlineStr">
        <is>
          <t>Varsayılan Excel grafiği / 3B / dekoratif grafik var mı?</t>
        </is>
      </c>
      <c r="C20" s="246" t="inlineStr">
        <is>
          <t>Hayır</t>
        </is>
      </c>
      <c r="D20" s="246" t="inlineStr">
        <is>
          <t>EVET</t>
        </is>
      </c>
    </row>
    <row r="21">
      <c r="A21" s="253" t="inlineStr">
        <is>
          <t>K18</t>
        </is>
      </c>
      <c r="B21" s="246" t="inlineStr">
        <is>
          <t>Finansal ürün Türkiye Tekdüzen Hesap Planı ile eşleşiyor mu?</t>
        </is>
      </c>
      <c r="C21" s="246" t="inlineStr">
        <is>
          <t>Evet</t>
        </is>
      </c>
      <c r="D21" s="246" t="inlineStr">
        <is>
          <t>EVET</t>
        </is>
      </c>
    </row>
    <row r="22">
      <c r="A22" s="253" t="inlineStr">
        <is>
          <t>K19</t>
        </is>
      </c>
      <c r="B22" s="246" t="inlineStr">
        <is>
          <t>Muhasebe satır adları Türkiye kullanımına uygun mu?</t>
        </is>
      </c>
      <c r="C22" s="246" t="inlineStr">
        <is>
          <t>Evet</t>
        </is>
      </c>
      <c r="D22" s="246" t="inlineStr">
        <is>
          <t>EVET</t>
        </is>
      </c>
    </row>
    <row r="23">
      <c r="A23" s="253" t="inlineStr">
        <is>
          <t>K20</t>
        </is>
      </c>
      <c r="B23" s="246" t="inlineStr">
        <is>
          <t>Formül hatası varken herhangi bir kontrol GEÇTİ gösteriyor mu?</t>
        </is>
      </c>
      <c r="C23" s="246" t="inlineStr">
        <is>
          <t>Hayır</t>
        </is>
      </c>
      <c r="D23" s="246" t="inlineStr">
        <is>
          <t>EVET</t>
        </is>
      </c>
    </row>
    <row r="24">
      <c r="A24" s="253" t="inlineStr">
        <is>
          <t>K21</t>
        </is>
      </c>
      <c r="B24" s="246" t="inlineStr">
        <is>
          <t>Karar Motoru boş veya yalnız başlık düzeyinde mi?</t>
        </is>
      </c>
      <c r="C24" s="246" t="inlineStr">
        <is>
          <t>Hayır</t>
        </is>
      </c>
      <c r="D24" s="246" t="inlineStr">
        <is>
          <t>EVET</t>
        </is>
      </c>
    </row>
    <row r="25">
      <c r="A25" s="253" t="inlineStr">
        <is>
          <t>K22</t>
        </is>
      </c>
      <c r="B25" s="246" t="inlineStr">
        <is>
          <t>Senaryo/Stres modülü gerçekten sonuç değiştiriyor mu?</t>
        </is>
      </c>
      <c r="C25" s="246" t="inlineStr">
        <is>
          <t>Evet</t>
        </is>
      </c>
      <c r="D25" s="246" t="inlineStr">
        <is>
          <t>EVET</t>
        </is>
      </c>
    </row>
    <row r="26">
      <c r="A26" s="253" t="inlineStr">
        <is>
          <t>K23</t>
        </is>
      </c>
      <c r="B26" s="246" t="inlineStr">
        <is>
          <t>Oracle/bağımsız doğrulama gerçek veri üretiyor mu?</t>
        </is>
      </c>
      <c r="C26" s="246" t="inlineStr">
        <is>
          <t>Evet veya gerekçeli UYGULANMAZ</t>
        </is>
      </c>
      <c r="D26" s="246" t="inlineStr">
        <is>
          <t>EVET</t>
        </is>
      </c>
    </row>
    <row r="27">
      <c r="A27" s="253" t="inlineStr">
        <is>
          <t>K24</t>
        </is>
      </c>
      <c r="B27" s="246" t="inlineStr">
        <is>
          <t>Yönetici ekranı 5 saniyede sorunu ve aksiyonu anlatıyor mu?</t>
        </is>
      </c>
      <c r="C27" s="246" t="inlineStr">
        <is>
          <t>Evet</t>
        </is>
      </c>
      <c r="D27" s="246" t="inlineStr">
        <is>
          <t>EVET</t>
        </is>
      </c>
    </row>
    <row r="28">
      <c r="A28" s="253" t="inlineStr">
        <is>
          <t>K25</t>
        </is>
      </c>
      <c r="B28" s="246" t="inlineStr">
        <is>
          <t>Her kritik kararın parasal etkisi ve önerilen aksiyonu var mı?</t>
        </is>
      </c>
      <c r="C28" s="246" t="inlineStr">
        <is>
          <t>Evet</t>
        </is>
      </c>
      <c r="D28" s="246" t="inlineStr">
        <is>
          <t>EVET</t>
        </is>
      </c>
    </row>
    <row r="29">
      <c r="A29" s="253" t="inlineStr">
        <is>
          <t>K26</t>
        </is>
      </c>
      <c r="B29" s="246" t="inlineStr">
        <is>
          <t>Ürün sayfası/ürün içi demo satın alma gerekçesini kanıtlıyor mu?</t>
        </is>
      </c>
      <c r="C29" s="246" t="inlineStr">
        <is>
          <t>Evet</t>
        </is>
      </c>
      <c r="D29" s="246" t="inlineStr">
        <is>
          <t>EVET</t>
        </is>
      </c>
    </row>
    <row r="30" ht="30" customHeight="1" s="72">
      <c r="A30" s="254" t="inlineStr">
        <is>
          <t>K27</t>
        </is>
      </c>
      <c r="B30" s="255" t="inlineStr">
        <is>
          <t>Buton görünümü verilen tüm alanlar gerçekten tıklanabilir ve doğru hedefe gidiyor mu?</t>
        </is>
      </c>
      <c r="C30" s="255" t="inlineStr">
        <is>
          <t>Evet</t>
        </is>
      </c>
      <c r="D30" s="246" t="inlineStr">
        <is>
          <t>EVET</t>
        </is>
      </c>
    </row>
    <row r="31" ht="30" customHeight="1" s="72">
      <c r="A31" s="254" t="inlineStr">
        <is>
          <t>K28</t>
        </is>
      </c>
      <c r="B31" s="255" t="inlineStr">
        <is>
          <t>Tüm görünür kullanıcı sheet tabları kurumsal kategori rengi taşıyor mu?</t>
        </is>
      </c>
      <c r="C31" s="255" t="inlineStr">
        <is>
          <t>Evet</t>
        </is>
      </c>
      <c r="D31" s="246" t="inlineStr">
        <is>
          <t>EVET</t>
        </is>
      </c>
    </row>
    <row r="32" ht="16" customHeight="1" s="72">
      <c r="A32" s="254" t="inlineStr">
        <is>
          <t>K29</t>
        </is>
      </c>
      <c r="B32" s="255" t="inlineStr">
        <is>
          <t>Sheet sırası tanımlı kullanıcı iş akışıyla birebir aynı mı?</t>
        </is>
      </c>
      <c r="C32" s="255" t="inlineStr">
        <is>
          <t>Evet</t>
        </is>
      </c>
      <c r="D32" s="246" t="inlineStr">
        <is>
          <t>EVET</t>
        </is>
      </c>
    </row>
    <row r="33" ht="30" customHeight="1" s="72">
      <c r="A33" s="254" t="inlineStr">
        <is>
          <t>K30</t>
        </is>
      </c>
      <c r="B33" s="255" t="inlineStr">
        <is>
          <t>Kurumsal renk paleti tutarlı mı; rastgele/gökkuşağı renk kullanımı var mı?</t>
        </is>
      </c>
      <c r="C33" s="255" t="inlineStr">
        <is>
          <t>Evet / Hayır</t>
        </is>
      </c>
      <c r="D33" s="246" t="inlineStr">
        <is>
          <t>EVET</t>
        </is>
      </c>
    </row>
    <row r="34" ht="30" customHeight="1" s="72">
      <c r="A34" s="254" t="inlineStr">
        <is>
          <t>K31</t>
        </is>
      </c>
      <c r="B34" s="255" t="inlineStr">
        <is>
          <t>Premium vitrin, altyapı kadar güçlü ve satış fiyatını destekleyecek seviyede mi?</t>
        </is>
      </c>
      <c r="C34" s="255" t="inlineStr">
        <is>
          <t>Evet</t>
        </is>
      </c>
      <c r="D34" s="24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2" min="1" max="1"/>
    <col width="36" customWidth="1" style="72" min="2" max="2"/>
    <col width="48" customWidth="1" style="72" min="3" max="3"/>
    <col width="34" customWidth="1" style="72" min="4" max="4"/>
    <col width="30" customWidth="1" style="72" min="5" max="5"/>
    <col width="16" customWidth="1" style="72" min="6" max="6"/>
  </cols>
  <sheetData>
    <row r="1" ht="28" customHeight="1" s="72">
      <c r="A1" s="256" t="inlineStr">
        <is>
          <t>GÖRSEL TASARIM VE PREMIUM EXCEL STANDARDI</t>
        </is>
      </c>
    </row>
    <row r="3" ht="24" customHeight="1" s="72">
      <c r="A3" s="257" t="inlineStr">
        <is>
          <t>Alan</t>
        </is>
      </c>
      <c r="B3" s="257" t="inlineStr">
        <is>
          <t>Zorunlu Kural</t>
        </is>
      </c>
      <c r="C3" s="257" t="inlineStr">
        <is>
          <t>Uygulama</t>
        </is>
      </c>
      <c r="D3" s="257" t="inlineStr">
        <is>
          <t>Yasak</t>
        </is>
      </c>
      <c r="E3" s="257" t="inlineStr">
        <is>
          <t>Kontrol</t>
        </is>
      </c>
      <c r="F3" s="257" t="inlineStr">
        <is>
          <t>Durum</t>
        </is>
      </c>
    </row>
    <row r="4" ht="28" customHeight="1" s="72">
      <c r="A4" s="258" t="inlineStr">
        <is>
          <t>Sayfa başlığı</t>
        </is>
      </c>
      <c r="B4" s="246" t="inlineStr">
        <is>
          <t>Her kullanıcı sayfasının en üstünde tek ve açık sayfa başlığı</t>
        </is>
      </c>
      <c r="C4" s="246" t="inlineStr">
        <is>
          <t>A1'den başlayan koyu lacivert başlık bandı</t>
        </is>
      </c>
      <c r="D4" s="246" t="inlineStr">
        <is>
          <t>Başlıksız sayfa</t>
        </is>
      </c>
      <c r="E4" s="246" t="inlineStr">
        <is>
          <t>Başlık kapsama = %100</t>
        </is>
      </c>
      <c r="F4" s="259" t="inlineStr">
        <is>
          <t>ZORUNLU</t>
        </is>
      </c>
    </row>
    <row r="5" ht="28" customHeight="1" s="72">
      <c r="A5" s="258" t="inlineStr">
        <is>
          <t>Sekme renkleri</t>
        </is>
      </c>
      <c r="B5" s="246" t="inlineStr">
        <is>
          <t>Sayfalar işlevine göre renk kodlanır</t>
        </is>
      </c>
      <c r="C5" s="246" t="inlineStr">
        <is>
          <t>Girdi=mavi, hesap=gri, rapor=lacivert, kontrol=kırmızı, kılavuz=altın</t>
        </is>
      </c>
      <c r="D5" s="246" t="inlineStr">
        <is>
          <t>Rastgele renk</t>
        </is>
      </c>
      <c r="E5" s="246" t="inlineStr">
        <is>
          <t>Renk semantiği tutarlı</t>
        </is>
      </c>
      <c r="F5" s="259" t="inlineStr">
        <is>
          <t>ZORUNLU</t>
        </is>
      </c>
    </row>
    <row r="6" ht="28" customHeight="1" s="72">
      <c r="A6" s="258" t="inlineStr">
        <is>
          <t>Kolon düzeni</t>
        </is>
      </c>
      <c r="B6" s="246" t="inlineStr">
        <is>
          <t>Veri blokları bitişik kolonlarda ilerler</t>
        </is>
      </c>
      <c r="C6" s="246" t="inlineStr">
        <is>
          <t>Gereksiz boş kolon bırakma; yalnız gerçek bölüm ayrımı varsa kontrollü boşluk</t>
        </is>
      </c>
      <c r="D6" s="246" t="inlineStr">
        <is>
          <t>A:C veri, D boş, E:F veri gibi parçalı yapı</t>
        </is>
      </c>
      <c r="E6" s="246" t="inlineStr">
        <is>
          <t>Boş kolon taraması</t>
        </is>
      </c>
      <c r="F6" s="259" t="inlineStr">
        <is>
          <t>ZORUNLU</t>
        </is>
      </c>
    </row>
    <row r="7" ht="16" customHeight="1" s="72">
      <c r="A7" s="258" t="inlineStr">
        <is>
          <t>Girdi hücreleri</t>
        </is>
      </c>
      <c r="B7" s="246" t="inlineStr">
        <is>
          <t>Kullanıcının değiştireceği alan açıkça görünür</t>
        </is>
      </c>
      <c r="C7" s="246" t="inlineStr">
        <is>
          <t>Açık sarı dolgu + mavi yazı</t>
        </is>
      </c>
      <c r="D7" s="246" t="inlineStr">
        <is>
          <t>Formülle aynı görünüm</t>
        </is>
      </c>
      <c r="E7" s="246" t="inlineStr">
        <is>
          <t>Girdi/formül ayrımı</t>
        </is>
      </c>
      <c r="F7" s="259" t="inlineStr">
        <is>
          <t>ZORUNLU</t>
        </is>
      </c>
    </row>
    <row r="8" ht="16" customHeight="1" s="72">
      <c r="A8" s="258" t="inlineStr">
        <is>
          <t>Formüller</t>
        </is>
      </c>
      <c r="B8" s="246" t="inlineStr">
        <is>
          <t>Hesap hücreleri kullanıcı girdisinden ayrılır</t>
        </is>
      </c>
      <c r="C8" s="246" t="inlineStr">
        <is>
          <t>Siyah yazı; sayfalar arası bağlantı yeşil yazı</t>
        </is>
      </c>
      <c r="D8" s="246" t="inlineStr">
        <is>
          <t>Hard-code gizleme</t>
        </is>
      </c>
      <c r="E8" s="246" t="inlineStr">
        <is>
          <t>Formül sınıfı kontrolü</t>
        </is>
      </c>
      <c r="F8" s="259" t="inlineStr">
        <is>
          <t>ZORUNLU</t>
        </is>
      </c>
    </row>
    <row r="9" ht="16" customHeight="1" s="72">
      <c r="A9" s="258" t="inlineStr">
        <is>
          <t>Grafik sayısı</t>
        </is>
      </c>
      <c r="B9" s="246" t="inlineStr">
        <is>
          <t>Yönetici ekranında en fazla 3 ana karar grafiği</t>
        </is>
      </c>
      <c r="C9" s="246" t="inlineStr">
        <is>
          <t>Trend, karşılaştırma, köprü/dağılım; iş kararına bağlı</t>
        </is>
      </c>
      <c r="D9" s="246" t="inlineStr">
        <is>
          <t>Grafik kalabalığı</t>
        </is>
      </c>
      <c r="E9" s="246" t="inlineStr">
        <is>
          <t>Grafik başına karar sorusu</t>
        </is>
      </c>
      <c r="F9" s="259" t="inlineStr">
        <is>
          <t>ZORUNLU</t>
        </is>
      </c>
    </row>
    <row r="10" ht="16" customHeight="1" s="72">
      <c r="A10" s="258" t="inlineStr">
        <is>
          <t>Grafik stili</t>
        </is>
      </c>
      <c r="B10" s="246" t="inlineStr">
        <is>
          <t>Kurumsal ve yüksek okunabilirlik</t>
        </is>
      </c>
      <c r="C10" s="246" t="inlineStr">
        <is>
          <t>Beyaz zemin, ince gridline, tek vurgu rengi, açık birim/başlık</t>
        </is>
      </c>
      <c r="D10" s="246" t="inlineStr">
        <is>
          <t>3B, gölge, neon, gökkuşağı renkleri</t>
        </is>
      </c>
      <c r="E10" s="246" t="inlineStr">
        <is>
          <t>Görsel inceleme</t>
        </is>
      </c>
      <c r="F10" s="259" t="inlineStr">
        <is>
          <t>ZORUNLU</t>
        </is>
      </c>
    </row>
    <row r="11" ht="16" customHeight="1" s="72">
      <c r="A11" s="258" t="inlineStr">
        <is>
          <t>Grafik başlığı</t>
        </is>
      </c>
      <c r="B11" s="246" t="inlineStr">
        <is>
          <t>Grafik 'neyi' değil 'ne anlama geldiğini' söyler</t>
        </is>
      </c>
      <c r="C11" s="246" t="inlineStr">
        <is>
          <t>Örn: 'Nakit 2028'de kritik eşiğin altına iniyor'</t>
        </is>
      </c>
      <c r="D11" s="246" t="inlineStr">
        <is>
          <t>'Nakit Grafiği' gibi anlamsız başlık</t>
        </is>
      </c>
      <c r="E11" s="246" t="inlineStr">
        <is>
          <t>Başlık karar testi</t>
        </is>
      </c>
      <c r="F11" s="259" t="inlineStr">
        <is>
          <t>ZORUNLU</t>
        </is>
      </c>
    </row>
    <row r="12" ht="16" customHeight="1" s="72">
      <c r="A12" s="258" t="inlineStr">
        <is>
          <t>Birimler</t>
        </is>
      </c>
      <c r="B12" s="246" t="inlineStr">
        <is>
          <t>Tüm finansal görsellerde birim açık</t>
        </is>
      </c>
      <c r="C12" s="246" t="inlineStr">
        <is>
          <t>TL, bin TL, milyon TL, %, gün, x</t>
        </is>
      </c>
      <c r="D12" s="246" t="inlineStr">
        <is>
          <t>Birim belirsizliği</t>
        </is>
      </c>
      <c r="E12" s="246" t="inlineStr">
        <is>
          <t>Birim kapsama %100</t>
        </is>
      </c>
      <c r="F12" s="259" t="inlineStr">
        <is>
          <t>ZORUNLU</t>
        </is>
      </c>
    </row>
    <row r="13" ht="16" customHeight="1" s="72">
      <c r="A13" s="258" t="inlineStr">
        <is>
          <t>Sıfır/negatif</t>
        </is>
      </c>
      <c r="B13" s="246" t="inlineStr">
        <is>
          <t>Finansal format standardı</t>
        </is>
      </c>
      <c r="C13" s="246" t="inlineStr">
        <is>
          <t>Sıfır='-', negatif kırmızı parantez</t>
        </is>
      </c>
      <c r="D13" s="246" t="inlineStr">
        <is>
          <t>-500 veya 0,00 kalabalığı</t>
        </is>
      </c>
      <c r="E13" s="246" t="inlineStr">
        <is>
          <t>Format kontrolü</t>
        </is>
      </c>
      <c r="F13" s="259" t="inlineStr">
        <is>
          <t>ZORUNLU</t>
        </is>
      </c>
    </row>
    <row r="14" ht="16" customHeight="1" s="72">
      <c r="A14" s="258" t="inlineStr">
        <is>
          <t>Yazı tipi</t>
        </is>
      </c>
      <c r="B14" s="246" t="inlineStr">
        <is>
          <t>Tek aile</t>
        </is>
      </c>
      <c r="C14" s="246" t="inlineStr">
        <is>
          <t>Aptos veya Segoe UI</t>
        </is>
      </c>
      <c r="D14" s="246" t="inlineStr">
        <is>
          <t>Karışık font</t>
        </is>
      </c>
      <c r="E14" s="246" t="inlineStr">
        <is>
          <t>Tek font kontrolü</t>
        </is>
      </c>
      <c r="F14" s="259" t="inlineStr">
        <is>
          <t>ZORUNLU</t>
        </is>
      </c>
    </row>
    <row r="15" ht="16" customHeight="1" s="72">
      <c r="A15" s="258" t="inlineStr">
        <is>
          <t>Izgara</t>
        </is>
      </c>
      <c r="B15" s="246" t="inlineStr">
        <is>
          <t>Kullanıcı sayfalarında kapalı</t>
        </is>
      </c>
      <c r="C15" s="246" t="inlineStr">
        <is>
          <t>Bölüm çizgileri ve kart sınırlarıyla düzen</t>
        </is>
      </c>
      <c r="D15" s="246" t="inlineStr">
        <is>
          <t>Excel varsayılan gridline</t>
        </is>
      </c>
      <c r="E15" s="246" t="inlineStr">
        <is>
          <t>Gridline kontrolü</t>
        </is>
      </c>
      <c r="F15" s="259" t="inlineStr">
        <is>
          <t>ZORUNLU</t>
        </is>
      </c>
    </row>
    <row r="16" ht="16" customHeight="1" s="72">
      <c r="A16" s="258" t="inlineStr">
        <is>
          <t>Boş durum</t>
        </is>
      </c>
      <c r="B16" s="246" t="inlineStr">
        <is>
          <t>Veri yokken temiz ve anlaşılır</t>
        </is>
      </c>
      <c r="C16" s="246" t="inlineStr">
        <is>
          <t>'Henüz veri yok' / 'Girdi bekleniyor'</t>
        </is>
      </c>
      <c r="D16" s="246" t="inlineStr">
        <is>
          <t>0 yığını / hata kodu</t>
        </is>
      </c>
      <c r="E16" s="246" t="inlineStr">
        <is>
          <t>Boş veri testi</t>
        </is>
      </c>
      <c r="F16" s="259" t="inlineStr">
        <is>
          <t>ZORUNLU</t>
        </is>
      </c>
    </row>
    <row r="17" ht="28" customHeight="1" s="72">
      <c r="A17" s="258" t="inlineStr">
        <is>
          <t>Başlangıç deneyimi</t>
        </is>
      </c>
      <c r="B17" s="246" t="inlineStr">
        <is>
          <t>İlk 5 saniyede ne gireceği ve neye bakacağı anlaşılır</t>
        </is>
      </c>
      <c r="C17" s="246" t="inlineStr">
        <is>
          <t>Girdi → durum → aksiyon akışı</t>
        </is>
      </c>
      <c r="D17" s="246" t="inlineStr">
        <is>
          <t>Kılavuz aramaya zorlama</t>
        </is>
      </c>
      <c r="E17" s="246" t="inlineStr">
        <is>
          <t>5 saniye testi</t>
        </is>
      </c>
      <c r="F17" s="259" t="inlineStr">
        <is>
          <t>ZORUNLU</t>
        </is>
      </c>
    </row>
    <row r="18" ht="30" customHeight="1" s="72">
      <c r="A18" s="254" t="inlineStr">
        <is>
          <t>Buton standardı</t>
        </is>
      </c>
      <c r="B18" s="255" t="inlineStr">
        <is>
          <t>Buton görünümü verilen her alan gerçek işlev taşır</t>
        </is>
      </c>
      <c r="C18" s="255" t="inlineStr">
        <is>
          <t>Sayfa içi HYPERLINK / gerçek aksiyon; tıklanınca hedefe gider</t>
        </is>
      </c>
      <c r="D18" s="255" t="inlineStr">
        <is>
          <t>İşlevsiz dekoratif buton / sahte navigasyon</t>
        </is>
      </c>
      <c r="E18" s="255" t="inlineStr">
        <is>
          <t>Butonların %100'ü tıklanabilir ve hedefi doğru</t>
        </is>
      </c>
      <c r="F18" s="259" t="inlineStr">
        <is>
          <t>ZORUNLU</t>
        </is>
      </c>
    </row>
    <row r="19" ht="32" customHeight="1" s="72">
      <c r="A19" s="254" t="inlineStr">
        <is>
          <t>Native sayfa sekmesi rengi</t>
        </is>
      </c>
      <c r="B19" s="255" t="inlineStr">
        <is>
          <t>Excel alt sheet tabları kurumsal paletle renklendirilir</t>
        </is>
      </c>
      <c r="C19" s="255" t="inlineStr">
        <is>
          <t>Başlangıç/özet=lacivert; girdiler=mavi; hesap/finans=teal; karar/kontrol=burgundy; doküman=gri</t>
        </is>
      </c>
      <c r="D19" s="255" t="inlineStr">
        <is>
          <t>Renksiz sekmeler veya rastgele/gökkuşağı renkleri</t>
        </is>
      </c>
      <c r="E19" s="255" t="inlineStr">
        <is>
          <t>Tüm görünür kullanıcı sheet tabları renkli</t>
        </is>
      </c>
      <c r="F19" s="259" t="inlineStr">
        <is>
          <t>ZORUNLU</t>
        </is>
      </c>
    </row>
    <row r="20" ht="60" customHeight="1" s="72">
      <c r="A20" s="254" t="inlineStr">
        <is>
          <t>İş akışı sıralaması</t>
        </is>
      </c>
      <c r="B20" s="255" t="inlineStr">
        <is>
          <t>Sayfalar kullanıcının çalışma sırasına göre fiziksel olarak dizilir</t>
        </is>
      </c>
      <c r="C20" s="2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5" t="inlineStr">
        <is>
          <t>Teknik oluşturma sırasına göre dağınık sheet dizilimi</t>
        </is>
      </c>
      <c r="E20" s="255" t="inlineStr">
        <is>
          <t>Sheet order = tanımlı workflow</t>
        </is>
      </c>
      <c r="F20" s="259" t="inlineStr">
        <is>
          <t>ZORUNLU</t>
        </is>
      </c>
    </row>
    <row r="21" ht="30" customHeight="1" s="72">
      <c r="A21" s="254" t="inlineStr">
        <is>
          <t>Kurumsal renk paleti</t>
        </is>
      </c>
      <c r="B21" s="255" t="inlineStr">
        <is>
          <t>Sekme, başlık, buton ve vurgu renkleri tek kurumsal paletten gelir</t>
        </is>
      </c>
      <c r="C21" s="255" t="inlineStr">
        <is>
          <t>Lacivert + mavi + teal + kontrollü burgundy/gri; kategori semantiği sabit</t>
        </is>
      </c>
      <c r="D21" s="255" t="inlineStr">
        <is>
          <t>Neon, rastgele yüksek doygunluk, her sayfada farklı bağımsız renk</t>
        </is>
      </c>
      <c r="E21" s="255" t="inlineStr">
        <is>
          <t>Palette token kontrolü</t>
        </is>
      </c>
      <c r="F21" s="259" t="inlineStr">
        <is>
          <t>ZORUNLU</t>
        </is>
      </c>
    </row>
    <row r="22" ht="45" customHeight="1" s="72">
      <c r="A22" s="254" t="inlineStr">
        <is>
          <t>Premium vitrin</t>
        </is>
      </c>
      <c r="B22" s="255" t="inlineStr">
        <is>
          <t>Görsel kalite ürün değerinin zorunlu parçasıdır</t>
        </is>
      </c>
      <c r="C22" s="255" t="inlineStr">
        <is>
          <t>Kaliteli grafik, gerçek KPI kartı, finansal hiyerarşi, tab rengi, fonksiyonel navigasyon</t>
        </is>
      </c>
      <c r="D22" s="255" t="inlineStr">
        <is>
          <t>Sadece doğru hesap yapıp çıplak/varsayılan Excel görünümü bırakmak</t>
        </is>
      </c>
      <c r="E22" s="255" t="inlineStr">
        <is>
          <t>Görsel release incelemesi</t>
        </is>
      </c>
      <c r="F22" s="25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2" min="1" max="1"/>
    <col width="40" customWidth="1" style="72" min="2" max="2"/>
    <col width="50" customWidth="1" style="72" min="3" max="3"/>
    <col width="30" customWidth="1" style="72" min="4" max="4"/>
    <col width="28" customWidth="1" style="72" min="5" max="5"/>
    <col width="26" customWidth="1" style="72" min="6" max="6"/>
  </cols>
  <sheetData>
    <row r="1" ht="28" customHeight="1" s="72">
      <c r="A1" s="260" t="inlineStr">
        <is>
          <t>TÜRKİYE MUHASEBE VE TEKDÜZEN HESAP PLANI STANDARDI</t>
        </is>
      </c>
    </row>
    <row r="3" ht="24" customHeight="1" s="72">
      <c r="A3" s="261" t="inlineStr">
        <is>
          <t>Konu</t>
        </is>
      </c>
      <c r="B3" s="261" t="inlineStr">
        <is>
          <t>Zorunlu Standart</t>
        </is>
      </c>
      <c r="C3" s="261" t="inlineStr">
        <is>
          <t>Örnek Türkçe Ad</t>
        </is>
      </c>
      <c r="D3" s="261" t="inlineStr">
        <is>
          <t>THP / Mantık</t>
        </is>
      </c>
      <c r="E3" s="261" t="inlineStr">
        <is>
          <t>Hata Riski</t>
        </is>
      </c>
      <c r="F3" s="261" t="inlineStr">
        <is>
          <t>Kontrol</t>
        </is>
      </c>
    </row>
    <row r="4">
      <c r="A4" s="262" t="inlineStr">
        <is>
          <t>Dil</t>
        </is>
      </c>
      <c r="B4" s="246" t="inlineStr">
        <is>
          <t>Kullanıcıya görünen finansal terimler Türkçe</t>
        </is>
      </c>
      <c r="C4" s="246" t="inlineStr">
        <is>
          <t>Hasılat, Satışların Maliyeti, Brüt Kâr, Faaliyet Giderleri</t>
        </is>
      </c>
      <c r="D4" s="246" t="inlineStr">
        <is>
          <t>Türk işletme kullanımına uygun</t>
        </is>
      </c>
      <c r="E4" s="246" t="inlineStr">
        <is>
          <t>İngilizce jargon</t>
        </is>
      </c>
      <c r="F4" s="246" t="inlineStr">
        <is>
          <t>Terminoloji taraması</t>
        </is>
      </c>
    </row>
    <row r="5" ht="28" customHeight="1" s="72">
      <c r="A5" s="262" t="inlineStr">
        <is>
          <t>Gelir Tablosu</t>
        </is>
      </c>
      <c r="B5" s="246" t="inlineStr">
        <is>
          <t>Türk sunum sırası kullanılır</t>
        </is>
      </c>
      <c r="C5" s="246" t="inlineStr">
        <is>
          <t>Net Satışlar → Satışların Maliyeti → Brüt Kâr → Faaliyet Giderleri → Faaliyet Kârı</t>
        </is>
      </c>
      <c r="D5" s="246" t="inlineStr">
        <is>
          <t>600/610/611; 620-623; 63x</t>
        </is>
      </c>
      <c r="E5" s="246" t="inlineStr">
        <is>
          <t>Yanlış sınıflama</t>
        </is>
      </c>
      <c r="F5" s="246" t="inlineStr">
        <is>
          <t>Hesap eşleme</t>
        </is>
      </c>
    </row>
    <row r="6" ht="28" customHeight="1" s="72">
      <c r="A6" s="262" t="inlineStr">
        <is>
          <t>Bilanço</t>
        </is>
      </c>
      <c r="B6" s="246" t="inlineStr">
        <is>
          <t>Dönen/Duran Varlık ve Kısa/Uzun Vadeli Yükümlülük ayrımı</t>
        </is>
      </c>
      <c r="C6" s="246" t="inlineStr">
        <is>
          <t>Hazır Değerler, Ticari Alacaklar, Stoklar, Mali Borçlar</t>
        </is>
      </c>
      <c r="D6" s="246" t="inlineStr">
        <is>
          <t>1xx / 2xx / 3xx / 4xx / 5xx</t>
        </is>
      </c>
      <c r="E6" s="246" t="inlineStr">
        <is>
          <t>Vade sınıfı hatası</t>
        </is>
      </c>
      <c r="F6" s="246" t="inlineStr">
        <is>
          <t>Bilanço eşitliği</t>
        </is>
      </c>
    </row>
    <row r="7">
      <c r="A7" s="262" t="inlineStr">
        <is>
          <t>Nakit Akışı</t>
        </is>
      </c>
      <c r="B7" s="246" t="inlineStr">
        <is>
          <t>İşletme/Yatırım/Finansman nakit akışları ayrılır</t>
        </is>
      </c>
      <c r="C7" s="246" t="inlineStr">
        <is>
          <t>Faaliyetlerden Nakit, Yatırım Harcamaları, Finansman Nakit Akışı</t>
        </is>
      </c>
      <c r="D7" s="246" t="inlineStr">
        <is>
          <t>Dolaylı/doğrudan yöntem açık seçilir</t>
        </is>
      </c>
      <c r="E7" s="246" t="inlineStr">
        <is>
          <t>Kâr = nakit sanılması</t>
        </is>
      </c>
      <c r="F7" s="246" t="inlineStr">
        <is>
          <t>Nakit devri</t>
        </is>
      </c>
    </row>
    <row r="8">
      <c r="A8" s="262" t="inlineStr">
        <is>
          <t>Ticari Alacaklar</t>
        </is>
      </c>
      <c r="B8" s="246" t="inlineStr">
        <is>
          <t>Cari ve vade mantığı korunur</t>
        </is>
      </c>
      <c r="C8" s="246" t="inlineStr">
        <is>
          <t>120 Alıcılar</t>
        </is>
      </c>
      <c r="D8" s="246" t="inlineStr">
        <is>
          <t>120</t>
        </is>
      </c>
      <c r="E8" s="246" t="inlineStr">
        <is>
          <t>Tahakkuk/nakit karışması</t>
        </is>
      </c>
      <c r="F8" s="246" t="inlineStr">
        <is>
          <t>Alacak devir kontrolü</t>
        </is>
      </c>
    </row>
    <row r="9">
      <c r="A9" s="262" t="inlineStr">
        <is>
          <t>Ticari Borçlar</t>
        </is>
      </c>
      <c r="B9" s="246" t="inlineStr">
        <is>
          <t>Tedarikçi borcu ayrı izlenir</t>
        </is>
      </c>
      <c r="C9" s="246" t="inlineStr">
        <is>
          <t>320 Satıcılar</t>
        </is>
      </c>
      <c r="D9" s="246" t="inlineStr">
        <is>
          <t>320</t>
        </is>
      </c>
      <c r="E9" s="246" t="inlineStr">
        <is>
          <t>Gider/ödeme karışması</t>
        </is>
      </c>
      <c r="F9" s="246" t="inlineStr">
        <is>
          <t>Borç devir kontrolü</t>
        </is>
      </c>
    </row>
    <row r="10">
      <c r="A10" s="262" t="inlineStr">
        <is>
          <t>Kasa/Banka</t>
        </is>
      </c>
      <c r="B10" s="246" t="inlineStr">
        <is>
          <t>Hazır değerler ayrı izlenir</t>
        </is>
      </c>
      <c r="C10" s="246" t="inlineStr">
        <is>
          <t>100 Kasa, 102 Bankalar</t>
        </is>
      </c>
      <c r="D10" s="246" t="inlineStr">
        <is>
          <t>100 / 102</t>
        </is>
      </c>
      <c r="E10" s="246" t="inlineStr">
        <is>
          <t>Virmanla toplam nakdin değişmesi</t>
        </is>
      </c>
      <c r="F10" s="246" t="inlineStr">
        <is>
          <t>Virman değişmezi</t>
        </is>
      </c>
    </row>
    <row r="11">
      <c r="A11" s="262" t="inlineStr">
        <is>
          <t>Stok</t>
        </is>
      </c>
      <c r="B11" s="246" t="inlineStr">
        <is>
          <t>Dikeye uygun stok türü</t>
        </is>
      </c>
      <c r="C11" s="246" t="inlineStr">
        <is>
          <t>150 İlk Madde ve Malzeme, 153 Ticari Mallar</t>
        </is>
      </c>
      <c r="D11" s="246" t="inlineStr">
        <is>
          <t>15x</t>
        </is>
      </c>
      <c r="E11" s="246" t="inlineStr">
        <is>
          <t>Maliyet ve stok hareketinin kopması</t>
        </is>
      </c>
      <c r="F11" s="246" t="inlineStr">
        <is>
          <t>Stok devri</t>
        </is>
      </c>
    </row>
    <row r="12" ht="28" customHeight="1" s="72">
      <c r="A12" s="262" t="inlineStr">
        <is>
          <t>Maddi Duran Varlık</t>
        </is>
      </c>
      <c r="B12" s="246" t="inlineStr">
        <is>
          <t>Yatırım harcaması ve amortisman bağlantılı</t>
        </is>
      </c>
      <c r="C12" s="246" t="inlineStr">
        <is>
          <t>253 Tesis Makine Cihazlar, 255 Demirbaşlar, 257 Birikmiş Amortismanlar</t>
        </is>
      </c>
      <c r="D12" s="246" t="inlineStr">
        <is>
          <t>25x</t>
        </is>
      </c>
      <c r="E12" s="246" t="inlineStr">
        <is>
          <t>Yatırım/gider karışması</t>
        </is>
      </c>
      <c r="F12" s="246" t="inlineStr">
        <is>
          <t>Net defter değeri devri</t>
        </is>
      </c>
    </row>
    <row r="13">
      <c r="A13" s="262" t="inlineStr">
        <is>
          <t>Mali Borçlar</t>
        </is>
      </c>
      <c r="B13" s="246" t="inlineStr">
        <is>
          <t>Kısa/uzun vadeli borç ayrımı</t>
        </is>
      </c>
      <c r="C13" s="246" t="inlineStr">
        <is>
          <t>300 Banka Kredileri / 400 Banka Kredileri</t>
        </is>
      </c>
      <c r="D13" s="246" t="inlineStr">
        <is>
          <t>300 / 400</t>
        </is>
      </c>
      <c r="E13" s="246" t="inlineStr">
        <is>
          <t>Vade sınıfı yanlış</t>
        </is>
      </c>
      <c r="F13" s="246" t="inlineStr">
        <is>
          <t>Borç devri</t>
        </is>
      </c>
    </row>
    <row r="14">
      <c r="A14" s="262" t="inlineStr">
        <is>
          <t>Özkaynak</t>
        </is>
      </c>
      <c r="B14" s="246" t="inlineStr">
        <is>
          <t>Sermaye ve geçmiş yıl kârları ayrı</t>
        </is>
      </c>
      <c r="C14" s="246" t="inlineStr">
        <is>
          <t>500 Sermaye, 570 Geçmiş Yıllar Kârları, 590 Dönem Net Kârı</t>
        </is>
      </c>
      <c r="D14" s="246" t="inlineStr">
        <is>
          <t>5xx</t>
        </is>
      </c>
      <c r="E14" s="246" t="inlineStr">
        <is>
          <t>Net kâr bağının kopması</t>
        </is>
      </c>
      <c r="F14" s="246" t="inlineStr">
        <is>
          <t>Özkaynak devri</t>
        </is>
      </c>
    </row>
    <row r="15">
      <c r="A15" s="262" t="inlineStr">
        <is>
          <t>Vergi</t>
        </is>
      </c>
      <c r="B15" s="246" t="inlineStr">
        <is>
          <t>Vergi satırları Türkiye mantığına uygun</t>
        </is>
      </c>
      <c r="C15" s="246" t="inlineStr">
        <is>
          <t>Dönem Vergi ve Diğer Yasal Yükümlülük Karşılıkları</t>
        </is>
      </c>
      <c r="D15" s="246" t="inlineStr">
        <is>
          <t>37x / ilgili vergi hesapları</t>
        </is>
      </c>
      <c r="E15" s="246" t="inlineStr">
        <is>
          <t>Vergi etkisinin yanlış dönemlenmesi</t>
        </is>
      </c>
      <c r="F15" s="246" t="inlineStr">
        <is>
          <t>Vergi sözleşmesi</t>
        </is>
      </c>
    </row>
    <row r="16">
      <c r="A16" s="262" t="inlineStr">
        <is>
          <t>İsim standardı</t>
        </is>
      </c>
      <c r="B16" s="246" t="inlineStr">
        <is>
          <t>Tablo ve sayfa adları Türkçe ve işlevsel</t>
        </is>
      </c>
      <c r="C16" s="246" t="inlineStr">
        <is>
          <t>GELİR_TABLOSU, BİLANÇO, NAKİT_AKISI, BORC_PLANI</t>
        </is>
      </c>
      <c r="D16" s="246" t="inlineStr">
        <is>
          <t>Tekrarlanabilir standart</t>
        </is>
      </c>
      <c r="E16" s="246" t="inlineStr">
        <is>
          <t>İngilizce/karma isim</t>
        </is>
      </c>
      <c r="F16" s="246" t="inlineStr">
        <is>
          <t>Sayfa ve tablo taraması</t>
        </is>
      </c>
    </row>
    <row r="17">
      <c r="A17" s="262" t="inlineStr">
        <is>
          <t>THP eşleme tablosu</t>
        </is>
      </c>
      <c r="B17" s="246" t="inlineStr">
        <is>
          <t>Her kritik satır en az bir THP hesabına bağlanır</t>
        </is>
      </c>
      <c r="C17" s="246" t="inlineStr">
        <is>
          <t>RaporSatırı → HesapKodu → HesapAdı → İşaret → Dönem</t>
        </is>
      </c>
      <c r="D17" s="246" t="inlineStr">
        <is>
          <t>Kaynak izlenebilirliği</t>
        </is>
      </c>
      <c r="E17" s="246" t="inlineStr">
        <is>
          <t>Rapordan rapora kaynak</t>
        </is>
      </c>
      <c r="F17" s="246" t="inlineStr">
        <is>
          <t>Eşleme kapsama %100</t>
        </is>
      </c>
    </row>
    <row r="18">
      <c r="A18" s="262" t="inlineStr">
        <is>
          <t>İstisna</t>
        </is>
      </c>
      <c r="B18" s="246" t="inlineStr">
        <is>
          <t>TFRS özel ürün varsa fark açık yazılır</t>
        </is>
      </c>
      <c r="C18" s="246" t="inlineStr">
        <is>
          <t>Tekdüzen raporlama ≠ TFRS finansal tablo sunumu</t>
        </is>
      </c>
      <c r="D18" s="246" t="inlineStr">
        <is>
          <t>Amaç belirtilir</t>
        </is>
      </c>
      <c r="E18" s="246" t="inlineStr">
        <is>
          <t>Standartları karıştırma</t>
        </is>
      </c>
      <c r="F18" s="24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2" min="1" max="1"/>
    <col width="32" customWidth="1" style="72" min="2" max="2"/>
    <col width="54" customWidth="1" style="72" min="3" max="3"/>
    <col width="34" customWidth="1" style="72" min="4" max="4"/>
    <col width="16" customWidth="1" style="72" min="6" max="6"/>
  </cols>
  <sheetData>
    <row r="1" ht="28" customHeight="1" s="72">
      <c r="A1" s="263" t="inlineStr">
        <is>
          <t>KARAR, GÜVEN VE SATIŞA HAZIRLIK STANDARDI</t>
        </is>
      </c>
    </row>
    <row r="3" ht="24" customHeight="1" s="72">
      <c r="A3" s="264" t="inlineStr">
        <is>
          <t>Alan</t>
        </is>
      </c>
      <c r="B3" s="264" t="inlineStr">
        <is>
          <t>Müşteri Sorusu</t>
        </is>
      </c>
      <c r="C3" s="264" t="inlineStr">
        <is>
          <t>Zorunlu Ürün Davranışı</t>
        </is>
      </c>
      <c r="D3" s="264" t="inlineStr">
        <is>
          <t>Kanıt</t>
        </is>
      </c>
      <c r="E3" s="264" t="inlineStr">
        <is>
          <t>Başarısızlık Durumu</t>
        </is>
      </c>
      <c r="F3" s="264" t="inlineStr">
        <is>
          <t>Kapı</t>
        </is>
      </c>
    </row>
    <row r="4">
      <c r="A4" s="265" t="inlineStr">
        <is>
          <t>5 saniye</t>
        </is>
      </c>
      <c r="B4" s="246" t="inlineStr">
        <is>
          <t>Bu ürün neyi çözüyor?</t>
        </is>
      </c>
      <c r="C4" s="246" t="inlineStr">
        <is>
          <t>İlk ekranda hedef kullanıcı + pahalı problem + sonuç görünür</t>
        </is>
      </c>
      <c r="D4" s="246" t="inlineStr">
        <is>
          <t>Başlık + alt mesaj + gerçek ekran</t>
        </is>
      </c>
      <c r="E4" s="246" t="inlineStr">
        <is>
          <t>Ürün yalnız teknik isim</t>
        </is>
      </c>
      <c r="F4" s="266" t="inlineStr">
        <is>
          <t>HATA</t>
        </is>
      </c>
    </row>
    <row r="5">
      <c r="A5" s="265" t="inlineStr">
        <is>
          <t>Acı</t>
        </is>
      </c>
      <c r="B5" s="246" t="inlineStr">
        <is>
          <t>Sorun bana neye mal oluyor?</t>
        </is>
      </c>
      <c r="C5" s="246" t="inlineStr">
        <is>
          <t>Mümkünse müşterinin kendi verisiyle parasal/zaman etkisi hesaplanır</t>
        </is>
      </c>
      <c r="D5" s="246" t="inlineStr">
        <is>
          <t>ROI/acı hesaplama yöntemi</t>
        </is>
      </c>
      <c r="E5" s="246" t="inlineStr">
        <is>
          <t>Uydurma tasarruf</t>
        </is>
      </c>
      <c r="F5" s="266" t="inlineStr">
        <is>
          <t>HATA</t>
        </is>
      </c>
    </row>
    <row r="6">
      <c r="A6" s="265" t="inlineStr">
        <is>
          <t>Karar</t>
        </is>
      </c>
      <c r="B6" s="246" t="inlineStr">
        <is>
          <t>Bu bilgiyle ne yapacağım?</t>
        </is>
      </c>
      <c r="C6" s="246" t="inlineStr">
        <is>
          <t>Her kritik KPI aksiyona bağlanır</t>
        </is>
      </c>
      <c r="D6" s="246" t="inlineStr">
        <is>
          <t>KARAR_KUYRUGU</t>
        </is>
      </c>
      <c r="E6" s="246" t="inlineStr">
        <is>
          <t>Sadece rapor</t>
        </is>
      </c>
      <c r="F6" s="266" t="inlineStr">
        <is>
          <t>HATA</t>
        </is>
      </c>
    </row>
    <row r="7">
      <c r="A7" s="265" t="inlineStr">
        <is>
          <t>Güven</t>
        </is>
      </c>
      <c r="B7" s="246" t="inlineStr">
        <is>
          <t>Bu sayıya neden inanayım?</t>
        </is>
      </c>
      <c r="C7" s="246" t="inlineStr">
        <is>
          <t>Kaynak, formül mantığı, kontrol ve son doğrulama görünür</t>
        </is>
      </c>
      <c r="D7" s="246" t="inlineStr">
        <is>
          <t>Kontroller + kaynak izi + sürüm</t>
        </is>
      </c>
      <c r="E7" s="246" t="inlineStr">
        <is>
          <t>Prestij kelimesi</t>
        </is>
      </c>
      <c r="F7" s="266" t="inlineStr">
        <is>
          <t>HATA</t>
        </is>
      </c>
    </row>
    <row r="8">
      <c r="A8" s="265" t="inlineStr">
        <is>
          <t>Referans</t>
        </is>
      </c>
      <c r="B8" s="246" t="inlineStr">
        <is>
          <t>Müşteri yorumu yoksa ne göstereceğim?</t>
        </is>
      </c>
      <c r="C8" s="246" t="inlineStr">
        <is>
          <t>Önce/Sonra + Karar Vakası + Hata Önleme Vakası üretilir</t>
        </is>
      </c>
      <c r="D8" s="246" t="inlineStr">
        <is>
          <t>Demo/örnek çıktı</t>
        </is>
      </c>
      <c r="E8" s="246" t="inlineStr">
        <is>
          <t>Kanıtsız iddia</t>
        </is>
      </c>
      <c r="F8" s="266" t="inlineStr">
        <is>
          <t>HATA</t>
        </is>
      </c>
    </row>
    <row r="9">
      <c r="A9" s="265" t="inlineStr">
        <is>
          <t>Senaryo</t>
        </is>
      </c>
      <c r="B9" s="246" t="inlineStr">
        <is>
          <t>Ne olursa işler bozulur?</t>
        </is>
      </c>
      <c r="C9" s="246" t="inlineStr">
        <is>
          <t>Baz/Aşağı/Yukarı veya uygun stres senaryosu</t>
        </is>
      </c>
      <c r="D9" s="246" t="inlineStr">
        <is>
          <t>Senaryo karşılaştırma</t>
        </is>
      </c>
      <c r="E9" s="246" t="inlineStr">
        <is>
          <t>Dekoratif senaryo</t>
        </is>
      </c>
      <c r="F9" s="266" t="inlineStr">
        <is>
          <t>HATA</t>
        </is>
      </c>
    </row>
    <row r="10">
      <c r="A10" s="265" t="inlineStr">
        <is>
          <t>Ters stres</t>
        </is>
      </c>
      <c r="B10" s="246" t="inlineStr">
        <is>
          <t>Hangi eşikte karar kırılır?</t>
        </is>
      </c>
      <c r="C10" s="246" t="inlineStr">
        <is>
          <t>En az bir kritik sürücü için kırılma eşiği</t>
        </is>
      </c>
      <c r="D10" s="246" t="inlineStr">
        <is>
          <t>Kırılma eşiği tablosu</t>
        </is>
      </c>
      <c r="E10" s="246" t="inlineStr">
        <is>
          <t>Sadece +/- %10</t>
        </is>
      </c>
      <c r="F10" s="266" t="inlineStr">
        <is>
          <t>UYARI/HATA</t>
        </is>
      </c>
    </row>
    <row r="11">
      <c r="A11" s="265" t="inlineStr">
        <is>
          <t>Hata tutarlılığı</t>
        </is>
      </c>
      <c r="B11" s="246" t="inlineStr">
        <is>
          <t>Formül hata verirse ne olur?</t>
        </is>
      </c>
      <c r="C11" s="246" t="inlineStr">
        <is>
          <t>Kontrol GEÇTİ veremez; BLOKE/HATA üretir</t>
        </is>
      </c>
      <c r="D11" s="246" t="inlineStr">
        <is>
          <t>Hata taraması</t>
        </is>
      </c>
      <c r="E11" s="246" t="inlineStr">
        <is>
          <t>Hata + GEÇTİ birlikte</t>
        </is>
      </c>
      <c r="F11" s="266" t="inlineStr">
        <is>
          <t>HATA</t>
        </is>
      </c>
    </row>
    <row r="12">
      <c r="A12" s="265" t="inlineStr">
        <is>
          <t>Karar motoru</t>
        </is>
      </c>
      <c r="B12" s="246" t="inlineStr">
        <is>
          <t>Ne oldu, neden oldu?</t>
        </is>
      </c>
      <c r="C12" s="246" t="inlineStr">
        <is>
          <t>Sorun + neden + parasal etki + aksiyon + son tarih</t>
        </is>
      </c>
      <c r="D12" s="246" t="inlineStr">
        <is>
          <t>Karar tablosu</t>
        </is>
      </c>
      <c r="E12" s="246" t="inlineStr">
        <is>
          <t>Boş sayfa / isim düzeyi modül</t>
        </is>
      </c>
      <c r="F12" s="266" t="inlineStr">
        <is>
          <t>HATA</t>
        </is>
      </c>
    </row>
    <row r="13">
      <c r="A13" s="265" t="inlineStr">
        <is>
          <t>Yönetici özeti</t>
        </is>
      </c>
      <c r="B13" s="246" t="inlineStr">
        <is>
          <t>5 saniyede ne görmeliyim?</t>
        </is>
      </c>
      <c r="C13" s="246" t="inlineStr">
        <is>
          <t>Bugün / ne değişti / ne bozulacak / neden / ne yapmalıyım / güven</t>
        </is>
      </c>
      <c r="D13" s="246" t="inlineStr">
        <is>
          <t>Yönetici özeti ekranı</t>
        </is>
      </c>
      <c r="E13" s="246" t="inlineStr">
        <is>
          <t>KPI kutusu yığını</t>
        </is>
      </c>
      <c r="F13" s="266" t="inlineStr">
        <is>
          <t>HATA</t>
        </is>
      </c>
    </row>
    <row r="14">
      <c r="A14" s="265" t="inlineStr">
        <is>
          <t>Teklif</t>
        </is>
      </c>
      <c r="B14" s="246" t="inlineStr">
        <is>
          <t>Neden satın almalıyım?</t>
        </is>
      </c>
      <c r="C14" s="246" t="inlineStr">
        <is>
          <t>Dosya özellikleri yerine sonuç ve kaçınılan maliyet sunulur</t>
        </is>
      </c>
      <c r="D14" s="246" t="inlineStr">
        <is>
          <t>Ürün sayfası kanıt eşlemesi</t>
        </is>
      </c>
      <c r="E14" s="246" t="inlineStr">
        <is>
          <t>Özellik listesiyle satış</t>
        </is>
      </c>
      <c r="F14" s="266" t="inlineStr">
        <is>
          <t>HATA</t>
        </is>
      </c>
    </row>
    <row r="15">
      <c r="A15" s="265" t="inlineStr">
        <is>
          <t>Dağıtım</t>
        </is>
      </c>
      <c r="B15" s="246" t="inlineStr">
        <is>
          <t>Beni nasıl bulacaklar?</t>
        </is>
      </c>
      <c r="C15" s="246" t="inlineStr">
        <is>
          <t>Sorun niyetine göre SEO sayfaları, iç bağlantı, temiz yapı, taranabilir metin</t>
        </is>
      </c>
      <c r="D15" s="246" t="inlineStr">
        <is>
          <t>Arama niyeti haritası</t>
        </is>
      </c>
      <c r="E15" s="246" t="inlineStr">
        <is>
          <t>Tek ürün sayfasına bağımlılık</t>
        </is>
      </c>
      <c r="F15" s="266" t="inlineStr">
        <is>
          <t>UYARI</t>
        </is>
      </c>
    </row>
    <row r="16" ht="28" customHeight="1" s="72">
      <c r="A16" s="265" t="inlineStr">
        <is>
          <t>LLM görünürlüğü</t>
        </is>
      </c>
      <c r="B16" s="246" t="inlineStr">
        <is>
          <t>AI ürünümü anlayabiliyor mu?</t>
        </is>
      </c>
      <c r="C16" s="246" t="inlineStr">
        <is>
          <t>Ürün tanımı, hedef kullanıcı, girdi/çıktı, metodoloji, sınırlar, SSS açık metindir</t>
        </is>
      </c>
      <c r="D16" s="246" t="inlineStr">
        <is>
          <t>Taranabilir ürün içeriği</t>
        </is>
      </c>
      <c r="E16" s="246" t="inlineStr">
        <is>
          <t>'AI SEO' iddiası</t>
        </is>
      </c>
      <c r="F16" s="266" t="inlineStr">
        <is>
          <t>UYARI</t>
        </is>
      </c>
    </row>
    <row r="17">
      <c r="A17" s="265" t="inlineStr">
        <is>
          <t>Satış kanalı</t>
        </is>
      </c>
      <c r="B17" s="246" t="inlineStr">
        <is>
          <t>Nerede satılmalı?</t>
        </is>
      </c>
      <c r="C17" s="246" t="inlineStr">
        <is>
          <t>Arama, LinkedIn, uzman/partner, demo/video; ürüne göre kanal seçilir</t>
        </is>
      </c>
      <c r="D17" s="246" t="inlineStr">
        <is>
          <t>Kanal matrisi</t>
        </is>
      </c>
      <c r="E17" s="246" t="inlineStr">
        <is>
          <t>Her ürüne aynı kanal</t>
        </is>
      </c>
      <c r="F17" s="266" t="inlineStr">
        <is>
          <t>UYARI</t>
        </is>
      </c>
    </row>
    <row r="18">
      <c r="A18" s="265" t="inlineStr">
        <is>
          <t>Fiyat</t>
        </is>
      </c>
      <c r="B18" s="246" t="inlineStr">
        <is>
          <t>Bu fiyat neden mantıklı?</t>
        </is>
      </c>
      <c r="C18" s="246" t="inlineStr">
        <is>
          <t>Fiyat, ekonomik karar değerine ve kanıtlanmış ürün derinliğine bağlanır</t>
        </is>
      </c>
      <c r="D18" s="246" t="inlineStr">
        <is>
          <t>Değer haritası + demo</t>
        </is>
      </c>
      <c r="E18" s="246" t="inlineStr">
        <is>
          <t>Sırf sayfa/formül sayısı</t>
        </is>
      </c>
      <c r="F18" s="266" t="inlineStr">
        <is>
          <t>HATA</t>
        </is>
      </c>
    </row>
    <row r="19">
      <c r="A19" s="265" t="inlineStr">
        <is>
          <t>Pazar kanıtı</t>
        </is>
      </c>
      <c r="B19" s="246" t="inlineStr">
        <is>
          <t>Piyasa gerçekten ödüyor mu?</t>
        </is>
      </c>
      <c r="C19" s="246" t="inlineStr">
        <is>
          <t>Satış/pilot/LOI/fiyat kabulü olmadan pazar doğrulandı yazılmaz</t>
        </is>
      </c>
      <c r="D19" s="246" t="inlineStr">
        <is>
          <t>Gerçek işlem kanıtı</t>
        </is>
      </c>
      <c r="E19" s="246" t="inlineStr">
        <is>
          <t>Tahmini talep = satış kabulü</t>
        </is>
      </c>
      <c r="F19" s="26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8" min="1" max="1"/>
  </cols>
  <sheetData>
    <row r="1" ht="25.5" customHeight="1" s="72">
      <c r="A1" s="99" t="inlineStr">
        <is>
          <t>KAPAK — Mutfak Kayıp/Kaçak Hesaplayıcı</t>
        </is>
      </c>
    </row>
    <row r="3" ht="30" customHeight="1" s="72">
      <c r="A3" s="100" t="inlineStr">
        <is>
          <t>Mutfak Kayıp/Kaçak Hesaplayıcı</t>
        </is>
      </c>
    </row>
    <row r="4" ht="15" customHeight="1" s="72">
      <c r="A4" s="101" t="inlineStr">
        <is>
          <t>Satılan ürünlerin reçetelerinden üretilen teorik hammadde tüketimini stok hareketiyle karşılaştırarak mutfaktaki kayıp ve kaçağı tutar ve oran olarak tespit edin; kritik kalemleri gerekçesiyle raporlayın.</t>
        </is>
      </c>
    </row>
    <row r="6" ht="15" customHeight="1" s="72">
      <c r="A6" s="102" t="inlineStr">
        <is>
          <t>Bu ürün ne sağlar?</t>
        </is>
      </c>
    </row>
    <row r="7" ht="15" customHeight="1" s="72">
      <c r="A7" s="103" t="inlineStr">
        <is>
          <t>• Ürün reçetesi ve satış adedi üzerinden teorik hammadde tüketiminin otomatik hesaplanması</t>
        </is>
      </c>
    </row>
    <row r="8" ht="15" customHeight="1" s="72">
      <c r="A8" s="103" t="inlineStr">
        <is>
          <t>• Dönem başı stok + alım − dönem sonu stok ile fiili tüketimin ve kayıp miktarının bulunması</t>
        </is>
      </c>
    </row>
    <row r="9" ht="15" customHeight="1" s="72">
      <c r="A9" s="103" t="inlineStr">
        <is>
          <t>• Hammadde bazında kayıp tutarı, kayıp oranı ve toplam kayıp/kaçak maliyetinin hesaplanması</t>
        </is>
      </c>
    </row>
    <row r="10" ht="15" customHeight="1" s="72">
      <c r="A10" s="103" t="inlineStr">
        <is>
          <t>• Kayıp yoğunlaşması, anomali, senaryo ve duyarlılık analizi ile karar kapısı ve aksiyon önerisi</t>
        </is>
      </c>
    </row>
    <row r="11" ht="15" customHeight="1" s="72">
      <c r="A11" s="103" t="inlineStr">
        <is>
          <t>• Kritik kayıp kalemlerinin KONTROL ALTINDA / İNCELE / KRİTİK KAYIP kararıyla önceliklendirilmesi</t>
        </is>
      </c>
    </row>
    <row r="14" ht="15" customHeight="1" s="72">
      <c r="A14" s="102" t="inlineStr">
        <is>
          <t>Kimler için?</t>
        </is>
      </c>
    </row>
    <row r="15" ht="15" customHeight="1" s="72">
      <c r="A15" s="103" t="inlineStr">
        <is>
          <t>• Kayıp ve kaçağı ölçmek isteyen restoran, kafe ve toplu yemek işletmeleri</t>
        </is>
      </c>
    </row>
    <row r="16" ht="15" customHeight="1" s="72">
      <c r="A16" s="103" t="inlineStr">
        <is>
          <t>• Stok ile satışı mutabakat etmek isteyen aşçıbaşı, mutfak şefi ve işletme sahipleri</t>
        </is>
      </c>
    </row>
    <row r="17" ht="15" customHeight="1" s="72">
      <c r="A17" s="103" t="inlineStr">
        <is>
          <t>• Kâr marjını düşüren kayıp kalemlerini kanıtla raporlamak isteyen finans yöneticileri</t>
        </is>
      </c>
    </row>
    <row r="18" ht="15" customHeight="1" s="72">
      <c r="A18" s="103" t="inlineStr">
        <is>
          <t>• Müşterisine stok ve kayıp kontrolü analizi öneren mali müşavirler</t>
        </is>
      </c>
    </row>
    <row r="20" ht="15" customHeight="1" s="72">
      <c r="A20" s="102" t="inlineStr">
        <is>
          <t>Nasıl başlanır?</t>
        </is>
      </c>
    </row>
    <row r="21" ht="15" customHeight="1" s="72">
      <c r="A21" s="103" t="inlineStr">
        <is>
          <t>1. HIZLI_BASLANGIC sayfasını okuyun. 2. URUN_LISTESI, RECETE ve STOK sayfalarına verilerinizi girin. 3. PANO ve KARAR sayfalarından kayıp/kaçak kararını izleyin.</t>
        </is>
      </c>
    </row>
    <row r="23" ht="15" customHeight="1" s="72">
      <c r="A23" s="104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3:AN3"/>
    <mergeCell ref="A8:AD8"/>
    <mergeCell ref="A18:AD18"/>
    <mergeCell ref="A23:P23"/>
    <mergeCell ref="A15:AD15"/>
    <mergeCell ref="A7:AD7"/>
    <mergeCell ref="A16:AD16"/>
    <mergeCell ref="A4:P4"/>
    <mergeCell ref="A11:AD11"/>
    <mergeCell ref="A10:AD10"/>
    <mergeCell ref="A21:P21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8" min="1" max="1"/>
    <col width="60" customWidth="1" style="98" min="2" max="2"/>
  </cols>
  <sheetData>
    <row r="1" ht="25.5" customHeight="1" s="72">
      <c r="A1" s="99" t="inlineStr">
        <is>
          <t>HIZLI BASLANGIC — Mutfak Kayıp/Kaçak Hesaplayıcı</t>
        </is>
      </c>
    </row>
    <row r="3" ht="15.75" customHeight="1" s="72">
      <c r="A3" s="105" t="inlineStr">
        <is>
          <t>Nasıl kullanılır?</t>
        </is>
      </c>
    </row>
    <row r="5" ht="15" customHeight="1" s="72">
      <c r="A5" s="106" t="inlineStr">
        <is>
          <t>Adım 1 — Ürün listesini girin</t>
        </is>
      </c>
      <c r="B5" s="103" t="inlineStr">
        <is>
          <t>URUN_LISTESI sayfasındaki sarı hücrelere ürün kodunu/adını, satış adedini ve birim satış fiyatını girin. Reçete maliyeti ve hasılat otomatik hesaplanır.</t>
        </is>
      </c>
    </row>
    <row r="6" ht="15" customHeight="1" s="72">
      <c r="A6" s="106" t="inlineStr">
        <is>
          <t>Adım 2 — Reçeteleri tanımlayın</t>
        </is>
      </c>
      <c r="B6" s="103" t="inlineStr">
        <is>
          <t>RECETE sayfasındaki sarı hücrelere her ürün için hammadde, birim, miktar ve birim maliyeti girin; teorik tüketim otomatik toplanır.</t>
        </is>
      </c>
    </row>
    <row r="7" ht="15" customHeight="1" s="72">
      <c r="A7" s="106" t="inlineStr">
        <is>
          <t>Adım 3 — Stok hareketini girin</t>
        </is>
      </c>
      <c r="B7" s="103" t="inlineStr">
        <is>
          <t>STOK sayfasında dönem başı, alım ve dönem sonu stokları girin; fiili tüketim ve kayıp/kaçak otomatik hesaplanır.</t>
        </is>
      </c>
    </row>
    <row r="8" ht="15" customHeight="1" s="72">
      <c r="A8" s="106" t="inlineStr">
        <is>
          <t>Adım 4 — Kararı değerlendirin</t>
        </is>
      </c>
      <c r="B8" s="103" t="inlineStr">
        <is>
          <t>KARAR sayfası kayıp oranını eşiklerle karşılaştırarak KONTROL ALTINDA / İNCELE / KRİTİK KAYIP kararını gerekçesiyle üretir.</t>
        </is>
      </c>
    </row>
    <row r="11" ht="15" customHeight="1" s="72">
      <c r="A11" s="107" t="inlineStr">
        <is>
          <t>Sık yapılan hatalar</t>
        </is>
      </c>
    </row>
    <row r="12" ht="15" customHeight="1" s="72">
      <c r="A12" s="108" t="inlineStr">
        <is>
          <t>• Kayıp oranını yüzde olarak 5 değil 0,05 girmek</t>
        </is>
      </c>
    </row>
    <row r="13" ht="15" customHeight="1" s="72">
      <c r="A13" s="108" t="inlineStr">
        <is>
          <t>• Dönem sonu stoku boş bırakmak (fiili tüketim hatalı çıkar)</t>
        </is>
      </c>
    </row>
    <row r="14" ht="15" customHeight="1" s="72">
      <c r="A14" s="108" t="inlineStr">
        <is>
          <t>• Stok birimleri ile reçete birimlerini karıştırmak (kg/gr uyumsuzluğu)</t>
        </is>
      </c>
    </row>
    <row r="16" ht="15" customHeight="1" s="72">
      <c r="A16" s="102" t="inlineStr">
        <is>
          <t>Sık sorulan sorular</t>
        </is>
      </c>
    </row>
    <row r="17" ht="31.5" customHeight="1" s="72">
      <c r="A17" s="103" t="inlineStr">
        <is>
          <t>Soru: Kayıp oranını nasıl girerim? Cevap: Oran girilmez; satış adedi, reçete ve stok verisinden otomatik hesaplanır.</t>
        </is>
      </c>
    </row>
    <row r="18" ht="31.5" customHeight="1" s="72">
      <c r="A18" s="103" t="inlineStr">
        <is>
          <t>Soru: Fiili tüketim nasıl bulunur? Cevap: Dönem başı stok + alım − dönem sonu stok formülüyle hesaplanır.</t>
        </is>
      </c>
    </row>
    <row r="19" ht="31.5" customHeight="1" s="72">
      <c r="A19" s="103" t="inlineStr">
        <is>
          <t>Soru: Teorik tüketim nasıl bulunur? Cevap: Her ürünün satış adedi, reçetedeki miktarla çarpılıp hammadde bazında toplanır.</t>
        </is>
      </c>
    </row>
    <row r="20" ht="31.5" customHeight="1" s="72">
      <c r="A20" s="103" t="inlineStr">
        <is>
          <t>Soru: Hammadde listesinde aradığım yoksa? Cevap: LISTELER sayfasındaki sarı hücreye yeni hammadde adını ekleyin.</t>
        </is>
      </c>
    </row>
    <row r="22" ht="15" customHeight="1" s="72">
      <c r="A22" s="109" t="inlineStr">
        <is>
          <t>Bu dosya karar destek aracıdır; kayıp tespiti sayım ve muhasebe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98" min="1" max="1"/>
    <col width="20" customWidth="1" style="98" min="2" max="2"/>
    <col width="16" customWidth="1" style="98" min="3" max="3"/>
    <col width="18" customWidth="1" style="98" min="4" max="6"/>
    <col width="16" customWidth="1" style="98" min="7" max="7"/>
    <col width="52" customWidth="1" style="98" min="8" max="8"/>
  </cols>
  <sheetData>
    <row r="1" ht="25.5" customHeight="1" s="72">
      <c r="A1" s="99" t="inlineStr">
        <is>
          <t>URUN LISTESI — Mutfak Kayıp/Kaçak Hesaplayıcı</t>
        </is>
      </c>
    </row>
    <row r="3" ht="30" customHeight="1" s="72">
      <c r="A3" s="110" t="inlineStr">
        <is>
          <t>Ürün Listesi ve Satışlar</t>
        </is>
      </c>
    </row>
    <row r="4" ht="122.25" customHeight="1" s="72">
      <c r="A4" s="101" t="inlineStr">
        <is>
          <t>Sarı hücrelere manuel veri girin. Reçete maliyeti, hasılat ve kâr katkısı otomatik hesaplanır.</t>
        </is>
      </c>
    </row>
    <row r="5" ht="30" customHeight="1" s="72">
      <c r="A5" s="111" t="inlineStr">
        <is>
          <t>Ürün Kodu</t>
        </is>
      </c>
      <c r="B5" s="111" t="inlineStr">
        <is>
          <t>Ürün Adı</t>
        </is>
      </c>
      <c r="C5" s="111" t="inlineStr">
        <is>
          <t>Satış Adedi (Adet)</t>
        </is>
      </c>
      <c r="D5" s="111" t="inlineStr">
        <is>
          <t>Birim Satış Fiyatı (TL)</t>
        </is>
      </c>
      <c r="E5" s="111" t="inlineStr">
        <is>
          <t>Reçete Maliyeti (TL)</t>
        </is>
      </c>
      <c r="F5" s="111" t="inlineStr">
        <is>
          <t>Satış Hasılatı (TL)</t>
        </is>
      </c>
      <c r="G5" s="111" t="inlineStr">
        <is>
          <t>Kâr Katkısı (TL)</t>
        </is>
      </c>
      <c r="H5" s="111" t="inlineStr">
        <is>
          <t>Açıklama</t>
        </is>
      </c>
    </row>
    <row r="6" ht="15" customHeight="1" s="72">
      <c r="A6" s="112" t="inlineStr">
        <is>
          <t>UR-01</t>
        </is>
      </c>
      <c r="B6" s="112" t="inlineStr">
        <is>
          <t>Klasik Pide</t>
        </is>
      </c>
      <c r="C6" s="113" t="n">
        <v>320</v>
      </c>
      <c r="D6" s="114" t="n">
        <v>120</v>
      </c>
      <c r="E6" s="115">
        <f>IF($A6="","",SUMIFS(tblRecete[Tutar (TL)],tblRecete[Ürün Kodu],$A6))</f>
        <v/>
      </c>
      <c r="F6" s="115">
        <f>IF($A6="","",$C6*$D6)</f>
        <v/>
      </c>
      <c r="G6" s="115">
        <f>IF($A6="","",$F6-$E6)</f>
        <v/>
      </c>
      <c r="H6" s="116">
        <f>IF($B6="","",CONCATENATE("Ürün: ",$B6," | Hasılat: ",TEXT($F6,"₺ #,##0")," | Kâr Katkısı: ",TEXT($G6,"₺ #,##0")))</f>
        <v/>
      </c>
    </row>
    <row r="7" ht="15" customHeight="1" s="72">
      <c r="A7" s="112" t="inlineStr">
        <is>
          <t>UR-02</t>
        </is>
      </c>
      <c r="B7" s="112" t="inlineStr">
        <is>
          <t>Lahmacun</t>
        </is>
      </c>
      <c r="C7" s="113" t="n">
        <v>410</v>
      </c>
      <c r="D7" s="114" t="n">
        <v>95</v>
      </c>
      <c r="E7" s="115">
        <f>IF($A7="","",SUMIFS(tblRecete[Tutar (TL)],tblRecete[Ürün Kodu],$A7))</f>
        <v/>
      </c>
      <c r="F7" s="115">
        <f>IF($A7="","",$C7*$D7)</f>
        <v/>
      </c>
      <c r="G7" s="115">
        <f>IF($A7="","",$F7-$E7)</f>
        <v/>
      </c>
      <c r="H7" s="116">
        <f>IF($B7="","",CONCATENATE("Ürün: ",$B7," | Hasılat: ",TEXT($F7,"₺ #,##0")," | Kâr Katkısı: ",TEXT($G7,"₺ #,##0")))</f>
        <v/>
      </c>
    </row>
    <row r="8" ht="15" customHeight="1" s="72">
      <c r="A8" s="112" t="inlineStr">
        <is>
          <t>UR-03</t>
        </is>
      </c>
      <c r="B8" s="112" t="inlineStr">
        <is>
          <t>Kumpir</t>
        </is>
      </c>
      <c r="C8" s="113" t="n">
        <v>280</v>
      </c>
      <c r="D8" s="114" t="n">
        <v>140</v>
      </c>
      <c r="E8" s="115">
        <f>IF($A8="","",SUMIFS(tblRecete[Tutar (TL)],tblRecete[Ürün Kodu],$A8))</f>
        <v/>
      </c>
      <c r="F8" s="115">
        <f>IF($A8="","",$C8*$D8)</f>
        <v/>
      </c>
      <c r="G8" s="115">
        <f>IF($A8="","",$F8-$E8)</f>
        <v/>
      </c>
      <c r="H8" s="116">
        <f>IF($B8="","",CONCATENATE("Ürün: ",$B8," | Hasılat: ",TEXT($F8,"₺ #,##0")," | Kâr Katkısı: ",TEXT($G8,"₺ #,##0")))</f>
        <v/>
      </c>
    </row>
    <row r="9" ht="15" customHeight="1" s="72">
      <c r="A9" s="112" t="inlineStr">
        <is>
          <t>UR-04</t>
        </is>
      </c>
      <c r="B9" s="112" t="inlineStr">
        <is>
          <t>Tost Sandviç</t>
        </is>
      </c>
      <c r="C9" s="113" t="n">
        <v>520</v>
      </c>
      <c r="D9" s="114" t="n">
        <v>75</v>
      </c>
      <c r="E9" s="115">
        <f>IF($A9="","",SUMIFS(tblRecete[Tutar (TL)],tblRecete[Ürün Kodu],$A9))</f>
        <v/>
      </c>
      <c r="F9" s="115">
        <f>IF($A9="","",$C9*$D9)</f>
        <v/>
      </c>
      <c r="G9" s="115">
        <f>IF($A9="","",$F9-$E9)</f>
        <v/>
      </c>
      <c r="H9" s="116">
        <f>IF($B9="","",CONCATENATE("Ürün: ",$B9," | Hasılat: ",TEXT($F9,"₺ #,##0")," | Kâr Katkısı: ",TEXT($G9,"₺ #,##0")))</f>
        <v/>
      </c>
    </row>
    <row r="10" ht="15" customHeight="1" s="72">
      <c r="A10" s="112" t="inlineStr">
        <is>
          <t>UR-05</t>
        </is>
      </c>
      <c r="B10" s="112" t="inlineStr">
        <is>
          <t>Çiğ Köfte Menü</t>
        </is>
      </c>
      <c r="C10" s="113" t="n">
        <v>190</v>
      </c>
      <c r="D10" s="114" t="n">
        <v>150</v>
      </c>
      <c r="E10" s="115">
        <f>IF($A10="","",SUMIFS(tblRecete[Tutar (TL)],tblRecete[Ürün Kodu],$A10))</f>
        <v/>
      </c>
      <c r="F10" s="115">
        <f>IF($A10="","",$C10*$D10)</f>
        <v/>
      </c>
      <c r="G10" s="115">
        <f>IF($A10="","",$F10-$E10)</f>
        <v/>
      </c>
      <c r="H10" s="116">
        <f>IF($B10="","",CONCATENATE("Ürün: ",$B10," | Hasılat: ",TEXT($F10,"₺ #,##0")," | Kâr Katkısı: ",TEXT($G10,"₺ #,##0")))</f>
        <v/>
      </c>
    </row>
    <row r="11" ht="15" customHeight="1" s="72">
      <c r="A11" s="112" t="inlineStr">
        <is>
          <t>UR-06</t>
        </is>
      </c>
      <c r="B11" s="112" t="inlineStr">
        <is>
          <t>İskender</t>
        </is>
      </c>
      <c r="C11" s="113" t="n">
        <v>230</v>
      </c>
      <c r="D11" s="114" t="n">
        <v>180</v>
      </c>
      <c r="E11" s="115">
        <f>IF($A11="","",SUMIFS(tblRecete[Tutar (TL)],tblRecete[Ürün Kodu],$A11))</f>
        <v/>
      </c>
      <c r="F11" s="115">
        <f>IF($A11="","",$C11*$D11)</f>
        <v/>
      </c>
      <c r="G11" s="115">
        <f>IF($A11="","",$F11-$E11)</f>
        <v/>
      </c>
      <c r="H11" s="116">
        <f>IF($B11="","",CONCATENATE("Ürün: ",$B11," | Hasılat: ",TEXT($F11,"₺ #,##0")," | Kâr Katkısı: ",TEXT($G11,"₺ #,##0")))</f>
        <v/>
      </c>
    </row>
    <row r="12" ht="15" customHeight="1" s="72">
      <c r="A12" s="117" t="n"/>
      <c r="B12" s="117" t="n"/>
      <c r="C12" s="118" t="n"/>
      <c r="D12" s="119" t="n"/>
      <c r="E12" s="115">
        <f>IF($A12="","",SUMIFS(tblRecete[Tutar (TL)],tblRecete[Ürün Kodu],$A12))</f>
        <v/>
      </c>
      <c r="F12" s="115">
        <f>IF($A12="","",$C12*$D12)</f>
        <v/>
      </c>
      <c r="G12" s="115">
        <f>IF($A12="","",$F12-$E12)</f>
        <v/>
      </c>
      <c r="H12" s="116">
        <f>IF($B12="","",CONCATENATE("Ürün: ",$B12," | Hasılat: ",TEXT($F12,"₺ #,##0")," | Kâr Katkısı: ",TEXT($G12,"₺ #,##0")))</f>
        <v/>
      </c>
    </row>
    <row r="13" ht="15" customHeight="1" s="72">
      <c r="A13" s="117" t="n"/>
      <c r="B13" s="117" t="n"/>
      <c r="C13" s="118" t="n"/>
      <c r="D13" s="119" t="n"/>
      <c r="E13" s="115">
        <f>IF($A13="","",SUMIFS(tblRecete[Tutar (TL)],tblRecete[Ürün Kodu],$A13))</f>
        <v/>
      </c>
      <c r="F13" s="115">
        <f>IF($A13="","",$C13*$D13)</f>
        <v/>
      </c>
      <c r="G13" s="115">
        <f>IF($A13="","",$F13-$E13)</f>
        <v/>
      </c>
      <c r="H13" s="116">
        <f>IF($B13="","",CONCATENATE("Ürün: ",$B13," | Hasılat: ",TEXT($F13,"₺ #,##0")," | Kâr Katkısı: ",TEXT($G13,"₺ #,##0")))</f>
        <v/>
      </c>
    </row>
    <row r="14" ht="15" customHeight="1" s="72">
      <c r="A14" s="117" t="n"/>
      <c r="B14" s="117" t="n"/>
      <c r="C14" s="118" t="n"/>
      <c r="D14" s="119" t="n"/>
      <c r="E14" s="115">
        <f>IF($A14="","",SUMIFS(tblRecete[Tutar (TL)],tblRecete[Ürün Kodu],$A14))</f>
        <v/>
      </c>
      <c r="F14" s="115">
        <f>IF($A14="","",$C14*$D14)</f>
        <v/>
      </c>
      <c r="G14" s="115">
        <f>IF($A14="","",$F14-$E14)</f>
        <v/>
      </c>
      <c r="H14" s="116">
        <f>IF($B14="","",CONCATENATE("Ürün: ",$B14," | Hasılat: ",TEXT($F14,"₺ #,##0")," | Kâr Katkısı: ",TEXT($G14,"₺ #,##0")))</f>
        <v/>
      </c>
    </row>
    <row r="15" ht="15" customHeight="1" s="72">
      <c r="A15" s="117" t="n"/>
      <c r="B15" s="117" t="n"/>
      <c r="C15" s="118" t="n"/>
      <c r="D15" s="119" t="n"/>
      <c r="E15" s="115">
        <f>IF($A15="","",SUMIFS(tblRecete[Tutar (TL)],tblRecete[Ürün Kodu],$A15))</f>
        <v/>
      </c>
      <c r="F15" s="115">
        <f>IF($A15="","",$C15*$D15)</f>
        <v/>
      </c>
      <c r="G15" s="115">
        <f>IF($A15="","",$F15-$E15)</f>
        <v/>
      </c>
      <c r="H15" s="116">
        <f>IF($B15="","",CONCATENATE("Ürün: ",$B15," | Hasılat: ",TEXT($F15,"₺ #,##0")," | Kâr Katkısı: ",TEXT($G15,"₺ #,##0")))</f>
        <v/>
      </c>
    </row>
    <row r="16" ht="15" customHeight="1" s="72">
      <c r="A16" s="117" t="n"/>
      <c r="B16" s="117" t="n"/>
      <c r="C16" s="118" t="n"/>
      <c r="D16" s="119" t="n"/>
      <c r="E16" s="115">
        <f>IF($A16="","",SUMIFS(tblRecete[Tutar (TL)],tblRecete[Ürün Kodu],$A16))</f>
        <v/>
      </c>
      <c r="F16" s="115">
        <f>IF($A16="","",$C16*$D16)</f>
        <v/>
      </c>
      <c r="G16" s="115">
        <f>IF($A16="","",$F16-$E16)</f>
        <v/>
      </c>
      <c r="H16" s="116">
        <f>IF($B16="","",CONCATENATE("Ürün: ",$B16," | Hasılat: ",TEXT($F16,"₺ #,##0")," | Kâr Katkısı: ",TEXT($G16,"₺ #,##0")))</f>
        <v/>
      </c>
    </row>
    <row r="17" ht="15" customHeight="1" s="72">
      <c r="A17" s="117" t="n"/>
      <c r="B17" s="117" t="n"/>
      <c r="C17" s="118" t="n"/>
      <c r="D17" s="119" t="n"/>
      <c r="E17" s="115">
        <f>IF($A17="","",SUMIFS(tblRecete[Tutar (TL)],tblRecete[Ürün Kodu],$A17))</f>
        <v/>
      </c>
      <c r="F17" s="115">
        <f>IF($A17="","",$C17*$D17)</f>
        <v/>
      </c>
      <c r="G17" s="115">
        <f>IF($A17="","",$F17-$E17)</f>
        <v/>
      </c>
      <c r="H17" s="116">
        <f>IF($B17="","",CONCATENATE("Ürün: ",$B17," | Hasılat: ",TEXT($F17,"₺ #,##0")," | Kâr Katkısı: ",TEXT($G17,"₺ #,##0")))</f>
        <v/>
      </c>
    </row>
    <row r="18" ht="15" customHeight="1" s="72">
      <c r="A18" s="117" t="n"/>
      <c r="B18" s="117" t="n"/>
      <c r="C18" s="118" t="n"/>
      <c r="D18" s="119" t="n"/>
      <c r="E18" s="115">
        <f>IF($A18="","",SUMIFS(tblRecete[Tutar (TL)],tblRecete[Ürün Kodu],$A18))</f>
        <v/>
      </c>
      <c r="F18" s="115">
        <f>IF($A18="","",$C18*$D18)</f>
        <v/>
      </c>
      <c r="G18" s="115">
        <f>IF($A18="","",$F18-$E18)</f>
        <v/>
      </c>
      <c r="H18" s="116">
        <f>IF($B18="","",CONCATENATE("Ürün: ",$B18," | Hasılat: ",TEXT($F18,"₺ #,##0")," | Kâr Katkısı: ",TEXT($G18,"₺ #,##0")))</f>
        <v/>
      </c>
    </row>
    <row r="19" ht="15" customHeight="1" s="72">
      <c r="A19" s="117" t="n"/>
      <c r="B19" s="117" t="n"/>
      <c r="C19" s="118" t="n"/>
      <c r="D19" s="119" t="n"/>
      <c r="E19" s="115">
        <f>IF($A19="","",SUMIFS(tblRecete[Tutar (TL)],tblRecete[Ürün Kodu],$A19))</f>
        <v/>
      </c>
      <c r="F19" s="115">
        <f>IF($A19="","",$C19*$D19)</f>
        <v/>
      </c>
      <c r="G19" s="115">
        <f>IF($A19="","",$F19-$E19)</f>
        <v/>
      </c>
      <c r="H19" s="116">
        <f>IF($B19="","",CONCATENATE("Ürün: ",$B19," | Hasılat: ",TEXT($F19,"₺ #,##0")," | Kâr Katkısı: ",TEXT($G19,"₺ #,##0")))</f>
        <v/>
      </c>
    </row>
    <row r="20" ht="15" customHeight="1" s="72">
      <c r="A20" s="117" t="n"/>
      <c r="B20" s="117" t="n"/>
      <c r="C20" s="118" t="n"/>
      <c r="D20" s="119" t="n"/>
      <c r="E20" s="115">
        <f>IF($A20="","",SUMIFS(tblRecete[Tutar (TL)],tblRecete[Ürün Kodu],$A20))</f>
        <v/>
      </c>
      <c r="F20" s="115">
        <f>IF($A20="","",$C20*$D20)</f>
        <v/>
      </c>
      <c r="G20" s="115">
        <f>IF($A20="","",$F20-$E20)</f>
        <v/>
      </c>
      <c r="H20" s="116">
        <f>IF($B20="","",CONCATENATE("Ürün: ",$B20," | Hasılat: ",TEXT($F20,"₺ #,##0")," | Kâr Katkısı: ",TEXT($G20,"₺ #,##0")))</f>
        <v/>
      </c>
    </row>
    <row r="21" ht="15" customHeight="1" s="72">
      <c r="A21" s="117" t="n"/>
      <c r="B21" s="117" t="n"/>
      <c r="C21" s="118" t="n"/>
      <c r="D21" s="119" t="n"/>
      <c r="E21" s="115">
        <f>IF($A21="","",SUMIFS(tblRecete[Tutar (TL)],tblRecete[Ürün Kodu],$A21))</f>
        <v/>
      </c>
      <c r="F21" s="115">
        <f>IF($A21="","",$C21*$D21)</f>
        <v/>
      </c>
      <c r="G21" s="115">
        <f>IF($A21="","",$F21-$E21)</f>
        <v/>
      </c>
      <c r="H21" s="116">
        <f>IF($B21="","",CONCATENATE("Ürün: ",$B21," | Hasılat: ",TEXT($F21,"₺ #,##0")," | Kâr Katkısı: ",TEXT($G21,"₺ #,##0")))</f>
        <v/>
      </c>
    </row>
    <row r="22" ht="15" customHeight="1" s="72">
      <c r="A22" s="117" t="n"/>
      <c r="B22" s="117" t="n"/>
      <c r="C22" s="118" t="n"/>
      <c r="D22" s="119" t="n"/>
      <c r="E22" s="115">
        <f>IF($A22="","",SUMIFS(tblRecete[Tutar (TL)],tblRecete[Ürün Kodu],$A22))</f>
        <v/>
      </c>
      <c r="F22" s="115">
        <f>IF($A22="","",$C22*$D22)</f>
        <v/>
      </c>
      <c r="G22" s="115">
        <f>IF($A22="","",$F22-$E22)</f>
        <v/>
      </c>
      <c r="H22" s="116">
        <f>IF($B22="","",CONCATENATE("Ürün: ",$B22," | Hasılat: ",TEXT($F22,"₺ #,##0")," | Kâr Katkısı: ",TEXT($G22,"₺ #,##0")))</f>
        <v/>
      </c>
    </row>
    <row r="23" ht="15" customHeight="1" s="72">
      <c r="A23" s="117" t="n"/>
      <c r="B23" s="117" t="n"/>
      <c r="C23" s="118" t="n"/>
      <c r="D23" s="119" t="n"/>
      <c r="E23" s="115">
        <f>IF($A23="","",SUMIFS(tblRecete[Tutar (TL)],tblRecete[Ürün Kodu],$A23))</f>
        <v/>
      </c>
      <c r="F23" s="115">
        <f>IF($A23="","",$C23*$D23)</f>
        <v/>
      </c>
      <c r="G23" s="115">
        <f>IF($A23="","",$F23-$E23)</f>
        <v/>
      </c>
      <c r="H23" s="116">
        <f>IF($B23="","",CONCATENATE("Ürün: ",$B23," | Hasılat: ",TEXT($F23,"₺ #,##0")," | Kâr Katkısı: ",TEXT($G23,"₺ #,##0")))</f>
        <v/>
      </c>
    </row>
    <row r="24" ht="15" customHeight="1" s="72">
      <c r="A24" s="117" t="n"/>
      <c r="B24" s="117" t="n"/>
      <c r="C24" s="118" t="n"/>
      <c r="D24" s="119" t="n"/>
      <c r="E24" s="115">
        <f>IF($A24="","",SUMIFS(tblRecete[Tutar (TL)],tblRecete[Ürün Kodu],$A24))</f>
        <v/>
      </c>
      <c r="F24" s="115">
        <f>IF($A24="","",$C24*$D24)</f>
        <v/>
      </c>
      <c r="G24" s="115">
        <f>IF($A24="","",$F24-$E24)</f>
        <v/>
      </c>
      <c r="H24" s="116">
        <f>IF($B24="","",CONCATENATE("Ürün: ",$B24," | Hasılat: ",TEXT($F24,"₺ #,##0")," | Kâr Katkısı: ",TEXT($G24,"₺ #,##0")))</f>
        <v/>
      </c>
    </row>
    <row r="25" ht="15" customHeight="1" s="72">
      <c r="A25" s="117" t="n"/>
      <c r="B25" s="117" t="n"/>
      <c r="C25" s="118" t="n"/>
      <c r="D25" s="119" t="n"/>
      <c r="E25" s="115">
        <f>IF($A25="","",SUMIFS(tblRecete[Tutar (TL)],tblRecete[Ürün Kodu],$A25))</f>
        <v/>
      </c>
      <c r="F25" s="115">
        <f>IF($A25="","",$C25*$D25)</f>
        <v/>
      </c>
      <c r="G25" s="115">
        <f>IF($A25="","",$F25-$E25)</f>
        <v/>
      </c>
      <c r="H25" s="116">
        <f>IF($B25="","",CONCATENATE("Ürün: ",$B25," | Hasılat: ",TEXT($F25,"₺ #,##0")," | Kâr Katkısı: ",TEXT($G25,"₺ #,##0")))</f>
        <v/>
      </c>
    </row>
    <row r="26" ht="15" customHeight="1" s="72">
      <c r="A26" s="117" t="n"/>
      <c r="B26" s="117" t="n"/>
      <c r="C26" s="118" t="n"/>
      <c r="D26" s="119" t="n"/>
      <c r="E26" s="115">
        <f>IF($A26="","",SUMIFS(tblRecete[Tutar (TL)],tblRecete[Ürün Kodu],$A26))</f>
        <v/>
      </c>
      <c r="F26" s="115">
        <f>IF($A26="","",$C26*$D26)</f>
        <v/>
      </c>
      <c r="G26" s="115">
        <f>IF($A26="","",$F26-$E26)</f>
        <v/>
      </c>
      <c r="H26" s="116">
        <f>IF($B26="","",CONCATENATE("Ürün: ",$B26," | Hasılat: ",TEXT($F26,"₺ #,##0")," | Kâr Katkısı: ",TEXT($G26,"₺ #,##0")))</f>
        <v/>
      </c>
    </row>
    <row r="27" ht="15" customHeight="1" s="72">
      <c r="A27" s="117" t="n"/>
      <c r="B27" s="117" t="n"/>
      <c r="C27" s="118" t="n"/>
      <c r="D27" s="119" t="n"/>
      <c r="E27" s="115">
        <f>IF($A27="","",SUMIFS(tblRecete[Tutar (TL)],tblRecete[Ürün Kodu],$A27))</f>
        <v/>
      </c>
      <c r="F27" s="115">
        <f>IF($A27="","",$C27*$D27)</f>
        <v/>
      </c>
      <c r="G27" s="115">
        <f>IF($A27="","",$F27-$E27)</f>
        <v/>
      </c>
      <c r="H27" s="116">
        <f>IF($B27="","",CONCATENATE("Ürün: ",$B27," | Hasılat: ",TEXT($F27,"₺ #,##0")," | Kâr Katkısı: ",TEXT($G27,"₺ #,##0")))</f>
        <v/>
      </c>
    </row>
    <row r="28" ht="15" customHeight="1" s="72">
      <c r="A28" s="117" t="n"/>
      <c r="B28" s="117" t="n"/>
      <c r="C28" s="118" t="n"/>
      <c r="D28" s="119" t="n"/>
      <c r="E28" s="115">
        <f>IF($A28="","",SUMIFS(tblRecete[Tutar (TL)],tblRecete[Ürün Kodu],$A28))</f>
        <v/>
      </c>
      <c r="F28" s="115">
        <f>IF($A28="","",$C28*$D28)</f>
        <v/>
      </c>
      <c r="G28" s="115">
        <f>IF($A28="","",$F28-$E28)</f>
        <v/>
      </c>
      <c r="H28" s="116">
        <f>IF($B28="","",CONCATENATE("Ürün: ",$B28," | Hasılat: ",TEXT($F28,"₺ #,##0")," | Kâr Katkısı: ",TEXT($G28,"₺ #,##0")))</f>
        <v/>
      </c>
    </row>
    <row r="29" ht="15" customHeight="1" s="72">
      <c r="A29" s="117" t="n"/>
      <c r="B29" s="117" t="n"/>
      <c r="C29" s="118" t="n"/>
      <c r="D29" s="119" t="n"/>
      <c r="E29" s="115">
        <f>IF($A29="","",SUMIFS(tblRecete[Tutar (TL)],tblRecete[Ürün Kodu],$A29))</f>
        <v/>
      </c>
      <c r="F29" s="115">
        <f>IF($A29="","",$C29*$D29)</f>
        <v/>
      </c>
      <c r="G29" s="115">
        <f>IF($A29="","",$F29-$E29)</f>
        <v/>
      </c>
      <c r="H29" s="116">
        <f>IF($B29="","",CONCATENATE("Ürün: ",$B29," | Hasılat: ",TEXT($F29,"₺ #,##0")," | Kâr Katkısı: ",TEXT($G29,"₺ #,##0")))</f>
        <v/>
      </c>
    </row>
    <row r="30" ht="15" customHeight="1" s="72">
      <c r="A30" s="117" t="n"/>
      <c r="B30" s="117" t="n"/>
      <c r="C30" s="118" t="n"/>
      <c r="D30" s="119" t="n"/>
      <c r="E30" s="115">
        <f>IF($A30="","",SUMIFS(tblRecete[Tutar (TL)],tblRecete[Ürün Kodu],$A30))</f>
        <v/>
      </c>
      <c r="F30" s="115">
        <f>IF($A30="","",$C30*$D30)</f>
        <v/>
      </c>
      <c r="G30" s="115">
        <f>IF($A30="","",$F30-$E30)</f>
        <v/>
      </c>
      <c r="H30" s="116">
        <f>IF($B30="","",CONCATENATE("Ürün: ",$B30," | Hasılat: ",TEXT($F30,"₺ #,##0")," | Kâr Katkısı: ",TEXT($G30,"₺ #,##0")))</f>
        <v/>
      </c>
    </row>
    <row r="31" ht="15" customHeight="1" s="72">
      <c r="A31" s="117" t="n"/>
      <c r="B31" s="117" t="n"/>
      <c r="C31" s="118" t="n"/>
      <c r="D31" s="119" t="n"/>
      <c r="E31" s="115">
        <f>IF($A31="","",SUMIFS(tblRecete[Tutar (TL)],tblRecete[Ürün Kodu],$A31))</f>
        <v/>
      </c>
      <c r="F31" s="115">
        <f>IF($A31="","",$C31*$D31)</f>
        <v/>
      </c>
      <c r="G31" s="115">
        <f>IF($A31="","",$F31-$E31)</f>
        <v/>
      </c>
      <c r="H31" s="116">
        <f>IF($B31="","",CONCATENATE("Ürün: ",$B31," | Hasılat: ",TEXT($F31,"₺ #,##0")," | Kâr Katkısı: ",TEXT($G31,"₺ #,##0")))</f>
        <v/>
      </c>
    </row>
    <row r="32" ht="15" customHeight="1" s="72">
      <c r="A32" s="117" t="n"/>
      <c r="B32" s="117" t="n"/>
      <c r="C32" s="118" t="n"/>
      <c r="D32" s="119" t="n"/>
      <c r="E32" s="115">
        <f>IF($A32="","",SUMIFS(tblRecete[Tutar (TL)],tblRecete[Ürün Kodu],$A32))</f>
        <v/>
      </c>
      <c r="F32" s="115">
        <f>IF($A32="","",$C32*$D32)</f>
        <v/>
      </c>
      <c r="G32" s="115">
        <f>IF($A32="","",$F32-$E32)</f>
        <v/>
      </c>
      <c r="H32" s="116">
        <f>IF($B32="","",CONCATENATE("Ürün: ",$B32," | Hasılat: ",TEXT($F32,"₺ #,##0")," | Kâr Katkısı: ",TEXT($G32,"₺ #,##0")))</f>
        <v/>
      </c>
    </row>
    <row r="33" ht="15" customHeight="1" s="72">
      <c r="A33" s="117" t="n"/>
      <c r="B33" s="117" t="n"/>
      <c r="C33" s="118" t="n"/>
      <c r="D33" s="119" t="n"/>
      <c r="E33" s="115">
        <f>IF($A33="","",SUMIFS(tblRecete[Tutar (TL)],tblRecete[Ürün Kodu],$A33))</f>
        <v/>
      </c>
      <c r="F33" s="115">
        <f>IF($A33="","",$C33*$D33)</f>
        <v/>
      </c>
      <c r="G33" s="115">
        <f>IF($A33="","",$F33-$E33)</f>
        <v/>
      </c>
      <c r="H33" s="116">
        <f>IF($B33="","",CONCATENATE("Ürün: ",$B33," | Hasılat: ",TEXT($F33,"₺ #,##0")," | Kâr Katkısı: ",TEXT($G33,"₺ #,##0")))</f>
        <v/>
      </c>
    </row>
    <row r="34" ht="15" customHeight="1" s="72">
      <c r="A34" s="117" t="n"/>
      <c r="B34" s="117" t="n"/>
      <c r="C34" s="118" t="n"/>
      <c r="D34" s="119" t="n"/>
      <c r="E34" s="115">
        <f>IF($A34="","",SUMIFS(tblRecete[Tutar (TL)],tblRecete[Ürün Kodu],$A34))</f>
        <v/>
      </c>
      <c r="F34" s="115">
        <f>IF($A34="","",$C34*$D34)</f>
        <v/>
      </c>
      <c r="G34" s="115">
        <f>IF($A34="","",$F34-$E34)</f>
        <v/>
      </c>
      <c r="H34" s="116">
        <f>IF($B34="","",CONCATENATE("Ürün: ",$B34," | Hasılat: ",TEXT($F34,"₺ #,##0")," | Kâr Katkısı: ",TEXT($G34,"₺ #,##0")))</f>
        <v/>
      </c>
    </row>
    <row r="35" ht="15" customHeight="1" s="72">
      <c r="A35" s="117" t="n"/>
      <c r="B35" s="117" t="n"/>
      <c r="C35" s="118" t="n"/>
      <c r="D35" s="119" t="n"/>
      <c r="E35" s="115">
        <f>IF($A35="","",SUMIFS(tblRecete[Tutar (TL)],tblRecete[Ürün Kodu],$A35))</f>
        <v/>
      </c>
      <c r="F35" s="115">
        <f>IF($A35="","",$C35*$D35)</f>
        <v/>
      </c>
      <c r="G35" s="115">
        <f>IF($A35="","",$F35-$E35)</f>
        <v/>
      </c>
      <c r="H35" s="116">
        <f>IF($B35="","",CONCATENATE("Ürün: ",$B35," | Hasılat: ",TEXT($F35,"₺ #,##0")," | Kâr Katkısı: ",TEXT($G35,"₺ #,##0")))</f>
        <v/>
      </c>
    </row>
    <row r="36" ht="15" customHeight="1" s="72">
      <c r="A36" s="117" t="n"/>
      <c r="B36" s="117" t="n"/>
      <c r="C36" s="118" t="n"/>
      <c r="D36" s="119" t="n"/>
      <c r="E36" s="115">
        <f>IF($A36="","",SUMIFS(tblRecete[Tutar (TL)],tblRecete[Ürün Kodu],$A36))</f>
        <v/>
      </c>
      <c r="F36" s="115">
        <f>IF($A36="","",$C36*$D36)</f>
        <v/>
      </c>
      <c r="G36" s="115">
        <f>IF($A36="","",$F36-$E36)</f>
        <v/>
      </c>
      <c r="H36" s="116">
        <f>IF($B36="","",CONCATENATE("Ürün: ",$B36," | Hasılat: ",TEXT($F36,"₺ #,##0")," | Kâr Katkısı: ",TEXT($G36,"₺ #,##0")))</f>
        <v/>
      </c>
    </row>
    <row r="37" ht="15" customHeight="1" s="72">
      <c r="A37" s="117" t="n"/>
      <c r="B37" s="117" t="n"/>
      <c r="C37" s="118" t="n"/>
      <c r="D37" s="119" t="n"/>
      <c r="E37" s="115">
        <f>IF($A37="","",SUMIFS(tblRecete[Tutar (TL)],tblRecete[Ürün Kodu],$A37))</f>
        <v/>
      </c>
      <c r="F37" s="115">
        <f>IF($A37="","",$C37*$D37)</f>
        <v/>
      </c>
      <c r="G37" s="115">
        <f>IF($A37="","",$F37-$E37)</f>
        <v/>
      </c>
      <c r="H37" s="116">
        <f>IF($B37="","",CONCATENATE("Ürün: ",$B37," | Hasılat: ",TEXT($F37,"₺ #,##0")," | Kâr Katkısı: ",TEXT($G37,"₺ #,##0")))</f>
        <v/>
      </c>
    </row>
    <row r="38" ht="15" customHeight="1" s="72">
      <c r="A38" s="117" t="n"/>
      <c r="B38" s="117" t="n"/>
      <c r="C38" s="118" t="n"/>
      <c r="D38" s="119" t="n"/>
      <c r="E38" s="115">
        <f>IF($A38="","",SUMIFS(tblRecete[Tutar (TL)],tblRecete[Ürün Kodu],$A38))</f>
        <v/>
      </c>
      <c r="F38" s="115">
        <f>IF($A38="","",$C38*$D38)</f>
        <v/>
      </c>
      <c r="G38" s="115">
        <f>IF($A38="","",$F38-$E38)</f>
        <v/>
      </c>
      <c r="H38" s="116">
        <f>IF($B38="","",CONCATENATE("Ürün: ",$B38," | Hasılat: ",TEXT($F38,"₺ #,##0")," | Kâr Katkısı: ",TEXT($G38,"₺ #,##0")))</f>
        <v/>
      </c>
    </row>
    <row r="39" ht="15" customHeight="1" s="72">
      <c r="A39" s="117" t="n"/>
      <c r="B39" s="117" t="n"/>
      <c r="C39" s="118" t="n"/>
      <c r="D39" s="119" t="n"/>
      <c r="E39" s="115">
        <f>IF($A39="","",SUMIFS(tblRecete[Tutar (TL)],tblRecete[Ürün Kodu],$A39))</f>
        <v/>
      </c>
      <c r="F39" s="115">
        <f>IF($A39="","",$C39*$D39)</f>
        <v/>
      </c>
      <c r="G39" s="115">
        <f>IF($A39="","",$F39-$E39)</f>
        <v/>
      </c>
      <c r="H39" s="116">
        <f>IF($B39="","",CONCATENATE("Ürün: ",$B39," | Hasılat: ",TEXT($F39,"₺ #,##0")," | Kâr Katkısı: ",TEXT($G39,"₺ #,##0")))</f>
        <v/>
      </c>
    </row>
    <row r="40" ht="15" customHeight="1" s="72">
      <c r="A40" s="117" t="n"/>
      <c r="B40" s="117" t="n"/>
      <c r="C40" s="118" t="n"/>
      <c r="D40" s="119" t="n"/>
      <c r="E40" s="115">
        <f>IF($A40="","",SUMIFS(tblRecete[Tutar (TL)],tblRecete[Ürün Kodu],$A40))</f>
        <v/>
      </c>
      <c r="F40" s="115">
        <f>IF($A40="","",$C40*$D40)</f>
        <v/>
      </c>
      <c r="G40" s="115">
        <f>IF($A40="","",$F40-$E40)</f>
        <v/>
      </c>
      <c r="H40" s="116">
        <f>IF($B40="","",CONCATENATE("Ürün: ",$B40," | Hasılat: ",TEXT($F40,"₺ #,##0")," | Kâr Katkısı: ",TEXT($G40,"₺ #,##0")))</f>
        <v/>
      </c>
    </row>
    <row r="41" ht="15" customHeight="1" s="72">
      <c r="A41" s="117" t="n"/>
      <c r="B41" s="117" t="n"/>
      <c r="C41" s="118" t="n"/>
      <c r="D41" s="119" t="n"/>
      <c r="E41" s="115">
        <f>IF($A41="","",SUMIFS(tblRecete[Tutar (TL)],tblRecete[Ürün Kodu],$A41))</f>
        <v/>
      </c>
      <c r="F41" s="115">
        <f>IF($A41="","",$C41*$D41)</f>
        <v/>
      </c>
      <c r="G41" s="115">
        <f>IF($A41="","",$F41-$E41)</f>
        <v/>
      </c>
      <c r="H41" s="116">
        <f>IF($B41="","",CONCATENATE("Ürün: ",$B41," | Hasılat: ",TEXT($F41,"₺ #,##0")," | Kâr Katkısı: ",TEXT($G41,"₺ #,##0")))</f>
        <v/>
      </c>
    </row>
    <row r="42" ht="15" customHeight="1" s="72">
      <c r="A42" s="117" t="n"/>
      <c r="B42" s="117" t="n"/>
      <c r="C42" s="118" t="n"/>
      <c r="D42" s="119" t="n"/>
      <c r="E42" s="115">
        <f>IF($A42="","",SUMIFS(tblRecete[Tutar (TL)],tblRecete[Ürün Kodu],$A42))</f>
        <v/>
      </c>
      <c r="F42" s="115">
        <f>IF($A42="","",$C42*$D42)</f>
        <v/>
      </c>
      <c r="G42" s="115">
        <f>IF($A42="","",$F42-$E42)</f>
        <v/>
      </c>
      <c r="H42" s="116">
        <f>IF($B42="","",CONCATENATE("Ürün: ",$B42," | Hasılat: ",TEXT($F42,"₺ #,##0")," | Kâr Katkısı: ",TEXT($G42,"₺ #,##0")))</f>
        <v/>
      </c>
    </row>
    <row r="43" ht="15" customHeight="1" s="72">
      <c r="A43" s="117" t="n"/>
      <c r="B43" s="117" t="n"/>
      <c r="C43" s="118" t="n"/>
      <c r="D43" s="119" t="n"/>
      <c r="E43" s="115">
        <f>IF($A43="","",SUMIFS(tblRecete[Tutar (TL)],tblRecete[Ürün Kodu],$A43))</f>
        <v/>
      </c>
      <c r="F43" s="115">
        <f>IF($A43="","",$C43*$D43)</f>
        <v/>
      </c>
      <c r="G43" s="115">
        <f>IF($A43="","",$F43-$E43)</f>
        <v/>
      </c>
      <c r="H43" s="116">
        <f>IF($B43="","",CONCATENATE("Ürün: ",$B43," | Hasılat: ",TEXT($F43,"₺ #,##0")," | Kâr Katkısı: ",TEXT($G43,"₺ #,##0")))</f>
        <v/>
      </c>
    </row>
    <row r="44" ht="15" customHeight="1" s="72">
      <c r="A44" s="117" t="n"/>
      <c r="B44" s="117" t="n"/>
      <c r="C44" s="118" t="n"/>
      <c r="D44" s="119" t="n"/>
      <c r="E44" s="115">
        <f>IF($A44="","",SUMIFS(tblRecete[Tutar (TL)],tblRecete[Ürün Kodu],$A44))</f>
        <v/>
      </c>
      <c r="F44" s="115">
        <f>IF($A44="","",$C44*$D44)</f>
        <v/>
      </c>
      <c r="G44" s="115">
        <f>IF($A44="","",$F44-$E44)</f>
        <v/>
      </c>
      <c r="H44" s="116">
        <f>IF($B44="","",CONCATENATE("Ürün: ",$B44," | Hasılat: ",TEXT($F44,"₺ #,##0")," | Kâr Katkısı: ",TEXT($G44,"₺ #,##0")))</f>
        <v/>
      </c>
    </row>
    <row r="45" ht="15" customHeight="1" s="72">
      <c r="A45" s="117" t="n"/>
      <c r="B45" s="117" t="n"/>
      <c r="C45" s="118" t="n"/>
      <c r="D45" s="119" t="n"/>
      <c r="E45" s="115">
        <f>IF($A45="","",SUMIFS(tblRecete[Tutar (TL)],tblRecete[Ürün Kodu],$A45))</f>
        <v/>
      </c>
      <c r="F45" s="115">
        <f>IF($A45="","",$C45*$D45)</f>
        <v/>
      </c>
      <c r="G45" s="115">
        <f>IF($A45="","",$F45-$E45)</f>
        <v/>
      </c>
      <c r="H45" s="116">
        <f>IF($B45="","",CONCATENATE("Ürün: ",$B45," | Hasılat: ",TEXT($F45,"₺ #,##0")," | Kâr Katkısı: ",TEXT($G45,"₺ #,##0")))</f>
        <v/>
      </c>
    </row>
    <row r="46" ht="15" customHeight="1" s="72">
      <c r="A46" s="117" t="n"/>
      <c r="B46" s="117" t="n"/>
      <c r="C46" s="118" t="n"/>
      <c r="D46" s="119" t="n"/>
      <c r="E46" s="115">
        <f>IF($A46="","",SUMIFS(tblRecete[Tutar (TL)],tblRecete[Ürün Kodu],$A46))</f>
        <v/>
      </c>
      <c r="F46" s="115">
        <f>IF($A46="","",$C46*$D46)</f>
        <v/>
      </c>
      <c r="G46" s="115">
        <f>IF($A46="","",$F46-$E46)</f>
        <v/>
      </c>
      <c r="H46" s="116">
        <f>IF($B46="","",CONCATENATE("Ürün: ",$B46," | Hasılat: ",TEXT($F46,"₺ #,##0")," | Kâr Katkısı: ",TEXT($G46,"₺ #,##0")))</f>
        <v/>
      </c>
    </row>
    <row r="47" ht="15" customHeight="1" s="72">
      <c r="A47" s="117" t="n"/>
      <c r="B47" s="117" t="n"/>
      <c r="C47" s="118" t="n"/>
      <c r="D47" s="119" t="n"/>
      <c r="E47" s="115">
        <f>IF($A47="","",SUMIFS(tblRecete[Tutar (TL)],tblRecete[Ürün Kodu],$A47))</f>
        <v/>
      </c>
      <c r="F47" s="115">
        <f>IF($A47="","",$C47*$D47)</f>
        <v/>
      </c>
      <c r="G47" s="115">
        <f>IF($A47="","",$F47-$E47)</f>
        <v/>
      </c>
      <c r="H47" s="116">
        <f>IF($B47="","",CONCATENATE("Ürün: ",$B47," | Hasılat: ",TEXT($F47,"₺ #,##0")," | Kâr Katkısı: ",TEXT($G47,"₺ #,##0")))</f>
        <v/>
      </c>
    </row>
    <row r="48" ht="15" customHeight="1" s="72">
      <c r="A48" s="117" t="n"/>
      <c r="B48" s="117" t="n"/>
      <c r="C48" s="118" t="n"/>
      <c r="D48" s="119" t="n"/>
      <c r="E48" s="115">
        <f>IF($A48="","",SUMIFS(tblRecete[Tutar (TL)],tblRecete[Ürün Kodu],$A48))</f>
        <v/>
      </c>
      <c r="F48" s="115">
        <f>IF($A48="","",$C48*$D48)</f>
        <v/>
      </c>
      <c r="G48" s="115">
        <f>IF($A48="","",$F48-$E48)</f>
        <v/>
      </c>
      <c r="H48" s="116">
        <f>IF($B48="","",CONCATENATE("Ürün: ",$B48," | Hasılat: ",TEXT($F48,"₺ #,##0")," | Kâr Katkısı: ",TEXT($G48,"₺ #,##0")))</f>
        <v/>
      </c>
    </row>
    <row r="49" ht="15" customHeight="1" s="72">
      <c r="A49" s="117" t="n"/>
      <c r="B49" s="117" t="n"/>
      <c r="C49" s="118" t="n"/>
      <c r="D49" s="119" t="n"/>
      <c r="E49" s="115">
        <f>IF($A49="","",SUMIFS(tblRecete[Tutar (TL)],tblRecete[Ürün Kodu],$A49))</f>
        <v/>
      </c>
      <c r="F49" s="115">
        <f>IF($A49="","",$C49*$D49)</f>
        <v/>
      </c>
      <c r="G49" s="115">
        <f>IF($A49="","",$F49-$E49)</f>
        <v/>
      </c>
      <c r="H49" s="116">
        <f>IF($B49="","",CONCATENATE("Ürün: ",$B49," | Hasılat: ",TEXT($F49,"₺ #,##0")," | Kâr Katkısı: ",TEXT($G49,"₺ #,##0")))</f>
        <v/>
      </c>
    </row>
    <row r="50" ht="15" customHeight="1" s="72">
      <c r="A50" s="117" t="n"/>
      <c r="B50" s="117" t="n"/>
      <c r="C50" s="118" t="n"/>
      <c r="D50" s="119" t="n"/>
      <c r="E50" s="115">
        <f>IF($A50="","",SUMIFS(tblRecete[Tutar (TL)],tblRecete[Ürün Kodu],$A50))</f>
        <v/>
      </c>
      <c r="F50" s="115">
        <f>IF($A50="","",$C50*$D50)</f>
        <v/>
      </c>
      <c r="G50" s="115">
        <f>IF($A50="","",$F50-$E50)</f>
        <v/>
      </c>
      <c r="H50" s="116">
        <f>IF($B50="","",CONCATENATE("Ürün: ",$B50," | Hasılat: ",TEXT($F50,"₺ #,##0")," | Kâr Katkısı: ",TEXT($G50,"₺ #,##0")))</f>
        <v/>
      </c>
    </row>
    <row r="51" ht="15" customHeight="1" s="72">
      <c r="A51" s="117" t="n"/>
      <c r="B51" s="117" t="n"/>
      <c r="C51" s="118" t="n"/>
      <c r="D51" s="119" t="n"/>
      <c r="E51" s="115">
        <f>IF($A51="","",SUMIFS(tblRecete[Tutar (TL)],tblRecete[Ürün Kodu],$A51))</f>
        <v/>
      </c>
      <c r="F51" s="115">
        <f>IF($A51="","",$C51*$D51)</f>
        <v/>
      </c>
      <c r="G51" s="115">
        <f>IF($A51="","",$F51-$E51)</f>
        <v/>
      </c>
      <c r="H51" s="116">
        <f>IF($B51="","",CONCATENATE("Ürün: ",$B51," | Hasılat: ",TEXT($F51,"₺ #,##0")," | Kâr Katkısı: ",TEXT($G51,"₺ #,##0")))</f>
        <v/>
      </c>
    </row>
    <row r="52" ht="15" customHeight="1" s="72">
      <c r="A52" s="117" t="n"/>
      <c r="B52" s="117" t="n"/>
      <c r="C52" s="118" t="n"/>
      <c r="D52" s="119" t="n"/>
      <c r="E52" s="115">
        <f>IF($A52="","",SUMIFS(tblRecete[Tutar (TL)],tblRecete[Ürün Kodu],$A52))</f>
        <v/>
      </c>
      <c r="F52" s="115">
        <f>IF($A52="","",$C52*$D52)</f>
        <v/>
      </c>
      <c r="G52" s="115">
        <f>IF($A52="","",$F52-$E52)</f>
        <v/>
      </c>
      <c r="H52" s="116">
        <f>IF($B52="","",CONCATENATE("Ürün: ",$B52," | Hasılat: ",TEXT($F52,"₺ #,##0")," | Kâr Katkısı: ",TEXT($G52,"₺ #,##0")))</f>
        <v/>
      </c>
    </row>
    <row r="53" ht="15" customHeight="1" s="72">
      <c r="A53" s="117" t="n"/>
      <c r="B53" s="117" t="n"/>
      <c r="C53" s="118" t="n"/>
      <c r="D53" s="119" t="n"/>
      <c r="E53" s="115">
        <f>IF($A53="","",SUMIFS(tblRecete[Tutar (TL)],tblRecete[Ürün Kodu],$A53))</f>
        <v/>
      </c>
      <c r="F53" s="115">
        <f>IF($A53="","",$C53*$D53)</f>
        <v/>
      </c>
      <c r="G53" s="115">
        <f>IF($A53="","",$F53-$E53)</f>
        <v/>
      </c>
      <c r="H53" s="116">
        <f>IF($B53="","",CONCATENATE("Ürün: ",$B53," | Hasılat: ",TEXT($F53,"₺ #,##0")," | Kâr Katkısı: ",TEXT($G53,"₺ #,##0")))</f>
        <v/>
      </c>
    </row>
    <row r="54" ht="15" customHeight="1" s="72">
      <c r="A54" s="117" t="n"/>
      <c r="B54" s="117" t="n"/>
      <c r="C54" s="118" t="n"/>
      <c r="D54" s="119" t="n"/>
      <c r="E54" s="115">
        <f>IF($A54="","",SUMIFS(tblRecete[Tutar (TL)],tblRecete[Ürün Kodu],$A54))</f>
        <v/>
      </c>
      <c r="F54" s="115">
        <f>IF($A54="","",$C54*$D54)</f>
        <v/>
      </c>
      <c r="G54" s="115">
        <f>IF($A54="","",$F54-$E54)</f>
        <v/>
      </c>
      <c r="H54" s="116">
        <f>IF($B54="","",CONCATENATE("Ürün: ",$B54," | Hasılat: ",TEXT($F54,"₺ #,##0")," | Kâr Katkısı: ",TEXT($G54,"₺ #,##0")))</f>
        <v/>
      </c>
    </row>
    <row r="55" ht="15" customHeight="1" s="72">
      <c r="A55" s="117" t="n"/>
      <c r="B55" s="117" t="n"/>
      <c r="C55" s="118" t="n"/>
      <c r="D55" s="119" t="n"/>
      <c r="E55" s="115">
        <f>IF($A55="","",SUMIFS(tblRecete[Tutar (TL)],tblRecete[Ürün Kodu],$A55))</f>
        <v/>
      </c>
      <c r="F55" s="115">
        <f>IF($A55="","",$C55*$D55)</f>
        <v/>
      </c>
      <c r="G55" s="115">
        <f>IF($A55="","",$F55-$E55)</f>
        <v/>
      </c>
      <c r="H55" s="116">
        <f>IF($B55="","",CONCATENATE("Ürün: ",$B55," | Hasılat: ",TEXT($F55,"₺ #,##0")," | Kâr Katkısı: ",TEXT($G55,"₺ #,##0")))</f>
        <v/>
      </c>
    </row>
    <row r="56" ht="15" customHeight="1" s="72">
      <c r="A56" s="117" t="n"/>
      <c r="B56" s="117" t="n"/>
      <c r="C56" s="118" t="n"/>
      <c r="D56" s="119" t="n"/>
      <c r="E56" s="115">
        <f>IF($A56="","",SUMIFS(tblRecete[Tutar (TL)],tblRecete[Ürün Kodu],$A56))</f>
        <v/>
      </c>
      <c r="F56" s="115">
        <f>IF($A56="","",$C56*$D56)</f>
        <v/>
      </c>
      <c r="G56" s="115">
        <f>IF($A56="","",$F56-$E56)</f>
        <v/>
      </c>
      <c r="H56" s="116">
        <f>IF($B56="","",CONCATENATE("Ürün: ",$B56," | Hasılat: ",TEXT($F56,"₺ #,##0")," | Kâr Katkısı: ",TEXT($G56,"₺ #,##0")))</f>
        <v/>
      </c>
    </row>
    <row r="57" ht="15" customHeight="1" s="72">
      <c r="A57" s="117" t="n"/>
      <c r="B57" s="117" t="n"/>
      <c r="C57" s="118" t="n"/>
      <c r="D57" s="119" t="n"/>
      <c r="E57" s="115">
        <f>IF($A57="","",SUMIFS(tblRecete[Tutar (TL)],tblRecete[Ürün Kodu],$A57))</f>
        <v/>
      </c>
      <c r="F57" s="115">
        <f>IF($A57="","",$C57*$D57)</f>
        <v/>
      </c>
      <c r="G57" s="115">
        <f>IF($A57="","",$F57-$E57)</f>
        <v/>
      </c>
      <c r="H57" s="116">
        <f>IF($B57="","",CONCATENATE("Ürün: ",$B57," | Hasılat: ",TEXT($F57,"₺ #,##0")," | Kâr Katkısı: ",TEXT($G57,"₺ #,##0")))</f>
        <v/>
      </c>
    </row>
    <row r="58" ht="15" customHeight="1" s="72">
      <c r="A58" s="117" t="n"/>
      <c r="B58" s="117" t="n"/>
      <c r="C58" s="118" t="n"/>
      <c r="D58" s="119" t="n"/>
      <c r="E58" s="115">
        <f>IF($A58="","",SUMIFS(tblRecete[Tutar (TL)],tblRecete[Ürün Kodu],$A58))</f>
        <v/>
      </c>
      <c r="F58" s="115">
        <f>IF($A58="","",$C58*$D58)</f>
        <v/>
      </c>
      <c r="G58" s="115">
        <f>IF($A58="","",$F58-$E58)</f>
        <v/>
      </c>
      <c r="H58" s="116">
        <f>IF($B58="","",CONCATENATE("Ürün: ",$B58," | Hasılat: ",TEXT($F58,"₺ #,##0")," | Kâr Katkısı: ",TEXT($G58,"₺ #,##0")))</f>
        <v/>
      </c>
    </row>
    <row r="59" ht="15" customHeight="1" s="72">
      <c r="A59" s="117" t="n"/>
      <c r="B59" s="117" t="n"/>
      <c r="C59" s="118" t="n"/>
      <c r="D59" s="119" t="n"/>
      <c r="E59" s="115">
        <f>IF($A59="","",SUMIFS(tblRecete[Tutar (TL)],tblRecete[Ürün Kodu],$A59))</f>
        <v/>
      </c>
      <c r="F59" s="115">
        <f>IF($A59="","",$C59*$D59)</f>
        <v/>
      </c>
      <c r="G59" s="115">
        <f>IF($A59="","",$F59-$E59)</f>
        <v/>
      </c>
      <c r="H59" s="116">
        <f>IF($B59="","",CONCATENATE("Ürün: ",$B59," | Hasılat: ",TEXT($F59,"₺ #,##0")," | Kâr Katkısı: ",TEXT($G59,"₺ #,##0")))</f>
        <v/>
      </c>
    </row>
    <row r="60" ht="15" customHeight="1" s="72">
      <c r="A60" s="117" t="n"/>
      <c r="B60" s="117" t="n"/>
      <c r="C60" s="118" t="n"/>
      <c r="D60" s="119" t="n"/>
      <c r="E60" s="115">
        <f>IF($A60="","",SUMIFS(tblRecete[Tutar (TL)],tblRecete[Ürün Kodu],$A60))</f>
        <v/>
      </c>
      <c r="F60" s="115">
        <f>IF($A60="","",$C60*$D60)</f>
        <v/>
      </c>
      <c r="G60" s="115">
        <f>IF($A60="","",$F60-$E60)</f>
        <v/>
      </c>
      <c r="H60" s="116">
        <f>IF($B60="","",CONCATENATE("Ürün: ",$B60," | Hasılat: ",TEXT($F60,"₺ #,##0")," | Kâr Katkısı: ",TEXT($G60,"₺ #,##0")))</f>
        <v/>
      </c>
    </row>
    <row r="61" ht="15" customHeight="1" s="72">
      <c r="A61" s="117" t="n"/>
      <c r="B61" s="117" t="n"/>
      <c r="C61" s="118" t="n"/>
      <c r="D61" s="119" t="n"/>
      <c r="E61" s="120" t="n"/>
      <c r="F61" s="120" t="n"/>
      <c r="G61" s="120" t="n"/>
    </row>
    <row r="62" ht="15" customHeight="1" s="72">
      <c r="A62" s="117" t="n"/>
      <c r="B62" s="117" t="n"/>
      <c r="C62" s="118" t="n"/>
      <c r="D62" s="119" t="n"/>
      <c r="E62" s="120" t="n"/>
      <c r="F62" s="120" t="n"/>
      <c r="G62" s="120" t="n"/>
    </row>
    <row r="63" ht="15" customHeight="1" s="72">
      <c r="A63" s="117" t="n"/>
      <c r="B63" s="117" t="n"/>
      <c r="C63" s="118" t="n"/>
      <c r="D63" s="119" t="n"/>
      <c r="E63" s="120" t="n"/>
      <c r="F63" s="120" t="n"/>
      <c r="G63" s="120" t="n"/>
    </row>
    <row r="64" ht="15" customHeight="1" s="72">
      <c r="A64" s="117" t="n"/>
      <c r="B64" s="117" t="n"/>
      <c r="C64" s="118" t="n"/>
      <c r="D64" s="119" t="n"/>
      <c r="E64" s="120" t="n"/>
      <c r="F64" s="120" t="n"/>
      <c r="G64" s="120" t="n"/>
    </row>
    <row r="65" ht="15" customHeight="1" s="72">
      <c r="A65" s="117" t="n"/>
      <c r="B65" s="117" t="n"/>
      <c r="C65" s="118" t="n"/>
      <c r="D65" s="119" t="n"/>
      <c r="E65" s="120" t="n"/>
      <c r="F65" s="120" t="n"/>
      <c r="G65" s="120" t="n"/>
    </row>
    <row r="66" ht="15" customHeight="1" s="72">
      <c r="A66" s="117" t="n"/>
      <c r="B66" s="117" t="n"/>
      <c r="C66" s="118" t="n"/>
      <c r="D66" s="119" t="n"/>
      <c r="E66" s="120" t="n"/>
      <c r="F66" s="120" t="n"/>
      <c r="G66" s="120" t="n"/>
    </row>
    <row r="67" ht="15" customHeight="1" s="72">
      <c r="A67" s="117" t="n"/>
      <c r="B67" s="117" t="n"/>
      <c r="C67" s="118" t="n"/>
      <c r="D67" s="119" t="n"/>
      <c r="E67" s="120" t="n"/>
      <c r="F67" s="120" t="n"/>
      <c r="G67" s="120" t="n"/>
    </row>
    <row r="68" ht="15" customHeight="1" s="72">
      <c r="A68" s="117" t="n"/>
      <c r="B68" s="117" t="n"/>
      <c r="C68" s="118" t="n"/>
      <c r="D68" s="119" t="n"/>
      <c r="E68" s="120" t="n"/>
      <c r="F68" s="120" t="n"/>
      <c r="G68" s="120" t="n"/>
    </row>
    <row r="69" ht="15" customHeight="1" s="72">
      <c r="A69" s="117" t="n"/>
      <c r="B69" s="117" t="n"/>
      <c r="C69" s="118" t="n"/>
      <c r="D69" s="119" t="n"/>
      <c r="E69" s="120" t="n"/>
      <c r="F69" s="120" t="n"/>
      <c r="G69" s="120" t="n"/>
    </row>
    <row r="70" ht="15" customHeight="1" s="72">
      <c r="A70" s="117" t="n"/>
      <c r="B70" s="117" t="n"/>
      <c r="C70" s="118" t="n"/>
      <c r="D70" s="119" t="n"/>
      <c r="E70" s="120" t="n"/>
      <c r="F70" s="120" t="n"/>
      <c r="G70" s="120" t="n"/>
    </row>
    <row r="71" ht="15" customHeight="1" s="72">
      <c r="A71" s="117" t="n"/>
      <c r="B71" s="117" t="n"/>
      <c r="C71" s="118" t="n"/>
      <c r="D71" s="119" t="n"/>
      <c r="E71" s="120" t="n"/>
      <c r="F71" s="120" t="n"/>
      <c r="G71" s="120" t="n"/>
    </row>
    <row r="72" ht="15" customHeight="1" s="72">
      <c r="A72" s="117" t="n"/>
      <c r="B72" s="117" t="n"/>
      <c r="C72" s="118" t="n"/>
      <c r="D72" s="119" t="n"/>
      <c r="E72" s="120" t="n"/>
      <c r="F72" s="120" t="n"/>
      <c r="G72" s="120" t="n"/>
    </row>
    <row r="73" ht="15" customHeight="1" s="72">
      <c r="A73" s="117" t="n"/>
      <c r="B73" s="117" t="n"/>
      <c r="C73" s="118" t="n"/>
      <c r="D73" s="119" t="n"/>
      <c r="E73" s="120" t="n"/>
      <c r="F73" s="120" t="n"/>
      <c r="G73" s="120" t="n"/>
    </row>
    <row r="74" ht="15" customHeight="1" s="72">
      <c r="A74" s="117" t="n"/>
      <c r="B74" s="117" t="n"/>
      <c r="C74" s="118" t="n"/>
      <c r="D74" s="119" t="n"/>
      <c r="E74" s="120" t="n"/>
      <c r="F74" s="120" t="n"/>
      <c r="G74" s="120" t="n"/>
    </row>
    <row r="75" ht="15" customHeight="1" s="72">
      <c r="A75" s="117" t="n"/>
      <c r="B75" s="117" t="n"/>
      <c r="C75" s="118" t="n"/>
      <c r="D75" s="119" t="n"/>
      <c r="E75" s="120" t="n"/>
      <c r="F75" s="120" t="n"/>
      <c r="G75" s="120" t="n"/>
    </row>
    <row r="76" ht="15" customHeight="1" s="72">
      <c r="A76" s="117" t="n"/>
      <c r="B76" s="117" t="n"/>
      <c r="C76" s="118" t="n"/>
      <c r="D76" s="119" t="n"/>
      <c r="E76" s="120" t="n"/>
      <c r="F76" s="120" t="n"/>
      <c r="G76" s="120" t="n"/>
    </row>
    <row r="77" ht="15" customHeight="1" s="72">
      <c r="A77" s="117" t="n"/>
      <c r="B77" s="117" t="n"/>
      <c r="C77" s="118" t="n"/>
      <c r="D77" s="119" t="n"/>
      <c r="E77" s="120" t="n"/>
      <c r="F77" s="120" t="n"/>
      <c r="G77" s="120" t="n"/>
    </row>
    <row r="78" ht="15" customHeight="1" s="72">
      <c r="A78" s="117" t="n"/>
      <c r="B78" s="117" t="n"/>
      <c r="C78" s="118" t="n"/>
      <c r="D78" s="119" t="n"/>
      <c r="E78" s="120" t="n"/>
      <c r="F78" s="120" t="n"/>
      <c r="G78" s="120" t="n"/>
    </row>
    <row r="79" ht="15" customHeight="1" s="72">
      <c r="A79" s="117" t="n"/>
      <c r="B79" s="117" t="n"/>
      <c r="C79" s="118" t="n"/>
      <c r="D79" s="119" t="n"/>
      <c r="E79" s="120" t="n"/>
      <c r="F79" s="120" t="n"/>
      <c r="G79" s="120" t="n"/>
    </row>
    <row r="80" ht="15" customHeight="1" s="72">
      <c r="A80" s="117" t="n"/>
      <c r="B80" s="117" t="n"/>
      <c r="C80" s="118" t="n"/>
      <c r="D80" s="119" t="n"/>
      <c r="E80" s="120" t="n"/>
      <c r="F80" s="120" t="n"/>
      <c r="G80" s="120" t="n"/>
    </row>
    <row r="81" ht="15" customHeight="1" s="72">
      <c r="A81" s="117" t="n"/>
      <c r="B81" s="117" t="n"/>
      <c r="C81" s="118" t="n"/>
      <c r="D81" s="119" t="n"/>
      <c r="E81" s="120" t="n"/>
      <c r="F81" s="120" t="n"/>
      <c r="G81" s="120" t="n"/>
    </row>
    <row r="82" ht="15" customHeight="1" s="72">
      <c r="A82" s="117" t="n"/>
      <c r="B82" s="117" t="n"/>
      <c r="C82" s="118" t="n"/>
      <c r="D82" s="119" t="n"/>
      <c r="E82" s="120" t="n"/>
      <c r="F82" s="120" t="n"/>
      <c r="G82" s="120" t="n"/>
    </row>
    <row r="83" ht="15" customHeight="1" s="72">
      <c r="A83" s="117" t="n"/>
      <c r="B83" s="117" t="n"/>
      <c r="C83" s="118" t="n"/>
      <c r="D83" s="119" t="n"/>
      <c r="E83" s="120" t="n"/>
      <c r="F83" s="120" t="n"/>
      <c r="G83" s="120" t="n"/>
    </row>
    <row r="84" ht="15" customHeight="1" s="72">
      <c r="A84" s="117" t="n"/>
      <c r="B84" s="117" t="n"/>
      <c r="C84" s="118" t="n"/>
      <c r="D84" s="119" t="n"/>
      <c r="E84" s="120" t="n"/>
      <c r="F84" s="120" t="n"/>
      <c r="G84" s="120" t="n"/>
    </row>
    <row r="85" ht="15" customHeight="1" s="72">
      <c r="A85" s="117" t="n"/>
      <c r="B85" s="117" t="n"/>
      <c r="C85" s="118" t="n"/>
      <c r="D85" s="119" t="n"/>
      <c r="E85" s="120" t="n"/>
      <c r="F85" s="120" t="n"/>
      <c r="G85" s="120" t="n"/>
    </row>
    <row r="86" ht="15" customHeight="1" s="72">
      <c r="A86" s="117" t="n"/>
      <c r="B86" s="117" t="n"/>
      <c r="C86" s="118" t="n"/>
      <c r="D86" s="119" t="n"/>
      <c r="E86" s="120" t="n"/>
      <c r="F86" s="120" t="n"/>
      <c r="G86" s="120" t="n"/>
    </row>
    <row r="87" ht="15" customHeight="1" s="72">
      <c r="A87" s="117" t="n"/>
      <c r="B87" s="117" t="n"/>
      <c r="C87" s="118" t="n"/>
      <c r="D87" s="119" t="n"/>
      <c r="E87" s="120" t="n"/>
      <c r="F87" s="120" t="n"/>
      <c r="G87" s="120" t="n"/>
    </row>
    <row r="88" ht="15" customHeight="1" s="72">
      <c r="A88" s="117" t="n"/>
      <c r="B88" s="117" t="n"/>
      <c r="C88" s="118" t="n"/>
      <c r="D88" s="119" t="n"/>
      <c r="E88" s="120" t="n"/>
      <c r="F88" s="120" t="n"/>
      <c r="G88" s="120" t="n"/>
    </row>
    <row r="89" ht="15" customHeight="1" s="72">
      <c r="A89" s="117" t="n"/>
      <c r="B89" s="117" t="n"/>
      <c r="C89" s="118" t="n"/>
      <c r="D89" s="119" t="n"/>
      <c r="E89" s="120" t="n"/>
      <c r="F89" s="120" t="n"/>
      <c r="G89" s="120" t="n"/>
    </row>
    <row r="90" ht="15" customHeight="1" s="72">
      <c r="A90" s="117" t="n"/>
      <c r="B90" s="117" t="n"/>
      <c r="C90" s="118" t="n"/>
      <c r="D90" s="119" t="n"/>
      <c r="E90" s="120" t="n"/>
      <c r="F90" s="120" t="n"/>
      <c r="G90" s="120" t="n"/>
    </row>
    <row r="91" ht="15" customHeight="1" s="72">
      <c r="A91" s="117" t="n"/>
      <c r="B91" s="117" t="n"/>
      <c r="C91" s="118" t="n"/>
      <c r="D91" s="119" t="n"/>
      <c r="E91" s="120" t="n"/>
      <c r="F91" s="120" t="n"/>
      <c r="G91" s="120" t="n"/>
    </row>
    <row r="92" ht="15" customHeight="1" s="72">
      <c r="A92" s="117" t="n"/>
      <c r="B92" s="117" t="n"/>
      <c r="C92" s="118" t="n"/>
      <c r="D92" s="119" t="n"/>
      <c r="E92" s="120" t="n"/>
      <c r="F92" s="120" t="n"/>
      <c r="G92" s="120" t="n"/>
    </row>
    <row r="93" ht="15" customHeight="1" s="72">
      <c r="A93" s="117" t="n"/>
      <c r="B93" s="117" t="n"/>
      <c r="C93" s="118" t="n"/>
      <c r="D93" s="119" t="n"/>
      <c r="E93" s="120" t="n"/>
      <c r="F93" s="120" t="n"/>
      <c r="G93" s="120" t="n"/>
    </row>
    <row r="94" ht="15" customHeight="1" s="72">
      <c r="A94" s="117" t="n"/>
      <c r="B94" s="117" t="n"/>
      <c r="C94" s="118" t="n"/>
      <c r="D94" s="119" t="n"/>
      <c r="E94" s="120" t="n"/>
      <c r="F94" s="120" t="n"/>
      <c r="G94" s="120" t="n"/>
    </row>
    <row r="95" ht="15" customHeight="1" s="72">
      <c r="A95" s="117" t="n"/>
      <c r="B95" s="117" t="n"/>
      <c r="C95" s="118" t="n"/>
      <c r="D95" s="119" t="n"/>
      <c r="E95" s="120" t="n"/>
      <c r="F95" s="120" t="n"/>
      <c r="G95" s="120" t="n"/>
    </row>
    <row r="96" ht="15" customHeight="1" s="72">
      <c r="A96" s="117" t="n"/>
      <c r="B96" s="117" t="n"/>
      <c r="C96" s="118" t="n"/>
      <c r="D96" s="119" t="n"/>
      <c r="E96" s="120" t="n"/>
      <c r="F96" s="120" t="n"/>
      <c r="G96" s="120" t="n"/>
    </row>
    <row r="97" ht="15" customHeight="1" s="72">
      <c r="A97" s="117" t="n"/>
      <c r="B97" s="117" t="n"/>
      <c r="C97" s="118" t="n"/>
      <c r="D97" s="119" t="n"/>
      <c r="E97" s="120" t="n"/>
      <c r="F97" s="120" t="n"/>
      <c r="G97" s="120" t="n"/>
    </row>
    <row r="98" ht="15" customHeight="1" s="72">
      <c r="A98" s="117" t="n"/>
      <c r="B98" s="117" t="n"/>
      <c r="C98" s="118" t="n"/>
      <c r="D98" s="119" t="n"/>
      <c r="E98" s="120" t="n"/>
      <c r="F98" s="120" t="n"/>
      <c r="G98" s="120" t="n"/>
    </row>
    <row r="99" ht="15" customHeight="1" s="72">
      <c r="A99" s="117" t="n"/>
      <c r="B99" s="117" t="n"/>
      <c r="C99" s="118" t="n"/>
      <c r="D99" s="119" t="n"/>
      <c r="E99" s="120" t="n"/>
      <c r="F99" s="120" t="n"/>
      <c r="G99" s="120" t="n"/>
    </row>
    <row r="100" ht="15" customHeight="1" s="72">
      <c r="A100" s="117" t="n"/>
      <c r="B100" s="117" t="n"/>
      <c r="C100" s="118" t="n"/>
      <c r="D100" s="119" t="n"/>
      <c r="E100" s="120" t="n"/>
      <c r="F100" s="120" t="n"/>
      <c r="G100" s="120" t="n"/>
    </row>
    <row r="101" ht="15" customHeight="1" s="72">
      <c r="A101" s="117" t="n"/>
      <c r="B101" s="117" t="n"/>
      <c r="C101" s="118" t="n"/>
      <c r="D101" s="119" t="n"/>
      <c r="E101" s="120" t="n"/>
      <c r="F101" s="120" t="n"/>
      <c r="G101" s="120" t="n"/>
    </row>
    <row r="102" ht="15" customHeight="1" s="72">
      <c r="A102" s="117" t="n"/>
      <c r="B102" s="117" t="n"/>
      <c r="C102" s="118" t="n"/>
      <c r="D102" s="119" t="n"/>
      <c r="E102" s="120" t="n"/>
      <c r="F102" s="120" t="n"/>
      <c r="G102" s="120" t="n"/>
    </row>
    <row r="103" ht="15" customHeight="1" s="72">
      <c r="A103" s="117" t="n"/>
      <c r="B103" s="117" t="n"/>
      <c r="C103" s="118" t="n"/>
      <c r="D103" s="119" t="n"/>
      <c r="E103" s="120" t="n"/>
      <c r="F103" s="120" t="n"/>
      <c r="G103" s="120" t="n"/>
    </row>
    <row r="104" ht="15" customHeight="1" s="72">
      <c r="A104" s="117" t="n"/>
      <c r="B104" s="117" t="n"/>
      <c r="C104" s="118" t="n"/>
      <c r="D104" s="119" t="n"/>
      <c r="E104" s="120" t="n"/>
      <c r="F104" s="120" t="n"/>
      <c r="G104" s="120" t="n"/>
    </row>
    <row r="105" ht="15" customHeight="1" s="72">
      <c r="A105" s="117" t="n"/>
      <c r="B105" s="117" t="n"/>
      <c r="C105" s="118" t="n"/>
      <c r="D105" s="119" t="n"/>
      <c r="E105" s="120" t="n"/>
      <c r="F105" s="120" t="n"/>
      <c r="G105" s="120" t="n"/>
    </row>
    <row r="106" ht="15" customHeight="1" s="72">
      <c r="A106" s="117" t="n"/>
      <c r="B106" s="117" t="n"/>
      <c r="C106" s="118" t="n"/>
      <c r="D106" s="119" t="n"/>
      <c r="E106" s="120" t="n"/>
      <c r="F106" s="120" t="n"/>
      <c r="G106" s="120" t="n"/>
    </row>
    <row r="107" ht="15" customHeight="1" s="72">
      <c r="A107" s="117" t="n"/>
      <c r="B107" s="117" t="n"/>
      <c r="C107" s="118" t="n"/>
      <c r="D107" s="119" t="n"/>
      <c r="E107" s="120" t="n"/>
      <c r="F107" s="120" t="n"/>
      <c r="G107" s="120" t="n"/>
    </row>
    <row r="108" ht="15" customHeight="1" s="72">
      <c r="A108" s="117" t="n"/>
      <c r="B108" s="117" t="n"/>
      <c r="C108" s="118" t="n"/>
      <c r="D108" s="119" t="n"/>
      <c r="E108" s="120" t="n"/>
      <c r="F108" s="120" t="n"/>
      <c r="G108" s="120" t="n"/>
    </row>
    <row r="109" ht="15" customHeight="1" s="72">
      <c r="A109" s="117" t="n"/>
      <c r="B109" s="117" t="n"/>
      <c r="C109" s="118" t="n"/>
      <c r="D109" s="119" t="n"/>
      <c r="E109" s="120" t="n"/>
      <c r="F109" s="120" t="n"/>
      <c r="G109" s="120" t="n"/>
    </row>
    <row r="110" ht="15" customHeight="1" s="72">
      <c r="A110" s="117" t="n"/>
      <c r="B110" s="117" t="n"/>
      <c r="C110" s="118" t="n"/>
      <c r="D110" s="119" t="n"/>
      <c r="E110" s="120" t="n"/>
      <c r="F110" s="120" t="n"/>
      <c r="G110" s="120" t="n"/>
    </row>
    <row r="111" ht="15" customHeight="1" s="72">
      <c r="A111" s="117" t="n"/>
      <c r="B111" s="117" t="n"/>
      <c r="C111" s="118" t="n"/>
      <c r="D111" s="119" t="n"/>
      <c r="E111" s="120" t="n"/>
      <c r="F111" s="120" t="n"/>
      <c r="G111" s="120" t="n"/>
    </row>
    <row r="112" ht="15" customHeight="1" s="72">
      <c r="A112" s="117" t="n"/>
      <c r="B112" s="117" t="n"/>
      <c r="C112" s="118" t="n"/>
      <c r="D112" s="119" t="n"/>
      <c r="E112" s="120" t="n"/>
      <c r="F112" s="120" t="n"/>
      <c r="G112" s="120" t="n"/>
    </row>
    <row r="113" ht="15" customHeight="1" s="72">
      <c r="A113" s="117" t="n"/>
      <c r="B113" s="117" t="n"/>
      <c r="C113" s="118" t="n"/>
      <c r="D113" s="119" t="n"/>
      <c r="E113" s="120" t="n"/>
      <c r="F113" s="120" t="n"/>
      <c r="G113" s="120" t="n"/>
    </row>
    <row r="114" ht="15" customHeight="1" s="72">
      <c r="A114" s="117" t="n"/>
      <c r="B114" s="117" t="n"/>
      <c r="C114" s="118" t="n"/>
      <c r="D114" s="119" t="n"/>
      <c r="E114" s="120" t="n"/>
      <c r="F114" s="120" t="n"/>
      <c r="G114" s="120" t="n"/>
    </row>
    <row r="115" ht="15" customHeight="1" s="72">
      <c r="A115" s="117" t="n"/>
      <c r="B115" s="117" t="n"/>
      <c r="C115" s="118" t="n"/>
      <c r="D115" s="119" t="n"/>
      <c r="E115" s="120" t="n"/>
      <c r="F115" s="120" t="n"/>
      <c r="G115" s="120" t="n"/>
    </row>
    <row r="116" ht="15" customHeight="1" s="72">
      <c r="A116" s="117" t="n"/>
      <c r="B116" s="117" t="n"/>
      <c r="C116" s="118" t="n"/>
      <c r="D116" s="119" t="n"/>
      <c r="E116" s="120" t="n"/>
      <c r="F116" s="120" t="n"/>
      <c r="G116" s="120" t="n"/>
    </row>
    <row r="117" ht="15" customHeight="1" s="72">
      <c r="A117" s="117" t="n"/>
      <c r="B117" s="117" t="n"/>
      <c r="C117" s="118" t="n"/>
      <c r="D117" s="119" t="n"/>
      <c r="E117" s="120" t="n"/>
      <c r="F117" s="120" t="n"/>
      <c r="G117" s="120" t="n"/>
    </row>
    <row r="118" ht="15" customHeight="1" s="72">
      <c r="A118" s="117" t="n"/>
      <c r="B118" s="117" t="n"/>
      <c r="C118" s="118" t="n"/>
      <c r="D118" s="119" t="n"/>
      <c r="E118" s="120" t="n"/>
      <c r="F118" s="120" t="n"/>
      <c r="G118" s="120" t="n"/>
    </row>
    <row r="119" ht="15" customHeight="1" s="72">
      <c r="A119" s="117" t="n"/>
      <c r="B119" s="117" t="n"/>
      <c r="C119" s="118" t="n"/>
      <c r="D119" s="119" t="n"/>
      <c r="E119" s="120" t="n"/>
      <c r="F119" s="120" t="n"/>
      <c r="G119" s="120" t="n"/>
    </row>
    <row r="120" ht="15" customHeight="1" s="72">
      <c r="A120" s="117" t="n"/>
      <c r="B120" s="117" t="n"/>
      <c r="C120" s="118" t="n"/>
      <c r="D120" s="119" t="n"/>
      <c r="E120" s="120" t="n"/>
      <c r="F120" s="120" t="n"/>
      <c r="G120" s="120" t="n"/>
    </row>
    <row r="121" ht="15" customHeight="1" s="72">
      <c r="A121" s="117" t="n"/>
      <c r="B121" s="117" t="n"/>
      <c r="C121" s="118" t="n"/>
      <c r="D121" s="119" t="n"/>
      <c r="E121" s="120" t="n"/>
      <c r="F121" s="120" t="n"/>
      <c r="G121" s="120" t="n"/>
    </row>
    <row r="122" ht="15" customHeight="1" s="72">
      <c r="A122" s="117" t="n"/>
      <c r="B122" s="117" t="n"/>
      <c r="C122" s="118" t="n"/>
      <c r="D122" s="119" t="n"/>
      <c r="E122" s="120" t="n"/>
      <c r="F122" s="120" t="n"/>
      <c r="G122" s="120" t="n"/>
    </row>
    <row r="123" ht="15" customHeight="1" s="72">
      <c r="A123" s="117" t="n"/>
      <c r="B123" s="117" t="n"/>
      <c r="C123" s="118" t="n"/>
      <c r="D123" s="119" t="n"/>
      <c r="E123" s="120" t="n"/>
      <c r="F123" s="120" t="n"/>
      <c r="G123" s="120" t="n"/>
    </row>
    <row r="124" ht="15" customHeight="1" s="72">
      <c r="A124" s="117" t="n"/>
      <c r="B124" s="117" t="n"/>
      <c r="C124" s="118" t="n"/>
      <c r="D124" s="119" t="n"/>
      <c r="E124" s="120" t="n"/>
      <c r="F124" s="120" t="n"/>
      <c r="G124" s="120" t="n"/>
    </row>
    <row r="125" ht="15" customHeight="1" s="72">
      <c r="A125" s="117" t="n"/>
      <c r="B125" s="117" t="n"/>
      <c r="C125" s="118" t="n"/>
      <c r="D125" s="119" t="n"/>
      <c r="E125" s="120" t="n"/>
      <c r="F125" s="120" t="n"/>
      <c r="G125" s="120" t="n"/>
    </row>
    <row r="126" ht="15" customHeight="1" s="72">
      <c r="A126" s="117" t="n"/>
      <c r="B126" s="117" t="n"/>
      <c r="C126" s="118" t="n"/>
      <c r="D126" s="119" t="n"/>
      <c r="E126" s="120" t="n"/>
      <c r="F126" s="120" t="n"/>
      <c r="G126" s="120" t="n"/>
    </row>
    <row r="127" ht="15" customHeight="1" s="72">
      <c r="A127" s="117" t="n"/>
      <c r="B127" s="117" t="n"/>
      <c r="C127" s="118" t="n"/>
      <c r="D127" s="119" t="n"/>
      <c r="E127" s="120" t="n"/>
      <c r="F127" s="120" t="n"/>
      <c r="G127" s="120" t="n"/>
    </row>
    <row r="128" ht="15" customHeight="1" s="72">
      <c r="A128" s="117" t="n"/>
      <c r="B128" s="117" t="n"/>
      <c r="C128" s="118" t="n"/>
      <c r="D128" s="119" t="n"/>
      <c r="E128" s="120" t="n"/>
      <c r="F128" s="120" t="n"/>
      <c r="G128" s="120" t="n"/>
    </row>
    <row r="129" ht="15" customHeight="1" s="72">
      <c r="A129" s="117" t="n"/>
      <c r="B129" s="117" t="n"/>
      <c r="C129" s="118" t="n"/>
      <c r="D129" s="119" t="n"/>
      <c r="E129" s="120" t="n"/>
      <c r="F129" s="120" t="n"/>
      <c r="G129" s="120" t="n"/>
    </row>
    <row r="130" ht="15" customHeight="1" s="72">
      <c r="A130" s="117" t="n"/>
      <c r="B130" s="117" t="n"/>
      <c r="C130" s="118" t="n"/>
      <c r="D130" s="119" t="n"/>
      <c r="E130" s="120" t="n"/>
      <c r="F130" s="120" t="n"/>
      <c r="G130" s="120" t="n"/>
    </row>
    <row r="131" ht="15" customHeight="1" s="72">
      <c r="A131" s="117" t="n"/>
      <c r="B131" s="117" t="n"/>
      <c r="C131" s="118" t="n"/>
      <c r="D131" s="119" t="n"/>
      <c r="E131" s="120" t="n"/>
      <c r="F131" s="120" t="n"/>
      <c r="G131" s="120" t="n"/>
    </row>
    <row r="132" ht="15" customHeight="1" s="72">
      <c r="A132" s="117" t="n"/>
      <c r="B132" s="117" t="n"/>
      <c r="C132" s="118" t="n"/>
      <c r="D132" s="119" t="n"/>
      <c r="E132" s="120" t="n"/>
      <c r="F132" s="120" t="n"/>
      <c r="G132" s="120" t="n"/>
    </row>
    <row r="133" ht="15" customHeight="1" s="72">
      <c r="A133" s="117" t="n"/>
      <c r="B133" s="117" t="n"/>
      <c r="C133" s="118" t="n"/>
      <c r="D133" s="119" t="n"/>
      <c r="E133" s="120" t="n"/>
      <c r="F133" s="120" t="n"/>
      <c r="G133" s="120" t="n"/>
    </row>
    <row r="134" ht="15" customHeight="1" s="72">
      <c r="A134" s="117" t="n"/>
      <c r="B134" s="117" t="n"/>
      <c r="C134" s="118" t="n"/>
      <c r="D134" s="119" t="n"/>
      <c r="E134" s="120" t="n"/>
      <c r="F134" s="120" t="n"/>
      <c r="G134" s="120" t="n"/>
    </row>
    <row r="135" ht="15" customHeight="1" s="72">
      <c r="A135" s="117" t="n"/>
      <c r="B135" s="117" t="n"/>
      <c r="C135" s="118" t="n"/>
      <c r="D135" s="119" t="n"/>
      <c r="E135" s="120" t="n"/>
      <c r="F135" s="120" t="n"/>
      <c r="G135" s="120" t="n"/>
    </row>
    <row r="136" ht="15" customHeight="1" s="72">
      <c r="A136" s="117" t="n"/>
      <c r="B136" s="117" t="n"/>
      <c r="C136" s="118" t="n"/>
      <c r="D136" s="119" t="n"/>
      <c r="E136" s="120" t="n"/>
      <c r="F136" s="120" t="n"/>
      <c r="G136" s="120" t="n"/>
    </row>
    <row r="137" ht="15" customHeight="1" s="72">
      <c r="A137" s="117" t="n"/>
      <c r="B137" s="117" t="n"/>
      <c r="C137" s="118" t="n"/>
      <c r="D137" s="119" t="n"/>
      <c r="E137" s="120" t="n"/>
      <c r="F137" s="120" t="n"/>
      <c r="G137" s="120" t="n"/>
    </row>
    <row r="138" ht="15" customHeight="1" s="72">
      <c r="A138" s="117" t="n"/>
      <c r="B138" s="117" t="n"/>
      <c r="C138" s="118" t="n"/>
      <c r="D138" s="119" t="n"/>
      <c r="E138" s="120" t="n"/>
      <c r="F138" s="120" t="n"/>
      <c r="G138" s="120" t="n"/>
    </row>
    <row r="139" ht="15" customHeight="1" s="72">
      <c r="A139" s="117" t="n"/>
      <c r="B139" s="117" t="n"/>
      <c r="C139" s="118" t="n"/>
      <c r="D139" s="119" t="n"/>
      <c r="E139" s="120" t="n"/>
      <c r="F139" s="120" t="n"/>
      <c r="G139" s="120" t="n"/>
    </row>
    <row r="140" ht="15" customHeight="1" s="72">
      <c r="A140" s="117" t="n"/>
      <c r="B140" s="117" t="n"/>
      <c r="C140" s="118" t="n"/>
      <c r="D140" s="119" t="n"/>
      <c r="E140" s="120" t="n"/>
      <c r="F140" s="120" t="n"/>
      <c r="G140" s="120" t="n"/>
    </row>
    <row r="141" ht="15" customHeight="1" s="72">
      <c r="A141" s="117" t="n"/>
      <c r="B141" s="117" t="n"/>
      <c r="C141" s="118" t="n"/>
      <c r="D141" s="119" t="n"/>
      <c r="E141" s="120" t="n"/>
      <c r="F141" s="120" t="n"/>
      <c r="G141" s="120" t="n"/>
    </row>
    <row r="142" ht="15" customHeight="1" s="72">
      <c r="A142" s="117" t="n"/>
      <c r="B142" s="117" t="n"/>
      <c r="C142" s="118" t="n"/>
      <c r="D142" s="119" t="n"/>
      <c r="E142" s="120" t="n"/>
      <c r="F142" s="120" t="n"/>
      <c r="G142" s="120" t="n"/>
    </row>
    <row r="143" ht="15" customHeight="1" s="72">
      <c r="A143" s="117" t="n"/>
      <c r="B143" s="117" t="n"/>
      <c r="C143" s="118" t="n"/>
      <c r="D143" s="119" t="n"/>
      <c r="E143" s="120" t="n"/>
      <c r="F143" s="120" t="n"/>
      <c r="G143" s="120" t="n"/>
    </row>
    <row r="144" ht="15" customHeight="1" s="72">
      <c r="A144" s="117" t="n"/>
      <c r="B144" s="117" t="n"/>
      <c r="C144" s="118" t="n"/>
      <c r="D144" s="119" t="n"/>
      <c r="E144" s="120" t="n"/>
      <c r="F144" s="120" t="n"/>
      <c r="G144" s="120" t="n"/>
    </row>
    <row r="145" ht="15" customHeight="1" s="72">
      <c r="A145" s="117" t="n"/>
      <c r="B145" s="117" t="n"/>
      <c r="C145" s="118" t="n"/>
      <c r="D145" s="119" t="n"/>
      <c r="E145" s="120" t="n"/>
      <c r="F145" s="120" t="n"/>
      <c r="G145" s="120" t="n"/>
    </row>
    <row r="146" ht="15" customHeight="1" s="72">
      <c r="A146" s="117" t="n"/>
      <c r="B146" s="117" t="n"/>
      <c r="C146" s="118" t="n"/>
      <c r="D146" s="119" t="n"/>
      <c r="E146" s="120" t="n"/>
      <c r="F146" s="120" t="n"/>
      <c r="G146" s="120" t="n"/>
    </row>
    <row r="147" ht="15" customHeight="1" s="72">
      <c r="A147" s="117" t="n"/>
      <c r="B147" s="117" t="n"/>
      <c r="C147" s="118" t="n"/>
      <c r="D147" s="119" t="n"/>
      <c r="E147" s="120" t="n"/>
      <c r="F147" s="120" t="n"/>
      <c r="G147" s="120" t="n"/>
    </row>
    <row r="148" ht="15" customHeight="1" s="72">
      <c r="A148" s="117" t="n"/>
      <c r="B148" s="117" t="n"/>
      <c r="C148" s="118" t="n"/>
      <c r="D148" s="119" t="n"/>
      <c r="E148" s="120" t="n"/>
      <c r="F148" s="120" t="n"/>
      <c r="G148" s="120" t="n"/>
    </row>
    <row r="149" ht="15" customHeight="1" s="72">
      <c r="A149" s="117" t="n"/>
      <c r="B149" s="117" t="n"/>
      <c r="C149" s="118" t="n"/>
      <c r="D149" s="119" t="n"/>
      <c r="E149" s="120" t="n"/>
      <c r="F149" s="120" t="n"/>
      <c r="G149" s="120" t="n"/>
    </row>
    <row r="150" ht="15" customHeight="1" s="72">
      <c r="A150" s="117" t="n"/>
      <c r="B150" s="117" t="n"/>
      <c r="C150" s="118" t="n"/>
      <c r="D150" s="119" t="n"/>
      <c r="E150" s="120" t="n"/>
      <c r="F150" s="120" t="n"/>
      <c r="G150" s="120" t="n"/>
    </row>
    <row r="151" ht="15" customHeight="1" s="72">
      <c r="A151" s="117" t="n"/>
      <c r="B151" s="117" t="n"/>
      <c r="C151" s="118" t="n"/>
      <c r="D151" s="119" t="n"/>
      <c r="E151" s="120" t="n"/>
      <c r="F151" s="120" t="n"/>
      <c r="G151" s="120" t="n"/>
    </row>
    <row r="152" ht="15" customHeight="1" s="72">
      <c r="A152" s="117" t="n"/>
      <c r="B152" s="117" t="n"/>
      <c r="C152" s="118" t="n"/>
      <c r="D152" s="119" t="n"/>
      <c r="E152" s="120" t="n"/>
      <c r="F152" s="120" t="n"/>
      <c r="G152" s="120" t="n"/>
    </row>
    <row r="153" ht="15" customHeight="1" s="72">
      <c r="A153" s="117" t="n"/>
      <c r="B153" s="117" t="n"/>
      <c r="C153" s="118" t="n"/>
      <c r="D153" s="119" t="n"/>
      <c r="E153" s="120" t="n"/>
      <c r="F153" s="120" t="n"/>
      <c r="G153" s="120" t="n"/>
    </row>
    <row r="154" ht="15" customHeight="1" s="72">
      <c r="A154" s="117" t="n"/>
      <c r="B154" s="117" t="n"/>
      <c r="C154" s="118" t="n"/>
      <c r="D154" s="119" t="n"/>
      <c r="E154" s="120" t="n"/>
      <c r="F154" s="120" t="n"/>
      <c r="G154" s="120" t="n"/>
    </row>
    <row r="155" ht="15" customHeight="1" s="72">
      <c r="A155" s="117" t="n"/>
      <c r="B155" s="117" t="n"/>
      <c r="C155" s="118" t="n"/>
      <c r="D155" s="119" t="n"/>
      <c r="E155" s="120" t="n"/>
      <c r="F155" s="120" t="n"/>
      <c r="G155" s="120" t="n"/>
    </row>
    <row r="156" ht="15" customHeight="1" s="72">
      <c r="A156" s="117" t="n"/>
      <c r="B156" s="117" t="n"/>
      <c r="C156" s="118" t="n"/>
      <c r="D156" s="119" t="n"/>
      <c r="E156" s="120" t="n"/>
      <c r="F156" s="120" t="n"/>
      <c r="G156" s="120" t="n"/>
    </row>
    <row r="157" ht="15" customHeight="1" s="72">
      <c r="A157" s="117" t="n"/>
      <c r="B157" s="117" t="n"/>
      <c r="C157" s="118" t="n"/>
      <c r="D157" s="119" t="n"/>
      <c r="E157" s="120" t="n"/>
      <c r="F157" s="120" t="n"/>
      <c r="G157" s="120" t="n"/>
    </row>
    <row r="158" ht="15" customHeight="1" s="72">
      <c r="A158" s="117" t="n"/>
      <c r="B158" s="117" t="n"/>
      <c r="C158" s="118" t="n"/>
      <c r="D158" s="119" t="n"/>
      <c r="E158" s="120" t="n"/>
      <c r="F158" s="120" t="n"/>
      <c r="G158" s="120" t="n"/>
    </row>
    <row r="159" ht="15" customHeight="1" s="72">
      <c r="A159" s="117" t="n"/>
      <c r="B159" s="117" t="n"/>
      <c r="C159" s="118" t="n"/>
      <c r="D159" s="119" t="n"/>
      <c r="E159" s="120" t="n"/>
      <c r="F159" s="120" t="n"/>
      <c r="G159" s="120" t="n"/>
    </row>
    <row r="160" ht="15" customHeight="1" s="72">
      <c r="A160" s="117" t="n"/>
      <c r="B160" s="117" t="n"/>
      <c r="C160" s="118" t="n"/>
      <c r="D160" s="119" t="n"/>
      <c r="E160" s="120" t="n"/>
      <c r="F160" s="120" t="n"/>
      <c r="G160" s="120" t="n"/>
    </row>
    <row r="161" ht="15" customHeight="1" s="72">
      <c r="A161" s="117" t="n"/>
      <c r="B161" s="117" t="n"/>
      <c r="C161" s="118" t="n"/>
      <c r="D161" s="119" t="n"/>
      <c r="E161" s="120" t="n"/>
      <c r="F161" s="120" t="n"/>
      <c r="G161" s="120" t="n"/>
    </row>
    <row r="162" ht="15" customHeight="1" s="72">
      <c r="A162" s="117" t="n"/>
      <c r="B162" s="117" t="n"/>
      <c r="C162" s="118" t="n"/>
      <c r="D162" s="119" t="n"/>
      <c r="E162" s="120" t="n"/>
      <c r="F162" s="120" t="n"/>
      <c r="G162" s="120" t="n"/>
    </row>
    <row r="163" ht="15" customHeight="1" s="72">
      <c r="A163" s="117" t="n"/>
      <c r="B163" s="117" t="n"/>
      <c r="C163" s="118" t="n"/>
      <c r="D163" s="119" t="n"/>
      <c r="E163" s="120" t="n"/>
      <c r="F163" s="120" t="n"/>
      <c r="G163" s="120" t="n"/>
    </row>
    <row r="164" ht="15" customHeight="1" s="72">
      <c r="A164" s="117" t="n"/>
      <c r="B164" s="117" t="n"/>
      <c r="C164" s="118" t="n"/>
      <c r="D164" s="119" t="n"/>
      <c r="E164" s="120" t="n"/>
      <c r="F164" s="120" t="n"/>
      <c r="G164" s="120" t="n"/>
    </row>
    <row r="165" ht="15" customHeight="1" s="72">
      <c r="A165" s="117" t="n"/>
      <c r="B165" s="117" t="n"/>
      <c r="C165" s="118" t="n"/>
      <c r="D165" s="119" t="n"/>
      <c r="E165" s="120" t="n"/>
      <c r="F165" s="120" t="n"/>
      <c r="G165" s="120" t="n"/>
    </row>
    <row r="166" ht="15" customHeight="1" s="72">
      <c r="A166" s="117" t="n"/>
      <c r="B166" s="117" t="n"/>
      <c r="C166" s="118" t="n"/>
      <c r="D166" s="119" t="n"/>
      <c r="E166" s="120" t="n"/>
      <c r="F166" s="120" t="n"/>
      <c r="G166" s="120" t="n"/>
    </row>
    <row r="167" ht="15" customHeight="1" s="72">
      <c r="A167" s="117" t="n"/>
      <c r="B167" s="117" t="n"/>
      <c r="C167" s="118" t="n"/>
      <c r="D167" s="119" t="n"/>
      <c r="E167" s="120" t="n"/>
      <c r="F167" s="120" t="n"/>
      <c r="G167" s="120" t="n"/>
    </row>
    <row r="168" ht="15" customHeight="1" s="72">
      <c r="A168" s="117" t="n"/>
      <c r="B168" s="117" t="n"/>
      <c r="C168" s="118" t="n"/>
      <c r="D168" s="119" t="n"/>
      <c r="E168" s="120" t="n"/>
      <c r="F168" s="120" t="n"/>
      <c r="G168" s="120" t="n"/>
    </row>
    <row r="169" ht="15" customHeight="1" s="72">
      <c r="A169" s="117" t="n"/>
      <c r="B169" s="117" t="n"/>
      <c r="C169" s="118" t="n"/>
      <c r="D169" s="119" t="n"/>
      <c r="E169" s="120" t="n"/>
      <c r="F169" s="120" t="n"/>
      <c r="G169" s="120" t="n"/>
    </row>
    <row r="170" ht="15" customHeight="1" s="72">
      <c r="A170" s="117" t="n"/>
      <c r="B170" s="117" t="n"/>
      <c r="C170" s="118" t="n"/>
      <c r="D170" s="119" t="n"/>
      <c r="E170" s="120" t="n"/>
      <c r="F170" s="120" t="n"/>
      <c r="G170" s="120" t="n"/>
    </row>
    <row r="171" ht="15" customHeight="1" s="72">
      <c r="A171" s="117" t="n"/>
      <c r="B171" s="117" t="n"/>
      <c r="C171" s="118" t="n"/>
      <c r="D171" s="119" t="n"/>
      <c r="E171" s="120" t="n"/>
      <c r="F171" s="120" t="n"/>
      <c r="G171" s="120" t="n"/>
    </row>
    <row r="172" ht="15" customHeight="1" s="72">
      <c r="A172" s="117" t="n"/>
      <c r="B172" s="117" t="n"/>
      <c r="C172" s="118" t="n"/>
      <c r="D172" s="119" t="n"/>
      <c r="E172" s="120" t="n"/>
      <c r="F172" s="120" t="n"/>
      <c r="G172" s="120" t="n"/>
    </row>
    <row r="173" ht="15" customHeight="1" s="72">
      <c r="A173" s="117" t="n"/>
      <c r="B173" s="117" t="n"/>
      <c r="C173" s="118" t="n"/>
      <c r="D173" s="119" t="n"/>
      <c r="E173" s="120" t="n"/>
      <c r="F173" s="120" t="n"/>
      <c r="G173" s="120" t="n"/>
    </row>
    <row r="174" ht="15" customHeight="1" s="72">
      <c r="A174" s="117" t="n"/>
      <c r="B174" s="117" t="n"/>
      <c r="C174" s="118" t="n"/>
      <c r="D174" s="119" t="n"/>
      <c r="E174" s="120" t="n"/>
      <c r="F174" s="120" t="n"/>
      <c r="G174" s="120" t="n"/>
    </row>
    <row r="175" ht="15" customHeight="1" s="72">
      <c r="A175" s="117" t="n"/>
      <c r="B175" s="117" t="n"/>
      <c r="C175" s="118" t="n"/>
      <c r="D175" s="119" t="n"/>
      <c r="E175" s="120" t="n"/>
      <c r="F175" s="120" t="n"/>
      <c r="G175" s="120" t="n"/>
    </row>
    <row r="176" ht="15" customHeight="1" s="72">
      <c r="A176" s="117" t="n"/>
      <c r="B176" s="117" t="n"/>
      <c r="C176" s="118" t="n"/>
      <c r="D176" s="119" t="n"/>
      <c r="E176" s="120" t="n"/>
      <c r="F176" s="120" t="n"/>
      <c r="G176" s="120" t="n"/>
    </row>
    <row r="177" ht="15" customHeight="1" s="72">
      <c r="A177" s="117" t="n"/>
      <c r="B177" s="117" t="n"/>
      <c r="C177" s="118" t="n"/>
      <c r="D177" s="119" t="n"/>
      <c r="E177" s="120" t="n"/>
      <c r="F177" s="120" t="n"/>
      <c r="G177" s="120" t="n"/>
    </row>
    <row r="178" ht="15" customHeight="1" s="72">
      <c r="A178" s="117" t="n"/>
      <c r="B178" s="117" t="n"/>
      <c r="C178" s="118" t="n"/>
      <c r="D178" s="119" t="n"/>
      <c r="E178" s="120" t="n"/>
      <c r="F178" s="120" t="n"/>
      <c r="G178" s="120" t="n"/>
    </row>
    <row r="179" ht="15" customHeight="1" s="72">
      <c r="A179" s="117" t="n"/>
      <c r="B179" s="117" t="n"/>
      <c r="C179" s="118" t="n"/>
      <c r="D179" s="119" t="n"/>
      <c r="E179" s="120" t="n"/>
      <c r="F179" s="120" t="n"/>
      <c r="G179" s="120" t="n"/>
    </row>
    <row r="180" ht="15" customHeight="1" s="72">
      <c r="A180" s="117" t="n"/>
      <c r="B180" s="117" t="n"/>
      <c r="C180" s="118" t="n"/>
      <c r="D180" s="119" t="n"/>
      <c r="E180" s="120" t="n"/>
      <c r="F180" s="120" t="n"/>
      <c r="G180" s="120" t="n"/>
    </row>
    <row r="181" ht="15" customHeight="1" s="72">
      <c r="A181" s="117" t="n"/>
      <c r="B181" s="117" t="n"/>
      <c r="C181" s="118" t="n"/>
      <c r="D181" s="119" t="n"/>
      <c r="E181" s="120" t="n"/>
      <c r="F181" s="120" t="n"/>
      <c r="G181" s="120" t="n"/>
    </row>
    <row r="182" ht="15" customHeight="1" s="72">
      <c r="A182" s="117" t="n"/>
      <c r="B182" s="117" t="n"/>
      <c r="C182" s="118" t="n"/>
      <c r="D182" s="119" t="n"/>
      <c r="E182" s="120" t="n"/>
      <c r="F182" s="120" t="n"/>
      <c r="G182" s="120" t="n"/>
    </row>
    <row r="183" ht="15" customHeight="1" s="72">
      <c r="A183" s="117" t="n"/>
      <c r="B183" s="117" t="n"/>
      <c r="C183" s="118" t="n"/>
      <c r="D183" s="119" t="n"/>
      <c r="E183" s="120" t="n"/>
      <c r="F183" s="120" t="n"/>
      <c r="G183" s="120" t="n"/>
    </row>
    <row r="184" ht="15" customHeight="1" s="72">
      <c r="A184" s="117" t="n"/>
      <c r="B184" s="117" t="n"/>
      <c r="C184" s="118" t="n"/>
      <c r="D184" s="119" t="n"/>
      <c r="E184" s="120" t="n"/>
      <c r="F184" s="120" t="n"/>
      <c r="G184" s="120" t="n"/>
    </row>
    <row r="185" ht="15" customHeight="1" s="72">
      <c r="A185" s="117" t="n"/>
      <c r="B185" s="117" t="n"/>
      <c r="C185" s="118" t="n"/>
      <c r="D185" s="119" t="n"/>
      <c r="E185" s="120" t="n"/>
      <c r="F185" s="120" t="n"/>
      <c r="G185" s="120" t="n"/>
    </row>
    <row r="186" ht="15" customHeight="1" s="72">
      <c r="A186" s="117" t="n"/>
      <c r="B186" s="117" t="n"/>
      <c r="C186" s="118" t="n"/>
      <c r="D186" s="119" t="n"/>
      <c r="E186" s="120" t="n"/>
      <c r="F186" s="120" t="n"/>
      <c r="G186" s="120" t="n"/>
    </row>
    <row r="187" ht="15" customHeight="1" s="72">
      <c r="A187" s="117" t="n"/>
      <c r="B187" s="117" t="n"/>
      <c r="C187" s="118" t="n"/>
      <c r="D187" s="119" t="n"/>
      <c r="E187" s="120" t="n"/>
      <c r="F187" s="120" t="n"/>
      <c r="G187" s="120" t="n"/>
    </row>
    <row r="188" ht="15" customHeight="1" s="72">
      <c r="A188" s="117" t="n"/>
      <c r="B188" s="117" t="n"/>
      <c r="C188" s="118" t="n"/>
      <c r="D188" s="119" t="n"/>
      <c r="E188" s="120" t="n"/>
      <c r="F188" s="120" t="n"/>
      <c r="G188" s="120" t="n"/>
    </row>
    <row r="189" ht="15" customHeight="1" s="72">
      <c r="A189" s="117" t="n"/>
      <c r="B189" s="117" t="n"/>
      <c r="C189" s="118" t="n"/>
      <c r="D189" s="119" t="n"/>
      <c r="E189" s="120" t="n"/>
      <c r="F189" s="120" t="n"/>
      <c r="G189" s="120" t="n"/>
    </row>
    <row r="190" ht="15" customHeight="1" s="72">
      <c r="A190" s="117" t="n"/>
      <c r="B190" s="117" t="n"/>
      <c r="C190" s="118" t="n"/>
      <c r="D190" s="119" t="n"/>
      <c r="E190" s="120" t="n"/>
      <c r="F190" s="120" t="n"/>
      <c r="G190" s="120" t="n"/>
    </row>
    <row r="191" ht="15" customHeight="1" s="72">
      <c r="A191" s="117" t="n"/>
      <c r="B191" s="117" t="n"/>
      <c r="C191" s="118" t="n"/>
      <c r="D191" s="119" t="n"/>
      <c r="E191" s="120" t="n"/>
      <c r="F191" s="120" t="n"/>
      <c r="G191" s="120" t="n"/>
    </row>
    <row r="192" ht="15" customHeight="1" s="72">
      <c r="A192" s="117" t="n"/>
      <c r="B192" s="117" t="n"/>
      <c r="C192" s="118" t="n"/>
      <c r="D192" s="119" t="n"/>
      <c r="E192" s="120" t="n"/>
      <c r="F192" s="120" t="n"/>
      <c r="G192" s="120" t="n"/>
    </row>
    <row r="193" ht="15" customHeight="1" s="72">
      <c r="A193" s="117" t="n"/>
      <c r="B193" s="117" t="n"/>
      <c r="C193" s="118" t="n"/>
      <c r="D193" s="119" t="n"/>
      <c r="E193" s="120" t="n"/>
      <c r="F193" s="120" t="n"/>
      <c r="G193" s="120" t="n"/>
    </row>
    <row r="194" ht="15" customHeight="1" s="72">
      <c r="A194" s="117" t="n"/>
      <c r="B194" s="117" t="n"/>
      <c r="C194" s="118" t="n"/>
      <c r="D194" s="119" t="n"/>
      <c r="E194" s="120" t="n"/>
      <c r="F194" s="120" t="n"/>
      <c r="G194" s="120" t="n"/>
    </row>
    <row r="195" ht="15" customHeight="1" s="72">
      <c r="A195" s="117" t="n"/>
      <c r="B195" s="117" t="n"/>
      <c r="C195" s="118" t="n"/>
      <c r="D195" s="119" t="n"/>
      <c r="E195" s="120" t="n"/>
      <c r="F195" s="120" t="n"/>
      <c r="G195" s="120" t="n"/>
    </row>
    <row r="196" ht="15" customHeight="1" s="72">
      <c r="A196" s="117" t="n"/>
      <c r="B196" s="117" t="n"/>
      <c r="C196" s="118" t="n"/>
      <c r="D196" s="119" t="n"/>
      <c r="E196" s="120" t="n"/>
      <c r="F196" s="120" t="n"/>
      <c r="G196" s="120" t="n"/>
    </row>
    <row r="197" ht="15" customHeight="1" s="72">
      <c r="A197" s="117" t="n"/>
      <c r="B197" s="117" t="n"/>
      <c r="C197" s="118" t="n"/>
      <c r="D197" s="119" t="n"/>
      <c r="E197" s="120" t="n"/>
      <c r="F197" s="120" t="n"/>
      <c r="G197" s="120" t="n"/>
    </row>
    <row r="198" ht="15" customHeight="1" s="72">
      <c r="A198" s="117" t="n"/>
      <c r="B198" s="117" t="n"/>
      <c r="C198" s="118" t="n"/>
      <c r="D198" s="119" t="n"/>
      <c r="E198" s="120" t="n"/>
      <c r="F198" s="120" t="n"/>
      <c r="G198" s="120" t="n"/>
    </row>
    <row r="199" ht="15" customHeight="1" s="72">
      <c r="A199" s="117" t="n"/>
      <c r="B199" s="117" t="n"/>
      <c r="C199" s="118" t="n"/>
      <c r="D199" s="119" t="n"/>
      <c r="E199" s="120" t="n"/>
      <c r="F199" s="120" t="n"/>
      <c r="G199" s="120" t="n"/>
    </row>
    <row r="200" ht="15" customHeight="1" s="72">
      <c r="A200" s="117" t="n"/>
      <c r="B200" s="117" t="n"/>
      <c r="C200" s="118" t="n"/>
      <c r="D200" s="119" t="n"/>
      <c r="E200" s="120" t="n"/>
      <c r="F200" s="120" t="n"/>
      <c r="G200" s="120" t="n"/>
    </row>
    <row r="201" ht="15" customHeight="1" s="72">
      <c r="A201" s="117" t="n"/>
      <c r="B201" s="117" t="n"/>
      <c r="C201" s="118" t="n"/>
      <c r="D201" s="119" t="n"/>
      <c r="E201" s="120" t="n"/>
      <c r="F201" s="120" t="n"/>
      <c r="G201" s="120" t="n"/>
    </row>
    <row r="202" ht="15" customHeight="1" s="72">
      <c r="A202" s="117" t="n"/>
      <c r="B202" s="117" t="n"/>
      <c r="C202" s="118" t="n"/>
      <c r="D202" s="119" t="n"/>
      <c r="E202" s="120" t="n"/>
      <c r="F202" s="120" t="n"/>
      <c r="G202" s="120" t="n"/>
    </row>
    <row r="203" ht="15" customHeight="1" s="72">
      <c r="A203" s="117" t="n"/>
      <c r="B203" s="117" t="n"/>
      <c r="C203" s="118" t="n"/>
      <c r="D203" s="119" t="n"/>
      <c r="E203" s="120" t="n"/>
      <c r="F203" s="120" t="n"/>
      <c r="G203" s="120" t="n"/>
    </row>
    <row r="204" ht="15" customHeight="1" s="72">
      <c r="A204" s="117" t="n"/>
      <c r="B204" s="117" t="n"/>
      <c r="C204" s="118" t="n"/>
      <c r="D204" s="119" t="n"/>
      <c r="E204" s="120" t="n"/>
      <c r="F204" s="120" t="n"/>
      <c r="G204" s="120" t="n"/>
    </row>
    <row r="205" ht="15" customHeight="1" s="72">
      <c r="A205" s="117" t="n"/>
      <c r="B205" s="117" t="n"/>
      <c r="C205" s="118" t="n"/>
      <c r="D205" s="119" t="n"/>
      <c r="E205" s="120" t="n"/>
      <c r="F205" s="120" t="n"/>
      <c r="G205" s="120" t="n"/>
    </row>
    <row r="206" ht="15" customHeight="1" s="72">
      <c r="A206" s="117" t="n"/>
      <c r="B206" s="117" t="n"/>
      <c r="C206" s="118" t="n"/>
      <c r="D206" s="119" t="n"/>
      <c r="E206" s="120" t="n"/>
      <c r="F206" s="120" t="n"/>
      <c r="G206" s="120" t="n"/>
    </row>
    <row r="207" ht="15" customHeight="1" s="72">
      <c r="A207" s="117" t="n"/>
      <c r="B207" s="117" t="n"/>
      <c r="C207" s="118" t="n"/>
      <c r="D207" s="119" t="n"/>
      <c r="E207" s="120" t="n"/>
      <c r="F207" s="120" t="n"/>
      <c r="G207" s="120" t="n"/>
    </row>
    <row r="208" ht="15" customHeight="1" s="72">
      <c r="A208" s="117" t="n"/>
      <c r="B208" s="117" t="n"/>
      <c r="C208" s="118" t="n"/>
      <c r="D208" s="119" t="n"/>
      <c r="E208" s="120" t="n"/>
      <c r="F208" s="120" t="n"/>
      <c r="G208" s="120" t="n"/>
    </row>
    <row r="209" ht="15" customHeight="1" s="72">
      <c r="A209" s="117" t="n"/>
      <c r="B209" s="117" t="n"/>
      <c r="C209" s="118" t="n"/>
      <c r="D209" s="119" t="n"/>
      <c r="E209" s="120" t="n"/>
      <c r="F209" s="120" t="n"/>
      <c r="G209" s="120" t="n"/>
    </row>
    <row r="210" ht="15" customHeight="1" s="72">
      <c r="A210" s="117" t="n"/>
      <c r="B210" s="117" t="n"/>
      <c r="C210" s="118" t="n"/>
      <c r="D210" s="119" t="n"/>
      <c r="E210" s="120" t="n"/>
      <c r="F210" s="120" t="n"/>
      <c r="G210" s="120" t="n"/>
    </row>
    <row r="211" ht="15" customHeight="1" s="72">
      <c r="A211" s="117" t="n"/>
      <c r="B211" s="117" t="n"/>
      <c r="C211" s="118" t="n"/>
      <c r="D211" s="119" t="n"/>
      <c r="E211" s="120" t="n"/>
      <c r="F211" s="120" t="n"/>
      <c r="G211" s="120" t="n"/>
    </row>
    <row r="212" ht="15" customHeight="1" s="72">
      <c r="A212" s="117" t="n"/>
      <c r="B212" s="117" t="n"/>
      <c r="C212" s="118" t="n"/>
      <c r="D212" s="119" t="n"/>
      <c r="E212" s="120" t="n"/>
      <c r="F212" s="120" t="n"/>
      <c r="G212" s="120" t="n"/>
    </row>
    <row r="213" ht="15" customHeight="1" s="72">
      <c r="A213" s="117" t="n"/>
      <c r="B213" s="117" t="n"/>
      <c r="C213" s="118" t="n"/>
      <c r="D213" s="119" t="n"/>
      <c r="E213" s="120" t="n"/>
      <c r="F213" s="120" t="n"/>
      <c r="G213" s="120" t="n"/>
    </row>
    <row r="214" ht="15" customHeight="1" s="72">
      <c r="A214" s="117" t="n"/>
      <c r="B214" s="117" t="n"/>
      <c r="C214" s="118" t="n"/>
      <c r="D214" s="119" t="n"/>
      <c r="E214" s="120" t="n"/>
      <c r="F214" s="120" t="n"/>
      <c r="G214" s="120" t="n"/>
    </row>
    <row r="215" ht="15" customHeight="1" s="72">
      <c r="A215" s="117" t="n"/>
      <c r="B215" s="117" t="n"/>
      <c r="C215" s="118" t="n"/>
      <c r="D215" s="119" t="n"/>
      <c r="E215" s="120" t="n"/>
      <c r="F215" s="120" t="n"/>
      <c r="G215" s="120" t="n"/>
    </row>
    <row r="216" ht="15" customHeight="1" s="72">
      <c r="A216" s="117" t="n"/>
      <c r="B216" s="117" t="n"/>
      <c r="C216" s="118" t="n"/>
      <c r="D216" s="119" t="n"/>
      <c r="E216" s="120" t="n"/>
      <c r="F216" s="120" t="n"/>
      <c r="G216" s="120" t="n"/>
    </row>
    <row r="217" ht="15" customHeight="1" s="72">
      <c r="A217" s="117" t="n"/>
      <c r="B217" s="117" t="n"/>
      <c r="C217" s="118" t="n"/>
      <c r="D217" s="119" t="n"/>
      <c r="E217" s="120" t="n"/>
      <c r="F217" s="120" t="n"/>
      <c r="G217" s="120" t="n"/>
    </row>
    <row r="218" ht="15" customHeight="1" s="72">
      <c r="A218" s="117" t="n"/>
      <c r="B218" s="117" t="n"/>
      <c r="C218" s="118" t="n"/>
      <c r="D218" s="119" t="n"/>
      <c r="E218" s="120" t="n"/>
      <c r="F218" s="120" t="n"/>
      <c r="G218" s="120" t="n"/>
    </row>
    <row r="219" ht="15" customHeight="1" s="72">
      <c r="A219" s="117" t="n"/>
      <c r="B219" s="117" t="n"/>
      <c r="C219" s="118" t="n"/>
      <c r="D219" s="119" t="n"/>
      <c r="E219" s="120" t="n"/>
      <c r="F219" s="120" t="n"/>
      <c r="G219" s="120" t="n"/>
    </row>
    <row r="220" ht="15" customHeight="1" s="72">
      <c r="A220" s="117" t="n"/>
      <c r="B220" s="117" t="n"/>
      <c r="C220" s="118" t="n"/>
      <c r="D220" s="119" t="n"/>
      <c r="E220" s="120" t="n"/>
      <c r="F220" s="120" t="n"/>
      <c r="G220" s="120" t="n"/>
    </row>
    <row r="221" ht="15" customHeight="1" s="72">
      <c r="A221" s="117" t="n"/>
      <c r="B221" s="117" t="n"/>
      <c r="C221" s="118" t="n"/>
      <c r="D221" s="119" t="n"/>
      <c r="E221" s="120" t="n"/>
      <c r="F221" s="120" t="n"/>
      <c r="G221" s="120" t="n"/>
    </row>
    <row r="222" ht="15" customHeight="1" s="72">
      <c r="A222" s="117" t="n"/>
      <c r="B222" s="117" t="n"/>
      <c r="C222" s="118" t="n"/>
      <c r="D222" s="119" t="n"/>
      <c r="E222" s="120" t="n"/>
      <c r="F222" s="120" t="n"/>
      <c r="G222" s="120" t="n"/>
    </row>
    <row r="223" ht="15" customHeight="1" s="72">
      <c r="A223" s="117" t="n"/>
      <c r="B223" s="117" t="n"/>
      <c r="C223" s="118" t="n"/>
      <c r="D223" s="119" t="n"/>
      <c r="E223" s="120" t="n"/>
      <c r="F223" s="120" t="n"/>
      <c r="G223" s="120" t="n"/>
    </row>
    <row r="224" ht="15" customHeight="1" s="72">
      <c r="A224" s="117" t="n"/>
      <c r="B224" s="117" t="n"/>
      <c r="C224" s="118" t="n"/>
      <c r="D224" s="119" t="n"/>
      <c r="E224" s="120" t="n"/>
      <c r="F224" s="120" t="n"/>
      <c r="G224" s="120" t="n"/>
    </row>
    <row r="225" ht="15" customHeight="1" s="72">
      <c r="A225" s="117" t="n"/>
      <c r="B225" s="117" t="n"/>
      <c r="C225" s="118" t="n"/>
      <c r="D225" s="119" t="n"/>
      <c r="E225" s="120" t="n"/>
      <c r="F225" s="120" t="n"/>
      <c r="G225" s="120" t="n"/>
    </row>
    <row r="226" ht="15" customHeight="1" s="72">
      <c r="A226" s="117" t="n"/>
      <c r="B226" s="117" t="n"/>
      <c r="C226" s="118" t="n"/>
      <c r="D226" s="119" t="n"/>
      <c r="E226" s="120" t="n"/>
      <c r="F226" s="120" t="n"/>
      <c r="G226" s="120" t="n"/>
    </row>
    <row r="227" ht="15" customHeight="1" s="72">
      <c r="A227" s="117" t="n"/>
      <c r="B227" s="117" t="n"/>
      <c r="C227" s="118" t="n"/>
      <c r="D227" s="119" t="n"/>
      <c r="E227" s="120" t="n"/>
      <c r="F227" s="120" t="n"/>
      <c r="G227" s="120" t="n"/>
    </row>
    <row r="228" ht="15" customHeight="1" s="72">
      <c r="A228" s="117" t="n"/>
      <c r="B228" s="117" t="n"/>
      <c r="C228" s="118" t="n"/>
      <c r="D228" s="119" t="n"/>
      <c r="E228" s="120" t="n"/>
      <c r="F228" s="120" t="n"/>
      <c r="G228" s="120" t="n"/>
    </row>
    <row r="229" ht="15" customHeight="1" s="72">
      <c r="A229" s="117" t="n"/>
      <c r="B229" s="117" t="n"/>
      <c r="C229" s="118" t="n"/>
      <c r="D229" s="119" t="n"/>
      <c r="E229" s="120" t="n"/>
      <c r="F229" s="120" t="n"/>
      <c r="G229" s="120" t="n"/>
    </row>
    <row r="230" ht="15" customHeight="1" s="72">
      <c r="A230" s="117" t="n"/>
      <c r="B230" s="117" t="n"/>
      <c r="C230" s="118" t="n"/>
      <c r="D230" s="119" t="n"/>
      <c r="E230" s="120" t="n"/>
      <c r="F230" s="120" t="n"/>
      <c r="G230" s="120" t="n"/>
    </row>
    <row r="231" ht="15" customHeight="1" s="72">
      <c r="A231" s="117" t="n"/>
      <c r="B231" s="117" t="n"/>
      <c r="C231" s="118" t="n"/>
      <c r="D231" s="119" t="n"/>
      <c r="E231" s="120" t="n"/>
      <c r="F231" s="120" t="n"/>
      <c r="G231" s="120" t="n"/>
    </row>
    <row r="232" ht="15" customHeight="1" s="72">
      <c r="A232" s="117" t="n"/>
      <c r="B232" s="117" t="n"/>
      <c r="C232" s="118" t="n"/>
      <c r="D232" s="119" t="n"/>
      <c r="E232" s="120" t="n"/>
      <c r="F232" s="120" t="n"/>
      <c r="G232" s="120" t="n"/>
    </row>
    <row r="233" ht="15" customHeight="1" s="72">
      <c r="A233" s="117" t="n"/>
      <c r="B233" s="117" t="n"/>
      <c r="C233" s="118" t="n"/>
      <c r="D233" s="119" t="n"/>
      <c r="E233" s="120" t="n"/>
      <c r="F233" s="120" t="n"/>
      <c r="G233" s="120" t="n"/>
    </row>
    <row r="234" ht="15" customHeight="1" s="72">
      <c r="A234" s="117" t="n"/>
      <c r="B234" s="117" t="n"/>
      <c r="C234" s="118" t="n"/>
      <c r="D234" s="119" t="n"/>
      <c r="E234" s="120" t="n"/>
      <c r="F234" s="120" t="n"/>
      <c r="G234" s="120" t="n"/>
    </row>
    <row r="235" ht="15" customHeight="1" s="72">
      <c r="A235" s="117" t="n"/>
      <c r="B235" s="117" t="n"/>
      <c r="C235" s="118" t="n"/>
      <c r="D235" s="119" t="n"/>
      <c r="E235" s="120" t="n"/>
      <c r="F235" s="120" t="n"/>
      <c r="G235" s="120" t="n"/>
    </row>
    <row r="236" ht="15" customHeight="1" s="72">
      <c r="A236" s="117" t="n"/>
      <c r="B236" s="117" t="n"/>
      <c r="C236" s="118" t="n"/>
      <c r="D236" s="119" t="n"/>
      <c r="E236" s="120" t="n"/>
      <c r="F236" s="120" t="n"/>
      <c r="G236" s="120" t="n"/>
    </row>
    <row r="237" ht="15" customHeight="1" s="72">
      <c r="A237" s="117" t="n"/>
      <c r="B237" s="117" t="n"/>
      <c r="C237" s="118" t="n"/>
      <c r="D237" s="119" t="n"/>
      <c r="E237" s="120" t="n"/>
      <c r="F237" s="120" t="n"/>
      <c r="G237" s="120" t="n"/>
    </row>
    <row r="238" ht="15" customHeight="1" s="72">
      <c r="A238" s="117" t="n"/>
      <c r="B238" s="117" t="n"/>
      <c r="C238" s="118" t="n"/>
      <c r="D238" s="119" t="n"/>
      <c r="E238" s="120" t="n"/>
      <c r="F238" s="120" t="n"/>
      <c r="G238" s="120" t="n"/>
    </row>
    <row r="239" ht="15" customHeight="1" s="72">
      <c r="A239" s="117" t="n"/>
      <c r="B239" s="117" t="n"/>
      <c r="C239" s="118" t="n"/>
      <c r="D239" s="119" t="n"/>
      <c r="E239" s="120" t="n"/>
      <c r="F239" s="120" t="n"/>
      <c r="G239" s="120" t="n"/>
    </row>
    <row r="240" ht="15" customHeight="1" s="72">
      <c r="A240" s="117" t="n"/>
      <c r="B240" s="117" t="n"/>
      <c r="C240" s="118" t="n"/>
      <c r="D240" s="119" t="n"/>
      <c r="E240" s="120" t="n"/>
      <c r="F240" s="120" t="n"/>
      <c r="G240" s="120" t="n"/>
    </row>
    <row r="241" ht="15" customHeight="1" s="72">
      <c r="A241" s="117" t="n"/>
      <c r="B241" s="117" t="n"/>
      <c r="C241" s="118" t="n"/>
      <c r="D241" s="119" t="n"/>
      <c r="E241" s="120" t="n"/>
      <c r="F241" s="120" t="n"/>
      <c r="G241" s="120" t="n"/>
    </row>
    <row r="242" ht="15" customHeight="1" s="72">
      <c r="A242" s="117" t="n"/>
      <c r="B242" s="117" t="n"/>
      <c r="C242" s="118" t="n"/>
      <c r="D242" s="119" t="n"/>
      <c r="E242" s="120" t="n"/>
      <c r="F242" s="120" t="n"/>
      <c r="G242" s="120" t="n"/>
    </row>
    <row r="243" ht="15" customHeight="1" s="72">
      <c r="A243" s="117" t="n"/>
      <c r="B243" s="117" t="n"/>
      <c r="C243" s="118" t="n"/>
      <c r="D243" s="119" t="n"/>
      <c r="E243" s="120" t="n"/>
      <c r="F243" s="120" t="n"/>
      <c r="G243" s="120" t="n"/>
    </row>
    <row r="244" ht="15" customHeight="1" s="72">
      <c r="A244" s="117" t="n"/>
      <c r="B244" s="117" t="n"/>
      <c r="C244" s="118" t="n"/>
      <c r="D244" s="119" t="n"/>
      <c r="E244" s="120" t="n"/>
      <c r="F244" s="120" t="n"/>
      <c r="G244" s="120" t="n"/>
    </row>
    <row r="245" ht="15" customHeight="1" s="72">
      <c r="A245" s="117" t="n"/>
      <c r="B245" s="117" t="n"/>
      <c r="C245" s="118" t="n"/>
      <c r="D245" s="119" t="n"/>
      <c r="E245" s="120" t="n"/>
      <c r="F245" s="120" t="n"/>
      <c r="G245" s="120" t="n"/>
    </row>
    <row r="246" ht="15" customHeight="1" s="72">
      <c r="A246" s="117" t="n"/>
      <c r="B246" s="117" t="n"/>
      <c r="C246" s="118" t="n"/>
      <c r="D246" s="119" t="n"/>
      <c r="E246" s="120" t="n"/>
      <c r="F246" s="120" t="n"/>
      <c r="G246" s="120" t="n"/>
    </row>
    <row r="247" ht="15" customHeight="1" s="72">
      <c r="A247" s="117" t="n"/>
      <c r="B247" s="117" t="n"/>
      <c r="C247" s="118" t="n"/>
      <c r="D247" s="119" t="n"/>
      <c r="E247" s="120" t="n"/>
      <c r="F247" s="120" t="n"/>
      <c r="G247" s="120" t="n"/>
    </row>
    <row r="248" ht="15" customHeight="1" s="72">
      <c r="A248" s="117" t="n"/>
      <c r="B248" s="117" t="n"/>
      <c r="C248" s="118" t="n"/>
      <c r="D248" s="119" t="n"/>
      <c r="E248" s="120" t="n"/>
      <c r="F248" s="120" t="n"/>
      <c r="G248" s="120" t="n"/>
    </row>
    <row r="249" ht="15" customHeight="1" s="72">
      <c r="A249" s="117" t="n"/>
      <c r="B249" s="117" t="n"/>
      <c r="C249" s="118" t="n"/>
      <c r="D249" s="119" t="n"/>
      <c r="E249" s="120" t="n"/>
      <c r="F249" s="120" t="n"/>
      <c r="G249" s="120" t="n"/>
    </row>
    <row r="250" ht="15" customHeight="1" s="72">
      <c r="A250" s="117" t="n"/>
      <c r="B250" s="117" t="n"/>
      <c r="C250" s="118" t="n"/>
      <c r="D250" s="119" t="n"/>
      <c r="E250" s="120" t="n"/>
      <c r="F250" s="120" t="n"/>
      <c r="G250" s="120" t="n"/>
    </row>
    <row r="251" ht="15" customHeight="1" s="72">
      <c r="A251" s="117" t="n"/>
      <c r="B251" s="117" t="n"/>
      <c r="C251" s="118" t="n"/>
      <c r="D251" s="119" t="n"/>
      <c r="E251" s="120" t="n"/>
      <c r="F251" s="120" t="n"/>
      <c r="G251" s="120" t="n"/>
    </row>
    <row r="252" ht="15" customHeight="1" s="72">
      <c r="A252" s="117" t="n"/>
      <c r="B252" s="117" t="n"/>
      <c r="C252" s="118" t="n"/>
      <c r="D252" s="119" t="n"/>
      <c r="E252" s="120" t="n"/>
      <c r="F252" s="120" t="n"/>
      <c r="G252" s="120" t="n"/>
    </row>
    <row r="253" ht="15" customHeight="1" s="72">
      <c r="A253" s="117" t="n"/>
      <c r="B253" s="117" t="n"/>
      <c r="C253" s="118" t="n"/>
      <c r="D253" s="119" t="n"/>
      <c r="E253" s="120" t="n"/>
      <c r="F253" s="120" t="n"/>
      <c r="G253" s="120" t="n"/>
    </row>
    <row r="254" ht="15" customHeight="1" s="72">
      <c r="A254" s="117" t="n"/>
      <c r="B254" s="117" t="n"/>
      <c r="C254" s="118" t="n"/>
      <c r="D254" s="119" t="n"/>
      <c r="E254" s="120" t="n"/>
      <c r="F254" s="120" t="n"/>
      <c r="G254" s="120" t="n"/>
    </row>
    <row r="255" ht="15" customHeight="1" s="72">
      <c r="A255" s="117" t="n"/>
      <c r="B255" s="117" t="n"/>
      <c r="C255" s="118" t="n"/>
      <c r="D255" s="119" t="n"/>
      <c r="E255" s="120" t="n"/>
      <c r="F255" s="120" t="n"/>
      <c r="G255" s="120" t="n"/>
    </row>
    <row r="256" ht="15" customHeight="1" s="72">
      <c r="A256" s="117" t="n"/>
      <c r="B256" s="117" t="n"/>
      <c r="C256" s="118" t="n"/>
      <c r="D256" s="119" t="n"/>
      <c r="E256" s="120" t="n"/>
      <c r="F256" s="120" t="n"/>
      <c r="G256" s="120" t="n"/>
    </row>
    <row r="257" ht="15" customHeight="1" s="72">
      <c r="A257" s="117" t="n"/>
      <c r="B257" s="117" t="n"/>
      <c r="C257" s="118" t="n"/>
      <c r="D257" s="119" t="n"/>
      <c r="E257" s="120" t="n"/>
      <c r="F257" s="120" t="n"/>
      <c r="G257" s="120" t="n"/>
    </row>
    <row r="258" ht="15" customHeight="1" s="72">
      <c r="A258" s="117" t="n"/>
      <c r="B258" s="117" t="n"/>
      <c r="C258" s="118" t="n"/>
      <c r="D258" s="119" t="n"/>
      <c r="E258" s="120" t="n"/>
      <c r="F258" s="120" t="n"/>
      <c r="G258" s="120" t="n"/>
    </row>
    <row r="259" ht="15" customHeight="1" s="72">
      <c r="A259" s="117" t="n"/>
      <c r="B259" s="117" t="n"/>
      <c r="C259" s="118" t="n"/>
      <c r="D259" s="119" t="n"/>
      <c r="E259" s="120" t="n"/>
      <c r="F259" s="120" t="n"/>
      <c r="G259" s="120" t="n"/>
    </row>
    <row r="260" ht="15" customHeight="1" s="72">
      <c r="A260" s="117" t="n"/>
      <c r="B260" s="117" t="n"/>
      <c r="C260" s="118" t="n"/>
      <c r="D260" s="119" t="n"/>
      <c r="E260" s="120" t="n"/>
      <c r="F260" s="120" t="n"/>
      <c r="G260" s="120" t="n"/>
    </row>
    <row r="261" ht="15" customHeight="1" s="72">
      <c r="A261" s="117" t="n"/>
      <c r="B261" s="117" t="n"/>
      <c r="C261" s="118" t="n"/>
      <c r="D261" s="119" t="n"/>
      <c r="E261" s="120" t="n"/>
      <c r="F261" s="120" t="n"/>
      <c r="G261" s="120" t="n"/>
    </row>
    <row r="262" ht="15" customHeight="1" s="72">
      <c r="A262" s="117" t="n"/>
      <c r="B262" s="117" t="n"/>
      <c r="C262" s="118" t="n"/>
      <c r="D262" s="119" t="n"/>
      <c r="E262" s="120" t="n"/>
      <c r="F262" s="120" t="n"/>
      <c r="G262" s="120" t="n"/>
    </row>
    <row r="263" ht="15" customHeight="1" s="72">
      <c r="A263" s="117" t="n"/>
      <c r="B263" s="117" t="n"/>
      <c r="C263" s="118" t="n"/>
      <c r="D263" s="119" t="n"/>
      <c r="E263" s="120" t="n"/>
      <c r="F263" s="120" t="n"/>
      <c r="G263" s="120" t="n"/>
    </row>
    <row r="264" ht="15" customHeight="1" s="72">
      <c r="A264" s="117" t="n"/>
      <c r="B264" s="117" t="n"/>
      <c r="C264" s="118" t="n"/>
      <c r="D264" s="119" t="n"/>
      <c r="E264" s="120" t="n"/>
      <c r="F264" s="120" t="n"/>
      <c r="G264" s="120" t="n"/>
    </row>
    <row r="265" ht="15" customHeight="1" s="72">
      <c r="A265" s="117" t="n"/>
      <c r="B265" s="117" t="n"/>
      <c r="C265" s="118" t="n"/>
      <c r="D265" s="119" t="n"/>
      <c r="E265" s="120" t="n"/>
      <c r="F265" s="120" t="n"/>
      <c r="G265" s="120" t="n"/>
    </row>
    <row r="266" ht="15" customHeight="1" s="72">
      <c r="A266" s="117" t="n"/>
      <c r="B266" s="117" t="n"/>
      <c r="C266" s="118" t="n"/>
      <c r="D266" s="119" t="n"/>
      <c r="E266" s="120" t="n"/>
      <c r="F266" s="120" t="n"/>
      <c r="G266" s="120" t="n"/>
    </row>
    <row r="267" ht="15" customHeight="1" s="72">
      <c r="A267" s="117" t="n"/>
      <c r="B267" s="117" t="n"/>
      <c r="C267" s="118" t="n"/>
      <c r="D267" s="119" t="n"/>
      <c r="E267" s="120" t="n"/>
      <c r="F267" s="120" t="n"/>
      <c r="G267" s="120" t="n"/>
    </row>
    <row r="268" ht="15" customHeight="1" s="72">
      <c r="A268" s="117" t="n"/>
      <c r="B268" s="117" t="n"/>
      <c r="C268" s="118" t="n"/>
      <c r="D268" s="119" t="n"/>
      <c r="E268" s="120" t="n"/>
      <c r="F268" s="120" t="n"/>
      <c r="G268" s="120" t="n"/>
    </row>
    <row r="269" ht="15" customHeight="1" s="72">
      <c r="A269" s="117" t="n"/>
      <c r="B269" s="117" t="n"/>
      <c r="C269" s="118" t="n"/>
      <c r="D269" s="119" t="n"/>
      <c r="E269" s="120" t="n"/>
      <c r="F269" s="120" t="n"/>
      <c r="G269" s="120" t="n"/>
    </row>
    <row r="270" ht="15" customHeight="1" s="72">
      <c r="A270" s="117" t="n"/>
      <c r="B270" s="117" t="n"/>
      <c r="C270" s="118" t="n"/>
      <c r="D270" s="119" t="n"/>
      <c r="E270" s="120" t="n"/>
      <c r="F270" s="120" t="n"/>
      <c r="G270" s="120" t="n"/>
    </row>
    <row r="271" ht="15" customHeight="1" s="72">
      <c r="A271" s="117" t="n"/>
      <c r="B271" s="117" t="n"/>
      <c r="C271" s="118" t="n"/>
      <c r="D271" s="119" t="n"/>
      <c r="E271" s="120" t="n"/>
      <c r="F271" s="120" t="n"/>
      <c r="G271" s="120" t="n"/>
    </row>
    <row r="272" ht="15" customHeight="1" s="72">
      <c r="A272" s="117" t="n"/>
      <c r="B272" s="117" t="n"/>
      <c r="C272" s="118" t="n"/>
      <c r="D272" s="119" t="n"/>
      <c r="E272" s="120" t="n"/>
      <c r="F272" s="120" t="n"/>
      <c r="G272" s="120" t="n"/>
    </row>
    <row r="273" ht="15" customHeight="1" s="72">
      <c r="A273" s="117" t="n"/>
      <c r="B273" s="117" t="n"/>
      <c r="C273" s="118" t="n"/>
      <c r="D273" s="119" t="n"/>
      <c r="E273" s="120" t="n"/>
      <c r="F273" s="120" t="n"/>
      <c r="G273" s="120" t="n"/>
    </row>
    <row r="274" ht="15" customHeight="1" s="72">
      <c r="A274" s="117" t="n"/>
      <c r="B274" s="117" t="n"/>
      <c r="C274" s="118" t="n"/>
      <c r="D274" s="119" t="n"/>
      <c r="E274" s="120" t="n"/>
      <c r="F274" s="120" t="n"/>
      <c r="G274" s="120" t="n"/>
    </row>
    <row r="275" ht="15" customHeight="1" s="72">
      <c r="A275" s="117" t="n"/>
      <c r="B275" s="117" t="n"/>
      <c r="C275" s="118" t="n"/>
      <c r="D275" s="119" t="n"/>
      <c r="E275" s="120" t="n"/>
      <c r="F275" s="120" t="n"/>
      <c r="G275" s="120" t="n"/>
    </row>
    <row r="276" ht="15" customHeight="1" s="72">
      <c r="A276" s="117" t="n"/>
      <c r="B276" s="117" t="n"/>
      <c r="C276" s="118" t="n"/>
      <c r="D276" s="119" t="n"/>
      <c r="E276" s="120" t="n"/>
      <c r="F276" s="120" t="n"/>
      <c r="G276" s="120" t="n"/>
    </row>
    <row r="277" ht="15" customHeight="1" s="72">
      <c r="A277" s="117" t="n"/>
      <c r="B277" s="117" t="n"/>
      <c r="C277" s="118" t="n"/>
      <c r="D277" s="119" t="n"/>
      <c r="E277" s="120" t="n"/>
      <c r="F277" s="120" t="n"/>
      <c r="G277" s="120" t="n"/>
    </row>
    <row r="278" ht="15" customHeight="1" s="72">
      <c r="A278" s="117" t="n"/>
      <c r="B278" s="117" t="n"/>
      <c r="C278" s="118" t="n"/>
      <c r="D278" s="119" t="n"/>
      <c r="E278" s="120" t="n"/>
      <c r="F278" s="120" t="n"/>
      <c r="G278" s="120" t="n"/>
    </row>
    <row r="279" ht="15" customHeight="1" s="72">
      <c r="A279" s="117" t="n"/>
      <c r="B279" s="117" t="n"/>
      <c r="C279" s="118" t="n"/>
      <c r="D279" s="119" t="n"/>
      <c r="E279" s="120" t="n"/>
      <c r="F279" s="120" t="n"/>
      <c r="G279" s="120" t="n"/>
    </row>
    <row r="280" ht="15" customHeight="1" s="72">
      <c r="A280" s="117" t="n"/>
      <c r="B280" s="117" t="n"/>
      <c r="C280" s="118" t="n"/>
      <c r="D280" s="119" t="n"/>
      <c r="E280" s="120" t="n"/>
      <c r="F280" s="120" t="n"/>
      <c r="G280" s="120" t="n"/>
    </row>
    <row r="281" ht="15" customHeight="1" s="72">
      <c r="A281" s="117" t="n"/>
      <c r="B281" s="117" t="n"/>
      <c r="C281" s="118" t="n"/>
      <c r="D281" s="119" t="n"/>
      <c r="E281" s="120" t="n"/>
      <c r="F281" s="120" t="n"/>
      <c r="G281" s="120" t="n"/>
    </row>
    <row r="282" ht="15" customHeight="1" s="72">
      <c r="A282" s="117" t="n"/>
      <c r="B282" s="117" t="n"/>
      <c r="C282" s="118" t="n"/>
      <c r="D282" s="119" t="n"/>
      <c r="E282" s="120" t="n"/>
      <c r="F282" s="120" t="n"/>
      <c r="G282" s="120" t="n"/>
    </row>
    <row r="283" ht="15" customHeight="1" s="72">
      <c r="A283" s="117" t="n"/>
      <c r="B283" s="117" t="n"/>
      <c r="C283" s="118" t="n"/>
      <c r="D283" s="119" t="n"/>
      <c r="E283" s="120" t="n"/>
      <c r="F283" s="120" t="n"/>
      <c r="G283" s="120" t="n"/>
    </row>
    <row r="284" ht="15" customHeight="1" s="72">
      <c r="A284" s="117" t="n"/>
      <c r="B284" s="117" t="n"/>
      <c r="C284" s="118" t="n"/>
      <c r="D284" s="119" t="n"/>
      <c r="E284" s="120" t="n"/>
      <c r="F284" s="120" t="n"/>
      <c r="G284" s="120" t="n"/>
    </row>
    <row r="285" ht="15" customHeight="1" s="72">
      <c r="A285" s="117" t="n"/>
      <c r="B285" s="117" t="n"/>
      <c r="C285" s="118" t="n"/>
      <c r="D285" s="119" t="n"/>
      <c r="E285" s="120" t="n"/>
      <c r="F285" s="120" t="n"/>
      <c r="G285" s="120" t="n"/>
    </row>
    <row r="286" ht="15" customHeight="1" s="72">
      <c r="A286" s="117" t="n"/>
      <c r="B286" s="117" t="n"/>
      <c r="C286" s="118" t="n"/>
      <c r="D286" s="119" t="n"/>
      <c r="E286" s="120" t="n"/>
      <c r="F286" s="120" t="n"/>
      <c r="G286" s="120" t="n"/>
    </row>
    <row r="287" ht="15" customHeight="1" s="72">
      <c r="A287" s="117" t="n"/>
      <c r="B287" s="117" t="n"/>
      <c r="C287" s="118" t="n"/>
      <c r="D287" s="119" t="n"/>
      <c r="E287" s="120" t="n"/>
      <c r="F287" s="120" t="n"/>
      <c r="G287" s="120" t="n"/>
    </row>
    <row r="288" ht="15" customHeight="1" s="72">
      <c r="A288" s="117" t="n"/>
      <c r="B288" s="117" t="n"/>
      <c r="C288" s="118" t="n"/>
      <c r="D288" s="119" t="n"/>
      <c r="E288" s="120" t="n"/>
      <c r="F288" s="120" t="n"/>
      <c r="G288" s="120" t="n"/>
    </row>
    <row r="289" ht="15" customHeight="1" s="72">
      <c r="A289" s="117" t="n"/>
      <c r="B289" s="117" t="n"/>
      <c r="C289" s="118" t="n"/>
      <c r="D289" s="119" t="n"/>
      <c r="E289" s="120" t="n"/>
      <c r="F289" s="120" t="n"/>
      <c r="G289" s="120" t="n"/>
    </row>
    <row r="290" ht="15" customHeight="1" s="72">
      <c r="A290" s="117" t="n"/>
      <c r="B290" s="117" t="n"/>
      <c r="C290" s="118" t="n"/>
      <c r="D290" s="119" t="n"/>
      <c r="E290" s="120" t="n"/>
      <c r="F290" s="120" t="n"/>
      <c r="G290" s="120" t="n"/>
    </row>
    <row r="291" ht="15" customHeight="1" s="72">
      <c r="A291" s="117" t="n"/>
      <c r="B291" s="117" t="n"/>
      <c r="C291" s="118" t="n"/>
      <c r="D291" s="119" t="n"/>
      <c r="E291" s="120" t="n"/>
      <c r="F291" s="120" t="n"/>
      <c r="G291" s="120" t="n"/>
    </row>
    <row r="292" ht="15" customHeight="1" s="72">
      <c r="A292" s="117" t="n"/>
      <c r="B292" s="117" t="n"/>
      <c r="C292" s="118" t="n"/>
      <c r="D292" s="119" t="n"/>
      <c r="E292" s="120" t="n"/>
      <c r="F292" s="120" t="n"/>
      <c r="G292" s="120" t="n"/>
    </row>
    <row r="293" ht="15" customHeight="1" s="72">
      <c r="A293" s="117" t="n"/>
      <c r="B293" s="117" t="n"/>
      <c r="C293" s="118" t="n"/>
      <c r="D293" s="119" t="n"/>
      <c r="E293" s="120" t="n"/>
      <c r="F293" s="120" t="n"/>
      <c r="G293" s="120" t="n"/>
    </row>
    <row r="294" ht="15" customHeight="1" s="72">
      <c r="A294" s="117" t="n"/>
      <c r="B294" s="117" t="n"/>
      <c r="C294" s="118" t="n"/>
      <c r="D294" s="119" t="n"/>
      <c r="E294" s="120" t="n"/>
      <c r="F294" s="120" t="n"/>
      <c r="G294" s="120" t="n"/>
    </row>
    <row r="295" ht="15" customHeight="1" s="72">
      <c r="A295" s="117" t="n"/>
      <c r="B295" s="117" t="n"/>
      <c r="C295" s="118" t="n"/>
      <c r="D295" s="119" t="n"/>
      <c r="E295" s="120" t="n"/>
      <c r="F295" s="120" t="n"/>
      <c r="G295" s="120" t="n"/>
    </row>
    <row r="296" ht="15" customHeight="1" s="72">
      <c r="A296" s="117" t="n"/>
      <c r="B296" s="117" t="n"/>
      <c r="C296" s="118" t="n"/>
      <c r="D296" s="119" t="n"/>
      <c r="E296" s="120" t="n"/>
      <c r="F296" s="120" t="n"/>
      <c r="G296" s="120" t="n"/>
    </row>
    <row r="297" ht="15" customHeight="1" s="72">
      <c r="A297" s="117" t="n"/>
      <c r="B297" s="117" t="n"/>
      <c r="C297" s="118" t="n"/>
      <c r="D297" s="119" t="n"/>
      <c r="E297" s="120" t="n"/>
      <c r="F297" s="120" t="n"/>
      <c r="G297" s="120" t="n"/>
    </row>
    <row r="298" ht="15" customHeight="1" s="72">
      <c r="A298" s="117" t="n"/>
      <c r="B298" s="117" t="n"/>
      <c r="C298" s="118" t="n"/>
      <c r="D298" s="119" t="n"/>
      <c r="E298" s="120" t="n"/>
      <c r="F298" s="120" t="n"/>
      <c r="G298" s="120" t="n"/>
    </row>
    <row r="299" ht="15" customHeight="1" s="72">
      <c r="A299" s="117" t="n"/>
      <c r="B299" s="117" t="n"/>
      <c r="C299" s="118" t="n"/>
      <c r="D299" s="119" t="n"/>
      <c r="E299" s="120" t="n"/>
      <c r="F299" s="120" t="n"/>
      <c r="G299" s="120" t="n"/>
    </row>
    <row r="300" ht="15" customHeight="1" s="72">
      <c r="A300" s="117" t="n"/>
      <c r="B300" s="117" t="n"/>
      <c r="C300" s="118" t="n"/>
      <c r="D300" s="119" t="n"/>
      <c r="E300" s="120" t="n"/>
      <c r="F300" s="120" t="n"/>
      <c r="G300" s="120" t="n"/>
    </row>
    <row r="301" ht="15" customHeight="1" s="72">
      <c r="A301" s="117" t="n"/>
      <c r="B301" s="117" t="n"/>
      <c r="C301" s="118" t="n"/>
      <c r="D301" s="119" t="n"/>
      <c r="E301" s="120" t="n"/>
      <c r="F301" s="120" t="n"/>
      <c r="G301" s="120" t="n"/>
    </row>
    <row r="302" ht="15" customHeight="1" s="72">
      <c r="A302" s="117" t="n"/>
      <c r="B302" s="117" t="n"/>
      <c r="C302" s="118" t="n"/>
      <c r="D302" s="119" t="n"/>
      <c r="E302" s="120" t="n"/>
      <c r="F302" s="120" t="n"/>
      <c r="G302" s="120" t="n"/>
    </row>
    <row r="303" ht="15" customHeight="1" s="72">
      <c r="A303" s="117" t="n"/>
      <c r="B303" s="117" t="n"/>
      <c r="C303" s="118" t="n"/>
      <c r="D303" s="119" t="n"/>
      <c r="E303" s="120" t="n"/>
      <c r="F303" s="120" t="n"/>
      <c r="G303" s="120" t="n"/>
    </row>
    <row r="304" ht="15" customHeight="1" s="72">
      <c r="A304" s="117" t="n"/>
      <c r="B304" s="117" t="n"/>
      <c r="C304" s="118" t="n"/>
      <c r="D304" s="119" t="n"/>
      <c r="E304" s="120" t="n"/>
      <c r="F304" s="120" t="n"/>
      <c r="G304" s="120" t="n"/>
    </row>
    <row r="305" ht="15" customHeight="1" s="72">
      <c r="A305" s="117" t="n"/>
      <c r="B305" s="117" t="n"/>
      <c r="C305" s="118" t="n"/>
      <c r="D305" s="119" t="n"/>
      <c r="E305" s="120" t="n"/>
      <c r="F305" s="120" t="n"/>
      <c r="G305" s="120" t="n"/>
    </row>
    <row r="306" ht="15" customHeight="1" s="72">
      <c r="A306" s="117" t="n"/>
      <c r="B306" s="117" t="n"/>
      <c r="C306" s="118" t="n"/>
      <c r="D306" s="119" t="n"/>
      <c r="E306" s="120" t="n"/>
      <c r="F306" s="120" t="n"/>
      <c r="G306" s="120" t="n"/>
    </row>
    <row r="307" ht="15" customHeight="1" s="72">
      <c r="A307" s="117" t="n"/>
      <c r="B307" s="117" t="n"/>
      <c r="C307" s="118" t="n"/>
      <c r="D307" s="119" t="n"/>
      <c r="E307" s="120" t="n"/>
      <c r="F307" s="120" t="n"/>
      <c r="G307" s="120" t="n"/>
    </row>
    <row r="308" ht="15" customHeight="1" s="72">
      <c r="A308" s="117" t="n"/>
      <c r="B308" s="117" t="n"/>
      <c r="C308" s="118" t="n"/>
      <c r="D308" s="119" t="n"/>
      <c r="E308" s="120" t="n"/>
      <c r="F308" s="120" t="n"/>
      <c r="G308" s="120" t="n"/>
    </row>
    <row r="309" ht="15" customHeight="1" s="72">
      <c r="A309" s="117" t="n"/>
      <c r="B309" s="117" t="n"/>
      <c r="C309" s="118" t="n"/>
      <c r="D309" s="119" t="n"/>
      <c r="E309" s="120" t="n"/>
      <c r="F309" s="120" t="n"/>
      <c r="G309" s="120" t="n"/>
    </row>
    <row r="310" ht="15" customHeight="1" s="72">
      <c r="A310" s="117" t="n"/>
      <c r="B310" s="117" t="n"/>
      <c r="C310" s="118" t="n"/>
      <c r="D310" s="119" t="n"/>
      <c r="E310" s="120" t="n"/>
      <c r="F310" s="120" t="n"/>
      <c r="G310" s="120" t="n"/>
    </row>
    <row r="311" ht="15" customHeight="1" s="72">
      <c r="A311" s="117" t="n"/>
      <c r="B311" s="117" t="n"/>
      <c r="C311" s="118" t="n"/>
      <c r="D311" s="119" t="n"/>
      <c r="E311" s="120" t="n"/>
      <c r="F311" s="120" t="n"/>
      <c r="G311" s="120" t="n"/>
    </row>
    <row r="312" ht="15" customHeight="1" s="72">
      <c r="A312" s="117" t="n"/>
      <c r="B312" s="117" t="n"/>
      <c r="C312" s="118" t="n"/>
      <c r="D312" s="119" t="n"/>
      <c r="E312" s="120" t="n"/>
      <c r="F312" s="120" t="n"/>
      <c r="G312" s="120" t="n"/>
    </row>
    <row r="313" ht="15" customHeight="1" s="72">
      <c r="A313" s="117" t="n"/>
      <c r="B313" s="117" t="n"/>
      <c r="C313" s="118" t="n"/>
      <c r="D313" s="119" t="n"/>
      <c r="E313" s="120" t="n"/>
      <c r="F313" s="120" t="n"/>
      <c r="G313" s="120" t="n"/>
    </row>
    <row r="314" ht="15" customHeight="1" s="72">
      <c r="A314" s="117" t="n"/>
      <c r="B314" s="117" t="n"/>
      <c r="C314" s="118" t="n"/>
      <c r="D314" s="119" t="n"/>
      <c r="E314" s="120" t="n"/>
      <c r="F314" s="120" t="n"/>
      <c r="G314" s="120" t="n"/>
    </row>
    <row r="315" ht="15" customHeight="1" s="72">
      <c r="A315" s="117" t="n"/>
      <c r="B315" s="117" t="n"/>
      <c r="C315" s="118" t="n"/>
      <c r="D315" s="119" t="n"/>
      <c r="E315" s="120" t="n"/>
      <c r="F315" s="120" t="n"/>
      <c r="G315" s="120" t="n"/>
    </row>
    <row r="316" ht="15" customHeight="1" s="72">
      <c r="A316" s="117" t="n"/>
      <c r="B316" s="117" t="n"/>
      <c r="C316" s="118" t="n"/>
      <c r="D316" s="119" t="n"/>
      <c r="E316" s="120" t="n"/>
      <c r="F316" s="120" t="n"/>
      <c r="G316" s="120" t="n"/>
    </row>
    <row r="317" ht="15" customHeight="1" s="72">
      <c r="A317" s="117" t="n"/>
      <c r="B317" s="117" t="n"/>
      <c r="C317" s="118" t="n"/>
      <c r="D317" s="119" t="n"/>
      <c r="E317" s="120" t="n"/>
      <c r="F317" s="120" t="n"/>
      <c r="G317" s="120" t="n"/>
    </row>
    <row r="318" ht="15" customHeight="1" s="72">
      <c r="A318" s="117" t="n"/>
      <c r="B318" s="117" t="n"/>
      <c r="C318" s="118" t="n"/>
      <c r="D318" s="119" t="n"/>
      <c r="E318" s="120" t="n"/>
      <c r="F318" s="120" t="n"/>
      <c r="G318" s="120" t="n"/>
    </row>
    <row r="319" ht="15" customHeight="1" s="72">
      <c r="A319" s="117" t="n"/>
      <c r="B319" s="117" t="n"/>
      <c r="C319" s="118" t="n"/>
      <c r="D319" s="119" t="n"/>
      <c r="E319" s="120" t="n"/>
      <c r="F319" s="120" t="n"/>
      <c r="G319" s="120" t="n"/>
    </row>
    <row r="320" ht="15" customHeight="1" s="72">
      <c r="A320" s="117" t="n"/>
      <c r="B320" s="117" t="n"/>
      <c r="C320" s="118" t="n"/>
      <c r="D320" s="119" t="n"/>
      <c r="E320" s="120" t="n"/>
      <c r="F320" s="120" t="n"/>
      <c r="G320" s="120" t="n"/>
    </row>
    <row r="321" ht="15" customHeight="1" s="72">
      <c r="A321" s="117" t="n"/>
      <c r="B321" s="117" t="n"/>
      <c r="C321" s="118" t="n"/>
      <c r="D321" s="119" t="n"/>
      <c r="E321" s="120" t="n"/>
      <c r="F321" s="120" t="n"/>
      <c r="G321" s="120" t="n"/>
    </row>
    <row r="322" ht="15" customHeight="1" s="72">
      <c r="A322" s="117" t="n"/>
      <c r="B322" s="117" t="n"/>
      <c r="C322" s="118" t="n"/>
      <c r="D322" s="119" t="n"/>
      <c r="E322" s="120" t="n"/>
      <c r="F322" s="120" t="n"/>
      <c r="G322" s="120" t="n"/>
    </row>
    <row r="323" ht="15" customHeight="1" s="72">
      <c r="A323" s="117" t="n"/>
      <c r="B323" s="117" t="n"/>
      <c r="C323" s="118" t="n"/>
      <c r="D323" s="119" t="n"/>
      <c r="E323" s="120" t="n"/>
      <c r="F323" s="120" t="n"/>
      <c r="G323" s="120" t="n"/>
    </row>
    <row r="324" ht="15" customHeight="1" s="72">
      <c r="A324" s="117" t="n"/>
      <c r="B324" s="117" t="n"/>
      <c r="C324" s="118" t="n"/>
      <c r="D324" s="119" t="n"/>
      <c r="E324" s="120" t="n"/>
      <c r="F324" s="120" t="n"/>
      <c r="G324" s="120" t="n"/>
    </row>
    <row r="325" ht="15" customHeight="1" s="72">
      <c r="A325" s="117" t="n"/>
      <c r="B325" s="117" t="n"/>
      <c r="C325" s="118" t="n"/>
      <c r="D325" s="119" t="n"/>
      <c r="E325" s="120" t="n"/>
      <c r="F325" s="120" t="n"/>
      <c r="G325" s="120" t="n"/>
    </row>
    <row r="326" ht="15" customHeight="1" s="72">
      <c r="A326" s="117" t="n"/>
      <c r="B326" s="117" t="n"/>
      <c r="C326" s="118" t="n"/>
      <c r="D326" s="119" t="n"/>
      <c r="E326" s="120" t="n"/>
      <c r="F326" s="120" t="n"/>
      <c r="G326" s="120" t="n"/>
    </row>
    <row r="327" ht="15" customHeight="1" s="72">
      <c r="A327" s="117" t="n"/>
      <c r="B327" s="117" t="n"/>
      <c r="C327" s="118" t="n"/>
      <c r="D327" s="119" t="n"/>
      <c r="E327" s="120" t="n"/>
      <c r="F327" s="120" t="n"/>
      <c r="G327" s="120" t="n"/>
    </row>
    <row r="328" ht="15" customHeight="1" s="72">
      <c r="A328" s="117" t="n"/>
      <c r="B328" s="117" t="n"/>
      <c r="C328" s="118" t="n"/>
      <c r="D328" s="119" t="n"/>
      <c r="E328" s="120" t="n"/>
      <c r="F328" s="120" t="n"/>
      <c r="G328" s="120" t="n"/>
    </row>
    <row r="329" ht="15" customHeight="1" s="72">
      <c r="A329" s="117" t="n"/>
      <c r="B329" s="117" t="n"/>
      <c r="C329" s="118" t="n"/>
      <c r="D329" s="119" t="n"/>
      <c r="E329" s="120" t="n"/>
      <c r="F329" s="120" t="n"/>
      <c r="G329" s="120" t="n"/>
    </row>
    <row r="330" ht="15" customHeight="1" s="72">
      <c r="A330" s="117" t="n"/>
      <c r="B330" s="117" t="n"/>
      <c r="C330" s="118" t="n"/>
      <c r="D330" s="119" t="n"/>
      <c r="E330" s="120" t="n"/>
      <c r="F330" s="120" t="n"/>
      <c r="G330" s="120" t="n"/>
    </row>
    <row r="331" ht="15" customHeight="1" s="72">
      <c r="A331" s="117" t="n"/>
      <c r="B331" s="117" t="n"/>
      <c r="C331" s="118" t="n"/>
      <c r="D331" s="119" t="n"/>
      <c r="E331" s="120" t="n"/>
      <c r="F331" s="120" t="n"/>
      <c r="G331" s="120" t="n"/>
    </row>
    <row r="332" ht="15" customHeight="1" s="72">
      <c r="A332" s="117" t="n"/>
      <c r="B332" s="117" t="n"/>
      <c r="C332" s="118" t="n"/>
      <c r="D332" s="119" t="n"/>
      <c r="E332" s="120" t="n"/>
      <c r="F332" s="120" t="n"/>
      <c r="G332" s="120" t="n"/>
    </row>
    <row r="333" ht="15" customHeight="1" s="72">
      <c r="A333" s="117" t="n"/>
      <c r="B333" s="117" t="n"/>
      <c r="C333" s="118" t="n"/>
      <c r="D333" s="119" t="n"/>
      <c r="E333" s="120" t="n"/>
      <c r="F333" s="120" t="n"/>
      <c r="G333" s="120" t="n"/>
    </row>
    <row r="334" ht="15" customHeight="1" s="72">
      <c r="A334" s="117" t="n"/>
      <c r="B334" s="117" t="n"/>
      <c r="C334" s="118" t="n"/>
      <c r="D334" s="119" t="n"/>
      <c r="E334" s="120" t="n"/>
      <c r="F334" s="120" t="n"/>
      <c r="G334" s="120" t="n"/>
    </row>
    <row r="335" ht="15" customHeight="1" s="72">
      <c r="A335" s="117" t="n"/>
      <c r="B335" s="117" t="n"/>
      <c r="C335" s="118" t="n"/>
      <c r="D335" s="119" t="n"/>
      <c r="E335" s="120" t="n"/>
      <c r="F335" s="120" t="n"/>
      <c r="G335" s="120" t="n"/>
    </row>
    <row r="336" ht="15" customHeight="1" s="72">
      <c r="A336" s="117" t="n"/>
      <c r="B336" s="117" t="n"/>
      <c r="C336" s="118" t="n"/>
      <c r="D336" s="119" t="n"/>
      <c r="E336" s="120" t="n"/>
      <c r="F336" s="120" t="n"/>
      <c r="G336" s="120" t="n"/>
    </row>
    <row r="337" ht="15" customHeight="1" s="72">
      <c r="A337" s="117" t="n"/>
      <c r="B337" s="117" t="n"/>
      <c r="C337" s="118" t="n"/>
      <c r="D337" s="119" t="n"/>
      <c r="E337" s="120" t="n"/>
      <c r="F337" s="120" t="n"/>
      <c r="G337" s="120" t="n"/>
    </row>
    <row r="338" ht="15" customHeight="1" s="72">
      <c r="A338" s="117" t="n"/>
      <c r="B338" s="117" t="n"/>
      <c r="C338" s="118" t="n"/>
      <c r="D338" s="119" t="n"/>
      <c r="E338" s="120" t="n"/>
      <c r="F338" s="120" t="n"/>
      <c r="G338" s="120" t="n"/>
    </row>
    <row r="339" ht="15" customHeight="1" s="72">
      <c r="A339" s="117" t="n"/>
      <c r="B339" s="117" t="n"/>
      <c r="C339" s="118" t="n"/>
      <c r="D339" s="119" t="n"/>
      <c r="E339" s="120" t="n"/>
      <c r="F339" s="120" t="n"/>
      <c r="G339" s="120" t="n"/>
    </row>
    <row r="340" ht="15" customHeight="1" s="72">
      <c r="A340" s="117" t="n"/>
      <c r="B340" s="117" t="n"/>
      <c r="C340" s="118" t="n"/>
      <c r="D340" s="119" t="n"/>
      <c r="E340" s="120" t="n"/>
      <c r="F340" s="120" t="n"/>
      <c r="G340" s="120" t="n"/>
    </row>
    <row r="341" ht="15" customHeight="1" s="72">
      <c r="A341" s="117" t="n"/>
      <c r="B341" s="117" t="n"/>
      <c r="C341" s="118" t="n"/>
      <c r="D341" s="119" t="n"/>
      <c r="E341" s="120" t="n"/>
      <c r="F341" s="120" t="n"/>
      <c r="G341" s="120" t="n"/>
    </row>
    <row r="342" ht="15" customHeight="1" s="72">
      <c r="A342" s="117" t="n"/>
      <c r="B342" s="117" t="n"/>
      <c r="C342" s="118" t="n"/>
      <c r="D342" s="119" t="n"/>
      <c r="E342" s="120" t="n"/>
      <c r="F342" s="120" t="n"/>
      <c r="G342" s="120" t="n"/>
    </row>
    <row r="343" ht="15" customHeight="1" s="72">
      <c r="A343" s="117" t="n"/>
      <c r="B343" s="117" t="n"/>
      <c r="C343" s="118" t="n"/>
      <c r="D343" s="119" t="n"/>
      <c r="E343" s="120" t="n"/>
      <c r="F343" s="120" t="n"/>
      <c r="G343" s="120" t="n"/>
    </row>
    <row r="344" ht="15" customHeight="1" s="72">
      <c r="A344" s="117" t="n"/>
      <c r="B344" s="117" t="n"/>
      <c r="C344" s="118" t="n"/>
      <c r="D344" s="119" t="n"/>
      <c r="E344" s="120" t="n"/>
      <c r="F344" s="120" t="n"/>
      <c r="G344" s="120" t="n"/>
    </row>
    <row r="345" ht="15" customHeight="1" s="72">
      <c r="A345" s="117" t="n"/>
      <c r="B345" s="117" t="n"/>
      <c r="C345" s="118" t="n"/>
      <c r="D345" s="119" t="n"/>
      <c r="E345" s="120" t="n"/>
      <c r="F345" s="120" t="n"/>
      <c r="G345" s="120" t="n"/>
    </row>
    <row r="346" ht="15" customHeight="1" s="72">
      <c r="A346" s="117" t="n"/>
      <c r="B346" s="117" t="n"/>
      <c r="C346" s="118" t="n"/>
      <c r="D346" s="119" t="n"/>
      <c r="E346" s="120" t="n"/>
      <c r="F346" s="120" t="n"/>
      <c r="G346" s="120" t="n"/>
    </row>
    <row r="347" ht="15" customHeight="1" s="72">
      <c r="A347" s="117" t="n"/>
      <c r="B347" s="117" t="n"/>
      <c r="C347" s="118" t="n"/>
      <c r="D347" s="119" t="n"/>
      <c r="E347" s="120" t="n"/>
      <c r="F347" s="120" t="n"/>
      <c r="G347" s="120" t="n"/>
    </row>
    <row r="348" ht="15" customHeight="1" s="72">
      <c r="A348" s="117" t="n"/>
      <c r="B348" s="117" t="n"/>
      <c r="C348" s="118" t="n"/>
      <c r="D348" s="119" t="n"/>
      <c r="E348" s="120" t="n"/>
      <c r="F348" s="120" t="n"/>
      <c r="G348" s="120" t="n"/>
    </row>
    <row r="349" ht="15" customHeight="1" s="72">
      <c r="A349" s="117" t="n"/>
      <c r="B349" s="117" t="n"/>
      <c r="C349" s="118" t="n"/>
      <c r="D349" s="119" t="n"/>
      <c r="E349" s="120" t="n"/>
      <c r="F349" s="120" t="n"/>
      <c r="G349" s="120" t="n"/>
    </row>
    <row r="350" ht="15" customHeight="1" s="72">
      <c r="A350" s="117" t="n"/>
      <c r="B350" s="117" t="n"/>
      <c r="C350" s="118" t="n"/>
      <c r="D350" s="119" t="n"/>
      <c r="E350" s="120" t="n"/>
      <c r="F350" s="120" t="n"/>
      <c r="G350" s="120" t="n"/>
    </row>
    <row r="351" ht="15" customHeight="1" s="72">
      <c r="A351" s="117" t="n"/>
      <c r="B351" s="117" t="n"/>
      <c r="C351" s="118" t="n"/>
      <c r="D351" s="119" t="n"/>
      <c r="E351" s="120" t="n"/>
      <c r="F351" s="120" t="n"/>
      <c r="G351" s="120" t="n"/>
    </row>
    <row r="352" ht="15" customHeight="1" s="72">
      <c r="A352" s="117" t="n"/>
      <c r="B352" s="117" t="n"/>
      <c r="C352" s="118" t="n"/>
      <c r="D352" s="119" t="n"/>
      <c r="E352" s="120" t="n"/>
      <c r="F352" s="120" t="n"/>
      <c r="G352" s="120" t="n"/>
    </row>
    <row r="353" ht="15" customHeight="1" s="72">
      <c r="A353" s="117" t="n"/>
      <c r="B353" s="117" t="n"/>
      <c r="C353" s="118" t="n"/>
      <c r="D353" s="119" t="n"/>
      <c r="E353" s="120" t="n"/>
      <c r="F353" s="120" t="n"/>
      <c r="G353" s="120" t="n"/>
    </row>
    <row r="354" ht="15" customHeight="1" s="72">
      <c r="A354" s="117" t="n"/>
      <c r="B354" s="117" t="n"/>
      <c r="C354" s="118" t="n"/>
      <c r="D354" s="119" t="n"/>
      <c r="E354" s="120" t="n"/>
      <c r="F354" s="120" t="n"/>
      <c r="G354" s="120" t="n"/>
    </row>
    <row r="355" ht="15" customHeight="1" s="72">
      <c r="A355" s="117" t="n"/>
      <c r="B355" s="117" t="n"/>
      <c r="C355" s="118" t="n"/>
      <c r="D355" s="119" t="n"/>
      <c r="E355" s="120" t="n"/>
      <c r="F355" s="120" t="n"/>
      <c r="G355" s="120" t="n"/>
    </row>
    <row r="356" ht="15" customHeight="1" s="72">
      <c r="A356" s="117" t="n"/>
      <c r="B356" s="117" t="n"/>
      <c r="C356" s="118" t="n"/>
      <c r="D356" s="119" t="n"/>
      <c r="E356" s="120" t="n"/>
      <c r="F356" s="120" t="n"/>
      <c r="G356" s="120" t="n"/>
    </row>
    <row r="357" ht="15" customHeight="1" s="72">
      <c r="A357" s="117" t="n"/>
      <c r="B357" s="117" t="n"/>
      <c r="C357" s="118" t="n"/>
      <c r="D357" s="119" t="n"/>
      <c r="E357" s="120" t="n"/>
      <c r="F357" s="120" t="n"/>
      <c r="G357" s="120" t="n"/>
    </row>
    <row r="358" ht="15" customHeight="1" s="72">
      <c r="A358" s="117" t="n"/>
      <c r="B358" s="117" t="n"/>
      <c r="C358" s="118" t="n"/>
      <c r="D358" s="119" t="n"/>
      <c r="E358" s="120" t="n"/>
      <c r="F358" s="120" t="n"/>
      <c r="G358" s="120" t="n"/>
    </row>
    <row r="359" ht="15" customHeight="1" s="72">
      <c r="A359" s="117" t="n"/>
      <c r="B359" s="117" t="n"/>
      <c r="C359" s="118" t="n"/>
      <c r="D359" s="119" t="n"/>
      <c r="E359" s="120" t="n"/>
      <c r="F359" s="120" t="n"/>
      <c r="G359" s="120" t="n"/>
    </row>
    <row r="360" ht="15" customHeight="1" s="72">
      <c r="A360" s="117" t="n"/>
      <c r="B360" s="117" t="n"/>
      <c r="C360" s="118" t="n"/>
      <c r="D360" s="119" t="n"/>
      <c r="E360" s="120" t="n"/>
      <c r="F360" s="120" t="n"/>
      <c r="G360" s="120" t="n"/>
    </row>
    <row r="361" ht="15" customHeight="1" s="72">
      <c r="A361" s="117" t="n"/>
      <c r="B361" s="117" t="n"/>
      <c r="C361" s="118" t="n"/>
      <c r="D361" s="119" t="n"/>
      <c r="E361" s="120" t="n"/>
      <c r="F361" s="120" t="n"/>
      <c r="G361" s="120" t="n"/>
    </row>
    <row r="362" ht="15" customHeight="1" s="72">
      <c r="A362" s="117" t="n"/>
      <c r="B362" s="117" t="n"/>
      <c r="C362" s="118" t="n"/>
      <c r="D362" s="119" t="n"/>
      <c r="E362" s="120" t="n"/>
      <c r="F362" s="120" t="n"/>
      <c r="G362" s="120" t="n"/>
    </row>
    <row r="363" ht="15" customHeight="1" s="72">
      <c r="A363" s="117" t="n"/>
      <c r="B363" s="117" t="n"/>
      <c r="C363" s="118" t="n"/>
      <c r="D363" s="119" t="n"/>
      <c r="E363" s="120" t="n"/>
      <c r="F363" s="120" t="n"/>
      <c r="G363" s="120" t="n"/>
    </row>
    <row r="364" ht="15" customHeight="1" s="72">
      <c r="A364" s="117" t="n"/>
      <c r="B364" s="117" t="n"/>
      <c r="C364" s="118" t="n"/>
      <c r="D364" s="119" t="n"/>
      <c r="E364" s="120" t="n"/>
      <c r="F364" s="120" t="n"/>
      <c r="G364" s="120" t="n"/>
    </row>
    <row r="365" ht="15" customHeight="1" s="72">
      <c r="A365" s="117" t="n"/>
      <c r="B365" s="117" t="n"/>
      <c r="C365" s="118" t="n"/>
      <c r="D365" s="119" t="n"/>
      <c r="E365" s="120" t="n"/>
      <c r="F365" s="120" t="n"/>
      <c r="G365" s="120" t="n"/>
    </row>
    <row r="366" ht="15" customHeight="1" s="72">
      <c r="A366" s="117" t="n"/>
      <c r="B366" s="117" t="n"/>
      <c r="C366" s="118" t="n"/>
      <c r="D366" s="119" t="n"/>
      <c r="E366" s="120" t="n"/>
      <c r="F366" s="120" t="n"/>
      <c r="G366" s="120" t="n"/>
    </row>
    <row r="367" ht="15" customHeight="1" s="72">
      <c r="A367" s="117" t="n"/>
      <c r="B367" s="117" t="n"/>
      <c r="C367" s="118" t="n"/>
      <c r="D367" s="119" t="n"/>
      <c r="E367" s="120" t="n"/>
      <c r="F367" s="120" t="n"/>
      <c r="G367" s="120" t="n"/>
    </row>
    <row r="368" ht="15" customHeight="1" s="72">
      <c r="A368" s="117" t="n"/>
      <c r="B368" s="117" t="n"/>
      <c r="C368" s="118" t="n"/>
      <c r="D368" s="119" t="n"/>
      <c r="E368" s="120" t="n"/>
      <c r="F368" s="120" t="n"/>
      <c r="G368" s="120" t="n"/>
    </row>
    <row r="369" ht="15" customHeight="1" s="72">
      <c r="A369" s="117" t="n"/>
      <c r="B369" s="117" t="n"/>
      <c r="C369" s="118" t="n"/>
      <c r="D369" s="119" t="n"/>
      <c r="E369" s="120" t="n"/>
      <c r="F369" s="120" t="n"/>
      <c r="G369" s="120" t="n"/>
    </row>
    <row r="370" ht="15" customHeight="1" s="72">
      <c r="A370" s="117" t="n"/>
      <c r="B370" s="117" t="n"/>
      <c r="C370" s="118" t="n"/>
      <c r="D370" s="119" t="n"/>
      <c r="E370" s="120" t="n"/>
      <c r="F370" s="120" t="n"/>
      <c r="G370" s="120" t="n"/>
    </row>
    <row r="371" ht="15" customHeight="1" s="72">
      <c r="A371" s="117" t="n"/>
      <c r="B371" s="117" t="n"/>
      <c r="C371" s="118" t="n"/>
      <c r="D371" s="119" t="n"/>
      <c r="E371" s="120" t="n"/>
      <c r="F371" s="120" t="n"/>
      <c r="G371" s="120" t="n"/>
    </row>
    <row r="372" ht="15" customHeight="1" s="72">
      <c r="A372" s="117" t="n"/>
      <c r="B372" s="117" t="n"/>
      <c r="C372" s="118" t="n"/>
      <c r="D372" s="119" t="n"/>
      <c r="E372" s="120" t="n"/>
      <c r="F372" s="120" t="n"/>
      <c r="G372" s="120" t="n"/>
    </row>
    <row r="373" ht="15" customHeight="1" s="72">
      <c r="A373" s="117" t="n"/>
      <c r="B373" s="117" t="n"/>
      <c r="C373" s="118" t="n"/>
      <c r="D373" s="119" t="n"/>
      <c r="E373" s="120" t="n"/>
      <c r="F373" s="120" t="n"/>
      <c r="G373" s="120" t="n"/>
    </row>
    <row r="374" ht="15" customHeight="1" s="72">
      <c r="A374" s="117" t="n"/>
      <c r="B374" s="117" t="n"/>
      <c r="C374" s="118" t="n"/>
      <c r="D374" s="119" t="n"/>
      <c r="E374" s="120" t="n"/>
      <c r="F374" s="120" t="n"/>
      <c r="G374" s="120" t="n"/>
    </row>
    <row r="375" ht="15" customHeight="1" s="72">
      <c r="A375" s="117" t="n"/>
      <c r="B375" s="117" t="n"/>
      <c r="C375" s="118" t="n"/>
      <c r="D375" s="119" t="n"/>
      <c r="E375" s="120" t="n"/>
      <c r="F375" s="120" t="n"/>
      <c r="G375" s="120" t="n"/>
    </row>
    <row r="376" ht="15" customHeight="1" s="72">
      <c r="A376" s="117" t="n"/>
      <c r="B376" s="117" t="n"/>
      <c r="C376" s="118" t="n"/>
      <c r="D376" s="119" t="n"/>
      <c r="E376" s="120" t="n"/>
      <c r="F376" s="120" t="n"/>
      <c r="G376" s="120" t="n"/>
    </row>
    <row r="377" ht="15" customHeight="1" s="72">
      <c r="A377" s="117" t="n"/>
      <c r="B377" s="117" t="n"/>
      <c r="C377" s="118" t="n"/>
      <c r="D377" s="119" t="n"/>
      <c r="E377" s="120" t="n"/>
      <c r="F377" s="120" t="n"/>
      <c r="G377" s="120" t="n"/>
    </row>
    <row r="378" ht="15" customHeight="1" s="72">
      <c r="A378" s="117" t="n"/>
      <c r="B378" s="117" t="n"/>
      <c r="C378" s="118" t="n"/>
      <c r="D378" s="119" t="n"/>
      <c r="E378" s="120" t="n"/>
      <c r="F378" s="120" t="n"/>
      <c r="G378" s="120" t="n"/>
    </row>
    <row r="379" ht="15" customHeight="1" s="72">
      <c r="A379" s="117" t="n"/>
      <c r="B379" s="117" t="n"/>
      <c r="C379" s="118" t="n"/>
      <c r="D379" s="119" t="n"/>
      <c r="E379" s="120" t="n"/>
      <c r="F379" s="120" t="n"/>
      <c r="G379" s="120" t="n"/>
    </row>
    <row r="380" ht="15" customHeight="1" s="72">
      <c r="A380" s="117" t="n"/>
      <c r="B380" s="117" t="n"/>
      <c r="C380" s="118" t="n"/>
      <c r="D380" s="119" t="n"/>
      <c r="E380" s="120" t="n"/>
      <c r="F380" s="120" t="n"/>
      <c r="G380" s="120" t="n"/>
    </row>
    <row r="381" ht="15" customHeight="1" s="72">
      <c r="A381" s="117" t="n"/>
      <c r="B381" s="117" t="n"/>
      <c r="C381" s="118" t="n"/>
      <c r="D381" s="119" t="n"/>
      <c r="E381" s="120" t="n"/>
      <c r="F381" s="120" t="n"/>
      <c r="G381" s="120" t="n"/>
    </row>
    <row r="382" ht="15" customHeight="1" s="72">
      <c r="A382" s="117" t="n"/>
      <c r="B382" s="117" t="n"/>
      <c r="C382" s="118" t="n"/>
      <c r="D382" s="119" t="n"/>
      <c r="E382" s="120" t="n"/>
      <c r="F382" s="120" t="n"/>
      <c r="G382" s="120" t="n"/>
    </row>
    <row r="383" ht="15" customHeight="1" s="72">
      <c r="A383" s="117" t="n"/>
      <c r="B383" s="117" t="n"/>
      <c r="C383" s="118" t="n"/>
      <c r="D383" s="119" t="n"/>
      <c r="E383" s="120" t="n"/>
      <c r="F383" s="120" t="n"/>
      <c r="G383" s="120" t="n"/>
    </row>
    <row r="384" ht="15" customHeight="1" s="72">
      <c r="A384" s="117" t="n"/>
      <c r="B384" s="117" t="n"/>
      <c r="C384" s="118" t="n"/>
      <c r="D384" s="119" t="n"/>
      <c r="E384" s="120" t="n"/>
      <c r="F384" s="120" t="n"/>
      <c r="G384" s="120" t="n"/>
    </row>
    <row r="385" ht="15" customHeight="1" s="72">
      <c r="A385" s="117" t="n"/>
      <c r="B385" s="117" t="n"/>
      <c r="C385" s="118" t="n"/>
      <c r="D385" s="119" t="n"/>
      <c r="E385" s="120" t="n"/>
      <c r="F385" s="120" t="n"/>
      <c r="G385" s="120" t="n"/>
    </row>
    <row r="386" ht="15" customHeight="1" s="72">
      <c r="A386" s="117" t="n"/>
      <c r="B386" s="117" t="n"/>
      <c r="C386" s="118" t="n"/>
      <c r="D386" s="119" t="n"/>
      <c r="E386" s="120" t="n"/>
      <c r="F386" s="120" t="n"/>
      <c r="G386" s="120" t="n"/>
    </row>
    <row r="387" ht="15" customHeight="1" s="72">
      <c r="A387" s="117" t="n"/>
      <c r="B387" s="117" t="n"/>
      <c r="C387" s="118" t="n"/>
      <c r="D387" s="119" t="n"/>
      <c r="E387" s="120" t="n"/>
      <c r="F387" s="120" t="n"/>
      <c r="G387" s="120" t="n"/>
    </row>
    <row r="388" ht="15" customHeight="1" s="72">
      <c r="A388" s="117" t="n"/>
      <c r="B388" s="117" t="n"/>
      <c r="C388" s="118" t="n"/>
      <c r="D388" s="119" t="n"/>
      <c r="E388" s="120" t="n"/>
      <c r="F388" s="120" t="n"/>
      <c r="G388" s="120" t="n"/>
    </row>
    <row r="389" ht="15" customHeight="1" s="72">
      <c r="A389" s="117" t="n"/>
      <c r="B389" s="117" t="n"/>
      <c r="C389" s="118" t="n"/>
      <c r="D389" s="119" t="n"/>
      <c r="E389" s="120" t="n"/>
      <c r="F389" s="120" t="n"/>
      <c r="G389" s="120" t="n"/>
    </row>
    <row r="390" ht="15" customHeight="1" s="72">
      <c r="A390" s="117" t="n"/>
      <c r="B390" s="117" t="n"/>
      <c r="C390" s="118" t="n"/>
      <c r="D390" s="119" t="n"/>
      <c r="E390" s="120" t="n"/>
      <c r="F390" s="120" t="n"/>
      <c r="G390" s="120" t="n"/>
    </row>
    <row r="391" ht="15" customHeight="1" s="72">
      <c r="A391" s="117" t="n"/>
      <c r="B391" s="117" t="n"/>
      <c r="C391" s="118" t="n"/>
      <c r="D391" s="119" t="n"/>
      <c r="E391" s="120" t="n"/>
      <c r="F391" s="120" t="n"/>
      <c r="G391" s="120" t="n"/>
    </row>
    <row r="392" ht="15" customHeight="1" s="72">
      <c r="A392" s="117" t="n"/>
      <c r="B392" s="117" t="n"/>
      <c r="C392" s="118" t="n"/>
      <c r="D392" s="119" t="n"/>
      <c r="E392" s="120" t="n"/>
      <c r="F392" s="120" t="n"/>
      <c r="G392" s="120" t="n"/>
    </row>
    <row r="393" ht="15" customHeight="1" s="72">
      <c r="A393" s="117" t="n"/>
      <c r="B393" s="117" t="n"/>
      <c r="C393" s="118" t="n"/>
      <c r="D393" s="119" t="n"/>
      <c r="E393" s="120" t="n"/>
      <c r="F393" s="120" t="n"/>
      <c r="G393" s="120" t="n"/>
    </row>
    <row r="394" ht="15" customHeight="1" s="72">
      <c r="A394" s="117" t="n"/>
      <c r="B394" s="117" t="n"/>
      <c r="C394" s="118" t="n"/>
      <c r="D394" s="119" t="n"/>
      <c r="E394" s="120" t="n"/>
      <c r="F394" s="120" t="n"/>
      <c r="G394" s="120" t="n"/>
    </row>
    <row r="395" ht="15" customHeight="1" s="72">
      <c r="A395" s="117" t="n"/>
      <c r="B395" s="117" t="n"/>
      <c r="C395" s="118" t="n"/>
      <c r="D395" s="119" t="n"/>
      <c r="E395" s="120" t="n"/>
      <c r="F395" s="120" t="n"/>
      <c r="G395" s="120" t="n"/>
    </row>
    <row r="396" ht="15" customHeight="1" s="72">
      <c r="A396" s="117" t="n"/>
      <c r="B396" s="117" t="n"/>
      <c r="C396" s="118" t="n"/>
      <c r="D396" s="119" t="n"/>
      <c r="E396" s="120" t="n"/>
      <c r="F396" s="120" t="n"/>
      <c r="G396" s="120" t="n"/>
    </row>
    <row r="397" ht="15" customHeight="1" s="72">
      <c r="A397" s="117" t="n"/>
      <c r="B397" s="117" t="n"/>
      <c r="C397" s="118" t="n"/>
      <c r="D397" s="119" t="n"/>
      <c r="E397" s="120" t="n"/>
      <c r="F397" s="120" t="n"/>
      <c r="G397" s="120" t="n"/>
    </row>
    <row r="398" ht="15" customHeight="1" s="72">
      <c r="A398" s="117" t="n"/>
      <c r="B398" s="117" t="n"/>
      <c r="C398" s="118" t="n"/>
      <c r="D398" s="119" t="n"/>
      <c r="E398" s="120" t="n"/>
      <c r="F398" s="120" t="n"/>
      <c r="G398" s="120" t="n"/>
    </row>
    <row r="399" ht="15" customHeight="1" s="72">
      <c r="A399" s="117" t="n"/>
      <c r="B399" s="117" t="n"/>
      <c r="C399" s="118" t="n"/>
      <c r="D399" s="119" t="n"/>
      <c r="E399" s="120" t="n"/>
      <c r="F399" s="120" t="n"/>
      <c r="G399" s="120" t="n"/>
    </row>
    <row r="400" ht="15" customHeight="1" s="72">
      <c r="A400" s="117" t="n"/>
      <c r="B400" s="117" t="n"/>
      <c r="C400" s="118" t="n"/>
      <c r="D400" s="119" t="n"/>
      <c r="E400" s="120" t="n"/>
      <c r="F400" s="120" t="n"/>
      <c r="G400" s="120" t="n"/>
    </row>
    <row r="401" ht="15" customHeight="1" s="72">
      <c r="A401" s="117" t="n"/>
      <c r="B401" s="117" t="n"/>
      <c r="C401" s="118" t="n"/>
      <c r="D401" s="119" t="n"/>
      <c r="E401" s="120" t="n"/>
      <c r="F401" s="120" t="n"/>
      <c r="G401" s="120" t="n"/>
    </row>
    <row r="402" ht="15" customHeight="1" s="72">
      <c r="A402" s="117" t="n"/>
      <c r="B402" s="117" t="n"/>
      <c r="C402" s="118" t="n"/>
      <c r="D402" s="119" t="n"/>
      <c r="E402" s="120" t="n"/>
      <c r="F402" s="120" t="n"/>
      <c r="G402" s="120" t="n"/>
    </row>
    <row r="403" ht="15" customHeight="1" s="72">
      <c r="A403" s="117" t="n"/>
      <c r="B403" s="117" t="n"/>
      <c r="C403" s="118" t="n"/>
      <c r="D403" s="119" t="n"/>
      <c r="E403" s="120" t="n"/>
      <c r="F403" s="120" t="n"/>
      <c r="G403" s="120" t="n"/>
    </row>
    <row r="404" ht="15" customHeight="1" s="72">
      <c r="A404" s="117" t="n"/>
      <c r="B404" s="117" t="n"/>
      <c r="C404" s="118" t="n"/>
      <c r="D404" s="119" t="n"/>
      <c r="E404" s="120" t="n"/>
      <c r="F404" s="120" t="n"/>
      <c r="G404" s="120" t="n"/>
    </row>
    <row r="405" ht="15" customHeight="1" s="72">
      <c r="A405" s="117" t="n"/>
      <c r="B405" s="117" t="n"/>
      <c r="C405" s="118" t="n"/>
      <c r="D405" s="119" t="n"/>
      <c r="E405" s="120" t="n"/>
      <c r="F405" s="120" t="n"/>
      <c r="G405" s="120" t="n"/>
    </row>
    <row r="406" ht="15" customHeight="1" s="72">
      <c r="A406" s="117" t="n"/>
      <c r="B406" s="117" t="n"/>
      <c r="C406" s="118" t="n"/>
      <c r="D406" s="119" t="n"/>
      <c r="E406" s="120" t="n"/>
      <c r="F406" s="120" t="n"/>
      <c r="G406" s="120" t="n"/>
    </row>
    <row r="407" ht="15" customHeight="1" s="72">
      <c r="A407" s="117" t="n"/>
      <c r="B407" s="117" t="n"/>
      <c r="C407" s="118" t="n"/>
      <c r="D407" s="119" t="n"/>
      <c r="E407" s="120" t="n"/>
      <c r="F407" s="120" t="n"/>
      <c r="G407" s="120" t="n"/>
    </row>
    <row r="408" ht="15" customHeight="1" s="72">
      <c r="A408" s="117" t="n"/>
      <c r="B408" s="117" t="n"/>
      <c r="C408" s="118" t="n"/>
      <c r="D408" s="119" t="n"/>
      <c r="E408" s="120" t="n"/>
      <c r="F408" s="120" t="n"/>
      <c r="G408" s="120" t="n"/>
    </row>
    <row r="409" ht="15" customHeight="1" s="72">
      <c r="A409" s="117" t="n"/>
      <c r="B409" s="117" t="n"/>
      <c r="C409" s="118" t="n"/>
      <c r="D409" s="119" t="n"/>
      <c r="E409" s="120" t="n"/>
      <c r="F409" s="120" t="n"/>
      <c r="G409" s="120" t="n"/>
    </row>
    <row r="410" ht="15" customHeight="1" s="72">
      <c r="A410" s="117" t="n"/>
      <c r="B410" s="117" t="n"/>
      <c r="C410" s="118" t="n"/>
      <c r="D410" s="119" t="n"/>
      <c r="E410" s="120" t="n"/>
      <c r="F410" s="120" t="n"/>
      <c r="G410" s="120" t="n"/>
    </row>
    <row r="411" ht="15" customHeight="1" s="72">
      <c r="A411" s="117" t="n"/>
      <c r="B411" s="117" t="n"/>
      <c r="C411" s="118" t="n"/>
      <c r="D411" s="119" t="n"/>
      <c r="E411" s="120" t="n"/>
      <c r="F411" s="120" t="n"/>
      <c r="G411" s="120" t="n"/>
    </row>
    <row r="412" ht="15" customHeight="1" s="72">
      <c r="A412" s="117" t="n"/>
      <c r="B412" s="117" t="n"/>
      <c r="C412" s="118" t="n"/>
      <c r="D412" s="119" t="n"/>
      <c r="E412" s="120" t="n"/>
      <c r="F412" s="120" t="n"/>
      <c r="G412" s="120" t="n"/>
    </row>
    <row r="413" ht="15" customHeight="1" s="72">
      <c r="A413" s="117" t="n"/>
      <c r="B413" s="117" t="n"/>
      <c r="C413" s="118" t="n"/>
      <c r="D413" s="119" t="n"/>
      <c r="E413" s="120" t="n"/>
      <c r="F413" s="120" t="n"/>
      <c r="G413" s="120" t="n"/>
    </row>
    <row r="414" ht="15" customHeight="1" s="72">
      <c r="A414" s="117" t="n"/>
      <c r="B414" s="117" t="n"/>
      <c r="C414" s="118" t="n"/>
      <c r="D414" s="119" t="n"/>
      <c r="E414" s="120" t="n"/>
      <c r="F414" s="120" t="n"/>
      <c r="G414" s="120" t="n"/>
    </row>
    <row r="415" ht="15" customHeight="1" s="72">
      <c r="A415" s="117" t="n"/>
      <c r="B415" s="117" t="n"/>
      <c r="C415" s="118" t="n"/>
      <c r="D415" s="119" t="n"/>
      <c r="E415" s="120" t="n"/>
      <c r="F415" s="120" t="n"/>
      <c r="G415" s="120" t="n"/>
    </row>
    <row r="416" ht="15" customHeight="1" s="72">
      <c r="A416" s="117" t="n"/>
      <c r="B416" s="117" t="n"/>
      <c r="C416" s="118" t="n"/>
      <c r="D416" s="119" t="n"/>
      <c r="E416" s="120" t="n"/>
      <c r="F416" s="120" t="n"/>
      <c r="G416" s="120" t="n"/>
    </row>
    <row r="417" ht="15" customHeight="1" s="72">
      <c r="A417" s="117" t="n"/>
      <c r="B417" s="117" t="n"/>
      <c r="C417" s="118" t="n"/>
      <c r="D417" s="119" t="n"/>
      <c r="E417" s="120" t="n"/>
      <c r="F417" s="120" t="n"/>
      <c r="G417" s="120" t="n"/>
    </row>
    <row r="418" ht="15" customHeight="1" s="72">
      <c r="A418" s="117" t="n"/>
      <c r="B418" s="117" t="n"/>
      <c r="C418" s="118" t="n"/>
      <c r="D418" s="119" t="n"/>
      <c r="E418" s="120" t="n"/>
      <c r="F418" s="120" t="n"/>
      <c r="G418" s="120" t="n"/>
    </row>
    <row r="419" ht="15" customHeight="1" s="72">
      <c r="A419" s="117" t="n"/>
      <c r="B419" s="117" t="n"/>
      <c r="C419" s="118" t="n"/>
      <c r="D419" s="119" t="n"/>
      <c r="E419" s="120" t="n"/>
      <c r="F419" s="120" t="n"/>
      <c r="G419" s="120" t="n"/>
    </row>
    <row r="420" ht="15" customHeight="1" s="72">
      <c r="A420" s="117" t="n"/>
      <c r="B420" s="117" t="n"/>
      <c r="C420" s="118" t="n"/>
      <c r="D420" s="119" t="n"/>
      <c r="E420" s="120" t="n"/>
      <c r="F420" s="120" t="n"/>
      <c r="G420" s="120" t="n"/>
    </row>
    <row r="421" ht="15" customHeight="1" s="72">
      <c r="A421" s="117" t="n"/>
      <c r="B421" s="117" t="n"/>
      <c r="C421" s="118" t="n"/>
      <c r="D421" s="119" t="n"/>
      <c r="E421" s="120" t="n"/>
      <c r="F421" s="120" t="n"/>
      <c r="G421" s="120" t="n"/>
    </row>
    <row r="422" ht="15" customHeight="1" s="72">
      <c r="A422" s="117" t="n"/>
      <c r="B422" s="117" t="n"/>
      <c r="C422" s="118" t="n"/>
      <c r="D422" s="119" t="n"/>
      <c r="E422" s="120" t="n"/>
      <c r="F422" s="120" t="n"/>
      <c r="G422" s="120" t="n"/>
    </row>
    <row r="423" ht="15" customHeight="1" s="72">
      <c r="A423" s="117" t="n"/>
      <c r="B423" s="117" t="n"/>
      <c r="C423" s="118" t="n"/>
      <c r="D423" s="119" t="n"/>
      <c r="E423" s="120" t="n"/>
      <c r="F423" s="120" t="n"/>
      <c r="G423" s="120" t="n"/>
    </row>
    <row r="424" ht="15" customHeight="1" s="72">
      <c r="A424" s="117" t="n"/>
      <c r="B424" s="117" t="n"/>
      <c r="C424" s="118" t="n"/>
      <c r="D424" s="119" t="n"/>
      <c r="E424" s="120" t="n"/>
      <c r="F424" s="120" t="n"/>
      <c r="G424" s="120" t="n"/>
    </row>
    <row r="425" ht="15" customHeight="1" s="72">
      <c r="A425" s="117" t="n"/>
      <c r="B425" s="117" t="n"/>
      <c r="C425" s="118" t="n"/>
      <c r="D425" s="119" t="n"/>
      <c r="E425" s="120" t="n"/>
      <c r="F425" s="120" t="n"/>
      <c r="G425" s="120" t="n"/>
    </row>
    <row r="426" ht="15" customHeight="1" s="72">
      <c r="A426" s="117" t="n"/>
      <c r="B426" s="117" t="n"/>
      <c r="C426" s="118" t="n"/>
      <c r="D426" s="119" t="n"/>
      <c r="E426" s="120" t="n"/>
      <c r="F426" s="120" t="n"/>
      <c r="G426" s="120" t="n"/>
    </row>
    <row r="427" ht="15" customHeight="1" s="72">
      <c r="A427" s="117" t="n"/>
      <c r="B427" s="117" t="n"/>
      <c r="C427" s="118" t="n"/>
      <c r="D427" s="119" t="n"/>
      <c r="E427" s="120" t="n"/>
      <c r="F427" s="120" t="n"/>
      <c r="G427" s="120" t="n"/>
    </row>
    <row r="428" ht="15" customHeight="1" s="72">
      <c r="A428" s="117" t="n"/>
      <c r="B428" s="117" t="n"/>
      <c r="C428" s="118" t="n"/>
      <c r="D428" s="119" t="n"/>
      <c r="E428" s="120" t="n"/>
      <c r="F428" s="120" t="n"/>
      <c r="G428" s="120" t="n"/>
    </row>
    <row r="429" ht="15" customHeight="1" s="72">
      <c r="A429" s="117" t="n"/>
      <c r="B429" s="117" t="n"/>
      <c r="C429" s="118" t="n"/>
      <c r="D429" s="119" t="n"/>
      <c r="E429" s="120" t="n"/>
      <c r="F429" s="120" t="n"/>
      <c r="G429" s="120" t="n"/>
    </row>
    <row r="430" ht="15" customHeight="1" s="72">
      <c r="A430" s="117" t="n"/>
      <c r="B430" s="117" t="n"/>
      <c r="C430" s="118" t="n"/>
      <c r="D430" s="119" t="n"/>
      <c r="E430" s="120" t="n"/>
      <c r="F430" s="120" t="n"/>
      <c r="G430" s="120" t="n"/>
    </row>
    <row r="431" ht="15" customHeight="1" s="72">
      <c r="A431" s="117" t="n"/>
      <c r="B431" s="117" t="n"/>
      <c r="C431" s="118" t="n"/>
      <c r="D431" s="119" t="n"/>
      <c r="E431" s="120" t="n"/>
      <c r="F431" s="120" t="n"/>
      <c r="G431" s="120" t="n"/>
    </row>
    <row r="432" ht="15" customHeight="1" s="72">
      <c r="A432" s="117" t="n"/>
      <c r="B432" s="117" t="n"/>
      <c r="C432" s="118" t="n"/>
      <c r="D432" s="119" t="n"/>
      <c r="E432" s="120" t="n"/>
      <c r="F432" s="120" t="n"/>
      <c r="G432" s="120" t="n"/>
    </row>
    <row r="433" ht="15" customHeight="1" s="72">
      <c r="A433" s="117" t="n"/>
      <c r="B433" s="117" t="n"/>
      <c r="C433" s="118" t="n"/>
      <c r="D433" s="119" t="n"/>
      <c r="E433" s="120" t="n"/>
      <c r="F433" s="120" t="n"/>
      <c r="G433" s="120" t="n"/>
    </row>
    <row r="434" ht="15" customHeight="1" s="72">
      <c r="A434" s="117" t="n"/>
      <c r="B434" s="117" t="n"/>
      <c r="C434" s="118" t="n"/>
      <c r="D434" s="119" t="n"/>
      <c r="E434" s="120" t="n"/>
      <c r="F434" s="120" t="n"/>
      <c r="G434" s="120" t="n"/>
    </row>
    <row r="435" ht="15" customHeight="1" s="72">
      <c r="A435" s="117" t="n"/>
      <c r="B435" s="117" t="n"/>
      <c r="C435" s="118" t="n"/>
      <c r="D435" s="119" t="n"/>
      <c r="E435" s="120" t="n"/>
      <c r="F435" s="120" t="n"/>
      <c r="G435" s="120" t="n"/>
    </row>
    <row r="436" ht="15" customHeight="1" s="72">
      <c r="A436" s="117" t="n"/>
      <c r="B436" s="117" t="n"/>
      <c r="C436" s="118" t="n"/>
      <c r="D436" s="119" t="n"/>
      <c r="E436" s="120" t="n"/>
      <c r="F436" s="120" t="n"/>
      <c r="G436" s="120" t="n"/>
    </row>
    <row r="437" ht="15" customHeight="1" s="72">
      <c r="A437" s="117" t="n"/>
      <c r="B437" s="117" t="n"/>
      <c r="C437" s="118" t="n"/>
      <c r="D437" s="119" t="n"/>
      <c r="E437" s="120" t="n"/>
      <c r="F437" s="120" t="n"/>
      <c r="G437" s="120" t="n"/>
    </row>
    <row r="438" ht="15" customHeight="1" s="72">
      <c r="A438" s="117" t="n"/>
      <c r="B438" s="117" t="n"/>
      <c r="C438" s="118" t="n"/>
      <c r="D438" s="119" t="n"/>
      <c r="E438" s="120" t="n"/>
      <c r="F438" s="120" t="n"/>
      <c r="G438" s="120" t="n"/>
    </row>
    <row r="439" ht="15" customHeight="1" s="72">
      <c r="A439" s="117" t="n"/>
      <c r="B439" s="117" t="n"/>
      <c r="C439" s="118" t="n"/>
      <c r="D439" s="119" t="n"/>
      <c r="E439" s="120" t="n"/>
      <c r="F439" s="120" t="n"/>
      <c r="G439" s="120" t="n"/>
    </row>
    <row r="440" ht="15" customHeight="1" s="72">
      <c r="A440" s="117" t="n"/>
      <c r="B440" s="117" t="n"/>
      <c r="C440" s="118" t="n"/>
      <c r="D440" s="119" t="n"/>
      <c r="E440" s="120" t="n"/>
      <c r="F440" s="120" t="n"/>
      <c r="G440" s="120" t="n"/>
    </row>
    <row r="441" ht="15" customHeight="1" s="72">
      <c r="A441" s="117" t="n"/>
      <c r="B441" s="117" t="n"/>
      <c r="C441" s="118" t="n"/>
      <c r="D441" s="119" t="n"/>
      <c r="E441" s="120" t="n"/>
      <c r="F441" s="120" t="n"/>
      <c r="G441" s="120" t="n"/>
    </row>
    <row r="442" ht="15" customHeight="1" s="72">
      <c r="A442" s="117" t="n"/>
      <c r="B442" s="117" t="n"/>
      <c r="C442" s="118" t="n"/>
      <c r="D442" s="119" t="n"/>
      <c r="E442" s="120" t="n"/>
      <c r="F442" s="120" t="n"/>
      <c r="G442" s="120" t="n"/>
    </row>
    <row r="443" ht="15" customHeight="1" s="72">
      <c r="A443" s="117" t="n"/>
      <c r="B443" s="117" t="n"/>
      <c r="C443" s="118" t="n"/>
      <c r="D443" s="119" t="n"/>
      <c r="E443" s="120" t="n"/>
      <c r="F443" s="120" t="n"/>
      <c r="G443" s="120" t="n"/>
    </row>
    <row r="444" ht="15" customHeight="1" s="72">
      <c r="A444" s="117" t="n"/>
      <c r="B444" s="117" t="n"/>
      <c r="C444" s="118" t="n"/>
      <c r="D444" s="119" t="n"/>
      <c r="E444" s="120" t="n"/>
      <c r="F444" s="120" t="n"/>
      <c r="G444" s="120" t="n"/>
    </row>
    <row r="445" ht="15" customHeight="1" s="72">
      <c r="A445" s="117" t="n"/>
      <c r="B445" s="117" t="n"/>
      <c r="C445" s="118" t="n"/>
      <c r="D445" s="119" t="n"/>
      <c r="E445" s="120" t="n"/>
      <c r="F445" s="120" t="n"/>
      <c r="G445" s="120" t="n"/>
    </row>
    <row r="446" ht="15" customHeight="1" s="72">
      <c r="A446" s="117" t="n"/>
      <c r="B446" s="117" t="n"/>
      <c r="C446" s="118" t="n"/>
      <c r="D446" s="119" t="n"/>
      <c r="E446" s="120" t="n"/>
      <c r="F446" s="120" t="n"/>
      <c r="G446" s="120" t="n"/>
    </row>
    <row r="447" ht="15" customHeight="1" s="72">
      <c r="A447" s="117" t="n"/>
      <c r="B447" s="117" t="n"/>
      <c r="C447" s="118" t="n"/>
      <c r="D447" s="119" t="n"/>
      <c r="E447" s="120" t="n"/>
      <c r="F447" s="120" t="n"/>
      <c r="G447" s="120" t="n"/>
    </row>
    <row r="448" ht="15" customHeight="1" s="72">
      <c r="A448" s="117" t="n"/>
      <c r="B448" s="117" t="n"/>
      <c r="C448" s="118" t="n"/>
      <c r="D448" s="119" t="n"/>
      <c r="E448" s="120" t="n"/>
      <c r="F448" s="120" t="n"/>
      <c r="G448" s="120" t="n"/>
    </row>
    <row r="449" ht="15" customHeight="1" s="72">
      <c r="A449" s="117" t="n"/>
      <c r="B449" s="117" t="n"/>
      <c r="C449" s="118" t="n"/>
      <c r="D449" s="119" t="n"/>
      <c r="E449" s="120" t="n"/>
      <c r="F449" s="120" t="n"/>
      <c r="G449" s="120" t="n"/>
    </row>
    <row r="450" ht="15" customHeight="1" s="72">
      <c r="A450" s="117" t="n"/>
      <c r="B450" s="117" t="n"/>
      <c r="C450" s="118" t="n"/>
      <c r="D450" s="119" t="n"/>
      <c r="E450" s="120" t="n"/>
      <c r="F450" s="120" t="n"/>
      <c r="G450" s="120" t="n"/>
    </row>
    <row r="451" ht="15" customHeight="1" s="72">
      <c r="A451" s="117" t="n"/>
      <c r="B451" s="117" t="n"/>
      <c r="C451" s="118" t="n"/>
      <c r="D451" s="119" t="n"/>
      <c r="E451" s="120" t="n"/>
      <c r="F451" s="120" t="n"/>
      <c r="G451" s="120" t="n"/>
    </row>
    <row r="452" ht="15" customHeight="1" s="72">
      <c r="A452" s="117" t="n"/>
      <c r="B452" s="117" t="n"/>
      <c r="C452" s="118" t="n"/>
      <c r="D452" s="119" t="n"/>
      <c r="E452" s="120" t="n"/>
      <c r="F452" s="120" t="n"/>
      <c r="G452" s="120" t="n"/>
    </row>
    <row r="453" ht="15" customHeight="1" s="72">
      <c r="A453" s="117" t="n"/>
      <c r="B453" s="117" t="n"/>
      <c r="C453" s="118" t="n"/>
      <c r="D453" s="119" t="n"/>
      <c r="E453" s="120" t="n"/>
      <c r="F453" s="120" t="n"/>
      <c r="G453" s="120" t="n"/>
    </row>
    <row r="454" ht="15" customHeight="1" s="72">
      <c r="A454" s="117" t="n"/>
      <c r="B454" s="117" t="n"/>
      <c r="C454" s="118" t="n"/>
      <c r="D454" s="119" t="n"/>
      <c r="E454" s="120" t="n"/>
      <c r="F454" s="120" t="n"/>
      <c r="G454" s="120" t="n"/>
    </row>
    <row r="455" ht="15" customHeight="1" s="72">
      <c r="A455" s="117" t="n"/>
      <c r="B455" s="117" t="n"/>
      <c r="C455" s="118" t="n"/>
      <c r="D455" s="119" t="n"/>
      <c r="E455" s="120" t="n"/>
      <c r="F455" s="120" t="n"/>
      <c r="G455" s="120" t="n"/>
    </row>
    <row r="456" ht="15" customHeight="1" s="72">
      <c r="A456" s="117" t="n"/>
      <c r="B456" s="117" t="n"/>
      <c r="C456" s="118" t="n"/>
      <c r="D456" s="119" t="n"/>
      <c r="E456" s="120" t="n"/>
      <c r="F456" s="120" t="n"/>
      <c r="G456" s="120" t="n"/>
    </row>
    <row r="457" ht="15" customHeight="1" s="72">
      <c r="A457" s="117" t="n"/>
      <c r="B457" s="117" t="n"/>
      <c r="C457" s="118" t="n"/>
      <c r="D457" s="119" t="n"/>
      <c r="E457" s="120" t="n"/>
      <c r="F457" s="120" t="n"/>
      <c r="G457" s="120" t="n"/>
    </row>
    <row r="458" ht="15" customHeight="1" s="72">
      <c r="A458" s="117" t="n"/>
      <c r="B458" s="117" t="n"/>
      <c r="C458" s="118" t="n"/>
      <c r="D458" s="119" t="n"/>
      <c r="E458" s="120" t="n"/>
      <c r="F458" s="120" t="n"/>
      <c r="G458" s="120" t="n"/>
    </row>
    <row r="459" ht="15" customHeight="1" s="72">
      <c r="A459" s="117" t="n"/>
      <c r="B459" s="117" t="n"/>
      <c r="C459" s="118" t="n"/>
      <c r="D459" s="119" t="n"/>
      <c r="E459" s="120" t="n"/>
      <c r="F459" s="120" t="n"/>
      <c r="G459" s="120" t="n"/>
    </row>
    <row r="460" ht="15" customHeight="1" s="72">
      <c r="A460" s="117" t="n"/>
      <c r="B460" s="117" t="n"/>
      <c r="C460" s="118" t="n"/>
      <c r="D460" s="119" t="n"/>
      <c r="E460" s="120" t="n"/>
      <c r="F460" s="120" t="n"/>
      <c r="G460" s="120" t="n"/>
    </row>
    <row r="461" ht="15" customHeight="1" s="72">
      <c r="A461" s="117" t="n"/>
      <c r="B461" s="117" t="n"/>
      <c r="C461" s="118" t="n"/>
      <c r="D461" s="119" t="n"/>
      <c r="E461" s="120" t="n"/>
      <c r="F461" s="120" t="n"/>
      <c r="G461" s="120" t="n"/>
    </row>
    <row r="462" ht="15" customHeight="1" s="72">
      <c r="A462" s="117" t="n"/>
      <c r="B462" s="117" t="n"/>
      <c r="C462" s="118" t="n"/>
      <c r="D462" s="119" t="n"/>
      <c r="E462" s="120" t="n"/>
      <c r="F462" s="120" t="n"/>
      <c r="G462" s="120" t="n"/>
    </row>
    <row r="463" ht="15" customHeight="1" s="72">
      <c r="A463" s="117" t="n"/>
      <c r="B463" s="117" t="n"/>
      <c r="C463" s="118" t="n"/>
      <c r="D463" s="119" t="n"/>
      <c r="E463" s="120" t="n"/>
      <c r="F463" s="120" t="n"/>
      <c r="G463" s="120" t="n"/>
    </row>
    <row r="464" ht="15" customHeight="1" s="72">
      <c r="A464" s="117" t="n"/>
      <c r="B464" s="117" t="n"/>
      <c r="C464" s="118" t="n"/>
      <c r="D464" s="119" t="n"/>
      <c r="E464" s="120" t="n"/>
      <c r="F464" s="120" t="n"/>
      <c r="G464" s="120" t="n"/>
    </row>
    <row r="465" ht="15" customHeight="1" s="72">
      <c r="A465" s="117" t="n"/>
      <c r="B465" s="117" t="n"/>
      <c r="C465" s="118" t="n"/>
      <c r="D465" s="119" t="n"/>
      <c r="E465" s="120" t="n"/>
      <c r="F465" s="120" t="n"/>
      <c r="G465" s="120" t="n"/>
    </row>
    <row r="466" ht="15" customHeight="1" s="72">
      <c r="A466" s="117" t="n"/>
      <c r="B466" s="117" t="n"/>
      <c r="C466" s="118" t="n"/>
      <c r="D466" s="119" t="n"/>
      <c r="E466" s="120" t="n"/>
      <c r="F466" s="120" t="n"/>
      <c r="G466" s="120" t="n"/>
    </row>
    <row r="467" ht="15" customHeight="1" s="72">
      <c r="A467" s="117" t="n"/>
      <c r="B467" s="117" t="n"/>
      <c r="C467" s="118" t="n"/>
      <c r="D467" s="119" t="n"/>
      <c r="E467" s="120" t="n"/>
      <c r="F467" s="120" t="n"/>
      <c r="G467" s="120" t="n"/>
    </row>
    <row r="468" ht="15" customHeight="1" s="72">
      <c r="A468" s="117" t="n"/>
      <c r="B468" s="117" t="n"/>
      <c r="C468" s="118" t="n"/>
      <c r="D468" s="119" t="n"/>
      <c r="E468" s="120" t="n"/>
      <c r="F468" s="120" t="n"/>
      <c r="G468" s="120" t="n"/>
    </row>
    <row r="469" ht="15" customHeight="1" s="72">
      <c r="A469" s="117" t="n"/>
      <c r="B469" s="117" t="n"/>
      <c r="C469" s="118" t="n"/>
      <c r="D469" s="119" t="n"/>
      <c r="E469" s="120" t="n"/>
      <c r="F469" s="120" t="n"/>
      <c r="G469" s="120" t="n"/>
    </row>
    <row r="470" ht="15" customHeight="1" s="72">
      <c r="A470" s="117" t="n"/>
      <c r="B470" s="117" t="n"/>
      <c r="C470" s="118" t="n"/>
      <c r="D470" s="119" t="n"/>
      <c r="E470" s="120" t="n"/>
      <c r="F470" s="120" t="n"/>
      <c r="G470" s="120" t="n"/>
    </row>
    <row r="471" ht="15" customHeight="1" s="72">
      <c r="A471" s="117" t="n"/>
      <c r="B471" s="117" t="n"/>
      <c r="C471" s="118" t="n"/>
      <c r="D471" s="119" t="n"/>
      <c r="E471" s="120" t="n"/>
      <c r="F471" s="120" t="n"/>
      <c r="G471" s="120" t="n"/>
    </row>
    <row r="472" ht="15" customHeight="1" s="72">
      <c r="A472" s="117" t="n"/>
      <c r="B472" s="117" t="n"/>
      <c r="C472" s="118" t="n"/>
      <c r="D472" s="119" t="n"/>
      <c r="E472" s="120" t="n"/>
      <c r="F472" s="120" t="n"/>
      <c r="G472" s="120" t="n"/>
    </row>
    <row r="473" ht="15" customHeight="1" s="72">
      <c r="A473" s="117" t="n"/>
      <c r="B473" s="117" t="n"/>
      <c r="C473" s="118" t="n"/>
      <c r="D473" s="119" t="n"/>
      <c r="E473" s="120" t="n"/>
      <c r="F473" s="120" t="n"/>
      <c r="G473" s="120" t="n"/>
    </row>
    <row r="474" ht="15" customHeight="1" s="72">
      <c r="A474" s="117" t="n"/>
      <c r="B474" s="117" t="n"/>
      <c r="C474" s="118" t="n"/>
      <c r="D474" s="119" t="n"/>
      <c r="E474" s="120" t="n"/>
      <c r="F474" s="120" t="n"/>
      <c r="G474" s="120" t="n"/>
    </row>
    <row r="475" ht="15" customHeight="1" s="72">
      <c r="A475" s="117" t="n"/>
      <c r="B475" s="117" t="n"/>
      <c r="C475" s="118" t="n"/>
      <c r="D475" s="119" t="n"/>
      <c r="E475" s="120" t="n"/>
      <c r="F475" s="120" t="n"/>
      <c r="G475" s="120" t="n"/>
    </row>
    <row r="476" ht="15" customHeight="1" s="72">
      <c r="A476" s="117" t="n"/>
      <c r="B476" s="117" t="n"/>
      <c r="C476" s="118" t="n"/>
      <c r="D476" s="119" t="n"/>
      <c r="E476" s="120" t="n"/>
      <c r="F476" s="120" t="n"/>
      <c r="G476" s="120" t="n"/>
    </row>
    <row r="477" ht="15" customHeight="1" s="72">
      <c r="A477" s="117" t="n"/>
      <c r="B477" s="117" t="n"/>
      <c r="C477" s="118" t="n"/>
      <c r="D477" s="119" t="n"/>
      <c r="E477" s="120" t="n"/>
      <c r="F477" s="120" t="n"/>
      <c r="G477" s="120" t="n"/>
    </row>
    <row r="478" ht="15" customHeight="1" s="72">
      <c r="A478" s="117" t="n"/>
      <c r="B478" s="117" t="n"/>
      <c r="C478" s="118" t="n"/>
      <c r="D478" s="119" t="n"/>
      <c r="E478" s="120" t="n"/>
      <c r="F478" s="120" t="n"/>
      <c r="G478" s="120" t="n"/>
    </row>
    <row r="479" ht="15" customHeight="1" s="72">
      <c r="A479" s="117" t="n"/>
      <c r="B479" s="117" t="n"/>
      <c r="C479" s="118" t="n"/>
      <c r="D479" s="119" t="n"/>
      <c r="E479" s="120" t="n"/>
      <c r="F479" s="120" t="n"/>
      <c r="G479" s="120" t="n"/>
    </row>
    <row r="480" ht="15" customHeight="1" s="72">
      <c r="A480" s="117" t="n"/>
      <c r="B480" s="117" t="n"/>
      <c r="C480" s="118" t="n"/>
      <c r="D480" s="119" t="n"/>
      <c r="E480" s="120" t="n"/>
      <c r="F480" s="120" t="n"/>
      <c r="G480" s="120" t="n"/>
    </row>
    <row r="481" ht="15" customHeight="1" s="72">
      <c r="A481" s="117" t="n"/>
      <c r="B481" s="117" t="n"/>
      <c r="C481" s="118" t="n"/>
      <c r="D481" s="119" t="n"/>
      <c r="E481" s="120" t="n"/>
      <c r="F481" s="120" t="n"/>
      <c r="G481" s="120" t="n"/>
    </row>
    <row r="482" ht="15" customHeight="1" s="72">
      <c r="A482" s="117" t="n"/>
      <c r="B482" s="117" t="n"/>
      <c r="C482" s="118" t="n"/>
      <c r="D482" s="119" t="n"/>
      <c r="E482" s="120" t="n"/>
      <c r="F482" s="120" t="n"/>
      <c r="G482" s="120" t="n"/>
    </row>
    <row r="483" ht="15" customHeight="1" s="72">
      <c r="A483" s="117" t="n"/>
      <c r="B483" s="117" t="n"/>
      <c r="C483" s="118" t="n"/>
      <c r="D483" s="119" t="n"/>
      <c r="E483" s="120" t="n"/>
      <c r="F483" s="120" t="n"/>
      <c r="G483" s="120" t="n"/>
    </row>
    <row r="484" ht="15" customHeight="1" s="72">
      <c r="A484" s="117" t="n"/>
      <c r="B484" s="117" t="n"/>
      <c r="C484" s="118" t="n"/>
      <c r="D484" s="119" t="n"/>
      <c r="E484" s="120" t="n"/>
      <c r="F484" s="120" t="n"/>
      <c r="G484" s="120" t="n"/>
    </row>
    <row r="485" ht="15" customHeight="1" s="72">
      <c r="A485" s="117" t="n"/>
      <c r="B485" s="117" t="n"/>
      <c r="C485" s="118" t="n"/>
      <c r="D485" s="119" t="n"/>
      <c r="E485" s="120" t="n"/>
      <c r="F485" s="120" t="n"/>
      <c r="G485" s="120" t="n"/>
    </row>
    <row r="486" ht="15" customHeight="1" s="72">
      <c r="A486" s="117" t="n"/>
      <c r="B486" s="117" t="n"/>
      <c r="C486" s="118" t="n"/>
      <c r="D486" s="119" t="n"/>
      <c r="E486" s="120" t="n"/>
      <c r="F486" s="120" t="n"/>
      <c r="G486" s="120" t="n"/>
    </row>
    <row r="487" ht="15" customHeight="1" s="72">
      <c r="A487" s="117" t="n"/>
      <c r="B487" s="117" t="n"/>
      <c r="C487" s="118" t="n"/>
      <c r="D487" s="119" t="n"/>
      <c r="E487" s="120" t="n"/>
      <c r="F487" s="120" t="n"/>
      <c r="G487" s="120" t="n"/>
    </row>
    <row r="488" ht="15" customHeight="1" s="72">
      <c r="A488" s="117" t="n"/>
      <c r="B488" s="117" t="n"/>
      <c r="C488" s="118" t="n"/>
      <c r="D488" s="119" t="n"/>
      <c r="E488" s="120" t="n"/>
      <c r="F488" s="120" t="n"/>
      <c r="G488" s="120" t="n"/>
    </row>
    <row r="489" ht="15" customHeight="1" s="72">
      <c r="A489" s="117" t="n"/>
      <c r="B489" s="117" t="n"/>
      <c r="C489" s="118" t="n"/>
      <c r="D489" s="119" t="n"/>
      <c r="E489" s="120" t="n"/>
      <c r="F489" s="120" t="n"/>
      <c r="G489" s="120" t="n"/>
    </row>
    <row r="490" ht="15" customHeight="1" s="72">
      <c r="A490" s="117" t="n"/>
      <c r="B490" s="117" t="n"/>
      <c r="C490" s="118" t="n"/>
      <c r="D490" s="119" t="n"/>
      <c r="E490" s="120" t="n"/>
      <c r="F490" s="120" t="n"/>
      <c r="G490" s="120" t="n"/>
    </row>
    <row r="491" ht="15" customHeight="1" s="72">
      <c r="A491" s="117" t="n"/>
      <c r="B491" s="117" t="n"/>
      <c r="C491" s="118" t="n"/>
      <c r="D491" s="119" t="n"/>
      <c r="E491" s="120" t="n"/>
      <c r="F491" s="120" t="n"/>
      <c r="G491" s="120" t="n"/>
    </row>
    <row r="492" ht="15" customHeight="1" s="72">
      <c r="A492" s="117" t="n"/>
      <c r="B492" s="117" t="n"/>
      <c r="C492" s="118" t="n"/>
      <c r="D492" s="119" t="n"/>
      <c r="E492" s="120" t="n"/>
      <c r="F492" s="120" t="n"/>
      <c r="G492" s="120" t="n"/>
    </row>
    <row r="493" ht="15" customHeight="1" s="72">
      <c r="A493" s="117" t="n"/>
      <c r="B493" s="117" t="n"/>
      <c r="C493" s="118" t="n"/>
      <c r="D493" s="119" t="n"/>
      <c r="E493" s="120" t="n"/>
      <c r="F493" s="120" t="n"/>
      <c r="G493" s="120" t="n"/>
    </row>
    <row r="494" ht="15" customHeight="1" s="72">
      <c r="A494" s="117" t="n"/>
      <c r="B494" s="117" t="n"/>
      <c r="C494" s="118" t="n"/>
      <c r="D494" s="119" t="n"/>
      <c r="E494" s="120" t="n"/>
      <c r="F494" s="120" t="n"/>
      <c r="G494" s="120" t="n"/>
    </row>
    <row r="495" ht="15" customHeight="1" s="72">
      <c r="A495" s="117" t="n"/>
      <c r="B495" s="117" t="n"/>
      <c r="C495" s="118" t="n"/>
      <c r="D495" s="119" t="n"/>
      <c r="E495" s="120" t="n"/>
      <c r="F495" s="120" t="n"/>
      <c r="G495" s="120" t="n"/>
    </row>
    <row r="496" ht="15" customHeight="1" s="72">
      <c r="A496" s="117" t="n"/>
      <c r="B496" s="117" t="n"/>
      <c r="C496" s="118" t="n"/>
      <c r="D496" s="119" t="n"/>
      <c r="E496" s="120" t="n"/>
      <c r="F496" s="120" t="n"/>
      <c r="G496" s="120" t="n"/>
    </row>
    <row r="497" ht="15" customHeight="1" s="72">
      <c r="A497" s="117" t="n"/>
      <c r="B497" s="117" t="n"/>
      <c r="C497" s="118" t="n"/>
      <c r="D497" s="119" t="n"/>
      <c r="E497" s="120" t="n"/>
      <c r="F497" s="120" t="n"/>
      <c r="G497" s="120" t="n"/>
    </row>
    <row r="498" ht="15" customHeight="1" s="72">
      <c r="A498" s="117" t="n"/>
      <c r="B498" s="117" t="n"/>
      <c r="C498" s="118" t="n"/>
      <c r="D498" s="119" t="n"/>
      <c r="E498" s="120" t="n"/>
      <c r="F498" s="120" t="n"/>
      <c r="G498" s="120" t="n"/>
    </row>
    <row r="499" ht="15" customHeight="1" s="72">
      <c r="A499" s="117" t="n"/>
      <c r="B499" s="117" t="n"/>
      <c r="C499" s="118" t="n"/>
      <c r="D499" s="119" t="n"/>
      <c r="E499" s="120" t="n"/>
      <c r="F499" s="120" t="n"/>
      <c r="G499" s="120" t="n"/>
    </row>
    <row r="500" ht="15" customHeight="1" s="72">
      <c r="A500" s="117" t="n"/>
      <c r="B500" s="117" t="n"/>
      <c r="C500" s="118" t="n"/>
      <c r="D500" s="119" t="n"/>
      <c r="E500" s="120" t="n"/>
      <c r="F500" s="120" t="n"/>
      <c r="G500" s="120" t="n"/>
    </row>
    <row r="501" ht="15" customHeight="1" s="72">
      <c r="A501" s="117" t="n"/>
      <c r="B501" s="117" t="n"/>
      <c r="C501" s="118" t="n"/>
      <c r="D501" s="119" t="n"/>
      <c r="E501" s="120" t="n"/>
      <c r="F501" s="120" t="n"/>
      <c r="G501" s="120" t="n"/>
    </row>
    <row r="502" ht="15" customHeight="1" s="72">
      <c r="A502" s="117" t="n"/>
      <c r="B502" s="117" t="n"/>
      <c r="C502" s="118" t="n"/>
      <c r="D502" s="119" t="n"/>
      <c r="E502" s="120" t="n"/>
      <c r="F502" s="120" t="n"/>
      <c r="G502" s="120" t="n"/>
    </row>
    <row r="503" ht="15" customHeight="1" s="72">
      <c r="A503" s="117" t="n"/>
      <c r="B503" s="117" t="n"/>
      <c r="C503" s="118" t="n"/>
      <c r="D503" s="119" t="n"/>
      <c r="E503" s="120" t="n"/>
      <c r="F503" s="120" t="n"/>
      <c r="G503" s="120" t="n"/>
    </row>
    <row r="504" ht="15" customHeight="1" s="72">
      <c r="A504" s="117" t="n"/>
      <c r="B504" s="117" t="n"/>
      <c r="C504" s="118" t="n"/>
      <c r="D504" s="119" t="n"/>
      <c r="E504" s="120" t="n"/>
      <c r="F504" s="120" t="n"/>
      <c r="G504" s="120" t="n"/>
    </row>
    <row r="505" ht="15" customHeight="1" s="72">
      <c r="A505" s="117" t="n"/>
      <c r="B505" s="117" t="n"/>
      <c r="C505" s="118" t="n"/>
      <c r="D505" s="119" t="n"/>
      <c r="E505" s="120" t="n"/>
      <c r="F505" s="120" t="n"/>
      <c r="G505" s="120" t="n"/>
    </row>
    <row r="506" ht="15" customHeight="1" s="72">
      <c r="A506" s="117" t="n"/>
      <c r="B506" s="117" t="n"/>
      <c r="C506" s="118" t="n"/>
      <c r="D506" s="119" t="n"/>
      <c r="E506" s="120" t="n"/>
      <c r="F506" s="120" t="n"/>
      <c r="G506" s="120" t="n"/>
    </row>
    <row r="507" ht="15" customHeight="1" s="72">
      <c r="A507" s="117" t="n"/>
      <c r="B507" s="117" t="n"/>
      <c r="C507" s="118" t="n"/>
      <c r="D507" s="119" t="n"/>
      <c r="E507" s="120" t="n"/>
      <c r="F507" s="120" t="n"/>
      <c r="G507" s="120" t="n"/>
    </row>
    <row r="508" ht="15" customHeight="1" s="72">
      <c r="A508" s="117" t="n"/>
      <c r="B508" s="117" t="n"/>
      <c r="C508" s="118" t="n"/>
      <c r="D508" s="119" t="n"/>
      <c r="E508" s="120" t="n"/>
      <c r="F508" s="120" t="n"/>
      <c r="G508" s="120" t="n"/>
    </row>
    <row r="509" ht="15" customHeight="1" s="72">
      <c r="A509" s="117" t="n"/>
      <c r="B509" s="117" t="n"/>
      <c r="C509" s="118" t="n"/>
      <c r="D509" s="119" t="n"/>
      <c r="E509" s="120" t="n"/>
      <c r="F509" s="120" t="n"/>
      <c r="G509" s="120" t="n"/>
    </row>
    <row r="510" ht="15" customHeight="1" s="72">
      <c r="A510" s="117" t="n"/>
      <c r="B510" s="117" t="n"/>
      <c r="C510" s="118" t="n"/>
      <c r="D510" s="119" t="n"/>
      <c r="E510" s="120" t="n"/>
      <c r="F510" s="120" t="n"/>
      <c r="G510" s="120" t="n"/>
    </row>
    <row r="511" ht="15" customHeight="1" s="72">
      <c r="A511" s="117" t="n"/>
      <c r="B511" s="117" t="n"/>
      <c r="C511" s="118" t="n"/>
      <c r="D511" s="119" t="n"/>
      <c r="E511" s="120" t="n"/>
      <c r="F511" s="120" t="n"/>
      <c r="G511" s="120" t="n"/>
    </row>
    <row r="512" ht="15" customHeight="1" s="72">
      <c r="A512" s="117" t="n"/>
      <c r="B512" s="117" t="n"/>
      <c r="C512" s="118" t="n"/>
      <c r="D512" s="119" t="n"/>
      <c r="E512" s="120" t="n"/>
      <c r="F512" s="120" t="n"/>
      <c r="G512" s="120" t="n"/>
    </row>
    <row r="513" ht="15" customHeight="1" s="72">
      <c r="A513" s="117" t="n"/>
      <c r="B513" s="117" t="n"/>
      <c r="C513" s="118" t="n"/>
      <c r="D513" s="119" t="n"/>
      <c r="E513" s="120" t="n"/>
      <c r="F513" s="120" t="n"/>
      <c r="G513" s="120" t="n"/>
    </row>
    <row r="514" ht="15" customHeight="1" s="72">
      <c r="A514" s="117" t="n"/>
      <c r="B514" s="117" t="n"/>
      <c r="C514" s="118" t="n"/>
      <c r="D514" s="119" t="n"/>
      <c r="E514" s="120" t="n"/>
      <c r="F514" s="120" t="n"/>
      <c r="G514" s="120" t="n"/>
    </row>
    <row r="515" ht="15" customHeight="1" s="72">
      <c r="A515" s="117" t="n"/>
      <c r="B515" s="117" t="n"/>
      <c r="C515" s="118" t="n"/>
      <c r="D515" s="119" t="n"/>
      <c r="E515" s="120" t="n"/>
      <c r="F515" s="120" t="n"/>
      <c r="G515" s="120" t="n"/>
    </row>
    <row r="516" ht="15" customHeight="1" s="72">
      <c r="A516" s="117" t="n"/>
      <c r="B516" s="117" t="n"/>
      <c r="C516" s="118" t="n"/>
      <c r="D516" s="119" t="n"/>
      <c r="E516" s="120" t="n"/>
      <c r="F516" s="120" t="n"/>
      <c r="G516" s="120" t="n"/>
    </row>
    <row r="517" ht="15" customHeight="1" s="72">
      <c r="A517" s="117" t="n"/>
      <c r="B517" s="117" t="n"/>
      <c r="C517" s="118" t="n"/>
      <c r="D517" s="119" t="n"/>
      <c r="E517" s="120" t="n"/>
      <c r="F517" s="120" t="n"/>
      <c r="G517" s="120" t="n"/>
    </row>
    <row r="518" ht="15" customHeight="1" s="72">
      <c r="A518" s="117" t="n"/>
      <c r="B518" s="117" t="n"/>
      <c r="C518" s="118" t="n"/>
      <c r="D518" s="119" t="n"/>
      <c r="E518" s="120" t="n"/>
      <c r="F518" s="120" t="n"/>
      <c r="G518" s="120" t="n"/>
    </row>
    <row r="519" ht="15" customHeight="1" s="72">
      <c r="A519" s="117" t="n"/>
      <c r="B519" s="117" t="n"/>
      <c r="C519" s="118" t="n"/>
      <c r="D519" s="119" t="n"/>
      <c r="E519" s="120" t="n"/>
      <c r="F519" s="120" t="n"/>
      <c r="G519" s="120" t="n"/>
    </row>
    <row r="520" ht="15" customHeight="1" s="72">
      <c r="A520" s="117" t="n"/>
      <c r="B520" s="117" t="n"/>
      <c r="C520" s="118" t="n"/>
      <c r="D520" s="119" t="n"/>
      <c r="E520" s="120" t="n"/>
      <c r="F520" s="120" t="n"/>
      <c r="G520" s="120" t="n"/>
    </row>
    <row r="521" ht="15" customHeight="1" s="72">
      <c r="A521" s="117" t="n"/>
      <c r="B521" s="117" t="n"/>
      <c r="C521" s="118" t="n"/>
      <c r="D521" s="119" t="n"/>
      <c r="E521" s="120" t="n"/>
      <c r="F521" s="120" t="n"/>
      <c r="G521" s="120" t="n"/>
    </row>
    <row r="522" ht="15" customHeight="1" s="72">
      <c r="A522" s="117" t="n"/>
      <c r="B522" s="117" t="n"/>
      <c r="C522" s="118" t="n"/>
      <c r="D522" s="119" t="n"/>
      <c r="E522" s="120" t="n"/>
      <c r="F522" s="120" t="n"/>
      <c r="G522" s="120" t="n"/>
    </row>
    <row r="523" ht="15" customHeight="1" s="72">
      <c r="A523" s="117" t="n"/>
      <c r="B523" s="117" t="n"/>
      <c r="C523" s="118" t="n"/>
      <c r="D523" s="119" t="n"/>
      <c r="E523" s="120" t="n"/>
      <c r="F523" s="120" t="n"/>
      <c r="G523" s="120" t="n"/>
    </row>
    <row r="524" ht="15" customHeight="1" s="72">
      <c r="A524" s="117" t="n"/>
      <c r="B524" s="117" t="n"/>
      <c r="C524" s="118" t="n"/>
      <c r="D524" s="119" t="n"/>
      <c r="E524" s="120" t="n"/>
      <c r="F524" s="120" t="n"/>
      <c r="G524" s="120" t="n"/>
    </row>
    <row r="525" ht="15" customHeight="1" s="72">
      <c r="A525" s="117" t="n"/>
      <c r="B525" s="117" t="n"/>
      <c r="C525" s="118" t="n"/>
      <c r="D525" s="119" t="n"/>
      <c r="E525" s="120" t="n"/>
      <c r="F525" s="120" t="n"/>
      <c r="G525" s="120" t="n"/>
    </row>
    <row r="526" ht="15" customHeight="1" s="72">
      <c r="A526" s="117" t="n"/>
      <c r="B526" s="117" t="n"/>
      <c r="C526" s="118" t="n"/>
      <c r="D526" s="119" t="n"/>
      <c r="E526" s="120" t="n"/>
      <c r="F526" s="120" t="n"/>
      <c r="G526" s="120" t="n"/>
    </row>
    <row r="527" ht="15" customHeight="1" s="72">
      <c r="A527" s="117" t="n"/>
      <c r="B527" s="117" t="n"/>
      <c r="C527" s="118" t="n"/>
      <c r="D527" s="119" t="n"/>
      <c r="E527" s="120" t="n"/>
      <c r="F527" s="120" t="n"/>
      <c r="G527" s="120" t="n"/>
    </row>
    <row r="528" ht="15" customHeight="1" s="72">
      <c r="A528" s="117" t="n"/>
      <c r="B528" s="117" t="n"/>
      <c r="C528" s="118" t="n"/>
      <c r="D528" s="119" t="n"/>
      <c r="E528" s="120" t="n"/>
      <c r="F528" s="120" t="n"/>
      <c r="G528" s="120" t="n"/>
    </row>
    <row r="529" ht="15" customHeight="1" s="72">
      <c r="A529" s="117" t="n"/>
      <c r="B529" s="117" t="n"/>
      <c r="C529" s="118" t="n"/>
      <c r="D529" s="119" t="n"/>
      <c r="E529" s="120" t="n"/>
      <c r="F529" s="120" t="n"/>
      <c r="G529" s="120" t="n"/>
    </row>
    <row r="530" ht="15" customHeight="1" s="72">
      <c r="A530" s="117" t="n"/>
      <c r="B530" s="117" t="n"/>
      <c r="C530" s="118" t="n"/>
      <c r="D530" s="119" t="n"/>
      <c r="E530" s="120" t="n"/>
      <c r="F530" s="120" t="n"/>
      <c r="G530" s="120" t="n"/>
    </row>
    <row r="531" ht="15" customHeight="1" s="72">
      <c r="A531" s="117" t="n"/>
      <c r="B531" s="117" t="n"/>
      <c r="C531" s="118" t="n"/>
      <c r="D531" s="119" t="n"/>
      <c r="E531" s="120" t="n"/>
      <c r="F531" s="120" t="n"/>
      <c r="G531" s="120" t="n"/>
    </row>
    <row r="532" ht="15" customHeight="1" s="72">
      <c r="A532" s="117" t="n"/>
      <c r="B532" s="117" t="n"/>
      <c r="C532" s="118" t="n"/>
      <c r="D532" s="119" t="n"/>
      <c r="E532" s="120" t="n"/>
      <c r="F532" s="120" t="n"/>
      <c r="G532" s="120" t="n"/>
    </row>
    <row r="533" ht="15" customHeight="1" s="72">
      <c r="A533" s="117" t="n"/>
      <c r="B533" s="117" t="n"/>
      <c r="C533" s="118" t="n"/>
      <c r="D533" s="119" t="n"/>
      <c r="E533" s="120" t="n"/>
      <c r="F533" s="120" t="n"/>
      <c r="G533" s="120" t="n"/>
    </row>
    <row r="534" ht="15" customHeight="1" s="72">
      <c r="A534" s="117" t="n"/>
      <c r="B534" s="117" t="n"/>
      <c r="C534" s="118" t="n"/>
      <c r="D534" s="119" t="n"/>
      <c r="E534" s="120" t="n"/>
      <c r="F534" s="120" t="n"/>
      <c r="G534" s="120" t="n"/>
    </row>
    <row r="535" ht="15" customHeight="1" s="72">
      <c r="A535" s="117" t="n"/>
      <c r="B535" s="117" t="n"/>
      <c r="C535" s="118" t="n"/>
      <c r="D535" s="119" t="n"/>
      <c r="E535" s="120" t="n"/>
      <c r="F535" s="120" t="n"/>
      <c r="G535" s="120" t="n"/>
    </row>
    <row r="536" ht="15" customHeight="1" s="72">
      <c r="A536" s="117" t="n"/>
      <c r="B536" s="117" t="n"/>
      <c r="C536" s="118" t="n"/>
      <c r="D536" s="119" t="n"/>
      <c r="E536" s="120" t="n"/>
      <c r="F536" s="120" t="n"/>
      <c r="G536" s="120" t="n"/>
    </row>
    <row r="537" ht="15" customHeight="1" s="72">
      <c r="A537" s="117" t="n"/>
      <c r="B537" s="117" t="n"/>
      <c r="C537" s="118" t="n"/>
      <c r="D537" s="119" t="n"/>
      <c r="E537" s="120" t="n"/>
      <c r="F537" s="120" t="n"/>
      <c r="G537" s="120" t="n"/>
    </row>
    <row r="538" ht="15" customHeight="1" s="72">
      <c r="A538" s="117" t="n"/>
      <c r="B538" s="117" t="n"/>
      <c r="C538" s="118" t="n"/>
      <c r="D538" s="119" t="n"/>
      <c r="E538" s="120" t="n"/>
      <c r="F538" s="120" t="n"/>
      <c r="G538" s="120" t="n"/>
    </row>
    <row r="539" ht="15" customHeight="1" s="72">
      <c r="A539" s="117" t="n"/>
      <c r="B539" s="117" t="n"/>
      <c r="C539" s="118" t="n"/>
      <c r="D539" s="119" t="n"/>
      <c r="E539" s="120" t="n"/>
      <c r="F539" s="120" t="n"/>
      <c r="G539" s="120" t="n"/>
    </row>
    <row r="540" ht="15" customHeight="1" s="72">
      <c r="A540" s="117" t="n"/>
      <c r="B540" s="117" t="n"/>
      <c r="C540" s="118" t="n"/>
      <c r="D540" s="119" t="n"/>
      <c r="E540" s="120" t="n"/>
      <c r="F540" s="120" t="n"/>
      <c r="G540" s="120" t="n"/>
    </row>
    <row r="541" ht="15" customHeight="1" s="72">
      <c r="A541" s="117" t="n"/>
      <c r="B541" s="117" t="n"/>
      <c r="C541" s="118" t="n"/>
      <c r="D541" s="119" t="n"/>
      <c r="E541" s="120" t="n"/>
      <c r="F541" s="120" t="n"/>
      <c r="G541" s="120" t="n"/>
    </row>
    <row r="542" ht="15" customHeight="1" s="72">
      <c r="A542" s="117" t="n"/>
      <c r="B542" s="117" t="n"/>
      <c r="C542" s="118" t="n"/>
      <c r="D542" s="119" t="n"/>
      <c r="E542" s="120" t="n"/>
      <c r="F542" s="120" t="n"/>
      <c r="G542" s="120" t="n"/>
    </row>
    <row r="543" ht="15" customHeight="1" s="72">
      <c r="A543" s="117" t="n"/>
      <c r="B543" s="117" t="n"/>
      <c r="C543" s="118" t="n"/>
      <c r="D543" s="119" t="n"/>
      <c r="E543" s="120" t="n"/>
      <c r="F543" s="120" t="n"/>
      <c r="G543" s="120" t="n"/>
    </row>
    <row r="544" ht="15" customHeight="1" s="72">
      <c r="A544" s="117" t="n"/>
      <c r="B544" s="117" t="n"/>
      <c r="C544" s="118" t="n"/>
      <c r="D544" s="119" t="n"/>
      <c r="E544" s="120" t="n"/>
      <c r="F544" s="120" t="n"/>
      <c r="G544" s="120" t="n"/>
    </row>
    <row r="545" ht="15" customHeight="1" s="72">
      <c r="A545" s="117" t="n"/>
      <c r="B545" s="117" t="n"/>
      <c r="C545" s="118" t="n"/>
      <c r="D545" s="119" t="n"/>
      <c r="E545" s="120" t="n"/>
      <c r="F545" s="120" t="n"/>
      <c r="G545" s="120" t="n"/>
    </row>
    <row r="546" ht="15" customHeight="1" s="72">
      <c r="A546" s="117" t="n"/>
      <c r="B546" s="117" t="n"/>
      <c r="C546" s="118" t="n"/>
      <c r="D546" s="119" t="n"/>
      <c r="E546" s="120" t="n"/>
      <c r="F546" s="120" t="n"/>
      <c r="G546" s="120" t="n"/>
    </row>
    <row r="547" ht="15" customHeight="1" s="72">
      <c r="A547" s="117" t="n"/>
      <c r="B547" s="117" t="n"/>
      <c r="C547" s="118" t="n"/>
      <c r="D547" s="119" t="n"/>
      <c r="E547" s="120" t="n"/>
      <c r="F547" s="120" t="n"/>
      <c r="G547" s="120" t="n"/>
    </row>
    <row r="548" ht="15" customHeight="1" s="72">
      <c r="A548" s="117" t="n"/>
      <c r="B548" s="117" t="n"/>
      <c r="C548" s="118" t="n"/>
      <c r="D548" s="119" t="n"/>
      <c r="E548" s="120" t="n"/>
      <c r="F548" s="120" t="n"/>
      <c r="G548" s="120" t="n"/>
    </row>
    <row r="549" ht="15" customHeight="1" s="72">
      <c r="A549" s="117" t="n"/>
      <c r="B549" s="117" t="n"/>
      <c r="C549" s="118" t="n"/>
      <c r="D549" s="119" t="n"/>
      <c r="E549" s="120" t="n"/>
      <c r="F549" s="120" t="n"/>
      <c r="G549" s="120" t="n"/>
    </row>
    <row r="550" ht="15" customHeight="1" s="72">
      <c r="A550" s="117" t="n"/>
      <c r="B550" s="117" t="n"/>
      <c r="C550" s="118" t="n"/>
      <c r="D550" s="119" t="n"/>
      <c r="E550" s="120" t="n"/>
      <c r="F550" s="120" t="n"/>
      <c r="G550" s="120" t="n"/>
    </row>
    <row r="551" ht="15" customHeight="1" s="72">
      <c r="A551" s="117" t="n"/>
      <c r="B551" s="117" t="n"/>
      <c r="C551" s="118" t="n"/>
      <c r="D551" s="119" t="n"/>
      <c r="E551" s="120" t="n"/>
      <c r="F551" s="120" t="n"/>
      <c r="G551" s="120" t="n"/>
    </row>
    <row r="552" ht="15" customHeight="1" s="72">
      <c r="A552" s="117" t="n"/>
      <c r="B552" s="117" t="n"/>
      <c r="C552" s="118" t="n"/>
      <c r="D552" s="119" t="n"/>
      <c r="E552" s="120" t="n"/>
      <c r="F552" s="120" t="n"/>
      <c r="G552" s="120" t="n"/>
    </row>
    <row r="553" ht="15" customHeight="1" s="72">
      <c r="A553" s="117" t="n"/>
      <c r="B553" s="117" t="n"/>
      <c r="C553" s="118" t="n"/>
      <c r="D553" s="119" t="n"/>
      <c r="E553" s="120" t="n"/>
      <c r="F553" s="120" t="n"/>
      <c r="G553" s="120" t="n"/>
    </row>
    <row r="554" ht="15" customHeight="1" s="72">
      <c r="A554" s="117" t="n"/>
      <c r="B554" s="117" t="n"/>
      <c r="C554" s="118" t="n"/>
      <c r="D554" s="119" t="n"/>
      <c r="E554" s="120" t="n"/>
      <c r="F554" s="120" t="n"/>
      <c r="G554" s="120" t="n"/>
    </row>
    <row r="555" ht="15" customHeight="1" s="72">
      <c r="A555" s="117" t="n"/>
      <c r="B555" s="117" t="n"/>
      <c r="C555" s="118" t="n"/>
      <c r="D555" s="119" t="n"/>
      <c r="E555" s="120" t="n"/>
      <c r="F555" s="120" t="n"/>
      <c r="G555" s="120" t="n"/>
    </row>
    <row r="556" ht="15" customHeight="1" s="72">
      <c r="A556" s="117" t="n"/>
      <c r="B556" s="117" t="n"/>
      <c r="C556" s="118" t="n"/>
      <c r="D556" s="119" t="n"/>
      <c r="E556" s="120" t="n"/>
      <c r="F556" s="120" t="n"/>
      <c r="G556" s="120" t="n"/>
    </row>
    <row r="557" ht="15" customHeight="1" s="72">
      <c r="A557" s="117" t="n"/>
      <c r="B557" s="117" t="n"/>
      <c r="C557" s="118" t="n"/>
      <c r="D557" s="119" t="n"/>
      <c r="E557" s="120" t="n"/>
      <c r="F557" s="120" t="n"/>
      <c r="G557" s="120" t="n"/>
    </row>
    <row r="558" ht="15" customHeight="1" s="72">
      <c r="A558" s="117" t="n"/>
      <c r="B558" s="117" t="n"/>
      <c r="C558" s="118" t="n"/>
      <c r="D558" s="119" t="n"/>
      <c r="E558" s="120" t="n"/>
      <c r="F558" s="120" t="n"/>
      <c r="G558" s="120" t="n"/>
    </row>
    <row r="559" ht="15" customHeight="1" s="72">
      <c r="A559" s="117" t="n"/>
      <c r="B559" s="117" t="n"/>
      <c r="C559" s="118" t="n"/>
      <c r="D559" s="119" t="n"/>
      <c r="E559" s="120" t="n"/>
      <c r="F559" s="120" t="n"/>
      <c r="G559" s="120" t="n"/>
    </row>
    <row r="560" ht="15" customHeight="1" s="72">
      <c r="A560" s="117" t="n"/>
      <c r="B560" s="117" t="n"/>
      <c r="C560" s="118" t="n"/>
      <c r="D560" s="119" t="n"/>
      <c r="E560" s="120" t="n"/>
      <c r="F560" s="120" t="n"/>
      <c r="G560" s="120" t="n"/>
    </row>
    <row r="561" ht="15" customHeight="1" s="72">
      <c r="A561" s="117" t="n"/>
      <c r="B561" s="117" t="n"/>
      <c r="C561" s="118" t="n"/>
      <c r="D561" s="119" t="n"/>
      <c r="E561" s="120" t="n"/>
      <c r="F561" s="120" t="n"/>
      <c r="G561" s="120" t="n"/>
    </row>
    <row r="562" ht="15" customHeight="1" s="72">
      <c r="A562" s="117" t="n"/>
      <c r="B562" s="117" t="n"/>
      <c r="C562" s="118" t="n"/>
      <c r="D562" s="119" t="n"/>
      <c r="E562" s="120" t="n"/>
      <c r="F562" s="120" t="n"/>
      <c r="G562" s="120" t="n"/>
    </row>
    <row r="563" ht="15" customHeight="1" s="72">
      <c r="A563" s="117" t="n"/>
      <c r="B563" s="117" t="n"/>
      <c r="C563" s="118" t="n"/>
      <c r="D563" s="119" t="n"/>
      <c r="E563" s="120" t="n"/>
      <c r="F563" s="120" t="n"/>
      <c r="G563" s="120" t="n"/>
    </row>
    <row r="564" ht="15" customHeight="1" s="72">
      <c r="A564" s="117" t="n"/>
      <c r="B564" s="117" t="n"/>
      <c r="C564" s="118" t="n"/>
      <c r="D564" s="119" t="n"/>
      <c r="E564" s="120" t="n"/>
      <c r="F564" s="120" t="n"/>
      <c r="G564" s="120" t="n"/>
    </row>
    <row r="565" ht="15" customHeight="1" s="72">
      <c r="A565" s="117" t="n"/>
      <c r="B565" s="117" t="n"/>
      <c r="C565" s="118" t="n"/>
      <c r="D565" s="119" t="n"/>
      <c r="E565" s="120" t="n"/>
      <c r="F565" s="120" t="n"/>
      <c r="G565" s="120" t="n"/>
    </row>
    <row r="566" ht="15" customHeight="1" s="72">
      <c r="A566" s="117" t="n"/>
      <c r="B566" s="117" t="n"/>
      <c r="C566" s="118" t="n"/>
      <c r="D566" s="119" t="n"/>
      <c r="E566" s="120" t="n"/>
      <c r="F566" s="120" t="n"/>
      <c r="G566" s="120" t="n"/>
    </row>
    <row r="567" ht="15" customHeight="1" s="72">
      <c r="A567" s="117" t="n"/>
      <c r="B567" s="117" t="n"/>
      <c r="C567" s="118" t="n"/>
      <c r="D567" s="119" t="n"/>
      <c r="E567" s="120" t="n"/>
      <c r="F567" s="120" t="n"/>
      <c r="G567" s="120" t="n"/>
    </row>
    <row r="568" ht="15" customHeight="1" s="72">
      <c r="A568" s="117" t="n"/>
      <c r="B568" s="117" t="n"/>
      <c r="C568" s="118" t="n"/>
      <c r="D568" s="119" t="n"/>
      <c r="E568" s="120" t="n"/>
      <c r="F568" s="120" t="n"/>
      <c r="G568" s="120" t="n"/>
    </row>
    <row r="569" ht="15" customHeight="1" s="72">
      <c r="A569" s="117" t="n"/>
      <c r="B569" s="117" t="n"/>
      <c r="C569" s="118" t="n"/>
      <c r="D569" s="119" t="n"/>
      <c r="E569" s="120" t="n"/>
      <c r="F569" s="120" t="n"/>
      <c r="G569" s="120" t="n"/>
    </row>
    <row r="570" ht="15" customHeight="1" s="72">
      <c r="A570" s="117" t="n"/>
      <c r="B570" s="117" t="n"/>
      <c r="C570" s="118" t="n"/>
      <c r="D570" s="119" t="n"/>
      <c r="E570" s="120" t="n"/>
      <c r="F570" s="120" t="n"/>
      <c r="G570" s="120" t="n"/>
    </row>
    <row r="571" ht="15" customHeight="1" s="72">
      <c r="A571" s="117" t="n"/>
      <c r="B571" s="117" t="n"/>
      <c r="C571" s="118" t="n"/>
      <c r="D571" s="119" t="n"/>
      <c r="E571" s="120" t="n"/>
      <c r="F571" s="120" t="n"/>
      <c r="G571" s="120" t="n"/>
    </row>
    <row r="572" ht="15" customHeight="1" s="72">
      <c r="A572" s="117" t="n"/>
      <c r="B572" s="117" t="n"/>
      <c r="C572" s="118" t="n"/>
      <c r="D572" s="119" t="n"/>
      <c r="E572" s="120" t="n"/>
      <c r="F572" s="120" t="n"/>
      <c r="G572" s="120" t="n"/>
    </row>
    <row r="573" ht="15" customHeight="1" s="72">
      <c r="A573" s="117" t="n"/>
      <c r="B573" s="117" t="n"/>
      <c r="C573" s="118" t="n"/>
      <c r="D573" s="119" t="n"/>
      <c r="E573" s="120" t="n"/>
      <c r="F573" s="120" t="n"/>
      <c r="G573" s="120" t="n"/>
    </row>
    <row r="574" ht="15" customHeight="1" s="72">
      <c r="A574" s="117" t="n"/>
      <c r="B574" s="117" t="n"/>
      <c r="C574" s="118" t="n"/>
      <c r="D574" s="119" t="n"/>
      <c r="E574" s="120" t="n"/>
      <c r="F574" s="120" t="n"/>
      <c r="G574" s="120" t="n"/>
    </row>
    <row r="575" ht="15" customHeight="1" s="72">
      <c r="A575" s="117" t="n"/>
      <c r="B575" s="117" t="n"/>
      <c r="C575" s="118" t="n"/>
      <c r="D575" s="119" t="n"/>
      <c r="E575" s="120" t="n"/>
      <c r="F575" s="120" t="n"/>
      <c r="G575" s="120" t="n"/>
    </row>
    <row r="576" ht="15" customHeight="1" s="72">
      <c r="A576" s="117" t="n"/>
      <c r="B576" s="117" t="n"/>
      <c r="C576" s="118" t="n"/>
      <c r="D576" s="119" t="n"/>
      <c r="E576" s="120" t="n"/>
      <c r="F576" s="120" t="n"/>
      <c r="G576" s="120" t="n"/>
    </row>
    <row r="577" ht="15" customHeight="1" s="72">
      <c r="A577" s="117" t="n"/>
      <c r="B577" s="117" t="n"/>
      <c r="C577" s="118" t="n"/>
      <c r="D577" s="119" t="n"/>
      <c r="E577" s="120" t="n"/>
      <c r="F577" s="120" t="n"/>
      <c r="G577" s="120" t="n"/>
    </row>
    <row r="578" ht="15" customHeight="1" s="72">
      <c r="A578" s="117" t="n"/>
      <c r="B578" s="117" t="n"/>
      <c r="C578" s="118" t="n"/>
      <c r="D578" s="119" t="n"/>
      <c r="E578" s="120" t="n"/>
      <c r="F578" s="120" t="n"/>
      <c r="G578" s="120" t="n"/>
    </row>
    <row r="579" ht="15" customHeight="1" s="72">
      <c r="A579" s="117" t="n"/>
      <c r="B579" s="117" t="n"/>
      <c r="C579" s="118" t="n"/>
      <c r="D579" s="119" t="n"/>
      <c r="E579" s="120" t="n"/>
      <c r="F579" s="120" t="n"/>
      <c r="G579" s="120" t="n"/>
    </row>
    <row r="580" ht="15" customHeight="1" s="72">
      <c r="A580" s="117" t="n"/>
      <c r="B580" s="117" t="n"/>
      <c r="C580" s="118" t="n"/>
      <c r="D580" s="119" t="n"/>
      <c r="E580" s="120" t="n"/>
      <c r="F580" s="120" t="n"/>
      <c r="G580" s="120" t="n"/>
    </row>
    <row r="581" ht="15" customHeight="1" s="72">
      <c r="A581" s="117" t="n"/>
      <c r="B581" s="117" t="n"/>
      <c r="C581" s="118" t="n"/>
      <c r="D581" s="119" t="n"/>
      <c r="E581" s="120" t="n"/>
      <c r="F581" s="120" t="n"/>
      <c r="G581" s="120" t="n"/>
    </row>
    <row r="582" ht="15" customHeight="1" s="72">
      <c r="A582" s="117" t="n"/>
      <c r="B582" s="117" t="n"/>
      <c r="C582" s="118" t="n"/>
      <c r="D582" s="119" t="n"/>
      <c r="E582" s="120" t="n"/>
      <c r="F582" s="120" t="n"/>
      <c r="G582" s="120" t="n"/>
    </row>
    <row r="583" ht="15" customHeight="1" s="72">
      <c r="A583" s="117" t="n"/>
      <c r="B583" s="117" t="n"/>
      <c r="C583" s="118" t="n"/>
      <c r="D583" s="119" t="n"/>
      <c r="E583" s="120" t="n"/>
      <c r="F583" s="120" t="n"/>
      <c r="G583" s="120" t="n"/>
    </row>
    <row r="584" ht="15" customHeight="1" s="72">
      <c r="A584" s="117" t="n"/>
      <c r="B584" s="117" t="n"/>
      <c r="C584" s="118" t="n"/>
      <c r="D584" s="119" t="n"/>
      <c r="E584" s="120" t="n"/>
      <c r="F584" s="120" t="n"/>
      <c r="G584" s="120" t="n"/>
    </row>
    <row r="585" ht="15" customHeight="1" s="72">
      <c r="A585" s="117" t="n"/>
      <c r="B585" s="117" t="n"/>
      <c r="C585" s="118" t="n"/>
      <c r="D585" s="119" t="n"/>
      <c r="E585" s="120" t="n"/>
      <c r="F585" s="120" t="n"/>
      <c r="G585" s="120" t="n"/>
    </row>
    <row r="586" ht="15" customHeight="1" s="72">
      <c r="A586" s="117" t="n"/>
      <c r="B586" s="117" t="n"/>
      <c r="C586" s="118" t="n"/>
      <c r="D586" s="119" t="n"/>
      <c r="E586" s="120" t="n"/>
      <c r="F586" s="120" t="n"/>
      <c r="G586" s="120" t="n"/>
    </row>
    <row r="587" ht="15" customHeight="1" s="72">
      <c r="A587" s="117" t="n"/>
      <c r="B587" s="117" t="n"/>
      <c r="C587" s="118" t="n"/>
      <c r="D587" s="119" t="n"/>
      <c r="E587" s="120" t="n"/>
      <c r="F587" s="120" t="n"/>
      <c r="G587" s="120" t="n"/>
    </row>
    <row r="588" ht="15" customHeight="1" s="72">
      <c r="A588" s="117" t="n"/>
      <c r="B588" s="117" t="n"/>
      <c r="C588" s="118" t="n"/>
      <c r="D588" s="119" t="n"/>
      <c r="E588" s="120" t="n"/>
      <c r="F588" s="120" t="n"/>
      <c r="G588" s="120" t="n"/>
    </row>
    <row r="589" ht="15" customHeight="1" s="72">
      <c r="A589" s="117" t="n"/>
      <c r="B589" s="117" t="n"/>
      <c r="C589" s="118" t="n"/>
      <c r="D589" s="119" t="n"/>
      <c r="E589" s="120" t="n"/>
      <c r="F589" s="120" t="n"/>
      <c r="G589" s="120" t="n"/>
    </row>
    <row r="590" ht="15" customHeight="1" s="72">
      <c r="A590" s="117" t="n"/>
      <c r="B590" s="117" t="n"/>
      <c r="C590" s="118" t="n"/>
      <c r="D590" s="119" t="n"/>
      <c r="E590" s="120" t="n"/>
      <c r="F590" s="120" t="n"/>
      <c r="G590" s="120" t="n"/>
    </row>
    <row r="591" ht="15" customHeight="1" s="72">
      <c r="A591" s="117" t="n"/>
      <c r="B591" s="117" t="n"/>
      <c r="C591" s="118" t="n"/>
      <c r="D591" s="119" t="n"/>
      <c r="E591" s="120" t="n"/>
      <c r="F591" s="120" t="n"/>
      <c r="G591" s="120" t="n"/>
    </row>
    <row r="592" ht="15" customHeight="1" s="72">
      <c r="A592" s="117" t="n"/>
      <c r="B592" s="117" t="n"/>
      <c r="C592" s="118" t="n"/>
      <c r="D592" s="119" t="n"/>
      <c r="E592" s="120" t="n"/>
      <c r="F592" s="120" t="n"/>
      <c r="G592" s="120" t="n"/>
    </row>
    <row r="593" ht="15" customHeight="1" s="72">
      <c r="A593" s="117" t="n"/>
      <c r="B593" s="117" t="n"/>
      <c r="C593" s="118" t="n"/>
      <c r="D593" s="119" t="n"/>
      <c r="E593" s="120" t="n"/>
      <c r="F593" s="120" t="n"/>
      <c r="G593" s="120" t="n"/>
    </row>
    <row r="594" ht="15" customHeight="1" s="72">
      <c r="A594" s="117" t="n"/>
      <c r="B594" s="117" t="n"/>
      <c r="C594" s="118" t="n"/>
      <c r="D594" s="119" t="n"/>
      <c r="E594" s="120" t="n"/>
      <c r="F594" s="120" t="n"/>
      <c r="G594" s="120" t="n"/>
    </row>
    <row r="595" ht="15" customHeight="1" s="72">
      <c r="A595" s="117" t="n"/>
      <c r="B595" s="117" t="n"/>
      <c r="C595" s="118" t="n"/>
      <c r="D595" s="119" t="n"/>
      <c r="E595" s="120" t="n"/>
      <c r="F595" s="120" t="n"/>
      <c r="G595" s="120" t="n"/>
    </row>
    <row r="596" ht="15" customHeight="1" s="72">
      <c r="A596" s="117" t="n"/>
      <c r="B596" s="117" t="n"/>
      <c r="C596" s="118" t="n"/>
      <c r="D596" s="119" t="n"/>
      <c r="E596" s="120" t="n"/>
      <c r="F596" s="120" t="n"/>
      <c r="G596" s="120" t="n"/>
    </row>
    <row r="597" ht="15" customHeight="1" s="72">
      <c r="A597" s="117" t="n"/>
      <c r="B597" s="117" t="n"/>
      <c r="C597" s="118" t="n"/>
      <c r="D597" s="119" t="n"/>
      <c r="E597" s="120" t="n"/>
      <c r="F597" s="120" t="n"/>
      <c r="G597" s="120" t="n"/>
    </row>
    <row r="598" ht="15" customHeight="1" s="72">
      <c r="A598" s="117" t="n"/>
      <c r="B598" s="117" t="n"/>
      <c r="C598" s="118" t="n"/>
      <c r="D598" s="119" t="n"/>
      <c r="E598" s="120" t="n"/>
      <c r="F598" s="120" t="n"/>
      <c r="G598" s="120" t="n"/>
    </row>
    <row r="599" ht="15" customHeight="1" s="72">
      <c r="A599" s="117" t="n"/>
      <c r="B599" s="117" t="n"/>
      <c r="C599" s="118" t="n"/>
      <c r="D599" s="119" t="n"/>
      <c r="E599" s="120" t="n"/>
      <c r="F599" s="120" t="n"/>
      <c r="G599" s="120" t="n"/>
    </row>
    <row r="600" ht="15" customHeight="1" s="72">
      <c r="A600" s="117" t="n"/>
      <c r="B600" s="117" t="n"/>
      <c r="C600" s="118" t="n"/>
      <c r="D600" s="119" t="n"/>
      <c r="E600" s="120" t="n"/>
      <c r="F600" s="120" t="n"/>
      <c r="G600" s="120" t="n"/>
    </row>
    <row r="601" ht="15" customHeight="1" s="72">
      <c r="A601" s="117" t="n"/>
      <c r="B601" s="117" t="n"/>
      <c r="C601" s="118" t="n"/>
      <c r="D601" s="119" t="n"/>
      <c r="E601" s="120" t="n"/>
      <c r="F601" s="120" t="n"/>
      <c r="G601" s="120" t="n"/>
    </row>
    <row r="602" ht="15" customHeight="1" s="72">
      <c r="A602" s="117" t="n"/>
      <c r="B602" s="117" t="n"/>
      <c r="C602" s="118" t="n"/>
      <c r="D602" s="119" t="n"/>
      <c r="E602" s="120" t="n"/>
      <c r="F602" s="120" t="n"/>
      <c r="G602" s="120" t="n"/>
    </row>
    <row r="603" ht="15" customHeight="1" s="72">
      <c r="A603" s="117" t="n"/>
      <c r="B603" s="117" t="n"/>
      <c r="C603" s="118" t="n"/>
      <c r="D603" s="119" t="n"/>
      <c r="E603" s="120" t="n"/>
      <c r="F603" s="120" t="n"/>
      <c r="G603" s="120" t="n"/>
    </row>
    <row r="604" ht="15" customHeight="1" s="72">
      <c r="A604" s="117" t="n"/>
      <c r="B604" s="117" t="n"/>
      <c r="C604" s="118" t="n"/>
      <c r="D604" s="119" t="n"/>
      <c r="E604" s="120" t="n"/>
      <c r="F604" s="120" t="n"/>
      <c r="G604" s="120" t="n"/>
    </row>
    <row r="605" ht="15" customHeight="1" s="72">
      <c r="A605" s="117" t="n"/>
      <c r="B605" s="117" t="n"/>
      <c r="C605" s="118" t="n"/>
      <c r="D605" s="119" t="n"/>
      <c r="E605" s="120" t="n"/>
      <c r="F605" s="120" t="n"/>
      <c r="G605" s="120" t="n"/>
    </row>
    <row r="606" ht="15" customHeight="1" s="72">
      <c r="A606" s="117" t="n"/>
      <c r="B606" s="117" t="n"/>
      <c r="C606" s="118" t="n"/>
      <c r="D606" s="119" t="n"/>
      <c r="E606" s="120" t="n"/>
      <c r="F606" s="120" t="n"/>
      <c r="G606" s="120" t="n"/>
    </row>
    <row r="607" ht="15" customHeight="1" s="72">
      <c r="A607" s="117" t="n"/>
      <c r="B607" s="117" t="n"/>
      <c r="C607" s="118" t="n"/>
      <c r="D607" s="119" t="n"/>
      <c r="E607" s="120" t="n"/>
      <c r="F607" s="120" t="n"/>
      <c r="G607" s="120" t="n"/>
    </row>
    <row r="608" ht="15" customHeight="1" s="72">
      <c r="A608" s="117" t="n"/>
      <c r="B608" s="117" t="n"/>
      <c r="C608" s="118" t="n"/>
      <c r="D608" s="119" t="n"/>
      <c r="E608" s="120" t="n"/>
      <c r="F608" s="120" t="n"/>
      <c r="G608" s="120" t="n"/>
    </row>
    <row r="609" ht="15" customHeight="1" s="72">
      <c r="A609" s="117" t="n"/>
      <c r="B609" s="117" t="n"/>
      <c r="C609" s="118" t="n"/>
      <c r="D609" s="119" t="n"/>
      <c r="E609" s="120" t="n"/>
      <c r="F609" s="120" t="n"/>
      <c r="G609" s="120" t="n"/>
    </row>
    <row r="610" ht="15" customHeight="1" s="72">
      <c r="A610" s="117" t="n"/>
      <c r="B610" s="117" t="n"/>
      <c r="C610" s="118" t="n"/>
      <c r="D610" s="119" t="n"/>
      <c r="E610" s="120" t="n"/>
      <c r="F610" s="120" t="n"/>
      <c r="G610" s="120" t="n"/>
    </row>
    <row r="611" ht="15" customHeight="1" s="72">
      <c r="A611" s="117" t="n"/>
      <c r="B611" s="117" t="n"/>
      <c r="C611" s="118" t="n"/>
      <c r="D611" s="119" t="n"/>
      <c r="E611" s="120" t="n"/>
      <c r="F611" s="120" t="n"/>
      <c r="G611" s="120" t="n"/>
    </row>
    <row r="612" ht="15" customHeight="1" s="72">
      <c r="A612" s="117" t="n"/>
      <c r="B612" s="117" t="n"/>
      <c r="C612" s="118" t="n"/>
      <c r="D612" s="119" t="n"/>
      <c r="E612" s="120" t="n"/>
      <c r="F612" s="120" t="n"/>
      <c r="G612" s="120" t="n"/>
    </row>
    <row r="613" ht="15" customHeight="1" s="72">
      <c r="A613" s="117" t="n"/>
      <c r="B613" s="117" t="n"/>
      <c r="C613" s="118" t="n"/>
      <c r="D613" s="119" t="n"/>
      <c r="E613" s="120" t="n"/>
      <c r="F613" s="120" t="n"/>
      <c r="G613" s="120" t="n"/>
    </row>
    <row r="614" ht="15" customHeight="1" s="72">
      <c r="A614" s="117" t="n"/>
      <c r="B614" s="117" t="n"/>
      <c r="C614" s="118" t="n"/>
      <c r="D614" s="119" t="n"/>
      <c r="E614" s="120" t="n"/>
      <c r="F614" s="120" t="n"/>
      <c r="G614" s="120" t="n"/>
    </row>
    <row r="615" ht="15" customHeight="1" s="72">
      <c r="A615" s="117" t="n"/>
      <c r="B615" s="117" t="n"/>
      <c r="C615" s="118" t="n"/>
      <c r="D615" s="119" t="n"/>
      <c r="E615" s="120" t="n"/>
      <c r="F615" s="120" t="n"/>
      <c r="G615" s="120" t="n"/>
    </row>
    <row r="616" ht="15" customHeight="1" s="72">
      <c r="A616" s="117" t="n"/>
      <c r="B616" s="117" t="n"/>
      <c r="C616" s="118" t="n"/>
      <c r="D616" s="119" t="n"/>
      <c r="E616" s="120" t="n"/>
      <c r="F616" s="120" t="n"/>
      <c r="G616" s="120" t="n"/>
    </row>
    <row r="617" ht="15" customHeight="1" s="72">
      <c r="A617" s="117" t="n"/>
      <c r="B617" s="117" t="n"/>
      <c r="C617" s="118" t="n"/>
      <c r="D617" s="119" t="n"/>
      <c r="E617" s="120" t="n"/>
      <c r="F617" s="120" t="n"/>
      <c r="G617" s="120" t="n"/>
    </row>
    <row r="618" ht="15" customHeight="1" s="72">
      <c r="A618" s="117" t="n"/>
      <c r="B618" s="117" t="n"/>
      <c r="C618" s="118" t="n"/>
      <c r="D618" s="119" t="n"/>
      <c r="E618" s="120" t="n"/>
      <c r="F618" s="120" t="n"/>
      <c r="G618" s="120" t="n"/>
    </row>
    <row r="619" ht="15" customHeight="1" s="72">
      <c r="A619" s="117" t="n"/>
      <c r="B619" s="117" t="n"/>
      <c r="C619" s="118" t="n"/>
      <c r="D619" s="119" t="n"/>
      <c r="E619" s="120" t="n"/>
      <c r="F619" s="120" t="n"/>
      <c r="G619" s="120" t="n"/>
    </row>
    <row r="620" ht="15" customHeight="1" s="72">
      <c r="A620" s="117" t="n"/>
      <c r="B620" s="117" t="n"/>
      <c r="C620" s="118" t="n"/>
      <c r="D620" s="119" t="n"/>
      <c r="E620" s="120" t="n"/>
      <c r="F620" s="120" t="n"/>
      <c r="G620" s="120" t="n"/>
    </row>
    <row r="621" ht="15" customHeight="1" s="72">
      <c r="A621" s="117" t="n"/>
      <c r="B621" s="117" t="n"/>
      <c r="C621" s="118" t="n"/>
      <c r="D621" s="119" t="n"/>
      <c r="E621" s="120" t="n"/>
      <c r="F621" s="120" t="n"/>
      <c r="G621" s="120" t="n"/>
    </row>
    <row r="622" ht="15" customHeight="1" s="72">
      <c r="A622" s="117" t="n"/>
      <c r="B622" s="117" t="n"/>
      <c r="C622" s="118" t="n"/>
      <c r="D622" s="119" t="n"/>
      <c r="E622" s="120" t="n"/>
      <c r="F622" s="120" t="n"/>
      <c r="G622" s="120" t="n"/>
    </row>
    <row r="623" ht="15" customHeight="1" s="72">
      <c r="A623" s="117" t="n"/>
      <c r="B623" s="117" t="n"/>
      <c r="C623" s="118" t="n"/>
      <c r="D623" s="119" t="n"/>
      <c r="E623" s="120" t="n"/>
      <c r="F623" s="120" t="n"/>
      <c r="G623" s="120" t="n"/>
    </row>
    <row r="624" ht="15" customHeight="1" s="72">
      <c r="A624" s="117" t="n"/>
      <c r="B624" s="117" t="n"/>
      <c r="C624" s="118" t="n"/>
      <c r="D624" s="119" t="n"/>
      <c r="E624" s="120" t="n"/>
      <c r="F624" s="120" t="n"/>
      <c r="G624" s="120" t="n"/>
    </row>
    <row r="625" ht="15" customHeight="1" s="72">
      <c r="A625" s="117" t="n"/>
      <c r="B625" s="117" t="n"/>
      <c r="C625" s="118" t="n"/>
      <c r="D625" s="119" t="n"/>
      <c r="E625" s="120" t="n"/>
      <c r="F625" s="120" t="n"/>
      <c r="G625" s="120" t="n"/>
    </row>
    <row r="626" ht="15" customHeight="1" s="72">
      <c r="A626" s="117" t="n"/>
      <c r="B626" s="117" t="n"/>
      <c r="C626" s="118" t="n"/>
      <c r="D626" s="119" t="n"/>
      <c r="E626" s="120" t="n"/>
      <c r="F626" s="120" t="n"/>
      <c r="G626" s="120" t="n"/>
    </row>
    <row r="627" ht="15" customHeight="1" s="72">
      <c r="A627" s="117" t="n"/>
      <c r="B627" s="117" t="n"/>
      <c r="C627" s="118" t="n"/>
      <c r="D627" s="119" t="n"/>
      <c r="E627" s="120" t="n"/>
      <c r="F627" s="120" t="n"/>
      <c r="G627" s="120" t="n"/>
    </row>
    <row r="628" ht="15" customHeight="1" s="72">
      <c r="A628" s="117" t="n"/>
      <c r="B628" s="117" t="n"/>
      <c r="C628" s="118" t="n"/>
      <c r="D628" s="119" t="n"/>
      <c r="E628" s="120" t="n"/>
      <c r="F628" s="120" t="n"/>
      <c r="G628" s="120" t="n"/>
    </row>
    <row r="629" ht="15" customHeight="1" s="72">
      <c r="A629" s="117" t="n"/>
      <c r="B629" s="117" t="n"/>
      <c r="C629" s="118" t="n"/>
      <c r="D629" s="119" t="n"/>
      <c r="E629" s="120" t="n"/>
      <c r="F629" s="120" t="n"/>
      <c r="G629" s="120" t="n"/>
    </row>
    <row r="630" ht="15" customHeight="1" s="72">
      <c r="A630" s="117" t="n"/>
      <c r="B630" s="117" t="n"/>
      <c r="C630" s="118" t="n"/>
      <c r="D630" s="119" t="n"/>
      <c r="E630" s="120" t="n"/>
      <c r="F630" s="120" t="n"/>
      <c r="G630" s="120" t="n"/>
    </row>
    <row r="631" ht="15" customHeight="1" s="72">
      <c r="A631" s="117" t="n"/>
      <c r="B631" s="117" t="n"/>
      <c r="C631" s="118" t="n"/>
      <c r="D631" s="119" t="n"/>
      <c r="E631" s="120" t="n"/>
      <c r="F631" s="120" t="n"/>
      <c r="G631" s="120" t="n"/>
    </row>
    <row r="632" ht="15" customHeight="1" s="72">
      <c r="A632" s="117" t="n"/>
      <c r="B632" s="117" t="n"/>
      <c r="C632" s="118" t="n"/>
      <c r="D632" s="119" t="n"/>
      <c r="E632" s="120" t="n"/>
      <c r="F632" s="120" t="n"/>
      <c r="G632" s="120" t="n"/>
    </row>
    <row r="633" ht="15" customHeight="1" s="72">
      <c r="A633" s="117" t="n"/>
      <c r="B633" s="117" t="n"/>
      <c r="C633" s="118" t="n"/>
      <c r="D633" s="119" t="n"/>
      <c r="E633" s="120" t="n"/>
      <c r="F633" s="120" t="n"/>
      <c r="G633" s="120" t="n"/>
    </row>
    <row r="634" ht="15" customHeight="1" s="72">
      <c r="A634" s="117" t="n"/>
      <c r="B634" s="117" t="n"/>
      <c r="C634" s="118" t="n"/>
      <c r="D634" s="119" t="n"/>
      <c r="E634" s="120" t="n"/>
      <c r="F634" s="120" t="n"/>
      <c r="G634" s="120" t="n"/>
    </row>
    <row r="635" ht="15" customHeight="1" s="72">
      <c r="A635" s="117" t="n"/>
      <c r="B635" s="117" t="n"/>
      <c r="C635" s="118" t="n"/>
      <c r="D635" s="119" t="n"/>
      <c r="E635" s="120" t="n"/>
      <c r="F635" s="120" t="n"/>
      <c r="G635" s="120" t="n"/>
    </row>
    <row r="636" ht="15" customHeight="1" s="72">
      <c r="A636" s="117" t="n"/>
      <c r="B636" s="117" t="n"/>
      <c r="C636" s="118" t="n"/>
      <c r="D636" s="119" t="n"/>
      <c r="E636" s="120" t="n"/>
      <c r="F636" s="120" t="n"/>
      <c r="G636" s="120" t="n"/>
    </row>
    <row r="637" ht="15" customHeight="1" s="72">
      <c r="A637" s="117" t="n"/>
      <c r="B637" s="117" t="n"/>
      <c r="C637" s="118" t="n"/>
      <c r="D637" s="119" t="n"/>
      <c r="E637" s="120" t="n"/>
      <c r="F637" s="120" t="n"/>
      <c r="G637" s="120" t="n"/>
    </row>
    <row r="638" ht="15" customHeight="1" s="72">
      <c r="A638" s="117" t="n"/>
      <c r="B638" s="117" t="n"/>
      <c r="C638" s="118" t="n"/>
      <c r="D638" s="119" t="n"/>
      <c r="E638" s="120" t="n"/>
      <c r="F638" s="120" t="n"/>
      <c r="G638" s="120" t="n"/>
    </row>
    <row r="639" ht="15" customHeight="1" s="72">
      <c r="A639" s="117" t="n"/>
      <c r="B639" s="117" t="n"/>
      <c r="C639" s="118" t="n"/>
      <c r="D639" s="119" t="n"/>
      <c r="E639" s="120" t="n"/>
      <c r="F639" s="120" t="n"/>
      <c r="G639" s="120" t="n"/>
    </row>
    <row r="640" ht="15" customHeight="1" s="72">
      <c r="A640" s="117" t="n"/>
      <c r="B640" s="117" t="n"/>
      <c r="C640" s="118" t="n"/>
      <c r="D640" s="119" t="n"/>
      <c r="E640" s="120" t="n"/>
      <c r="F640" s="120" t="n"/>
      <c r="G640" s="120" t="n"/>
    </row>
    <row r="641" ht="15" customHeight="1" s="72">
      <c r="A641" s="117" t="n"/>
      <c r="B641" s="117" t="n"/>
      <c r="C641" s="118" t="n"/>
      <c r="D641" s="119" t="n"/>
      <c r="E641" s="120" t="n"/>
      <c r="F641" s="120" t="n"/>
      <c r="G641" s="120" t="n"/>
    </row>
    <row r="642" ht="15" customHeight="1" s="72">
      <c r="A642" s="117" t="n"/>
      <c r="B642" s="117" t="n"/>
      <c r="C642" s="118" t="n"/>
      <c r="D642" s="119" t="n"/>
      <c r="E642" s="120" t="n"/>
      <c r="F642" s="120" t="n"/>
      <c r="G642" s="120" t="n"/>
    </row>
    <row r="643" ht="15" customHeight="1" s="72">
      <c r="A643" s="117" t="n"/>
      <c r="B643" s="117" t="n"/>
      <c r="C643" s="118" t="n"/>
      <c r="D643" s="119" t="n"/>
      <c r="E643" s="120" t="n"/>
      <c r="F643" s="120" t="n"/>
      <c r="G643" s="120" t="n"/>
    </row>
    <row r="644" ht="15" customHeight="1" s="72">
      <c r="A644" s="117" t="n"/>
      <c r="B644" s="117" t="n"/>
      <c r="C644" s="118" t="n"/>
      <c r="D644" s="119" t="n"/>
      <c r="E644" s="120" t="n"/>
      <c r="F644" s="120" t="n"/>
      <c r="G644" s="120" t="n"/>
    </row>
    <row r="645" ht="15" customHeight="1" s="72">
      <c r="A645" s="117" t="n"/>
      <c r="B645" s="117" t="n"/>
      <c r="C645" s="118" t="n"/>
      <c r="D645" s="119" t="n"/>
      <c r="E645" s="120" t="n"/>
      <c r="F645" s="120" t="n"/>
      <c r="G645" s="120" t="n"/>
    </row>
    <row r="646" ht="15" customHeight="1" s="72">
      <c r="A646" s="117" t="n"/>
      <c r="B646" s="117" t="n"/>
      <c r="C646" s="118" t="n"/>
      <c r="D646" s="119" t="n"/>
      <c r="E646" s="120" t="n"/>
      <c r="F646" s="120" t="n"/>
      <c r="G646" s="120" t="n"/>
    </row>
    <row r="647" ht="15" customHeight="1" s="72">
      <c r="A647" s="117" t="n"/>
      <c r="B647" s="117" t="n"/>
      <c r="C647" s="118" t="n"/>
      <c r="D647" s="119" t="n"/>
      <c r="E647" s="120" t="n"/>
      <c r="F647" s="120" t="n"/>
      <c r="G647" s="120" t="n"/>
    </row>
    <row r="648" ht="15" customHeight="1" s="72">
      <c r="A648" s="117" t="n"/>
      <c r="B648" s="117" t="n"/>
      <c r="C648" s="118" t="n"/>
      <c r="D648" s="119" t="n"/>
      <c r="E648" s="120" t="n"/>
      <c r="F648" s="120" t="n"/>
      <c r="G648" s="120" t="n"/>
    </row>
    <row r="649" ht="15" customHeight="1" s="72">
      <c r="A649" s="117" t="n"/>
      <c r="B649" s="117" t="n"/>
      <c r="C649" s="118" t="n"/>
      <c r="D649" s="119" t="n"/>
      <c r="E649" s="120" t="n"/>
      <c r="F649" s="120" t="n"/>
      <c r="G649" s="120" t="n"/>
    </row>
    <row r="650" ht="15" customHeight="1" s="72">
      <c r="A650" s="117" t="n"/>
      <c r="B650" s="117" t="n"/>
      <c r="C650" s="118" t="n"/>
      <c r="D650" s="119" t="n"/>
      <c r="E650" s="120" t="n"/>
      <c r="F650" s="120" t="n"/>
      <c r="G650" s="120" t="n"/>
    </row>
    <row r="651" ht="15" customHeight="1" s="72">
      <c r="A651" s="117" t="n"/>
      <c r="B651" s="117" t="n"/>
      <c r="C651" s="118" t="n"/>
      <c r="D651" s="119" t="n"/>
      <c r="E651" s="120" t="n"/>
      <c r="F651" s="120" t="n"/>
      <c r="G651" s="120" t="n"/>
    </row>
    <row r="652" ht="15" customHeight="1" s="72">
      <c r="A652" s="117" t="n"/>
      <c r="B652" s="117" t="n"/>
      <c r="C652" s="118" t="n"/>
      <c r="D652" s="119" t="n"/>
      <c r="E652" s="120" t="n"/>
      <c r="F652" s="120" t="n"/>
      <c r="G652" s="120" t="n"/>
    </row>
    <row r="653" ht="15" customHeight="1" s="72">
      <c r="A653" s="117" t="n"/>
      <c r="B653" s="117" t="n"/>
      <c r="C653" s="118" t="n"/>
      <c r="D653" s="119" t="n"/>
      <c r="E653" s="120" t="n"/>
      <c r="F653" s="120" t="n"/>
      <c r="G653" s="120" t="n"/>
    </row>
    <row r="654" ht="15" customHeight="1" s="72">
      <c r="A654" s="117" t="n"/>
      <c r="B654" s="117" t="n"/>
      <c r="C654" s="118" t="n"/>
      <c r="D654" s="119" t="n"/>
      <c r="E654" s="120" t="n"/>
      <c r="F654" s="120" t="n"/>
      <c r="G654" s="120" t="n"/>
    </row>
    <row r="655" ht="15" customHeight="1" s="72">
      <c r="A655" s="117" t="n"/>
      <c r="B655" s="117" t="n"/>
      <c r="C655" s="118" t="n"/>
      <c r="D655" s="119" t="n"/>
      <c r="E655" s="120" t="n"/>
      <c r="F655" s="120" t="n"/>
      <c r="G655" s="120" t="n"/>
    </row>
    <row r="656" ht="15" customHeight="1" s="72">
      <c r="A656" s="117" t="n"/>
      <c r="B656" s="117" t="n"/>
      <c r="C656" s="118" t="n"/>
      <c r="D656" s="119" t="n"/>
      <c r="E656" s="120" t="n"/>
      <c r="F656" s="120" t="n"/>
      <c r="G656" s="120" t="n"/>
    </row>
    <row r="657" ht="15" customHeight="1" s="72">
      <c r="A657" s="117" t="n"/>
      <c r="B657" s="117" t="n"/>
      <c r="C657" s="118" t="n"/>
      <c r="D657" s="119" t="n"/>
      <c r="E657" s="120" t="n"/>
      <c r="F657" s="120" t="n"/>
      <c r="G657" s="120" t="n"/>
    </row>
    <row r="658" ht="15" customHeight="1" s="72">
      <c r="A658" s="117" t="n"/>
      <c r="B658" s="117" t="n"/>
      <c r="C658" s="118" t="n"/>
      <c r="D658" s="119" t="n"/>
      <c r="E658" s="120" t="n"/>
      <c r="F658" s="120" t="n"/>
      <c r="G658" s="120" t="n"/>
    </row>
    <row r="659" ht="15" customHeight="1" s="72">
      <c r="A659" s="117" t="n"/>
      <c r="B659" s="117" t="n"/>
      <c r="C659" s="118" t="n"/>
      <c r="D659" s="119" t="n"/>
      <c r="E659" s="120" t="n"/>
      <c r="F659" s="120" t="n"/>
      <c r="G659" s="120" t="n"/>
    </row>
    <row r="660" ht="15" customHeight="1" s="72">
      <c r="A660" s="117" t="n"/>
      <c r="B660" s="117" t="n"/>
      <c r="C660" s="118" t="n"/>
      <c r="D660" s="119" t="n"/>
      <c r="E660" s="120" t="n"/>
      <c r="F660" s="120" t="n"/>
      <c r="G660" s="120" t="n"/>
    </row>
    <row r="661" ht="15" customHeight="1" s="72">
      <c r="A661" s="117" t="n"/>
      <c r="B661" s="117" t="n"/>
      <c r="C661" s="118" t="n"/>
      <c r="D661" s="119" t="n"/>
      <c r="E661" s="120" t="n"/>
      <c r="F661" s="120" t="n"/>
      <c r="G661" s="120" t="n"/>
    </row>
    <row r="662" ht="15" customHeight="1" s="72">
      <c r="A662" s="117" t="n"/>
      <c r="B662" s="117" t="n"/>
      <c r="C662" s="118" t="n"/>
      <c r="D662" s="119" t="n"/>
      <c r="E662" s="120" t="n"/>
      <c r="F662" s="120" t="n"/>
      <c r="G662" s="120" t="n"/>
    </row>
    <row r="663" ht="15" customHeight="1" s="72">
      <c r="A663" s="117" t="n"/>
      <c r="B663" s="117" t="n"/>
      <c r="C663" s="118" t="n"/>
      <c r="D663" s="119" t="n"/>
      <c r="E663" s="120" t="n"/>
      <c r="F663" s="120" t="n"/>
      <c r="G663" s="120" t="n"/>
    </row>
    <row r="664" ht="15" customHeight="1" s="72">
      <c r="A664" s="117" t="n"/>
      <c r="B664" s="117" t="n"/>
      <c r="C664" s="118" t="n"/>
      <c r="D664" s="119" t="n"/>
      <c r="E664" s="120" t="n"/>
      <c r="F664" s="120" t="n"/>
      <c r="G664" s="120" t="n"/>
    </row>
    <row r="665" ht="15" customHeight="1" s="72">
      <c r="A665" s="117" t="n"/>
      <c r="B665" s="117" t="n"/>
      <c r="C665" s="118" t="n"/>
      <c r="D665" s="119" t="n"/>
      <c r="E665" s="120" t="n"/>
      <c r="F665" s="120" t="n"/>
      <c r="G665" s="120" t="n"/>
    </row>
    <row r="666" ht="15" customHeight="1" s="72">
      <c r="A666" s="117" t="n"/>
      <c r="B666" s="117" t="n"/>
      <c r="C666" s="118" t="n"/>
      <c r="D666" s="119" t="n"/>
      <c r="E666" s="120" t="n"/>
      <c r="F666" s="120" t="n"/>
      <c r="G666" s="120" t="n"/>
    </row>
    <row r="667" ht="15" customHeight="1" s="72">
      <c r="A667" s="117" t="n"/>
      <c r="B667" s="117" t="n"/>
      <c r="C667" s="118" t="n"/>
      <c r="D667" s="119" t="n"/>
      <c r="E667" s="120" t="n"/>
      <c r="F667" s="120" t="n"/>
      <c r="G667" s="120" t="n"/>
    </row>
    <row r="668" ht="15" customHeight="1" s="72">
      <c r="A668" s="117" t="n"/>
      <c r="B668" s="117" t="n"/>
      <c r="C668" s="118" t="n"/>
      <c r="D668" s="119" t="n"/>
      <c r="E668" s="120" t="n"/>
      <c r="F668" s="120" t="n"/>
      <c r="G668" s="120" t="n"/>
    </row>
    <row r="669" ht="15" customHeight="1" s="72">
      <c r="A669" s="117" t="n"/>
      <c r="B669" s="117" t="n"/>
      <c r="C669" s="118" t="n"/>
      <c r="D669" s="119" t="n"/>
      <c r="E669" s="120" t="n"/>
      <c r="F669" s="120" t="n"/>
      <c r="G669" s="120" t="n"/>
    </row>
    <row r="670" ht="15" customHeight="1" s="72">
      <c r="A670" s="117" t="n"/>
      <c r="B670" s="117" t="n"/>
      <c r="C670" s="118" t="n"/>
      <c r="D670" s="119" t="n"/>
      <c r="E670" s="120" t="n"/>
      <c r="F670" s="120" t="n"/>
      <c r="G670" s="120" t="n"/>
    </row>
    <row r="671" ht="15" customHeight="1" s="72">
      <c r="A671" s="117" t="n"/>
      <c r="B671" s="117" t="n"/>
      <c r="C671" s="118" t="n"/>
      <c r="D671" s="119" t="n"/>
      <c r="E671" s="120" t="n"/>
      <c r="F671" s="120" t="n"/>
      <c r="G671" s="120" t="n"/>
    </row>
    <row r="672" ht="15" customHeight="1" s="72">
      <c r="A672" s="117" t="n"/>
      <c r="B672" s="117" t="n"/>
      <c r="C672" s="118" t="n"/>
      <c r="D672" s="119" t="n"/>
      <c r="E672" s="120" t="n"/>
      <c r="F672" s="120" t="n"/>
      <c r="G672" s="120" t="n"/>
    </row>
    <row r="673" ht="15" customHeight="1" s="72">
      <c r="A673" s="117" t="n"/>
      <c r="B673" s="117" t="n"/>
      <c r="C673" s="118" t="n"/>
      <c r="D673" s="119" t="n"/>
      <c r="E673" s="120" t="n"/>
      <c r="F673" s="120" t="n"/>
      <c r="G673" s="120" t="n"/>
    </row>
    <row r="674" ht="15" customHeight="1" s="72">
      <c r="A674" s="117" t="n"/>
      <c r="B674" s="117" t="n"/>
      <c r="C674" s="118" t="n"/>
      <c r="D674" s="119" t="n"/>
      <c r="E674" s="120" t="n"/>
      <c r="F674" s="120" t="n"/>
      <c r="G674" s="120" t="n"/>
    </row>
    <row r="675" ht="15" customHeight="1" s="72">
      <c r="A675" s="117" t="n"/>
      <c r="B675" s="117" t="n"/>
      <c r="C675" s="118" t="n"/>
      <c r="D675" s="119" t="n"/>
      <c r="E675" s="120" t="n"/>
      <c r="F675" s="120" t="n"/>
      <c r="G675" s="120" t="n"/>
    </row>
    <row r="676" ht="15" customHeight="1" s="72">
      <c r="A676" s="117" t="n"/>
      <c r="B676" s="117" t="n"/>
      <c r="C676" s="118" t="n"/>
      <c r="D676" s="119" t="n"/>
      <c r="E676" s="120" t="n"/>
      <c r="F676" s="120" t="n"/>
      <c r="G676" s="120" t="n"/>
    </row>
    <row r="677" ht="15" customHeight="1" s="72">
      <c r="A677" s="117" t="n"/>
      <c r="B677" s="117" t="n"/>
      <c r="C677" s="118" t="n"/>
      <c r="D677" s="119" t="n"/>
      <c r="E677" s="120" t="n"/>
      <c r="F677" s="120" t="n"/>
      <c r="G677" s="120" t="n"/>
    </row>
    <row r="678" ht="15" customHeight="1" s="72">
      <c r="A678" s="117" t="n"/>
      <c r="B678" s="117" t="n"/>
      <c r="C678" s="118" t="n"/>
      <c r="D678" s="119" t="n"/>
      <c r="E678" s="120" t="n"/>
      <c r="F678" s="120" t="n"/>
      <c r="G678" s="120" t="n"/>
    </row>
    <row r="679" ht="15" customHeight="1" s="72">
      <c r="A679" s="117" t="n"/>
      <c r="B679" s="117" t="n"/>
      <c r="C679" s="118" t="n"/>
      <c r="D679" s="119" t="n"/>
      <c r="E679" s="120" t="n"/>
      <c r="F679" s="120" t="n"/>
      <c r="G679" s="120" t="n"/>
    </row>
    <row r="680" ht="15" customHeight="1" s="72">
      <c r="A680" s="117" t="n"/>
      <c r="B680" s="117" t="n"/>
      <c r="C680" s="118" t="n"/>
      <c r="D680" s="119" t="n"/>
      <c r="E680" s="120" t="n"/>
      <c r="F680" s="120" t="n"/>
      <c r="G680" s="120" t="n"/>
    </row>
    <row r="681" ht="15" customHeight="1" s="72">
      <c r="A681" s="117" t="n"/>
      <c r="B681" s="117" t="n"/>
      <c r="C681" s="118" t="n"/>
      <c r="D681" s="119" t="n"/>
      <c r="E681" s="120" t="n"/>
      <c r="F681" s="120" t="n"/>
      <c r="G681" s="120" t="n"/>
    </row>
    <row r="682" ht="15" customHeight="1" s="72">
      <c r="A682" s="117" t="n"/>
      <c r="B682" s="117" t="n"/>
      <c r="C682" s="118" t="n"/>
      <c r="D682" s="119" t="n"/>
      <c r="E682" s="120" t="n"/>
      <c r="F682" s="120" t="n"/>
      <c r="G682" s="120" t="n"/>
    </row>
    <row r="683" ht="15" customHeight="1" s="72">
      <c r="A683" s="117" t="n"/>
      <c r="B683" s="117" t="n"/>
      <c r="C683" s="118" t="n"/>
      <c r="D683" s="119" t="n"/>
      <c r="E683" s="120" t="n"/>
      <c r="F683" s="120" t="n"/>
      <c r="G683" s="120" t="n"/>
    </row>
    <row r="684" ht="15" customHeight="1" s="72">
      <c r="A684" s="117" t="n"/>
      <c r="B684" s="117" t="n"/>
      <c r="C684" s="118" t="n"/>
      <c r="D684" s="119" t="n"/>
      <c r="E684" s="120" t="n"/>
      <c r="F684" s="120" t="n"/>
      <c r="G684" s="120" t="n"/>
    </row>
    <row r="685" ht="15" customHeight="1" s="72">
      <c r="A685" s="117" t="n"/>
      <c r="B685" s="117" t="n"/>
      <c r="C685" s="118" t="n"/>
      <c r="D685" s="119" t="n"/>
      <c r="E685" s="120" t="n"/>
      <c r="F685" s="120" t="n"/>
      <c r="G685" s="120" t="n"/>
    </row>
    <row r="686" ht="15" customHeight="1" s="72">
      <c r="A686" s="117" t="n"/>
      <c r="B686" s="117" t="n"/>
      <c r="C686" s="118" t="n"/>
      <c r="D686" s="119" t="n"/>
      <c r="E686" s="120" t="n"/>
      <c r="F686" s="120" t="n"/>
      <c r="G686" s="120" t="n"/>
    </row>
    <row r="687" ht="15" customHeight="1" s="72">
      <c r="A687" s="117" t="n"/>
      <c r="B687" s="117" t="n"/>
      <c r="C687" s="118" t="n"/>
      <c r="D687" s="119" t="n"/>
      <c r="E687" s="120" t="n"/>
      <c r="F687" s="120" t="n"/>
      <c r="G687" s="120" t="n"/>
    </row>
    <row r="688" ht="15" customHeight="1" s="72">
      <c r="A688" s="117" t="n"/>
      <c r="B688" s="117" t="n"/>
      <c r="C688" s="118" t="n"/>
      <c r="D688" s="119" t="n"/>
      <c r="E688" s="120" t="n"/>
      <c r="F688" s="120" t="n"/>
      <c r="G688" s="120" t="n"/>
    </row>
    <row r="689" ht="15" customHeight="1" s="72">
      <c r="A689" s="117" t="n"/>
      <c r="B689" s="117" t="n"/>
      <c r="C689" s="118" t="n"/>
      <c r="D689" s="119" t="n"/>
      <c r="E689" s="120" t="n"/>
      <c r="F689" s="120" t="n"/>
      <c r="G689" s="120" t="n"/>
    </row>
    <row r="690" ht="15" customHeight="1" s="72">
      <c r="A690" s="117" t="n"/>
      <c r="B690" s="117" t="n"/>
      <c r="C690" s="118" t="n"/>
      <c r="D690" s="119" t="n"/>
      <c r="E690" s="120" t="n"/>
      <c r="F690" s="120" t="n"/>
      <c r="G690" s="120" t="n"/>
    </row>
    <row r="691" ht="15" customHeight="1" s="72">
      <c r="A691" s="117" t="n"/>
      <c r="B691" s="117" t="n"/>
      <c r="C691" s="118" t="n"/>
      <c r="D691" s="119" t="n"/>
      <c r="E691" s="120" t="n"/>
      <c r="F691" s="120" t="n"/>
      <c r="G691" s="120" t="n"/>
    </row>
    <row r="692" ht="15" customHeight="1" s="72">
      <c r="A692" s="117" t="n"/>
      <c r="B692" s="117" t="n"/>
      <c r="C692" s="118" t="n"/>
      <c r="D692" s="119" t="n"/>
      <c r="E692" s="120" t="n"/>
      <c r="F692" s="120" t="n"/>
      <c r="G692" s="120" t="n"/>
    </row>
    <row r="693" ht="15" customHeight="1" s="72">
      <c r="A693" s="117" t="n"/>
      <c r="B693" s="117" t="n"/>
      <c r="C693" s="118" t="n"/>
      <c r="D693" s="119" t="n"/>
      <c r="E693" s="120" t="n"/>
      <c r="F693" s="120" t="n"/>
      <c r="G693" s="120" t="n"/>
    </row>
    <row r="694" ht="15" customHeight="1" s="72">
      <c r="A694" s="117" t="n"/>
      <c r="B694" s="117" t="n"/>
      <c r="C694" s="118" t="n"/>
      <c r="D694" s="119" t="n"/>
      <c r="E694" s="120" t="n"/>
      <c r="F694" s="120" t="n"/>
      <c r="G694" s="120" t="n"/>
    </row>
    <row r="695" ht="15" customHeight="1" s="72">
      <c r="A695" s="117" t="n"/>
      <c r="B695" s="117" t="n"/>
      <c r="C695" s="118" t="n"/>
      <c r="D695" s="119" t="n"/>
      <c r="E695" s="120" t="n"/>
      <c r="F695" s="120" t="n"/>
      <c r="G695" s="120" t="n"/>
    </row>
    <row r="696" ht="15" customHeight="1" s="72">
      <c r="A696" s="117" t="n"/>
      <c r="B696" s="117" t="n"/>
      <c r="C696" s="118" t="n"/>
      <c r="D696" s="119" t="n"/>
      <c r="E696" s="120" t="n"/>
      <c r="F696" s="120" t="n"/>
      <c r="G696" s="120" t="n"/>
    </row>
    <row r="697" ht="15" customHeight="1" s="72">
      <c r="A697" s="117" t="n"/>
      <c r="B697" s="117" t="n"/>
      <c r="C697" s="118" t="n"/>
      <c r="D697" s="119" t="n"/>
      <c r="E697" s="120" t="n"/>
      <c r="F697" s="120" t="n"/>
      <c r="G697" s="120" t="n"/>
    </row>
    <row r="698" ht="15" customHeight="1" s="72">
      <c r="A698" s="117" t="n"/>
      <c r="B698" s="117" t="n"/>
      <c r="C698" s="118" t="n"/>
      <c r="D698" s="119" t="n"/>
      <c r="E698" s="120" t="n"/>
      <c r="F698" s="120" t="n"/>
      <c r="G698" s="120" t="n"/>
    </row>
    <row r="699" ht="15" customHeight="1" s="72">
      <c r="A699" s="117" t="n"/>
      <c r="B699" s="117" t="n"/>
      <c r="C699" s="118" t="n"/>
      <c r="D699" s="119" t="n"/>
      <c r="E699" s="120" t="n"/>
      <c r="F699" s="120" t="n"/>
      <c r="G699" s="120" t="n"/>
    </row>
    <row r="700" ht="15" customHeight="1" s="72">
      <c r="A700" s="117" t="n"/>
      <c r="B700" s="117" t="n"/>
      <c r="C700" s="118" t="n"/>
      <c r="D700" s="119" t="n"/>
      <c r="E700" s="120" t="n"/>
      <c r="F700" s="120" t="n"/>
      <c r="G700" s="120" t="n"/>
    </row>
    <row r="701" ht="15" customHeight="1" s="72">
      <c r="A701" s="117" t="n"/>
      <c r="B701" s="117" t="n"/>
      <c r="C701" s="118" t="n"/>
      <c r="D701" s="119" t="n"/>
      <c r="E701" s="120" t="n"/>
      <c r="F701" s="120" t="n"/>
      <c r="G701" s="120" t="n"/>
    </row>
    <row r="702" ht="15" customHeight="1" s="72">
      <c r="A702" s="117" t="n"/>
      <c r="B702" s="117" t="n"/>
      <c r="C702" s="118" t="n"/>
      <c r="D702" s="119" t="n"/>
      <c r="E702" s="120" t="n"/>
      <c r="F702" s="120" t="n"/>
      <c r="G702" s="120" t="n"/>
    </row>
    <row r="703" ht="15" customHeight="1" s="72">
      <c r="A703" s="117" t="n"/>
      <c r="B703" s="117" t="n"/>
      <c r="C703" s="118" t="n"/>
      <c r="D703" s="119" t="n"/>
      <c r="E703" s="120" t="n"/>
      <c r="F703" s="120" t="n"/>
      <c r="G703" s="120" t="n"/>
    </row>
    <row r="704" ht="15" customHeight="1" s="72">
      <c r="A704" s="117" t="n"/>
      <c r="B704" s="117" t="n"/>
      <c r="C704" s="118" t="n"/>
      <c r="D704" s="119" t="n"/>
      <c r="E704" s="120" t="n"/>
      <c r="F704" s="120" t="n"/>
      <c r="G704" s="120" t="n"/>
    </row>
    <row r="705" ht="15" customHeight="1" s="72">
      <c r="A705" s="117" t="n"/>
      <c r="B705" s="117" t="n"/>
      <c r="C705" s="118" t="n"/>
      <c r="D705" s="119" t="n"/>
      <c r="E705" s="120" t="n"/>
      <c r="F705" s="120" t="n"/>
      <c r="G705" s="120" t="n"/>
    </row>
    <row r="706" ht="15" customHeight="1" s="72">
      <c r="A706" s="117" t="n"/>
      <c r="B706" s="117" t="n"/>
      <c r="C706" s="118" t="n"/>
      <c r="D706" s="119" t="n"/>
      <c r="E706" s="120" t="n"/>
      <c r="F706" s="120" t="n"/>
      <c r="G706" s="120" t="n"/>
    </row>
    <row r="707" ht="15" customHeight="1" s="72">
      <c r="A707" s="117" t="n"/>
      <c r="B707" s="117" t="n"/>
      <c r="C707" s="118" t="n"/>
      <c r="D707" s="119" t="n"/>
      <c r="E707" s="120" t="n"/>
      <c r="F707" s="120" t="n"/>
      <c r="G707" s="120" t="n"/>
    </row>
    <row r="708" ht="15" customHeight="1" s="72">
      <c r="A708" s="117" t="n"/>
      <c r="B708" s="117" t="n"/>
      <c r="C708" s="118" t="n"/>
      <c r="D708" s="119" t="n"/>
      <c r="E708" s="120" t="n"/>
      <c r="F708" s="120" t="n"/>
      <c r="G708" s="120" t="n"/>
    </row>
    <row r="709" ht="15" customHeight="1" s="72">
      <c r="A709" s="117" t="n"/>
      <c r="B709" s="117" t="n"/>
      <c r="C709" s="118" t="n"/>
      <c r="D709" s="119" t="n"/>
      <c r="E709" s="120" t="n"/>
      <c r="F709" s="120" t="n"/>
      <c r="G709" s="120" t="n"/>
    </row>
    <row r="710" ht="15" customHeight="1" s="72">
      <c r="A710" s="117" t="n"/>
      <c r="B710" s="117" t="n"/>
      <c r="C710" s="118" t="n"/>
      <c r="D710" s="119" t="n"/>
      <c r="E710" s="120" t="n"/>
      <c r="F710" s="120" t="n"/>
      <c r="G710" s="120" t="n"/>
    </row>
    <row r="711" ht="15" customHeight="1" s="72">
      <c r="A711" s="117" t="n"/>
      <c r="B711" s="117" t="n"/>
      <c r="C711" s="118" t="n"/>
      <c r="D711" s="119" t="n"/>
      <c r="E711" s="120" t="n"/>
      <c r="F711" s="120" t="n"/>
      <c r="G711" s="120" t="n"/>
    </row>
    <row r="712" ht="15" customHeight="1" s="72">
      <c r="A712" s="117" t="n"/>
      <c r="B712" s="117" t="n"/>
      <c r="C712" s="118" t="n"/>
      <c r="D712" s="119" t="n"/>
      <c r="E712" s="120" t="n"/>
      <c r="F712" s="120" t="n"/>
      <c r="G712" s="120" t="n"/>
    </row>
    <row r="713" ht="15" customHeight="1" s="72">
      <c r="A713" s="117" t="n"/>
      <c r="B713" s="117" t="n"/>
      <c r="C713" s="118" t="n"/>
      <c r="D713" s="119" t="n"/>
      <c r="E713" s="120" t="n"/>
      <c r="F713" s="120" t="n"/>
      <c r="G713" s="120" t="n"/>
    </row>
    <row r="714" ht="15" customHeight="1" s="72">
      <c r="A714" s="117" t="n"/>
      <c r="B714" s="117" t="n"/>
      <c r="C714" s="118" t="n"/>
      <c r="D714" s="119" t="n"/>
      <c r="E714" s="120" t="n"/>
      <c r="F714" s="120" t="n"/>
      <c r="G714" s="120" t="n"/>
    </row>
    <row r="715" ht="15" customHeight="1" s="72">
      <c r="A715" s="117" t="n"/>
      <c r="B715" s="117" t="n"/>
      <c r="C715" s="118" t="n"/>
      <c r="D715" s="119" t="n"/>
      <c r="E715" s="120" t="n"/>
      <c r="F715" s="120" t="n"/>
      <c r="G715" s="120" t="n"/>
    </row>
    <row r="716" ht="15" customHeight="1" s="72">
      <c r="A716" s="117" t="n"/>
      <c r="B716" s="117" t="n"/>
      <c r="C716" s="118" t="n"/>
      <c r="D716" s="119" t="n"/>
      <c r="E716" s="120" t="n"/>
      <c r="F716" s="120" t="n"/>
      <c r="G716" s="120" t="n"/>
    </row>
    <row r="717" ht="15" customHeight="1" s="72">
      <c r="A717" s="117" t="n"/>
      <c r="B717" s="117" t="n"/>
      <c r="C717" s="118" t="n"/>
      <c r="D717" s="119" t="n"/>
      <c r="E717" s="120" t="n"/>
      <c r="F717" s="120" t="n"/>
      <c r="G717" s="120" t="n"/>
    </row>
    <row r="718" ht="15" customHeight="1" s="72">
      <c r="A718" s="117" t="n"/>
      <c r="B718" s="117" t="n"/>
      <c r="C718" s="118" t="n"/>
      <c r="D718" s="119" t="n"/>
      <c r="E718" s="120" t="n"/>
      <c r="F718" s="120" t="n"/>
      <c r="G718" s="120" t="n"/>
    </row>
    <row r="719" ht="15" customHeight="1" s="72">
      <c r="A719" s="117" t="n"/>
      <c r="B719" s="117" t="n"/>
      <c r="C719" s="118" t="n"/>
      <c r="D719" s="119" t="n"/>
      <c r="E719" s="120" t="n"/>
      <c r="F719" s="120" t="n"/>
      <c r="G719" s="120" t="n"/>
    </row>
    <row r="720" ht="15" customHeight="1" s="72">
      <c r="A720" s="117" t="n"/>
      <c r="B720" s="117" t="n"/>
      <c r="C720" s="118" t="n"/>
      <c r="D720" s="119" t="n"/>
      <c r="E720" s="120" t="n"/>
      <c r="F720" s="120" t="n"/>
      <c r="G720" s="120" t="n"/>
    </row>
    <row r="721" ht="15" customHeight="1" s="72">
      <c r="A721" s="117" t="n"/>
      <c r="B721" s="117" t="n"/>
      <c r="C721" s="118" t="n"/>
      <c r="D721" s="119" t="n"/>
      <c r="E721" s="120" t="n"/>
      <c r="F721" s="120" t="n"/>
      <c r="G721" s="120" t="n"/>
    </row>
    <row r="722" ht="15" customHeight="1" s="72">
      <c r="A722" s="117" t="n"/>
      <c r="B722" s="117" t="n"/>
      <c r="C722" s="118" t="n"/>
      <c r="D722" s="119" t="n"/>
      <c r="E722" s="120" t="n"/>
      <c r="F722" s="120" t="n"/>
      <c r="G722" s="120" t="n"/>
    </row>
    <row r="723" ht="15" customHeight="1" s="72">
      <c r="A723" s="117" t="n"/>
      <c r="B723" s="117" t="n"/>
      <c r="C723" s="118" t="n"/>
      <c r="D723" s="119" t="n"/>
      <c r="E723" s="120" t="n"/>
      <c r="F723" s="120" t="n"/>
      <c r="G723" s="120" t="n"/>
    </row>
    <row r="724" ht="15" customHeight="1" s="72">
      <c r="A724" s="117" t="n"/>
      <c r="B724" s="117" t="n"/>
      <c r="C724" s="118" t="n"/>
      <c r="D724" s="119" t="n"/>
      <c r="E724" s="120" t="n"/>
      <c r="F724" s="120" t="n"/>
      <c r="G724" s="120" t="n"/>
    </row>
    <row r="725" ht="15" customHeight="1" s="72">
      <c r="A725" s="117" t="n"/>
      <c r="B725" s="117" t="n"/>
      <c r="C725" s="118" t="n"/>
      <c r="D725" s="119" t="n"/>
      <c r="E725" s="120" t="n"/>
      <c r="F725" s="120" t="n"/>
      <c r="G725" s="120" t="n"/>
    </row>
    <row r="726" ht="15" customHeight="1" s="72">
      <c r="A726" s="117" t="n"/>
      <c r="B726" s="117" t="n"/>
      <c r="C726" s="118" t="n"/>
      <c r="D726" s="119" t="n"/>
      <c r="E726" s="120" t="n"/>
      <c r="F726" s="120" t="n"/>
      <c r="G726" s="120" t="n"/>
    </row>
    <row r="727" ht="15" customHeight="1" s="72">
      <c r="A727" s="117" t="n"/>
      <c r="B727" s="117" t="n"/>
      <c r="C727" s="118" t="n"/>
      <c r="D727" s="119" t="n"/>
      <c r="E727" s="120" t="n"/>
      <c r="F727" s="120" t="n"/>
      <c r="G727" s="120" t="n"/>
    </row>
    <row r="728" ht="15" customHeight="1" s="72">
      <c r="A728" s="117" t="n"/>
      <c r="B728" s="117" t="n"/>
      <c r="C728" s="118" t="n"/>
      <c r="D728" s="119" t="n"/>
      <c r="E728" s="120" t="n"/>
      <c r="F728" s="120" t="n"/>
      <c r="G728" s="120" t="n"/>
    </row>
    <row r="729" ht="15" customHeight="1" s="72">
      <c r="A729" s="117" t="n"/>
      <c r="B729" s="117" t="n"/>
      <c r="C729" s="118" t="n"/>
      <c r="D729" s="119" t="n"/>
      <c r="E729" s="120" t="n"/>
      <c r="F729" s="120" t="n"/>
      <c r="G729" s="120" t="n"/>
    </row>
    <row r="730" ht="15" customHeight="1" s="72">
      <c r="A730" s="117" t="n"/>
      <c r="B730" s="117" t="n"/>
      <c r="C730" s="118" t="n"/>
      <c r="D730" s="119" t="n"/>
      <c r="E730" s="120" t="n"/>
      <c r="F730" s="120" t="n"/>
      <c r="G730" s="120" t="n"/>
    </row>
    <row r="731" ht="15" customHeight="1" s="72">
      <c r="A731" s="117" t="n"/>
      <c r="B731" s="117" t="n"/>
      <c r="C731" s="118" t="n"/>
      <c r="D731" s="119" t="n"/>
      <c r="E731" s="120" t="n"/>
      <c r="F731" s="120" t="n"/>
      <c r="G731" s="120" t="n"/>
    </row>
    <row r="732" ht="15" customHeight="1" s="72">
      <c r="A732" s="117" t="n"/>
      <c r="B732" s="117" t="n"/>
      <c r="C732" s="118" t="n"/>
      <c r="D732" s="119" t="n"/>
      <c r="E732" s="120" t="n"/>
      <c r="F732" s="120" t="n"/>
      <c r="G732" s="120" t="n"/>
    </row>
    <row r="733" ht="15" customHeight="1" s="72">
      <c r="A733" s="117" t="n"/>
      <c r="B733" s="117" t="n"/>
      <c r="C733" s="118" t="n"/>
      <c r="D733" s="119" t="n"/>
      <c r="E733" s="120" t="n"/>
      <c r="F733" s="120" t="n"/>
      <c r="G733" s="120" t="n"/>
    </row>
    <row r="734" ht="15" customHeight="1" s="72">
      <c r="A734" s="117" t="n"/>
      <c r="B734" s="117" t="n"/>
      <c r="C734" s="118" t="n"/>
      <c r="D734" s="119" t="n"/>
      <c r="E734" s="120" t="n"/>
      <c r="F734" s="120" t="n"/>
      <c r="G734" s="120" t="n"/>
    </row>
    <row r="735" ht="15" customHeight="1" s="72">
      <c r="A735" s="117" t="n"/>
      <c r="B735" s="117" t="n"/>
      <c r="C735" s="118" t="n"/>
      <c r="D735" s="119" t="n"/>
      <c r="E735" s="120" t="n"/>
      <c r="F735" s="120" t="n"/>
      <c r="G735" s="120" t="n"/>
    </row>
    <row r="736" ht="15" customHeight="1" s="72">
      <c r="A736" s="117" t="n"/>
      <c r="B736" s="117" t="n"/>
      <c r="C736" s="118" t="n"/>
      <c r="D736" s="119" t="n"/>
      <c r="E736" s="120" t="n"/>
      <c r="F736" s="120" t="n"/>
      <c r="G736" s="120" t="n"/>
    </row>
    <row r="737" ht="15" customHeight="1" s="72">
      <c r="A737" s="117" t="n"/>
      <c r="B737" s="117" t="n"/>
      <c r="C737" s="118" t="n"/>
      <c r="D737" s="119" t="n"/>
      <c r="E737" s="120" t="n"/>
      <c r="F737" s="120" t="n"/>
      <c r="G737" s="120" t="n"/>
    </row>
    <row r="738" ht="15" customHeight="1" s="72">
      <c r="A738" s="117" t="n"/>
      <c r="B738" s="117" t="n"/>
      <c r="C738" s="118" t="n"/>
      <c r="D738" s="119" t="n"/>
      <c r="E738" s="120" t="n"/>
      <c r="F738" s="120" t="n"/>
      <c r="G738" s="120" t="n"/>
    </row>
    <row r="739" ht="15" customHeight="1" s="72">
      <c r="A739" s="117" t="n"/>
      <c r="B739" s="117" t="n"/>
      <c r="C739" s="118" t="n"/>
      <c r="D739" s="119" t="n"/>
      <c r="E739" s="120" t="n"/>
      <c r="F739" s="120" t="n"/>
      <c r="G739" s="120" t="n"/>
    </row>
    <row r="740" ht="15" customHeight="1" s="72">
      <c r="A740" s="117" t="n"/>
      <c r="B740" s="117" t="n"/>
      <c r="C740" s="118" t="n"/>
      <c r="D740" s="119" t="n"/>
      <c r="E740" s="120" t="n"/>
      <c r="F740" s="120" t="n"/>
      <c r="G740" s="120" t="n"/>
    </row>
    <row r="741" ht="15" customHeight="1" s="72">
      <c r="A741" s="117" t="n"/>
      <c r="B741" s="117" t="n"/>
      <c r="C741" s="118" t="n"/>
      <c r="D741" s="119" t="n"/>
      <c r="E741" s="120" t="n"/>
      <c r="F741" s="120" t="n"/>
      <c r="G741" s="120" t="n"/>
    </row>
    <row r="742" ht="15" customHeight="1" s="72">
      <c r="A742" s="117" t="n"/>
      <c r="B742" s="117" t="n"/>
      <c r="C742" s="118" t="n"/>
      <c r="D742" s="119" t="n"/>
      <c r="E742" s="120" t="n"/>
      <c r="F742" s="120" t="n"/>
      <c r="G742" s="120" t="n"/>
    </row>
    <row r="743" ht="15" customHeight="1" s="72">
      <c r="A743" s="117" t="n"/>
      <c r="B743" s="117" t="n"/>
      <c r="C743" s="118" t="n"/>
      <c r="D743" s="119" t="n"/>
      <c r="E743" s="120" t="n"/>
      <c r="F743" s="120" t="n"/>
      <c r="G743" s="120" t="n"/>
    </row>
    <row r="744" ht="15" customHeight="1" s="72">
      <c r="A744" s="117" t="n"/>
      <c r="B744" s="117" t="n"/>
      <c r="C744" s="118" t="n"/>
      <c r="D744" s="119" t="n"/>
      <c r="E744" s="120" t="n"/>
      <c r="F744" s="120" t="n"/>
      <c r="G744" s="120" t="n"/>
    </row>
    <row r="745" ht="15" customHeight="1" s="72">
      <c r="A745" s="117" t="n"/>
      <c r="B745" s="117" t="n"/>
      <c r="C745" s="118" t="n"/>
      <c r="D745" s="119" t="n"/>
      <c r="E745" s="120" t="n"/>
      <c r="F745" s="120" t="n"/>
      <c r="G745" s="120" t="n"/>
    </row>
    <row r="746" ht="15" customHeight="1" s="72">
      <c r="A746" s="117" t="n"/>
      <c r="B746" s="117" t="n"/>
      <c r="C746" s="118" t="n"/>
      <c r="D746" s="119" t="n"/>
      <c r="E746" s="120" t="n"/>
      <c r="F746" s="120" t="n"/>
      <c r="G746" s="120" t="n"/>
    </row>
    <row r="747" ht="15" customHeight="1" s="72">
      <c r="A747" s="117" t="n"/>
      <c r="B747" s="117" t="n"/>
      <c r="C747" s="118" t="n"/>
      <c r="D747" s="119" t="n"/>
      <c r="E747" s="120" t="n"/>
      <c r="F747" s="120" t="n"/>
      <c r="G747" s="120" t="n"/>
    </row>
    <row r="748" ht="15" customHeight="1" s="72">
      <c r="A748" s="117" t="n"/>
      <c r="B748" s="117" t="n"/>
      <c r="C748" s="118" t="n"/>
      <c r="D748" s="119" t="n"/>
      <c r="E748" s="120" t="n"/>
      <c r="F748" s="120" t="n"/>
      <c r="G748" s="120" t="n"/>
    </row>
    <row r="749" ht="15" customHeight="1" s="72">
      <c r="A749" s="117" t="n"/>
      <c r="B749" s="117" t="n"/>
      <c r="C749" s="118" t="n"/>
      <c r="D749" s="119" t="n"/>
      <c r="E749" s="120" t="n"/>
      <c r="F749" s="120" t="n"/>
      <c r="G749" s="120" t="n"/>
    </row>
    <row r="750" ht="15" customHeight="1" s="72">
      <c r="A750" s="117" t="n"/>
      <c r="B750" s="117" t="n"/>
      <c r="C750" s="118" t="n"/>
      <c r="D750" s="119" t="n"/>
      <c r="E750" s="120" t="n"/>
      <c r="F750" s="120" t="n"/>
      <c r="G750" s="120" t="n"/>
    </row>
    <row r="751" ht="15" customHeight="1" s="72">
      <c r="A751" s="117" t="n"/>
      <c r="B751" s="117" t="n"/>
      <c r="C751" s="118" t="n"/>
      <c r="D751" s="119" t="n"/>
      <c r="E751" s="120" t="n"/>
      <c r="F751" s="120" t="n"/>
      <c r="G751" s="120" t="n"/>
    </row>
    <row r="752" ht="15" customHeight="1" s="72">
      <c r="A752" s="117" t="n"/>
      <c r="B752" s="117" t="n"/>
      <c r="C752" s="118" t="n"/>
      <c r="D752" s="119" t="n"/>
      <c r="E752" s="120" t="n"/>
      <c r="F752" s="120" t="n"/>
      <c r="G752" s="120" t="n"/>
    </row>
    <row r="753" ht="15" customHeight="1" s="72">
      <c r="A753" s="117" t="n"/>
      <c r="B753" s="117" t="n"/>
      <c r="C753" s="118" t="n"/>
      <c r="D753" s="119" t="n"/>
      <c r="E753" s="120" t="n"/>
      <c r="F753" s="120" t="n"/>
      <c r="G753" s="120" t="n"/>
    </row>
    <row r="754" ht="15" customHeight="1" s="72">
      <c r="A754" s="117" t="n"/>
      <c r="B754" s="117" t="n"/>
      <c r="C754" s="118" t="n"/>
      <c r="D754" s="119" t="n"/>
      <c r="E754" s="120" t="n"/>
      <c r="F754" s="120" t="n"/>
      <c r="G754" s="120" t="n"/>
    </row>
    <row r="755" ht="15" customHeight="1" s="72">
      <c r="A755" s="117" t="n"/>
      <c r="B755" s="117" t="n"/>
      <c r="C755" s="118" t="n"/>
      <c r="D755" s="119" t="n"/>
      <c r="E755" s="120" t="n"/>
      <c r="F755" s="120" t="n"/>
      <c r="G755" s="120" t="n"/>
    </row>
    <row r="756" ht="15" customHeight="1" s="72">
      <c r="A756" s="117" t="n"/>
      <c r="B756" s="117" t="n"/>
      <c r="C756" s="118" t="n"/>
      <c r="D756" s="119" t="n"/>
      <c r="E756" s="120" t="n"/>
      <c r="F756" s="120" t="n"/>
      <c r="G756" s="120" t="n"/>
    </row>
    <row r="757" ht="15" customHeight="1" s="72">
      <c r="A757" s="117" t="n"/>
      <c r="B757" s="117" t="n"/>
      <c r="C757" s="118" t="n"/>
      <c r="D757" s="119" t="n"/>
      <c r="E757" s="120" t="n"/>
      <c r="F757" s="120" t="n"/>
      <c r="G757" s="120" t="n"/>
    </row>
    <row r="758" ht="15" customHeight="1" s="72">
      <c r="A758" s="117" t="n"/>
      <c r="B758" s="117" t="n"/>
      <c r="C758" s="118" t="n"/>
      <c r="D758" s="119" t="n"/>
      <c r="E758" s="120" t="n"/>
      <c r="F758" s="120" t="n"/>
      <c r="G758" s="120" t="n"/>
    </row>
    <row r="759" ht="15" customHeight="1" s="72">
      <c r="A759" s="117" t="n"/>
      <c r="B759" s="117" t="n"/>
      <c r="C759" s="118" t="n"/>
      <c r="D759" s="119" t="n"/>
      <c r="E759" s="120" t="n"/>
      <c r="F759" s="120" t="n"/>
      <c r="G759" s="120" t="n"/>
    </row>
    <row r="760" ht="15" customHeight="1" s="72">
      <c r="A760" s="117" t="n"/>
      <c r="B760" s="117" t="n"/>
      <c r="C760" s="118" t="n"/>
      <c r="D760" s="119" t="n"/>
      <c r="E760" s="120" t="n"/>
      <c r="F760" s="120" t="n"/>
      <c r="G760" s="120" t="n"/>
    </row>
    <row r="761" ht="15" customHeight="1" s="72">
      <c r="A761" s="117" t="n"/>
      <c r="B761" s="117" t="n"/>
      <c r="C761" s="118" t="n"/>
      <c r="D761" s="119" t="n"/>
      <c r="E761" s="120" t="n"/>
      <c r="F761" s="120" t="n"/>
      <c r="G761" s="120" t="n"/>
    </row>
    <row r="762" ht="15" customHeight="1" s="72">
      <c r="A762" s="117" t="n"/>
      <c r="B762" s="117" t="n"/>
      <c r="C762" s="118" t="n"/>
      <c r="D762" s="119" t="n"/>
      <c r="E762" s="120" t="n"/>
      <c r="F762" s="120" t="n"/>
      <c r="G762" s="120" t="n"/>
    </row>
    <row r="763" ht="15" customHeight="1" s="72">
      <c r="A763" s="117" t="n"/>
      <c r="B763" s="117" t="n"/>
      <c r="C763" s="118" t="n"/>
      <c r="D763" s="119" t="n"/>
      <c r="E763" s="120" t="n"/>
      <c r="F763" s="120" t="n"/>
      <c r="G763" s="120" t="n"/>
    </row>
    <row r="764" ht="15" customHeight="1" s="72">
      <c r="A764" s="117" t="n"/>
      <c r="B764" s="117" t="n"/>
      <c r="C764" s="118" t="n"/>
      <c r="D764" s="119" t="n"/>
      <c r="E764" s="120" t="n"/>
      <c r="F764" s="120" t="n"/>
      <c r="G764" s="120" t="n"/>
    </row>
    <row r="765" ht="15" customHeight="1" s="72">
      <c r="A765" s="117" t="n"/>
      <c r="B765" s="117" t="n"/>
      <c r="C765" s="118" t="n"/>
      <c r="D765" s="119" t="n"/>
      <c r="E765" s="120" t="n"/>
      <c r="F765" s="120" t="n"/>
      <c r="G765" s="120" t="n"/>
    </row>
    <row r="766" ht="15" customHeight="1" s="72">
      <c r="A766" s="117" t="n"/>
      <c r="B766" s="117" t="n"/>
      <c r="C766" s="118" t="n"/>
      <c r="D766" s="119" t="n"/>
      <c r="E766" s="120" t="n"/>
      <c r="F766" s="120" t="n"/>
      <c r="G766" s="120" t="n"/>
    </row>
    <row r="767" ht="15" customHeight="1" s="72">
      <c r="A767" s="117" t="n"/>
      <c r="B767" s="117" t="n"/>
      <c r="C767" s="118" t="n"/>
      <c r="D767" s="119" t="n"/>
      <c r="E767" s="120" t="n"/>
      <c r="F767" s="120" t="n"/>
      <c r="G767" s="120" t="n"/>
    </row>
    <row r="768" ht="15" customHeight="1" s="72">
      <c r="A768" s="117" t="n"/>
      <c r="B768" s="117" t="n"/>
      <c r="C768" s="118" t="n"/>
      <c r="D768" s="119" t="n"/>
      <c r="E768" s="120" t="n"/>
      <c r="F768" s="120" t="n"/>
      <c r="G768" s="120" t="n"/>
    </row>
    <row r="769" ht="15" customHeight="1" s="72">
      <c r="A769" s="117" t="n"/>
      <c r="B769" s="117" t="n"/>
      <c r="C769" s="118" t="n"/>
      <c r="D769" s="119" t="n"/>
      <c r="E769" s="120" t="n"/>
      <c r="F769" s="120" t="n"/>
      <c r="G769" s="120" t="n"/>
    </row>
    <row r="770" ht="15" customHeight="1" s="72">
      <c r="A770" s="117" t="n"/>
      <c r="B770" s="117" t="n"/>
      <c r="C770" s="118" t="n"/>
      <c r="D770" s="119" t="n"/>
      <c r="E770" s="120" t="n"/>
      <c r="F770" s="120" t="n"/>
      <c r="G770" s="120" t="n"/>
    </row>
    <row r="771" ht="15" customHeight="1" s="72">
      <c r="A771" s="117" t="n"/>
      <c r="B771" s="117" t="n"/>
      <c r="C771" s="118" t="n"/>
      <c r="D771" s="119" t="n"/>
      <c r="E771" s="120" t="n"/>
      <c r="F771" s="120" t="n"/>
      <c r="G771" s="120" t="n"/>
    </row>
    <row r="772" ht="15" customHeight="1" s="72">
      <c r="A772" s="117" t="n"/>
      <c r="B772" s="117" t="n"/>
      <c r="C772" s="118" t="n"/>
      <c r="D772" s="119" t="n"/>
      <c r="E772" s="120" t="n"/>
      <c r="F772" s="120" t="n"/>
      <c r="G772" s="120" t="n"/>
    </row>
    <row r="773" ht="15" customHeight="1" s="72">
      <c r="A773" s="117" t="n"/>
      <c r="B773" s="117" t="n"/>
      <c r="C773" s="118" t="n"/>
      <c r="D773" s="119" t="n"/>
      <c r="E773" s="120" t="n"/>
      <c r="F773" s="120" t="n"/>
      <c r="G773" s="120" t="n"/>
    </row>
    <row r="774" ht="15" customHeight="1" s="72">
      <c r="A774" s="117" t="n"/>
      <c r="B774" s="117" t="n"/>
      <c r="C774" s="118" t="n"/>
      <c r="D774" s="119" t="n"/>
      <c r="E774" s="120" t="n"/>
      <c r="F774" s="120" t="n"/>
      <c r="G774" s="120" t="n"/>
    </row>
    <row r="775" ht="15" customHeight="1" s="72">
      <c r="A775" s="117" t="n"/>
      <c r="B775" s="117" t="n"/>
      <c r="C775" s="118" t="n"/>
      <c r="D775" s="119" t="n"/>
      <c r="E775" s="120" t="n"/>
      <c r="F775" s="120" t="n"/>
      <c r="G775" s="120" t="n"/>
    </row>
    <row r="776" ht="15" customHeight="1" s="72">
      <c r="A776" s="117" t="n"/>
      <c r="B776" s="117" t="n"/>
      <c r="C776" s="118" t="n"/>
      <c r="D776" s="119" t="n"/>
      <c r="E776" s="120" t="n"/>
      <c r="F776" s="120" t="n"/>
      <c r="G776" s="120" t="n"/>
    </row>
    <row r="777" ht="15" customHeight="1" s="72">
      <c r="A777" s="117" t="n"/>
      <c r="B777" s="117" t="n"/>
      <c r="C777" s="118" t="n"/>
      <c r="D777" s="119" t="n"/>
      <c r="E777" s="120" t="n"/>
      <c r="F777" s="120" t="n"/>
      <c r="G777" s="120" t="n"/>
    </row>
    <row r="778" ht="15" customHeight="1" s="72">
      <c r="A778" s="117" t="n"/>
      <c r="B778" s="117" t="n"/>
      <c r="C778" s="118" t="n"/>
      <c r="D778" s="119" t="n"/>
      <c r="E778" s="120" t="n"/>
      <c r="F778" s="120" t="n"/>
      <c r="G778" s="120" t="n"/>
    </row>
    <row r="779" ht="15" customHeight="1" s="72">
      <c r="A779" s="117" t="n"/>
      <c r="B779" s="117" t="n"/>
      <c r="C779" s="118" t="n"/>
      <c r="D779" s="119" t="n"/>
      <c r="E779" s="120" t="n"/>
      <c r="F779" s="120" t="n"/>
      <c r="G779" s="120" t="n"/>
    </row>
    <row r="780" ht="15" customHeight="1" s="72">
      <c r="A780" s="117" t="n"/>
      <c r="B780" s="117" t="n"/>
      <c r="C780" s="118" t="n"/>
      <c r="D780" s="119" t="n"/>
      <c r="E780" s="120" t="n"/>
      <c r="F780" s="120" t="n"/>
      <c r="G780" s="120" t="n"/>
    </row>
    <row r="781" ht="15" customHeight="1" s="72">
      <c r="A781" s="117" t="n"/>
      <c r="B781" s="117" t="n"/>
      <c r="C781" s="118" t="n"/>
      <c r="D781" s="119" t="n"/>
      <c r="E781" s="120" t="n"/>
      <c r="F781" s="120" t="n"/>
      <c r="G781" s="120" t="n"/>
    </row>
    <row r="782" ht="15" customHeight="1" s="72">
      <c r="A782" s="117" t="n"/>
      <c r="B782" s="117" t="n"/>
      <c r="C782" s="118" t="n"/>
      <c r="D782" s="119" t="n"/>
      <c r="E782" s="120" t="n"/>
      <c r="F782" s="120" t="n"/>
      <c r="G782" s="120" t="n"/>
    </row>
    <row r="783" ht="15" customHeight="1" s="72">
      <c r="A783" s="117" t="n"/>
      <c r="B783" s="117" t="n"/>
      <c r="C783" s="118" t="n"/>
      <c r="D783" s="119" t="n"/>
      <c r="E783" s="120" t="n"/>
      <c r="F783" s="120" t="n"/>
      <c r="G783" s="120" t="n"/>
    </row>
    <row r="784" ht="15" customHeight="1" s="72">
      <c r="A784" s="117" t="n"/>
      <c r="B784" s="117" t="n"/>
      <c r="C784" s="118" t="n"/>
      <c r="D784" s="119" t="n"/>
      <c r="E784" s="120" t="n"/>
      <c r="F784" s="120" t="n"/>
      <c r="G784" s="120" t="n"/>
    </row>
    <row r="785" ht="15" customHeight="1" s="72">
      <c r="A785" s="117" t="n"/>
      <c r="B785" s="117" t="n"/>
      <c r="C785" s="118" t="n"/>
      <c r="D785" s="119" t="n"/>
      <c r="E785" s="120" t="n"/>
      <c r="F785" s="120" t="n"/>
      <c r="G785" s="120" t="n"/>
    </row>
    <row r="786" ht="15" customHeight="1" s="72">
      <c r="A786" s="117" t="n"/>
      <c r="B786" s="117" t="n"/>
      <c r="C786" s="118" t="n"/>
      <c r="D786" s="119" t="n"/>
      <c r="E786" s="120" t="n"/>
      <c r="F786" s="120" t="n"/>
      <c r="G786" s="120" t="n"/>
    </row>
    <row r="787" ht="15" customHeight="1" s="72">
      <c r="A787" s="117" t="n"/>
      <c r="B787" s="117" t="n"/>
      <c r="C787" s="118" t="n"/>
      <c r="D787" s="119" t="n"/>
      <c r="E787" s="120" t="n"/>
      <c r="F787" s="120" t="n"/>
      <c r="G787" s="120" t="n"/>
    </row>
    <row r="788" ht="15" customHeight="1" s="72">
      <c r="A788" s="117" t="n"/>
      <c r="B788" s="117" t="n"/>
      <c r="C788" s="118" t="n"/>
      <c r="D788" s="119" t="n"/>
      <c r="E788" s="120" t="n"/>
      <c r="F788" s="120" t="n"/>
      <c r="G788" s="120" t="n"/>
    </row>
    <row r="789" ht="15" customHeight="1" s="72">
      <c r="A789" s="117" t="n"/>
      <c r="B789" s="117" t="n"/>
      <c r="C789" s="118" t="n"/>
      <c r="D789" s="119" t="n"/>
      <c r="E789" s="120" t="n"/>
      <c r="F789" s="120" t="n"/>
      <c r="G789" s="120" t="n"/>
    </row>
    <row r="790" ht="15" customHeight="1" s="72">
      <c r="A790" s="117" t="n"/>
      <c r="B790" s="117" t="n"/>
      <c r="C790" s="118" t="n"/>
      <c r="D790" s="119" t="n"/>
      <c r="E790" s="120" t="n"/>
      <c r="F790" s="120" t="n"/>
      <c r="G790" s="120" t="n"/>
    </row>
    <row r="791" ht="15" customHeight="1" s="72">
      <c r="A791" s="117" t="n"/>
      <c r="B791" s="117" t="n"/>
      <c r="C791" s="118" t="n"/>
      <c r="D791" s="119" t="n"/>
      <c r="E791" s="120" t="n"/>
      <c r="F791" s="120" t="n"/>
      <c r="G791" s="120" t="n"/>
    </row>
    <row r="792" ht="15" customHeight="1" s="72">
      <c r="A792" s="117" t="n"/>
      <c r="B792" s="117" t="n"/>
      <c r="C792" s="118" t="n"/>
      <c r="D792" s="119" t="n"/>
      <c r="E792" s="120" t="n"/>
      <c r="F792" s="120" t="n"/>
      <c r="G792" s="120" t="n"/>
    </row>
    <row r="793" ht="15" customHeight="1" s="72">
      <c r="A793" s="117" t="n"/>
      <c r="B793" s="117" t="n"/>
      <c r="C793" s="118" t="n"/>
      <c r="D793" s="119" t="n"/>
      <c r="E793" s="120" t="n"/>
      <c r="F793" s="120" t="n"/>
      <c r="G793" s="120" t="n"/>
    </row>
    <row r="794" ht="15" customHeight="1" s="72">
      <c r="A794" s="117" t="n"/>
      <c r="B794" s="117" t="n"/>
      <c r="C794" s="118" t="n"/>
      <c r="D794" s="119" t="n"/>
      <c r="E794" s="120" t="n"/>
      <c r="F794" s="120" t="n"/>
      <c r="G794" s="120" t="n"/>
    </row>
    <row r="795" ht="15" customHeight="1" s="72">
      <c r="A795" s="117" t="n"/>
      <c r="B795" s="117" t="n"/>
      <c r="C795" s="118" t="n"/>
      <c r="D795" s="119" t="n"/>
      <c r="E795" s="120" t="n"/>
      <c r="F795" s="120" t="n"/>
      <c r="G795" s="120" t="n"/>
    </row>
    <row r="796" ht="15" customHeight="1" s="72">
      <c r="A796" s="117" t="n"/>
      <c r="B796" s="117" t="n"/>
      <c r="C796" s="118" t="n"/>
      <c r="D796" s="119" t="n"/>
      <c r="E796" s="120" t="n"/>
      <c r="F796" s="120" t="n"/>
      <c r="G796" s="120" t="n"/>
    </row>
    <row r="797" ht="15" customHeight="1" s="72">
      <c r="A797" s="117" t="n"/>
      <c r="B797" s="117" t="n"/>
      <c r="C797" s="118" t="n"/>
      <c r="D797" s="119" t="n"/>
      <c r="E797" s="120" t="n"/>
      <c r="F797" s="120" t="n"/>
      <c r="G797" s="120" t="n"/>
    </row>
    <row r="798" ht="15" customHeight="1" s="72">
      <c r="A798" s="117" t="n"/>
      <c r="B798" s="117" t="n"/>
      <c r="C798" s="118" t="n"/>
      <c r="D798" s="119" t="n"/>
      <c r="E798" s="120" t="n"/>
      <c r="F798" s="120" t="n"/>
      <c r="G798" s="120" t="n"/>
    </row>
    <row r="799" ht="15" customHeight="1" s="72">
      <c r="A799" s="117" t="n"/>
      <c r="B799" s="117" t="n"/>
      <c r="C799" s="118" t="n"/>
      <c r="D799" s="119" t="n"/>
      <c r="E799" s="120" t="n"/>
      <c r="F799" s="120" t="n"/>
      <c r="G799" s="120" t="n"/>
    </row>
    <row r="800" ht="15" customHeight="1" s="72">
      <c r="A800" s="117" t="n"/>
      <c r="B800" s="117" t="n"/>
      <c r="C800" s="118" t="n"/>
      <c r="D800" s="119" t="n"/>
      <c r="E800" s="120" t="n"/>
      <c r="F800" s="120" t="n"/>
      <c r="G800" s="120" t="n"/>
    </row>
    <row r="801" ht="15" customHeight="1" s="72">
      <c r="A801" s="117" t="n"/>
      <c r="B801" s="117" t="n"/>
      <c r="C801" s="118" t="n"/>
      <c r="D801" s="119" t="n"/>
      <c r="E801" s="120" t="n"/>
      <c r="F801" s="120" t="n"/>
      <c r="G801" s="120" t="n"/>
    </row>
    <row r="802" ht="15" customHeight="1" s="72">
      <c r="A802" s="117" t="n"/>
      <c r="B802" s="117" t="n"/>
      <c r="C802" s="118" t="n"/>
      <c r="D802" s="119" t="n"/>
      <c r="E802" s="120" t="n"/>
      <c r="F802" s="120" t="n"/>
      <c r="G802" s="120" t="n"/>
    </row>
    <row r="803" ht="15" customHeight="1" s="72">
      <c r="A803" s="117" t="n"/>
      <c r="B803" s="117" t="n"/>
      <c r="C803" s="118" t="n"/>
      <c r="D803" s="119" t="n"/>
      <c r="E803" s="120" t="n"/>
      <c r="F803" s="120" t="n"/>
      <c r="G803" s="120" t="n"/>
    </row>
    <row r="804" ht="15" customHeight="1" s="72">
      <c r="A804" s="117" t="n"/>
      <c r="B804" s="117" t="n"/>
      <c r="C804" s="118" t="n"/>
      <c r="D804" s="119" t="n"/>
      <c r="E804" s="120" t="n"/>
      <c r="F804" s="120" t="n"/>
      <c r="G804" s="120" t="n"/>
    </row>
    <row r="805" ht="15" customHeight="1" s="72">
      <c r="A805" s="117" t="n"/>
      <c r="B805" s="117" t="n"/>
      <c r="C805" s="118" t="n"/>
      <c r="D805" s="119" t="n"/>
      <c r="E805" s="120" t="n"/>
      <c r="F805" s="120" t="n"/>
      <c r="G805" s="120" t="n"/>
    </row>
    <row r="806" ht="15" customHeight="1" s="72">
      <c r="A806" s="117" t="n"/>
      <c r="B806" s="117" t="n"/>
      <c r="C806" s="118" t="n"/>
      <c r="D806" s="119" t="n"/>
      <c r="E806" s="120" t="n"/>
      <c r="F806" s="120" t="n"/>
      <c r="G806" s="120" t="n"/>
    </row>
    <row r="807" ht="15" customHeight="1" s="72">
      <c r="A807" s="117" t="n"/>
      <c r="B807" s="117" t="n"/>
      <c r="C807" s="118" t="n"/>
      <c r="D807" s="119" t="n"/>
      <c r="E807" s="120" t="n"/>
      <c r="F807" s="120" t="n"/>
      <c r="G807" s="120" t="n"/>
    </row>
    <row r="808" ht="15" customHeight="1" s="72">
      <c r="A808" s="117" t="n"/>
      <c r="B808" s="117" t="n"/>
      <c r="C808" s="118" t="n"/>
      <c r="D808" s="119" t="n"/>
      <c r="E808" s="120" t="n"/>
      <c r="F808" s="120" t="n"/>
      <c r="G808" s="120" t="n"/>
    </row>
    <row r="809" ht="15" customHeight="1" s="72">
      <c r="A809" s="117" t="n"/>
      <c r="B809" s="117" t="n"/>
      <c r="C809" s="118" t="n"/>
      <c r="D809" s="119" t="n"/>
      <c r="E809" s="120" t="n"/>
      <c r="F809" s="120" t="n"/>
      <c r="G809" s="120" t="n"/>
    </row>
    <row r="810" ht="15" customHeight="1" s="72">
      <c r="A810" s="117" t="n"/>
      <c r="B810" s="117" t="n"/>
      <c r="C810" s="118" t="n"/>
      <c r="D810" s="119" t="n"/>
      <c r="E810" s="120" t="n"/>
      <c r="F810" s="120" t="n"/>
      <c r="G810" s="120" t="n"/>
    </row>
    <row r="811" ht="15" customHeight="1" s="72">
      <c r="A811" s="117" t="n"/>
      <c r="B811" s="117" t="n"/>
      <c r="C811" s="118" t="n"/>
      <c r="D811" s="119" t="n"/>
      <c r="E811" s="120" t="n"/>
      <c r="F811" s="120" t="n"/>
      <c r="G811" s="120" t="n"/>
    </row>
    <row r="812" ht="15" customHeight="1" s="72">
      <c r="A812" s="117" t="n"/>
      <c r="B812" s="117" t="n"/>
      <c r="C812" s="118" t="n"/>
      <c r="D812" s="119" t="n"/>
      <c r="E812" s="120" t="n"/>
      <c r="F812" s="120" t="n"/>
      <c r="G812" s="120" t="n"/>
    </row>
    <row r="813" ht="15" customHeight="1" s="72">
      <c r="A813" s="117" t="n"/>
      <c r="B813" s="117" t="n"/>
      <c r="C813" s="118" t="n"/>
      <c r="D813" s="119" t="n"/>
      <c r="E813" s="120" t="n"/>
      <c r="F813" s="120" t="n"/>
      <c r="G813" s="120" t="n"/>
    </row>
    <row r="814" ht="15" customHeight="1" s="72">
      <c r="A814" s="117" t="n"/>
      <c r="B814" s="117" t="n"/>
      <c r="C814" s="118" t="n"/>
      <c r="D814" s="119" t="n"/>
      <c r="E814" s="120" t="n"/>
      <c r="F814" s="120" t="n"/>
      <c r="G814" s="120" t="n"/>
    </row>
    <row r="815" ht="15" customHeight="1" s="72">
      <c r="A815" s="117" t="n"/>
      <c r="B815" s="117" t="n"/>
      <c r="C815" s="118" t="n"/>
      <c r="D815" s="119" t="n"/>
      <c r="E815" s="120" t="n"/>
      <c r="F815" s="120" t="n"/>
      <c r="G815" s="120" t="n"/>
    </row>
    <row r="816" ht="15" customHeight="1" s="72">
      <c r="A816" s="117" t="n"/>
      <c r="B816" s="117" t="n"/>
      <c r="C816" s="118" t="n"/>
      <c r="D816" s="119" t="n"/>
      <c r="E816" s="120" t="n"/>
      <c r="F816" s="120" t="n"/>
      <c r="G816" s="120" t="n"/>
    </row>
    <row r="817" ht="15" customHeight="1" s="72">
      <c r="A817" s="117" t="n"/>
      <c r="B817" s="117" t="n"/>
      <c r="C817" s="118" t="n"/>
      <c r="D817" s="119" t="n"/>
      <c r="E817" s="120" t="n"/>
      <c r="F817" s="120" t="n"/>
      <c r="G817" s="120" t="n"/>
    </row>
    <row r="818" ht="15" customHeight="1" s="72">
      <c r="A818" s="117" t="n"/>
      <c r="B818" s="117" t="n"/>
      <c r="C818" s="118" t="n"/>
      <c r="D818" s="119" t="n"/>
      <c r="E818" s="120" t="n"/>
      <c r="F818" s="120" t="n"/>
      <c r="G818" s="120" t="n"/>
    </row>
    <row r="819" ht="15" customHeight="1" s="72">
      <c r="A819" s="117" t="n"/>
      <c r="B819" s="117" t="n"/>
      <c r="C819" s="118" t="n"/>
      <c r="D819" s="119" t="n"/>
      <c r="E819" s="120" t="n"/>
      <c r="F819" s="120" t="n"/>
      <c r="G819" s="120" t="n"/>
    </row>
    <row r="820" ht="15" customHeight="1" s="72">
      <c r="A820" s="117" t="n"/>
      <c r="B820" s="117" t="n"/>
      <c r="C820" s="118" t="n"/>
      <c r="D820" s="119" t="n"/>
      <c r="E820" s="120" t="n"/>
      <c r="F820" s="120" t="n"/>
      <c r="G820" s="120" t="n"/>
    </row>
    <row r="821" ht="15" customHeight="1" s="72">
      <c r="A821" s="117" t="n"/>
      <c r="B821" s="117" t="n"/>
      <c r="C821" s="118" t="n"/>
      <c r="D821" s="119" t="n"/>
      <c r="E821" s="120" t="n"/>
      <c r="F821" s="120" t="n"/>
      <c r="G821" s="120" t="n"/>
    </row>
    <row r="822" ht="15" customHeight="1" s="72">
      <c r="A822" s="117" t="n"/>
      <c r="B822" s="117" t="n"/>
      <c r="C822" s="118" t="n"/>
      <c r="D822" s="119" t="n"/>
      <c r="E822" s="120" t="n"/>
      <c r="F822" s="120" t="n"/>
      <c r="G822" s="120" t="n"/>
    </row>
    <row r="823" ht="15" customHeight="1" s="72">
      <c r="A823" s="117" t="n"/>
      <c r="B823" s="117" t="n"/>
      <c r="C823" s="118" t="n"/>
      <c r="D823" s="119" t="n"/>
      <c r="E823" s="120" t="n"/>
      <c r="F823" s="120" t="n"/>
      <c r="G823" s="120" t="n"/>
    </row>
    <row r="824" ht="15" customHeight="1" s="72">
      <c r="A824" s="117" t="n"/>
      <c r="B824" s="117" t="n"/>
      <c r="C824" s="118" t="n"/>
      <c r="D824" s="119" t="n"/>
      <c r="E824" s="120" t="n"/>
      <c r="F824" s="120" t="n"/>
      <c r="G824" s="120" t="n"/>
    </row>
    <row r="825" ht="15" customHeight="1" s="72">
      <c r="A825" s="117" t="n"/>
      <c r="B825" s="117" t="n"/>
      <c r="C825" s="118" t="n"/>
      <c r="D825" s="119" t="n"/>
      <c r="E825" s="120" t="n"/>
      <c r="F825" s="120" t="n"/>
      <c r="G825" s="120" t="n"/>
    </row>
    <row r="826" ht="15" customHeight="1" s="72">
      <c r="A826" s="117" t="n"/>
      <c r="B826" s="117" t="n"/>
      <c r="C826" s="118" t="n"/>
      <c r="D826" s="119" t="n"/>
      <c r="E826" s="120" t="n"/>
      <c r="F826" s="120" t="n"/>
      <c r="G826" s="120" t="n"/>
    </row>
    <row r="827" ht="15" customHeight="1" s="72">
      <c r="A827" s="117" t="n"/>
      <c r="B827" s="117" t="n"/>
      <c r="C827" s="118" t="n"/>
      <c r="D827" s="119" t="n"/>
      <c r="E827" s="120" t="n"/>
      <c r="F827" s="120" t="n"/>
      <c r="G827" s="120" t="n"/>
    </row>
    <row r="828" ht="15" customHeight="1" s="72">
      <c r="A828" s="117" t="n"/>
      <c r="B828" s="117" t="n"/>
      <c r="C828" s="118" t="n"/>
      <c r="D828" s="119" t="n"/>
      <c r="E828" s="120" t="n"/>
      <c r="F828" s="120" t="n"/>
      <c r="G828" s="120" t="n"/>
    </row>
    <row r="829" ht="15" customHeight="1" s="72">
      <c r="A829" s="117" t="n"/>
      <c r="B829" s="117" t="n"/>
      <c r="C829" s="118" t="n"/>
      <c r="D829" s="119" t="n"/>
      <c r="E829" s="120" t="n"/>
      <c r="F829" s="120" t="n"/>
      <c r="G829" s="120" t="n"/>
    </row>
    <row r="830" ht="15" customHeight="1" s="72">
      <c r="A830" s="117" t="n"/>
      <c r="B830" s="117" t="n"/>
      <c r="C830" s="118" t="n"/>
      <c r="D830" s="119" t="n"/>
      <c r="E830" s="120" t="n"/>
      <c r="F830" s="120" t="n"/>
      <c r="G830" s="120" t="n"/>
    </row>
    <row r="831" ht="15" customHeight="1" s="72">
      <c r="A831" s="117" t="n"/>
      <c r="B831" s="117" t="n"/>
      <c r="C831" s="118" t="n"/>
      <c r="D831" s="119" t="n"/>
      <c r="E831" s="120" t="n"/>
      <c r="F831" s="120" t="n"/>
      <c r="G831" s="120" t="n"/>
    </row>
    <row r="832" ht="15" customHeight="1" s="72">
      <c r="A832" s="117" t="n"/>
      <c r="B832" s="117" t="n"/>
      <c r="C832" s="118" t="n"/>
      <c r="D832" s="119" t="n"/>
      <c r="E832" s="120" t="n"/>
      <c r="F832" s="120" t="n"/>
      <c r="G832" s="120" t="n"/>
    </row>
    <row r="833" ht="15" customHeight="1" s="72">
      <c r="A833" s="117" t="n"/>
      <c r="B833" s="117" t="n"/>
      <c r="C833" s="118" t="n"/>
      <c r="D833" s="119" t="n"/>
      <c r="E833" s="120" t="n"/>
      <c r="F833" s="120" t="n"/>
      <c r="G833" s="120" t="n"/>
    </row>
    <row r="834" ht="15" customHeight="1" s="72">
      <c r="A834" s="117" t="n"/>
      <c r="B834" s="117" t="n"/>
      <c r="C834" s="118" t="n"/>
      <c r="D834" s="119" t="n"/>
      <c r="E834" s="120" t="n"/>
      <c r="F834" s="120" t="n"/>
      <c r="G834" s="120" t="n"/>
    </row>
    <row r="835" ht="15" customHeight="1" s="72">
      <c r="A835" s="117" t="n"/>
      <c r="B835" s="117" t="n"/>
      <c r="C835" s="118" t="n"/>
      <c r="D835" s="119" t="n"/>
      <c r="E835" s="120" t="n"/>
      <c r="F835" s="120" t="n"/>
      <c r="G835" s="120" t="n"/>
    </row>
    <row r="836" ht="15" customHeight="1" s="72">
      <c r="A836" s="117" t="n"/>
      <c r="B836" s="117" t="n"/>
      <c r="C836" s="118" t="n"/>
      <c r="D836" s="119" t="n"/>
      <c r="E836" s="120" t="n"/>
      <c r="F836" s="120" t="n"/>
      <c r="G836" s="120" t="n"/>
    </row>
    <row r="837" ht="15" customHeight="1" s="72">
      <c r="A837" s="117" t="n"/>
      <c r="B837" s="117" t="n"/>
      <c r="C837" s="118" t="n"/>
      <c r="D837" s="119" t="n"/>
      <c r="E837" s="120" t="n"/>
      <c r="F837" s="120" t="n"/>
      <c r="G837" s="120" t="n"/>
    </row>
    <row r="838" ht="15" customHeight="1" s="72">
      <c r="A838" s="117" t="n"/>
      <c r="B838" s="117" t="n"/>
      <c r="C838" s="118" t="n"/>
      <c r="D838" s="119" t="n"/>
      <c r="E838" s="120" t="n"/>
      <c r="F838" s="120" t="n"/>
      <c r="G838" s="120" t="n"/>
    </row>
    <row r="839" ht="15" customHeight="1" s="72">
      <c r="A839" s="117" t="n"/>
      <c r="B839" s="117" t="n"/>
      <c r="C839" s="118" t="n"/>
      <c r="D839" s="119" t="n"/>
      <c r="E839" s="120" t="n"/>
      <c r="F839" s="120" t="n"/>
      <c r="G839" s="120" t="n"/>
    </row>
    <row r="840" ht="15" customHeight="1" s="72">
      <c r="A840" s="117" t="n"/>
      <c r="B840" s="117" t="n"/>
      <c r="C840" s="118" t="n"/>
      <c r="D840" s="119" t="n"/>
      <c r="E840" s="120" t="n"/>
      <c r="F840" s="120" t="n"/>
      <c r="G840" s="120" t="n"/>
    </row>
    <row r="841" ht="15" customHeight="1" s="72">
      <c r="A841" s="117" t="n"/>
      <c r="B841" s="117" t="n"/>
      <c r="C841" s="118" t="n"/>
      <c r="D841" s="119" t="n"/>
      <c r="E841" s="120" t="n"/>
      <c r="F841" s="120" t="n"/>
      <c r="G841" s="120" t="n"/>
    </row>
    <row r="842" ht="15" customHeight="1" s="72">
      <c r="A842" s="117" t="n"/>
      <c r="B842" s="117" t="n"/>
      <c r="C842" s="118" t="n"/>
      <c r="D842" s="119" t="n"/>
      <c r="E842" s="120" t="n"/>
      <c r="F842" s="120" t="n"/>
      <c r="G842" s="120" t="n"/>
    </row>
    <row r="843" ht="15" customHeight="1" s="72">
      <c r="A843" s="117" t="n"/>
      <c r="B843" s="117" t="n"/>
      <c r="C843" s="118" t="n"/>
      <c r="D843" s="119" t="n"/>
      <c r="E843" s="120" t="n"/>
      <c r="F843" s="120" t="n"/>
      <c r="G843" s="120" t="n"/>
    </row>
    <row r="844" ht="15" customHeight="1" s="72">
      <c r="A844" s="117" t="n"/>
      <c r="B844" s="117" t="n"/>
      <c r="C844" s="118" t="n"/>
      <c r="D844" s="119" t="n"/>
      <c r="E844" s="120" t="n"/>
      <c r="F844" s="120" t="n"/>
      <c r="G844" s="120" t="n"/>
    </row>
    <row r="845" ht="15" customHeight="1" s="72">
      <c r="A845" s="117" t="n"/>
      <c r="B845" s="117" t="n"/>
      <c r="C845" s="118" t="n"/>
      <c r="D845" s="119" t="n"/>
      <c r="E845" s="120" t="n"/>
      <c r="F845" s="120" t="n"/>
      <c r="G845" s="120" t="n"/>
    </row>
    <row r="846" ht="15" customHeight="1" s="72">
      <c r="A846" s="117" t="n"/>
      <c r="B846" s="117" t="n"/>
      <c r="C846" s="118" t="n"/>
      <c r="D846" s="119" t="n"/>
      <c r="E846" s="120" t="n"/>
      <c r="F846" s="120" t="n"/>
      <c r="G846" s="120" t="n"/>
    </row>
    <row r="847" ht="15" customHeight="1" s="72">
      <c r="A847" s="117" t="n"/>
      <c r="B847" s="117" t="n"/>
      <c r="C847" s="118" t="n"/>
      <c r="D847" s="119" t="n"/>
      <c r="E847" s="120" t="n"/>
      <c r="F847" s="120" t="n"/>
      <c r="G847" s="120" t="n"/>
    </row>
    <row r="848" ht="15" customHeight="1" s="72">
      <c r="A848" s="117" t="n"/>
      <c r="B848" s="117" t="n"/>
      <c r="C848" s="118" t="n"/>
      <c r="D848" s="119" t="n"/>
      <c r="E848" s="120" t="n"/>
      <c r="F848" s="120" t="n"/>
      <c r="G848" s="120" t="n"/>
    </row>
    <row r="849" ht="15" customHeight="1" s="72">
      <c r="A849" s="117" t="n"/>
      <c r="B849" s="117" t="n"/>
      <c r="C849" s="118" t="n"/>
      <c r="D849" s="119" t="n"/>
      <c r="E849" s="120" t="n"/>
      <c r="F849" s="120" t="n"/>
      <c r="G849" s="120" t="n"/>
    </row>
    <row r="850" ht="15" customHeight="1" s="72">
      <c r="A850" s="117" t="n"/>
      <c r="B850" s="117" t="n"/>
      <c r="C850" s="118" t="n"/>
      <c r="D850" s="119" t="n"/>
      <c r="E850" s="120" t="n"/>
      <c r="F850" s="120" t="n"/>
      <c r="G850" s="120" t="n"/>
    </row>
    <row r="851" ht="15" customHeight="1" s="72">
      <c r="A851" s="117" t="n"/>
      <c r="B851" s="117" t="n"/>
      <c r="C851" s="118" t="n"/>
      <c r="D851" s="119" t="n"/>
      <c r="E851" s="120" t="n"/>
      <c r="F851" s="120" t="n"/>
      <c r="G851" s="120" t="n"/>
    </row>
    <row r="852" ht="15" customHeight="1" s="72">
      <c r="A852" s="117" t="n"/>
      <c r="B852" s="117" t="n"/>
      <c r="C852" s="118" t="n"/>
      <c r="D852" s="119" t="n"/>
      <c r="E852" s="120" t="n"/>
      <c r="F852" s="120" t="n"/>
      <c r="G852" s="120" t="n"/>
    </row>
    <row r="853" ht="15" customHeight="1" s="72">
      <c r="A853" s="117" t="n"/>
      <c r="B853" s="117" t="n"/>
      <c r="C853" s="118" t="n"/>
      <c r="D853" s="119" t="n"/>
      <c r="E853" s="120" t="n"/>
      <c r="F853" s="120" t="n"/>
      <c r="G853" s="120" t="n"/>
    </row>
    <row r="854" ht="15" customHeight="1" s="72">
      <c r="A854" s="117" t="n"/>
      <c r="B854" s="117" t="n"/>
      <c r="C854" s="118" t="n"/>
      <c r="D854" s="119" t="n"/>
      <c r="E854" s="120" t="n"/>
      <c r="F854" s="120" t="n"/>
      <c r="G854" s="120" t="n"/>
    </row>
    <row r="855" ht="15" customHeight="1" s="72">
      <c r="A855" s="117" t="n"/>
      <c r="B855" s="117" t="n"/>
      <c r="C855" s="118" t="n"/>
      <c r="D855" s="119" t="n"/>
      <c r="E855" s="120" t="n"/>
      <c r="F855" s="120" t="n"/>
      <c r="G855" s="120" t="n"/>
    </row>
    <row r="856" ht="15" customHeight="1" s="72">
      <c r="A856" s="117" t="n"/>
      <c r="B856" s="117" t="n"/>
      <c r="C856" s="118" t="n"/>
      <c r="D856" s="119" t="n"/>
      <c r="E856" s="120" t="n"/>
      <c r="F856" s="120" t="n"/>
      <c r="G856" s="120" t="n"/>
    </row>
    <row r="857" ht="15" customHeight="1" s="72">
      <c r="A857" s="117" t="n"/>
      <c r="B857" s="117" t="n"/>
      <c r="C857" s="118" t="n"/>
      <c r="D857" s="119" t="n"/>
      <c r="E857" s="120" t="n"/>
      <c r="F857" s="120" t="n"/>
      <c r="G857" s="120" t="n"/>
    </row>
    <row r="858" ht="15" customHeight="1" s="72">
      <c r="A858" s="117" t="n"/>
      <c r="B858" s="117" t="n"/>
      <c r="C858" s="118" t="n"/>
      <c r="D858" s="119" t="n"/>
      <c r="E858" s="120" t="n"/>
      <c r="F858" s="120" t="n"/>
      <c r="G858" s="120" t="n"/>
    </row>
    <row r="859" ht="15" customHeight="1" s="72">
      <c r="A859" s="117" t="n"/>
      <c r="B859" s="117" t="n"/>
      <c r="C859" s="118" t="n"/>
      <c r="D859" s="119" t="n"/>
      <c r="E859" s="120" t="n"/>
      <c r="F859" s="120" t="n"/>
      <c r="G859" s="120" t="n"/>
    </row>
    <row r="860" ht="15" customHeight="1" s="72">
      <c r="A860" s="117" t="n"/>
      <c r="B860" s="117" t="n"/>
      <c r="C860" s="118" t="n"/>
      <c r="D860" s="119" t="n"/>
      <c r="E860" s="120" t="n"/>
      <c r="F860" s="120" t="n"/>
      <c r="G860" s="120" t="n"/>
    </row>
    <row r="861" ht="15" customHeight="1" s="72">
      <c r="A861" s="117" t="n"/>
      <c r="B861" s="117" t="n"/>
      <c r="C861" s="118" t="n"/>
      <c r="D861" s="119" t="n"/>
      <c r="E861" s="120" t="n"/>
      <c r="F861" s="120" t="n"/>
      <c r="G861" s="120" t="n"/>
    </row>
    <row r="862" ht="15" customHeight="1" s="72">
      <c r="A862" s="117" t="n"/>
      <c r="B862" s="117" t="n"/>
      <c r="C862" s="118" t="n"/>
      <c r="D862" s="119" t="n"/>
      <c r="E862" s="120" t="n"/>
      <c r="F862" s="120" t="n"/>
      <c r="G862" s="120" t="n"/>
    </row>
    <row r="863" ht="15" customHeight="1" s="72">
      <c r="A863" s="117" t="n"/>
      <c r="B863" s="117" t="n"/>
      <c r="C863" s="118" t="n"/>
      <c r="D863" s="119" t="n"/>
      <c r="E863" s="120" t="n"/>
      <c r="F863" s="120" t="n"/>
      <c r="G863" s="120" t="n"/>
    </row>
    <row r="864" ht="15" customHeight="1" s="72">
      <c r="A864" s="117" t="n"/>
      <c r="B864" s="117" t="n"/>
      <c r="C864" s="118" t="n"/>
      <c r="D864" s="119" t="n"/>
      <c r="E864" s="120" t="n"/>
      <c r="F864" s="120" t="n"/>
      <c r="G864" s="120" t="n"/>
    </row>
    <row r="865" ht="15" customHeight="1" s="72">
      <c r="A865" s="117" t="n"/>
      <c r="B865" s="117" t="n"/>
      <c r="C865" s="118" t="n"/>
      <c r="D865" s="119" t="n"/>
      <c r="E865" s="120" t="n"/>
      <c r="F865" s="120" t="n"/>
      <c r="G865" s="120" t="n"/>
    </row>
    <row r="866" ht="15" customHeight="1" s="72">
      <c r="A866" s="117" t="n"/>
      <c r="B866" s="117" t="n"/>
      <c r="C866" s="118" t="n"/>
      <c r="D866" s="119" t="n"/>
      <c r="E866" s="120" t="n"/>
      <c r="F866" s="120" t="n"/>
      <c r="G866" s="120" t="n"/>
    </row>
    <row r="867" ht="15" customHeight="1" s="72">
      <c r="A867" s="117" t="n"/>
      <c r="B867" s="117" t="n"/>
      <c r="C867" s="118" t="n"/>
      <c r="D867" s="119" t="n"/>
      <c r="E867" s="120" t="n"/>
      <c r="F867" s="120" t="n"/>
      <c r="G867" s="120" t="n"/>
    </row>
    <row r="868" ht="15" customHeight="1" s="72">
      <c r="A868" s="117" t="n"/>
      <c r="B868" s="117" t="n"/>
      <c r="C868" s="118" t="n"/>
      <c r="D868" s="119" t="n"/>
      <c r="E868" s="120" t="n"/>
      <c r="F868" s="120" t="n"/>
      <c r="G868" s="120" t="n"/>
    </row>
    <row r="869" ht="15" customHeight="1" s="72">
      <c r="A869" s="117" t="n"/>
      <c r="B869" s="117" t="n"/>
      <c r="C869" s="118" t="n"/>
      <c r="D869" s="119" t="n"/>
      <c r="E869" s="120" t="n"/>
      <c r="F869" s="120" t="n"/>
      <c r="G869" s="120" t="n"/>
    </row>
    <row r="870" ht="15" customHeight="1" s="72">
      <c r="A870" s="117" t="n"/>
      <c r="B870" s="117" t="n"/>
      <c r="C870" s="118" t="n"/>
      <c r="D870" s="119" t="n"/>
      <c r="E870" s="120" t="n"/>
      <c r="F870" s="120" t="n"/>
      <c r="G870" s="120" t="n"/>
    </row>
    <row r="871" ht="15" customHeight="1" s="72">
      <c r="A871" s="117" t="n"/>
      <c r="B871" s="117" t="n"/>
      <c r="C871" s="118" t="n"/>
      <c r="D871" s="119" t="n"/>
      <c r="E871" s="120" t="n"/>
      <c r="F871" s="120" t="n"/>
      <c r="G871" s="120" t="n"/>
    </row>
    <row r="872" ht="15" customHeight="1" s="72">
      <c r="A872" s="117" t="n"/>
      <c r="B872" s="117" t="n"/>
      <c r="C872" s="118" t="n"/>
      <c r="D872" s="119" t="n"/>
      <c r="E872" s="120" t="n"/>
      <c r="F872" s="120" t="n"/>
      <c r="G872" s="120" t="n"/>
    </row>
    <row r="873" ht="15" customHeight="1" s="72">
      <c r="A873" s="117" t="n"/>
      <c r="B873" s="117" t="n"/>
      <c r="C873" s="118" t="n"/>
      <c r="D873" s="119" t="n"/>
      <c r="E873" s="120" t="n"/>
      <c r="F873" s="120" t="n"/>
      <c r="G873" s="120" t="n"/>
    </row>
    <row r="874" ht="15" customHeight="1" s="72">
      <c r="A874" s="117" t="n"/>
      <c r="B874" s="117" t="n"/>
      <c r="C874" s="118" t="n"/>
      <c r="D874" s="119" t="n"/>
      <c r="E874" s="120" t="n"/>
      <c r="F874" s="120" t="n"/>
      <c r="G874" s="120" t="n"/>
    </row>
    <row r="875" ht="15" customHeight="1" s="72">
      <c r="A875" s="117" t="n"/>
      <c r="B875" s="117" t="n"/>
      <c r="C875" s="118" t="n"/>
      <c r="D875" s="119" t="n"/>
      <c r="E875" s="120" t="n"/>
      <c r="F875" s="120" t="n"/>
      <c r="G875" s="120" t="n"/>
    </row>
    <row r="876" ht="15" customHeight="1" s="72">
      <c r="A876" s="117" t="n"/>
      <c r="B876" s="117" t="n"/>
      <c r="C876" s="118" t="n"/>
      <c r="D876" s="119" t="n"/>
      <c r="E876" s="120" t="n"/>
      <c r="F876" s="120" t="n"/>
      <c r="G876" s="120" t="n"/>
    </row>
    <row r="877" ht="15" customHeight="1" s="72">
      <c r="A877" s="117" t="n"/>
      <c r="B877" s="117" t="n"/>
      <c r="C877" s="118" t="n"/>
      <c r="D877" s="119" t="n"/>
      <c r="E877" s="120" t="n"/>
      <c r="F877" s="120" t="n"/>
      <c r="G877" s="120" t="n"/>
    </row>
    <row r="878" ht="15" customHeight="1" s="72">
      <c r="A878" s="117" t="n"/>
      <c r="B878" s="117" t="n"/>
      <c r="C878" s="118" t="n"/>
      <c r="D878" s="119" t="n"/>
      <c r="E878" s="120" t="n"/>
      <c r="F878" s="120" t="n"/>
      <c r="G878" s="120" t="n"/>
    </row>
    <row r="879" ht="15" customHeight="1" s="72">
      <c r="A879" s="117" t="n"/>
      <c r="B879" s="117" t="n"/>
      <c r="C879" s="118" t="n"/>
      <c r="D879" s="119" t="n"/>
      <c r="E879" s="120" t="n"/>
      <c r="F879" s="120" t="n"/>
      <c r="G879" s="120" t="n"/>
    </row>
    <row r="880" ht="15" customHeight="1" s="72">
      <c r="A880" s="117" t="n"/>
      <c r="B880" s="117" t="n"/>
      <c r="C880" s="118" t="n"/>
      <c r="D880" s="119" t="n"/>
      <c r="E880" s="120" t="n"/>
      <c r="F880" s="120" t="n"/>
      <c r="G880" s="120" t="n"/>
    </row>
    <row r="881" ht="15" customHeight="1" s="72">
      <c r="A881" s="117" t="n"/>
      <c r="B881" s="117" t="n"/>
      <c r="C881" s="118" t="n"/>
      <c r="D881" s="119" t="n"/>
      <c r="E881" s="120" t="n"/>
      <c r="F881" s="120" t="n"/>
      <c r="G881" s="120" t="n"/>
    </row>
    <row r="882" ht="15" customHeight="1" s="72">
      <c r="A882" s="117" t="n"/>
      <c r="B882" s="117" t="n"/>
      <c r="C882" s="118" t="n"/>
      <c r="D882" s="119" t="n"/>
      <c r="E882" s="120" t="n"/>
      <c r="F882" s="120" t="n"/>
      <c r="G882" s="120" t="n"/>
    </row>
    <row r="883" ht="15" customHeight="1" s="72">
      <c r="A883" s="117" t="n"/>
      <c r="B883" s="117" t="n"/>
      <c r="C883" s="118" t="n"/>
      <c r="D883" s="119" t="n"/>
      <c r="E883" s="120" t="n"/>
      <c r="F883" s="120" t="n"/>
      <c r="G883" s="120" t="n"/>
    </row>
    <row r="884" ht="15" customHeight="1" s="72">
      <c r="A884" s="117" t="n"/>
      <c r="B884" s="117" t="n"/>
      <c r="C884" s="118" t="n"/>
      <c r="D884" s="119" t="n"/>
      <c r="E884" s="120" t="n"/>
      <c r="F884" s="120" t="n"/>
      <c r="G884" s="120" t="n"/>
    </row>
    <row r="885" ht="15" customHeight="1" s="72">
      <c r="A885" s="117" t="n"/>
      <c r="B885" s="117" t="n"/>
      <c r="C885" s="118" t="n"/>
      <c r="D885" s="119" t="n"/>
      <c r="E885" s="120" t="n"/>
      <c r="F885" s="120" t="n"/>
      <c r="G885" s="120" t="n"/>
    </row>
    <row r="886" ht="15" customHeight="1" s="72">
      <c r="A886" s="117" t="n"/>
      <c r="B886" s="117" t="n"/>
      <c r="C886" s="118" t="n"/>
      <c r="D886" s="119" t="n"/>
      <c r="E886" s="120" t="n"/>
      <c r="F886" s="120" t="n"/>
      <c r="G886" s="120" t="n"/>
    </row>
    <row r="887" ht="15" customHeight="1" s="72">
      <c r="A887" s="117" t="n"/>
      <c r="B887" s="117" t="n"/>
      <c r="C887" s="118" t="n"/>
      <c r="D887" s="119" t="n"/>
      <c r="E887" s="120" t="n"/>
      <c r="F887" s="120" t="n"/>
      <c r="G887" s="120" t="n"/>
    </row>
    <row r="888" ht="15" customHeight="1" s="72">
      <c r="A888" s="117" t="n"/>
      <c r="B888" s="117" t="n"/>
      <c r="C888" s="118" t="n"/>
      <c r="D888" s="119" t="n"/>
      <c r="E888" s="120" t="n"/>
      <c r="F888" s="120" t="n"/>
      <c r="G888" s="120" t="n"/>
    </row>
    <row r="889" ht="15" customHeight="1" s="72">
      <c r="A889" s="117" t="n"/>
      <c r="B889" s="117" t="n"/>
      <c r="C889" s="118" t="n"/>
      <c r="D889" s="119" t="n"/>
      <c r="E889" s="120" t="n"/>
      <c r="F889" s="120" t="n"/>
      <c r="G889" s="120" t="n"/>
    </row>
    <row r="890" ht="15" customHeight="1" s="72">
      <c r="A890" s="117" t="n"/>
      <c r="B890" s="117" t="n"/>
      <c r="C890" s="118" t="n"/>
      <c r="D890" s="119" t="n"/>
      <c r="E890" s="120" t="n"/>
      <c r="F890" s="120" t="n"/>
      <c r="G890" s="120" t="n"/>
    </row>
    <row r="891" ht="15" customHeight="1" s="72">
      <c r="A891" s="117" t="n"/>
      <c r="B891" s="117" t="n"/>
      <c r="C891" s="118" t="n"/>
      <c r="D891" s="119" t="n"/>
      <c r="E891" s="120" t="n"/>
      <c r="F891" s="120" t="n"/>
      <c r="G891" s="120" t="n"/>
    </row>
    <row r="892" ht="15" customHeight="1" s="72">
      <c r="A892" s="117" t="n"/>
      <c r="B892" s="117" t="n"/>
      <c r="C892" s="118" t="n"/>
      <c r="D892" s="119" t="n"/>
      <c r="E892" s="120" t="n"/>
      <c r="F892" s="120" t="n"/>
      <c r="G892" s="120" t="n"/>
    </row>
    <row r="893" ht="15" customHeight="1" s="72">
      <c r="A893" s="117" t="n"/>
      <c r="B893" s="117" t="n"/>
      <c r="C893" s="118" t="n"/>
      <c r="D893" s="119" t="n"/>
      <c r="E893" s="120" t="n"/>
      <c r="F893" s="120" t="n"/>
      <c r="G893" s="120" t="n"/>
    </row>
    <row r="894" ht="15" customHeight="1" s="72">
      <c r="A894" s="117" t="n"/>
      <c r="B894" s="117" t="n"/>
      <c r="C894" s="118" t="n"/>
      <c r="D894" s="119" t="n"/>
      <c r="E894" s="120" t="n"/>
      <c r="F894" s="120" t="n"/>
      <c r="G894" s="120" t="n"/>
    </row>
    <row r="895" ht="15" customHeight="1" s="72">
      <c r="A895" s="117" t="n"/>
      <c r="B895" s="117" t="n"/>
      <c r="C895" s="118" t="n"/>
      <c r="D895" s="119" t="n"/>
      <c r="E895" s="120" t="n"/>
      <c r="F895" s="120" t="n"/>
      <c r="G895" s="120" t="n"/>
    </row>
    <row r="896" ht="15" customHeight="1" s="72">
      <c r="A896" s="117" t="n"/>
      <c r="B896" s="117" t="n"/>
      <c r="C896" s="118" t="n"/>
      <c r="D896" s="119" t="n"/>
      <c r="E896" s="120" t="n"/>
      <c r="F896" s="120" t="n"/>
      <c r="G896" s="120" t="n"/>
    </row>
    <row r="897" ht="15" customHeight="1" s="72">
      <c r="A897" s="117" t="n"/>
      <c r="B897" s="117" t="n"/>
      <c r="C897" s="118" t="n"/>
      <c r="D897" s="119" t="n"/>
      <c r="E897" s="120" t="n"/>
      <c r="F897" s="120" t="n"/>
      <c r="G897" s="120" t="n"/>
    </row>
    <row r="898" ht="15" customHeight="1" s="72">
      <c r="A898" s="117" t="n"/>
      <c r="B898" s="117" t="n"/>
      <c r="C898" s="118" t="n"/>
      <c r="D898" s="119" t="n"/>
      <c r="E898" s="120" t="n"/>
      <c r="F898" s="120" t="n"/>
      <c r="G898" s="120" t="n"/>
    </row>
    <row r="899" ht="15" customHeight="1" s="72">
      <c r="A899" s="117" t="n"/>
      <c r="B899" s="117" t="n"/>
      <c r="C899" s="118" t="n"/>
      <c r="D899" s="119" t="n"/>
      <c r="E899" s="120" t="n"/>
      <c r="F899" s="120" t="n"/>
      <c r="G899" s="120" t="n"/>
    </row>
    <row r="900" ht="15" customHeight="1" s="72">
      <c r="A900" s="117" t="n"/>
      <c r="B900" s="117" t="n"/>
      <c r="C900" s="118" t="n"/>
      <c r="D900" s="119" t="n"/>
      <c r="E900" s="120" t="n"/>
      <c r="F900" s="120" t="n"/>
      <c r="G900" s="120" t="n"/>
    </row>
    <row r="901" ht="15" customHeight="1" s="72">
      <c r="A901" s="117" t="n"/>
      <c r="B901" s="117" t="n"/>
      <c r="C901" s="118" t="n"/>
      <c r="D901" s="119" t="n"/>
      <c r="E901" s="120" t="n"/>
      <c r="F901" s="120" t="n"/>
      <c r="G901" s="120" t="n"/>
    </row>
    <row r="902" ht="15" customHeight="1" s="72">
      <c r="A902" s="117" t="n"/>
      <c r="B902" s="117" t="n"/>
      <c r="C902" s="118" t="n"/>
      <c r="D902" s="119" t="n"/>
      <c r="E902" s="120" t="n"/>
      <c r="F902" s="120" t="n"/>
      <c r="G902" s="120" t="n"/>
    </row>
    <row r="903" ht="15" customHeight="1" s="72">
      <c r="A903" s="117" t="n"/>
      <c r="B903" s="117" t="n"/>
      <c r="C903" s="118" t="n"/>
      <c r="D903" s="119" t="n"/>
      <c r="E903" s="120" t="n"/>
      <c r="F903" s="120" t="n"/>
      <c r="G903" s="120" t="n"/>
    </row>
    <row r="904" ht="15" customHeight="1" s="72">
      <c r="A904" s="117" t="n"/>
      <c r="B904" s="117" t="n"/>
      <c r="C904" s="118" t="n"/>
      <c r="D904" s="119" t="n"/>
      <c r="E904" s="120" t="n"/>
      <c r="F904" s="120" t="n"/>
      <c r="G904" s="120" t="n"/>
    </row>
    <row r="905" ht="15" customHeight="1" s="72">
      <c r="A905" s="117" t="n"/>
      <c r="B905" s="117" t="n"/>
      <c r="C905" s="118" t="n"/>
      <c r="D905" s="119" t="n"/>
      <c r="E905" s="120" t="n"/>
      <c r="F905" s="120" t="n"/>
      <c r="G905" s="120" t="n"/>
    </row>
    <row r="906" ht="15" customHeight="1" s="72">
      <c r="A906" s="117" t="n"/>
      <c r="B906" s="117" t="n"/>
      <c r="C906" s="118" t="n"/>
      <c r="D906" s="119" t="n"/>
      <c r="E906" s="120" t="n"/>
      <c r="F906" s="120" t="n"/>
      <c r="G906" s="120" t="n"/>
    </row>
    <row r="907" ht="15" customHeight="1" s="72">
      <c r="A907" s="117" t="n"/>
      <c r="B907" s="117" t="n"/>
      <c r="C907" s="118" t="n"/>
      <c r="D907" s="119" t="n"/>
      <c r="E907" s="120" t="n"/>
      <c r="F907" s="120" t="n"/>
      <c r="G907" s="120" t="n"/>
    </row>
    <row r="908" ht="15" customHeight="1" s="72">
      <c r="A908" s="117" t="n"/>
      <c r="B908" s="117" t="n"/>
      <c r="C908" s="118" t="n"/>
      <c r="D908" s="119" t="n"/>
      <c r="E908" s="120" t="n"/>
      <c r="F908" s="120" t="n"/>
      <c r="G908" s="120" t="n"/>
    </row>
    <row r="909" ht="15" customHeight="1" s="72">
      <c r="A909" s="117" t="n"/>
      <c r="B909" s="117" t="n"/>
      <c r="C909" s="118" t="n"/>
      <c r="D909" s="119" t="n"/>
      <c r="E909" s="120" t="n"/>
      <c r="F909" s="120" t="n"/>
      <c r="G909" s="120" t="n"/>
    </row>
    <row r="910" ht="15" customHeight="1" s="72">
      <c r="A910" s="117" t="n"/>
      <c r="B910" s="117" t="n"/>
      <c r="C910" s="118" t="n"/>
      <c r="D910" s="119" t="n"/>
      <c r="E910" s="120" t="n"/>
      <c r="F910" s="120" t="n"/>
      <c r="G910" s="120" t="n"/>
    </row>
    <row r="911" ht="15" customHeight="1" s="72">
      <c r="A911" s="117" t="n"/>
      <c r="B911" s="117" t="n"/>
      <c r="C911" s="118" t="n"/>
      <c r="D911" s="119" t="n"/>
      <c r="E911" s="120" t="n"/>
      <c r="F911" s="120" t="n"/>
      <c r="G911" s="120" t="n"/>
    </row>
    <row r="912" ht="15" customHeight="1" s="72">
      <c r="A912" s="117" t="n"/>
      <c r="B912" s="117" t="n"/>
      <c r="C912" s="118" t="n"/>
      <c r="D912" s="119" t="n"/>
      <c r="E912" s="120" t="n"/>
      <c r="F912" s="120" t="n"/>
      <c r="G912" s="120" t="n"/>
    </row>
    <row r="913" ht="15" customHeight="1" s="72">
      <c r="A913" s="117" t="n"/>
      <c r="B913" s="117" t="n"/>
      <c r="C913" s="118" t="n"/>
      <c r="D913" s="119" t="n"/>
      <c r="E913" s="120" t="n"/>
      <c r="F913" s="120" t="n"/>
      <c r="G913" s="120" t="n"/>
    </row>
    <row r="914" ht="15" customHeight="1" s="72">
      <c r="A914" s="117" t="n"/>
      <c r="B914" s="117" t="n"/>
      <c r="C914" s="118" t="n"/>
      <c r="D914" s="119" t="n"/>
      <c r="E914" s="120" t="n"/>
      <c r="F914" s="120" t="n"/>
      <c r="G914" s="120" t="n"/>
    </row>
    <row r="915" ht="15" customHeight="1" s="72">
      <c r="A915" s="117" t="n"/>
      <c r="B915" s="117" t="n"/>
      <c r="C915" s="118" t="n"/>
      <c r="D915" s="119" t="n"/>
      <c r="E915" s="120" t="n"/>
      <c r="F915" s="120" t="n"/>
      <c r="G915" s="120" t="n"/>
    </row>
    <row r="916" ht="15" customHeight="1" s="72">
      <c r="A916" s="117" t="n"/>
      <c r="B916" s="117" t="n"/>
      <c r="C916" s="118" t="n"/>
      <c r="D916" s="119" t="n"/>
      <c r="E916" s="120" t="n"/>
      <c r="F916" s="120" t="n"/>
      <c r="G916" s="120" t="n"/>
    </row>
    <row r="917" ht="15" customHeight="1" s="72">
      <c r="A917" s="117" t="n"/>
      <c r="B917" s="117" t="n"/>
      <c r="C917" s="118" t="n"/>
      <c r="D917" s="119" t="n"/>
      <c r="E917" s="120" t="n"/>
      <c r="F917" s="120" t="n"/>
      <c r="G917" s="120" t="n"/>
    </row>
    <row r="918" ht="15" customHeight="1" s="72">
      <c r="A918" s="117" t="n"/>
      <c r="B918" s="117" t="n"/>
      <c r="C918" s="118" t="n"/>
      <c r="D918" s="119" t="n"/>
      <c r="E918" s="120" t="n"/>
      <c r="F918" s="120" t="n"/>
      <c r="G918" s="120" t="n"/>
    </row>
    <row r="919" ht="15" customHeight="1" s="72">
      <c r="A919" s="117" t="n"/>
      <c r="B919" s="117" t="n"/>
      <c r="C919" s="118" t="n"/>
      <c r="D919" s="119" t="n"/>
      <c r="E919" s="120" t="n"/>
      <c r="F919" s="120" t="n"/>
      <c r="G919" s="120" t="n"/>
    </row>
    <row r="920" ht="15" customHeight="1" s="72">
      <c r="A920" s="117" t="n"/>
      <c r="B920" s="117" t="n"/>
      <c r="C920" s="118" t="n"/>
      <c r="D920" s="119" t="n"/>
      <c r="E920" s="120" t="n"/>
      <c r="F920" s="120" t="n"/>
      <c r="G920" s="120" t="n"/>
    </row>
    <row r="921" ht="15" customHeight="1" s="72">
      <c r="A921" s="117" t="n"/>
      <c r="B921" s="117" t="n"/>
      <c r="C921" s="118" t="n"/>
      <c r="D921" s="119" t="n"/>
      <c r="E921" s="120" t="n"/>
      <c r="F921" s="120" t="n"/>
      <c r="G921" s="120" t="n"/>
    </row>
    <row r="922" ht="15" customHeight="1" s="72">
      <c r="A922" s="117" t="n"/>
      <c r="B922" s="117" t="n"/>
      <c r="C922" s="118" t="n"/>
      <c r="D922" s="119" t="n"/>
      <c r="E922" s="120" t="n"/>
      <c r="F922" s="120" t="n"/>
      <c r="G922" s="120" t="n"/>
    </row>
    <row r="923" ht="15" customHeight="1" s="72">
      <c r="A923" s="117" t="n"/>
      <c r="B923" s="117" t="n"/>
      <c r="C923" s="118" t="n"/>
      <c r="D923" s="119" t="n"/>
      <c r="E923" s="120" t="n"/>
      <c r="F923" s="120" t="n"/>
      <c r="G923" s="120" t="n"/>
    </row>
    <row r="924" ht="15" customHeight="1" s="72">
      <c r="A924" s="117" t="n"/>
      <c r="B924" s="117" t="n"/>
      <c r="C924" s="118" t="n"/>
      <c r="D924" s="119" t="n"/>
      <c r="E924" s="120" t="n"/>
      <c r="F924" s="120" t="n"/>
      <c r="G924" s="120" t="n"/>
    </row>
    <row r="925" ht="15" customHeight="1" s="72">
      <c r="A925" s="117" t="n"/>
      <c r="B925" s="117" t="n"/>
      <c r="C925" s="118" t="n"/>
      <c r="D925" s="119" t="n"/>
      <c r="E925" s="120" t="n"/>
      <c r="F925" s="120" t="n"/>
      <c r="G925" s="120" t="n"/>
    </row>
    <row r="926" ht="15" customHeight="1" s="72">
      <c r="A926" s="117" t="n"/>
      <c r="B926" s="117" t="n"/>
      <c r="C926" s="118" t="n"/>
      <c r="D926" s="119" t="n"/>
      <c r="E926" s="120" t="n"/>
      <c r="F926" s="120" t="n"/>
      <c r="G926" s="120" t="n"/>
    </row>
    <row r="927" ht="15" customHeight="1" s="72">
      <c r="A927" s="117" t="n"/>
      <c r="B927" s="117" t="n"/>
      <c r="C927" s="118" t="n"/>
      <c r="D927" s="119" t="n"/>
      <c r="E927" s="120" t="n"/>
      <c r="F927" s="120" t="n"/>
      <c r="G927" s="120" t="n"/>
    </row>
    <row r="928" ht="15" customHeight="1" s="72">
      <c r="A928" s="117" t="n"/>
      <c r="B928" s="117" t="n"/>
      <c r="C928" s="118" t="n"/>
      <c r="D928" s="119" t="n"/>
      <c r="E928" s="120" t="n"/>
      <c r="F928" s="120" t="n"/>
      <c r="G928" s="120" t="n"/>
    </row>
    <row r="929" ht="15" customHeight="1" s="72">
      <c r="A929" s="117" t="n"/>
      <c r="B929" s="117" t="n"/>
      <c r="C929" s="118" t="n"/>
      <c r="D929" s="119" t="n"/>
      <c r="E929" s="120" t="n"/>
      <c r="F929" s="120" t="n"/>
      <c r="G929" s="120" t="n"/>
    </row>
    <row r="930" ht="15" customHeight="1" s="72">
      <c r="A930" s="117" t="n"/>
      <c r="B930" s="117" t="n"/>
      <c r="C930" s="118" t="n"/>
      <c r="D930" s="119" t="n"/>
      <c r="E930" s="120" t="n"/>
      <c r="F930" s="120" t="n"/>
      <c r="G930" s="120" t="n"/>
    </row>
    <row r="931" ht="15" customHeight="1" s="72">
      <c r="A931" s="117" t="n"/>
      <c r="B931" s="117" t="n"/>
      <c r="C931" s="118" t="n"/>
      <c r="D931" s="119" t="n"/>
      <c r="E931" s="120" t="n"/>
      <c r="F931" s="120" t="n"/>
      <c r="G931" s="120" t="n"/>
    </row>
    <row r="932" ht="15" customHeight="1" s="72">
      <c r="A932" s="117" t="n"/>
      <c r="B932" s="117" t="n"/>
      <c r="C932" s="118" t="n"/>
      <c r="D932" s="119" t="n"/>
      <c r="E932" s="120" t="n"/>
      <c r="F932" s="120" t="n"/>
      <c r="G932" s="120" t="n"/>
    </row>
    <row r="933" ht="15" customHeight="1" s="72">
      <c r="A933" s="117" t="n"/>
      <c r="B933" s="117" t="n"/>
      <c r="C933" s="118" t="n"/>
      <c r="D933" s="119" t="n"/>
      <c r="E933" s="120" t="n"/>
      <c r="F933" s="120" t="n"/>
      <c r="G933" s="120" t="n"/>
    </row>
    <row r="934" ht="15" customHeight="1" s="72">
      <c r="A934" s="117" t="n"/>
      <c r="B934" s="117" t="n"/>
      <c r="C934" s="118" t="n"/>
      <c r="D934" s="119" t="n"/>
      <c r="E934" s="120" t="n"/>
      <c r="F934" s="120" t="n"/>
      <c r="G934" s="120" t="n"/>
    </row>
    <row r="935" ht="15" customHeight="1" s="72">
      <c r="A935" s="117" t="n"/>
      <c r="B935" s="117" t="n"/>
      <c r="C935" s="118" t="n"/>
      <c r="D935" s="119" t="n"/>
      <c r="E935" s="120" t="n"/>
      <c r="F935" s="120" t="n"/>
      <c r="G935" s="120" t="n"/>
    </row>
    <row r="936" ht="15" customHeight="1" s="72">
      <c r="A936" s="117" t="n"/>
      <c r="B936" s="117" t="n"/>
      <c r="C936" s="118" t="n"/>
      <c r="D936" s="119" t="n"/>
      <c r="E936" s="120" t="n"/>
      <c r="F936" s="120" t="n"/>
      <c r="G936" s="120" t="n"/>
    </row>
    <row r="937" ht="15" customHeight="1" s="72">
      <c r="A937" s="117" t="n"/>
      <c r="B937" s="117" t="n"/>
      <c r="C937" s="118" t="n"/>
      <c r="D937" s="119" t="n"/>
      <c r="E937" s="120" t="n"/>
      <c r="F937" s="120" t="n"/>
      <c r="G937" s="120" t="n"/>
    </row>
    <row r="938" ht="15" customHeight="1" s="72">
      <c r="A938" s="117" t="n"/>
      <c r="B938" s="117" t="n"/>
      <c r="C938" s="118" t="n"/>
      <c r="D938" s="119" t="n"/>
      <c r="E938" s="120" t="n"/>
      <c r="F938" s="120" t="n"/>
      <c r="G938" s="120" t="n"/>
    </row>
    <row r="939" ht="15" customHeight="1" s="72">
      <c r="A939" s="117" t="n"/>
      <c r="B939" s="117" t="n"/>
      <c r="C939" s="118" t="n"/>
      <c r="D939" s="119" t="n"/>
      <c r="E939" s="120" t="n"/>
      <c r="F939" s="120" t="n"/>
      <c r="G939" s="120" t="n"/>
    </row>
    <row r="940" ht="15" customHeight="1" s="72">
      <c r="A940" s="117" t="n"/>
      <c r="B940" s="117" t="n"/>
      <c r="C940" s="118" t="n"/>
      <c r="D940" s="119" t="n"/>
      <c r="E940" s="120" t="n"/>
      <c r="F940" s="120" t="n"/>
      <c r="G940" s="120" t="n"/>
    </row>
    <row r="941" ht="15" customHeight="1" s="72">
      <c r="A941" s="117" t="n"/>
      <c r="B941" s="117" t="n"/>
      <c r="C941" s="118" t="n"/>
      <c r="D941" s="119" t="n"/>
      <c r="E941" s="120" t="n"/>
      <c r="F941" s="120" t="n"/>
      <c r="G941" s="120" t="n"/>
    </row>
    <row r="942" ht="15" customHeight="1" s="72">
      <c r="A942" s="117" t="n"/>
      <c r="B942" s="117" t="n"/>
      <c r="C942" s="118" t="n"/>
      <c r="D942" s="119" t="n"/>
      <c r="E942" s="120" t="n"/>
      <c r="F942" s="120" t="n"/>
      <c r="G942" s="120" t="n"/>
    </row>
    <row r="943" ht="15" customHeight="1" s="72">
      <c r="A943" s="117" t="n"/>
      <c r="B943" s="117" t="n"/>
      <c r="C943" s="118" t="n"/>
      <c r="D943" s="119" t="n"/>
      <c r="E943" s="120" t="n"/>
      <c r="F943" s="120" t="n"/>
      <c r="G943" s="120" t="n"/>
    </row>
    <row r="944" ht="15" customHeight="1" s="72">
      <c r="A944" s="117" t="n"/>
      <c r="B944" s="117" t="n"/>
      <c r="C944" s="118" t="n"/>
      <c r="D944" s="119" t="n"/>
      <c r="E944" s="120" t="n"/>
      <c r="F944" s="120" t="n"/>
      <c r="G944" s="120" t="n"/>
    </row>
    <row r="945" ht="15" customHeight="1" s="72">
      <c r="A945" s="117" t="n"/>
      <c r="B945" s="117" t="n"/>
      <c r="C945" s="118" t="n"/>
      <c r="D945" s="119" t="n"/>
      <c r="E945" s="120" t="n"/>
      <c r="F945" s="120" t="n"/>
      <c r="G945" s="120" t="n"/>
    </row>
    <row r="946" ht="15" customHeight="1" s="72">
      <c r="A946" s="117" t="n"/>
      <c r="B946" s="117" t="n"/>
      <c r="C946" s="118" t="n"/>
      <c r="D946" s="119" t="n"/>
      <c r="E946" s="120" t="n"/>
      <c r="F946" s="120" t="n"/>
      <c r="G946" s="120" t="n"/>
    </row>
    <row r="947" ht="15" customHeight="1" s="72">
      <c r="A947" s="117" t="n"/>
      <c r="B947" s="117" t="n"/>
      <c r="C947" s="118" t="n"/>
      <c r="D947" s="119" t="n"/>
      <c r="E947" s="120" t="n"/>
      <c r="F947" s="120" t="n"/>
      <c r="G947" s="120" t="n"/>
    </row>
    <row r="948" ht="15" customHeight="1" s="72">
      <c r="A948" s="117" t="n"/>
      <c r="B948" s="117" t="n"/>
      <c r="C948" s="118" t="n"/>
      <c r="D948" s="119" t="n"/>
      <c r="E948" s="120" t="n"/>
      <c r="F948" s="120" t="n"/>
      <c r="G948" s="120" t="n"/>
    </row>
    <row r="949" ht="15" customHeight="1" s="72">
      <c r="A949" s="117" t="n"/>
      <c r="B949" s="117" t="n"/>
      <c r="C949" s="118" t="n"/>
      <c r="D949" s="119" t="n"/>
      <c r="E949" s="120" t="n"/>
      <c r="F949" s="120" t="n"/>
      <c r="G949" s="120" t="n"/>
    </row>
    <row r="950" ht="15" customHeight="1" s="72">
      <c r="A950" s="117" t="n"/>
      <c r="B950" s="117" t="n"/>
      <c r="C950" s="118" t="n"/>
      <c r="D950" s="119" t="n"/>
      <c r="E950" s="120" t="n"/>
      <c r="F950" s="120" t="n"/>
      <c r="G950" s="120" t="n"/>
    </row>
    <row r="951" ht="15" customHeight="1" s="72">
      <c r="A951" s="117" t="n"/>
      <c r="B951" s="117" t="n"/>
      <c r="C951" s="118" t="n"/>
      <c r="D951" s="119" t="n"/>
      <c r="E951" s="120" t="n"/>
      <c r="F951" s="120" t="n"/>
      <c r="G951" s="120" t="n"/>
    </row>
    <row r="952" ht="15" customHeight="1" s="72">
      <c r="A952" s="117" t="n"/>
      <c r="B952" s="117" t="n"/>
      <c r="C952" s="118" t="n"/>
      <c r="D952" s="119" t="n"/>
      <c r="E952" s="120" t="n"/>
      <c r="F952" s="120" t="n"/>
      <c r="G952" s="120" t="n"/>
    </row>
    <row r="953" ht="15" customHeight="1" s="72">
      <c r="A953" s="117" t="n"/>
      <c r="B953" s="117" t="n"/>
      <c r="C953" s="118" t="n"/>
      <c r="D953" s="119" t="n"/>
      <c r="E953" s="120" t="n"/>
      <c r="F953" s="120" t="n"/>
      <c r="G953" s="120" t="n"/>
    </row>
    <row r="954" ht="15" customHeight="1" s="72">
      <c r="A954" s="117" t="n"/>
      <c r="B954" s="117" t="n"/>
      <c r="C954" s="118" t="n"/>
      <c r="D954" s="119" t="n"/>
      <c r="E954" s="120" t="n"/>
      <c r="F954" s="120" t="n"/>
      <c r="G954" s="120" t="n"/>
    </row>
    <row r="955" ht="15" customHeight="1" s="72">
      <c r="A955" s="117" t="n"/>
      <c r="B955" s="117" t="n"/>
      <c r="C955" s="118" t="n"/>
      <c r="D955" s="119" t="n"/>
      <c r="E955" s="120" t="n"/>
      <c r="F955" s="120" t="n"/>
      <c r="G955" s="120" t="n"/>
    </row>
    <row r="956" ht="15" customHeight="1" s="72">
      <c r="A956" s="117" t="n"/>
      <c r="B956" s="117" t="n"/>
      <c r="C956" s="118" t="n"/>
      <c r="D956" s="119" t="n"/>
      <c r="E956" s="120" t="n"/>
      <c r="F956" s="120" t="n"/>
      <c r="G956" s="120" t="n"/>
    </row>
    <row r="957" ht="15" customHeight="1" s="72">
      <c r="A957" s="117" t="n"/>
      <c r="B957" s="117" t="n"/>
      <c r="C957" s="118" t="n"/>
      <c r="D957" s="119" t="n"/>
      <c r="E957" s="120" t="n"/>
      <c r="F957" s="120" t="n"/>
      <c r="G957" s="120" t="n"/>
    </row>
    <row r="958" ht="15" customHeight="1" s="72">
      <c r="A958" s="117" t="n"/>
      <c r="B958" s="117" t="n"/>
      <c r="C958" s="118" t="n"/>
      <c r="D958" s="119" t="n"/>
      <c r="E958" s="120" t="n"/>
      <c r="F958" s="120" t="n"/>
      <c r="G958" s="120" t="n"/>
    </row>
    <row r="959" ht="15" customHeight="1" s="72">
      <c r="A959" s="117" t="n"/>
      <c r="B959" s="117" t="n"/>
      <c r="C959" s="118" t="n"/>
      <c r="D959" s="119" t="n"/>
      <c r="E959" s="120" t="n"/>
      <c r="F959" s="120" t="n"/>
      <c r="G959" s="120" t="n"/>
    </row>
    <row r="960" ht="15" customHeight="1" s="72">
      <c r="A960" s="117" t="n"/>
      <c r="B960" s="117" t="n"/>
      <c r="C960" s="118" t="n"/>
      <c r="D960" s="119" t="n"/>
      <c r="E960" s="120" t="n"/>
      <c r="F960" s="120" t="n"/>
      <c r="G960" s="120" t="n"/>
    </row>
    <row r="961" ht="15" customHeight="1" s="72">
      <c r="A961" s="117" t="n"/>
      <c r="B961" s="117" t="n"/>
      <c r="C961" s="118" t="n"/>
      <c r="D961" s="119" t="n"/>
      <c r="E961" s="120" t="n"/>
      <c r="F961" s="120" t="n"/>
      <c r="G961" s="120" t="n"/>
    </row>
    <row r="962" ht="15" customHeight="1" s="72">
      <c r="A962" s="117" t="n"/>
      <c r="B962" s="117" t="n"/>
      <c r="C962" s="118" t="n"/>
      <c r="D962" s="119" t="n"/>
      <c r="E962" s="120" t="n"/>
      <c r="F962" s="120" t="n"/>
      <c r="G962" s="120" t="n"/>
    </row>
    <row r="963" ht="15" customHeight="1" s="72">
      <c r="A963" s="117" t="n"/>
      <c r="B963" s="117" t="n"/>
      <c r="C963" s="118" t="n"/>
      <c r="D963" s="119" t="n"/>
      <c r="E963" s="120" t="n"/>
      <c r="F963" s="120" t="n"/>
      <c r="G963" s="120" t="n"/>
    </row>
    <row r="964" ht="15" customHeight="1" s="72">
      <c r="A964" s="117" t="n"/>
      <c r="B964" s="117" t="n"/>
      <c r="C964" s="118" t="n"/>
      <c r="D964" s="119" t="n"/>
      <c r="E964" s="120" t="n"/>
      <c r="F964" s="120" t="n"/>
      <c r="G964" s="120" t="n"/>
    </row>
    <row r="965" ht="15" customHeight="1" s="72">
      <c r="A965" s="117" t="n"/>
      <c r="B965" s="117" t="n"/>
      <c r="C965" s="118" t="n"/>
      <c r="D965" s="119" t="n"/>
      <c r="E965" s="120" t="n"/>
      <c r="F965" s="120" t="n"/>
      <c r="G965" s="120" t="n"/>
    </row>
    <row r="966" ht="15" customHeight="1" s="72">
      <c r="A966" s="117" t="n"/>
      <c r="B966" s="117" t="n"/>
      <c r="C966" s="118" t="n"/>
      <c r="D966" s="119" t="n"/>
      <c r="E966" s="120" t="n"/>
      <c r="F966" s="120" t="n"/>
      <c r="G966" s="120" t="n"/>
    </row>
    <row r="967" ht="15" customHeight="1" s="72">
      <c r="A967" s="117" t="n"/>
      <c r="B967" s="117" t="n"/>
      <c r="C967" s="118" t="n"/>
      <c r="D967" s="119" t="n"/>
      <c r="E967" s="120" t="n"/>
      <c r="F967" s="120" t="n"/>
      <c r="G967" s="120" t="n"/>
    </row>
    <row r="968" ht="15" customHeight="1" s="72">
      <c r="A968" s="117" t="n"/>
      <c r="B968" s="117" t="n"/>
      <c r="C968" s="118" t="n"/>
      <c r="D968" s="119" t="n"/>
      <c r="E968" s="120" t="n"/>
      <c r="F968" s="120" t="n"/>
      <c r="G968" s="120" t="n"/>
    </row>
    <row r="969" ht="15" customHeight="1" s="72">
      <c r="A969" s="117" t="n"/>
      <c r="B969" s="117" t="n"/>
      <c r="C969" s="118" t="n"/>
      <c r="D969" s="119" t="n"/>
      <c r="E969" s="120" t="n"/>
      <c r="F969" s="120" t="n"/>
      <c r="G969" s="120" t="n"/>
    </row>
    <row r="970" ht="15" customHeight="1" s="72">
      <c r="A970" s="117" t="n"/>
      <c r="B970" s="117" t="n"/>
      <c r="C970" s="118" t="n"/>
      <c r="D970" s="119" t="n"/>
      <c r="E970" s="120" t="n"/>
      <c r="F970" s="120" t="n"/>
      <c r="G970" s="120" t="n"/>
    </row>
    <row r="971" ht="15" customHeight="1" s="72">
      <c r="A971" s="117" t="n"/>
      <c r="B971" s="117" t="n"/>
      <c r="C971" s="118" t="n"/>
      <c r="D971" s="119" t="n"/>
      <c r="E971" s="120" t="n"/>
      <c r="F971" s="120" t="n"/>
      <c r="G971" s="120" t="n"/>
    </row>
    <row r="972" ht="15" customHeight="1" s="72">
      <c r="A972" s="117" t="n"/>
      <c r="B972" s="117" t="n"/>
      <c r="C972" s="118" t="n"/>
      <c r="D972" s="119" t="n"/>
      <c r="E972" s="120" t="n"/>
      <c r="F972" s="120" t="n"/>
      <c r="G972" s="120" t="n"/>
    </row>
    <row r="973" ht="15" customHeight="1" s="72">
      <c r="A973" s="117" t="n"/>
      <c r="B973" s="117" t="n"/>
      <c r="C973" s="118" t="n"/>
      <c r="D973" s="119" t="n"/>
      <c r="E973" s="120" t="n"/>
      <c r="F973" s="120" t="n"/>
      <c r="G973" s="120" t="n"/>
    </row>
    <row r="974" ht="15" customHeight="1" s="72">
      <c r="A974" s="117" t="n"/>
      <c r="B974" s="117" t="n"/>
      <c r="C974" s="118" t="n"/>
      <c r="D974" s="119" t="n"/>
      <c r="E974" s="120" t="n"/>
      <c r="F974" s="120" t="n"/>
      <c r="G974" s="120" t="n"/>
    </row>
    <row r="975" ht="15" customHeight="1" s="72">
      <c r="A975" s="117" t="n"/>
      <c r="B975" s="117" t="n"/>
      <c r="C975" s="118" t="n"/>
      <c r="D975" s="119" t="n"/>
      <c r="E975" s="120" t="n"/>
      <c r="F975" s="120" t="n"/>
      <c r="G975" s="120" t="n"/>
    </row>
    <row r="976" ht="15" customHeight="1" s="72">
      <c r="A976" s="117" t="n"/>
      <c r="B976" s="117" t="n"/>
      <c r="C976" s="118" t="n"/>
      <c r="D976" s="119" t="n"/>
      <c r="E976" s="120" t="n"/>
      <c r="F976" s="120" t="n"/>
      <c r="G976" s="120" t="n"/>
    </row>
    <row r="977" ht="15" customHeight="1" s="72">
      <c r="A977" s="117" t="n"/>
      <c r="B977" s="117" t="n"/>
      <c r="C977" s="118" t="n"/>
      <c r="D977" s="119" t="n"/>
      <c r="E977" s="120" t="n"/>
      <c r="F977" s="120" t="n"/>
      <c r="G977" s="120" t="n"/>
    </row>
    <row r="978" ht="15" customHeight="1" s="72">
      <c r="A978" s="117" t="n"/>
      <c r="B978" s="117" t="n"/>
      <c r="C978" s="118" t="n"/>
      <c r="D978" s="119" t="n"/>
      <c r="E978" s="120" t="n"/>
      <c r="F978" s="120" t="n"/>
      <c r="G978" s="120" t="n"/>
    </row>
    <row r="979" ht="15" customHeight="1" s="72">
      <c r="A979" s="117" t="n"/>
      <c r="B979" s="117" t="n"/>
      <c r="C979" s="118" t="n"/>
      <c r="D979" s="119" t="n"/>
      <c r="E979" s="120" t="n"/>
      <c r="F979" s="120" t="n"/>
      <c r="G979" s="120" t="n"/>
    </row>
    <row r="980" ht="15" customHeight="1" s="72">
      <c r="A980" s="117" t="n"/>
      <c r="B980" s="117" t="n"/>
      <c r="C980" s="118" t="n"/>
      <c r="D980" s="119" t="n"/>
      <c r="E980" s="120" t="n"/>
      <c r="F980" s="120" t="n"/>
      <c r="G980" s="120" t="n"/>
    </row>
    <row r="981" ht="15" customHeight="1" s="72">
      <c r="A981" s="117" t="n"/>
      <c r="B981" s="117" t="n"/>
      <c r="C981" s="118" t="n"/>
      <c r="D981" s="119" t="n"/>
      <c r="E981" s="120" t="n"/>
      <c r="F981" s="120" t="n"/>
      <c r="G981" s="120" t="n"/>
    </row>
    <row r="982" ht="15" customHeight="1" s="72">
      <c r="A982" s="117" t="n"/>
      <c r="B982" s="117" t="n"/>
      <c r="C982" s="118" t="n"/>
      <c r="D982" s="119" t="n"/>
      <c r="E982" s="120" t="n"/>
      <c r="F982" s="120" t="n"/>
      <c r="G982" s="120" t="n"/>
    </row>
    <row r="983" ht="15" customHeight="1" s="72">
      <c r="A983" s="117" t="n"/>
      <c r="B983" s="117" t="n"/>
      <c r="C983" s="118" t="n"/>
      <c r="D983" s="119" t="n"/>
      <c r="E983" s="120" t="n"/>
      <c r="F983" s="120" t="n"/>
      <c r="G983" s="120" t="n"/>
    </row>
    <row r="984" ht="15" customHeight="1" s="72">
      <c r="A984" s="117" t="n"/>
      <c r="B984" s="117" t="n"/>
      <c r="C984" s="118" t="n"/>
      <c r="D984" s="119" t="n"/>
      <c r="E984" s="120" t="n"/>
      <c r="F984" s="120" t="n"/>
      <c r="G984" s="120" t="n"/>
    </row>
    <row r="985" ht="15" customHeight="1" s="72">
      <c r="A985" s="117" t="n"/>
      <c r="B985" s="117" t="n"/>
      <c r="C985" s="118" t="n"/>
      <c r="D985" s="119" t="n"/>
      <c r="E985" s="120" t="n"/>
      <c r="F985" s="120" t="n"/>
      <c r="G985" s="120" t="n"/>
    </row>
    <row r="986" ht="15" customHeight="1" s="72">
      <c r="A986" s="117" t="n"/>
      <c r="B986" s="117" t="n"/>
      <c r="C986" s="118" t="n"/>
      <c r="D986" s="119" t="n"/>
      <c r="E986" s="120" t="n"/>
      <c r="F986" s="120" t="n"/>
      <c r="G986" s="120" t="n"/>
    </row>
    <row r="987" ht="15" customHeight="1" s="72">
      <c r="A987" s="117" t="n"/>
      <c r="B987" s="117" t="n"/>
      <c r="C987" s="118" t="n"/>
      <c r="D987" s="119" t="n"/>
      <c r="E987" s="120" t="n"/>
      <c r="F987" s="120" t="n"/>
      <c r="G987" s="120" t="n"/>
    </row>
    <row r="988" ht="15" customHeight="1" s="72">
      <c r="A988" s="117" t="n"/>
      <c r="B988" s="117" t="n"/>
      <c r="C988" s="118" t="n"/>
      <c r="D988" s="119" t="n"/>
      <c r="E988" s="120" t="n"/>
      <c r="F988" s="120" t="n"/>
      <c r="G988" s="120" t="n"/>
    </row>
    <row r="989" ht="15" customHeight="1" s="72">
      <c r="A989" s="117" t="n"/>
      <c r="B989" s="117" t="n"/>
      <c r="C989" s="118" t="n"/>
      <c r="D989" s="119" t="n"/>
      <c r="E989" s="120" t="n"/>
      <c r="F989" s="120" t="n"/>
      <c r="G989" s="120" t="n"/>
    </row>
    <row r="990" ht="15" customHeight="1" s="72">
      <c r="A990" s="117" t="n"/>
      <c r="B990" s="117" t="n"/>
      <c r="C990" s="118" t="n"/>
      <c r="D990" s="119" t="n"/>
      <c r="E990" s="120" t="n"/>
      <c r="F990" s="120" t="n"/>
      <c r="G990" s="120" t="n"/>
    </row>
    <row r="991" ht="15" customHeight="1" s="72">
      <c r="A991" s="117" t="n"/>
      <c r="B991" s="117" t="n"/>
      <c r="C991" s="118" t="n"/>
      <c r="D991" s="119" t="n"/>
      <c r="E991" s="120" t="n"/>
      <c r="F991" s="120" t="n"/>
      <c r="G991" s="120" t="n"/>
    </row>
    <row r="992" ht="15" customHeight="1" s="72">
      <c r="A992" s="117" t="n"/>
      <c r="B992" s="117" t="n"/>
      <c r="C992" s="118" t="n"/>
      <c r="D992" s="119" t="n"/>
      <c r="E992" s="120" t="n"/>
      <c r="F992" s="120" t="n"/>
      <c r="G992" s="120" t="n"/>
    </row>
    <row r="993" ht="15" customHeight="1" s="72">
      <c r="A993" s="117" t="n"/>
      <c r="B993" s="117" t="n"/>
      <c r="C993" s="118" t="n"/>
      <c r="D993" s="119" t="n"/>
      <c r="E993" s="120" t="n"/>
      <c r="F993" s="120" t="n"/>
      <c r="G993" s="120" t="n"/>
    </row>
    <row r="994" ht="15" customHeight="1" s="72">
      <c r="A994" s="117" t="n"/>
      <c r="B994" s="117" t="n"/>
      <c r="C994" s="118" t="n"/>
      <c r="D994" s="119" t="n"/>
      <c r="E994" s="120" t="n"/>
      <c r="F994" s="120" t="n"/>
      <c r="G994" s="120" t="n"/>
    </row>
    <row r="995" ht="15" customHeight="1" s="72">
      <c r="A995" s="117" t="n"/>
      <c r="B995" s="117" t="n"/>
      <c r="C995" s="118" t="n"/>
      <c r="D995" s="119" t="n"/>
      <c r="E995" s="120" t="n"/>
      <c r="F995" s="120" t="n"/>
      <c r="G995" s="120" t="n"/>
    </row>
    <row r="996" ht="15" customHeight="1" s="72">
      <c r="A996" s="117" t="n"/>
      <c r="B996" s="117" t="n"/>
      <c r="C996" s="118" t="n"/>
      <c r="D996" s="119" t="n"/>
      <c r="E996" s="120" t="n"/>
      <c r="F996" s="120" t="n"/>
      <c r="G996" s="120" t="n"/>
    </row>
    <row r="997" ht="15" customHeight="1" s="72">
      <c r="A997" s="117" t="n"/>
      <c r="B997" s="117" t="n"/>
      <c r="C997" s="118" t="n"/>
      <c r="D997" s="119" t="n"/>
      <c r="E997" s="120" t="n"/>
      <c r="F997" s="120" t="n"/>
      <c r="G997" s="120" t="n"/>
    </row>
    <row r="998" ht="15" customHeight="1" s="72">
      <c r="A998" s="117" t="n"/>
      <c r="B998" s="117" t="n"/>
      <c r="C998" s="118" t="n"/>
      <c r="D998" s="119" t="n"/>
      <c r="E998" s="120" t="n"/>
      <c r="F998" s="120" t="n"/>
      <c r="G998" s="120" t="n"/>
    </row>
    <row r="999" ht="15" customHeight="1" s="72">
      <c r="A999" s="117" t="n"/>
      <c r="B999" s="117" t="n"/>
      <c r="C999" s="118" t="n"/>
      <c r="D999" s="119" t="n"/>
      <c r="E999" s="120" t="n"/>
      <c r="F999" s="120" t="n"/>
      <c r="G999" s="120" t="n"/>
    </row>
    <row r="1000" ht="15" customHeight="1" s="72">
      <c r="A1000" s="117" t="n"/>
      <c r="B1000" s="117" t="n"/>
      <c r="C1000" s="118" t="n"/>
      <c r="D1000" s="119" t="n"/>
      <c r="E1000" s="120" t="n"/>
      <c r="F1000" s="120" t="n"/>
      <c r="G1000" s="120" t="n"/>
    </row>
    <row r="1001" ht="15" customHeight="1" s="72">
      <c r="A1001" s="117" t="n"/>
      <c r="B1001" s="117" t="n"/>
      <c r="C1001" s="118" t="n"/>
      <c r="D1001" s="119" t="n"/>
      <c r="E1001" s="120" t="n"/>
      <c r="F1001" s="120" t="n"/>
      <c r="G1001" s="120" t="n"/>
    </row>
    <row r="1002" ht="15" customHeight="1" s="72">
      <c r="A1002" s="117" t="n"/>
      <c r="B1002" s="117" t="n"/>
      <c r="C1002" s="118" t="n"/>
      <c r="D1002" s="119" t="n"/>
      <c r="E1002" s="120" t="n"/>
      <c r="F1002" s="120" t="n"/>
      <c r="G1002" s="120" t="n"/>
    </row>
    <row r="1003" ht="15" customHeight="1" s="72">
      <c r="A1003" s="117" t="n"/>
      <c r="B1003" s="117" t="n"/>
      <c r="C1003" s="118" t="n"/>
      <c r="D1003" s="119" t="n"/>
      <c r="E1003" s="120" t="n"/>
      <c r="F1003" s="120" t="n"/>
      <c r="G1003" s="120" t="n"/>
    </row>
    <row r="1004" ht="15" customHeight="1" s="72">
      <c r="A1004" s="117" t="n"/>
      <c r="B1004" s="117" t="n"/>
      <c r="C1004" s="117" t="n"/>
      <c r="D1004" s="117" t="n"/>
    </row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2">
    <dataValidation sqref="C6:C1004" showDropDown="0" showInputMessage="1" showErrorMessage="1" allowBlank="1" errorTitle="Geçersiz adet" error="0 veya daha büyük olmalı." promptTitle="Satış Adedi" prompt="Dönemde satılan adedi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ile 10.000.000 arasında olmalı." promptTitle="Birim Satış Fiyatı" prompt="Birim satış fiyatını TL olarak girin." type="decimal" errorStyle="stop" operator="between">
      <formula1>0</formula1>
      <formula2>10000000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98" min="1" max="1"/>
    <col width="20" customWidth="1" style="98" min="2" max="2"/>
    <col width="16" customWidth="1" style="98" min="3" max="3"/>
    <col width="8" customWidth="1" style="98" min="4" max="4"/>
    <col width="9" customWidth="1" style="98" min="5" max="5"/>
    <col width="15" customWidth="1" style="98" min="6" max="6"/>
    <col width="13" customWidth="1" style="98" min="7" max="7"/>
    <col width="15" customWidth="1" style="98" min="8" max="8"/>
    <col width="13" customWidth="1" style="98" min="9" max="9"/>
    <col width="52" customWidth="1" style="98" min="10" max="10"/>
  </cols>
  <sheetData>
    <row r="1" ht="25.5" customHeight="1" s="72">
      <c r="A1" s="99" t="inlineStr">
        <is>
          <t>RECETE — Mutfak Kayıp/Kaçak Hesaplayıcı</t>
        </is>
      </c>
    </row>
    <row r="3" ht="30" customHeight="1" s="72">
      <c r="A3" s="110" t="inlineStr">
        <is>
          <t>Ürün Reçeteleri</t>
        </is>
      </c>
    </row>
    <row r="4" ht="95.25" customHeight="1" s="72">
      <c r="A4" s="101" t="inlineStr">
        <is>
          <t>Her ürünün hammadde ihtiyacını girin; teorik tüketim stok sayfasına aktarılır.</t>
        </is>
      </c>
    </row>
    <row r="5" ht="30" customHeight="1" s="72">
      <c r="A5" s="111" t="inlineStr">
        <is>
          <t>Ürün Kodu</t>
        </is>
      </c>
      <c r="B5" s="111" t="inlineStr">
        <is>
          <t>Ürün Adı</t>
        </is>
      </c>
      <c r="C5" s="111" t="inlineStr">
        <is>
          <t>Hammadde</t>
        </is>
      </c>
      <c r="D5" s="111" t="inlineStr">
        <is>
          <t>Birim</t>
        </is>
      </c>
      <c r="E5" s="111" t="inlineStr">
        <is>
          <t>Miktar</t>
        </is>
      </c>
      <c r="F5" s="111" t="inlineStr">
        <is>
          <t>Birim Maliyet (TL)</t>
        </is>
      </c>
      <c r="G5" s="111" t="inlineStr">
        <is>
          <t>Tutar (TL)</t>
        </is>
      </c>
      <c r="H5" s="111" t="inlineStr">
        <is>
          <t>Satış Adedi (Adet)</t>
        </is>
      </c>
      <c r="I5" s="111" t="inlineStr">
        <is>
          <t>Teorik Tüketim</t>
        </is>
      </c>
      <c r="J5" s="111" t="inlineStr">
        <is>
          <t>Açıklama</t>
        </is>
      </c>
      <c r="K5" s="98" t="inlineStr">
        <is>
          <t>fire</t>
        </is>
      </c>
    </row>
    <row r="6" ht="15" customHeight="1" s="72">
      <c r="A6" s="112" t="inlineStr">
        <is>
          <t>UR-01</t>
        </is>
      </c>
      <c r="B6" s="112" t="inlineStr">
        <is>
          <t>Klasik Pide</t>
        </is>
      </c>
      <c r="C6" s="112" t="inlineStr">
        <is>
          <t>Un</t>
        </is>
      </c>
      <c r="D6" s="112" t="inlineStr">
        <is>
          <t>kg</t>
        </is>
      </c>
      <c r="E6" s="113" t="n">
        <v>0.25</v>
      </c>
      <c r="F6" s="114" t="n">
        <v>18</v>
      </c>
      <c r="G6" s="115">
        <f>IF($E6="","",$E6*$F6)</f>
        <v/>
      </c>
      <c r="H6" s="122">
        <f>IF($A6="","",IFERROR(INDEX(tblUrun[Satış Adedi (Adet)],MATCH($A6,tblUrun[Ürün Kodu],0)),0))</f>
        <v/>
      </c>
      <c r="I6" s="122">
        <f>IF($E6="","",$E6*$H6)</f>
        <v/>
      </c>
      <c r="J6" s="116">
        <f>IF($B6="","",CONCATENATE("Ürün: ",$B6," | Hammadde: ",$C6," | Teorik: ",TEXT($I6,"#,##0.000")))</f>
        <v/>
      </c>
    </row>
    <row r="7" ht="15" customHeight="1" s="72">
      <c r="A7" s="112" t="inlineStr">
        <is>
          <t>UR-01</t>
        </is>
      </c>
      <c r="B7" s="112" t="inlineStr">
        <is>
          <t>Klasik Pide</t>
        </is>
      </c>
      <c r="C7" s="112" t="inlineStr">
        <is>
          <t>Tereyağı</t>
        </is>
      </c>
      <c r="D7" s="112" t="inlineStr">
        <is>
          <t>kg</t>
        </is>
      </c>
      <c r="E7" s="113" t="n">
        <v>0.03</v>
      </c>
      <c r="F7" s="114" t="n">
        <v>120</v>
      </c>
      <c r="G7" s="115">
        <f>IF($E7="","",$E7*$F7)</f>
        <v/>
      </c>
      <c r="H7" s="122">
        <f>IF($A7="","",IFERROR(INDEX(tblUrun[Satış Adedi (Adet)],MATCH($A7,tblUrun[Ürün Kodu],0)),0))</f>
        <v/>
      </c>
      <c r="I7" s="122">
        <f>IF($E7="","",$E7*$H7)</f>
        <v/>
      </c>
      <c r="J7" s="116">
        <f>IF($B7="","",CONCATENATE("Ürün: ",$B7," | Hammadde: ",$C7," | Teorik: ",TEXT($I7,"#,##0.000")))</f>
        <v/>
      </c>
    </row>
    <row r="8" ht="15" customHeight="1" s="72">
      <c r="A8" s="112" t="inlineStr">
        <is>
          <t>UR-01</t>
        </is>
      </c>
      <c r="B8" s="112" t="inlineStr">
        <is>
          <t>Klasik Pide</t>
        </is>
      </c>
      <c r="C8" s="112" t="inlineStr">
        <is>
          <t>Peynir</t>
        </is>
      </c>
      <c r="D8" s="112" t="inlineStr">
        <is>
          <t>kg</t>
        </is>
      </c>
      <c r="E8" s="113" t="n">
        <v>0.08</v>
      </c>
      <c r="F8" s="114" t="n">
        <v>160</v>
      </c>
      <c r="G8" s="115">
        <f>IF($E8="","",$E8*$F8)</f>
        <v/>
      </c>
      <c r="H8" s="122">
        <f>IF($A8="","",IFERROR(INDEX(tblUrun[Satış Adedi (Adet)],MATCH($A8,tblUrun[Ürün Kodu],0)),0))</f>
        <v/>
      </c>
      <c r="I8" s="122">
        <f>IF($E8="","",$E8*$H8)</f>
        <v/>
      </c>
      <c r="J8" s="116">
        <f>IF($B8="","",CONCATENATE("Ürün: ",$B8," | Hammadde: ",$C8," | Teorik: ",TEXT($I8,"#,##0.000")))</f>
        <v/>
      </c>
    </row>
    <row r="9" ht="15" customHeight="1" s="72">
      <c r="A9" s="112" t="inlineStr">
        <is>
          <t>UR-01</t>
        </is>
      </c>
      <c r="B9" s="112" t="inlineStr">
        <is>
          <t>Klasik Pide</t>
        </is>
      </c>
      <c r="C9" s="112" t="inlineStr">
        <is>
          <t>Yumurta</t>
        </is>
      </c>
      <c r="D9" s="112" t="inlineStr">
        <is>
          <t>adet</t>
        </is>
      </c>
      <c r="E9" s="113" t="n">
        <v>1</v>
      </c>
      <c r="F9" s="114" t="n">
        <v>6</v>
      </c>
      <c r="G9" s="115">
        <f>IF($E9="","",$E9*$F9)</f>
        <v/>
      </c>
      <c r="H9" s="122">
        <f>IF($A9="","",IFERROR(INDEX(tblUrun[Satış Adedi (Adet)],MATCH($A9,tblUrun[Ürün Kodu],0)),0))</f>
        <v/>
      </c>
      <c r="I9" s="122">
        <f>IF($E9="","",$E9*$H9)</f>
        <v/>
      </c>
      <c r="J9" s="116">
        <f>IF($B9="","",CONCATENATE("Ürün: ",$B9," | Hammadde: ",$C9," | Teorik: ",TEXT($I9,"#,##0.000")))</f>
        <v/>
      </c>
    </row>
    <row r="10" ht="15" customHeight="1" s="72">
      <c r="A10" s="112" t="inlineStr">
        <is>
          <t>UR-02</t>
        </is>
      </c>
      <c r="B10" s="112" t="inlineStr">
        <is>
          <t>Lahmacun</t>
        </is>
      </c>
      <c r="C10" s="112" t="inlineStr">
        <is>
          <t>Un</t>
        </is>
      </c>
      <c r="D10" s="112" t="inlineStr">
        <is>
          <t>kg</t>
        </is>
      </c>
      <c r="E10" s="113" t="n">
        <v>0.08</v>
      </c>
      <c r="F10" s="114" t="n">
        <v>18</v>
      </c>
      <c r="G10" s="115">
        <f>IF($E10="","",$E10*$F10)</f>
        <v/>
      </c>
      <c r="H10" s="122">
        <f>IF($A10="","",IFERROR(INDEX(tblUrun[Satış Adedi (Adet)],MATCH($A10,tblUrun[Ürün Kodu],0)),0))</f>
        <v/>
      </c>
      <c r="I10" s="122">
        <f>IF($E10="","",$E10*$H10)</f>
        <v/>
      </c>
      <c r="J10" s="116">
        <f>IF($B10="","",CONCATENATE("Ürün: ",$B10," | Hammadde: ",$C10," | Teorik: ",TEXT($I10,"#,##0.000")))</f>
        <v/>
      </c>
    </row>
    <row r="11" ht="15" customHeight="1" s="72">
      <c r="A11" s="112" t="inlineStr">
        <is>
          <t>UR-02</t>
        </is>
      </c>
      <c r="B11" s="112" t="inlineStr">
        <is>
          <t>Lahmacun</t>
        </is>
      </c>
      <c r="C11" s="112" t="inlineStr">
        <is>
          <t>Et</t>
        </is>
      </c>
      <c r="D11" s="112" t="inlineStr">
        <is>
          <t>kg</t>
        </is>
      </c>
      <c r="E11" s="113" t="n">
        <v>0.04</v>
      </c>
      <c r="F11" s="114" t="n">
        <v>320</v>
      </c>
      <c r="G11" s="115">
        <f>IF($E11="","",$E11*$F11)</f>
        <v/>
      </c>
      <c r="H11" s="122">
        <f>IF($A11="","",IFERROR(INDEX(tblUrun[Satış Adedi (Adet)],MATCH($A11,tblUrun[Ürün Kodu],0)),0))</f>
        <v/>
      </c>
      <c r="I11" s="122">
        <f>IF($E11="","",$E11*$H11)</f>
        <v/>
      </c>
      <c r="J11" s="116">
        <f>IF($B11="","",CONCATENATE("Ürün: ",$B11," | Hammadde: ",$C11," | Teorik: ",TEXT($I11,"#,##0.000")))</f>
        <v/>
      </c>
    </row>
    <row r="12" ht="15" customHeight="1" s="72">
      <c r="A12" s="112" t="inlineStr">
        <is>
          <t>UR-02</t>
        </is>
      </c>
      <c r="B12" s="112" t="inlineStr">
        <is>
          <t>Lahmacun</t>
        </is>
      </c>
      <c r="C12" s="112" t="inlineStr">
        <is>
          <t>Domates</t>
        </is>
      </c>
      <c r="D12" s="112" t="inlineStr">
        <is>
          <t>kg</t>
        </is>
      </c>
      <c r="E12" s="113" t="n">
        <v>0.05</v>
      </c>
      <c r="F12" s="114" t="n">
        <v>35</v>
      </c>
      <c r="G12" s="115">
        <f>IF($E12="","",$E12*$F12)</f>
        <v/>
      </c>
      <c r="H12" s="122">
        <f>IF($A12="","",IFERROR(INDEX(tblUrun[Satış Adedi (Adet)],MATCH($A12,tblUrun[Ürün Kodu],0)),0))</f>
        <v/>
      </c>
      <c r="I12" s="122">
        <f>IF($E12="","",$E12*$H12)</f>
        <v/>
      </c>
      <c r="J12" s="116">
        <f>IF($B12="","",CONCATENATE("Ürün: ",$B12," | Hammadde: ",$C12," | Teorik: ",TEXT($I12,"#,##0.000")))</f>
        <v/>
      </c>
    </row>
    <row r="13" ht="15" customHeight="1" s="72">
      <c r="A13" s="112" t="inlineStr">
        <is>
          <t>UR-02</t>
        </is>
      </c>
      <c r="B13" s="112" t="inlineStr">
        <is>
          <t>Lahmacun</t>
        </is>
      </c>
      <c r="C13" s="112" t="inlineStr">
        <is>
          <t>Salça</t>
        </is>
      </c>
      <c r="D13" s="112" t="inlineStr">
        <is>
          <t>kg</t>
        </is>
      </c>
      <c r="E13" s="113" t="n">
        <v>0.01</v>
      </c>
      <c r="F13" s="114" t="n">
        <v>60</v>
      </c>
      <c r="G13" s="115">
        <f>IF($E13="","",$E13*$F13)</f>
        <v/>
      </c>
      <c r="H13" s="122">
        <f>IF($A13="","",IFERROR(INDEX(tblUrun[Satış Adedi (Adet)],MATCH($A13,tblUrun[Ürün Kodu],0)),0))</f>
        <v/>
      </c>
      <c r="I13" s="122">
        <f>IF($E13="","",$E13*$H13)</f>
        <v/>
      </c>
      <c r="J13" s="116">
        <f>IF($B13="","",CONCATENATE("Ürün: ",$B13," | Hammadde: ",$C13," | Teorik: ",TEXT($I13,"#,##0.000")))</f>
        <v/>
      </c>
    </row>
    <row r="14" ht="15" customHeight="1" s="72">
      <c r="A14" s="112" t="inlineStr">
        <is>
          <t>UR-03</t>
        </is>
      </c>
      <c r="B14" s="112" t="inlineStr">
        <is>
          <t>Kumpir</t>
        </is>
      </c>
      <c r="C14" s="112" t="inlineStr">
        <is>
          <t>Patates</t>
        </is>
      </c>
      <c r="D14" s="112" t="inlineStr">
        <is>
          <t>kg</t>
        </is>
      </c>
      <c r="E14" s="113" t="n">
        <v>0.35</v>
      </c>
      <c r="F14" s="114" t="n">
        <v>22</v>
      </c>
      <c r="G14" s="115">
        <f>IF($E14="","",$E14*$F14)</f>
        <v/>
      </c>
      <c r="H14" s="122">
        <f>IF($A14="","",IFERROR(INDEX(tblUrun[Satış Adedi (Adet)],MATCH($A14,tblUrun[Ürün Kodu],0)),0))</f>
        <v/>
      </c>
      <c r="I14" s="122">
        <f>IF($E14="","",$E14*$H14)</f>
        <v/>
      </c>
      <c r="J14" s="116">
        <f>IF($B14="","",CONCATENATE("Ürün: ",$B14," | Hammadde: ",$C14," | Teorik: ",TEXT($I14,"#,##0.000")))</f>
        <v/>
      </c>
    </row>
    <row r="15" ht="15" customHeight="1" s="72">
      <c r="A15" s="112" t="inlineStr">
        <is>
          <t>UR-03</t>
        </is>
      </c>
      <c r="B15" s="112" t="inlineStr">
        <is>
          <t>Kumpir</t>
        </is>
      </c>
      <c r="C15" s="112" t="inlineStr">
        <is>
          <t>Tereyağı</t>
        </is>
      </c>
      <c r="D15" s="112" t="inlineStr">
        <is>
          <t>kg</t>
        </is>
      </c>
      <c r="E15" s="113" t="n">
        <v>0.04</v>
      </c>
      <c r="F15" s="114" t="n">
        <v>120</v>
      </c>
      <c r="G15" s="115">
        <f>IF($E15="","",$E15*$F15)</f>
        <v/>
      </c>
      <c r="H15" s="122">
        <f>IF($A15="","",IFERROR(INDEX(tblUrun[Satış Adedi (Adet)],MATCH($A15,tblUrun[Ürün Kodu],0)),0))</f>
        <v/>
      </c>
      <c r="I15" s="122">
        <f>IF($E15="","",$E15*$H15)</f>
        <v/>
      </c>
      <c r="J15" s="116">
        <f>IF($B15="","",CONCATENATE("Ürün: ",$B15," | Hammadde: ",$C15," | Teorik: ",TEXT($I15,"#,##0.000")))</f>
        <v/>
      </c>
    </row>
    <row r="16" ht="15" customHeight="1" s="72">
      <c r="A16" s="112" t="inlineStr">
        <is>
          <t>UR-03</t>
        </is>
      </c>
      <c r="B16" s="112" t="inlineStr">
        <is>
          <t>Kumpir</t>
        </is>
      </c>
      <c r="C16" s="112" t="inlineStr">
        <is>
          <t>Peynir</t>
        </is>
      </c>
      <c r="D16" s="112" t="inlineStr">
        <is>
          <t>kg</t>
        </is>
      </c>
      <c r="E16" s="113" t="n">
        <v>0.05</v>
      </c>
      <c r="F16" s="114" t="n">
        <v>160</v>
      </c>
      <c r="G16" s="115">
        <f>IF($E16="","",$E16*$F16)</f>
        <v/>
      </c>
      <c r="H16" s="122">
        <f>IF($A16="","",IFERROR(INDEX(tblUrun[Satış Adedi (Adet)],MATCH($A16,tblUrun[Ürün Kodu],0)),0))</f>
        <v/>
      </c>
      <c r="I16" s="122">
        <f>IF($E16="","",$E16*$H16)</f>
        <v/>
      </c>
      <c r="J16" s="116">
        <f>IF($B16="","",CONCATENATE("Ürün: ",$B16," | Hammadde: ",$C16," | Teorik: ",TEXT($I16,"#,##0.000")))</f>
        <v/>
      </c>
    </row>
    <row r="17" ht="15" customHeight="1" s="72">
      <c r="A17" s="112" t="inlineStr">
        <is>
          <t>UR-04</t>
        </is>
      </c>
      <c r="B17" s="112" t="inlineStr">
        <is>
          <t>Tost Sandviç</t>
        </is>
      </c>
      <c r="C17" s="112" t="inlineStr">
        <is>
          <t>Un</t>
        </is>
      </c>
      <c r="D17" s="112" t="inlineStr">
        <is>
          <t>kg</t>
        </is>
      </c>
      <c r="E17" s="113" t="n">
        <v>0.12</v>
      </c>
      <c r="F17" s="114" t="n">
        <v>18</v>
      </c>
      <c r="G17" s="115">
        <f>IF($E17="","",$E17*$F17)</f>
        <v/>
      </c>
      <c r="H17" s="122">
        <f>IF($A17="","",IFERROR(INDEX(tblUrun[Satış Adedi (Adet)],MATCH($A17,tblUrun[Ürün Kodu],0)),0))</f>
        <v/>
      </c>
      <c r="I17" s="122">
        <f>IF($E17="","",$E17*$H17)</f>
        <v/>
      </c>
      <c r="J17" s="116">
        <f>IF($B17="","",CONCATENATE("Ürün: ",$B17," | Hammadde: ",$C17," | Teorik: ",TEXT($I17,"#,##0.000")))</f>
        <v/>
      </c>
    </row>
    <row r="18" ht="15" customHeight="1" s="72">
      <c r="A18" s="112" t="inlineStr">
        <is>
          <t>UR-04</t>
        </is>
      </c>
      <c r="B18" s="112" t="inlineStr">
        <is>
          <t>Tost Sandviç</t>
        </is>
      </c>
      <c r="C18" s="112" t="inlineStr">
        <is>
          <t>Peynir</t>
        </is>
      </c>
      <c r="D18" s="112" t="inlineStr">
        <is>
          <t>kg</t>
        </is>
      </c>
      <c r="E18" s="113" t="n">
        <v>0.06</v>
      </c>
      <c r="F18" s="114" t="n">
        <v>160</v>
      </c>
      <c r="G18" s="115">
        <f>IF($E18="","",$E18*$F18)</f>
        <v/>
      </c>
      <c r="H18" s="122">
        <f>IF($A18="","",IFERROR(INDEX(tblUrun[Satış Adedi (Adet)],MATCH($A18,tblUrun[Ürün Kodu],0)),0))</f>
        <v/>
      </c>
      <c r="I18" s="122">
        <f>IF($E18="","",$E18*$H18)</f>
        <v/>
      </c>
      <c r="J18" s="116">
        <f>IF($B18="","",CONCATENATE("Ürün: ",$B18," | Hammadde: ",$C18," | Teorik: ",TEXT($I18,"#,##0.000")))</f>
        <v/>
      </c>
    </row>
    <row r="19" ht="15" customHeight="1" s="72">
      <c r="A19" s="112" t="inlineStr">
        <is>
          <t>UR-04</t>
        </is>
      </c>
      <c r="B19" s="112" t="inlineStr">
        <is>
          <t>Tost Sandviç</t>
        </is>
      </c>
      <c r="C19" s="112" t="inlineStr">
        <is>
          <t>Tereyağı</t>
        </is>
      </c>
      <c r="D19" s="112" t="inlineStr">
        <is>
          <t>kg</t>
        </is>
      </c>
      <c r="E19" s="113" t="n">
        <v>0.02</v>
      </c>
      <c r="F19" s="114" t="n">
        <v>120</v>
      </c>
      <c r="G19" s="115">
        <f>IF($E19="","",$E19*$F19)</f>
        <v/>
      </c>
      <c r="H19" s="122">
        <f>IF($A19="","",IFERROR(INDEX(tblUrun[Satış Adedi (Adet)],MATCH($A19,tblUrun[Ürün Kodu],0)),0))</f>
        <v/>
      </c>
      <c r="I19" s="122">
        <f>IF($E19="","",$E19*$H19)</f>
        <v/>
      </c>
      <c r="J19" s="116">
        <f>IF($B19="","",CONCATENATE("Ürün: ",$B19," | Hammadde: ",$C19," | Teorik: ",TEXT($I19,"#,##0.000")))</f>
        <v/>
      </c>
    </row>
    <row r="20" ht="15" customHeight="1" s="72">
      <c r="A20" s="112" t="inlineStr">
        <is>
          <t>UR-05</t>
        </is>
      </c>
      <c r="B20" s="112" t="inlineStr">
        <is>
          <t>Çiğ Köfte Menü</t>
        </is>
      </c>
      <c r="C20" s="112" t="inlineStr">
        <is>
          <t>Un</t>
        </is>
      </c>
      <c r="D20" s="112" t="inlineStr">
        <is>
          <t>kg</t>
        </is>
      </c>
      <c r="E20" s="113" t="n">
        <v>0.1</v>
      </c>
      <c r="F20" s="114" t="n">
        <v>18</v>
      </c>
      <c r="G20" s="115">
        <f>IF($E20="","",$E20*$F20)</f>
        <v/>
      </c>
      <c r="H20" s="122">
        <f>IF($A20="","",IFERROR(INDEX(tblUrun[Satış Adedi (Adet)],MATCH($A20,tblUrun[Ürün Kodu],0)),0))</f>
        <v/>
      </c>
      <c r="I20" s="122">
        <f>IF($E20="","",$E20*$H20)</f>
        <v/>
      </c>
      <c r="J20" s="116">
        <f>IF($B20="","",CONCATENATE("Ürün: ",$B20," | Hammadde: ",$C20," | Teorik: ",TEXT($I20,"#,##0.000")))</f>
        <v/>
      </c>
    </row>
    <row r="21" ht="15" customHeight="1" s="72">
      <c r="A21" s="112" t="inlineStr">
        <is>
          <t>UR-05</t>
        </is>
      </c>
      <c r="B21" s="112" t="inlineStr">
        <is>
          <t>Çiğ Köfte Menü</t>
        </is>
      </c>
      <c r="C21" s="112" t="inlineStr">
        <is>
          <t>Domates</t>
        </is>
      </c>
      <c r="D21" s="112" t="inlineStr">
        <is>
          <t>kg</t>
        </is>
      </c>
      <c r="E21" s="113" t="n">
        <v>0.04</v>
      </c>
      <c r="F21" s="114" t="n">
        <v>35</v>
      </c>
      <c r="G21" s="115">
        <f>IF($E21="","",$E21*$F21)</f>
        <v/>
      </c>
      <c r="H21" s="122">
        <f>IF($A21="","",IFERROR(INDEX(tblUrun[Satış Adedi (Adet)],MATCH($A21,tblUrun[Ürün Kodu],0)),0))</f>
        <v/>
      </c>
      <c r="I21" s="122">
        <f>IF($E21="","",$E21*$H21)</f>
        <v/>
      </c>
      <c r="J21" s="116">
        <f>IF($B21="","",CONCATENATE("Ürün: ",$B21," | Hammadde: ",$C21," | Teorik: ",TEXT($I21,"#,##0.000")))</f>
        <v/>
      </c>
    </row>
    <row r="22" ht="15" customHeight="1" s="72">
      <c r="A22" s="112" t="inlineStr">
        <is>
          <t>UR-05</t>
        </is>
      </c>
      <c r="B22" s="112" t="inlineStr">
        <is>
          <t>Çiğ Köfte Menü</t>
        </is>
      </c>
      <c r="C22" s="112" t="inlineStr">
        <is>
          <t>Salça</t>
        </is>
      </c>
      <c r="D22" s="112" t="inlineStr">
        <is>
          <t>kg</t>
        </is>
      </c>
      <c r="E22" s="113" t="n">
        <v>0.02</v>
      </c>
      <c r="F22" s="114" t="n">
        <v>60</v>
      </c>
      <c r="G22" s="115">
        <f>IF($E22="","",$E22*$F22)</f>
        <v/>
      </c>
      <c r="H22" s="122">
        <f>IF($A22="","",IFERROR(INDEX(tblUrun[Satış Adedi (Adet)],MATCH($A22,tblUrun[Ürün Kodu],0)),0))</f>
        <v/>
      </c>
      <c r="I22" s="122">
        <f>IF($E22="","",$E22*$H22)</f>
        <v/>
      </c>
      <c r="J22" s="116">
        <f>IF($B22="","",CONCATENATE("Ürün: ",$B22," | Hammadde: ",$C22," | Teorik: ",TEXT($I22,"#,##0.000")))</f>
        <v/>
      </c>
    </row>
    <row r="23" ht="15" customHeight="1" s="72">
      <c r="A23" s="112" t="inlineStr">
        <is>
          <t>UR-06</t>
        </is>
      </c>
      <c r="B23" s="112" t="inlineStr">
        <is>
          <t>İskender</t>
        </is>
      </c>
      <c r="C23" s="112" t="inlineStr">
        <is>
          <t>Et</t>
        </is>
      </c>
      <c r="D23" s="112" t="inlineStr">
        <is>
          <t>kg</t>
        </is>
      </c>
      <c r="E23" s="113" t="n">
        <v>0.18</v>
      </c>
      <c r="F23" s="114" t="n">
        <v>320</v>
      </c>
      <c r="G23" s="115">
        <f>IF($E23="","",$E23*$F23)</f>
        <v/>
      </c>
      <c r="H23" s="122">
        <f>IF($A23="","",IFERROR(INDEX(tblUrun[Satış Adedi (Adet)],MATCH($A23,tblUrun[Ürün Kodu],0)),0))</f>
        <v/>
      </c>
      <c r="I23" s="122">
        <f>IF($E23="","",$E23*$H23)</f>
        <v/>
      </c>
      <c r="J23" s="116">
        <f>IF($B23="","",CONCATENATE("Ürün: ",$B23," | Hammadde: ",$C23," | Teorik: ",TEXT($I23,"#,##0.000")))</f>
        <v/>
      </c>
    </row>
    <row r="24" ht="15" customHeight="1" s="72">
      <c r="A24" s="112" t="inlineStr">
        <is>
          <t>UR-06</t>
        </is>
      </c>
      <c r="B24" s="112" t="inlineStr">
        <is>
          <t>İskender</t>
        </is>
      </c>
      <c r="C24" s="112" t="inlineStr">
        <is>
          <t>Tereyağı</t>
        </is>
      </c>
      <c r="D24" s="112" t="inlineStr">
        <is>
          <t>kg</t>
        </is>
      </c>
      <c r="E24" s="113" t="n">
        <v>0.03</v>
      </c>
      <c r="F24" s="114" t="n">
        <v>120</v>
      </c>
      <c r="G24" s="115">
        <f>IF($E24="","",$E24*$F24)</f>
        <v/>
      </c>
      <c r="H24" s="122">
        <f>IF($A24="","",IFERROR(INDEX(tblUrun[Satış Adedi (Adet)],MATCH($A24,tblUrun[Ürün Kodu],0)),0))</f>
        <v/>
      </c>
      <c r="I24" s="122">
        <f>IF($E24="","",$E24*$H24)</f>
        <v/>
      </c>
      <c r="J24" s="116">
        <f>IF($B24="","",CONCATENATE("Ürün: ",$B24," | Hammadde: ",$C24," | Teorik: ",TEXT($I24,"#,##0.000")))</f>
        <v/>
      </c>
    </row>
    <row r="25" ht="15" customHeight="1" s="72">
      <c r="A25" s="112" t="inlineStr">
        <is>
          <t>UR-06</t>
        </is>
      </c>
      <c r="B25" s="112" t="inlineStr">
        <is>
          <t>İskender</t>
        </is>
      </c>
      <c r="C25" s="112" t="inlineStr">
        <is>
          <t>Patates</t>
        </is>
      </c>
      <c r="D25" s="112" t="inlineStr">
        <is>
          <t>kg</t>
        </is>
      </c>
      <c r="E25" s="113" t="n">
        <v>0.15</v>
      </c>
      <c r="F25" s="114" t="n">
        <v>22</v>
      </c>
      <c r="G25" s="115">
        <f>IF($E25="","",$E25*$F25)</f>
        <v/>
      </c>
      <c r="H25" s="122">
        <f>IF($A25="","",IFERROR(INDEX(tblUrun[Satış Adedi (Adet)],MATCH($A25,tblUrun[Ürün Kodu],0)),0))</f>
        <v/>
      </c>
      <c r="I25" s="122">
        <f>IF($E25="","",$E25*$H25)</f>
        <v/>
      </c>
      <c r="J25" s="116">
        <f>IF($B25="","",CONCATENATE("Ürün: ",$B25," | Hammadde: ",$C25," | Teorik: ",TEXT($I25,"#,##0.000")))</f>
        <v/>
      </c>
    </row>
    <row r="26" ht="15" customHeight="1" s="72">
      <c r="A26" s="117" t="n"/>
      <c r="B26" s="117" t="n"/>
      <c r="C26" s="117" t="n"/>
      <c r="D26" s="117" t="n"/>
      <c r="E26" s="118" t="n"/>
      <c r="F26" s="119" t="n"/>
      <c r="G26" s="115">
        <f>IF($E26="","",$E26*$F26)</f>
        <v/>
      </c>
      <c r="H26" s="122">
        <f>IF($A26="","",IFERROR(INDEX(tblUrun[Satış Adedi (Adet)],MATCH($A26,tblUrun[Ürün Kodu],0)),0))</f>
        <v/>
      </c>
      <c r="I26" s="122">
        <f>IF($E26="","",$E26*$H26)</f>
        <v/>
      </c>
      <c r="J26" s="116">
        <f>IF($B26="","",CONCATENATE("Ürün: ",$B26," | Hammadde: ",$C26," | Teorik: ",TEXT($I26,"#,##0.000")))</f>
        <v/>
      </c>
    </row>
    <row r="27" ht="15" customHeight="1" s="72">
      <c r="A27" s="117" t="n"/>
      <c r="B27" s="117" t="n"/>
      <c r="C27" s="117" t="n"/>
      <c r="D27" s="117" t="n"/>
      <c r="E27" s="118" t="n"/>
      <c r="F27" s="119" t="n"/>
      <c r="G27" s="115">
        <f>IF($E27="","",$E27*$F27)</f>
        <v/>
      </c>
      <c r="H27" s="122">
        <f>IF($A27="","",IFERROR(INDEX(tblUrun[Satış Adedi (Adet)],MATCH($A27,tblUrun[Ürün Kodu],0)),0))</f>
        <v/>
      </c>
      <c r="I27" s="122">
        <f>IF($E27="","",$E27*$H27)</f>
        <v/>
      </c>
      <c r="J27" s="116">
        <f>IF($B27="","",CONCATENATE("Ürün: ",$B27," | Hammadde: ",$C27," | Teorik: ",TEXT($I27,"#,##0.000")))</f>
        <v/>
      </c>
    </row>
    <row r="28" ht="15" customHeight="1" s="72">
      <c r="A28" s="117" t="n"/>
      <c r="B28" s="117" t="n"/>
      <c r="C28" s="117" t="n"/>
      <c r="D28" s="117" t="n"/>
      <c r="E28" s="118" t="n"/>
      <c r="F28" s="119" t="n"/>
      <c r="G28" s="115">
        <f>IF($E28="","",$E28*$F28)</f>
        <v/>
      </c>
      <c r="H28" s="122">
        <f>IF($A28="","",IFERROR(INDEX(tblUrun[Satış Adedi (Adet)],MATCH($A28,tblUrun[Ürün Kodu],0)),0))</f>
        <v/>
      </c>
      <c r="I28" s="122">
        <f>IF($E28="","",$E28*$H28)</f>
        <v/>
      </c>
      <c r="J28" s="116">
        <f>IF($B28="","",CONCATENATE("Ürün: ",$B28," | Hammadde: ",$C28," | Teorik: ",TEXT($I28,"#,##0.000")))</f>
        <v/>
      </c>
    </row>
    <row r="29" ht="15" customHeight="1" s="72">
      <c r="A29" s="117" t="n"/>
      <c r="B29" s="117" t="n"/>
      <c r="C29" s="117" t="n"/>
      <c r="D29" s="117" t="n"/>
      <c r="E29" s="118" t="n"/>
      <c r="F29" s="119" t="n"/>
      <c r="G29" s="115">
        <f>IF($E29="","",$E29*$F29)</f>
        <v/>
      </c>
      <c r="H29" s="122">
        <f>IF($A29="","",IFERROR(INDEX(tblUrun[Satış Adedi (Adet)],MATCH($A29,tblUrun[Ürün Kodu],0)),0))</f>
        <v/>
      </c>
      <c r="I29" s="122">
        <f>IF($E29="","",$E29*$H29)</f>
        <v/>
      </c>
      <c r="J29" s="116">
        <f>IF($B29="","",CONCATENATE("Ürün: ",$B29," | Hammadde: ",$C29," | Teorik: ",TEXT($I29,"#,##0.000")))</f>
        <v/>
      </c>
    </row>
    <row r="30" ht="15" customHeight="1" s="72">
      <c r="A30" s="117" t="n"/>
      <c r="B30" s="117" t="n"/>
      <c r="C30" s="117" t="n"/>
      <c r="D30" s="117" t="n"/>
      <c r="E30" s="118" t="n"/>
      <c r="F30" s="119" t="n"/>
      <c r="G30" s="115">
        <f>IF($E30="","",$E30*$F30)</f>
        <v/>
      </c>
      <c r="H30" s="122">
        <f>IF($A30="","",IFERROR(INDEX(tblUrun[Satış Adedi (Adet)],MATCH($A30,tblUrun[Ürün Kodu],0)),0))</f>
        <v/>
      </c>
      <c r="I30" s="122">
        <f>IF($E30="","",$E30*$H30)</f>
        <v/>
      </c>
      <c r="J30" s="116">
        <f>IF($B30="","",CONCATENATE("Ürün: ",$B30," | Hammadde: ",$C30," | Teorik: ",TEXT($I30,"#,##0.000")))</f>
        <v/>
      </c>
    </row>
    <row r="31" ht="15" customHeight="1" s="72">
      <c r="A31" s="117" t="n"/>
      <c r="B31" s="117" t="n"/>
      <c r="C31" s="117" t="n"/>
      <c r="D31" s="117" t="n"/>
      <c r="E31" s="118" t="n"/>
      <c r="F31" s="119" t="n"/>
      <c r="G31" s="115">
        <f>IF($E31="","",$E31*$F31)</f>
        <v/>
      </c>
      <c r="H31" s="122">
        <f>IF($A31="","",IFERROR(INDEX(tblUrun[Satış Adedi (Adet)],MATCH($A31,tblUrun[Ürün Kodu],0)),0))</f>
        <v/>
      </c>
      <c r="I31" s="122">
        <f>IF($E31="","",$E31*$H31)</f>
        <v/>
      </c>
      <c r="J31" s="116">
        <f>IF($B31="","",CONCATENATE("Ürün: ",$B31," | Hammadde: ",$C31," | Teorik: ",TEXT($I31,"#,##0.000")))</f>
        <v/>
      </c>
    </row>
    <row r="32" ht="15" customHeight="1" s="72">
      <c r="A32" s="117" t="n"/>
      <c r="B32" s="117" t="n"/>
      <c r="C32" s="117" t="n"/>
      <c r="D32" s="117" t="n"/>
      <c r="E32" s="118" t="n"/>
      <c r="F32" s="119" t="n"/>
      <c r="G32" s="115">
        <f>IF($E32="","",$E32*$F32)</f>
        <v/>
      </c>
      <c r="H32" s="122">
        <f>IF($A32="","",IFERROR(INDEX(tblUrun[Satış Adedi (Adet)],MATCH($A32,tblUrun[Ürün Kodu],0)),0))</f>
        <v/>
      </c>
      <c r="I32" s="122">
        <f>IF($E32="","",$E32*$H32)</f>
        <v/>
      </c>
      <c r="J32" s="116">
        <f>IF($B32="","",CONCATENATE("Ürün: ",$B32," | Hammadde: ",$C32," | Teorik: ",TEXT($I32,"#,##0.000")))</f>
        <v/>
      </c>
    </row>
    <row r="33" ht="15" customHeight="1" s="72">
      <c r="A33" s="117" t="n"/>
      <c r="B33" s="117" t="n"/>
      <c r="C33" s="117" t="n"/>
      <c r="D33" s="117" t="n"/>
      <c r="E33" s="118" t="n"/>
      <c r="F33" s="119" t="n"/>
      <c r="G33" s="115">
        <f>IF($E33="","",$E33*$F33)</f>
        <v/>
      </c>
      <c r="H33" s="122">
        <f>IF($A33="","",IFERROR(INDEX(tblUrun[Satış Adedi (Adet)],MATCH($A33,tblUrun[Ürün Kodu],0)),0))</f>
        <v/>
      </c>
      <c r="I33" s="122">
        <f>IF($E33="","",$E33*$H33)</f>
        <v/>
      </c>
      <c r="J33" s="116">
        <f>IF($B33="","",CONCATENATE("Ürün: ",$B33," | Hammadde: ",$C33," | Teorik: ",TEXT($I33,"#,##0.000")))</f>
        <v/>
      </c>
    </row>
    <row r="34" ht="15" customHeight="1" s="72">
      <c r="A34" s="117" t="n"/>
      <c r="B34" s="117" t="n"/>
      <c r="C34" s="117" t="n"/>
      <c r="D34" s="117" t="n"/>
      <c r="E34" s="118" t="n"/>
      <c r="F34" s="119" t="n"/>
      <c r="G34" s="115">
        <f>IF($E34="","",$E34*$F34)</f>
        <v/>
      </c>
      <c r="H34" s="122">
        <f>IF($A34="","",IFERROR(INDEX(tblUrun[Satış Adedi (Adet)],MATCH($A34,tblUrun[Ürün Kodu],0)),0))</f>
        <v/>
      </c>
      <c r="I34" s="122">
        <f>IF($E34="","",$E34*$H34)</f>
        <v/>
      </c>
      <c r="J34" s="116">
        <f>IF($B34="","",CONCATENATE("Ürün: ",$B34," | Hammadde: ",$C34," | Teorik: ",TEXT($I34,"#,##0.000")))</f>
        <v/>
      </c>
    </row>
    <row r="35" ht="15" customHeight="1" s="72">
      <c r="A35" s="117" t="n"/>
      <c r="B35" s="117" t="n"/>
      <c r="C35" s="117" t="n"/>
      <c r="D35" s="117" t="n"/>
      <c r="E35" s="118" t="n"/>
      <c r="F35" s="119" t="n"/>
      <c r="G35" s="115">
        <f>IF($E35="","",$E35*$F35)</f>
        <v/>
      </c>
      <c r="H35" s="122">
        <f>IF($A35="","",IFERROR(INDEX(tblUrun[Satış Adedi (Adet)],MATCH($A35,tblUrun[Ürün Kodu],0)),0))</f>
        <v/>
      </c>
      <c r="I35" s="122">
        <f>IF($E35="","",$E35*$H35)</f>
        <v/>
      </c>
      <c r="J35" s="116">
        <f>IF($B35="","",CONCATENATE("Ürün: ",$B35," | Hammadde: ",$C35," | Teorik: ",TEXT($I35,"#,##0.000")))</f>
        <v/>
      </c>
    </row>
    <row r="36" ht="15" customHeight="1" s="72">
      <c r="A36" s="117" t="n"/>
      <c r="B36" s="117" t="n"/>
      <c r="C36" s="117" t="n"/>
      <c r="D36" s="117" t="n"/>
      <c r="E36" s="118" t="n"/>
      <c r="F36" s="119" t="n"/>
      <c r="G36" s="115">
        <f>IF($E36="","",$E36*$F36)</f>
        <v/>
      </c>
      <c r="H36" s="122">
        <f>IF($A36="","",IFERROR(INDEX(tblUrun[Satış Adedi (Adet)],MATCH($A36,tblUrun[Ürün Kodu],0)),0))</f>
        <v/>
      </c>
      <c r="I36" s="122">
        <f>IF($E36="","",$E36*$H36)</f>
        <v/>
      </c>
      <c r="J36" s="116">
        <f>IF($B36="","",CONCATENATE("Ürün: ",$B36," | Hammadde: ",$C36," | Teorik: ",TEXT($I36,"#,##0.000")))</f>
        <v/>
      </c>
    </row>
    <row r="37" ht="15" customHeight="1" s="72">
      <c r="A37" s="117" t="n"/>
      <c r="B37" s="117" t="n"/>
      <c r="C37" s="117" t="n"/>
      <c r="D37" s="117" t="n"/>
      <c r="E37" s="118" t="n"/>
      <c r="F37" s="119" t="n"/>
      <c r="G37" s="115">
        <f>IF($E37="","",$E37*$F37)</f>
        <v/>
      </c>
      <c r="H37" s="122">
        <f>IF($A37="","",IFERROR(INDEX(tblUrun[Satış Adedi (Adet)],MATCH($A37,tblUrun[Ürün Kodu],0)),0))</f>
        <v/>
      </c>
      <c r="I37" s="122">
        <f>IF($E37="","",$E37*$H37)</f>
        <v/>
      </c>
      <c r="J37" s="116">
        <f>IF($B37="","",CONCATENATE("Ürün: ",$B37," | Hammadde: ",$C37," | Teorik: ",TEXT($I37,"#,##0.000")))</f>
        <v/>
      </c>
    </row>
    <row r="38" ht="15" customHeight="1" s="72">
      <c r="A38" s="117" t="n"/>
      <c r="B38" s="117" t="n"/>
      <c r="C38" s="117" t="n"/>
      <c r="D38" s="117" t="n"/>
      <c r="E38" s="118" t="n"/>
      <c r="F38" s="119" t="n"/>
      <c r="G38" s="115">
        <f>IF($E38="","",$E38*$F38)</f>
        <v/>
      </c>
      <c r="H38" s="122">
        <f>IF($A38="","",IFERROR(INDEX(tblUrun[Satış Adedi (Adet)],MATCH($A38,tblUrun[Ürün Kodu],0)),0))</f>
        <v/>
      </c>
      <c r="I38" s="122">
        <f>IF($E38="","",$E38*$H38)</f>
        <v/>
      </c>
      <c r="J38" s="116">
        <f>IF($B38="","",CONCATENATE("Ürün: ",$B38," | Hammadde: ",$C38," | Teorik: ",TEXT($I38,"#,##0.000")))</f>
        <v/>
      </c>
    </row>
    <row r="39" ht="15" customHeight="1" s="72">
      <c r="A39" s="117" t="n"/>
      <c r="B39" s="117" t="n"/>
      <c r="C39" s="117" t="n"/>
      <c r="D39" s="117" t="n"/>
      <c r="E39" s="118" t="n"/>
      <c r="F39" s="119" t="n"/>
      <c r="G39" s="115">
        <f>IF($E39="","",$E39*$F39)</f>
        <v/>
      </c>
      <c r="H39" s="122">
        <f>IF($A39="","",IFERROR(INDEX(tblUrun[Satış Adedi (Adet)],MATCH($A39,tblUrun[Ürün Kodu],0)),0))</f>
        <v/>
      </c>
      <c r="I39" s="122">
        <f>IF($E39="","",$E39*$H39)</f>
        <v/>
      </c>
      <c r="J39" s="116">
        <f>IF($B39="","",CONCATENATE("Ürün: ",$B39," | Hammadde: ",$C39," | Teorik: ",TEXT($I39,"#,##0.000")))</f>
        <v/>
      </c>
    </row>
    <row r="40" ht="15" customHeight="1" s="72">
      <c r="A40" s="117" t="n"/>
      <c r="B40" s="117" t="n"/>
      <c r="C40" s="117" t="n"/>
      <c r="D40" s="117" t="n"/>
      <c r="E40" s="118" t="n"/>
      <c r="F40" s="119" t="n"/>
      <c r="G40" s="115">
        <f>IF($E40="","",$E40*$F40)</f>
        <v/>
      </c>
      <c r="H40" s="122">
        <f>IF($A40="","",IFERROR(INDEX(tblUrun[Satış Adedi (Adet)],MATCH($A40,tblUrun[Ürün Kodu],0)),0))</f>
        <v/>
      </c>
      <c r="I40" s="122">
        <f>IF($E40="","",$E40*$H40)</f>
        <v/>
      </c>
      <c r="J40" s="116">
        <f>IF($B40="","",CONCATENATE("Ürün: ",$B40," | Hammadde: ",$C40," | Teorik: ",TEXT($I40,"#,##0.000")))</f>
        <v/>
      </c>
    </row>
    <row r="41" ht="15" customHeight="1" s="72">
      <c r="A41" s="117" t="n"/>
      <c r="B41" s="117" t="n"/>
      <c r="C41" s="117" t="n"/>
      <c r="D41" s="117" t="n"/>
      <c r="E41" s="118" t="n"/>
      <c r="F41" s="119" t="n"/>
      <c r="G41" s="115">
        <f>IF($E41="","",$E41*$F41)</f>
        <v/>
      </c>
      <c r="H41" s="122">
        <f>IF($A41="","",IFERROR(INDEX(tblUrun[Satış Adedi (Adet)],MATCH($A41,tblUrun[Ürün Kodu],0)),0))</f>
        <v/>
      </c>
      <c r="I41" s="122">
        <f>IF($E41="","",$E41*$H41)</f>
        <v/>
      </c>
      <c r="J41" s="116">
        <f>IF($B41="","",CONCATENATE("Ürün: ",$B41," | Hammadde: ",$C41," | Teorik: ",TEXT($I41,"#,##0.000")))</f>
        <v/>
      </c>
    </row>
    <row r="42" ht="15" customHeight="1" s="72">
      <c r="A42" s="117" t="n"/>
      <c r="B42" s="117" t="n"/>
      <c r="C42" s="117" t="n"/>
      <c r="D42" s="117" t="n"/>
      <c r="E42" s="118" t="n"/>
      <c r="F42" s="119" t="n"/>
      <c r="G42" s="115">
        <f>IF($E42="","",$E42*$F42)</f>
        <v/>
      </c>
      <c r="H42" s="122">
        <f>IF($A42="","",IFERROR(INDEX(tblUrun[Satış Adedi (Adet)],MATCH($A42,tblUrun[Ürün Kodu],0)),0))</f>
        <v/>
      </c>
      <c r="I42" s="122">
        <f>IF($E42="","",$E42*$H42)</f>
        <v/>
      </c>
      <c r="J42" s="116">
        <f>IF($B42="","",CONCATENATE("Ürün: ",$B42," | Hammadde: ",$C42," | Teorik: ",TEXT($I42,"#,##0.000")))</f>
        <v/>
      </c>
    </row>
    <row r="43" ht="15" customHeight="1" s="72">
      <c r="A43" s="117" t="n"/>
      <c r="B43" s="117" t="n"/>
      <c r="C43" s="117" t="n"/>
      <c r="D43" s="117" t="n"/>
      <c r="E43" s="118" t="n"/>
      <c r="F43" s="119" t="n"/>
      <c r="G43" s="115">
        <f>IF($E43="","",$E43*$F43)</f>
        <v/>
      </c>
      <c r="H43" s="122">
        <f>IF($A43="","",IFERROR(INDEX(tblUrun[Satış Adedi (Adet)],MATCH($A43,tblUrun[Ürün Kodu],0)),0))</f>
        <v/>
      </c>
      <c r="I43" s="122">
        <f>IF($E43="","",$E43*$H43)</f>
        <v/>
      </c>
      <c r="J43" s="116">
        <f>IF($B43="","",CONCATENATE("Ürün: ",$B43," | Hammadde: ",$C43," | Teorik: ",TEXT($I43,"#,##0.000")))</f>
        <v/>
      </c>
    </row>
    <row r="44" ht="15" customHeight="1" s="72">
      <c r="A44" s="117" t="n"/>
      <c r="B44" s="117" t="n"/>
      <c r="C44" s="117" t="n"/>
      <c r="D44" s="117" t="n"/>
      <c r="E44" s="118" t="n"/>
      <c r="F44" s="119" t="n"/>
      <c r="G44" s="115">
        <f>IF($E44="","",$E44*$F44)</f>
        <v/>
      </c>
      <c r="H44" s="122">
        <f>IF($A44="","",IFERROR(INDEX(tblUrun[Satış Adedi (Adet)],MATCH($A44,tblUrun[Ürün Kodu],0)),0))</f>
        <v/>
      </c>
      <c r="I44" s="122">
        <f>IF($E44="","",$E44*$H44)</f>
        <v/>
      </c>
      <c r="J44" s="116">
        <f>IF($B44="","",CONCATENATE("Ürün: ",$B44," | Hammadde: ",$C44," | Teorik: ",TEXT($I44,"#,##0.000")))</f>
        <v/>
      </c>
    </row>
    <row r="45" ht="15" customHeight="1" s="72">
      <c r="A45" s="117" t="n"/>
      <c r="B45" s="117" t="n"/>
      <c r="C45" s="117" t="n"/>
      <c r="D45" s="117" t="n"/>
      <c r="E45" s="118" t="n"/>
      <c r="F45" s="119" t="n"/>
      <c r="G45" s="115">
        <f>IF($E45="","",$E45*$F45)</f>
        <v/>
      </c>
      <c r="H45" s="122">
        <f>IF($A45="","",IFERROR(INDEX(tblUrun[Satış Adedi (Adet)],MATCH($A45,tblUrun[Ürün Kodu],0)),0))</f>
        <v/>
      </c>
      <c r="I45" s="122">
        <f>IF($E45="","",$E45*$H45)</f>
        <v/>
      </c>
      <c r="J45" s="116">
        <f>IF($B45="","",CONCATENATE("Ürün: ",$B45," | Hammadde: ",$C45," | Teorik: ",TEXT($I45,"#,##0.000")))</f>
        <v/>
      </c>
    </row>
    <row r="46" ht="15" customHeight="1" s="72">
      <c r="A46" s="117" t="n"/>
      <c r="B46" s="117" t="n"/>
      <c r="C46" s="117" t="n"/>
      <c r="D46" s="117" t="n"/>
      <c r="E46" s="118" t="n"/>
      <c r="F46" s="119" t="n"/>
      <c r="G46" s="115">
        <f>IF($E46="","",$E46*$F46)</f>
        <v/>
      </c>
      <c r="H46" s="122">
        <f>IF($A46="","",IFERROR(INDEX(tblUrun[Satış Adedi (Adet)],MATCH($A46,tblUrun[Ürün Kodu],0)),0))</f>
        <v/>
      </c>
      <c r="I46" s="122">
        <f>IF($E46="","",$E46*$H46)</f>
        <v/>
      </c>
      <c r="J46" s="116">
        <f>IF($B46="","",CONCATENATE("Ürün: ",$B46," | Hammadde: ",$C46," | Teorik: ",TEXT($I46,"#,##0.000")))</f>
        <v/>
      </c>
    </row>
    <row r="47" ht="15" customHeight="1" s="72">
      <c r="A47" s="117" t="n"/>
      <c r="B47" s="117" t="n"/>
      <c r="C47" s="117" t="n"/>
      <c r="D47" s="117" t="n"/>
      <c r="E47" s="118" t="n"/>
      <c r="F47" s="119" t="n"/>
      <c r="G47" s="115">
        <f>IF($E47="","",$E47*$F47)</f>
        <v/>
      </c>
      <c r="H47" s="122">
        <f>IF($A47="","",IFERROR(INDEX(tblUrun[Satış Adedi (Adet)],MATCH($A47,tblUrun[Ürün Kodu],0)),0))</f>
        <v/>
      </c>
      <c r="I47" s="122">
        <f>IF($E47="","",$E47*$H47)</f>
        <v/>
      </c>
      <c r="J47" s="116">
        <f>IF($B47="","",CONCATENATE("Ürün: ",$B47," | Hammadde: ",$C47," | Teorik: ",TEXT($I47,"#,##0.000")))</f>
        <v/>
      </c>
    </row>
    <row r="48" ht="15" customHeight="1" s="72">
      <c r="A48" s="117" t="n"/>
      <c r="B48" s="117" t="n"/>
      <c r="C48" s="117" t="n"/>
      <c r="D48" s="117" t="n"/>
      <c r="E48" s="118" t="n"/>
      <c r="F48" s="119" t="n"/>
      <c r="G48" s="115">
        <f>IF($E48="","",$E48*$F48)</f>
        <v/>
      </c>
      <c r="H48" s="122">
        <f>IF($A48="","",IFERROR(INDEX(tblUrun[Satış Adedi (Adet)],MATCH($A48,tblUrun[Ürün Kodu],0)),0))</f>
        <v/>
      </c>
      <c r="I48" s="122">
        <f>IF($E48="","",$E48*$H48)</f>
        <v/>
      </c>
      <c r="J48" s="116">
        <f>IF($B48="","",CONCATENATE("Ürün: ",$B48," | Hammadde: ",$C48," | Teorik: ",TEXT($I48,"#,##0.000")))</f>
        <v/>
      </c>
    </row>
    <row r="49" ht="15" customHeight="1" s="72">
      <c r="A49" s="117" t="n"/>
      <c r="B49" s="117" t="n"/>
      <c r="C49" s="117" t="n"/>
      <c r="D49" s="117" t="n"/>
      <c r="E49" s="118" t="n"/>
      <c r="F49" s="119" t="n"/>
      <c r="G49" s="115">
        <f>IF($E49="","",$E49*$F49)</f>
        <v/>
      </c>
      <c r="H49" s="122">
        <f>IF($A49="","",IFERROR(INDEX(tblUrun[Satış Adedi (Adet)],MATCH($A49,tblUrun[Ürün Kodu],0)),0))</f>
        <v/>
      </c>
      <c r="I49" s="122">
        <f>IF($E49="","",$E49*$H49)</f>
        <v/>
      </c>
      <c r="J49" s="116">
        <f>IF($B49="","",CONCATENATE("Ürün: ",$B49," | Hammadde: ",$C49," | Teorik: ",TEXT($I49,"#,##0.000")))</f>
        <v/>
      </c>
    </row>
    <row r="50" ht="15" customHeight="1" s="72">
      <c r="A50" s="117" t="n"/>
      <c r="B50" s="117" t="n"/>
      <c r="C50" s="117" t="n"/>
      <c r="D50" s="117" t="n"/>
      <c r="E50" s="118" t="n"/>
      <c r="F50" s="119" t="n"/>
      <c r="G50" s="115">
        <f>IF($E50="","",$E50*$F50)</f>
        <v/>
      </c>
      <c r="H50" s="122">
        <f>IF($A50="","",IFERROR(INDEX(tblUrun[Satış Adedi (Adet)],MATCH($A50,tblUrun[Ürün Kodu],0)),0))</f>
        <v/>
      </c>
      <c r="I50" s="122">
        <f>IF($E50="","",$E50*$H50)</f>
        <v/>
      </c>
      <c r="J50" s="116">
        <f>IF($B50="","",CONCATENATE("Ürün: ",$B50," | Hammadde: ",$C50," | Teorik: ",TEXT($I50,"#,##0.000")))</f>
        <v/>
      </c>
    </row>
    <row r="51" ht="15" customHeight="1" s="72">
      <c r="A51" s="117" t="n"/>
      <c r="B51" s="117" t="n"/>
      <c r="C51" s="117" t="n"/>
      <c r="D51" s="117" t="n"/>
      <c r="E51" s="118" t="n"/>
      <c r="F51" s="119" t="n"/>
      <c r="G51" s="115">
        <f>IF($E51="","",$E51*$F51)</f>
        <v/>
      </c>
      <c r="H51" s="122">
        <f>IF($A51="","",IFERROR(INDEX(tblUrun[Satış Adedi (Adet)],MATCH($A51,tblUrun[Ürün Kodu],0)),0))</f>
        <v/>
      </c>
      <c r="I51" s="122">
        <f>IF($E51="","",$E51*$H51)</f>
        <v/>
      </c>
      <c r="J51" s="116">
        <f>IF($B51="","",CONCATENATE("Ürün: ",$B51," | Hammadde: ",$C51," | Teorik: ",TEXT($I51,"#,##0.000")))</f>
        <v/>
      </c>
    </row>
    <row r="52" ht="15" customHeight="1" s="72">
      <c r="A52" s="117" t="n"/>
      <c r="B52" s="117" t="n"/>
      <c r="C52" s="117" t="n"/>
      <c r="D52" s="117" t="n"/>
      <c r="E52" s="118" t="n"/>
      <c r="F52" s="119" t="n"/>
      <c r="G52" s="115">
        <f>IF($E52="","",$E52*$F52)</f>
        <v/>
      </c>
      <c r="H52" s="122">
        <f>IF($A52="","",IFERROR(INDEX(tblUrun[Satış Adedi (Adet)],MATCH($A52,tblUrun[Ürün Kodu],0)),0))</f>
        <v/>
      </c>
      <c r="I52" s="122">
        <f>IF($E52="","",$E52*$H52)</f>
        <v/>
      </c>
      <c r="J52" s="116">
        <f>IF($B52="","",CONCATENATE("Ürün: ",$B52," | Hammadde: ",$C52," | Teorik: ",TEXT($I52,"#,##0.000")))</f>
        <v/>
      </c>
    </row>
    <row r="53" ht="15" customHeight="1" s="72">
      <c r="A53" s="117" t="n"/>
      <c r="B53" s="117" t="n"/>
      <c r="C53" s="117" t="n"/>
      <c r="D53" s="117" t="n"/>
      <c r="E53" s="118" t="n"/>
      <c r="F53" s="119" t="n"/>
      <c r="G53" s="115">
        <f>IF($E53="","",$E53*$F53)</f>
        <v/>
      </c>
      <c r="H53" s="122">
        <f>IF($A53="","",IFERROR(INDEX(tblUrun[Satış Adedi (Adet)],MATCH($A53,tblUrun[Ürün Kodu],0)),0))</f>
        <v/>
      </c>
      <c r="I53" s="122">
        <f>IF($E53="","",$E53*$H53)</f>
        <v/>
      </c>
      <c r="J53" s="116">
        <f>IF($B53="","",CONCATENATE("Ürün: ",$B53," | Hammadde: ",$C53," | Teorik: ",TEXT($I53,"#,##0.000")))</f>
        <v/>
      </c>
    </row>
    <row r="54" ht="15" customHeight="1" s="72">
      <c r="A54" s="117" t="n"/>
      <c r="B54" s="117" t="n"/>
      <c r="C54" s="117" t="n"/>
      <c r="D54" s="117" t="n"/>
      <c r="E54" s="118" t="n"/>
      <c r="F54" s="119" t="n"/>
      <c r="G54" s="115">
        <f>IF($E54="","",$E54*$F54)</f>
        <v/>
      </c>
      <c r="H54" s="122">
        <f>IF($A54="","",IFERROR(INDEX(tblUrun[Satış Adedi (Adet)],MATCH($A54,tblUrun[Ürün Kodu],0)),0))</f>
        <v/>
      </c>
      <c r="I54" s="122">
        <f>IF($E54="","",$E54*$H54)</f>
        <v/>
      </c>
      <c r="J54" s="116">
        <f>IF($B54="","",CONCATENATE("Ürün: ",$B54," | Hammadde: ",$C54," | Teorik: ",TEXT($I54,"#,##0.000")))</f>
        <v/>
      </c>
    </row>
    <row r="55" ht="15" customHeight="1" s="72">
      <c r="A55" s="117" t="n"/>
      <c r="B55" s="117" t="n"/>
      <c r="C55" s="117" t="n"/>
      <c r="D55" s="117" t="n"/>
      <c r="E55" s="118" t="n"/>
      <c r="F55" s="119" t="n"/>
      <c r="G55" s="115">
        <f>IF($E55="","",$E55*$F55)</f>
        <v/>
      </c>
      <c r="H55" s="122">
        <f>IF($A55="","",IFERROR(INDEX(tblUrun[Satış Adedi (Adet)],MATCH($A55,tblUrun[Ürün Kodu],0)),0))</f>
        <v/>
      </c>
      <c r="I55" s="122">
        <f>IF($E55="","",$E55*$H55)</f>
        <v/>
      </c>
      <c r="J55" s="116">
        <f>IF($B55="","",CONCATENATE("Ürün: ",$B55," | Hammadde: ",$C55," | Teorik: ",TEXT($I55,"#,##0.000")))</f>
        <v/>
      </c>
    </row>
    <row r="56" ht="15" customHeight="1" s="72">
      <c r="A56" s="117" t="n"/>
      <c r="B56" s="117" t="n"/>
      <c r="C56" s="117" t="n"/>
      <c r="D56" s="117" t="n"/>
      <c r="E56" s="118" t="n"/>
      <c r="F56" s="119" t="n"/>
      <c r="G56" s="115">
        <f>IF($E56="","",$E56*$F56)</f>
        <v/>
      </c>
      <c r="H56" s="122">
        <f>IF($A56="","",IFERROR(INDEX(tblUrun[Satış Adedi (Adet)],MATCH($A56,tblUrun[Ürün Kodu],0)),0))</f>
        <v/>
      </c>
      <c r="I56" s="122">
        <f>IF($E56="","",$E56*$H56)</f>
        <v/>
      </c>
      <c r="J56" s="116">
        <f>IF($B56="","",CONCATENATE("Ürün: ",$B56," | Hammadde: ",$C56," | Teorik: ",TEXT($I56,"#,##0.000")))</f>
        <v/>
      </c>
    </row>
    <row r="57" ht="15" customHeight="1" s="72">
      <c r="A57" s="117" t="n"/>
      <c r="B57" s="117" t="n"/>
      <c r="C57" s="117" t="n"/>
      <c r="D57" s="117" t="n"/>
      <c r="E57" s="118" t="n"/>
      <c r="F57" s="119" t="n"/>
      <c r="G57" s="115">
        <f>IF($E57="","",$E57*$F57)</f>
        <v/>
      </c>
      <c r="H57" s="122">
        <f>IF($A57="","",IFERROR(INDEX(tblUrun[Satış Adedi (Adet)],MATCH($A57,tblUrun[Ürün Kodu],0)),0))</f>
        <v/>
      </c>
      <c r="I57" s="122">
        <f>IF($E57="","",$E57*$H57)</f>
        <v/>
      </c>
      <c r="J57" s="116">
        <f>IF($B57="","",CONCATENATE("Ürün: ",$B57," | Hammadde: ",$C57," | Teorik: ",TEXT($I57,"#,##0.000")))</f>
        <v/>
      </c>
    </row>
    <row r="58" ht="15" customHeight="1" s="72">
      <c r="A58" s="117" t="n"/>
      <c r="B58" s="117" t="n"/>
      <c r="C58" s="117" t="n"/>
      <c r="D58" s="117" t="n"/>
      <c r="E58" s="118" t="n"/>
      <c r="F58" s="119" t="n"/>
      <c r="G58" s="115">
        <f>IF($E58="","",$E58*$F58)</f>
        <v/>
      </c>
      <c r="H58" s="122">
        <f>IF($A58="","",IFERROR(INDEX(tblUrun[Satış Adedi (Adet)],MATCH($A58,tblUrun[Ürün Kodu],0)),0))</f>
        <v/>
      </c>
      <c r="I58" s="122">
        <f>IF($E58="","",$E58*$H58)</f>
        <v/>
      </c>
      <c r="J58" s="116">
        <f>IF($B58="","",CONCATENATE("Ürün: ",$B58," | Hammadde: ",$C58," | Teorik: ",TEXT($I58,"#,##0.000")))</f>
        <v/>
      </c>
    </row>
    <row r="59" ht="15" customHeight="1" s="72">
      <c r="A59" s="117" t="n"/>
      <c r="B59" s="117" t="n"/>
      <c r="C59" s="117" t="n"/>
      <c r="D59" s="117" t="n"/>
      <c r="E59" s="118" t="n"/>
      <c r="F59" s="119" t="n"/>
      <c r="G59" s="115">
        <f>IF($E59="","",$E59*$F59)</f>
        <v/>
      </c>
      <c r="H59" s="122">
        <f>IF($A59="","",IFERROR(INDEX(tblUrun[Satış Adedi (Adet)],MATCH($A59,tblUrun[Ürün Kodu],0)),0))</f>
        <v/>
      </c>
      <c r="I59" s="122">
        <f>IF($E59="","",$E59*$H59)</f>
        <v/>
      </c>
      <c r="J59" s="116">
        <f>IF($B59="","",CONCATENATE("Ürün: ",$B59," | Hammadde: ",$C59," | Teorik: ",TEXT($I59,"#,##0.000")))</f>
        <v/>
      </c>
    </row>
    <row r="60" ht="15" customHeight="1" s="72">
      <c r="A60" s="117" t="n"/>
      <c r="B60" s="117" t="n"/>
      <c r="C60" s="117" t="n"/>
      <c r="D60" s="117" t="n"/>
      <c r="E60" s="118" t="n"/>
      <c r="F60" s="119" t="n"/>
      <c r="G60" s="115">
        <f>IF($E60="","",$E60*$F60)</f>
        <v/>
      </c>
      <c r="H60" s="122">
        <f>IF($A60="","",IFERROR(INDEX(tblUrun[Satış Adedi (Adet)],MATCH($A60,tblUrun[Ürün Kodu],0)),0))</f>
        <v/>
      </c>
      <c r="I60" s="122">
        <f>IF($E60="","",$E60*$H60)</f>
        <v/>
      </c>
      <c r="J60" s="116">
        <f>IF($B60="","",CONCATENATE("Ürün: ",$B60," | Hammadde: ",$C60," | Teorik: ",TEXT($I60,"#,##0.000")))</f>
        <v/>
      </c>
    </row>
    <row r="61" ht="15" customHeight="1" s="72">
      <c r="A61" s="117" t="n"/>
      <c r="B61" s="117" t="n"/>
      <c r="C61" s="117" t="n"/>
      <c r="D61" s="117" t="n"/>
      <c r="E61" s="118" t="n"/>
      <c r="F61" s="119" t="n"/>
      <c r="G61" s="120" t="n"/>
      <c r="H61" s="123" t="n"/>
      <c r="I61" s="123" t="n"/>
    </row>
    <row r="62" ht="15" customHeight="1" s="72">
      <c r="A62" s="117" t="n"/>
      <c r="B62" s="117" t="n"/>
      <c r="C62" s="117" t="n"/>
      <c r="D62" s="117" t="n"/>
      <c r="E62" s="118" t="n"/>
      <c r="F62" s="119" t="n"/>
      <c r="G62" s="120" t="n"/>
      <c r="H62" s="123" t="n"/>
      <c r="I62" s="123" t="n"/>
    </row>
    <row r="63" ht="15" customHeight="1" s="72">
      <c r="A63" s="117" t="n"/>
      <c r="B63" s="117" t="n"/>
      <c r="C63" s="117" t="n"/>
      <c r="D63" s="117" t="n"/>
      <c r="E63" s="118" t="n"/>
      <c r="F63" s="119" t="n"/>
      <c r="G63" s="120" t="n"/>
      <c r="H63" s="123" t="n"/>
      <c r="I63" s="123" t="n"/>
    </row>
    <row r="64" ht="15" customHeight="1" s="72">
      <c r="A64" s="117" t="n"/>
      <c r="B64" s="117" t="n"/>
      <c r="C64" s="117" t="n"/>
      <c r="D64" s="117" t="n"/>
      <c r="E64" s="118" t="n"/>
      <c r="F64" s="119" t="n"/>
      <c r="G64" s="120" t="n"/>
      <c r="H64" s="123" t="n"/>
      <c r="I64" s="123" t="n"/>
    </row>
    <row r="65" ht="15" customHeight="1" s="72">
      <c r="A65" s="117" t="n"/>
      <c r="B65" s="117" t="n"/>
      <c r="C65" s="117" t="n"/>
      <c r="D65" s="117" t="n"/>
      <c r="E65" s="118" t="n"/>
      <c r="F65" s="119" t="n"/>
      <c r="G65" s="120" t="n"/>
      <c r="H65" s="123" t="n"/>
      <c r="I65" s="123" t="n"/>
    </row>
    <row r="66" ht="15" customHeight="1" s="72">
      <c r="A66" s="117" t="n"/>
      <c r="B66" s="117" t="n"/>
      <c r="C66" s="117" t="n"/>
      <c r="D66" s="117" t="n"/>
      <c r="E66" s="118" t="n"/>
      <c r="F66" s="119" t="n"/>
      <c r="G66" s="120" t="n"/>
      <c r="H66" s="123" t="n"/>
      <c r="I66" s="123" t="n"/>
    </row>
    <row r="67" ht="15" customHeight="1" s="72">
      <c r="A67" s="117" t="n"/>
      <c r="B67" s="117" t="n"/>
      <c r="C67" s="117" t="n"/>
      <c r="D67" s="117" t="n"/>
      <c r="E67" s="118" t="n"/>
      <c r="F67" s="119" t="n"/>
      <c r="G67" s="120" t="n"/>
      <c r="H67" s="123" t="n"/>
      <c r="I67" s="123" t="n"/>
    </row>
    <row r="68" ht="15" customHeight="1" s="72">
      <c r="A68" s="117" t="n"/>
      <c r="B68" s="117" t="n"/>
      <c r="C68" s="117" t="n"/>
      <c r="D68" s="117" t="n"/>
      <c r="E68" s="118" t="n"/>
      <c r="F68" s="119" t="n"/>
      <c r="G68" s="120" t="n"/>
      <c r="H68" s="123" t="n"/>
      <c r="I68" s="123" t="n"/>
    </row>
    <row r="69" ht="15" customHeight="1" s="72">
      <c r="A69" s="117" t="n"/>
      <c r="B69" s="117" t="n"/>
      <c r="C69" s="117" t="n"/>
      <c r="D69" s="117" t="n"/>
      <c r="E69" s="118" t="n"/>
      <c r="F69" s="119" t="n"/>
      <c r="G69" s="120" t="n"/>
      <c r="H69" s="123" t="n"/>
      <c r="I69" s="123" t="n"/>
    </row>
    <row r="70" ht="15" customHeight="1" s="72">
      <c r="A70" s="117" t="n"/>
      <c r="B70" s="117" t="n"/>
      <c r="C70" s="117" t="n"/>
      <c r="D70" s="117" t="n"/>
      <c r="E70" s="118" t="n"/>
      <c r="F70" s="119" t="n"/>
      <c r="G70" s="120" t="n"/>
      <c r="H70" s="123" t="n"/>
      <c r="I70" s="123" t="n"/>
    </row>
    <row r="71" ht="15" customHeight="1" s="72">
      <c r="A71" s="117" t="n"/>
      <c r="B71" s="117" t="n"/>
      <c r="C71" s="117" t="n"/>
      <c r="D71" s="117" t="n"/>
      <c r="E71" s="118" t="n"/>
      <c r="F71" s="119" t="n"/>
      <c r="G71" s="120" t="n"/>
      <c r="H71" s="123" t="n"/>
      <c r="I71" s="123" t="n"/>
    </row>
    <row r="72" ht="15" customHeight="1" s="72">
      <c r="A72" s="117" t="n"/>
      <c r="B72" s="117" t="n"/>
      <c r="C72" s="117" t="n"/>
      <c r="D72" s="117" t="n"/>
      <c r="E72" s="118" t="n"/>
      <c r="F72" s="119" t="n"/>
      <c r="G72" s="120" t="n"/>
      <c r="H72" s="123" t="n"/>
      <c r="I72" s="123" t="n"/>
    </row>
    <row r="73" ht="15" customHeight="1" s="72">
      <c r="A73" s="117" t="n"/>
      <c r="B73" s="117" t="n"/>
      <c r="C73" s="117" t="n"/>
      <c r="D73" s="117" t="n"/>
      <c r="E73" s="118" t="n"/>
      <c r="F73" s="119" t="n"/>
      <c r="G73" s="120" t="n"/>
      <c r="H73" s="123" t="n"/>
      <c r="I73" s="123" t="n"/>
    </row>
    <row r="74" ht="15" customHeight="1" s="72">
      <c r="A74" s="117" t="n"/>
      <c r="B74" s="117" t="n"/>
      <c r="C74" s="117" t="n"/>
      <c r="D74" s="117" t="n"/>
      <c r="E74" s="118" t="n"/>
      <c r="F74" s="119" t="n"/>
      <c r="G74" s="120" t="n"/>
      <c r="H74" s="123" t="n"/>
      <c r="I74" s="123" t="n"/>
    </row>
    <row r="75" ht="15" customHeight="1" s="72">
      <c r="A75" s="117" t="n"/>
      <c r="B75" s="117" t="n"/>
      <c r="C75" s="117" t="n"/>
      <c r="D75" s="117" t="n"/>
      <c r="E75" s="118" t="n"/>
      <c r="F75" s="119" t="n"/>
      <c r="G75" s="120" t="n"/>
      <c r="H75" s="123" t="n"/>
      <c r="I75" s="123" t="n"/>
    </row>
    <row r="76" ht="15" customHeight="1" s="72">
      <c r="A76" s="117" t="n"/>
      <c r="B76" s="117" t="n"/>
      <c r="C76" s="117" t="n"/>
      <c r="D76" s="117" t="n"/>
      <c r="E76" s="118" t="n"/>
      <c r="F76" s="119" t="n"/>
      <c r="G76" s="120" t="n"/>
      <c r="H76" s="123" t="n"/>
      <c r="I76" s="123" t="n"/>
    </row>
    <row r="77" ht="15" customHeight="1" s="72">
      <c r="A77" s="117" t="n"/>
      <c r="B77" s="117" t="n"/>
      <c r="C77" s="117" t="n"/>
      <c r="D77" s="117" t="n"/>
      <c r="E77" s="118" t="n"/>
      <c r="F77" s="119" t="n"/>
      <c r="G77" s="120" t="n"/>
      <c r="H77" s="123" t="n"/>
      <c r="I77" s="123" t="n"/>
    </row>
    <row r="78" ht="15" customHeight="1" s="72">
      <c r="A78" s="117" t="n"/>
      <c r="B78" s="117" t="n"/>
      <c r="C78" s="117" t="n"/>
      <c r="D78" s="117" t="n"/>
      <c r="E78" s="118" t="n"/>
      <c r="F78" s="119" t="n"/>
      <c r="G78" s="120" t="n"/>
      <c r="H78" s="123" t="n"/>
      <c r="I78" s="123" t="n"/>
    </row>
    <row r="79" ht="15" customHeight="1" s="72">
      <c r="A79" s="117" t="n"/>
      <c r="B79" s="117" t="n"/>
      <c r="C79" s="117" t="n"/>
      <c r="D79" s="117" t="n"/>
      <c r="E79" s="118" t="n"/>
      <c r="F79" s="119" t="n"/>
      <c r="G79" s="120" t="n"/>
      <c r="H79" s="123" t="n"/>
      <c r="I79" s="123" t="n"/>
    </row>
    <row r="80" ht="15" customHeight="1" s="72">
      <c r="A80" s="117" t="n"/>
      <c r="B80" s="117" t="n"/>
      <c r="C80" s="117" t="n"/>
      <c r="D80" s="117" t="n"/>
      <c r="E80" s="118" t="n"/>
      <c r="F80" s="119" t="n"/>
      <c r="G80" s="120" t="n"/>
      <c r="H80" s="123" t="n"/>
      <c r="I80" s="123" t="n"/>
    </row>
    <row r="81" ht="15" customHeight="1" s="72">
      <c r="A81" s="117" t="n"/>
      <c r="B81" s="117" t="n"/>
      <c r="C81" s="117" t="n"/>
      <c r="D81" s="117" t="n"/>
      <c r="E81" s="118" t="n"/>
      <c r="F81" s="119" t="n"/>
      <c r="G81" s="120" t="n"/>
      <c r="H81" s="123" t="n"/>
      <c r="I81" s="123" t="n"/>
    </row>
    <row r="82" ht="15" customHeight="1" s="72">
      <c r="A82" s="117" t="n"/>
      <c r="B82" s="117" t="n"/>
      <c r="C82" s="117" t="n"/>
      <c r="D82" s="117" t="n"/>
      <c r="E82" s="118" t="n"/>
      <c r="F82" s="119" t="n"/>
      <c r="G82" s="120" t="n"/>
      <c r="H82" s="123" t="n"/>
      <c r="I82" s="123" t="n"/>
    </row>
    <row r="83" ht="15" customHeight="1" s="72">
      <c r="A83" s="117" t="n"/>
      <c r="B83" s="117" t="n"/>
      <c r="C83" s="117" t="n"/>
      <c r="D83" s="117" t="n"/>
      <c r="E83" s="118" t="n"/>
      <c r="F83" s="119" t="n"/>
      <c r="G83" s="120" t="n"/>
      <c r="H83" s="123" t="n"/>
      <c r="I83" s="123" t="n"/>
    </row>
    <row r="84" ht="15" customHeight="1" s="72">
      <c r="A84" s="117" t="n"/>
      <c r="B84" s="117" t="n"/>
      <c r="C84" s="117" t="n"/>
      <c r="D84" s="117" t="n"/>
      <c r="E84" s="118" t="n"/>
      <c r="F84" s="119" t="n"/>
      <c r="G84" s="120" t="n"/>
      <c r="H84" s="123" t="n"/>
      <c r="I84" s="123" t="n"/>
    </row>
    <row r="85" ht="15" customHeight="1" s="72">
      <c r="A85" s="117" t="n"/>
      <c r="B85" s="117" t="n"/>
      <c r="C85" s="117" t="n"/>
      <c r="D85" s="117" t="n"/>
      <c r="E85" s="118" t="n"/>
      <c r="F85" s="119" t="n"/>
      <c r="G85" s="120" t="n"/>
      <c r="H85" s="123" t="n"/>
      <c r="I85" s="123" t="n"/>
    </row>
    <row r="86" ht="15" customHeight="1" s="72">
      <c r="A86" s="117" t="n"/>
      <c r="B86" s="117" t="n"/>
      <c r="C86" s="117" t="n"/>
      <c r="D86" s="117" t="n"/>
      <c r="E86" s="118" t="n"/>
      <c r="F86" s="119" t="n"/>
      <c r="G86" s="120" t="n"/>
      <c r="H86" s="123" t="n"/>
      <c r="I86" s="123" t="n"/>
    </row>
    <row r="87" ht="15" customHeight="1" s="72">
      <c r="A87" s="117" t="n"/>
      <c r="B87" s="117" t="n"/>
      <c r="C87" s="117" t="n"/>
      <c r="D87" s="117" t="n"/>
      <c r="E87" s="118" t="n"/>
      <c r="F87" s="119" t="n"/>
      <c r="G87" s="120" t="n"/>
      <c r="H87" s="123" t="n"/>
      <c r="I87" s="123" t="n"/>
    </row>
    <row r="88" ht="15" customHeight="1" s="72">
      <c r="A88" s="117" t="n"/>
      <c r="B88" s="117" t="n"/>
      <c r="C88" s="117" t="n"/>
      <c r="D88" s="117" t="n"/>
      <c r="E88" s="118" t="n"/>
      <c r="F88" s="119" t="n"/>
      <c r="G88" s="120" t="n"/>
      <c r="H88" s="123" t="n"/>
      <c r="I88" s="123" t="n"/>
    </row>
    <row r="89" ht="15" customHeight="1" s="72">
      <c r="A89" s="117" t="n"/>
      <c r="B89" s="117" t="n"/>
      <c r="C89" s="117" t="n"/>
      <c r="D89" s="117" t="n"/>
      <c r="E89" s="118" t="n"/>
      <c r="F89" s="119" t="n"/>
      <c r="G89" s="120" t="n"/>
      <c r="H89" s="123" t="n"/>
      <c r="I89" s="123" t="n"/>
    </row>
    <row r="90" ht="15" customHeight="1" s="72">
      <c r="A90" s="117" t="n"/>
      <c r="B90" s="117" t="n"/>
      <c r="C90" s="117" t="n"/>
      <c r="D90" s="117" t="n"/>
      <c r="E90" s="118" t="n"/>
      <c r="F90" s="119" t="n"/>
      <c r="G90" s="120" t="n"/>
      <c r="H90" s="123" t="n"/>
      <c r="I90" s="123" t="n"/>
    </row>
    <row r="91" ht="15" customHeight="1" s="72">
      <c r="A91" s="117" t="n"/>
      <c r="B91" s="117" t="n"/>
      <c r="C91" s="117" t="n"/>
      <c r="D91" s="117" t="n"/>
      <c r="E91" s="118" t="n"/>
      <c r="F91" s="119" t="n"/>
      <c r="G91" s="120" t="n"/>
      <c r="H91" s="123" t="n"/>
      <c r="I91" s="123" t="n"/>
    </row>
    <row r="92" ht="15" customHeight="1" s="72">
      <c r="A92" s="117" t="n"/>
      <c r="B92" s="117" t="n"/>
      <c r="C92" s="117" t="n"/>
      <c r="D92" s="117" t="n"/>
      <c r="E92" s="118" t="n"/>
      <c r="F92" s="119" t="n"/>
      <c r="G92" s="120" t="n"/>
      <c r="H92" s="123" t="n"/>
      <c r="I92" s="123" t="n"/>
    </row>
    <row r="93" ht="15" customHeight="1" s="72">
      <c r="A93" s="117" t="n"/>
      <c r="B93" s="117" t="n"/>
      <c r="C93" s="117" t="n"/>
      <c r="D93" s="117" t="n"/>
      <c r="E93" s="118" t="n"/>
      <c r="F93" s="119" t="n"/>
      <c r="G93" s="120" t="n"/>
      <c r="H93" s="123" t="n"/>
      <c r="I93" s="123" t="n"/>
    </row>
    <row r="94" ht="15" customHeight="1" s="72">
      <c r="A94" s="117" t="n"/>
      <c r="B94" s="117" t="n"/>
      <c r="C94" s="117" t="n"/>
      <c r="D94" s="117" t="n"/>
      <c r="E94" s="118" t="n"/>
      <c r="F94" s="119" t="n"/>
      <c r="G94" s="120" t="n"/>
      <c r="H94" s="123" t="n"/>
      <c r="I94" s="123" t="n"/>
    </row>
    <row r="95" ht="15" customHeight="1" s="72">
      <c r="A95" s="117" t="n"/>
      <c r="B95" s="117" t="n"/>
      <c r="C95" s="117" t="n"/>
      <c r="D95" s="117" t="n"/>
      <c r="E95" s="118" t="n"/>
      <c r="F95" s="119" t="n"/>
      <c r="G95" s="120" t="n"/>
      <c r="H95" s="123" t="n"/>
      <c r="I95" s="123" t="n"/>
    </row>
    <row r="96" ht="15" customHeight="1" s="72">
      <c r="A96" s="117" t="n"/>
      <c r="B96" s="117" t="n"/>
      <c r="C96" s="117" t="n"/>
      <c r="D96" s="117" t="n"/>
      <c r="E96" s="118" t="n"/>
      <c r="F96" s="119" t="n"/>
      <c r="G96" s="120" t="n"/>
      <c r="H96" s="123" t="n"/>
      <c r="I96" s="123" t="n"/>
    </row>
    <row r="97" ht="15" customHeight="1" s="72">
      <c r="A97" s="117" t="n"/>
      <c r="B97" s="117" t="n"/>
      <c r="C97" s="117" t="n"/>
      <c r="D97" s="117" t="n"/>
      <c r="E97" s="118" t="n"/>
      <c r="F97" s="119" t="n"/>
      <c r="G97" s="120" t="n"/>
      <c r="H97" s="123" t="n"/>
      <c r="I97" s="123" t="n"/>
    </row>
    <row r="98" ht="15" customHeight="1" s="72">
      <c r="A98" s="117" t="n"/>
      <c r="B98" s="117" t="n"/>
      <c r="C98" s="117" t="n"/>
      <c r="D98" s="117" t="n"/>
      <c r="E98" s="118" t="n"/>
      <c r="F98" s="119" t="n"/>
      <c r="G98" s="120" t="n"/>
      <c r="H98" s="123" t="n"/>
      <c r="I98" s="123" t="n"/>
    </row>
    <row r="99" ht="15" customHeight="1" s="72">
      <c r="A99" s="117" t="n"/>
      <c r="B99" s="117" t="n"/>
      <c r="C99" s="117" t="n"/>
      <c r="D99" s="117" t="n"/>
      <c r="E99" s="118" t="n"/>
      <c r="F99" s="119" t="n"/>
      <c r="G99" s="120" t="n"/>
      <c r="H99" s="123" t="n"/>
      <c r="I99" s="123" t="n"/>
    </row>
    <row r="100" ht="15" customHeight="1" s="72">
      <c r="A100" s="117" t="n"/>
      <c r="B100" s="117" t="n"/>
      <c r="C100" s="117" t="n"/>
      <c r="D100" s="117" t="n"/>
      <c r="E100" s="118" t="n"/>
      <c r="F100" s="119" t="n"/>
      <c r="G100" s="120" t="n"/>
      <c r="H100" s="123" t="n"/>
      <c r="I100" s="123" t="n"/>
    </row>
    <row r="101" ht="15" customHeight="1" s="72">
      <c r="A101" s="117" t="n"/>
      <c r="B101" s="117" t="n"/>
      <c r="C101" s="117" t="n"/>
      <c r="D101" s="117" t="n"/>
      <c r="E101" s="118" t="n"/>
      <c r="F101" s="119" t="n"/>
      <c r="G101" s="120" t="n"/>
      <c r="H101" s="123" t="n"/>
      <c r="I101" s="123" t="n"/>
    </row>
    <row r="102" ht="15" customHeight="1" s="72">
      <c r="A102" s="117" t="n"/>
      <c r="B102" s="117" t="n"/>
      <c r="C102" s="117" t="n"/>
      <c r="D102" s="117" t="n"/>
      <c r="E102" s="118" t="n"/>
      <c r="F102" s="119" t="n"/>
      <c r="G102" s="120" t="n"/>
      <c r="H102" s="123" t="n"/>
      <c r="I102" s="123" t="n"/>
    </row>
    <row r="103" ht="15" customHeight="1" s="72">
      <c r="A103" s="117" t="n"/>
      <c r="B103" s="117" t="n"/>
      <c r="C103" s="117" t="n"/>
      <c r="D103" s="117" t="n"/>
      <c r="E103" s="118" t="n"/>
      <c r="F103" s="119" t="n"/>
      <c r="G103" s="120" t="n"/>
      <c r="H103" s="123" t="n"/>
      <c r="I103" s="123" t="n"/>
    </row>
    <row r="104" ht="15" customHeight="1" s="72">
      <c r="A104" s="117" t="n"/>
      <c r="B104" s="117" t="n"/>
      <c r="C104" s="117" t="n"/>
      <c r="D104" s="117" t="n"/>
      <c r="E104" s="118" t="n"/>
      <c r="F104" s="119" t="n"/>
      <c r="G104" s="120" t="n"/>
      <c r="H104" s="123" t="n"/>
      <c r="I104" s="123" t="n"/>
    </row>
    <row r="105" ht="15" customHeight="1" s="72">
      <c r="A105" s="117" t="n"/>
      <c r="B105" s="117" t="n"/>
      <c r="C105" s="117" t="n"/>
      <c r="D105" s="117" t="n"/>
      <c r="E105" s="118" t="n"/>
      <c r="F105" s="119" t="n"/>
      <c r="G105" s="120" t="n"/>
      <c r="H105" s="123" t="n"/>
      <c r="I105" s="123" t="n"/>
    </row>
    <row r="106" ht="15" customHeight="1" s="72">
      <c r="A106" s="117" t="n"/>
      <c r="B106" s="117" t="n"/>
      <c r="C106" s="117" t="n"/>
      <c r="D106" s="117" t="n"/>
      <c r="E106" s="118" t="n"/>
      <c r="F106" s="119" t="n"/>
      <c r="G106" s="120" t="n"/>
      <c r="H106" s="123" t="n"/>
      <c r="I106" s="123" t="n"/>
    </row>
    <row r="107" ht="15" customHeight="1" s="72">
      <c r="A107" s="117" t="n"/>
      <c r="B107" s="117" t="n"/>
      <c r="C107" s="117" t="n"/>
      <c r="D107" s="117" t="n"/>
      <c r="E107" s="118" t="n"/>
      <c r="F107" s="119" t="n"/>
      <c r="G107" s="120" t="n"/>
      <c r="H107" s="123" t="n"/>
      <c r="I107" s="123" t="n"/>
    </row>
    <row r="108" ht="15" customHeight="1" s="72">
      <c r="A108" s="117" t="n"/>
      <c r="B108" s="117" t="n"/>
      <c r="C108" s="117" t="n"/>
      <c r="D108" s="117" t="n"/>
      <c r="E108" s="118" t="n"/>
      <c r="F108" s="119" t="n"/>
      <c r="G108" s="120" t="n"/>
      <c r="H108" s="123" t="n"/>
      <c r="I108" s="123" t="n"/>
    </row>
    <row r="109" ht="15" customHeight="1" s="72">
      <c r="A109" s="117" t="n"/>
      <c r="B109" s="117" t="n"/>
      <c r="C109" s="117" t="n"/>
      <c r="D109" s="117" t="n"/>
      <c r="E109" s="118" t="n"/>
      <c r="F109" s="119" t="n"/>
      <c r="G109" s="120" t="n"/>
      <c r="H109" s="123" t="n"/>
      <c r="I109" s="123" t="n"/>
    </row>
    <row r="110" ht="15" customHeight="1" s="72">
      <c r="A110" s="117" t="n"/>
      <c r="B110" s="117" t="n"/>
      <c r="C110" s="117" t="n"/>
      <c r="D110" s="117" t="n"/>
      <c r="E110" s="118" t="n"/>
      <c r="F110" s="119" t="n"/>
      <c r="G110" s="120" t="n"/>
      <c r="H110" s="123" t="n"/>
      <c r="I110" s="123" t="n"/>
    </row>
    <row r="111" ht="15" customHeight="1" s="72">
      <c r="A111" s="117" t="n"/>
      <c r="B111" s="117" t="n"/>
      <c r="C111" s="117" t="n"/>
      <c r="D111" s="117" t="n"/>
      <c r="E111" s="118" t="n"/>
      <c r="F111" s="119" t="n"/>
      <c r="G111" s="120" t="n"/>
      <c r="H111" s="123" t="n"/>
      <c r="I111" s="123" t="n"/>
    </row>
    <row r="112" ht="15" customHeight="1" s="72">
      <c r="A112" s="117" t="n"/>
      <c r="B112" s="117" t="n"/>
      <c r="C112" s="117" t="n"/>
      <c r="D112" s="117" t="n"/>
      <c r="E112" s="118" t="n"/>
      <c r="F112" s="119" t="n"/>
      <c r="G112" s="120" t="n"/>
      <c r="H112" s="123" t="n"/>
      <c r="I112" s="123" t="n"/>
    </row>
    <row r="113" ht="15" customHeight="1" s="72">
      <c r="A113" s="117" t="n"/>
      <c r="B113" s="117" t="n"/>
      <c r="C113" s="117" t="n"/>
      <c r="D113" s="117" t="n"/>
      <c r="E113" s="118" t="n"/>
      <c r="F113" s="119" t="n"/>
      <c r="G113" s="120" t="n"/>
      <c r="H113" s="123" t="n"/>
      <c r="I113" s="123" t="n"/>
    </row>
    <row r="114" ht="15" customHeight="1" s="72">
      <c r="A114" s="117" t="n"/>
      <c r="B114" s="117" t="n"/>
      <c r="C114" s="117" t="n"/>
      <c r="D114" s="117" t="n"/>
      <c r="E114" s="118" t="n"/>
      <c r="F114" s="119" t="n"/>
      <c r="G114" s="120" t="n"/>
      <c r="H114" s="123" t="n"/>
      <c r="I114" s="123" t="n"/>
    </row>
    <row r="115" ht="15" customHeight="1" s="72">
      <c r="A115" s="117" t="n"/>
      <c r="B115" s="117" t="n"/>
      <c r="C115" s="117" t="n"/>
      <c r="D115" s="117" t="n"/>
      <c r="E115" s="118" t="n"/>
      <c r="F115" s="119" t="n"/>
      <c r="G115" s="120" t="n"/>
      <c r="H115" s="123" t="n"/>
      <c r="I115" s="123" t="n"/>
    </row>
    <row r="116" ht="15" customHeight="1" s="72">
      <c r="A116" s="117" t="n"/>
      <c r="B116" s="117" t="n"/>
      <c r="C116" s="117" t="n"/>
      <c r="D116" s="117" t="n"/>
      <c r="E116" s="118" t="n"/>
      <c r="F116" s="119" t="n"/>
      <c r="G116" s="120" t="n"/>
      <c r="H116" s="123" t="n"/>
      <c r="I116" s="123" t="n"/>
    </row>
    <row r="117" ht="15" customHeight="1" s="72">
      <c r="A117" s="117" t="n"/>
      <c r="B117" s="117" t="n"/>
      <c r="C117" s="117" t="n"/>
      <c r="D117" s="117" t="n"/>
      <c r="E117" s="118" t="n"/>
      <c r="F117" s="119" t="n"/>
      <c r="G117" s="120" t="n"/>
      <c r="H117" s="123" t="n"/>
      <c r="I117" s="123" t="n"/>
    </row>
    <row r="118" ht="15" customHeight="1" s="72">
      <c r="A118" s="117" t="n"/>
      <c r="B118" s="117" t="n"/>
      <c r="C118" s="117" t="n"/>
      <c r="D118" s="117" t="n"/>
      <c r="E118" s="118" t="n"/>
      <c r="F118" s="119" t="n"/>
      <c r="G118" s="120" t="n"/>
      <c r="H118" s="123" t="n"/>
      <c r="I118" s="123" t="n"/>
    </row>
    <row r="119" ht="15" customHeight="1" s="72">
      <c r="A119" s="117" t="n"/>
      <c r="B119" s="117" t="n"/>
      <c r="C119" s="117" t="n"/>
      <c r="D119" s="117" t="n"/>
      <c r="E119" s="118" t="n"/>
      <c r="F119" s="119" t="n"/>
      <c r="G119" s="120" t="n"/>
      <c r="H119" s="123" t="n"/>
      <c r="I119" s="123" t="n"/>
    </row>
    <row r="120" ht="15" customHeight="1" s="72">
      <c r="A120" s="117" t="n"/>
      <c r="B120" s="117" t="n"/>
      <c r="C120" s="117" t="n"/>
      <c r="D120" s="117" t="n"/>
      <c r="E120" s="118" t="n"/>
      <c r="F120" s="119" t="n"/>
      <c r="G120" s="120" t="n"/>
      <c r="H120" s="123" t="n"/>
      <c r="I120" s="123" t="n"/>
    </row>
    <row r="121" ht="15" customHeight="1" s="72">
      <c r="A121" s="117" t="n"/>
      <c r="B121" s="117" t="n"/>
      <c r="C121" s="117" t="n"/>
      <c r="D121" s="117" t="n"/>
      <c r="E121" s="118" t="n"/>
      <c r="F121" s="119" t="n"/>
      <c r="G121" s="120" t="n"/>
      <c r="H121" s="123" t="n"/>
      <c r="I121" s="123" t="n"/>
    </row>
    <row r="122" ht="15" customHeight="1" s="72">
      <c r="A122" s="117" t="n"/>
      <c r="B122" s="117" t="n"/>
      <c r="C122" s="117" t="n"/>
      <c r="D122" s="117" t="n"/>
      <c r="E122" s="118" t="n"/>
      <c r="F122" s="119" t="n"/>
      <c r="G122" s="120" t="n"/>
      <c r="H122" s="123" t="n"/>
      <c r="I122" s="123" t="n"/>
    </row>
    <row r="123" ht="15" customHeight="1" s="72">
      <c r="A123" s="117" t="n"/>
      <c r="B123" s="117" t="n"/>
      <c r="C123" s="117" t="n"/>
      <c r="D123" s="117" t="n"/>
      <c r="E123" s="118" t="n"/>
      <c r="F123" s="119" t="n"/>
      <c r="G123" s="120" t="n"/>
      <c r="H123" s="123" t="n"/>
      <c r="I123" s="123" t="n"/>
    </row>
    <row r="124" ht="15" customHeight="1" s="72">
      <c r="A124" s="117" t="n"/>
      <c r="B124" s="117" t="n"/>
      <c r="C124" s="117" t="n"/>
      <c r="D124" s="117" t="n"/>
      <c r="E124" s="118" t="n"/>
      <c r="F124" s="119" t="n"/>
      <c r="G124" s="120" t="n"/>
      <c r="H124" s="123" t="n"/>
      <c r="I124" s="123" t="n"/>
    </row>
    <row r="125" ht="15" customHeight="1" s="72">
      <c r="A125" s="117" t="n"/>
      <c r="B125" s="117" t="n"/>
      <c r="C125" s="117" t="n"/>
      <c r="D125" s="117" t="n"/>
      <c r="E125" s="118" t="n"/>
      <c r="F125" s="119" t="n"/>
      <c r="G125" s="120" t="n"/>
      <c r="H125" s="123" t="n"/>
      <c r="I125" s="123" t="n"/>
    </row>
    <row r="126" ht="15" customHeight="1" s="72">
      <c r="A126" s="117" t="n"/>
      <c r="B126" s="117" t="n"/>
      <c r="C126" s="117" t="n"/>
      <c r="D126" s="117" t="n"/>
      <c r="E126" s="118" t="n"/>
      <c r="F126" s="119" t="n"/>
      <c r="G126" s="120" t="n"/>
      <c r="H126" s="123" t="n"/>
      <c r="I126" s="123" t="n"/>
    </row>
    <row r="127" ht="15" customHeight="1" s="72">
      <c r="A127" s="117" t="n"/>
      <c r="B127" s="117" t="n"/>
      <c r="C127" s="117" t="n"/>
      <c r="D127" s="117" t="n"/>
      <c r="E127" s="118" t="n"/>
      <c r="F127" s="119" t="n"/>
      <c r="G127" s="120" t="n"/>
      <c r="H127" s="123" t="n"/>
      <c r="I127" s="123" t="n"/>
    </row>
    <row r="128" ht="15" customHeight="1" s="72">
      <c r="A128" s="117" t="n"/>
      <c r="B128" s="117" t="n"/>
      <c r="C128" s="117" t="n"/>
      <c r="D128" s="117" t="n"/>
      <c r="E128" s="118" t="n"/>
      <c r="F128" s="119" t="n"/>
      <c r="G128" s="120" t="n"/>
      <c r="H128" s="123" t="n"/>
      <c r="I128" s="123" t="n"/>
    </row>
    <row r="129" ht="15" customHeight="1" s="72">
      <c r="A129" s="117" t="n"/>
      <c r="B129" s="117" t="n"/>
      <c r="C129" s="117" t="n"/>
      <c r="D129" s="117" t="n"/>
      <c r="E129" s="118" t="n"/>
      <c r="F129" s="119" t="n"/>
      <c r="G129" s="120" t="n"/>
      <c r="H129" s="123" t="n"/>
      <c r="I129" s="123" t="n"/>
    </row>
    <row r="130" ht="15" customHeight="1" s="72">
      <c r="A130" s="117" t="n"/>
      <c r="B130" s="117" t="n"/>
      <c r="C130" s="117" t="n"/>
      <c r="D130" s="117" t="n"/>
      <c r="E130" s="118" t="n"/>
      <c r="F130" s="119" t="n"/>
      <c r="G130" s="120" t="n"/>
      <c r="H130" s="123" t="n"/>
      <c r="I130" s="123" t="n"/>
    </row>
    <row r="131" ht="15" customHeight="1" s="72">
      <c r="A131" s="117" t="n"/>
      <c r="B131" s="117" t="n"/>
      <c r="C131" s="117" t="n"/>
      <c r="D131" s="117" t="n"/>
      <c r="E131" s="118" t="n"/>
      <c r="F131" s="119" t="n"/>
      <c r="G131" s="120" t="n"/>
      <c r="H131" s="123" t="n"/>
      <c r="I131" s="123" t="n"/>
    </row>
    <row r="132" ht="15" customHeight="1" s="72">
      <c r="A132" s="117" t="n"/>
      <c r="B132" s="117" t="n"/>
      <c r="C132" s="117" t="n"/>
      <c r="D132" s="117" t="n"/>
      <c r="E132" s="118" t="n"/>
      <c r="F132" s="119" t="n"/>
      <c r="G132" s="120" t="n"/>
      <c r="H132" s="123" t="n"/>
      <c r="I132" s="123" t="n"/>
    </row>
    <row r="133" ht="15" customHeight="1" s="72">
      <c r="A133" s="117" t="n"/>
      <c r="B133" s="117" t="n"/>
      <c r="C133" s="117" t="n"/>
      <c r="D133" s="117" t="n"/>
      <c r="E133" s="118" t="n"/>
      <c r="F133" s="119" t="n"/>
      <c r="G133" s="120" t="n"/>
      <c r="H133" s="123" t="n"/>
      <c r="I133" s="123" t="n"/>
    </row>
    <row r="134" ht="15" customHeight="1" s="72">
      <c r="A134" s="117" t="n"/>
      <c r="B134" s="117" t="n"/>
      <c r="C134" s="117" t="n"/>
      <c r="D134" s="117" t="n"/>
      <c r="E134" s="118" t="n"/>
      <c r="F134" s="119" t="n"/>
      <c r="G134" s="120" t="n"/>
      <c r="H134" s="123" t="n"/>
      <c r="I134" s="123" t="n"/>
    </row>
    <row r="135" ht="15" customHeight="1" s="72">
      <c r="A135" s="117" t="n"/>
      <c r="B135" s="117" t="n"/>
      <c r="C135" s="117" t="n"/>
      <c r="D135" s="117" t="n"/>
      <c r="E135" s="118" t="n"/>
      <c r="F135" s="119" t="n"/>
      <c r="G135" s="120" t="n"/>
      <c r="H135" s="123" t="n"/>
      <c r="I135" s="123" t="n"/>
    </row>
    <row r="136" ht="15" customHeight="1" s="72">
      <c r="A136" s="117" t="n"/>
      <c r="B136" s="117" t="n"/>
      <c r="C136" s="117" t="n"/>
      <c r="D136" s="117" t="n"/>
      <c r="E136" s="118" t="n"/>
      <c r="F136" s="119" t="n"/>
      <c r="G136" s="120" t="n"/>
      <c r="H136" s="123" t="n"/>
      <c r="I136" s="123" t="n"/>
    </row>
    <row r="137" ht="15" customHeight="1" s="72">
      <c r="A137" s="117" t="n"/>
      <c r="B137" s="117" t="n"/>
      <c r="C137" s="117" t="n"/>
      <c r="D137" s="117" t="n"/>
      <c r="E137" s="118" t="n"/>
      <c r="F137" s="119" t="n"/>
      <c r="G137" s="120" t="n"/>
      <c r="H137" s="123" t="n"/>
      <c r="I137" s="123" t="n"/>
    </row>
    <row r="138" ht="15" customHeight="1" s="72">
      <c r="A138" s="117" t="n"/>
      <c r="B138" s="117" t="n"/>
      <c r="C138" s="117" t="n"/>
      <c r="D138" s="117" t="n"/>
      <c r="E138" s="118" t="n"/>
      <c r="F138" s="119" t="n"/>
      <c r="G138" s="120" t="n"/>
      <c r="H138" s="123" t="n"/>
      <c r="I138" s="123" t="n"/>
    </row>
    <row r="139" ht="15" customHeight="1" s="72">
      <c r="A139" s="117" t="n"/>
      <c r="B139" s="117" t="n"/>
      <c r="C139" s="117" t="n"/>
      <c r="D139" s="117" t="n"/>
      <c r="E139" s="118" t="n"/>
      <c r="F139" s="119" t="n"/>
      <c r="G139" s="120" t="n"/>
      <c r="H139" s="123" t="n"/>
      <c r="I139" s="123" t="n"/>
    </row>
    <row r="140" ht="15" customHeight="1" s="72">
      <c r="A140" s="117" t="n"/>
      <c r="B140" s="117" t="n"/>
      <c r="C140" s="117" t="n"/>
      <c r="D140" s="117" t="n"/>
      <c r="E140" s="118" t="n"/>
      <c r="F140" s="119" t="n"/>
      <c r="G140" s="120" t="n"/>
      <c r="H140" s="123" t="n"/>
      <c r="I140" s="123" t="n"/>
    </row>
    <row r="141" ht="15" customHeight="1" s="72">
      <c r="A141" s="117" t="n"/>
      <c r="B141" s="117" t="n"/>
      <c r="C141" s="117" t="n"/>
      <c r="D141" s="117" t="n"/>
      <c r="E141" s="118" t="n"/>
      <c r="F141" s="119" t="n"/>
      <c r="G141" s="120" t="n"/>
      <c r="H141" s="123" t="n"/>
      <c r="I141" s="123" t="n"/>
    </row>
    <row r="142" ht="15" customHeight="1" s="72">
      <c r="A142" s="117" t="n"/>
      <c r="B142" s="117" t="n"/>
      <c r="C142" s="117" t="n"/>
      <c r="D142" s="117" t="n"/>
      <c r="E142" s="118" t="n"/>
      <c r="F142" s="119" t="n"/>
      <c r="G142" s="120" t="n"/>
      <c r="H142" s="123" t="n"/>
      <c r="I142" s="123" t="n"/>
    </row>
    <row r="143" ht="15" customHeight="1" s="72">
      <c r="A143" s="117" t="n"/>
      <c r="B143" s="117" t="n"/>
      <c r="C143" s="117" t="n"/>
      <c r="D143" s="117" t="n"/>
      <c r="E143" s="118" t="n"/>
      <c r="F143" s="119" t="n"/>
      <c r="G143" s="120" t="n"/>
      <c r="H143" s="123" t="n"/>
      <c r="I143" s="123" t="n"/>
    </row>
    <row r="144" ht="15" customHeight="1" s="72">
      <c r="A144" s="117" t="n"/>
      <c r="B144" s="117" t="n"/>
      <c r="C144" s="117" t="n"/>
      <c r="D144" s="117" t="n"/>
      <c r="E144" s="118" t="n"/>
      <c r="F144" s="119" t="n"/>
      <c r="G144" s="120" t="n"/>
      <c r="H144" s="123" t="n"/>
      <c r="I144" s="123" t="n"/>
    </row>
    <row r="145" ht="15" customHeight="1" s="72">
      <c r="A145" s="117" t="n"/>
      <c r="B145" s="117" t="n"/>
      <c r="C145" s="117" t="n"/>
      <c r="D145" s="117" t="n"/>
      <c r="E145" s="118" t="n"/>
      <c r="F145" s="119" t="n"/>
      <c r="G145" s="120" t="n"/>
      <c r="H145" s="123" t="n"/>
      <c r="I145" s="123" t="n"/>
    </row>
    <row r="146" ht="15" customHeight="1" s="72">
      <c r="A146" s="117" t="n"/>
      <c r="B146" s="117" t="n"/>
      <c r="C146" s="117" t="n"/>
      <c r="D146" s="117" t="n"/>
      <c r="E146" s="118" t="n"/>
      <c r="F146" s="119" t="n"/>
      <c r="G146" s="120" t="n"/>
      <c r="H146" s="123" t="n"/>
      <c r="I146" s="123" t="n"/>
    </row>
    <row r="147" ht="15" customHeight="1" s="72">
      <c r="A147" s="117" t="n"/>
      <c r="B147" s="117" t="n"/>
      <c r="C147" s="117" t="n"/>
      <c r="D147" s="117" t="n"/>
      <c r="E147" s="118" t="n"/>
      <c r="F147" s="119" t="n"/>
      <c r="G147" s="120" t="n"/>
      <c r="H147" s="123" t="n"/>
      <c r="I147" s="123" t="n"/>
    </row>
    <row r="148" ht="15" customHeight="1" s="72">
      <c r="A148" s="117" t="n"/>
      <c r="B148" s="117" t="n"/>
      <c r="C148" s="117" t="n"/>
      <c r="D148" s="117" t="n"/>
      <c r="E148" s="118" t="n"/>
      <c r="F148" s="119" t="n"/>
      <c r="G148" s="120" t="n"/>
      <c r="H148" s="123" t="n"/>
      <c r="I148" s="123" t="n"/>
    </row>
    <row r="149" ht="15" customHeight="1" s="72">
      <c r="A149" s="117" t="n"/>
      <c r="B149" s="117" t="n"/>
      <c r="C149" s="117" t="n"/>
      <c r="D149" s="117" t="n"/>
      <c r="E149" s="118" t="n"/>
      <c r="F149" s="119" t="n"/>
      <c r="G149" s="120" t="n"/>
      <c r="H149" s="123" t="n"/>
      <c r="I149" s="123" t="n"/>
    </row>
    <row r="150" ht="15" customHeight="1" s="72">
      <c r="A150" s="117" t="n"/>
      <c r="B150" s="117" t="n"/>
      <c r="C150" s="117" t="n"/>
      <c r="D150" s="117" t="n"/>
      <c r="E150" s="118" t="n"/>
      <c r="F150" s="119" t="n"/>
      <c r="G150" s="120" t="n"/>
      <c r="H150" s="123" t="n"/>
      <c r="I150" s="123" t="n"/>
    </row>
    <row r="151" ht="15" customHeight="1" s="72">
      <c r="A151" s="117" t="n"/>
      <c r="B151" s="117" t="n"/>
      <c r="C151" s="117" t="n"/>
      <c r="D151" s="117" t="n"/>
      <c r="E151" s="118" t="n"/>
      <c r="F151" s="119" t="n"/>
      <c r="G151" s="120" t="n"/>
      <c r="H151" s="123" t="n"/>
      <c r="I151" s="123" t="n"/>
    </row>
    <row r="152" ht="15" customHeight="1" s="72">
      <c r="A152" s="117" t="n"/>
      <c r="B152" s="117" t="n"/>
      <c r="C152" s="117" t="n"/>
      <c r="D152" s="117" t="n"/>
      <c r="E152" s="118" t="n"/>
      <c r="F152" s="119" t="n"/>
      <c r="G152" s="120" t="n"/>
      <c r="H152" s="123" t="n"/>
      <c r="I152" s="123" t="n"/>
    </row>
    <row r="153" ht="15" customHeight="1" s="72">
      <c r="A153" s="117" t="n"/>
      <c r="B153" s="117" t="n"/>
      <c r="C153" s="117" t="n"/>
      <c r="D153" s="117" t="n"/>
      <c r="E153" s="118" t="n"/>
      <c r="F153" s="119" t="n"/>
      <c r="G153" s="120" t="n"/>
      <c r="H153" s="123" t="n"/>
      <c r="I153" s="123" t="n"/>
    </row>
    <row r="154" ht="15" customHeight="1" s="72">
      <c r="A154" s="117" t="n"/>
      <c r="B154" s="117" t="n"/>
      <c r="C154" s="117" t="n"/>
      <c r="D154" s="117" t="n"/>
      <c r="E154" s="118" t="n"/>
      <c r="F154" s="119" t="n"/>
      <c r="G154" s="120" t="n"/>
      <c r="H154" s="123" t="n"/>
      <c r="I154" s="123" t="n"/>
    </row>
    <row r="155" ht="15" customHeight="1" s="72">
      <c r="A155" s="117" t="n"/>
      <c r="B155" s="117" t="n"/>
      <c r="C155" s="117" t="n"/>
      <c r="D155" s="117" t="n"/>
      <c r="E155" s="118" t="n"/>
      <c r="F155" s="119" t="n"/>
      <c r="G155" s="120" t="n"/>
      <c r="H155" s="123" t="n"/>
      <c r="I155" s="123" t="n"/>
    </row>
    <row r="156" ht="15" customHeight="1" s="72">
      <c r="A156" s="117" t="n"/>
      <c r="B156" s="117" t="n"/>
      <c r="C156" s="117" t="n"/>
      <c r="D156" s="117" t="n"/>
      <c r="E156" s="118" t="n"/>
      <c r="F156" s="119" t="n"/>
      <c r="G156" s="120" t="n"/>
      <c r="H156" s="123" t="n"/>
      <c r="I156" s="123" t="n"/>
    </row>
    <row r="157" ht="15" customHeight="1" s="72">
      <c r="A157" s="117" t="n"/>
      <c r="B157" s="117" t="n"/>
      <c r="C157" s="117" t="n"/>
      <c r="D157" s="117" t="n"/>
      <c r="E157" s="118" t="n"/>
      <c r="F157" s="119" t="n"/>
      <c r="G157" s="120" t="n"/>
      <c r="H157" s="123" t="n"/>
      <c r="I157" s="123" t="n"/>
    </row>
    <row r="158" ht="15" customHeight="1" s="72">
      <c r="A158" s="117" t="n"/>
      <c r="B158" s="117" t="n"/>
      <c r="C158" s="117" t="n"/>
      <c r="D158" s="117" t="n"/>
      <c r="E158" s="118" t="n"/>
      <c r="F158" s="119" t="n"/>
      <c r="G158" s="120" t="n"/>
      <c r="H158" s="123" t="n"/>
      <c r="I158" s="123" t="n"/>
    </row>
    <row r="159" ht="15" customHeight="1" s="72">
      <c r="A159" s="117" t="n"/>
      <c r="B159" s="117" t="n"/>
      <c r="C159" s="117" t="n"/>
      <c r="D159" s="117" t="n"/>
      <c r="E159" s="118" t="n"/>
      <c r="F159" s="119" t="n"/>
      <c r="G159" s="120" t="n"/>
      <c r="H159" s="123" t="n"/>
      <c r="I159" s="123" t="n"/>
    </row>
    <row r="160" ht="15" customHeight="1" s="72">
      <c r="A160" s="117" t="n"/>
      <c r="B160" s="117" t="n"/>
      <c r="C160" s="117" t="n"/>
      <c r="D160" s="117" t="n"/>
      <c r="E160" s="118" t="n"/>
      <c r="F160" s="119" t="n"/>
      <c r="G160" s="120" t="n"/>
      <c r="H160" s="123" t="n"/>
      <c r="I160" s="123" t="n"/>
    </row>
    <row r="161" ht="15" customHeight="1" s="72">
      <c r="A161" s="117" t="n"/>
      <c r="B161" s="117" t="n"/>
      <c r="C161" s="117" t="n"/>
      <c r="D161" s="117" t="n"/>
      <c r="E161" s="118" t="n"/>
      <c r="F161" s="119" t="n"/>
      <c r="G161" s="120" t="n"/>
      <c r="H161" s="123" t="n"/>
      <c r="I161" s="123" t="n"/>
    </row>
    <row r="162" ht="15" customHeight="1" s="72">
      <c r="A162" s="117" t="n"/>
      <c r="B162" s="117" t="n"/>
      <c r="C162" s="117" t="n"/>
      <c r="D162" s="117" t="n"/>
      <c r="E162" s="118" t="n"/>
      <c r="F162" s="119" t="n"/>
      <c r="G162" s="120" t="n"/>
      <c r="H162" s="123" t="n"/>
      <c r="I162" s="123" t="n"/>
    </row>
    <row r="163" ht="15" customHeight="1" s="72">
      <c r="A163" s="117" t="n"/>
      <c r="B163" s="117" t="n"/>
      <c r="C163" s="117" t="n"/>
      <c r="D163" s="117" t="n"/>
      <c r="E163" s="118" t="n"/>
      <c r="F163" s="119" t="n"/>
      <c r="G163" s="120" t="n"/>
      <c r="H163" s="123" t="n"/>
      <c r="I163" s="123" t="n"/>
    </row>
    <row r="164" ht="15" customHeight="1" s="72">
      <c r="A164" s="117" t="n"/>
      <c r="B164" s="117" t="n"/>
      <c r="C164" s="117" t="n"/>
      <c r="D164" s="117" t="n"/>
      <c r="E164" s="118" t="n"/>
      <c r="F164" s="119" t="n"/>
      <c r="G164" s="120" t="n"/>
      <c r="H164" s="123" t="n"/>
      <c r="I164" s="123" t="n"/>
    </row>
    <row r="165" ht="15" customHeight="1" s="72">
      <c r="A165" s="117" t="n"/>
      <c r="B165" s="117" t="n"/>
      <c r="C165" s="117" t="n"/>
      <c r="D165" s="117" t="n"/>
      <c r="E165" s="118" t="n"/>
      <c r="F165" s="119" t="n"/>
      <c r="G165" s="120" t="n"/>
      <c r="H165" s="123" t="n"/>
      <c r="I165" s="123" t="n"/>
    </row>
    <row r="166" ht="15" customHeight="1" s="72">
      <c r="A166" s="117" t="n"/>
      <c r="B166" s="117" t="n"/>
      <c r="C166" s="117" t="n"/>
      <c r="D166" s="117" t="n"/>
      <c r="E166" s="118" t="n"/>
      <c r="F166" s="119" t="n"/>
      <c r="G166" s="120" t="n"/>
      <c r="H166" s="123" t="n"/>
      <c r="I166" s="123" t="n"/>
    </row>
    <row r="167" ht="15" customHeight="1" s="72">
      <c r="A167" s="117" t="n"/>
      <c r="B167" s="117" t="n"/>
      <c r="C167" s="117" t="n"/>
      <c r="D167" s="117" t="n"/>
      <c r="E167" s="118" t="n"/>
      <c r="F167" s="119" t="n"/>
      <c r="G167" s="120" t="n"/>
      <c r="H167" s="123" t="n"/>
      <c r="I167" s="123" t="n"/>
    </row>
    <row r="168" ht="15" customHeight="1" s="72">
      <c r="A168" s="117" t="n"/>
      <c r="B168" s="117" t="n"/>
      <c r="C168" s="117" t="n"/>
      <c r="D168" s="117" t="n"/>
      <c r="E168" s="118" t="n"/>
      <c r="F168" s="119" t="n"/>
      <c r="G168" s="120" t="n"/>
      <c r="H168" s="123" t="n"/>
      <c r="I168" s="123" t="n"/>
    </row>
    <row r="169" ht="15" customHeight="1" s="72">
      <c r="A169" s="117" t="n"/>
      <c r="B169" s="117" t="n"/>
      <c r="C169" s="117" t="n"/>
      <c r="D169" s="117" t="n"/>
      <c r="E169" s="118" t="n"/>
      <c r="F169" s="119" t="n"/>
      <c r="G169" s="120" t="n"/>
      <c r="H169" s="123" t="n"/>
      <c r="I169" s="123" t="n"/>
    </row>
    <row r="170" ht="15" customHeight="1" s="72">
      <c r="A170" s="117" t="n"/>
      <c r="B170" s="117" t="n"/>
      <c r="C170" s="117" t="n"/>
      <c r="D170" s="117" t="n"/>
      <c r="E170" s="118" t="n"/>
      <c r="F170" s="119" t="n"/>
      <c r="G170" s="120" t="n"/>
      <c r="H170" s="123" t="n"/>
      <c r="I170" s="123" t="n"/>
    </row>
    <row r="171" ht="15" customHeight="1" s="72">
      <c r="A171" s="117" t="n"/>
      <c r="B171" s="117" t="n"/>
      <c r="C171" s="117" t="n"/>
      <c r="D171" s="117" t="n"/>
      <c r="E171" s="118" t="n"/>
      <c r="F171" s="119" t="n"/>
      <c r="G171" s="120" t="n"/>
      <c r="H171" s="123" t="n"/>
      <c r="I171" s="123" t="n"/>
    </row>
    <row r="172" ht="15" customHeight="1" s="72">
      <c r="A172" s="117" t="n"/>
      <c r="B172" s="117" t="n"/>
      <c r="C172" s="117" t="n"/>
      <c r="D172" s="117" t="n"/>
      <c r="E172" s="118" t="n"/>
      <c r="F172" s="119" t="n"/>
      <c r="G172" s="120" t="n"/>
      <c r="H172" s="123" t="n"/>
      <c r="I172" s="123" t="n"/>
    </row>
    <row r="173" ht="15" customHeight="1" s="72">
      <c r="A173" s="117" t="n"/>
      <c r="B173" s="117" t="n"/>
      <c r="C173" s="117" t="n"/>
      <c r="D173" s="117" t="n"/>
      <c r="E173" s="118" t="n"/>
      <c r="F173" s="119" t="n"/>
      <c r="G173" s="120" t="n"/>
      <c r="H173" s="123" t="n"/>
      <c r="I173" s="123" t="n"/>
    </row>
    <row r="174" ht="15" customHeight="1" s="72">
      <c r="A174" s="117" t="n"/>
      <c r="B174" s="117" t="n"/>
      <c r="C174" s="117" t="n"/>
      <c r="D174" s="117" t="n"/>
      <c r="E174" s="118" t="n"/>
      <c r="F174" s="119" t="n"/>
      <c r="G174" s="120" t="n"/>
      <c r="H174" s="123" t="n"/>
      <c r="I174" s="123" t="n"/>
    </row>
    <row r="175" ht="15" customHeight="1" s="72">
      <c r="A175" s="117" t="n"/>
      <c r="B175" s="117" t="n"/>
      <c r="C175" s="117" t="n"/>
      <c r="D175" s="117" t="n"/>
      <c r="E175" s="118" t="n"/>
      <c r="F175" s="119" t="n"/>
      <c r="G175" s="120" t="n"/>
      <c r="H175" s="123" t="n"/>
      <c r="I175" s="123" t="n"/>
    </row>
    <row r="176" ht="15" customHeight="1" s="72">
      <c r="A176" s="117" t="n"/>
      <c r="B176" s="117" t="n"/>
      <c r="C176" s="117" t="n"/>
      <c r="D176" s="117" t="n"/>
      <c r="E176" s="118" t="n"/>
      <c r="F176" s="119" t="n"/>
      <c r="G176" s="120" t="n"/>
      <c r="H176" s="123" t="n"/>
      <c r="I176" s="123" t="n"/>
    </row>
    <row r="177" ht="15" customHeight="1" s="72">
      <c r="A177" s="117" t="n"/>
      <c r="B177" s="117" t="n"/>
      <c r="C177" s="117" t="n"/>
      <c r="D177" s="117" t="n"/>
      <c r="E177" s="118" t="n"/>
      <c r="F177" s="119" t="n"/>
      <c r="G177" s="120" t="n"/>
      <c r="H177" s="123" t="n"/>
      <c r="I177" s="123" t="n"/>
    </row>
    <row r="178" ht="15" customHeight="1" s="72">
      <c r="A178" s="117" t="n"/>
      <c r="B178" s="117" t="n"/>
      <c r="C178" s="117" t="n"/>
      <c r="D178" s="117" t="n"/>
      <c r="E178" s="118" t="n"/>
      <c r="F178" s="119" t="n"/>
      <c r="G178" s="120" t="n"/>
      <c r="H178" s="123" t="n"/>
      <c r="I178" s="123" t="n"/>
    </row>
    <row r="179" ht="15" customHeight="1" s="72">
      <c r="A179" s="117" t="n"/>
      <c r="B179" s="117" t="n"/>
      <c r="C179" s="117" t="n"/>
      <c r="D179" s="117" t="n"/>
      <c r="E179" s="118" t="n"/>
      <c r="F179" s="119" t="n"/>
      <c r="G179" s="120" t="n"/>
      <c r="H179" s="123" t="n"/>
      <c r="I179" s="123" t="n"/>
    </row>
    <row r="180" ht="15" customHeight="1" s="72">
      <c r="A180" s="117" t="n"/>
      <c r="B180" s="117" t="n"/>
      <c r="C180" s="117" t="n"/>
      <c r="D180" s="117" t="n"/>
      <c r="E180" s="118" t="n"/>
      <c r="F180" s="119" t="n"/>
      <c r="G180" s="120" t="n"/>
      <c r="H180" s="123" t="n"/>
      <c r="I180" s="123" t="n"/>
    </row>
    <row r="181" ht="15" customHeight="1" s="72">
      <c r="A181" s="117" t="n"/>
      <c r="B181" s="117" t="n"/>
      <c r="C181" s="117" t="n"/>
      <c r="D181" s="117" t="n"/>
      <c r="E181" s="118" t="n"/>
      <c r="F181" s="119" t="n"/>
      <c r="G181" s="120" t="n"/>
      <c r="H181" s="123" t="n"/>
      <c r="I181" s="123" t="n"/>
    </row>
    <row r="182" ht="15" customHeight="1" s="72">
      <c r="A182" s="117" t="n"/>
      <c r="B182" s="117" t="n"/>
      <c r="C182" s="117" t="n"/>
      <c r="D182" s="117" t="n"/>
      <c r="E182" s="118" t="n"/>
      <c r="F182" s="119" t="n"/>
      <c r="G182" s="120" t="n"/>
      <c r="H182" s="123" t="n"/>
      <c r="I182" s="123" t="n"/>
    </row>
    <row r="183" ht="15" customHeight="1" s="72">
      <c r="A183" s="117" t="n"/>
      <c r="B183" s="117" t="n"/>
      <c r="C183" s="117" t="n"/>
      <c r="D183" s="117" t="n"/>
      <c r="E183" s="118" t="n"/>
      <c r="F183" s="119" t="n"/>
      <c r="G183" s="120" t="n"/>
      <c r="H183" s="123" t="n"/>
      <c r="I183" s="123" t="n"/>
    </row>
    <row r="184" ht="15" customHeight="1" s="72">
      <c r="A184" s="117" t="n"/>
      <c r="B184" s="117" t="n"/>
      <c r="C184" s="117" t="n"/>
      <c r="D184" s="117" t="n"/>
      <c r="E184" s="118" t="n"/>
      <c r="F184" s="119" t="n"/>
      <c r="G184" s="120" t="n"/>
      <c r="H184" s="123" t="n"/>
      <c r="I184" s="123" t="n"/>
    </row>
    <row r="185" ht="15" customHeight="1" s="72">
      <c r="A185" s="117" t="n"/>
      <c r="B185" s="117" t="n"/>
      <c r="C185" s="117" t="n"/>
      <c r="D185" s="117" t="n"/>
      <c r="E185" s="118" t="n"/>
      <c r="F185" s="119" t="n"/>
      <c r="G185" s="120" t="n"/>
      <c r="H185" s="123" t="n"/>
      <c r="I185" s="123" t="n"/>
    </row>
    <row r="186" ht="15" customHeight="1" s="72">
      <c r="A186" s="117" t="n"/>
      <c r="B186" s="117" t="n"/>
      <c r="C186" s="117" t="n"/>
      <c r="D186" s="117" t="n"/>
      <c r="E186" s="118" t="n"/>
      <c r="F186" s="119" t="n"/>
      <c r="G186" s="120" t="n"/>
      <c r="H186" s="123" t="n"/>
      <c r="I186" s="123" t="n"/>
    </row>
    <row r="187" ht="15" customHeight="1" s="72">
      <c r="A187" s="117" t="n"/>
      <c r="B187" s="117" t="n"/>
      <c r="C187" s="117" t="n"/>
      <c r="D187" s="117" t="n"/>
      <c r="E187" s="118" t="n"/>
      <c r="F187" s="119" t="n"/>
      <c r="G187" s="120" t="n"/>
      <c r="H187" s="123" t="n"/>
      <c r="I187" s="123" t="n"/>
    </row>
    <row r="188" ht="15" customHeight="1" s="72">
      <c r="A188" s="117" t="n"/>
      <c r="B188" s="117" t="n"/>
      <c r="C188" s="117" t="n"/>
      <c r="D188" s="117" t="n"/>
      <c r="E188" s="118" t="n"/>
      <c r="F188" s="119" t="n"/>
      <c r="G188" s="120" t="n"/>
      <c r="H188" s="123" t="n"/>
      <c r="I188" s="123" t="n"/>
    </row>
    <row r="189" ht="15" customHeight="1" s="72">
      <c r="A189" s="117" t="n"/>
      <c r="B189" s="117" t="n"/>
      <c r="C189" s="117" t="n"/>
      <c r="D189" s="117" t="n"/>
      <c r="E189" s="118" t="n"/>
      <c r="F189" s="119" t="n"/>
      <c r="G189" s="120" t="n"/>
      <c r="H189" s="123" t="n"/>
      <c r="I189" s="123" t="n"/>
    </row>
    <row r="190" ht="15" customHeight="1" s="72">
      <c r="A190" s="117" t="n"/>
      <c r="B190" s="117" t="n"/>
      <c r="C190" s="117" t="n"/>
      <c r="D190" s="117" t="n"/>
      <c r="E190" s="118" t="n"/>
      <c r="F190" s="119" t="n"/>
      <c r="G190" s="120" t="n"/>
      <c r="H190" s="123" t="n"/>
      <c r="I190" s="123" t="n"/>
    </row>
    <row r="191" ht="15" customHeight="1" s="72">
      <c r="A191" s="117" t="n"/>
      <c r="B191" s="117" t="n"/>
      <c r="C191" s="117" t="n"/>
      <c r="D191" s="117" t="n"/>
      <c r="E191" s="118" t="n"/>
      <c r="F191" s="119" t="n"/>
      <c r="G191" s="120" t="n"/>
      <c r="H191" s="123" t="n"/>
      <c r="I191" s="123" t="n"/>
    </row>
    <row r="192" ht="15" customHeight="1" s="72">
      <c r="A192" s="117" t="n"/>
      <c r="B192" s="117" t="n"/>
      <c r="C192" s="117" t="n"/>
      <c r="D192" s="117" t="n"/>
      <c r="E192" s="118" t="n"/>
      <c r="F192" s="119" t="n"/>
      <c r="G192" s="120" t="n"/>
      <c r="H192" s="123" t="n"/>
      <c r="I192" s="123" t="n"/>
    </row>
    <row r="193" ht="15" customHeight="1" s="72">
      <c r="A193" s="117" t="n"/>
      <c r="B193" s="117" t="n"/>
      <c r="C193" s="117" t="n"/>
      <c r="D193" s="117" t="n"/>
      <c r="E193" s="118" t="n"/>
      <c r="F193" s="119" t="n"/>
      <c r="G193" s="120" t="n"/>
      <c r="H193" s="123" t="n"/>
      <c r="I193" s="123" t="n"/>
    </row>
    <row r="194" ht="15" customHeight="1" s="72">
      <c r="A194" s="117" t="n"/>
      <c r="B194" s="117" t="n"/>
      <c r="C194" s="117" t="n"/>
      <c r="D194" s="117" t="n"/>
      <c r="E194" s="118" t="n"/>
      <c r="F194" s="119" t="n"/>
      <c r="G194" s="120" t="n"/>
      <c r="H194" s="123" t="n"/>
      <c r="I194" s="123" t="n"/>
    </row>
    <row r="195" ht="15" customHeight="1" s="72">
      <c r="A195" s="117" t="n"/>
      <c r="B195" s="117" t="n"/>
      <c r="C195" s="117" t="n"/>
      <c r="D195" s="117" t="n"/>
      <c r="E195" s="118" t="n"/>
      <c r="F195" s="119" t="n"/>
      <c r="G195" s="120" t="n"/>
      <c r="H195" s="123" t="n"/>
      <c r="I195" s="123" t="n"/>
    </row>
    <row r="196" ht="15" customHeight="1" s="72">
      <c r="A196" s="117" t="n"/>
      <c r="B196" s="117" t="n"/>
      <c r="C196" s="117" t="n"/>
      <c r="D196" s="117" t="n"/>
      <c r="E196" s="118" t="n"/>
      <c r="F196" s="119" t="n"/>
      <c r="G196" s="120" t="n"/>
      <c r="H196" s="123" t="n"/>
      <c r="I196" s="123" t="n"/>
    </row>
    <row r="197" ht="15" customHeight="1" s="72">
      <c r="A197" s="117" t="n"/>
      <c r="B197" s="117" t="n"/>
      <c r="C197" s="117" t="n"/>
      <c r="D197" s="117" t="n"/>
      <c r="E197" s="118" t="n"/>
      <c r="F197" s="119" t="n"/>
      <c r="G197" s="120" t="n"/>
      <c r="H197" s="123" t="n"/>
      <c r="I197" s="123" t="n"/>
    </row>
    <row r="198" ht="15" customHeight="1" s="72">
      <c r="A198" s="117" t="n"/>
      <c r="B198" s="117" t="n"/>
      <c r="C198" s="117" t="n"/>
      <c r="D198" s="117" t="n"/>
      <c r="E198" s="118" t="n"/>
      <c r="F198" s="119" t="n"/>
      <c r="G198" s="120" t="n"/>
      <c r="H198" s="123" t="n"/>
      <c r="I198" s="123" t="n"/>
    </row>
    <row r="199" ht="15" customHeight="1" s="72">
      <c r="A199" s="117" t="n"/>
      <c r="B199" s="117" t="n"/>
      <c r="C199" s="117" t="n"/>
      <c r="D199" s="117" t="n"/>
      <c r="E199" s="118" t="n"/>
      <c r="F199" s="119" t="n"/>
      <c r="G199" s="120" t="n"/>
      <c r="H199" s="123" t="n"/>
      <c r="I199" s="123" t="n"/>
    </row>
    <row r="200" ht="15" customHeight="1" s="72">
      <c r="A200" s="117" t="n"/>
      <c r="B200" s="117" t="n"/>
      <c r="C200" s="117" t="n"/>
      <c r="D200" s="117" t="n"/>
      <c r="E200" s="118" t="n"/>
      <c r="F200" s="119" t="n"/>
      <c r="G200" s="120" t="n"/>
      <c r="H200" s="123" t="n"/>
      <c r="I200" s="123" t="n"/>
    </row>
    <row r="201" ht="15" customHeight="1" s="72">
      <c r="A201" s="117" t="n"/>
      <c r="B201" s="117" t="n"/>
      <c r="C201" s="117" t="n"/>
      <c r="D201" s="117" t="n"/>
      <c r="E201" s="118" t="n"/>
      <c r="F201" s="119" t="n"/>
      <c r="G201" s="120" t="n"/>
      <c r="H201" s="123" t="n"/>
      <c r="I201" s="123" t="n"/>
    </row>
    <row r="202" ht="15" customHeight="1" s="72">
      <c r="A202" s="117" t="n"/>
      <c r="B202" s="117" t="n"/>
      <c r="C202" s="117" t="n"/>
      <c r="D202" s="117" t="n"/>
      <c r="E202" s="118" t="n"/>
      <c r="F202" s="119" t="n"/>
      <c r="G202" s="120" t="n"/>
      <c r="H202" s="123" t="n"/>
      <c r="I202" s="123" t="n"/>
    </row>
    <row r="203" ht="15" customHeight="1" s="72">
      <c r="A203" s="117" t="n"/>
      <c r="B203" s="117" t="n"/>
      <c r="C203" s="117" t="n"/>
      <c r="D203" s="117" t="n"/>
      <c r="E203" s="118" t="n"/>
      <c r="F203" s="119" t="n"/>
      <c r="G203" s="120" t="n"/>
      <c r="H203" s="123" t="n"/>
      <c r="I203" s="123" t="n"/>
    </row>
    <row r="204" ht="15" customHeight="1" s="72">
      <c r="A204" s="117" t="n"/>
      <c r="B204" s="117" t="n"/>
      <c r="C204" s="117" t="n"/>
      <c r="D204" s="117" t="n"/>
      <c r="E204" s="118" t="n"/>
      <c r="F204" s="119" t="n"/>
      <c r="G204" s="120" t="n"/>
      <c r="H204" s="123" t="n"/>
      <c r="I204" s="123" t="n"/>
    </row>
    <row r="205" ht="15" customHeight="1" s="72">
      <c r="A205" s="117" t="n"/>
      <c r="B205" s="117" t="n"/>
      <c r="C205" s="117" t="n"/>
      <c r="D205" s="117" t="n"/>
      <c r="E205" s="118" t="n"/>
      <c r="F205" s="119" t="n"/>
      <c r="G205" s="120" t="n"/>
      <c r="H205" s="123" t="n"/>
      <c r="I205" s="123" t="n"/>
    </row>
    <row r="206" ht="15" customHeight="1" s="72">
      <c r="A206" s="117" t="n"/>
      <c r="B206" s="117" t="n"/>
      <c r="C206" s="117" t="n"/>
      <c r="D206" s="117" t="n"/>
      <c r="E206" s="118" t="n"/>
      <c r="F206" s="119" t="n"/>
      <c r="G206" s="120" t="n"/>
      <c r="H206" s="123" t="n"/>
      <c r="I206" s="123" t="n"/>
    </row>
    <row r="207" ht="15" customHeight="1" s="72">
      <c r="A207" s="117" t="n"/>
      <c r="B207" s="117" t="n"/>
      <c r="C207" s="117" t="n"/>
      <c r="D207" s="117" t="n"/>
      <c r="E207" s="118" t="n"/>
      <c r="F207" s="119" t="n"/>
      <c r="G207" s="120" t="n"/>
      <c r="H207" s="123" t="n"/>
      <c r="I207" s="123" t="n"/>
    </row>
    <row r="208" ht="15" customHeight="1" s="72">
      <c r="A208" s="117" t="n"/>
      <c r="B208" s="117" t="n"/>
      <c r="C208" s="117" t="n"/>
      <c r="D208" s="117" t="n"/>
      <c r="E208" s="118" t="n"/>
      <c r="F208" s="119" t="n"/>
      <c r="G208" s="120" t="n"/>
      <c r="H208" s="123" t="n"/>
      <c r="I208" s="123" t="n"/>
    </row>
    <row r="209" ht="15" customHeight="1" s="72">
      <c r="A209" s="117" t="n"/>
      <c r="B209" s="117" t="n"/>
      <c r="C209" s="117" t="n"/>
      <c r="D209" s="117" t="n"/>
      <c r="E209" s="118" t="n"/>
      <c r="F209" s="119" t="n"/>
      <c r="G209" s="120" t="n"/>
      <c r="H209" s="123" t="n"/>
      <c r="I209" s="123" t="n"/>
    </row>
    <row r="210" ht="15" customHeight="1" s="72">
      <c r="A210" s="117" t="n"/>
      <c r="B210" s="117" t="n"/>
      <c r="C210" s="117" t="n"/>
      <c r="D210" s="117" t="n"/>
      <c r="E210" s="118" t="n"/>
      <c r="F210" s="119" t="n"/>
      <c r="G210" s="120" t="n"/>
      <c r="H210" s="123" t="n"/>
      <c r="I210" s="123" t="n"/>
    </row>
    <row r="211" ht="15" customHeight="1" s="72">
      <c r="A211" s="117" t="n"/>
      <c r="B211" s="117" t="n"/>
      <c r="C211" s="117" t="n"/>
      <c r="D211" s="117" t="n"/>
      <c r="E211" s="118" t="n"/>
      <c r="F211" s="119" t="n"/>
      <c r="G211" s="120" t="n"/>
      <c r="H211" s="123" t="n"/>
      <c r="I211" s="123" t="n"/>
    </row>
    <row r="212" ht="15" customHeight="1" s="72">
      <c r="A212" s="117" t="n"/>
      <c r="B212" s="117" t="n"/>
      <c r="C212" s="117" t="n"/>
      <c r="D212" s="117" t="n"/>
      <c r="E212" s="118" t="n"/>
      <c r="F212" s="119" t="n"/>
      <c r="G212" s="120" t="n"/>
      <c r="H212" s="123" t="n"/>
      <c r="I212" s="123" t="n"/>
    </row>
    <row r="213" ht="15" customHeight="1" s="72">
      <c r="A213" s="117" t="n"/>
      <c r="B213" s="117" t="n"/>
      <c r="C213" s="117" t="n"/>
      <c r="D213" s="117" t="n"/>
      <c r="E213" s="118" t="n"/>
      <c r="F213" s="119" t="n"/>
      <c r="G213" s="120" t="n"/>
      <c r="H213" s="123" t="n"/>
      <c r="I213" s="123" t="n"/>
    </row>
    <row r="214" ht="15" customHeight="1" s="72">
      <c r="A214" s="117" t="n"/>
      <c r="B214" s="117" t="n"/>
      <c r="C214" s="117" t="n"/>
      <c r="D214" s="117" t="n"/>
      <c r="E214" s="118" t="n"/>
      <c r="F214" s="119" t="n"/>
      <c r="G214" s="120" t="n"/>
      <c r="H214" s="123" t="n"/>
      <c r="I214" s="123" t="n"/>
    </row>
    <row r="215" ht="15" customHeight="1" s="72">
      <c r="A215" s="117" t="n"/>
      <c r="B215" s="117" t="n"/>
      <c r="C215" s="117" t="n"/>
      <c r="D215" s="117" t="n"/>
      <c r="E215" s="118" t="n"/>
      <c r="F215" s="119" t="n"/>
      <c r="G215" s="120" t="n"/>
      <c r="H215" s="123" t="n"/>
      <c r="I215" s="123" t="n"/>
    </row>
    <row r="216" ht="15" customHeight="1" s="72">
      <c r="A216" s="117" t="n"/>
      <c r="B216" s="117" t="n"/>
      <c r="C216" s="117" t="n"/>
      <c r="D216" s="117" t="n"/>
      <c r="E216" s="118" t="n"/>
      <c r="F216" s="119" t="n"/>
      <c r="G216" s="120" t="n"/>
      <c r="H216" s="123" t="n"/>
      <c r="I216" s="123" t="n"/>
    </row>
    <row r="217" ht="15" customHeight="1" s="72">
      <c r="A217" s="117" t="n"/>
      <c r="B217" s="117" t="n"/>
      <c r="C217" s="117" t="n"/>
      <c r="D217" s="117" t="n"/>
      <c r="E217" s="118" t="n"/>
      <c r="F217" s="119" t="n"/>
      <c r="G217" s="120" t="n"/>
      <c r="H217" s="123" t="n"/>
      <c r="I217" s="123" t="n"/>
    </row>
    <row r="218" ht="15" customHeight="1" s="72">
      <c r="A218" s="117" t="n"/>
      <c r="B218" s="117" t="n"/>
      <c r="C218" s="117" t="n"/>
      <c r="D218" s="117" t="n"/>
      <c r="E218" s="118" t="n"/>
      <c r="F218" s="119" t="n"/>
      <c r="G218" s="120" t="n"/>
      <c r="H218" s="123" t="n"/>
      <c r="I218" s="123" t="n"/>
    </row>
    <row r="219" ht="15" customHeight="1" s="72">
      <c r="A219" s="117" t="n"/>
      <c r="B219" s="117" t="n"/>
      <c r="C219" s="117" t="n"/>
      <c r="D219" s="117" t="n"/>
      <c r="E219" s="118" t="n"/>
      <c r="F219" s="119" t="n"/>
      <c r="G219" s="120" t="n"/>
      <c r="H219" s="123" t="n"/>
      <c r="I219" s="123" t="n"/>
    </row>
    <row r="220" ht="15" customHeight="1" s="72">
      <c r="A220" s="117" t="n"/>
      <c r="B220" s="117" t="n"/>
      <c r="C220" s="117" t="n"/>
      <c r="D220" s="117" t="n"/>
      <c r="E220" s="118" t="n"/>
      <c r="F220" s="119" t="n"/>
      <c r="G220" s="120" t="n"/>
      <c r="H220" s="123" t="n"/>
      <c r="I220" s="123" t="n"/>
    </row>
    <row r="221" ht="15" customHeight="1" s="72">
      <c r="A221" s="117" t="n"/>
      <c r="B221" s="117" t="n"/>
      <c r="C221" s="117" t="n"/>
      <c r="D221" s="117" t="n"/>
      <c r="E221" s="118" t="n"/>
      <c r="F221" s="119" t="n"/>
      <c r="G221" s="120" t="n"/>
      <c r="H221" s="123" t="n"/>
      <c r="I221" s="123" t="n"/>
    </row>
    <row r="222" ht="15" customHeight="1" s="72">
      <c r="A222" s="117" t="n"/>
      <c r="B222" s="117" t="n"/>
      <c r="C222" s="117" t="n"/>
      <c r="D222" s="117" t="n"/>
      <c r="E222" s="118" t="n"/>
      <c r="F222" s="119" t="n"/>
      <c r="G222" s="120" t="n"/>
      <c r="H222" s="123" t="n"/>
      <c r="I222" s="123" t="n"/>
    </row>
    <row r="223" ht="15" customHeight="1" s="72">
      <c r="A223" s="117" t="n"/>
      <c r="B223" s="117" t="n"/>
      <c r="C223" s="117" t="n"/>
      <c r="D223" s="117" t="n"/>
      <c r="E223" s="118" t="n"/>
      <c r="F223" s="119" t="n"/>
      <c r="G223" s="120" t="n"/>
      <c r="H223" s="123" t="n"/>
      <c r="I223" s="123" t="n"/>
    </row>
    <row r="224" ht="15" customHeight="1" s="72">
      <c r="A224" s="117" t="n"/>
      <c r="B224" s="117" t="n"/>
      <c r="C224" s="117" t="n"/>
      <c r="D224" s="117" t="n"/>
      <c r="E224" s="118" t="n"/>
      <c r="F224" s="119" t="n"/>
      <c r="G224" s="120" t="n"/>
      <c r="H224" s="123" t="n"/>
      <c r="I224" s="123" t="n"/>
    </row>
    <row r="225" ht="15" customHeight="1" s="72">
      <c r="A225" s="117" t="n"/>
      <c r="B225" s="117" t="n"/>
      <c r="C225" s="117" t="n"/>
      <c r="D225" s="117" t="n"/>
      <c r="E225" s="118" t="n"/>
      <c r="F225" s="119" t="n"/>
      <c r="G225" s="120" t="n"/>
      <c r="H225" s="123" t="n"/>
      <c r="I225" s="123" t="n"/>
    </row>
    <row r="226" ht="15" customHeight="1" s="72">
      <c r="A226" s="117" t="n"/>
      <c r="B226" s="117" t="n"/>
      <c r="C226" s="117" t="n"/>
      <c r="D226" s="117" t="n"/>
      <c r="E226" s="118" t="n"/>
      <c r="F226" s="119" t="n"/>
      <c r="G226" s="120" t="n"/>
      <c r="H226" s="123" t="n"/>
      <c r="I226" s="123" t="n"/>
    </row>
    <row r="227" ht="15" customHeight="1" s="72">
      <c r="A227" s="117" t="n"/>
      <c r="B227" s="117" t="n"/>
      <c r="C227" s="117" t="n"/>
      <c r="D227" s="117" t="n"/>
      <c r="E227" s="118" t="n"/>
      <c r="F227" s="119" t="n"/>
      <c r="G227" s="120" t="n"/>
      <c r="H227" s="123" t="n"/>
      <c r="I227" s="123" t="n"/>
    </row>
    <row r="228" ht="15" customHeight="1" s="72">
      <c r="A228" s="117" t="n"/>
      <c r="B228" s="117" t="n"/>
      <c r="C228" s="117" t="n"/>
      <c r="D228" s="117" t="n"/>
      <c r="E228" s="118" t="n"/>
      <c r="F228" s="119" t="n"/>
      <c r="G228" s="120" t="n"/>
      <c r="H228" s="123" t="n"/>
      <c r="I228" s="123" t="n"/>
    </row>
    <row r="229" ht="15" customHeight="1" s="72">
      <c r="A229" s="117" t="n"/>
      <c r="B229" s="117" t="n"/>
      <c r="C229" s="117" t="n"/>
      <c r="D229" s="117" t="n"/>
      <c r="E229" s="118" t="n"/>
      <c r="F229" s="119" t="n"/>
      <c r="G229" s="120" t="n"/>
      <c r="H229" s="123" t="n"/>
      <c r="I229" s="123" t="n"/>
    </row>
    <row r="230" ht="15" customHeight="1" s="72">
      <c r="A230" s="117" t="n"/>
      <c r="B230" s="117" t="n"/>
      <c r="C230" s="117" t="n"/>
      <c r="D230" s="117" t="n"/>
      <c r="E230" s="118" t="n"/>
      <c r="F230" s="119" t="n"/>
      <c r="G230" s="120" t="n"/>
      <c r="H230" s="123" t="n"/>
      <c r="I230" s="123" t="n"/>
    </row>
    <row r="231" ht="15" customHeight="1" s="72">
      <c r="A231" s="117" t="n"/>
      <c r="B231" s="117" t="n"/>
      <c r="C231" s="117" t="n"/>
      <c r="D231" s="117" t="n"/>
      <c r="E231" s="118" t="n"/>
      <c r="F231" s="119" t="n"/>
      <c r="G231" s="120" t="n"/>
      <c r="H231" s="123" t="n"/>
      <c r="I231" s="123" t="n"/>
    </row>
    <row r="232" ht="15" customHeight="1" s="72">
      <c r="A232" s="117" t="n"/>
      <c r="B232" s="117" t="n"/>
      <c r="C232" s="117" t="n"/>
      <c r="D232" s="117" t="n"/>
      <c r="E232" s="118" t="n"/>
      <c r="F232" s="119" t="n"/>
      <c r="G232" s="120" t="n"/>
      <c r="H232" s="123" t="n"/>
      <c r="I232" s="123" t="n"/>
    </row>
    <row r="233" ht="15" customHeight="1" s="72">
      <c r="A233" s="117" t="n"/>
      <c r="B233" s="117" t="n"/>
      <c r="C233" s="117" t="n"/>
      <c r="D233" s="117" t="n"/>
      <c r="E233" s="118" t="n"/>
      <c r="F233" s="119" t="n"/>
      <c r="G233" s="120" t="n"/>
      <c r="H233" s="123" t="n"/>
      <c r="I233" s="123" t="n"/>
    </row>
    <row r="234" ht="15" customHeight="1" s="72">
      <c r="A234" s="117" t="n"/>
      <c r="B234" s="117" t="n"/>
      <c r="C234" s="117" t="n"/>
      <c r="D234" s="117" t="n"/>
      <c r="E234" s="118" t="n"/>
      <c r="F234" s="119" t="n"/>
      <c r="G234" s="120" t="n"/>
      <c r="H234" s="123" t="n"/>
      <c r="I234" s="123" t="n"/>
    </row>
    <row r="235" ht="15" customHeight="1" s="72">
      <c r="A235" s="117" t="n"/>
      <c r="B235" s="117" t="n"/>
      <c r="C235" s="117" t="n"/>
      <c r="D235" s="117" t="n"/>
      <c r="E235" s="118" t="n"/>
      <c r="F235" s="119" t="n"/>
      <c r="G235" s="120" t="n"/>
      <c r="H235" s="123" t="n"/>
      <c r="I235" s="123" t="n"/>
    </row>
    <row r="236" ht="15" customHeight="1" s="72">
      <c r="A236" s="117" t="n"/>
      <c r="B236" s="117" t="n"/>
      <c r="C236" s="117" t="n"/>
      <c r="D236" s="117" t="n"/>
      <c r="E236" s="118" t="n"/>
      <c r="F236" s="119" t="n"/>
      <c r="G236" s="120" t="n"/>
      <c r="H236" s="123" t="n"/>
      <c r="I236" s="123" t="n"/>
    </row>
    <row r="237" ht="15" customHeight="1" s="72">
      <c r="A237" s="117" t="n"/>
      <c r="B237" s="117" t="n"/>
      <c r="C237" s="117" t="n"/>
      <c r="D237" s="117" t="n"/>
      <c r="E237" s="118" t="n"/>
      <c r="F237" s="119" t="n"/>
      <c r="G237" s="120" t="n"/>
      <c r="H237" s="123" t="n"/>
      <c r="I237" s="123" t="n"/>
    </row>
    <row r="238" ht="15" customHeight="1" s="72">
      <c r="A238" s="117" t="n"/>
      <c r="B238" s="117" t="n"/>
      <c r="C238" s="117" t="n"/>
      <c r="D238" s="117" t="n"/>
      <c r="E238" s="118" t="n"/>
      <c r="F238" s="119" t="n"/>
      <c r="G238" s="120" t="n"/>
      <c r="H238" s="123" t="n"/>
      <c r="I238" s="123" t="n"/>
    </row>
    <row r="239" ht="15" customHeight="1" s="72">
      <c r="A239" s="117" t="n"/>
      <c r="B239" s="117" t="n"/>
      <c r="C239" s="117" t="n"/>
      <c r="D239" s="117" t="n"/>
      <c r="E239" s="118" t="n"/>
      <c r="F239" s="119" t="n"/>
      <c r="G239" s="120" t="n"/>
      <c r="H239" s="123" t="n"/>
      <c r="I239" s="123" t="n"/>
    </row>
    <row r="240" ht="15" customHeight="1" s="72">
      <c r="A240" s="117" t="n"/>
      <c r="B240" s="117" t="n"/>
      <c r="C240" s="117" t="n"/>
      <c r="D240" s="117" t="n"/>
      <c r="E240" s="118" t="n"/>
      <c r="F240" s="119" t="n"/>
      <c r="G240" s="120" t="n"/>
      <c r="H240" s="123" t="n"/>
      <c r="I240" s="123" t="n"/>
    </row>
    <row r="241" ht="15" customHeight="1" s="72">
      <c r="A241" s="117" t="n"/>
      <c r="B241" s="117" t="n"/>
      <c r="C241" s="117" t="n"/>
      <c r="D241" s="117" t="n"/>
      <c r="E241" s="118" t="n"/>
      <c r="F241" s="119" t="n"/>
      <c r="G241" s="120" t="n"/>
      <c r="H241" s="123" t="n"/>
      <c r="I241" s="123" t="n"/>
    </row>
    <row r="242" ht="15" customHeight="1" s="72">
      <c r="A242" s="117" t="n"/>
      <c r="B242" s="117" t="n"/>
      <c r="C242" s="117" t="n"/>
      <c r="D242" s="117" t="n"/>
      <c r="E242" s="118" t="n"/>
      <c r="F242" s="119" t="n"/>
      <c r="G242" s="120" t="n"/>
      <c r="H242" s="123" t="n"/>
      <c r="I242" s="123" t="n"/>
    </row>
    <row r="243" ht="15" customHeight="1" s="72">
      <c r="A243" s="117" t="n"/>
      <c r="B243" s="117" t="n"/>
      <c r="C243" s="117" t="n"/>
      <c r="D243" s="117" t="n"/>
      <c r="E243" s="118" t="n"/>
      <c r="F243" s="119" t="n"/>
      <c r="G243" s="120" t="n"/>
      <c r="H243" s="123" t="n"/>
      <c r="I243" s="123" t="n"/>
    </row>
    <row r="244" ht="15" customHeight="1" s="72">
      <c r="A244" s="117" t="n"/>
      <c r="B244" s="117" t="n"/>
      <c r="C244" s="117" t="n"/>
      <c r="D244" s="117" t="n"/>
      <c r="E244" s="118" t="n"/>
      <c r="F244" s="119" t="n"/>
      <c r="G244" s="120" t="n"/>
      <c r="H244" s="123" t="n"/>
      <c r="I244" s="123" t="n"/>
    </row>
    <row r="245" ht="15" customHeight="1" s="72">
      <c r="A245" s="117" t="n"/>
      <c r="B245" s="117" t="n"/>
      <c r="C245" s="117" t="n"/>
      <c r="D245" s="117" t="n"/>
      <c r="E245" s="118" t="n"/>
      <c r="F245" s="119" t="n"/>
      <c r="G245" s="120" t="n"/>
      <c r="H245" s="123" t="n"/>
      <c r="I245" s="123" t="n"/>
    </row>
    <row r="246" ht="15" customHeight="1" s="72">
      <c r="A246" s="117" t="n"/>
      <c r="B246" s="117" t="n"/>
      <c r="C246" s="117" t="n"/>
      <c r="D246" s="117" t="n"/>
      <c r="E246" s="118" t="n"/>
      <c r="F246" s="119" t="n"/>
      <c r="G246" s="120" t="n"/>
      <c r="H246" s="123" t="n"/>
      <c r="I246" s="123" t="n"/>
    </row>
    <row r="247" ht="15" customHeight="1" s="72">
      <c r="A247" s="117" t="n"/>
      <c r="B247" s="117" t="n"/>
      <c r="C247" s="117" t="n"/>
      <c r="D247" s="117" t="n"/>
      <c r="E247" s="118" t="n"/>
      <c r="F247" s="119" t="n"/>
      <c r="G247" s="120" t="n"/>
      <c r="H247" s="123" t="n"/>
      <c r="I247" s="123" t="n"/>
    </row>
    <row r="248" ht="15" customHeight="1" s="72">
      <c r="A248" s="117" t="n"/>
      <c r="B248" s="117" t="n"/>
      <c r="C248" s="117" t="n"/>
      <c r="D248" s="117" t="n"/>
      <c r="E248" s="118" t="n"/>
      <c r="F248" s="119" t="n"/>
      <c r="G248" s="120" t="n"/>
      <c r="H248" s="123" t="n"/>
      <c r="I248" s="123" t="n"/>
    </row>
    <row r="249" ht="15" customHeight="1" s="72">
      <c r="A249" s="117" t="n"/>
      <c r="B249" s="117" t="n"/>
      <c r="C249" s="117" t="n"/>
      <c r="D249" s="117" t="n"/>
      <c r="E249" s="118" t="n"/>
      <c r="F249" s="119" t="n"/>
      <c r="G249" s="120" t="n"/>
      <c r="H249" s="123" t="n"/>
      <c r="I249" s="123" t="n"/>
    </row>
    <row r="250" ht="15" customHeight="1" s="72">
      <c r="A250" s="117" t="n"/>
      <c r="B250" s="117" t="n"/>
      <c r="C250" s="117" t="n"/>
      <c r="D250" s="117" t="n"/>
      <c r="E250" s="118" t="n"/>
      <c r="F250" s="119" t="n"/>
      <c r="G250" s="120" t="n"/>
      <c r="H250" s="123" t="n"/>
      <c r="I250" s="123" t="n"/>
    </row>
    <row r="251" ht="15" customHeight="1" s="72">
      <c r="A251" s="117" t="n"/>
      <c r="B251" s="117" t="n"/>
      <c r="C251" s="117" t="n"/>
      <c r="D251" s="117" t="n"/>
      <c r="E251" s="118" t="n"/>
      <c r="F251" s="119" t="n"/>
      <c r="G251" s="120" t="n"/>
      <c r="H251" s="123" t="n"/>
      <c r="I251" s="123" t="n"/>
    </row>
    <row r="252" ht="15" customHeight="1" s="72">
      <c r="A252" s="117" t="n"/>
      <c r="B252" s="117" t="n"/>
      <c r="C252" s="117" t="n"/>
      <c r="D252" s="117" t="n"/>
      <c r="E252" s="118" t="n"/>
      <c r="F252" s="119" t="n"/>
      <c r="G252" s="120" t="n"/>
      <c r="H252" s="123" t="n"/>
      <c r="I252" s="123" t="n"/>
    </row>
    <row r="253" ht="15" customHeight="1" s="72">
      <c r="A253" s="117" t="n"/>
      <c r="B253" s="117" t="n"/>
      <c r="C253" s="117" t="n"/>
      <c r="D253" s="117" t="n"/>
      <c r="E253" s="118" t="n"/>
      <c r="F253" s="119" t="n"/>
      <c r="G253" s="120" t="n"/>
      <c r="H253" s="123" t="n"/>
      <c r="I253" s="123" t="n"/>
    </row>
    <row r="254" ht="15" customHeight="1" s="72">
      <c r="A254" s="117" t="n"/>
      <c r="B254" s="117" t="n"/>
      <c r="C254" s="117" t="n"/>
      <c r="D254" s="117" t="n"/>
      <c r="E254" s="118" t="n"/>
      <c r="F254" s="119" t="n"/>
      <c r="G254" s="120" t="n"/>
      <c r="H254" s="123" t="n"/>
      <c r="I254" s="123" t="n"/>
    </row>
    <row r="255" ht="15" customHeight="1" s="72">
      <c r="A255" s="117" t="n"/>
      <c r="B255" s="117" t="n"/>
      <c r="C255" s="117" t="n"/>
      <c r="D255" s="117" t="n"/>
      <c r="E255" s="118" t="n"/>
      <c r="F255" s="119" t="n"/>
      <c r="G255" s="120" t="n"/>
      <c r="H255" s="123" t="n"/>
      <c r="I255" s="123" t="n"/>
    </row>
    <row r="256" ht="15" customHeight="1" s="72">
      <c r="A256" s="117" t="n"/>
      <c r="B256" s="117" t="n"/>
      <c r="C256" s="117" t="n"/>
      <c r="D256" s="117" t="n"/>
      <c r="E256" s="118" t="n"/>
      <c r="F256" s="119" t="n"/>
      <c r="G256" s="120" t="n"/>
      <c r="H256" s="123" t="n"/>
      <c r="I256" s="123" t="n"/>
    </row>
    <row r="257" ht="15" customHeight="1" s="72">
      <c r="A257" s="117" t="n"/>
      <c r="B257" s="117" t="n"/>
      <c r="C257" s="117" t="n"/>
      <c r="D257" s="117" t="n"/>
      <c r="E257" s="118" t="n"/>
      <c r="F257" s="119" t="n"/>
      <c r="G257" s="120" t="n"/>
      <c r="H257" s="123" t="n"/>
      <c r="I257" s="123" t="n"/>
    </row>
    <row r="258" ht="15" customHeight="1" s="72">
      <c r="A258" s="117" t="n"/>
      <c r="B258" s="117" t="n"/>
      <c r="C258" s="117" t="n"/>
      <c r="D258" s="117" t="n"/>
      <c r="E258" s="118" t="n"/>
      <c r="F258" s="119" t="n"/>
      <c r="G258" s="120" t="n"/>
      <c r="H258" s="123" t="n"/>
      <c r="I258" s="123" t="n"/>
    </row>
    <row r="259" ht="15" customHeight="1" s="72">
      <c r="A259" s="117" t="n"/>
      <c r="B259" s="117" t="n"/>
      <c r="C259" s="117" t="n"/>
      <c r="D259" s="117" t="n"/>
      <c r="E259" s="118" t="n"/>
      <c r="F259" s="119" t="n"/>
      <c r="G259" s="120" t="n"/>
      <c r="H259" s="123" t="n"/>
      <c r="I259" s="123" t="n"/>
    </row>
    <row r="260" ht="15" customHeight="1" s="72">
      <c r="A260" s="117" t="n"/>
      <c r="B260" s="117" t="n"/>
      <c r="C260" s="117" t="n"/>
      <c r="D260" s="117" t="n"/>
      <c r="E260" s="118" t="n"/>
      <c r="F260" s="119" t="n"/>
      <c r="G260" s="120" t="n"/>
      <c r="H260" s="123" t="n"/>
      <c r="I260" s="123" t="n"/>
    </row>
    <row r="261" ht="15" customHeight="1" s="72">
      <c r="A261" s="117" t="n"/>
      <c r="B261" s="117" t="n"/>
      <c r="C261" s="117" t="n"/>
      <c r="D261" s="117" t="n"/>
      <c r="E261" s="118" t="n"/>
      <c r="F261" s="119" t="n"/>
      <c r="G261" s="120" t="n"/>
      <c r="H261" s="123" t="n"/>
      <c r="I261" s="123" t="n"/>
    </row>
    <row r="262" ht="15" customHeight="1" s="72">
      <c r="A262" s="117" t="n"/>
      <c r="B262" s="117" t="n"/>
      <c r="C262" s="117" t="n"/>
      <c r="D262" s="117" t="n"/>
      <c r="E262" s="118" t="n"/>
      <c r="F262" s="119" t="n"/>
      <c r="G262" s="120" t="n"/>
      <c r="H262" s="123" t="n"/>
      <c r="I262" s="123" t="n"/>
    </row>
    <row r="263" ht="15" customHeight="1" s="72">
      <c r="A263" s="117" t="n"/>
      <c r="B263" s="117" t="n"/>
      <c r="C263" s="117" t="n"/>
      <c r="D263" s="117" t="n"/>
      <c r="E263" s="118" t="n"/>
      <c r="F263" s="119" t="n"/>
      <c r="G263" s="120" t="n"/>
      <c r="H263" s="123" t="n"/>
      <c r="I263" s="123" t="n"/>
    </row>
    <row r="264" ht="15" customHeight="1" s="72">
      <c r="A264" s="117" t="n"/>
      <c r="B264" s="117" t="n"/>
      <c r="C264" s="117" t="n"/>
      <c r="D264" s="117" t="n"/>
      <c r="E264" s="118" t="n"/>
      <c r="F264" s="119" t="n"/>
      <c r="G264" s="120" t="n"/>
      <c r="H264" s="123" t="n"/>
      <c r="I264" s="123" t="n"/>
    </row>
    <row r="265" ht="15" customHeight="1" s="72">
      <c r="A265" s="117" t="n"/>
      <c r="B265" s="117" t="n"/>
      <c r="C265" s="117" t="n"/>
      <c r="D265" s="117" t="n"/>
      <c r="E265" s="118" t="n"/>
      <c r="F265" s="119" t="n"/>
      <c r="G265" s="120" t="n"/>
      <c r="H265" s="123" t="n"/>
      <c r="I265" s="123" t="n"/>
    </row>
    <row r="266" ht="15" customHeight="1" s="72">
      <c r="A266" s="117" t="n"/>
      <c r="B266" s="117" t="n"/>
      <c r="C266" s="117" t="n"/>
      <c r="D266" s="117" t="n"/>
      <c r="E266" s="118" t="n"/>
      <c r="F266" s="119" t="n"/>
      <c r="G266" s="120" t="n"/>
      <c r="H266" s="123" t="n"/>
      <c r="I266" s="123" t="n"/>
    </row>
    <row r="267" ht="15" customHeight="1" s="72">
      <c r="A267" s="117" t="n"/>
      <c r="B267" s="117" t="n"/>
      <c r="C267" s="117" t="n"/>
      <c r="D267" s="117" t="n"/>
      <c r="E267" s="118" t="n"/>
      <c r="F267" s="119" t="n"/>
      <c r="G267" s="120" t="n"/>
      <c r="H267" s="123" t="n"/>
      <c r="I267" s="123" t="n"/>
    </row>
    <row r="268" ht="15" customHeight="1" s="72">
      <c r="A268" s="117" t="n"/>
      <c r="B268" s="117" t="n"/>
      <c r="C268" s="117" t="n"/>
      <c r="D268" s="117" t="n"/>
      <c r="E268" s="118" t="n"/>
      <c r="F268" s="119" t="n"/>
      <c r="G268" s="120" t="n"/>
      <c r="H268" s="123" t="n"/>
      <c r="I268" s="123" t="n"/>
    </row>
    <row r="269" ht="15" customHeight="1" s="72">
      <c r="A269" s="117" t="n"/>
      <c r="B269" s="117" t="n"/>
      <c r="C269" s="117" t="n"/>
      <c r="D269" s="117" t="n"/>
      <c r="E269" s="118" t="n"/>
      <c r="F269" s="119" t="n"/>
      <c r="G269" s="120" t="n"/>
      <c r="H269" s="123" t="n"/>
      <c r="I269" s="123" t="n"/>
    </row>
    <row r="270" ht="15" customHeight="1" s="72">
      <c r="A270" s="117" t="n"/>
      <c r="B270" s="117" t="n"/>
      <c r="C270" s="117" t="n"/>
      <c r="D270" s="117" t="n"/>
      <c r="E270" s="118" t="n"/>
      <c r="F270" s="119" t="n"/>
      <c r="G270" s="120" t="n"/>
      <c r="H270" s="123" t="n"/>
      <c r="I270" s="123" t="n"/>
    </row>
    <row r="271" ht="15" customHeight="1" s="72">
      <c r="A271" s="117" t="n"/>
      <c r="B271" s="117" t="n"/>
      <c r="C271" s="117" t="n"/>
      <c r="D271" s="117" t="n"/>
      <c r="E271" s="118" t="n"/>
      <c r="F271" s="119" t="n"/>
      <c r="G271" s="120" t="n"/>
      <c r="H271" s="123" t="n"/>
      <c r="I271" s="123" t="n"/>
    </row>
    <row r="272" ht="15" customHeight="1" s="72">
      <c r="A272" s="117" t="n"/>
      <c r="B272" s="117" t="n"/>
      <c r="C272" s="117" t="n"/>
      <c r="D272" s="117" t="n"/>
      <c r="E272" s="118" t="n"/>
      <c r="F272" s="119" t="n"/>
      <c r="G272" s="120" t="n"/>
      <c r="H272" s="123" t="n"/>
      <c r="I272" s="123" t="n"/>
    </row>
    <row r="273" ht="15" customHeight="1" s="72">
      <c r="A273" s="117" t="n"/>
      <c r="B273" s="117" t="n"/>
      <c r="C273" s="117" t="n"/>
      <c r="D273" s="117" t="n"/>
      <c r="E273" s="118" t="n"/>
      <c r="F273" s="119" t="n"/>
      <c r="G273" s="120" t="n"/>
      <c r="H273" s="123" t="n"/>
      <c r="I273" s="123" t="n"/>
    </row>
    <row r="274" ht="15" customHeight="1" s="72">
      <c r="A274" s="117" t="n"/>
      <c r="B274" s="117" t="n"/>
      <c r="C274" s="117" t="n"/>
      <c r="D274" s="117" t="n"/>
      <c r="E274" s="118" t="n"/>
      <c r="F274" s="119" t="n"/>
      <c r="G274" s="120" t="n"/>
      <c r="H274" s="123" t="n"/>
      <c r="I274" s="123" t="n"/>
    </row>
    <row r="275" ht="15" customHeight="1" s="72">
      <c r="A275" s="117" t="n"/>
      <c r="B275" s="117" t="n"/>
      <c r="C275" s="117" t="n"/>
      <c r="D275" s="117" t="n"/>
      <c r="E275" s="118" t="n"/>
      <c r="F275" s="119" t="n"/>
      <c r="G275" s="120" t="n"/>
      <c r="H275" s="123" t="n"/>
      <c r="I275" s="123" t="n"/>
    </row>
    <row r="276" ht="15" customHeight="1" s="72">
      <c r="A276" s="117" t="n"/>
      <c r="B276" s="117" t="n"/>
      <c r="C276" s="117" t="n"/>
      <c r="D276" s="117" t="n"/>
      <c r="E276" s="118" t="n"/>
      <c r="F276" s="119" t="n"/>
      <c r="G276" s="120" t="n"/>
      <c r="H276" s="123" t="n"/>
      <c r="I276" s="123" t="n"/>
    </row>
    <row r="277" ht="15" customHeight="1" s="72">
      <c r="A277" s="117" t="n"/>
      <c r="B277" s="117" t="n"/>
      <c r="C277" s="117" t="n"/>
      <c r="D277" s="117" t="n"/>
      <c r="E277" s="118" t="n"/>
      <c r="F277" s="119" t="n"/>
      <c r="G277" s="120" t="n"/>
      <c r="H277" s="123" t="n"/>
      <c r="I277" s="123" t="n"/>
    </row>
    <row r="278" ht="15" customHeight="1" s="72">
      <c r="A278" s="117" t="n"/>
      <c r="B278" s="117" t="n"/>
      <c r="C278" s="117" t="n"/>
      <c r="D278" s="117" t="n"/>
      <c r="E278" s="118" t="n"/>
      <c r="F278" s="119" t="n"/>
      <c r="G278" s="120" t="n"/>
      <c r="H278" s="123" t="n"/>
      <c r="I278" s="123" t="n"/>
    </row>
    <row r="279" ht="15" customHeight="1" s="72">
      <c r="A279" s="117" t="n"/>
      <c r="B279" s="117" t="n"/>
      <c r="C279" s="117" t="n"/>
      <c r="D279" s="117" t="n"/>
      <c r="E279" s="118" t="n"/>
      <c r="F279" s="119" t="n"/>
      <c r="G279" s="120" t="n"/>
      <c r="H279" s="123" t="n"/>
      <c r="I279" s="123" t="n"/>
    </row>
    <row r="280" ht="15" customHeight="1" s="72">
      <c r="A280" s="117" t="n"/>
      <c r="B280" s="117" t="n"/>
      <c r="C280" s="117" t="n"/>
      <c r="D280" s="117" t="n"/>
      <c r="E280" s="118" t="n"/>
      <c r="F280" s="119" t="n"/>
      <c r="G280" s="120" t="n"/>
      <c r="H280" s="123" t="n"/>
      <c r="I280" s="123" t="n"/>
    </row>
    <row r="281" ht="15" customHeight="1" s="72">
      <c r="A281" s="117" t="n"/>
      <c r="B281" s="117" t="n"/>
      <c r="C281" s="117" t="n"/>
      <c r="D281" s="117" t="n"/>
      <c r="E281" s="118" t="n"/>
      <c r="F281" s="119" t="n"/>
      <c r="G281" s="120" t="n"/>
      <c r="H281" s="123" t="n"/>
      <c r="I281" s="123" t="n"/>
    </row>
    <row r="282" ht="15" customHeight="1" s="72">
      <c r="A282" s="117" t="n"/>
      <c r="B282" s="117" t="n"/>
      <c r="C282" s="117" t="n"/>
      <c r="D282" s="117" t="n"/>
      <c r="E282" s="118" t="n"/>
      <c r="F282" s="119" t="n"/>
      <c r="G282" s="120" t="n"/>
      <c r="H282" s="123" t="n"/>
      <c r="I282" s="123" t="n"/>
    </row>
    <row r="283" ht="15" customHeight="1" s="72">
      <c r="A283" s="117" t="n"/>
      <c r="B283" s="117" t="n"/>
      <c r="C283" s="117" t="n"/>
      <c r="D283" s="117" t="n"/>
      <c r="E283" s="118" t="n"/>
      <c r="F283" s="119" t="n"/>
      <c r="G283" s="120" t="n"/>
      <c r="H283" s="123" t="n"/>
      <c r="I283" s="123" t="n"/>
    </row>
    <row r="284" ht="15" customHeight="1" s="72">
      <c r="A284" s="117" t="n"/>
      <c r="B284" s="117" t="n"/>
      <c r="C284" s="117" t="n"/>
      <c r="D284" s="117" t="n"/>
      <c r="E284" s="118" t="n"/>
      <c r="F284" s="119" t="n"/>
      <c r="G284" s="120" t="n"/>
      <c r="H284" s="123" t="n"/>
      <c r="I284" s="123" t="n"/>
    </row>
    <row r="285" ht="15" customHeight="1" s="72">
      <c r="A285" s="117" t="n"/>
      <c r="B285" s="117" t="n"/>
      <c r="C285" s="117" t="n"/>
      <c r="D285" s="117" t="n"/>
      <c r="E285" s="118" t="n"/>
      <c r="F285" s="119" t="n"/>
      <c r="G285" s="120" t="n"/>
      <c r="H285" s="123" t="n"/>
      <c r="I285" s="123" t="n"/>
    </row>
    <row r="286" ht="15" customHeight="1" s="72">
      <c r="A286" s="117" t="n"/>
      <c r="B286" s="117" t="n"/>
      <c r="C286" s="117" t="n"/>
      <c r="D286" s="117" t="n"/>
      <c r="E286" s="118" t="n"/>
      <c r="F286" s="119" t="n"/>
      <c r="G286" s="120" t="n"/>
      <c r="H286" s="123" t="n"/>
      <c r="I286" s="123" t="n"/>
    </row>
    <row r="287" ht="15" customHeight="1" s="72">
      <c r="A287" s="117" t="n"/>
      <c r="B287" s="117" t="n"/>
      <c r="C287" s="117" t="n"/>
      <c r="D287" s="117" t="n"/>
      <c r="E287" s="118" t="n"/>
      <c r="F287" s="119" t="n"/>
      <c r="G287" s="120" t="n"/>
      <c r="H287" s="123" t="n"/>
      <c r="I287" s="123" t="n"/>
    </row>
    <row r="288" ht="15" customHeight="1" s="72">
      <c r="A288" s="117" t="n"/>
      <c r="B288" s="117" t="n"/>
      <c r="C288" s="117" t="n"/>
      <c r="D288" s="117" t="n"/>
      <c r="E288" s="118" t="n"/>
      <c r="F288" s="119" t="n"/>
      <c r="G288" s="120" t="n"/>
      <c r="H288" s="123" t="n"/>
      <c r="I288" s="123" t="n"/>
    </row>
    <row r="289" ht="15" customHeight="1" s="72">
      <c r="A289" s="117" t="n"/>
      <c r="B289" s="117" t="n"/>
      <c r="C289" s="117" t="n"/>
      <c r="D289" s="117" t="n"/>
      <c r="E289" s="118" t="n"/>
      <c r="F289" s="119" t="n"/>
      <c r="G289" s="120" t="n"/>
      <c r="H289" s="123" t="n"/>
      <c r="I289" s="123" t="n"/>
    </row>
    <row r="290" ht="15" customHeight="1" s="72">
      <c r="A290" s="117" t="n"/>
      <c r="B290" s="117" t="n"/>
      <c r="C290" s="117" t="n"/>
      <c r="D290" s="117" t="n"/>
      <c r="E290" s="118" t="n"/>
      <c r="F290" s="119" t="n"/>
      <c r="G290" s="120" t="n"/>
      <c r="H290" s="123" t="n"/>
      <c r="I290" s="123" t="n"/>
    </row>
    <row r="291" ht="15" customHeight="1" s="72">
      <c r="A291" s="117" t="n"/>
      <c r="B291" s="117" t="n"/>
      <c r="C291" s="117" t="n"/>
      <c r="D291" s="117" t="n"/>
      <c r="E291" s="118" t="n"/>
      <c r="F291" s="119" t="n"/>
      <c r="G291" s="120" t="n"/>
      <c r="H291" s="123" t="n"/>
      <c r="I291" s="123" t="n"/>
    </row>
    <row r="292" ht="15" customHeight="1" s="72">
      <c r="A292" s="117" t="n"/>
      <c r="B292" s="117" t="n"/>
      <c r="C292" s="117" t="n"/>
      <c r="D292" s="117" t="n"/>
      <c r="E292" s="118" t="n"/>
      <c r="F292" s="119" t="n"/>
      <c r="G292" s="120" t="n"/>
      <c r="H292" s="123" t="n"/>
      <c r="I292" s="123" t="n"/>
    </row>
    <row r="293" ht="15" customHeight="1" s="72">
      <c r="A293" s="117" t="n"/>
      <c r="B293" s="117" t="n"/>
      <c r="C293" s="117" t="n"/>
      <c r="D293" s="117" t="n"/>
      <c r="E293" s="118" t="n"/>
      <c r="F293" s="119" t="n"/>
      <c r="G293" s="120" t="n"/>
      <c r="H293" s="123" t="n"/>
      <c r="I293" s="123" t="n"/>
    </row>
    <row r="294" ht="15" customHeight="1" s="72">
      <c r="A294" s="117" t="n"/>
      <c r="B294" s="117" t="n"/>
      <c r="C294" s="117" t="n"/>
      <c r="D294" s="117" t="n"/>
      <c r="E294" s="118" t="n"/>
      <c r="F294" s="119" t="n"/>
      <c r="G294" s="120" t="n"/>
      <c r="H294" s="123" t="n"/>
      <c r="I294" s="123" t="n"/>
    </row>
    <row r="295" ht="15" customHeight="1" s="72">
      <c r="A295" s="117" t="n"/>
      <c r="B295" s="117" t="n"/>
      <c r="C295" s="117" t="n"/>
      <c r="D295" s="117" t="n"/>
      <c r="E295" s="118" t="n"/>
      <c r="F295" s="119" t="n"/>
      <c r="G295" s="120" t="n"/>
      <c r="H295" s="123" t="n"/>
      <c r="I295" s="123" t="n"/>
    </row>
    <row r="296" ht="15" customHeight="1" s="72">
      <c r="A296" s="117" t="n"/>
      <c r="B296" s="117" t="n"/>
      <c r="C296" s="117" t="n"/>
      <c r="D296" s="117" t="n"/>
      <c r="E296" s="118" t="n"/>
      <c r="F296" s="119" t="n"/>
      <c r="G296" s="120" t="n"/>
      <c r="H296" s="123" t="n"/>
      <c r="I296" s="123" t="n"/>
    </row>
    <row r="297" ht="15" customHeight="1" s="72">
      <c r="A297" s="117" t="n"/>
      <c r="B297" s="117" t="n"/>
      <c r="C297" s="117" t="n"/>
      <c r="D297" s="117" t="n"/>
      <c r="E297" s="118" t="n"/>
      <c r="F297" s="119" t="n"/>
      <c r="G297" s="120" t="n"/>
      <c r="H297" s="123" t="n"/>
      <c r="I297" s="123" t="n"/>
    </row>
    <row r="298" ht="15" customHeight="1" s="72">
      <c r="A298" s="117" t="n"/>
      <c r="B298" s="117" t="n"/>
      <c r="C298" s="117" t="n"/>
      <c r="D298" s="117" t="n"/>
      <c r="E298" s="118" t="n"/>
      <c r="F298" s="119" t="n"/>
      <c r="G298" s="120" t="n"/>
      <c r="H298" s="123" t="n"/>
      <c r="I298" s="123" t="n"/>
    </row>
    <row r="299" ht="15" customHeight="1" s="72">
      <c r="A299" s="117" t="n"/>
      <c r="B299" s="117" t="n"/>
      <c r="C299" s="117" t="n"/>
      <c r="D299" s="117" t="n"/>
      <c r="E299" s="118" t="n"/>
      <c r="F299" s="119" t="n"/>
      <c r="G299" s="120" t="n"/>
      <c r="H299" s="123" t="n"/>
      <c r="I299" s="123" t="n"/>
    </row>
    <row r="300" ht="15" customHeight="1" s="72">
      <c r="A300" s="117" t="n"/>
      <c r="B300" s="117" t="n"/>
      <c r="C300" s="117" t="n"/>
      <c r="D300" s="117" t="n"/>
      <c r="E300" s="118" t="n"/>
      <c r="F300" s="119" t="n"/>
      <c r="G300" s="120" t="n"/>
      <c r="H300" s="123" t="n"/>
      <c r="I300" s="123" t="n"/>
    </row>
    <row r="301" ht="15" customHeight="1" s="72">
      <c r="A301" s="117" t="n"/>
      <c r="B301" s="117" t="n"/>
      <c r="C301" s="117" t="n"/>
      <c r="D301" s="117" t="n"/>
      <c r="E301" s="118" t="n"/>
      <c r="F301" s="119" t="n"/>
      <c r="G301" s="120" t="n"/>
      <c r="H301" s="123" t="n"/>
      <c r="I301" s="123" t="n"/>
    </row>
    <row r="302" ht="15" customHeight="1" s="72">
      <c r="A302" s="117" t="n"/>
      <c r="B302" s="117" t="n"/>
      <c r="C302" s="117" t="n"/>
      <c r="D302" s="117" t="n"/>
      <c r="E302" s="118" t="n"/>
      <c r="F302" s="119" t="n"/>
      <c r="G302" s="120" t="n"/>
      <c r="H302" s="123" t="n"/>
      <c r="I302" s="123" t="n"/>
    </row>
    <row r="303" ht="15" customHeight="1" s="72">
      <c r="A303" s="117" t="n"/>
      <c r="B303" s="117" t="n"/>
      <c r="C303" s="117" t="n"/>
      <c r="D303" s="117" t="n"/>
      <c r="E303" s="118" t="n"/>
      <c r="F303" s="119" t="n"/>
      <c r="G303" s="120" t="n"/>
      <c r="H303" s="123" t="n"/>
      <c r="I303" s="123" t="n"/>
    </row>
    <row r="304" ht="15" customHeight="1" s="72">
      <c r="A304" s="117" t="n"/>
      <c r="B304" s="117" t="n"/>
      <c r="C304" s="117" t="n"/>
      <c r="D304" s="117" t="n"/>
      <c r="E304" s="118" t="n"/>
      <c r="F304" s="119" t="n"/>
      <c r="G304" s="120" t="n"/>
      <c r="H304" s="123" t="n"/>
      <c r="I304" s="123" t="n"/>
    </row>
    <row r="305" ht="15" customHeight="1" s="72">
      <c r="A305" s="117" t="n"/>
      <c r="B305" s="117" t="n"/>
      <c r="C305" s="117" t="n"/>
      <c r="D305" s="117" t="n"/>
      <c r="E305" s="118" t="n"/>
      <c r="F305" s="119" t="n"/>
      <c r="G305" s="120" t="n"/>
      <c r="H305" s="123" t="n"/>
      <c r="I305" s="123" t="n"/>
    </row>
    <row r="306" ht="15" customHeight="1" s="72">
      <c r="A306" s="117" t="n"/>
      <c r="B306" s="117" t="n"/>
      <c r="C306" s="117" t="n"/>
      <c r="D306" s="117" t="n"/>
      <c r="E306" s="118" t="n"/>
      <c r="F306" s="119" t="n"/>
      <c r="G306" s="120" t="n"/>
      <c r="H306" s="123" t="n"/>
      <c r="I306" s="123" t="n"/>
    </row>
    <row r="307" ht="15" customHeight="1" s="72">
      <c r="A307" s="117" t="n"/>
      <c r="B307" s="117" t="n"/>
      <c r="C307" s="117" t="n"/>
      <c r="D307" s="117" t="n"/>
      <c r="E307" s="118" t="n"/>
      <c r="F307" s="119" t="n"/>
      <c r="G307" s="120" t="n"/>
      <c r="H307" s="123" t="n"/>
      <c r="I307" s="123" t="n"/>
    </row>
    <row r="308" ht="15" customHeight="1" s="72">
      <c r="A308" s="117" t="n"/>
      <c r="B308" s="117" t="n"/>
      <c r="C308" s="117" t="n"/>
      <c r="D308" s="117" t="n"/>
      <c r="E308" s="118" t="n"/>
      <c r="F308" s="119" t="n"/>
      <c r="G308" s="120" t="n"/>
      <c r="H308" s="123" t="n"/>
      <c r="I308" s="123" t="n"/>
    </row>
    <row r="309" ht="15" customHeight="1" s="72">
      <c r="A309" s="117" t="n"/>
      <c r="B309" s="117" t="n"/>
      <c r="C309" s="117" t="n"/>
      <c r="D309" s="117" t="n"/>
      <c r="E309" s="118" t="n"/>
      <c r="F309" s="119" t="n"/>
      <c r="G309" s="120" t="n"/>
      <c r="H309" s="123" t="n"/>
      <c r="I309" s="123" t="n"/>
    </row>
    <row r="310" ht="15" customHeight="1" s="72">
      <c r="A310" s="117" t="n"/>
      <c r="B310" s="117" t="n"/>
      <c r="C310" s="117" t="n"/>
      <c r="D310" s="117" t="n"/>
      <c r="E310" s="118" t="n"/>
      <c r="F310" s="119" t="n"/>
      <c r="G310" s="120" t="n"/>
      <c r="H310" s="123" t="n"/>
      <c r="I310" s="123" t="n"/>
    </row>
    <row r="311" ht="15" customHeight="1" s="72">
      <c r="A311" s="117" t="n"/>
      <c r="B311" s="117" t="n"/>
      <c r="C311" s="117" t="n"/>
      <c r="D311" s="117" t="n"/>
      <c r="E311" s="118" t="n"/>
      <c r="F311" s="119" t="n"/>
      <c r="G311" s="120" t="n"/>
      <c r="H311" s="123" t="n"/>
      <c r="I311" s="123" t="n"/>
    </row>
    <row r="312" ht="15" customHeight="1" s="72">
      <c r="A312" s="117" t="n"/>
      <c r="B312" s="117" t="n"/>
      <c r="C312" s="117" t="n"/>
      <c r="D312" s="117" t="n"/>
      <c r="E312" s="118" t="n"/>
      <c r="F312" s="119" t="n"/>
      <c r="G312" s="120" t="n"/>
      <c r="H312" s="123" t="n"/>
      <c r="I312" s="123" t="n"/>
    </row>
    <row r="313" ht="15" customHeight="1" s="72">
      <c r="A313" s="117" t="n"/>
      <c r="B313" s="117" t="n"/>
      <c r="C313" s="117" t="n"/>
      <c r="D313" s="117" t="n"/>
      <c r="E313" s="118" t="n"/>
      <c r="F313" s="119" t="n"/>
      <c r="G313" s="120" t="n"/>
      <c r="H313" s="123" t="n"/>
      <c r="I313" s="123" t="n"/>
    </row>
    <row r="314" ht="15" customHeight="1" s="72">
      <c r="A314" s="117" t="n"/>
      <c r="B314" s="117" t="n"/>
      <c r="C314" s="117" t="n"/>
      <c r="D314" s="117" t="n"/>
      <c r="E314" s="118" t="n"/>
      <c r="F314" s="119" t="n"/>
      <c r="G314" s="120" t="n"/>
      <c r="H314" s="123" t="n"/>
      <c r="I314" s="123" t="n"/>
    </row>
    <row r="315" ht="15" customHeight="1" s="72">
      <c r="A315" s="117" t="n"/>
      <c r="B315" s="117" t="n"/>
      <c r="C315" s="117" t="n"/>
      <c r="D315" s="117" t="n"/>
      <c r="E315" s="118" t="n"/>
      <c r="F315" s="119" t="n"/>
      <c r="G315" s="120" t="n"/>
      <c r="H315" s="123" t="n"/>
      <c r="I315" s="123" t="n"/>
    </row>
    <row r="316" ht="15" customHeight="1" s="72">
      <c r="A316" s="117" t="n"/>
      <c r="B316" s="117" t="n"/>
      <c r="C316" s="117" t="n"/>
      <c r="D316" s="117" t="n"/>
      <c r="E316" s="118" t="n"/>
      <c r="F316" s="119" t="n"/>
      <c r="G316" s="120" t="n"/>
      <c r="H316" s="123" t="n"/>
      <c r="I316" s="123" t="n"/>
    </row>
    <row r="317" ht="15" customHeight="1" s="72">
      <c r="A317" s="117" t="n"/>
      <c r="B317" s="117" t="n"/>
      <c r="C317" s="117" t="n"/>
      <c r="D317" s="117" t="n"/>
      <c r="E317" s="118" t="n"/>
      <c r="F317" s="119" t="n"/>
      <c r="G317" s="120" t="n"/>
      <c r="H317" s="123" t="n"/>
      <c r="I317" s="123" t="n"/>
    </row>
    <row r="318" ht="15" customHeight="1" s="72">
      <c r="A318" s="117" t="n"/>
      <c r="B318" s="117" t="n"/>
      <c r="C318" s="117" t="n"/>
      <c r="D318" s="117" t="n"/>
      <c r="E318" s="118" t="n"/>
      <c r="F318" s="119" t="n"/>
      <c r="G318" s="120" t="n"/>
      <c r="H318" s="123" t="n"/>
      <c r="I318" s="123" t="n"/>
    </row>
    <row r="319" ht="15" customHeight="1" s="72">
      <c r="A319" s="117" t="n"/>
      <c r="B319" s="117" t="n"/>
      <c r="C319" s="117" t="n"/>
      <c r="D319" s="117" t="n"/>
      <c r="E319" s="118" t="n"/>
      <c r="F319" s="119" t="n"/>
      <c r="G319" s="120" t="n"/>
      <c r="H319" s="123" t="n"/>
      <c r="I319" s="123" t="n"/>
    </row>
    <row r="320" ht="15" customHeight="1" s="72">
      <c r="A320" s="117" t="n"/>
      <c r="B320" s="117" t="n"/>
      <c r="C320" s="117" t="n"/>
      <c r="D320" s="117" t="n"/>
      <c r="E320" s="118" t="n"/>
      <c r="F320" s="119" t="n"/>
      <c r="G320" s="120" t="n"/>
      <c r="H320" s="123" t="n"/>
      <c r="I320" s="123" t="n"/>
    </row>
    <row r="321" ht="15" customHeight="1" s="72">
      <c r="A321" s="117" t="n"/>
      <c r="B321" s="117" t="n"/>
      <c r="C321" s="117" t="n"/>
      <c r="D321" s="117" t="n"/>
      <c r="E321" s="118" t="n"/>
      <c r="F321" s="119" t="n"/>
      <c r="G321" s="120" t="n"/>
      <c r="H321" s="123" t="n"/>
      <c r="I321" s="123" t="n"/>
    </row>
    <row r="322" ht="15" customHeight="1" s="72">
      <c r="A322" s="117" t="n"/>
      <c r="B322" s="117" t="n"/>
      <c r="C322" s="117" t="n"/>
      <c r="D322" s="117" t="n"/>
      <c r="E322" s="118" t="n"/>
      <c r="F322" s="119" t="n"/>
      <c r="G322" s="120" t="n"/>
      <c r="H322" s="123" t="n"/>
      <c r="I322" s="123" t="n"/>
    </row>
    <row r="323" ht="15" customHeight="1" s="72">
      <c r="A323" s="117" t="n"/>
      <c r="B323" s="117" t="n"/>
      <c r="C323" s="117" t="n"/>
      <c r="D323" s="117" t="n"/>
      <c r="E323" s="118" t="n"/>
      <c r="F323" s="119" t="n"/>
      <c r="G323" s="120" t="n"/>
      <c r="H323" s="123" t="n"/>
      <c r="I323" s="123" t="n"/>
    </row>
    <row r="324" ht="15" customHeight="1" s="72">
      <c r="A324" s="117" t="n"/>
      <c r="B324" s="117" t="n"/>
      <c r="C324" s="117" t="n"/>
      <c r="D324" s="117" t="n"/>
      <c r="E324" s="118" t="n"/>
      <c r="F324" s="119" t="n"/>
      <c r="G324" s="120" t="n"/>
      <c r="H324" s="123" t="n"/>
      <c r="I324" s="123" t="n"/>
    </row>
    <row r="325" ht="15" customHeight="1" s="72">
      <c r="A325" s="117" t="n"/>
      <c r="B325" s="117" t="n"/>
      <c r="C325" s="117" t="n"/>
      <c r="D325" s="117" t="n"/>
      <c r="E325" s="118" t="n"/>
      <c r="F325" s="119" t="n"/>
      <c r="G325" s="120" t="n"/>
      <c r="H325" s="123" t="n"/>
      <c r="I325" s="123" t="n"/>
    </row>
    <row r="326" ht="15" customHeight="1" s="72">
      <c r="A326" s="117" t="n"/>
      <c r="B326" s="117" t="n"/>
      <c r="C326" s="117" t="n"/>
      <c r="D326" s="117" t="n"/>
      <c r="E326" s="118" t="n"/>
      <c r="F326" s="119" t="n"/>
      <c r="G326" s="120" t="n"/>
      <c r="H326" s="123" t="n"/>
      <c r="I326" s="123" t="n"/>
    </row>
    <row r="327" ht="15" customHeight="1" s="72">
      <c r="A327" s="117" t="n"/>
      <c r="B327" s="117" t="n"/>
      <c r="C327" s="117" t="n"/>
      <c r="D327" s="117" t="n"/>
      <c r="E327" s="118" t="n"/>
      <c r="F327" s="119" t="n"/>
      <c r="G327" s="120" t="n"/>
      <c r="H327" s="123" t="n"/>
      <c r="I327" s="123" t="n"/>
    </row>
    <row r="328" ht="15" customHeight="1" s="72">
      <c r="A328" s="117" t="n"/>
      <c r="B328" s="117" t="n"/>
      <c r="C328" s="117" t="n"/>
      <c r="D328" s="117" t="n"/>
      <c r="E328" s="118" t="n"/>
      <c r="F328" s="119" t="n"/>
      <c r="G328" s="120" t="n"/>
      <c r="H328" s="123" t="n"/>
      <c r="I328" s="123" t="n"/>
    </row>
    <row r="329" ht="15" customHeight="1" s="72">
      <c r="A329" s="117" t="n"/>
      <c r="B329" s="117" t="n"/>
      <c r="C329" s="117" t="n"/>
      <c r="D329" s="117" t="n"/>
      <c r="E329" s="118" t="n"/>
      <c r="F329" s="119" t="n"/>
      <c r="G329" s="120" t="n"/>
      <c r="H329" s="123" t="n"/>
      <c r="I329" s="123" t="n"/>
    </row>
    <row r="330" ht="15" customHeight="1" s="72">
      <c r="A330" s="117" t="n"/>
      <c r="B330" s="117" t="n"/>
      <c r="C330" s="117" t="n"/>
      <c r="D330" s="117" t="n"/>
      <c r="E330" s="118" t="n"/>
      <c r="F330" s="119" t="n"/>
      <c r="G330" s="120" t="n"/>
      <c r="H330" s="123" t="n"/>
      <c r="I330" s="123" t="n"/>
    </row>
    <row r="331" ht="15" customHeight="1" s="72">
      <c r="A331" s="117" t="n"/>
      <c r="B331" s="117" t="n"/>
      <c r="C331" s="117" t="n"/>
      <c r="D331" s="117" t="n"/>
      <c r="E331" s="118" t="n"/>
      <c r="F331" s="119" t="n"/>
      <c r="G331" s="120" t="n"/>
      <c r="H331" s="123" t="n"/>
      <c r="I331" s="123" t="n"/>
    </row>
    <row r="332" ht="15" customHeight="1" s="72">
      <c r="A332" s="117" t="n"/>
      <c r="B332" s="117" t="n"/>
      <c r="C332" s="117" t="n"/>
      <c r="D332" s="117" t="n"/>
      <c r="E332" s="118" t="n"/>
      <c r="F332" s="119" t="n"/>
      <c r="G332" s="120" t="n"/>
      <c r="H332" s="123" t="n"/>
      <c r="I332" s="123" t="n"/>
    </row>
    <row r="333" ht="15" customHeight="1" s="72">
      <c r="A333" s="117" t="n"/>
      <c r="B333" s="117" t="n"/>
      <c r="C333" s="117" t="n"/>
      <c r="D333" s="117" t="n"/>
      <c r="E333" s="118" t="n"/>
      <c r="F333" s="119" t="n"/>
      <c r="G333" s="120" t="n"/>
      <c r="H333" s="123" t="n"/>
      <c r="I333" s="123" t="n"/>
    </row>
    <row r="334" ht="15" customHeight="1" s="72">
      <c r="A334" s="117" t="n"/>
      <c r="B334" s="117" t="n"/>
      <c r="C334" s="117" t="n"/>
      <c r="D334" s="117" t="n"/>
      <c r="E334" s="118" t="n"/>
      <c r="F334" s="119" t="n"/>
      <c r="G334" s="120" t="n"/>
      <c r="H334" s="123" t="n"/>
      <c r="I334" s="123" t="n"/>
    </row>
    <row r="335" ht="15" customHeight="1" s="72">
      <c r="A335" s="117" t="n"/>
      <c r="B335" s="117" t="n"/>
      <c r="C335" s="117" t="n"/>
      <c r="D335" s="117" t="n"/>
      <c r="E335" s="118" t="n"/>
      <c r="F335" s="119" t="n"/>
      <c r="G335" s="120" t="n"/>
      <c r="H335" s="123" t="n"/>
      <c r="I335" s="123" t="n"/>
    </row>
    <row r="336" ht="15" customHeight="1" s="72">
      <c r="A336" s="117" t="n"/>
      <c r="B336" s="117" t="n"/>
      <c r="C336" s="117" t="n"/>
      <c r="D336" s="117" t="n"/>
      <c r="E336" s="118" t="n"/>
      <c r="F336" s="119" t="n"/>
      <c r="G336" s="120" t="n"/>
      <c r="H336" s="123" t="n"/>
      <c r="I336" s="123" t="n"/>
    </row>
    <row r="337" ht="15" customHeight="1" s="72">
      <c r="A337" s="117" t="n"/>
      <c r="B337" s="117" t="n"/>
      <c r="C337" s="117" t="n"/>
      <c r="D337" s="117" t="n"/>
      <c r="E337" s="118" t="n"/>
      <c r="F337" s="119" t="n"/>
      <c r="G337" s="120" t="n"/>
      <c r="H337" s="123" t="n"/>
      <c r="I337" s="123" t="n"/>
    </row>
    <row r="338" ht="15" customHeight="1" s="72">
      <c r="A338" s="117" t="n"/>
      <c r="B338" s="117" t="n"/>
      <c r="C338" s="117" t="n"/>
      <c r="D338" s="117" t="n"/>
      <c r="E338" s="118" t="n"/>
      <c r="F338" s="119" t="n"/>
      <c r="G338" s="120" t="n"/>
      <c r="H338" s="123" t="n"/>
      <c r="I338" s="123" t="n"/>
    </row>
    <row r="339" ht="15" customHeight="1" s="72">
      <c r="A339" s="117" t="n"/>
      <c r="B339" s="117" t="n"/>
      <c r="C339" s="117" t="n"/>
      <c r="D339" s="117" t="n"/>
      <c r="E339" s="118" t="n"/>
      <c r="F339" s="119" t="n"/>
      <c r="G339" s="120" t="n"/>
      <c r="H339" s="123" t="n"/>
      <c r="I339" s="123" t="n"/>
    </row>
    <row r="340" ht="15" customHeight="1" s="72">
      <c r="A340" s="117" t="n"/>
      <c r="B340" s="117" t="n"/>
      <c r="C340" s="117" t="n"/>
      <c r="D340" s="117" t="n"/>
      <c r="E340" s="118" t="n"/>
      <c r="F340" s="119" t="n"/>
      <c r="G340" s="120" t="n"/>
      <c r="H340" s="123" t="n"/>
      <c r="I340" s="123" t="n"/>
    </row>
    <row r="341" ht="15" customHeight="1" s="72">
      <c r="A341" s="117" t="n"/>
      <c r="B341" s="117" t="n"/>
      <c r="C341" s="117" t="n"/>
      <c r="D341" s="117" t="n"/>
      <c r="E341" s="118" t="n"/>
      <c r="F341" s="119" t="n"/>
      <c r="G341" s="120" t="n"/>
      <c r="H341" s="123" t="n"/>
      <c r="I341" s="123" t="n"/>
    </row>
    <row r="342" ht="15" customHeight="1" s="72">
      <c r="A342" s="117" t="n"/>
      <c r="B342" s="117" t="n"/>
      <c r="C342" s="117" t="n"/>
      <c r="D342" s="117" t="n"/>
      <c r="E342" s="118" t="n"/>
      <c r="F342" s="119" t="n"/>
      <c r="G342" s="120" t="n"/>
      <c r="H342" s="123" t="n"/>
      <c r="I342" s="123" t="n"/>
    </row>
    <row r="343" ht="15" customHeight="1" s="72">
      <c r="A343" s="117" t="n"/>
      <c r="B343" s="117" t="n"/>
      <c r="C343" s="117" t="n"/>
      <c r="D343" s="117" t="n"/>
      <c r="E343" s="118" t="n"/>
      <c r="F343" s="119" t="n"/>
      <c r="G343" s="120" t="n"/>
      <c r="H343" s="123" t="n"/>
      <c r="I343" s="123" t="n"/>
    </row>
    <row r="344" ht="15" customHeight="1" s="72">
      <c r="A344" s="117" t="n"/>
      <c r="B344" s="117" t="n"/>
      <c r="C344" s="117" t="n"/>
      <c r="D344" s="117" t="n"/>
      <c r="E344" s="118" t="n"/>
      <c r="F344" s="119" t="n"/>
      <c r="G344" s="120" t="n"/>
      <c r="H344" s="123" t="n"/>
      <c r="I344" s="123" t="n"/>
    </row>
    <row r="345" ht="15" customHeight="1" s="72">
      <c r="A345" s="117" t="n"/>
      <c r="B345" s="117" t="n"/>
      <c r="C345" s="117" t="n"/>
      <c r="D345" s="117" t="n"/>
      <c r="E345" s="118" t="n"/>
      <c r="F345" s="119" t="n"/>
      <c r="G345" s="120" t="n"/>
      <c r="H345" s="123" t="n"/>
      <c r="I345" s="123" t="n"/>
    </row>
    <row r="346" ht="15" customHeight="1" s="72">
      <c r="A346" s="117" t="n"/>
      <c r="B346" s="117" t="n"/>
      <c r="C346" s="117" t="n"/>
      <c r="D346" s="117" t="n"/>
      <c r="E346" s="118" t="n"/>
      <c r="F346" s="119" t="n"/>
      <c r="G346" s="120" t="n"/>
      <c r="H346" s="123" t="n"/>
      <c r="I346" s="123" t="n"/>
    </row>
    <row r="347" ht="15" customHeight="1" s="72">
      <c r="A347" s="117" t="n"/>
      <c r="B347" s="117" t="n"/>
      <c r="C347" s="117" t="n"/>
      <c r="D347" s="117" t="n"/>
      <c r="E347" s="118" t="n"/>
      <c r="F347" s="119" t="n"/>
      <c r="G347" s="120" t="n"/>
      <c r="H347" s="123" t="n"/>
      <c r="I347" s="123" t="n"/>
    </row>
    <row r="348" ht="15" customHeight="1" s="72">
      <c r="A348" s="117" t="n"/>
      <c r="B348" s="117" t="n"/>
      <c r="C348" s="117" t="n"/>
      <c r="D348" s="117" t="n"/>
      <c r="E348" s="118" t="n"/>
      <c r="F348" s="119" t="n"/>
      <c r="G348" s="120" t="n"/>
      <c r="H348" s="123" t="n"/>
      <c r="I348" s="123" t="n"/>
    </row>
    <row r="349" ht="15" customHeight="1" s="72">
      <c r="A349" s="117" t="n"/>
      <c r="B349" s="117" t="n"/>
      <c r="C349" s="117" t="n"/>
      <c r="D349" s="117" t="n"/>
      <c r="E349" s="118" t="n"/>
      <c r="F349" s="119" t="n"/>
      <c r="G349" s="120" t="n"/>
      <c r="H349" s="123" t="n"/>
      <c r="I349" s="123" t="n"/>
    </row>
    <row r="350" ht="15" customHeight="1" s="72">
      <c r="A350" s="117" t="n"/>
      <c r="B350" s="117" t="n"/>
      <c r="C350" s="117" t="n"/>
      <c r="D350" s="117" t="n"/>
      <c r="E350" s="118" t="n"/>
      <c r="F350" s="119" t="n"/>
      <c r="G350" s="120" t="n"/>
      <c r="H350" s="123" t="n"/>
      <c r="I350" s="123" t="n"/>
    </row>
    <row r="351" ht="15" customHeight="1" s="72">
      <c r="A351" s="117" t="n"/>
      <c r="B351" s="117" t="n"/>
      <c r="C351" s="117" t="n"/>
      <c r="D351" s="117" t="n"/>
      <c r="E351" s="118" t="n"/>
      <c r="F351" s="119" t="n"/>
      <c r="G351" s="120" t="n"/>
      <c r="H351" s="123" t="n"/>
      <c r="I351" s="123" t="n"/>
    </row>
    <row r="352" ht="15" customHeight="1" s="72">
      <c r="A352" s="117" t="n"/>
      <c r="B352" s="117" t="n"/>
      <c r="C352" s="117" t="n"/>
      <c r="D352" s="117" t="n"/>
      <c r="E352" s="118" t="n"/>
      <c r="F352" s="119" t="n"/>
      <c r="G352" s="120" t="n"/>
      <c r="H352" s="123" t="n"/>
      <c r="I352" s="123" t="n"/>
    </row>
    <row r="353" ht="15" customHeight="1" s="72">
      <c r="A353" s="117" t="n"/>
      <c r="B353" s="117" t="n"/>
      <c r="C353" s="117" t="n"/>
      <c r="D353" s="117" t="n"/>
      <c r="E353" s="118" t="n"/>
      <c r="F353" s="119" t="n"/>
      <c r="G353" s="120" t="n"/>
      <c r="H353" s="123" t="n"/>
      <c r="I353" s="123" t="n"/>
    </row>
    <row r="354" ht="15" customHeight="1" s="72">
      <c r="A354" s="117" t="n"/>
      <c r="B354" s="117" t="n"/>
      <c r="C354" s="117" t="n"/>
      <c r="D354" s="117" t="n"/>
      <c r="E354" s="118" t="n"/>
      <c r="F354" s="119" t="n"/>
      <c r="G354" s="120" t="n"/>
      <c r="H354" s="123" t="n"/>
      <c r="I354" s="123" t="n"/>
    </row>
    <row r="355" ht="15" customHeight="1" s="72">
      <c r="A355" s="117" t="n"/>
      <c r="B355" s="117" t="n"/>
      <c r="C355" s="117" t="n"/>
      <c r="D355" s="117" t="n"/>
      <c r="E355" s="118" t="n"/>
      <c r="F355" s="119" t="n"/>
      <c r="G355" s="120" t="n"/>
      <c r="H355" s="123" t="n"/>
      <c r="I355" s="123" t="n"/>
    </row>
    <row r="356" ht="15" customHeight="1" s="72">
      <c r="A356" s="117" t="n"/>
      <c r="B356" s="117" t="n"/>
      <c r="C356" s="117" t="n"/>
      <c r="D356" s="117" t="n"/>
      <c r="E356" s="118" t="n"/>
      <c r="F356" s="119" t="n"/>
      <c r="G356" s="120" t="n"/>
      <c r="H356" s="123" t="n"/>
      <c r="I356" s="123" t="n"/>
    </row>
    <row r="357" ht="15" customHeight="1" s="72">
      <c r="A357" s="117" t="n"/>
      <c r="B357" s="117" t="n"/>
      <c r="C357" s="117" t="n"/>
      <c r="D357" s="117" t="n"/>
      <c r="E357" s="118" t="n"/>
      <c r="F357" s="119" t="n"/>
      <c r="G357" s="120" t="n"/>
      <c r="H357" s="123" t="n"/>
      <c r="I357" s="123" t="n"/>
    </row>
    <row r="358" ht="15" customHeight="1" s="72">
      <c r="A358" s="117" t="n"/>
      <c r="B358" s="117" t="n"/>
      <c r="C358" s="117" t="n"/>
      <c r="D358" s="117" t="n"/>
      <c r="E358" s="118" t="n"/>
      <c r="F358" s="119" t="n"/>
      <c r="G358" s="120" t="n"/>
      <c r="H358" s="123" t="n"/>
      <c r="I358" s="123" t="n"/>
    </row>
    <row r="359" ht="15" customHeight="1" s="72">
      <c r="A359" s="117" t="n"/>
      <c r="B359" s="117" t="n"/>
      <c r="C359" s="117" t="n"/>
      <c r="D359" s="117" t="n"/>
      <c r="E359" s="118" t="n"/>
      <c r="F359" s="119" t="n"/>
      <c r="G359" s="120" t="n"/>
      <c r="H359" s="123" t="n"/>
      <c r="I359" s="123" t="n"/>
    </row>
    <row r="360" ht="15" customHeight="1" s="72">
      <c r="A360" s="117" t="n"/>
      <c r="B360" s="117" t="n"/>
      <c r="C360" s="117" t="n"/>
      <c r="D360" s="117" t="n"/>
      <c r="E360" s="118" t="n"/>
      <c r="F360" s="119" t="n"/>
      <c r="G360" s="120" t="n"/>
      <c r="H360" s="123" t="n"/>
      <c r="I360" s="123" t="n"/>
    </row>
    <row r="361" ht="15" customHeight="1" s="72">
      <c r="A361" s="117" t="n"/>
      <c r="B361" s="117" t="n"/>
      <c r="C361" s="117" t="n"/>
      <c r="D361" s="117" t="n"/>
      <c r="E361" s="118" t="n"/>
      <c r="F361" s="119" t="n"/>
      <c r="G361" s="120" t="n"/>
      <c r="H361" s="123" t="n"/>
      <c r="I361" s="123" t="n"/>
    </row>
    <row r="362" ht="15" customHeight="1" s="72">
      <c r="A362" s="117" t="n"/>
      <c r="B362" s="117" t="n"/>
      <c r="C362" s="117" t="n"/>
      <c r="D362" s="117" t="n"/>
      <c r="E362" s="118" t="n"/>
      <c r="F362" s="119" t="n"/>
      <c r="G362" s="120" t="n"/>
      <c r="H362" s="123" t="n"/>
      <c r="I362" s="123" t="n"/>
    </row>
    <row r="363" ht="15" customHeight="1" s="72">
      <c r="A363" s="117" t="n"/>
      <c r="B363" s="117" t="n"/>
      <c r="C363" s="117" t="n"/>
      <c r="D363" s="117" t="n"/>
      <c r="E363" s="118" t="n"/>
      <c r="F363" s="119" t="n"/>
      <c r="G363" s="120" t="n"/>
      <c r="H363" s="123" t="n"/>
      <c r="I363" s="123" t="n"/>
    </row>
    <row r="364" ht="15" customHeight="1" s="72">
      <c r="A364" s="117" t="n"/>
      <c r="B364" s="117" t="n"/>
      <c r="C364" s="117" t="n"/>
      <c r="D364" s="117" t="n"/>
      <c r="E364" s="118" t="n"/>
      <c r="F364" s="119" t="n"/>
      <c r="G364" s="120" t="n"/>
      <c r="H364" s="123" t="n"/>
      <c r="I364" s="123" t="n"/>
    </row>
    <row r="365" ht="15" customHeight="1" s="72">
      <c r="A365" s="117" t="n"/>
      <c r="B365" s="117" t="n"/>
      <c r="C365" s="117" t="n"/>
      <c r="D365" s="117" t="n"/>
      <c r="E365" s="118" t="n"/>
      <c r="F365" s="119" t="n"/>
      <c r="G365" s="120" t="n"/>
      <c r="H365" s="123" t="n"/>
      <c r="I365" s="123" t="n"/>
    </row>
    <row r="366" ht="15" customHeight="1" s="72">
      <c r="A366" s="117" t="n"/>
      <c r="B366" s="117" t="n"/>
      <c r="C366" s="117" t="n"/>
      <c r="D366" s="117" t="n"/>
      <c r="E366" s="118" t="n"/>
      <c r="F366" s="119" t="n"/>
      <c r="G366" s="120" t="n"/>
      <c r="H366" s="123" t="n"/>
      <c r="I366" s="123" t="n"/>
    </row>
    <row r="367" ht="15" customHeight="1" s="72">
      <c r="A367" s="117" t="n"/>
      <c r="B367" s="117" t="n"/>
      <c r="C367" s="117" t="n"/>
      <c r="D367" s="117" t="n"/>
      <c r="E367" s="118" t="n"/>
      <c r="F367" s="119" t="n"/>
      <c r="G367" s="120" t="n"/>
      <c r="H367" s="123" t="n"/>
      <c r="I367" s="123" t="n"/>
    </row>
    <row r="368" ht="15" customHeight="1" s="72">
      <c r="A368" s="117" t="n"/>
      <c r="B368" s="117" t="n"/>
      <c r="C368" s="117" t="n"/>
      <c r="D368" s="117" t="n"/>
      <c r="E368" s="118" t="n"/>
      <c r="F368" s="119" t="n"/>
      <c r="G368" s="120" t="n"/>
      <c r="H368" s="123" t="n"/>
      <c r="I368" s="123" t="n"/>
    </row>
    <row r="369" ht="15" customHeight="1" s="72">
      <c r="A369" s="117" t="n"/>
      <c r="B369" s="117" t="n"/>
      <c r="C369" s="117" t="n"/>
      <c r="D369" s="117" t="n"/>
      <c r="E369" s="118" t="n"/>
      <c r="F369" s="119" t="n"/>
      <c r="G369" s="120" t="n"/>
      <c r="H369" s="123" t="n"/>
      <c r="I369" s="123" t="n"/>
    </row>
    <row r="370" ht="15" customHeight="1" s="72">
      <c r="A370" s="117" t="n"/>
      <c r="B370" s="117" t="n"/>
      <c r="C370" s="117" t="n"/>
      <c r="D370" s="117" t="n"/>
      <c r="E370" s="118" t="n"/>
      <c r="F370" s="119" t="n"/>
      <c r="G370" s="120" t="n"/>
      <c r="H370" s="123" t="n"/>
      <c r="I370" s="123" t="n"/>
    </row>
    <row r="371" ht="15" customHeight="1" s="72">
      <c r="A371" s="117" t="n"/>
      <c r="B371" s="117" t="n"/>
      <c r="C371" s="117" t="n"/>
      <c r="D371" s="117" t="n"/>
      <c r="E371" s="118" t="n"/>
      <c r="F371" s="119" t="n"/>
      <c r="G371" s="120" t="n"/>
      <c r="H371" s="123" t="n"/>
      <c r="I371" s="123" t="n"/>
    </row>
    <row r="372" ht="15" customHeight="1" s="72">
      <c r="A372" s="117" t="n"/>
      <c r="B372" s="117" t="n"/>
      <c r="C372" s="117" t="n"/>
      <c r="D372" s="117" t="n"/>
      <c r="E372" s="118" t="n"/>
      <c r="F372" s="119" t="n"/>
      <c r="G372" s="120" t="n"/>
      <c r="H372" s="123" t="n"/>
      <c r="I372" s="123" t="n"/>
    </row>
    <row r="373" ht="15" customHeight="1" s="72">
      <c r="A373" s="117" t="n"/>
      <c r="B373" s="117" t="n"/>
      <c r="C373" s="117" t="n"/>
      <c r="D373" s="117" t="n"/>
      <c r="E373" s="118" t="n"/>
      <c r="F373" s="119" t="n"/>
      <c r="G373" s="120" t="n"/>
      <c r="H373" s="123" t="n"/>
      <c r="I373" s="123" t="n"/>
    </row>
    <row r="374" ht="15" customHeight="1" s="72">
      <c r="A374" s="117" t="n"/>
      <c r="B374" s="117" t="n"/>
      <c r="C374" s="117" t="n"/>
      <c r="D374" s="117" t="n"/>
      <c r="E374" s="118" t="n"/>
      <c r="F374" s="119" t="n"/>
      <c r="G374" s="120" t="n"/>
      <c r="H374" s="123" t="n"/>
      <c r="I374" s="123" t="n"/>
    </row>
    <row r="375" ht="15" customHeight="1" s="72">
      <c r="A375" s="117" t="n"/>
      <c r="B375" s="117" t="n"/>
      <c r="C375" s="117" t="n"/>
      <c r="D375" s="117" t="n"/>
      <c r="E375" s="118" t="n"/>
      <c r="F375" s="119" t="n"/>
      <c r="G375" s="120" t="n"/>
      <c r="H375" s="123" t="n"/>
      <c r="I375" s="123" t="n"/>
    </row>
    <row r="376" ht="15" customHeight="1" s="72">
      <c r="A376" s="117" t="n"/>
      <c r="B376" s="117" t="n"/>
      <c r="C376" s="117" t="n"/>
      <c r="D376" s="117" t="n"/>
      <c r="E376" s="118" t="n"/>
      <c r="F376" s="119" t="n"/>
      <c r="G376" s="120" t="n"/>
      <c r="H376" s="123" t="n"/>
      <c r="I376" s="123" t="n"/>
    </row>
    <row r="377" ht="15" customHeight="1" s="72">
      <c r="A377" s="117" t="n"/>
      <c r="B377" s="117" t="n"/>
      <c r="C377" s="117" t="n"/>
      <c r="D377" s="117" t="n"/>
      <c r="E377" s="118" t="n"/>
      <c r="F377" s="119" t="n"/>
      <c r="G377" s="120" t="n"/>
      <c r="H377" s="123" t="n"/>
      <c r="I377" s="123" t="n"/>
    </row>
    <row r="378" ht="15" customHeight="1" s="72">
      <c r="A378" s="117" t="n"/>
      <c r="B378" s="117" t="n"/>
      <c r="C378" s="117" t="n"/>
      <c r="D378" s="117" t="n"/>
      <c r="E378" s="118" t="n"/>
      <c r="F378" s="119" t="n"/>
      <c r="G378" s="120" t="n"/>
      <c r="H378" s="123" t="n"/>
      <c r="I378" s="123" t="n"/>
    </row>
    <row r="379" ht="15" customHeight="1" s="72">
      <c r="A379" s="117" t="n"/>
      <c r="B379" s="117" t="n"/>
      <c r="C379" s="117" t="n"/>
      <c r="D379" s="117" t="n"/>
      <c r="E379" s="118" t="n"/>
      <c r="F379" s="119" t="n"/>
      <c r="G379" s="120" t="n"/>
      <c r="H379" s="123" t="n"/>
      <c r="I379" s="123" t="n"/>
    </row>
    <row r="380" ht="15" customHeight="1" s="72">
      <c r="A380" s="117" t="n"/>
      <c r="B380" s="117" t="n"/>
      <c r="C380" s="117" t="n"/>
      <c r="D380" s="117" t="n"/>
      <c r="E380" s="118" t="n"/>
      <c r="F380" s="119" t="n"/>
      <c r="G380" s="120" t="n"/>
      <c r="H380" s="123" t="n"/>
      <c r="I380" s="123" t="n"/>
    </row>
    <row r="381" ht="15" customHeight="1" s="72">
      <c r="A381" s="117" t="n"/>
      <c r="B381" s="117" t="n"/>
      <c r="C381" s="117" t="n"/>
      <c r="D381" s="117" t="n"/>
      <c r="E381" s="118" t="n"/>
      <c r="F381" s="119" t="n"/>
      <c r="G381" s="120" t="n"/>
      <c r="H381" s="123" t="n"/>
      <c r="I381" s="123" t="n"/>
    </row>
    <row r="382" ht="15" customHeight="1" s="72">
      <c r="A382" s="117" t="n"/>
      <c r="B382" s="117" t="n"/>
      <c r="C382" s="117" t="n"/>
      <c r="D382" s="117" t="n"/>
      <c r="E382" s="118" t="n"/>
      <c r="F382" s="119" t="n"/>
      <c r="G382" s="120" t="n"/>
      <c r="H382" s="123" t="n"/>
      <c r="I382" s="123" t="n"/>
    </row>
    <row r="383" ht="15" customHeight="1" s="72">
      <c r="A383" s="117" t="n"/>
      <c r="B383" s="117" t="n"/>
      <c r="C383" s="117" t="n"/>
      <c r="D383" s="117" t="n"/>
      <c r="E383" s="118" t="n"/>
      <c r="F383" s="119" t="n"/>
      <c r="G383" s="120" t="n"/>
      <c r="H383" s="123" t="n"/>
      <c r="I383" s="123" t="n"/>
    </row>
    <row r="384" ht="15" customHeight="1" s="72">
      <c r="A384" s="117" t="n"/>
      <c r="B384" s="117" t="n"/>
      <c r="C384" s="117" t="n"/>
      <c r="D384" s="117" t="n"/>
      <c r="E384" s="118" t="n"/>
      <c r="F384" s="119" t="n"/>
      <c r="G384" s="120" t="n"/>
      <c r="H384" s="123" t="n"/>
      <c r="I384" s="123" t="n"/>
    </row>
    <row r="385" ht="15" customHeight="1" s="72">
      <c r="A385" s="117" t="n"/>
      <c r="B385" s="117" t="n"/>
      <c r="C385" s="117" t="n"/>
      <c r="D385" s="117" t="n"/>
      <c r="E385" s="118" t="n"/>
      <c r="F385" s="119" t="n"/>
      <c r="G385" s="120" t="n"/>
      <c r="H385" s="123" t="n"/>
      <c r="I385" s="123" t="n"/>
    </row>
    <row r="386" ht="15" customHeight="1" s="72">
      <c r="A386" s="117" t="n"/>
      <c r="B386" s="117" t="n"/>
      <c r="C386" s="117" t="n"/>
      <c r="D386" s="117" t="n"/>
      <c r="E386" s="118" t="n"/>
      <c r="F386" s="119" t="n"/>
      <c r="G386" s="120" t="n"/>
      <c r="H386" s="123" t="n"/>
      <c r="I386" s="123" t="n"/>
    </row>
    <row r="387" ht="15" customHeight="1" s="72">
      <c r="A387" s="117" t="n"/>
      <c r="B387" s="117" t="n"/>
      <c r="C387" s="117" t="n"/>
      <c r="D387" s="117" t="n"/>
      <c r="E387" s="118" t="n"/>
      <c r="F387" s="119" t="n"/>
      <c r="G387" s="120" t="n"/>
      <c r="H387" s="123" t="n"/>
      <c r="I387" s="123" t="n"/>
    </row>
    <row r="388" ht="15" customHeight="1" s="72">
      <c r="A388" s="117" t="n"/>
      <c r="B388" s="117" t="n"/>
      <c r="C388" s="117" t="n"/>
      <c r="D388" s="117" t="n"/>
      <c r="E388" s="118" t="n"/>
      <c r="F388" s="119" t="n"/>
      <c r="G388" s="120" t="n"/>
      <c r="H388" s="123" t="n"/>
      <c r="I388" s="123" t="n"/>
    </row>
    <row r="389" ht="15" customHeight="1" s="72">
      <c r="A389" s="117" t="n"/>
      <c r="B389" s="117" t="n"/>
      <c r="C389" s="117" t="n"/>
      <c r="D389" s="117" t="n"/>
      <c r="E389" s="118" t="n"/>
      <c r="F389" s="119" t="n"/>
      <c r="G389" s="120" t="n"/>
      <c r="H389" s="123" t="n"/>
      <c r="I389" s="123" t="n"/>
    </row>
    <row r="390" ht="15" customHeight="1" s="72">
      <c r="A390" s="117" t="n"/>
      <c r="B390" s="117" t="n"/>
      <c r="C390" s="117" t="n"/>
      <c r="D390" s="117" t="n"/>
      <c r="E390" s="118" t="n"/>
      <c r="F390" s="119" t="n"/>
      <c r="G390" s="120" t="n"/>
      <c r="H390" s="123" t="n"/>
      <c r="I390" s="123" t="n"/>
    </row>
    <row r="391" ht="15" customHeight="1" s="72">
      <c r="A391" s="117" t="n"/>
      <c r="B391" s="117" t="n"/>
      <c r="C391" s="117" t="n"/>
      <c r="D391" s="117" t="n"/>
      <c r="E391" s="118" t="n"/>
      <c r="F391" s="119" t="n"/>
      <c r="G391" s="120" t="n"/>
      <c r="H391" s="123" t="n"/>
      <c r="I391" s="123" t="n"/>
    </row>
    <row r="392" ht="15" customHeight="1" s="72">
      <c r="A392" s="117" t="n"/>
      <c r="B392" s="117" t="n"/>
      <c r="C392" s="117" t="n"/>
      <c r="D392" s="117" t="n"/>
      <c r="E392" s="118" t="n"/>
      <c r="F392" s="119" t="n"/>
      <c r="G392" s="120" t="n"/>
      <c r="H392" s="123" t="n"/>
      <c r="I392" s="123" t="n"/>
    </row>
    <row r="393" ht="15" customHeight="1" s="72">
      <c r="A393" s="117" t="n"/>
      <c r="B393" s="117" t="n"/>
      <c r="C393" s="117" t="n"/>
      <c r="D393" s="117" t="n"/>
      <c r="E393" s="118" t="n"/>
      <c r="F393" s="119" t="n"/>
      <c r="G393" s="120" t="n"/>
      <c r="H393" s="123" t="n"/>
      <c r="I393" s="123" t="n"/>
    </row>
    <row r="394" ht="15" customHeight="1" s="72">
      <c r="A394" s="117" t="n"/>
      <c r="B394" s="117" t="n"/>
      <c r="C394" s="117" t="n"/>
      <c r="D394" s="117" t="n"/>
      <c r="E394" s="118" t="n"/>
      <c r="F394" s="119" t="n"/>
      <c r="G394" s="120" t="n"/>
      <c r="H394" s="123" t="n"/>
      <c r="I394" s="123" t="n"/>
    </row>
    <row r="395" ht="15" customHeight="1" s="72">
      <c r="A395" s="117" t="n"/>
      <c r="B395" s="117" t="n"/>
      <c r="C395" s="117" t="n"/>
      <c r="D395" s="117" t="n"/>
      <c r="E395" s="118" t="n"/>
      <c r="F395" s="119" t="n"/>
      <c r="G395" s="120" t="n"/>
      <c r="H395" s="123" t="n"/>
      <c r="I395" s="123" t="n"/>
    </row>
    <row r="396" ht="15" customHeight="1" s="72">
      <c r="A396" s="117" t="n"/>
      <c r="B396" s="117" t="n"/>
      <c r="C396" s="117" t="n"/>
      <c r="D396" s="117" t="n"/>
      <c r="E396" s="118" t="n"/>
      <c r="F396" s="119" t="n"/>
      <c r="G396" s="120" t="n"/>
      <c r="H396" s="123" t="n"/>
      <c r="I396" s="123" t="n"/>
    </row>
    <row r="397" ht="15" customHeight="1" s="72">
      <c r="A397" s="117" t="n"/>
      <c r="B397" s="117" t="n"/>
      <c r="C397" s="117" t="n"/>
      <c r="D397" s="117" t="n"/>
      <c r="E397" s="118" t="n"/>
      <c r="F397" s="119" t="n"/>
      <c r="G397" s="120" t="n"/>
      <c r="H397" s="123" t="n"/>
      <c r="I397" s="123" t="n"/>
    </row>
    <row r="398" ht="15" customHeight="1" s="72">
      <c r="A398" s="117" t="n"/>
      <c r="B398" s="117" t="n"/>
      <c r="C398" s="117" t="n"/>
      <c r="D398" s="117" t="n"/>
      <c r="E398" s="118" t="n"/>
      <c r="F398" s="119" t="n"/>
      <c r="G398" s="120" t="n"/>
      <c r="H398" s="123" t="n"/>
      <c r="I398" s="123" t="n"/>
    </row>
    <row r="399" ht="15" customHeight="1" s="72">
      <c r="A399" s="117" t="n"/>
      <c r="B399" s="117" t="n"/>
      <c r="C399" s="117" t="n"/>
      <c r="D399" s="117" t="n"/>
      <c r="E399" s="118" t="n"/>
      <c r="F399" s="119" t="n"/>
      <c r="G399" s="120" t="n"/>
      <c r="H399" s="123" t="n"/>
      <c r="I399" s="123" t="n"/>
    </row>
    <row r="400" ht="15" customHeight="1" s="72">
      <c r="A400" s="117" t="n"/>
      <c r="B400" s="117" t="n"/>
      <c r="C400" s="117" t="n"/>
      <c r="D400" s="117" t="n"/>
      <c r="E400" s="118" t="n"/>
      <c r="F400" s="119" t="n"/>
      <c r="G400" s="120" t="n"/>
      <c r="H400" s="123" t="n"/>
      <c r="I400" s="123" t="n"/>
    </row>
    <row r="401" ht="15" customHeight="1" s="72">
      <c r="A401" s="117" t="n"/>
      <c r="B401" s="117" t="n"/>
      <c r="C401" s="117" t="n"/>
      <c r="D401" s="117" t="n"/>
      <c r="E401" s="118" t="n"/>
      <c r="F401" s="119" t="n"/>
      <c r="G401" s="120" t="n"/>
      <c r="H401" s="123" t="n"/>
      <c r="I401" s="123" t="n"/>
    </row>
    <row r="402" ht="15" customHeight="1" s="72">
      <c r="A402" s="117" t="n"/>
      <c r="B402" s="117" t="n"/>
      <c r="C402" s="117" t="n"/>
      <c r="D402" s="117" t="n"/>
      <c r="E402" s="118" t="n"/>
      <c r="F402" s="119" t="n"/>
      <c r="G402" s="120" t="n"/>
      <c r="H402" s="123" t="n"/>
      <c r="I402" s="123" t="n"/>
    </row>
    <row r="403" ht="15" customHeight="1" s="72">
      <c r="A403" s="117" t="n"/>
      <c r="B403" s="117" t="n"/>
      <c r="C403" s="117" t="n"/>
      <c r="D403" s="117" t="n"/>
      <c r="E403" s="118" t="n"/>
      <c r="F403" s="119" t="n"/>
      <c r="G403" s="120" t="n"/>
      <c r="H403" s="123" t="n"/>
      <c r="I403" s="123" t="n"/>
    </row>
    <row r="404" ht="15" customHeight="1" s="72">
      <c r="A404" s="117" t="n"/>
      <c r="B404" s="117" t="n"/>
      <c r="C404" s="117" t="n"/>
      <c r="D404" s="117" t="n"/>
      <c r="E404" s="118" t="n"/>
      <c r="F404" s="119" t="n"/>
      <c r="G404" s="120" t="n"/>
      <c r="H404" s="123" t="n"/>
      <c r="I404" s="123" t="n"/>
    </row>
    <row r="405" ht="15" customHeight="1" s="72">
      <c r="A405" s="117" t="n"/>
      <c r="B405" s="117" t="n"/>
      <c r="C405" s="117" t="n"/>
      <c r="D405" s="117" t="n"/>
      <c r="E405" s="118" t="n"/>
      <c r="F405" s="119" t="n"/>
      <c r="G405" s="120" t="n"/>
      <c r="H405" s="123" t="n"/>
      <c r="I405" s="123" t="n"/>
    </row>
    <row r="406" ht="15" customHeight="1" s="72">
      <c r="A406" s="117" t="n"/>
      <c r="B406" s="117" t="n"/>
      <c r="C406" s="117" t="n"/>
      <c r="D406" s="117" t="n"/>
      <c r="E406" s="118" t="n"/>
      <c r="F406" s="119" t="n"/>
      <c r="G406" s="120" t="n"/>
      <c r="H406" s="123" t="n"/>
      <c r="I406" s="123" t="n"/>
    </row>
    <row r="407" ht="15" customHeight="1" s="72">
      <c r="A407" s="117" t="n"/>
      <c r="B407" s="117" t="n"/>
      <c r="C407" s="117" t="n"/>
      <c r="D407" s="117" t="n"/>
      <c r="E407" s="118" t="n"/>
      <c r="F407" s="119" t="n"/>
      <c r="G407" s="120" t="n"/>
      <c r="H407" s="123" t="n"/>
      <c r="I407" s="123" t="n"/>
    </row>
    <row r="408" ht="15" customHeight="1" s="72">
      <c r="A408" s="117" t="n"/>
      <c r="B408" s="117" t="n"/>
      <c r="C408" s="117" t="n"/>
      <c r="D408" s="117" t="n"/>
      <c r="E408" s="118" t="n"/>
      <c r="F408" s="119" t="n"/>
      <c r="G408" s="120" t="n"/>
      <c r="H408" s="123" t="n"/>
      <c r="I408" s="123" t="n"/>
    </row>
    <row r="409" ht="15" customHeight="1" s="72">
      <c r="A409" s="117" t="n"/>
      <c r="B409" s="117" t="n"/>
      <c r="C409" s="117" t="n"/>
      <c r="D409" s="117" t="n"/>
      <c r="E409" s="118" t="n"/>
      <c r="F409" s="119" t="n"/>
      <c r="G409" s="120" t="n"/>
      <c r="H409" s="123" t="n"/>
      <c r="I409" s="123" t="n"/>
    </row>
    <row r="410" ht="15" customHeight="1" s="72">
      <c r="A410" s="117" t="n"/>
      <c r="B410" s="117" t="n"/>
      <c r="C410" s="117" t="n"/>
      <c r="D410" s="117" t="n"/>
      <c r="E410" s="118" t="n"/>
      <c r="F410" s="119" t="n"/>
      <c r="G410" s="120" t="n"/>
      <c r="H410" s="123" t="n"/>
      <c r="I410" s="123" t="n"/>
    </row>
    <row r="411" ht="15" customHeight="1" s="72">
      <c r="A411" s="117" t="n"/>
      <c r="B411" s="117" t="n"/>
      <c r="C411" s="117" t="n"/>
      <c r="D411" s="117" t="n"/>
      <c r="E411" s="118" t="n"/>
      <c r="F411" s="119" t="n"/>
      <c r="G411" s="120" t="n"/>
      <c r="H411" s="123" t="n"/>
      <c r="I411" s="123" t="n"/>
    </row>
    <row r="412" ht="15" customHeight="1" s="72">
      <c r="A412" s="117" t="n"/>
      <c r="B412" s="117" t="n"/>
      <c r="C412" s="117" t="n"/>
      <c r="D412" s="117" t="n"/>
      <c r="E412" s="118" t="n"/>
      <c r="F412" s="119" t="n"/>
      <c r="G412" s="120" t="n"/>
      <c r="H412" s="123" t="n"/>
      <c r="I412" s="123" t="n"/>
    </row>
    <row r="413" ht="15" customHeight="1" s="72">
      <c r="A413" s="117" t="n"/>
      <c r="B413" s="117" t="n"/>
      <c r="C413" s="117" t="n"/>
      <c r="D413" s="117" t="n"/>
      <c r="E413" s="118" t="n"/>
      <c r="F413" s="119" t="n"/>
      <c r="G413" s="120" t="n"/>
      <c r="H413" s="123" t="n"/>
      <c r="I413" s="123" t="n"/>
    </row>
    <row r="414" ht="15" customHeight="1" s="72">
      <c r="A414" s="117" t="n"/>
      <c r="B414" s="117" t="n"/>
      <c r="C414" s="117" t="n"/>
      <c r="D414" s="117" t="n"/>
      <c r="E414" s="118" t="n"/>
      <c r="F414" s="119" t="n"/>
      <c r="G414" s="120" t="n"/>
      <c r="H414" s="123" t="n"/>
      <c r="I414" s="123" t="n"/>
    </row>
    <row r="415" ht="15" customHeight="1" s="72">
      <c r="A415" s="117" t="n"/>
      <c r="B415" s="117" t="n"/>
      <c r="C415" s="117" t="n"/>
      <c r="D415" s="117" t="n"/>
      <c r="E415" s="118" t="n"/>
      <c r="F415" s="119" t="n"/>
      <c r="G415" s="120" t="n"/>
      <c r="H415" s="123" t="n"/>
      <c r="I415" s="123" t="n"/>
    </row>
    <row r="416" ht="15" customHeight="1" s="72">
      <c r="A416" s="117" t="n"/>
      <c r="B416" s="117" t="n"/>
      <c r="C416" s="117" t="n"/>
      <c r="D416" s="117" t="n"/>
      <c r="E416" s="118" t="n"/>
      <c r="F416" s="119" t="n"/>
      <c r="G416" s="120" t="n"/>
      <c r="H416" s="123" t="n"/>
      <c r="I416" s="123" t="n"/>
    </row>
    <row r="417" ht="15" customHeight="1" s="72">
      <c r="A417" s="117" t="n"/>
      <c r="B417" s="117" t="n"/>
      <c r="C417" s="117" t="n"/>
      <c r="D417" s="117" t="n"/>
      <c r="E417" s="118" t="n"/>
      <c r="F417" s="119" t="n"/>
      <c r="G417" s="120" t="n"/>
      <c r="H417" s="123" t="n"/>
      <c r="I417" s="123" t="n"/>
    </row>
    <row r="418" ht="15" customHeight="1" s="72">
      <c r="A418" s="117" t="n"/>
      <c r="B418" s="117" t="n"/>
      <c r="C418" s="117" t="n"/>
      <c r="D418" s="117" t="n"/>
      <c r="E418" s="118" t="n"/>
      <c r="F418" s="119" t="n"/>
      <c r="G418" s="120" t="n"/>
      <c r="H418" s="123" t="n"/>
      <c r="I418" s="123" t="n"/>
    </row>
    <row r="419" ht="15" customHeight="1" s="72">
      <c r="A419" s="117" t="n"/>
      <c r="B419" s="117" t="n"/>
      <c r="C419" s="117" t="n"/>
      <c r="D419" s="117" t="n"/>
      <c r="E419" s="118" t="n"/>
      <c r="F419" s="119" t="n"/>
      <c r="G419" s="120" t="n"/>
      <c r="H419" s="123" t="n"/>
      <c r="I419" s="123" t="n"/>
    </row>
    <row r="420" ht="15" customHeight="1" s="72">
      <c r="A420" s="117" t="n"/>
      <c r="B420" s="117" t="n"/>
      <c r="C420" s="117" t="n"/>
      <c r="D420" s="117" t="n"/>
      <c r="E420" s="118" t="n"/>
      <c r="F420" s="119" t="n"/>
      <c r="G420" s="120" t="n"/>
      <c r="H420" s="123" t="n"/>
      <c r="I420" s="123" t="n"/>
    </row>
    <row r="421" ht="15" customHeight="1" s="72">
      <c r="A421" s="117" t="n"/>
      <c r="B421" s="117" t="n"/>
      <c r="C421" s="117" t="n"/>
      <c r="D421" s="117" t="n"/>
      <c r="E421" s="118" t="n"/>
      <c r="F421" s="119" t="n"/>
      <c r="G421" s="120" t="n"/>
      <c r="H421" s="123" t="n"/>
      <c r="I421" s="123" t="n"/>
    </row>
    <row r="422" ht="15" customHeight="1" s="72">
      <c r="A422" s="117" t="n"/>
      <c r="B422" s="117" t="n"/>
      <c r="C422" s="117" t="n"/>
      <c r="D422" s="117" t="n"/>
      <c r="E422" s="118" t="n"/>
      <c r="F422" s="119" t="n"/>
      <c r="G422" s="120" t="n"/>
      <c r="H422" s="123" t="n"/>
      <c r="I422" s="123" t="n"/>
    </row>
    <row r="423" ht="15" customHeight="1" s="72">
      <c r="A423" s="117" t="n"/>
      <c r="B423" s="117" t="n"/>
      <c r="C423" s="117" t="n"/>
      <c r="D423" s="117" t="n"/>
      <c r="E423" s="118" t="n"/>
      <c r="F423" s="119" t="n"/>
      <c r="G423" s="120" t="n"/>
      <c r="H423" s="123" t="n"/>
      <c r="I423" s="123" t="n"/>
    </row>
    <row r="424" ht="15" customHeight="1" s="72">
      <c r="A424" s="117" t="n"/>
      <c r="B424" s="117" t="n"/>
      <c r="C424" s="117" t="n"/>
      <c r="D424" s="117" t="n"/>
      <c r="E424" s="118" t="n"/>
      <c r="F424" s="119" t="n"/>
      <c r="G424" s="120" t="n"/>
      <c r="H424" s="123" t="n"/>
      <c r="I424" s="123" t="n"/>
    </row>
    <row r="425" ht="15" customHeight="1" s="72">
      <c r="A425" s="117" t="n"/>
      <c r="B425" s="117" t="n"/>
      <c r="C425" s="117" t="n"/>
      <c r="D425" s="117" t="n"/>
      <c r="E425" s="118" t="n"/>
      <c r="F425" s="119" t="n"/>
      <c r="G425" s="120" t="n"/>
      <c r="H425" s="123" t="n"/>
      <c r="I425" s="123" t="n"/>
    </row>
    <row r="426" ht="15" customHeight="1" s="72">
      <c r="A426" s="117" t="n"/>
      <c r="B426" s="117" t="n"/>
      <c r="C426" s="117" t="n"/>
      <c r="D426" s="117" t="n"/>
      <c r="E426" s="118" t="n"/>
      <c r="F426" s="119" t="n"/>
      <c r="G426" s="120" t="n"/>
      <c r="H426" s="123" t="n"/>
      <c r="I426" s="123" t="n"/>
    </row>
    <row r="427" ht="15" customHeight="1" s="72">
      <c r="A427" s="117" t="n"/>
      <c r="B427" s="117" t="n"/>
      <c r="C427" s="117" t="n"/>
      <c r="D427" s="117" t="n"/>
      <c r="E427" s="118" t="n"/>
      <c r="F427" s="119" t="n"/>
      <c r="G427" s="120" t="n"/>
      <c r="H427" s="123" t="n"/>
      <c r="I427" s="123" t="n"/>
    </row>
    <row r="428" ht="15" customHeight="1" s="72">
      <c r="A428" s="117" t="n"/>
      <c r="B428" s="117" t="n"/>
      <c r="C428" s="117" t="n"/>
      <c r="D428" s="117" t="n"/>
      <c r="E428" s="118" t="n"/>
      <c r="F428" s="119" t="n"/>
      <c r="G428" s="120" t="n"/>
      <c r="H428" s="123" t="n"/>
      <c r="I428" s="123" t="n"/>
    </row>
    <row r="429" ht="15" customHeight="1" s="72">
      <c r="A429" s="117" t="n"/>
      <c r="B429" s="117" t="n"/>
      <c r="C429" s="117" t="n"/>
      <c r="D429" s="117" t="n"/>
      <c r="E429" s="118" t="n"/>
      <c r="F429" s="119" t="n"/>
      <c r="G429" s="120" t="n"/>
      <c r="H429" s="123" t="n"/>
      <c r="I429" s="123" t="n"/>
    </row>
    <row r="430" ht="15" customHeight="1" s="72">
      <c r="A430" s="117" t="n"/>
      <c r="B430" s="117" t="n"/>
      <c r="C430" s="117" t="n"/>
      <c r="D430" s="117" t="n"/>
      <c r="E430" s="118" t="n"/>
      <c r="F430" s="119" t="n"/>
      <c r="G430" s="120" t="n"/>
      <c r="H430" s="123" t="n"/>
      <c r="I430" s="123" t="n"/>
    </row>
    <row r="431" ht="15" customHeight="1" s="72">
      <c r="A431" s="117" t="n"/>
      <c r="B431" s="117" t="n"/>
      <c r="C431" s="117" t="n"/>
      <c r="D431" s="117" t="n"/>
      <c r="E431" s="118" t="n"/>
      <c r="F431" s="119" t="n"/>
      <c r="G431" s="120" t="n"/>
      <c r="H431" s="123" t="n"/>
      <c r="I431" s="123" t="n"/>
    </row>
    <row r="432" ht="15" customHeight="1" s="72">
      <c r="A432" s="117" t="n"/>
      <c r="B432" s="117" t="n"/>
      <c r="C432" s="117" t="n"/>
      <c r="D432" s="117" t="n"/>
      <c r="E432" s="118" t="n"/>
      <c r="F432" s="119" t="n"/>
      <c r="G432" s="120" t="n"/>
      <c r="H432" s="123" t="n"/>
      <c r="I432" s="123" t="n"/>
    </row>
    <row r="433" ht="15" customHeight="1" s="72">
      <c r="A433" s="117" t="n"/>
      <c r="B433" s="117" t="n"/>
      <c r="C433" s="117" t="n"/>
      <c r="D433" s="117" t="n"/>
      <c r="E433" s="118" t="n"/>
      <c r="F433" s="119" t="n"/>
      <c r="G433" s="120" t="n"/>
      <c r="H433" s="123" t="n"/>
      <c r="I433" s="123" t="n"/>
    </row>
    <row r="434" ht="15" customHeight="1" s="72">
      <c r="A434" s="117" t="n"/>
      <c r="B434" s="117" t="n"/>
      <c r="C434" s="117" t="n"/>
      <c r="D434" s="117" t="n"/>
      <c r="E434" s="118" t="n"/>
      <c r="F434" s="119" t="n"/>
      <c r="G434" s="120" t="n"/>
      <c r="H434" s="123" t="n"/>
      <c r="I434" s="123" t="n"/>
    </row>
    <row r="435" ht="15" customHeight="1" s="72">
      <c r="A435" s="117" t="n"/>
      <c r="B435" s="117" t="n"/>
      <c r="C435" s="117" t="n"/>
      <c r="D435" s="117" t="n"/>
      <c r="E435" s="118" t="n"/>
      <c r="F435" s="119" t="n"/>
      <c r="G435" s="120" t="n"/>
      <c r="H435" s="123" t="n"/>
      <c r="I435" s="123" t="n"/>
    </row>
    <row r="436" ht="15" customHeight="1" s="72">
      <c r="A436" s="117" t="n"/>
      <c r="B436" s="117" t="n"/>
      <c r="C436" s="117" t="n"/>
      <c r="D436" s="117" t="n"/>
      <c r="E436" s="118" t="n"/>
      <c r="F436" s="119" t="n"/>
      <c r="G436" s="120" t="n"/>
      <c r="H436" s="123" t="n"/>
      <c r="I436" s="123" t="n"/>
    </row>
    <row r="437" ht="15" customHeight="1" s="72">
      <c r="A437" s="117" t="n"/>
      <c r="B437" s="117" t="n"/>
      <c r="C437" s="117" t="n"/>
      <c r="D437" s="117" t="n"/>
      <c r="E437" s="118" t="n"/>
      <c r="F437" s="119" t="n"/>
      <c r="G437" s="120" t="n"/>
      <c r="H437" s="123" t="n"/>
      <c r="I437" s="123" t="n"/>
    </row>
    <row r="438" ht="15" customHeight="1" s="72">
      <c r="A438" s="117" t="n"/>
      <c r="B438" s="117" t="n"/>
      <c r="C438" s="117" t="n"/>
      <c r="D438" s="117" t="n"/>
      <c r="E438" s="118" t="n"/>
      <c r="F438" s="119" t="n"/>
      <c r="G438" s="120" t="n"/>
      <c r="H438" s="123" t="n"/>
      <c r="I438" s="123" t="n"/>
    </row>
    <row r="439" ht="15" customHeight="1" s="72">
      <c r="A439" s="117" t="n"/>
      <c r="B439" s="117" t="n"/>
      <c r="C439" s="117" t="n"/>
      <c r="D439" s="117" t="n"/>
      <c r="E439" s="118" t="n"/>
      <c r="F439" s="119" t="n"/>
      <c r="G439" s="120" t="n"/>
      <c r="H439" s="123" t="n"/>
      <c r="I439" s="123" t="n"/>
    </row>
    <row r="440" ht="15" customHeight="1" s="72">
      <c r="A440" s="117" t="n"/>
      <c r="B440" s="117" t="n"/>
      <c r="C440" s="117" t="n"/>
      <c r="D440" s="117" t="n"/>
      <c r="E440" s="118" t="n"/>
      <c r="F440" s="119" t="n"/>
      <c r="G440" s="120" t="n"/>
      <c r="H440" s="123" t="n"/>
      <c r="I440" s="123" t="n"/>
    </row>
    <row r="441" ht="15" customHeight="1" s="72">
      <c r="A441" s="117" t="n"/>
      <c r="B441" s="117" t="n"/>
      <c r="C441" s="117" t="n"/>
      <c r="D441" s="117" t="n"/>
      <c r="E441" s="118" t="n"/>
      <c r="F441" s="119" t="n"/>
      <c r="G441" s="120" t="n"/>
      <c r="H441" s="123" t="n"/>
      <c r="I441" s="123" t="n"/>
    </row>
    <row r="442" ht="15" customHeight="1" s="72">
      <c r="A442" s="117" t="n"/>
      <c r="B442" s="117" t="n"/>
      <c r="C442" s="117" t="n"/>
      <c r="D442" s="117" t="n"/>
      <c r="E442" s="118" t="n"/>
      <c r="F442" s="119" t="n"/>
      <c r="G442" s="120" t="n"/>
      <c r="H442" s="123" t="n"/>
      <c r="I442" s="123" t="n"/>
    </row>
    <row r="443" ht="15" customHeight="1" s="72">
      <c r="A443" s="117" t="n"/>
      <c r="B443" s="117" t="n"/>
      <c r="C443" s="117" t="n"/>
      <c r="D443" s="117" t="n"/>
      <c r="E443" s="118" t="n"/>
      <c r="F443" s="119" t="n"/>
      <c r="G443" s="120" t="n"/>
      <c r="H443" s="123" t="n"/>
      <c r="I443" s="123" t="n"/>
    </row>
    <row r="444" ht="15" customHeight="1" s="72">
      <c r="A444" s="117" t="n"/>
      <c r="B444" s="117" t="n"/>
      <c r="C444" s="117" t="n"/>
      <c r="D444" s="117" t="n"/>
      <c r="E444" s="118" t="n"/>
      <c r="F444" s="119" t="n"/>
      <c r="G444" s="120" t="n"/>
      <c r="H444" s="123" t="n"/>
      <c r="I444" s="123" t="n"/>
    </row>
    <row r="445" ht="15" customHeight="1" s="72">
      <c r="A445" s="117" t="n"/>
      <c r="B445" s="117" t="n"/>
      <c r="C445" s="117" t="n"/>
      <c r="D445" s="117" t="n"/>
      <c r="E445" s="118" t="n"/>
      <c r="F445" s="119" t="n"/>
      <c r="G445" s="120" t="n"/>
      <c r="H445" s="123" t="n"/>
      <c r="I445" s="123" t="n"/>
    </row>
    <row r="446" ht="15" customHeight="1" s="72">
      <c r="A446" s="117" t="n"/>
      <c r="B446" s="117" t="n"/>
      <c r="C446" s="117" t="n"/>
      <c r="D446" s="117" t="n"/>
      <c r="E446" s="118" t="n"/>
      <c r="F446" s="119" t="n"/>
      <c r="G446" s="120" t="n"/>
      <c r="H446" s="123" t="n"/>
      <c r="I446" s="123" t="n"/>
    </row>
    <row r="447" ht="15" customHeight="1" s="72">
      <c r="A447" s="117" t="n"/>
      <c r="B447" s="117" t="n"/>
      <c r="C447" s="117" t="n"/>
      <c r="D447" s="117" t="n"/>
      <c r="E447" s="118" t="n"/>
      <c r="F447" s="119" t="n"/>
      <c r="G447" s="120" t="n"/>
      <c r="H447" s="123" t="n"/>
      <c r="I447" s="123" t="n"/>
    </row>
    <row r="448" ht="15" customHeight="1" s="72">
      <c r="A448" s="117" t="n"/>
      <c r="B448" s="117" t="n"/>
      <c r="C448" s="117" t="n"/>
      <c r="D448" s="117" t="n"/>
      <c r="E448" s="118" t="n"/>
      <c r="F448" s="119" t="n"/>
      <c r="G448" s="120" t="n"/>
      <c r="H448" s="123" t="n"/>
      <c r="I448" s="123" t="n"/>
    </row>
    <row r="449" ht="15" customHeight="1" s="72">
      <c r="A449" s="117" t="n"/>
      <c r="B449" s="117" t="n"/>
      <c r="C449" s="117" t="n"/>
      <c r="D449" s="117" t="n"/>
      <c r="E449" s="118" t="n"/>
      <c r="F449" s="119" t="n"/>
      <c r="G449" s="120" t="n"/>
      <c r="H449" s="123" t="n"/>
      <c r="I449" s="123" t="n"/>
    </row>
    <row r="450" ht="15" customHeight="1" s="72">
      <c r="A450" s="117" t="n"/>
      <c r="B450" s="117" t="n"/>
      <c r="C450" s="117" t="n"/>
      <c r="D450" s="117" t="n"/>
      <c r="E450" s="118" t="n"/>
      <c r="F450" s="119" t="n"/>
      <c r="G450" s="120" t="n"/>
      <c r="H450" s="123" t="n"/>
      <c r="I450" s="123" t="n"/>
    </row>
    <row r="451" ht="15" customHeight="1" s="72">
      <c r="A451" s="117" t="n"/>
      <c r="B451" s="117" t="n"/>
      <c r="C451" s="117" t="n"/>
      <c r="D451" s="117" t="n"/>
      <c r="E451" s="118" t="n"/>
      <c r="F451" s="119" t="n"/>
      <c r="G451" s="120" t="n"/>
      <c r="H451" s="123" t="n"/>
      <c r="I451" s="123" t="n"/>
    </row>
    <row r="452" ht="15" customHeight="1" s="72">
      <c r="A452" s="117" t="n"/>
      <c r="B452" s="117" t="n"/>
      <c r="C452" s="117" t="n"/>
      <c r="D452" s="117" t="n"/>
      <c r="E452" s="118" t="n"/>
      <c r="F452" s="119" t="n"/>
      <c r="G452" s="120" t="n"/>
      <c r="H452" s="123" t="n"/>
      <c r="I452" s="123" t="n"/>
    </row>
    <row r="453" ht="15" customHeight="1" s="72">
      <c r="A453" s="117" t="n"/>
      <c r="B453" s="117" t="n"/>
      <c r="C453" s="117" t="n"/>
      <c r="D453" s="117" t="n"/>
      <c r="E453" s="118" t="n"/>
      <c r="F453" s="119" t="n"/>
      <c r="G453" s="120" t="n"/>
      <c r="H453" s="123" t="n"/>
      <c r="I453" s="123" t="n"/>
    </row>
    <row r="454" ht="15" customHeight="1" s="72">
      <c r="A454" s="117" t="n"/>
      <c r="B454" s="117" t="n"/>
      <c r="C454" s="117" t="n"/>
      <c r="D454" s="117" t="n"/>
      <c r="E454" s="118" t="n"/>
      <c r="F454" s="119" t="n"/>
      <c r="G454" s="120" t="n"/>
      <c r="H454" s="123" t="n"/>
      <c r="I454" s="123" t="n"/>
    </row>
    <row r="455" ht="15" customHeight="1" s="72">
      <c r="A455" s="117" t="n"/>
      <c r="B455" s="117" t="n"/>
      <c r="C455" s="117" t="n"/>
      <c r="D455" s="117" t="n"/>
      <c r="E455" s="118" t="n"/>
      <c r="F455" s="119" t="n"/>
      <c r="G455" s="120" t="n"/>
      <c r="H455" s="123" t="n"/>
      <c r="I455" s="123" t="n"/>
    </row>
    <row r="456" ht="15" customHeight="1" s="72">
      <c r="A456" s="117" t="n"/>
      <c r="B456" s="117" t="n"/>
      <c r="C456" s="117" t="n"/>
      <c r="D456" s="117" t="n"/>
      <c r="E456" s="118" t="n"/>
      <c r="F456" s="119" t="n"/>
      <c r="G456" s="120" t="n"/>
      <c r="H456" s="123" t="n"/>
      <c r="I456" s="123" t="n"/>
    </row>
    <row r="457" ht="15" customHeight="1" s="72">
      <c r="A457" s="117" t="n"/>
      <c r="B457" s="117" t="n"/>
      <c r="C457" s="117" t="n"/>
      <c r="D457" s="117" t="n"/>
      <c r="E457" s="118" t="n"/>
      <c r="F457" s="119" t="n"/>
      <c r="G457" s="120" t="n"/>
      <c r="H457" s="123" t="n"/>
      <c r="I457" s="123" t="n"/>
    </row>
    <row r="458" ht="15" customHeight="1" s="72">
      <c r="A458" s="117" t="n"/>
      <c r="B458" s="117" t="n"/>
      <c r="C458" s="117" t="n"/>
      <c r="D458" s="117" t="n"/>
      <c r="E458" s="118" t="n"/>
      <c r="F458" s="119" t="n"/>
      <c r="G458" s="120" t="n"/>
      <c r="H458" s="123" t="n"/>
      <c r="I458" s="123" t="n"/>
    </row>
    <row r="459" ht="15" customHeight="1" s="72">
      <c r="A459" s="117" t="n"/>
      <c r="B459" s="117" t="n"/>
      <c r="C459" s="117" t="n"/>
      <c r="D459" s="117" t="n"/>
      <c r="E459" s="118" t="n"/>
      <c r="F459" s="119" t="n"/>
      <c r="G459" s="120" t="n"/>
      <c r="H459" s="123" t="n"/>
      <c r="I459" s="123" t="n"/>
    </row>
    <row r="460" ht="15" customHeight="1" s="72">
      <c r="A460" s="117" t="n"/>
      <c r="B460" s="117" t="n"/>
      <c r="C460" s="117" t="n"/>
      <c r="D460" s="117" t="n"/>
      <c r="E460" s="118" t="n"/>
      <c r="F460" s="119" t="n"/>
      <c r="G460" s="120" t="n"/>
      <c r="H460" s="123" t="n"/>
      <c r="I460" s="123" t="n"/>
    </row>
    <row r="461" ht="15" customHeight="1" s="72">
      <c r="A461" s="117" t="n"/>
      <c r="B461" s="117" t="n"/>
      <c r="C461" s="117" t="n"/>
      <c r="D461" s="117" t="n"/>
      <c r="E461" s="118" t="n"/>
      <c r="F461" s="119" t="n"/>
      <c r="G461" s="120" t="n"/>
      <c r="H461" s="123" t="n"/>
      <c r="I461" s="123" t="n"/>
    </row>
    <row r="462" ht="15" customHeight="1" s="72">
      <c r="A462" s="117" t="n"/>
      <c r="B462" s="117" t="n"/>
      <c r="C462" s="117" t="n"/>
      <c r="D462" s="117" t="n"/>
      <c r="E462" s="118" t="n"/>
      <c r="F462" s="119" t="n"/>
      <c r="G462" s="120" t="n"/>
      <c r="H462" s="123" t="n"/>
      <c r="I462" s="123" t="n"/>
    </row>
    <row r="463" ht="15" customHeight="1" s="72">
      <c r="A463" s="117" t="n"/>
      <c r="B463" s="117" t="n"/>
      <c r="C463" s="117" t="n"/>
      <c r="D463" s="117" t="n"/>
      <c r="E463" s="118" t="n"/>
      <c r="F463" s="119" t="n"/>
      <c r="G463" s="120" t="n"/>
      <c r="H463" s="123" t="n"/>
      <c r="I463" s="123" t="n"/>
    </row>
    <row r="464" ht="15" customHeight="1" s="72">
      <c r="A464" s="117" t="n"/>
      <c r="B464" s="117" t="n"/>
      <c r="C464" s="117" t="n"/>
      <c r="D464" s="117" t="n"/>
      <c r="E464" s="118" t="n"/>
      <c r="F464" s="119" t="n"/>
      <c r="G464" s="120" t="n"/>
      <c r="H464" s="123" t="n"/>
      <c r="I464" s="123" t="n"/>
    </row>
    <row r="465" ht="15" customHeight="1" s="72">
      <c r="A465" s="117" t="n"/>
      <c r="B465" s="117" t="n"/>
      <c r="C465" s="117" t="n"/>
      <c r="D465" s="117" t="n"/>
      <c r="E465" s="118" t="n"/>
      <c r="F465" s="119" t="n"/>
      <c r="G465" s="120" t="n"/>
      <c r="H465" s="123" t="n"/>
      <c r="I465" s="123" t="n"/>
    </row>
    <row r="466" ht="15" customHeight="1" s="72">
      <c r="A466" s="117" t="n"/>
      <c r="B466" s="117" t="n"/>
      <c r="C466" s="117" t="n"/>
      <c r="D466" s="117" t="n"/>
      <c r="E466" s="118" t="n"/>
      <c r="F466" s="119" t="n"/>
      <c r="G466" s="120" t="n"/>
      <c r="H466" s="123" t="n"/>
      <c r="I466" s="123" t="n"/>
    </row>
    <row r="467" ht="15" customHeight="1" s="72">
      <c r="A467" s="117" t="n"/>
      <c r="B467" s="117" t="n"/>
      <c r="C467" s="117" t="n"/>
      <c r="D467" s="117" t="n"/>
      <c r="E467" s="118" t="n"/>
      <c r="F467" s="119" t="n"/>
      <c r="G467" s="120" t="n"/>
      <c r="H467" s="123" t="n"/>
      <c r="I467" s="123" t="n"/>
    </row>
    <row r="468" ht="15" customHeight="1" s="72">
      <c r="A468" s="117" t="n"/>
      <c r="B468" s="117" t="n"/>
      <c r="C468" s="117" t="n"/>
      <c r="D468" s="117" t="n"/>
      <c r="E468" s="118" t="n"/>
      <c r="F468" s="119" t="n"/>
      <c r="G468" s="120" t="n"/>
      <c r="H468" s="123" t="n"/>
      <c r="I468" s="123" t="n"/>
    </row>
    <row r="469" ht="15" customHeight="1" s="72">
      <c r="A469" s="117" t="n"/>
      <c r="B469" s="117" t="n"/>
      <c r="C469" s="117" t="n"/>
      <c r="D469" s="117" t="n"/>
      <c r="E469" s="118" t="n"/>
      <c r="F469" s="119" t="n"/>
      <c r="G469" s="120" t="n"/>
      <c r="H469" s="123" t="n"/>
      <c r="I469" s="123" t="n"/>
    </row>
    <row r="470" ht="15" customHeight="1" s="72">
      <c r="A470" s="117" t="n"/>
      <c r="B470" s="117" t="n"/>
      <c r="C470" s="117" t="n"/>
      <c r="D470" s="117" t="n"/>
      <c r="E470" s="118" t="n"/>
      <c r="F470" s="119" t="n"/>
      <c r="G470" s="120" t="n"/>
      <c r="H470" s="123" t="n"/>
      <c r="I470" s="123" t="n"/>
    </row>
    <row r="471" ht="15" customHeight="1" s="72">
      <c r="A471" s="117" t="n"/>
      <c r="B471" s="117" t="n"/>
      <c r="C471" s="117" t="n"/>
      <c r="D471" s="117" t="n"/>
      <c r="E471" s="118" t="n"/>
      <c r="F471" s="119" t="n"/>
      <c r="G471" s="120" t="n"/>
      <c r="H471" s="123" t="n"/>
      <c r="I471" s="123" t="n"/>
    </row>
    <row r="472" ht="15" customHeight="1" s="72">
      <c r="A472" s="117" t="n"/>
      <c r="B472" s="117" t="n"/>
      <c r="C472" s="117" t="n"/>
      <c r="D472" s="117" t="n"/>
      <c r="E472" s="118" t="n"/>
      <c r="F472" s="119" t="n"/>
      <c r="G472" s="120" t="n"/>
      <c r="H472" s="123" t="n"/>
      <c r="I472" s="123" t="n"/>
    </row>
    <row r="473" ht="15" customHeight="1" s="72">
      <c r="A473" s="117" t="n"/>
      <c r="B473" s="117" t="n"/>
      <c r="C473" s="117" t="n"/>
      <c r="D473" s="117" t="n"/>
      <c r="E473" s="118" t="n"/>
      <c r="F473" s="119" t="n"/>
      <c r="G473" s="120" t="n"/>
      <c r="H473" s="123" t="n"/>
      <c r="I473" s="123" t="n"/>
    </row>
    <row r="474" ht="15" customHeight="1" s="72">
      <c r="A474" s="117" t="n"/>
      <c r="B474" s="117" t="n"/>
      <c r="C474" s="117" t="n"/>
      <c r="D474" s="117" t="n"/>
      <c r="E474" s="118" t="n"/>
      <c r="F474" s="119" t="n"/>
      <c r="G474" s="120" t="n"/>
      <c r="H474" s="123" t="n"/>
      <c r="I474" s="123" t="n"/>
    </row>
    <row r="475" ht="15" customHeight="1" s="72">
      <c r="A475" s="117" t="n"/>
      <c r="B475" s="117" t="n"/>
      <c r="C475" s="117" t="n"/>
      <c r="D475" s="117" t="n"/>
      <c r="E475" s="118" t="n"/>
      <c r="F475" s="119" t="n"/>
      <c r="G475" s="120" t="n"/>
      <c r="H475" s="123" t="n"/>
      <c r="I475" s="123" t="n"/>
    </row>
    <row r="476" ht="15" customHeight="1" s="72">
      <c r="A476" s="117" t="n"/>
      <c r="B476" s="117" t="n"/>
      <c r="C476" s="117" t="n"/>
      <c r="D476" s="117" t="n"/>
      <c r="E476" s="118" t="n"/>
      <c r="F476" s="119" t="n"/>
      <c r="G476" s="120" t="n"/>
      <c r="H476" s="123" t="n"/>
      <c r="I476" s="123" t="n"/>
    </row>
    <row r="477" ht="15" customHeight="1" s="72">
      <c r="A477" s="117" t="n"/>
      <c r="B477" s="117" t="n"/>
      <c r="C477" s="117" t="n"/>
      <c r="D477" s="117" t="n"/>
      <c r="E477" s="118" t="n"/>
      <c r="F477" s="119" t="n"/>
      <c r="G477" s="120" t="n"/>
      <c r="H477" s="123" t="n"/>
      <c r="I477" s="123" t="n"/>
    </row>
    <row r="478" ht="15" customHeight="1" s="72">
      <c r="A478" s="117" t="n"/>
      <c r="B478" s="117" t="n"/>
      <c r="C478" s="117" t="n"/>
      <c r="D478" s="117" t="n"/>
      <c r="E478" s="118" t="n"/>
      <c r="F478" s="119" t="n"/>
      <c r="G478" s="120" t="n"/>
      <c r="H478" s="123" t="n"/>
      <c r="I478" s="123" t="n"/>
    </row>
    <row r="479" ht="15" customHeight="1" s="72">
      <c r="A479" s="117" t="n"/>
      <c r="B479" s="117" t="n"/>
      <c r="C479" s="117" t="n"/>
      <c r="D479" s="117" t="n"/>
      <c r="E479" s="118" t="n"/>
      <c r="F479" s="119" t="n"/>
      <c r="G479" s="120" t="n"/>
      <c r="H479" s="123" t="n"/>
      <c r="I479" s="123" t="n"/>
    </row>
    <row r="480" ht="15" customHeight="1" s="72">
      <c r="A480" s="117" t="n"/>
      <c r="B480" s="117" t="n"/>
      <c r="C480" s="117" t="n"/>
      <c r="D480" s="117" t="n"/>
      <c r="E480" s="118" t="n"/>
      <c r="F480" s="119" t="n"/>
      <c r="G480" s="120" t="n"/>
      <c r="H480" s="123" t="n"/>
      <c r="I480" s="123" t="n"/>
    </row>
    <row r="481" ht="15" customHeight="1" s="72">
      <c r="A481" s="117" t="n"/>
      <c r="B481" s="117" t="n"/>
      <c r="C481" s="117" t="n"/>
      <c r="D481" s="117" t="n"/>
      <c r="E481" s="118" t="n"/>
      <c r="F481" s="119" t="n"/>
      <c r="G481" s="120" t="n"/>
      <c r="H481" s="123" t="n"/>
      <c r="I481" s="123" t="n"/>
    </row>
    <row r="482" ht="15" customHeight="1" s="72">
      <c r="A482" s="117" t="n"/>
      <c r="B482" s="117" t="n"/>
      <c r="C482" s="117" t="n"/>
      <c r="D482" s="117" t="n"/>
      <c r="E482" s="118" t="n"/>
      <c r="F482" s="119" t="n"/>
      <c r="G482" s="120" t="n"/>
      <c r="H482" s="123" t="n"/>
      <c r="I482" s="123" t="n"/>
    </row>
    <row r="483" ht="15" customHeight="1" s="72">
      <c r="A483" s="117" t="n"/>
      <c r="B483" s="117" t="n"/>
      <c r="C483" s="117" t="n"/>
      <c r="D483" s="117" t="n"/>
      <c r="E483" s="118" t="n"/>
      <c r="F483" s="119" t="n"/>
      <c r="G483" s="120" t="n"/>
      <c r="H483" s="123" t="n"/>
      <c r="I483" s="123" t="n"/>
    </row>
    <row r="484" ht="15" customHeight="1" s="72">
      <c r="A484" s="117" t="n"/>
      <c r="B484" s="117" t="n"/>
      <c r="C484" s="117" t="n"/>
      <c r="D484" s="117" t="n"/>
      <c r="E484" s="118" t="n"/>
      <c r="F484" s="119" t="n"/>
      <c r="G484" s="120" t="n"/>
      <c r="H484" s="123" t="n"/>
      <c r="I484" s="123" t="n"/>
    </row>
    <row r="485" ht="15" customHeight="1" s="72">
      <c r="A485" s="117" t="n"/>
      <c r="B485" s="117" t="n"/>
      <c r="C485" s="117" t="n"/>
      <c r="D485" s="117" t="n"/>
      <c r="E485" s="118" t="n"/>
      <c r="F485" s="119" t="n"/>
      <c r="G485" s="120" t="n"/>
      <c r="H485" s="123" t="n"/>
      <c r="I485" s="123" t="n"/>
    </row>
    <row r="486" ht="15" customHeight="1" s="72">
      <c r="A486" s="117" t="n"/>
      <c r="B486" s="117" t="n"/>
      <c r="C486" s="117" t="n"/>
      <c r="D486" s="117" t="n"/>
      <c r="E486" s="118" t="n"/>
      <c r="F486" s="119" t="n"/>
      <c r="G486" s="120" t="n"/>
      <c r="H486" s="123" t="n"/>
      <c r="I486" s="123" t="n"/>
    </row>
    <row r="487" ht="15" customHeight="1" s="72">
      <c r="A487" s="117" t="n"/>
      <c r="B487" s="117" t="n"/>
      <c r="C487" s="117" t="n"/>
      <c r="D487" s="117" t="n"/>
      <c r="E487" s="118" t="n"/>
      <c r="F487" s="119" t="n"/>
      <c r="G487" s="120" t="n"/>
      <c r="H487" s="123" t="n"/>
      <c r="I487" s="123" t="n"/>
    </row>
    <row r="488" ht="15" customHeight="1" s="72">
      <c r="A488" s="117" t="n"/>
      <c r="B488" s="117" t="n"/>
      <c r="C488" s="117" t="n"/>
      <c r="D488" s="117" t="n"/>
      <c r="E488" s="118" t="n"/>
      <c r="F488" s="119" t="n"/>
      <c r="G488" s="120" t="n"/>
      <c r="H488" s="123" t="n"/>
      <c r="I488" s="123" t="n"/>
    </row>
    <row r="489" ht="15" customHeight="1" s="72">
      <c r="A489" s="117" t="n"/>
      <c r="B489" s="117" t="n"/>
      <c r="C489" s="117" t="n"/>
      <c r="D489" s="117" t="n"/>
      <c r="E489" s="118" t="n"/>
      <c r="F489" s="119" t="n"/>
      <c r="G489" s="120" t="n"/>
      <c r="H489" s="123" t="n"/>
      <c r="I489" s="123" t="n"/>
    </row>
    <row r="490" ht="15" customHeight="1" s="72">
      <c r="A490" s="117" t="n"/>
      <c r="B490" s="117" t="n"/>
      <c r="C490" s="117" t="n"/>
      <c r="D490" s="117" t="n"/>
      <c r="E490" s="118" t="n"/>
      <c r="F490" s="119" t="n"/>
      <c r="G490" s="120" t="n"/>
      <c r="H490" s="123" t="n"/>
      <c r="I490" s="123" t="n"/>
    </row>
    <row r="491" ht="15" customHeight="1" s="72">
      <c r="A491" s="117" t="n"/>
      <c r="B491" s="117" t="n"/>
      <c r="C491" s="117" t="n"/>
      <c r="D491" s="117" t="n"/>
      <c r="E491" s="118" t="n"/>
      <c r="F491" s="119" t="n"/>
      <c r="G491" s="120" t="n"/>
      <c r="H491" s="123" t="n"/>
      <c r="I491" s="123" t="n"/>
    </row>
    <row r="492" ht="15" customHeight="1" s="72">
      <c r="A492" s="117" t="n"/>
      <c r="B492" s="117" t="n"/>
      <c r="C492" s="117" t="n"/>
      <c r="D492" s="117" t="n"/>
      <c r="E492" s="118" t="n"/>
      <c r="F492" s="119" t="n"/>
      <c r="G492" s="120" t="n"/>
      <c r="H492" s="123" t="n"/>
      <c r="I492" s="123" t="n"/>
    </row>
    <row r="493" ht="15" customHeight="1" s="72">
      <c r="A493" s="117" t="n"/>
      <c r="B493" s="117" t="n"/>
      <c r="C493" s="117" t="n"/>
      <c r="D493" s="117" t="n"/>
      <c r="E493" s="118" t="n"/>
      <c r="F493" s="119" t="n"/>
      <c r="G493" s="120" t="n"/>
      <c r="H493" s="123" t="n"/>
      <c r="I493" s="123" t="n"/>
    </row>
    <row r="494" ht="15" customHeight="1" s="72">
      <c r="A494" s="117" t="n"/>
      <c r="B494" s="117" t="n"/>
      <c r="C494" s="117" t="n"/>
      <c r="D494" s="117" t="n"/>
      <c r="E494" s="118" t="n"/>
      <c r="F494" s="119" t="n"/>
      <c r="G494" s="120" t="n"/>
      <c r="H494" s="123" t="n"/>
      <c r="I494" s="123" t="n"/>
    </row>
    <row r="495" ht="15" customHeight="1" s="72">
      <c r="A495" s="117" t="n"/>
      <c r="B495" s="117" t="n"/>
      <c r="C495" s="117" t="n"/>
      <c r="D495" s="117" t="n"/>
      <c r="E495" s="118" t="n"/>
      <c r="F495" s="119" t="n"/>
      <c r="G495" s="120" t="n"/>
      <c r="H495" s="123" t="n"/>
      <c r="I495" s="123" t="n"/>
    </row>
    <row r="496" ht="15" customHeight="1" s="72">
      <c r="A496" s="117" t="n"/>
      <c r="B496" s="117" t="n"/>
      <c r="C496" s="117" t="n"/>
      <c r="D496" s="117" t="n"/>
      <c r="E496" s="118" t="n"/>
      <c r="F496" s="119" t="n"/>
      <c r="G496" s="120" t="n"/>
      <c r="H496" s="123" t="n"/>
      <c r="I496" s="123" t="n"/>
    </row>
    <row r="497" ht="15" customHeight="1" s="72">
      <c r="A497" s="117" t="n"/>
      <c r="B497" s="117" t="n"/>
      <c r="C497" s="117" t="n"/>
      <c r="D497" s="117" t="n"/>
      <c r="E497" s="118" t="n"/>
      <c r="F497" s="119" t="n"/>
      <c r="G497" s="120" t="n"/>
      <c r="H497" s="123" t="n"/>
      <c r="I497" s="123" t="n"/>
    </row>
    <row r="498" ht="15" customHeight="1" s="72">
      <c r="A498" s="117" t="n"/>
      <c r="B498" s="117" t="n"/>
      <c r="C498" s="117" t="n"/>
      <c r="D498" s="117" t="n"/>
      <c r="E498" s="118" t="n"/>
      <c r="F498" s="119" t="n"/>
      <c r="G498" s="120" t="n"/>
      <c r="H498" s="123" t="n"/>
      <c r="I498" s="123" t="n"/>
    </row>
    <row r="499" ht="15" customHeight="1" s="72">
      <c r="A499" s="117" t="n"/>
      <c r="B499" s="117" t="n"/>
      <c r="C499" s="117" t="n"/>
      <c r="D499" s="117" t="n"/>
      <c r="E499" s="118" t="n"/>
      <c r="F499" s="119" t="n"/>
      <c r="G499" s="120" t="n"/>
      <c r="H499" s="123" t="n"/>
      <c r="I499" s="123" t="n"/>
    </row>
    <row r="500" ht="15" customHeight="1" s="72">
      <c r="A500" s="117" t="n"/>
      <c r="B500" s="117" t="n"/>
      <c r="C500" s="117" t="n"/>
      <c r="D500" s="117" t="n"/>
      <c r="E500" s="118" t="n"/>
      <c r="F500" s="119" t="n"/>
      <c r="G500" s="120" t="n"/>
      <c r="H500" s="123" t="n"/>
      <c r="I500" s="123" t="n"/>
    </row>
    <row r="501" ht="15" customHeight="1" s="72">
      <c r="A501" s="117" t="n"/>
      <c r="B501" s="117" t="n"/>
      <c r="C501" s="117" t="n"/>
      <c r="D501" s="117" t="n"/>
      <c r="E501" s="118" t="n"/>
      <c r="F501" s="119" t="n"/>
      <c r="G501" s="120" t="n"/>
      <c r="H501" s="123" t="n"/>
      <c r="I501" s="123" t="n"/>
    </row>
    <row r="502" ht="15" customHeight="1" s="72">
      <c r="A502" s="117" t="n"/>
      <c r="B502" s="117" t="n"/>
      <c r="C502" s="117" t="n"/>
      <c r="D502" s="117" t="n"/>
      <c r="E502" s="118" t="n"/>
      <c r="F502" s="119" t="n"/>
      <c r="G502" s="120" t="n"/>
      <c r="H502" s="123" t="n"/>
      <c r="I502" s="123" t="n"/>
    </row>
    <row r="503" ht="15" customHeight="1" s="72">
      <c r="A503" s="117" t="n"/>
      <c r="B503" s="117" t="n"/>
      <c r="C503" s="117" t="n"/>
      <c r="D503" s="117" t="n"/>
      <c r="E503" s="118" t="n"/>
      <c r="F503" s="119" t="n"/>
      <c r="G503" s="120" t="n"/>
      <c r="H503" s="123" t="n"/>
      <c r="I503" s="123" t="n"/>
    </row>
    <row r="504" ht="15" customHeight="1" s="72">
      <c r="A504" s="117" t="n"/>
      <c r="B504" s="117" t="n"/>
      <c r="C504" s="117" t="n"/>
      <c r="D504" s="117" t="n"/>
      <c r="E504" s="118" t="n"/>
      <c r="F504" s="119" t="n"/>
      <c r="G504" s="120" t="n"/>
      <c r="H504" s="123" t="n"/>
      <c r="I504" s="123" t="n"/>
    </row>
    <row r="505" ht="15" customHeight="1" s="72">
      <c r="A505" s="117" t="n"/>
      <c r="B505" s="117" t="n"/>
      <c r="C505" s="117" t="n"/>
      <c r="D505" s="117" t="n"/>
      <c r="E505" s="118" t="n"/>
      <c r="F505" s="119" t="n"/>
      <c r="G505" s="120" t="n"/>
      <c r="H505" s="123" t="n"/>
      <c r="I505" s="123" t="n"/>
    </row>
    <row r="506" ht="15" customHeight="1" s="72">
      <c r="A506" s="117" t="n"/>
      <c r="B506" s="117" t="n"/>
      <c r="C506" s="117" t="n"/>
      <c r="D506" s="117" t="n"/>
      <c r="E506" s="118" t="n"/>
      <c r="F506" s="119" t="n"/>
      <c r="G506" s="120" t="n"/>
      <c r="H506" s="123" t="n"/>
      <c r="I506" s="123" t="n"/>
    </row>
    <row r="507" ht="15" customHeight="1" s="72">
      <c r="A507" s="117" t="n"/>
      <c r="B507" s="117" t="n"/>
      <c r="C507" s="117" t="n"/>
      <c r="D507" s="117" t="n"/>
      <c r="E507" s="118" t="n"/>
      <c r="F507" s="119" t="n"/>
      <c r="G507" s="120" t="n"/>
      <c r="H507" s="123" t="n"/>
      <c r="I507" s="123" t="n"/>
    </row>
    <row r="508" ht="15" customHeight="1" s="72">
      <c r="A508" s="117" t="n"/>
      <c r="B508" s="117" t="n"/>
      <c r="C508" s="117" t="n"/>
      <c r="D508" s="117" t="n"/>
      <c r="E508" s="118" t="n"/>
      <c r="F508" s="119" t="n"/>
      <c r="G508" s="120" t="n"/>
      <c r="H508" s="123" t="n"/>
      <c r="I508" s="123" t="n"/>
    </row>
    <row r="509" ht="15" customHeight="1" s="72">
      <c r="A509" s="117" t="n"/>
      <c r="B509" s="117" t="n"/>
      <c r="C509" s="117" t="n"/>
      <c r="D509" s="117" t="n"/>
      <c r="E509" s="118" t="n"/>
      <c r="F509" s="119" t="n"/>
      <c r="G509" s="120" t="n"/>
      <c r="H509" s="123" t="n"/>
      <c r="I509" s="123" t="n"/>
    </row>
    <row r="510" ht="15" customHeight="1" s="72">
      <c r="A510" s="117" t="n"/>
      <c r="B510" s="117" t="n"/>
      <c r="C510" s="117" t="n"/>
      <c r="D510" s="117" t="n"/>
      <c r="E510" s="118" t="n"/>
      <c r="F510" s="119" t="n"/>
      <c r="G510" s="120" t="n"/>
      <c r="H510" s="123" t="n"/>
      <c r="I510" s="123" t="n"/>
    </row>
    <row r="511" ht="15" customHeight="1" s="72">
      <c r="A511" s="117" t="n"/>
      <c r="B511" s="117" t="n"/>
      <c r="C511" s="117" t="n"/>
      <c r="D511" s="117" t="n"/>
      <c r="E511" s="118" t="n"/>
      <c r="F511" s="119" t="n"/>
      <c r="G511" s="120" t="n"/>
      <c r="H511" s="123" t="n"/>
      <c r="I511" s="123" t="n"/>
    </row>
    <row r="512" ht="15" customHeight="1" s="72">
      <c r="A512" s="117" t="n"/>
      <c r="B512" s="117" t="n"/>
      <c r="C512" s="117" t="n"/>
      <c r="D512" s="117" t="n"/>
      <c r="E512" s="118" t="n"/>
      <c r="F512" s="119" t="n"/>
      <c r="G512" s="120" t="n"/>
      <c r="H512" s="123" t="n"/>
      <c r="I512" s="123" t="n"/>
    </row>
    <row r="513" ht="15" customHeight="1" s="72">
      <c r="A513" s="117" t="n"/>
      <c r="B513" s="117" t="n"/>
      <c r="C513" s="117" t="n"/>
      <c r="D513" s="117" t="n"/>
      <c r="E513" s="118" t="n"/>
      <c r="F513" s="119" t="n"/>
      <c r="G513" s="120" t="n"/>
      <c r="H513" s="123" t="n"/>
      <c r="I513" s="123" t="n"/>
    </row>
    <row r="514" ht="15" customHeight="1" s="72">
      <c r="A514" s="117" t="n"/>
      <c r="B514" s="117" t="n"/>
      <c r="C514" s="117" t="n"/>
      <c r="D514" s="117" t="n"/>
      <c r="E514" s="118" t="n"/>
      <c r="F514" s="119" t="n"/>
      <c r="G514" s="120" t="n"/>
      <c r="H514" s="123" t="n"/>
      <c r="I514" s="123" t="n"/>
    </row>
    <row r="515" ht="15" customHeight="1" s="72">
      <c r="A515" s="117" t="n"/>
      <c r="B515" s="117" t="n"/>
      <c r="C515" s="117" t="n"/>
      <c r="D515" s="117" t="n"/>
      <c r="E515" s="118" t="n"/>
      <c r="F515" s="119" t="n"/>
      <c r="G515" s="120" t="n"/>
      <c r="H515" s="123" t="n"/>
      <c r="I515" s="123" t="n"/>
    </row>
    <row r="516" ht="15" customHeight="1" s="72">
      <c r="A516" s="117" t="n"/>
      <c r="B516" s="117" t="n"/>
      <c r="C516" s="117" t="n"/>
      <c r="D516" s="117" t="n"/>
      <c r="E516" s="118" t="n"/>
      <c r="F516" s="119" t="n"/>
      <c r="G516" s="120" t="n"/>
      <c r="H516" s="123" t="n"/>
      <c r="I516" s="123" t="n"/>
    </row>
    <row r="517" ht="15" customHeight="1" s="72">
      <c r="A517" s="117" t="n"/>
      <c r="B517" s="117" t="n"/>
      <c r="C517" s="117" t="n"/>
      <c r="D517" s="117" t="n"/>
      <c r="E517" s="118" t="n"/>
      <c r="F517" s="119" t="n"/>
      <c r="G517" s="120" t="n"/>
      <c r="H517" s="123" t="n"/>
      <c r="I517" s="123" t="n"/>
    </row>
    <row r="518" ht="15" customHeight="1" s="72">
      <c r="A518" s="117" t="n"/>
      <c r="B518" s="117" t="n"/>
      <c r="C518" s="117" t="n"/>
      <c r="D518" s="117" t="n"/>
      <c r="E518" s="118" t="n"/>
      <c r="F518" s="119" t="n"/>
      <c r="G518" s="120" t="n"/>
      <c r="H518" s="123" t="n"/>
      <c r="I518" s="123" t="n"/>
    </row>
    <row r="519" ht="15" customHeight="1" s="72">
      <c r="A519" s="117" t="n"/>
      <c r="B519" s="117" t="n"/>
      <c r="C519" s="117" t="n"/>
      <c r="D519" s="117" t="n"/>
      <c r="E519" s="118" t="n"/>
      <c r="F519" s="119" t="n"/>
      <c r="G519" s="120" t="n"/>
      <c r="H519" s="123" t="n"/>
      <c r="I519" s="123" t="n"/>
    </row>
    <row r="520" ht="15" customHeight="1" s="72">
      <c r="A520" s="117" t="n"/>
      <c r="B520" s="117" t="n"/>
      <c r="C520" s="117" t="n"/>
      <c r="D520" s="117" t="n"/>
      <c r="E520" s="118" t="n"/>
      <c r="F520" s="119" t="n"/>
      <c r="G520" s="120" t="n"/>
      <c r="H520" s="123" t="n"/>
      <c r="I520" s="123" t="n"/>
    </row>
    <row r="521" ht="15" customHeight="1" s="72">
      <c r="A521" s="117" t="n"/>
      <c r="B521" s="117" t="n"/>
      <c r="C521" s="117" t="n"/>
      <c r="D521" s="117" t="n"/>
      <c r="E521" s="118" t="n"/>
      <c r="F521" s="119" t="n"/>
      <c r="G521" s="120" t="n"/>
      <c r="H521" s="123" t="n"/>
      <c r="I521" s="123" t="n"/>
    </row>
    <row r="522" ht="15" customHeight="1" s="72">
      <c r="A522" s="117" t="n"/>
      <c r="B522" s="117" t="n"/>
      <c r="C522" s="117" t="n"/>
      <c r="D522" s="117" t="n"/>
      <c r="E522" s="118" t="n"/>
      <c r="F522" s="119" t="n"/>
      <c r="G522" s="120" t="n"/>
      <c r="H522" s="123" t="n"/>
      <c r="I522" s="123" t="n"/>
    </row>
    <row r="523" ht="15" customHeight="1" s="72">
      <c r="A523" s="117" t="n"/>
      <c r="B523" s="117" t="n"/>
      <c r="C523" s="117" t="n"/>
      <c r="D523" s="117" t="n"/>
      <c r="E523" s="118" t="n"/>
      <c r="F523" s="119" t="n"/>
      <c r="G523" s="120" t="n"/>
      <c r="H523" s="123" t="n"/>
      <c r="I523" s="123" t="n"/>
    </row>
    <row r="524" ht="15" customHeight="1" s="72">
      <c r="A524" s="117" t="n"/>
      <c r="B524" s="117" t="n"/>
      <c r="C524" s="117" t="n"/>
      <c r="D524" s="117" t="n"/>
      <c r="E524" s="118" t="n"/>
      <c r="F524" s="119" t="n"/>
      <c r="G524" s="120" t="n"/>
      <c r="H524" s="123" t="n"/>
      <c r="I524" s="123" t="n"/>
    </row>
    <row r="525" ht="15" customHeight="1" s="72">
      <c r="A525" s="117" t="n"/>
      <c r="B525" s="117" t="n"/>
      <c r="C525" s="117" t="n"/>
      <c r="D525" s="117" t="n"/>
      <c r="E525" s="118" t="n"/>
      <c r="F525" s="119" t="n"/>
      <c r="G525" s="120" t="n"/>
      <c r="H525" s="123" t="n"/>
      <c r="I525" s="123" t="n"/>
    </row>
    <row r="526" ht="15" customHeight="1" s="72">
      <c r="A526" s="117" t="n"/>
      <c r="B526" s="117" t="n"/>
      <c r="C526" s="117" t="n"/>
      <c r="D526" s="117" t="n"/>
      <c r="E526" s="118" t="n"/>
      <c r="F526" s="119" t="n"/>
      <c r="G526" s="120" t="n"/>
      <c r="H526" s="123" t="n"/>
      <c r="I526" s="123" t="n"/>
    </row>
    <row r="527" ht="15" customHeight="1" s="72">
      <c r="A527" s="117" t="n"/>
      <c r="B527" s="117" t="n"/>
      <c r="C527" s="117" t="n"/>
      <c r="D527" s="117" t="n"/>
      <c r="E527" s="118" t="n"/>
      <c r="F527" s="119" t="n"/>
      <c r="G527" s="120" t="n"/>
      <c r="H527" s="123" t="n"/>
      <c r="I527" s="123" t="n"/>
    </row>
    <row r="528" ht="15" customHeight="1" s="72">
      <c r="A528" s="117" t="n"/>
      <c r="B528" s="117" t="n"/>
      <c r="C528" s="117" t="n"/>
      <c r="D528" s="117" t="n"/>
      <c r="E528" s="118" t="n"/>
      <c r="F528" s="119" t="n"/>
      <c r="G528" s="120" t="n"/>
      <c r="H528" s="123" t="n"/>
      <c r="I528" s="123" t="n"/>
    </row>
    <row r="529" ht="15" customHeight="1" s="72">
      <c r="A529" s="117" t="n"/>
      <c r="B529" s="117" t="n"/>
      <c r="C529" s="117" t="n"/>
      <c r="D529" s="117" t="n"/>
      <c r="E529" s="118" t="n"/>
      <c r="F529" s="119" t="n"/>
      <c r="G529" s="120" t="n"/>
      <c r="H529" s="123" t="n"/>
      <c r="I529" s="123" t="n"/>
    </row>
    <row r="530" ht="15" customHeight="1" s="72">
      <c r="A530" s="117" t="n"/>
      <c r="B530" s="117" t="n"/>
      <c r="C530" s="117" t="n"/>
      <c r="D530" s="117" t="n"/>
      <c r="E530" s="118" t="n"/>
      <c r="F530" s="119" t="n"/>
      <c r="G530" s="120" t="n"/>
      <c r="H530" s="123" t="n"/>
      <c r="I530" s="123" t="n"/>
    </row>
    <row r="531" ht="15" customHeight="1" s="72">
      <c r="A531" s="117" t="n"/>
      <c r="B531" s="117" t="n"/>
      <c r="C531" s="117" t="n"/>
      <c r="D531" s="117" t="n"/>
      <c r="E531" s="118" t="n"/>
      <c r="F531" s="119" t="n"/>
      <c r="G531" s="120" t="n"/>
      <c r="H531" s="123" t="n"/>
      <c r="I531" s="123" t="n"/>
    </row>
    <row r="532" ht="15" customHeight="1" s="72">
      <c r="A532" s="117" t="n"/>
      <c r="B532" s="117" t="n"/>
      <c r="C532" s="117" t="n"/>
      <c r="D532" s="117" t="n"/>
      <c r="E532" s="118" t="n"/>
      <c r="F532" s="119" t="n"/>
      <c r="G532" s="120" t="n"/>
      <c r="H532" s="123" t="n"/>
      <c r="I532" s="123" t="n"/>
    </row>
    <row r="533" ht="15" customHeight="1" s="72">
      <c r="A533" s="117" t="n"/>
      <c r="B533" s="117" t="n"/>
      <c r="C533" s="117" t="n"/>
      <c r="D533" s="117" t="n"/>
      <c r="E533" s="118" t="n"/>
      <c r="F533" s="119" t="n"/>
      <c r="G533" s="120" t="n"/>
      <c r="H533" s="123" t="n"/>
      <c r="I533" s="123" t="n"/>
    </row>
    <row r="534" ht="15" customHeight="1" s="72">
      <c r="A534" s="117" t="n"/>
      <c r="B534" s="117" t="n"/>
      <c r="C534" s="117" t="n"/>
      <c r="D534" s="117" t="n"/>
      <c r="E534" s="118" t="n"/>
      <c r="F534" s="119" t="n"/>
      <c r="G534" s="120" t="n"/>
      <c r="H534" s="123" t="n"/>
      <c r="I534" s="123" t="n"/>
    </row>
    <row r="535" ht="15" customHeight="1" s="72">
      <c r="A535" s="117" t="n"/>
      <c r="B535" s="117" t="n"/>
      <c r="C535" s="117" t="n"/>
      <c r="D535" s="117" t="n"/>
      <c r="E535" s="118" t="n"/>
      <c r="F535" s="119" t="n"/>
      <c r="G535" s="120" t="n"/>
      <c r="H535" s="123" t="n"/>
      <c r="I535" s="123" t="n"/>
    </row>
    <row r="536" ht="15" customHeight="1" s="72">
      <c r="A536" s="117" t="n"/>
      <c r="B536" s="117" t="n"/>
      <c r="C536" s="117" t="n"/>
      <c r="D536" s="117" t="n"/>
      <c r="E536" s="118" t="n"/>
      <c r="F536" s="119" t="n"/>
      <c r="G536" s="120" t="n"/>
      <c r="H536" s="123" t="n"/>
      <c r="I536" s="123" t="n"/>
    </row>
    <row r="537" ht="15" customHeight="1" s="72">
      <c r="A537" s="117" t="n"/>
      <c r="B537" s="117" t="n"/>
      <c r="C537" s="117" t="n"/>
      <c r="D537" s="117" t="n"/>
      <c r="E537" s="118" t="n"/>
      <c r="F537" s="119" t="n"/>
      <c r="G537" s="120" t="n"/>
      <c r="H537" s="123" t="n"/>
      <c r="I537" s="123" t="n"/>
    </row>
    <row r="538" ht="15" customHeight="1" s="72">
      <c r="A538" s="117" t="n"/>
      <c r="B538" s="117" t="n"/>
      <c r="C538" s="117" t="n"/>
      <c r="D538" s="117" t="n"/>
      <c r="E538" s="118" t="n"/>
      <c r="F538" s="119" t="n"/>
      <c r="G538" s="120" t="n"/>
      <c r="H538" s="123" t="n"/>
      <c r="I538" s="123" t="n"/>
    </row>
    <row r="539" ht="15" customHeight="1" s="72">
      <c r="A539" s="117" t="n"/>
      <c r="B539" s="117" t="n"/>
      <c r="C539" s="117" t="n"/>
      <c r="D539" s="117" t="n"/>
      <c r="E539" s="118" t="n"/>
      <c r="F539" s="119" t="n"/>
      <c r="G539" s="120" t="n"/>
      <c r="H539" s="123" t="n"/>
      <c r="I539" s="123" t="n"/>
    </row>
    <row r="540" ht="15" customHeight="1" s="72">
      <c r="A540" s="117" t="n"/>
      <c r="B540" s="117" t="n"/>
      <c r="C540" s="117" t="n"/>
      <c r="D540" s="117" t="n"/>
      <c r="E540" s="118" t="n"/>
      <c r="F540" s="119" t="n"/>
      <c r="G540" s="120" t="n"/>
      <c r="H540" s="123" t="n"/>
      <c r="I540" s="123" t="n"/>
    </row>
    <row r="541" ht="15" customHeight="1" s="72">
      <c r="A541" s="117" t="n"/>
      <c r="B541" s="117" t="n"/>
      <c r="C541" s="117" t="n"/>
      <c r="D541" s="117" t="n"/>
      <c r="E541" s="118" t="n"/>
      <c r="F541" s="119" t="n"/>
      <c r="G541" s="120" t="n"/>
      <c r="H541" s="123" t="n"/>
      <c r="I541" s="123" t="n"/>
    </row>
    <row r="542" ht="15" customHeight="1" s="72">
      <c r="A542" s="117" t="n"/>
      <c r="B542" s="117" t="n"/>
      <c r="C542" s="117" t="n"/>
      <c r="D542" s="117" t="n"/>
      <c r="E542" s="118" t="n"/>
      <c r="F542" s="119" t="n"/>
      <c r="G542" s="120" t="n"/>
      <c r="H542" s="123" t="n"/>
      <c r="I542" s="123" t="n"/>
    </row>
    <row r="543" ht="15" customHeight="1" s="72">
      <c r="A543" s="117" t="n"/>
      <c r="B543" s="117" t="n"/>
      <c r="C543" s="117" t="n"/>
      <c r="D543" s="117" t="n"/>
      <c r="E543" s="118" t="n"/>
      <c r="F543" s="119" t="n"/>
      <c r="G543" s="120" t="n"/>
      <c r="H543" s="123" t="n"/>
      <c r="I543" s="123" t="n"/>
    </row>
    <row r="544" ht="15" customHeight="1" s="72">
      <c r="A544" s="117" t="n"/>
      <c r="B544" s="117" t="n"/>
      <c r="C544" s="117" t="n"/>
      <c r="D544" s="117" t="n"/>
      <c r="E544" s="118" t="n"/>
      <c r="F544" s="119" t="n"/>
      <c r="G544" s="120" t="n"/>
      <c r="H544" s="123" t="n"/>
      <c r="I544" s="123" t="n"/>
    </row>
    <row r="545" ht="15" customHeight="1" s="72">
      <c r="A545" s="117" t="n"/>
      <c r="B545" s="117" t="n"/>
      <c r="C545" s="117" t="n"/>
      <c r="D545" s="117" t="n"/>
      <c r="E545" s="118" t="n"/>
      <c r="F545" s="119" t="n"/>
      <c r="G545" s="120" t="n"/>
      <c r="H545" s="123" t="n"/>
      <c r="I545" s="123" t="n"/>
    </row>
    <row r="546" ht="15" customHeight="1" s="72">
      <c r="A546" s="117" t="n"/>
      <c r="B546" s="117" t="n"/>
      <c r="C546" s="117" t="n"/>
      <c r="D546" s="117" t="n"/>
      <c r="E546" s="118" t="n"/>
      <c r="F546" s="119" t="n"/>
      <c r="G546" s="120" t="n"/>
      <c r="H546" s="123" t="n"/>
      <c r="I546" s="123" t="n"/>
    </row>
    <row r="547" ht="15" customHeight="1" s="72">
      <c r="A547" s="117" t="n"/>
      <c r="B547" s="117" t="n"/>
      <c r="C547" s="117" t="n"/>
      <c r="D547" s="117" t="n"/>
      <c r="E547" s="118" t="n"/>
      <c r="F547" s="119" t="n"/>
      <c r="G547" s="120" t="n"/>
      <c r="H547" s="123" t="n"/>
      <c r="I547" s="123" t="n"/>
    </row>
    <row r="548" ht="15" customHeight="1" s="72">
      <c r="A548" s="117" t="n"/>
      <c r="B548" s="117" t="n"/>
      <c r="C548" s="117" t="n"/>
      <c r="D548" s="117" t="n"/>
      <c r="E548" s="118" t="n"/>
      <c r="F548" s="119" t="n"/>
      <c r="G548" s="120" t="n"/>
      <c r="H548" s="123" t="n"/>
      <c r="I548" s="123" t="n"/>
    </row>
    <row r="549" ht="15" customHeight="1" s="72">
      <c r="A549" s="117" t="n"/>
      <c r="B549" s="117" t="n"/>
      <c r="C549" s="117" t="n"/>
      <c r="D549" s="117" t="n"/>
      <c r="E549" s="118" t="n"/>
      <c r="F549" s="119" t="n"/>
      <c r="G549" s="120" t="n"/>
      <c r="H549" s="123" t="n"/>
      <c r="I549" s="123" t="n"/>
    </row>
    <row r="550" ht="15" customHeight="1" s="72">
      <c r="A550" s="117" t="n"/>
      <c r="B550" s="117" t="n"/>
      <c r="C550" s="117" t="n"/>
      <c r="D550" s="117" t="n"/>
      <c r="E550" s="118" t="n"/>
      <c r="F550" s="119" t="n"/>
      <c r="G550" s="120" t="n"/>
      <c r="H550" s="123" t="n"/>
      <c r="I550" s="123" t="n"/>
    </row>
    <row r="551" ht="15" customHeight="1" s="72">
      <c r="A551" s="117" t="n"/>
      <c r="B551" s="117" t="n"/>
      <c r="C551" s="117" t="n"/>
      <c r="D551" s="117" t="n"/>
      <c r="E551" s="118" t="n"/>
      <c r="F551" s="119" t="n"/>
      <c r="G551" s="120" t="n"/>
      <c r="H551" s="123" t="n"/>
      <c r="I551" s="123" t="n"/>
    </row>
    <row r="552" ht="15" customHeight="1" s="72">
      <c r="A552" s="117" t="n"/>
      <c r="B552" s="117" t="n"/>
      <c r="C552" s="117" t="n"/>
      <c r="D552" s="117" t="n"/>
      <c r="E552" s="118" t="n"/>
      <c r="F552" s="119" t="n"/>
      <c r="G552" s="120" t="n"/>
      <c r="H552" s="123" t="n"/>
      <c r="I552" s="123" t="n"/>
    </row>
    <row r="553" ht="15" customHeight="1" s="72">
      <c r="A553" s="117" t="n"/>
      <c r="B553" s="117" t="n"/>
      <c r="C553" s="117" t="n"/>
      <c r="D553" s="117" t="n"/>
      <c r="E553" s="118" t="n"/>
      <c r="F553" s="119" t="n"/>
      <c r="G553" s="120" t="n"/>
      <c r="H553" s="123" t="n"/>
      <c r="I553" s="123" t="n"/>
    </row>
    <row r="554" ht="15" customHeight="1" s="72">
      <c r="A554" s="117" t="n"/>
      <c r="B554" s="117" t="n"/>
      <c r="C554" s="117" t="n"/>
      <c r="D554" s="117" t="n"/>
      <c r="E554" s="118" t="n"/>
      <c r="F554" s="119" t="n"/>
      <c r="G554" s="120" t="n"/>
      <c r="H554" s="123" t="n"/>
      <c r="I554" s="123" t="n"/>
    </row>
    <row r="555" ht="15" customHeight="1" s="72">
      <c r="A555" s="117" t="n"/>
      <c r="B555" s="117" t="n"/>
      <c r="C555" s="117" t="n"/>
      <c r="D555" s="117" t="n"/>
      <c r="E555" s="118" t="n"/>
      <c r="F555" s="119" t="n"/>
      <c r="G555" s="120" t="n"/>
      <c r="H555" s="123" t="n"/>
      <c r="I555" s="123" t="n"/>
    </row>
    <row r="556" ht="15" customHeight="1" s="72">
      <c r="A556" s="117" t="n"/>
      <c r="B556" s="117" t="n"/>
      <c r="C556" s="117" t="n"/>
      <c r="D556" s="117" t="n"/>
      <c r="E556" s="118" t="n"/>
      <c r="F556" s="119" t="n"/>
      <c r="G556" s="120" t="n"/>
      <c r="H556" s="123" t="n"/>
      <c r="I556" s="123" t="n"/>
    </row>
    <row r="557" ht="15" customHeight="1" s="72">
      <c r="A557" s="117" t="n"/>
      <c r="B557" s="117" t="n"/>
      <c r="C557" s="117" t="n"/>
      <c r="D557" s="117" t="n"/>
      <c r="E557" s="118" t="n"/>
      <c r="F557" s="119" t="n"/>
      <c r="G557" s="120" t="n"/>
      <c r="H557" s="123" t="n"/>
      <c r="I557" s="123" t="n"/>
    </row>
    <row r="558" ht="15" customHeight="1" s="72">
      <c r="A558" s="117" t="n"/>
      <c r="B558" s="117" t="n"/>
      <c r="C558" s="117" t="n"/>
      <c r="D558" s="117" t="n"/>
      <c r="E558" s="118" t="n"/>
      <c r="F558" s="119" t="n"/>
      <c r="G558" s="120" t="n"/>
      <c r="H558" s="123" t="n"/>
      <c r="I558" s="123" t="n"/>
    </row>
    <row r="559" ht="15" customHeight="1" s="72">
      <c r="A559" s="117" t="n"/>
      <c r="B559" s="117" t="n"/>
      <c r="C559" s="117" t="n"/>
      <c r="D559" s="117" t="n"/>
      <c r="E559" s="118" t="n"/>
      <c r="F559" s="119" t="n"/>
      <c r="G559" s="120" t="n"/>
      <c r="H559" s="123" t="n"/>
      <c r="I559" s="123" t="n"/>
    </row>
    <row r="560" ht="15" customHeight="1" s="72">
      <c r="A560" s="117" t="n"/>
      <c r="B560" s="117" t="n"/>
      <c r="C560" s="117" t="n"/>
      <c r="D560" s="117" t="n"/>
      <c r="E560" s="118" t="n"/>
      <c r="F560" s="119" t="n"/>
      <c r="G560" s="120" t="n"/>
      <c r="H560" s="123" t="n"/>
      <c r="I560" s="123" t="n"/>
    </row>
    <row r="561" ht="15" customHeight="1" s="72">
      <c r="A561" s="117" t="n"/>
      <c r="B561" s="117" t="n"/>
      <c r="C561" s="117" t="n"/>
      <c r="D561" s="117" t="n"/>
      <c r="E561" s="118" t="n"/>
      <c r="F561" s="119" t="n"/>
      <c r="G561" s="120" t="n"/>
      <c r="H561" s="123" t="n"/>
      <c r="I561" s="123" t="n"/>
    </row>
    <row r="562" ht="15" customHeight="1" s="72">
      <c r="A562" s="117" t="n"/>
      <c r="B562" s="117" t="n"/>
      <c r="C562" s="117" t="n"/>
      <c r="D562" s="117" t="n"/>
      <c r="E562" s="118" t="n"/>
      <c r="F562" s="119" t="n"/>
      <c r="G562" s="120" t="n"/>
      <c r="H562" s="123" t="n"/>
      <c r="I562" s="123" t="n"/>
    </row>
    <row r="563" ht="15" customHeight="1" s="72">
      <c r="A563" s="117" t="n"/>
      <c r="B563" s="117" t="n"/>
      <c r="C563" s="117" t="n"/>
      <c r="D563" s="117" t="n"/>
      <c r="E563" s="118" t="n"/>
      <c r="F563" s="119" t="n"/>
      <c r="G563" s="120" t="n"/>
      <c r="H563" s="123" t="n"/>
      <c r="I563" s="123" t="n"/>
    </row>
    <row r="564" ht="15" customHeight="1" s="72">
      <c r="A564" s="117" t="n"/>
      <c r="B564" s="117" t="n"/>
      <c r="C564" s="117" t="n"/>
      <c r="D564" s="117" t="n"/>
      <c r="E564" s="118" t="n"/>
      <c r="F564" s="119" t="n"/>
      <c r="G564" s="120" t="n"/>
      <c r="H564" s="123" t="n"/>
      <c r="I564" s="123" t="n"/>
    </row>
    <row r="565" ht="15" customHeight="1" s="72">
      <c r="A565" s="117" t="n"/>
      <c r="B565" s="117" t="n"/>
      <c r="C565" s="117" t="n"/>
      <c r="D565" s="117" t="n"/>
      <c r="E565" s="118" t="n"/>
      <c r="F565" s="119" t="n"/>
      <c r="G565" s="120" t="n"/>
      <c r="H565" s="123" t="n"/>
      <c r="I565" s="123" t="n"/>
    </row>
    <row r="566" ht="15" customHeight="1" s="72">
      <c r="A566" s="117" t="n"/>
      <c r="B566" s="117" t="n"/>
      <c r="C566" s="117" t="n"/>
      <c r="D566" s="117" t="n"/>
      <c r="E566" s="118" t="n"/>
      <c r="F566" s="119" t="n"/>
      <c r="G566" s="120" t="n"/>
      <c r="H566" s="123" t="n"/>
      <c r="I566" s="123" t="n"/>
    </row>
    <row r="567" ht="15" customHeight="1" s="72">
      <c r="A567" s="117" t="n"/>
      <c r="B567" s="117" t="n"/>
      <c r="C567" s="117" t="n"/>
      <c r="D567" s="117" t="n"/>
      <c r="E567" s="118" t="n"/>
      <c r="F567" s="119" t="n"/>
      <c r="G567" s="120" t="n"/>
      <c r="H567" s="123" t="n"/>
      <c r="I567" s="123" t="n"/>
    </row>
    <row r="568" ht="15" customHeight="1" s="72">
      <c r="A568" s="117" t="n"/>
      <c r="B568" s="117" t="n"/>
      <c r="C568" s="117" t="n"/>
      <c r="D568" s="117" t="n"/>
      <c r="E568" s="118" t="n"/>
      <c r="F568" s="119" t="n"/>
      <c r="G568" s="120" t="n"/>
      <c r="H568" s="123" t="n"/>
      <c r="I568" s="123" t="n"/>
    </row>
    <row r="569" ht="15" customHeight="1" s="72">
      <c r="A569" s="117" t="n"/>
      <c r="B569" s="117" t="n"/>
      <c r="C569" s="117" t="n"/>
      <c r="D569" s="117" t="n"/>
      <c r="E569" s="118" t="n"/>
      <c r="F569" s="119" t="n"/>
      <c r="G569" s="120" t="n"/>
      <c r="H569" s="123" t="n"/>
      <c r="I569" s="123" t="n"/>
    </row>
    <row r="570" ht="15" customHeight="1" s="72">
      <c r="A570" s="117" t="n"/>
      <c r="B570" s="117" t="n"/>
      <c r="C570" s="117" t="n"/>
      <c r="D570" s="117" t="n"/>
      <c r="E570" s="118" t="n"/>
      <c r="F570" s="119" t="n"/>
      <c r="G570" s="120" t="n"/>
      <c r="H570" s="123" t="n"/>
      <c r="I570" s="123" t="n"/>
    </row>
    <row r="571" ht="15" customHeight="1" s="72">
      <c r="A571" s="117" t="n"/>
      <c r="B571" s="117" t="n"/>
      <c r="C571" s="117" t="n"/>
      <c r="D571" s="117" t="n"/>
      <c r="E571" s="118" t="n"/>
      <c r="F571" s="119" t="n"/>
      <c r="G571" s="120" t="n"/>
      <c r="H571" s="123" t="n"/>
      <c r="I571" s="123" t="n"/>
    </row>
    <row r="572" ht="15" customHeight="1" s="72">
      <c r="A572" s="117" t="n"/>
      <c r="B572" s="117" t="n"/>
      <c r="C572" s="117" t="n"/>
      <c r="D572" s="117" t="n"/>
      <c r="E572" s="118" t="n"/>
      <c r="F572" s="119" t="n"/>
      <c r="G572" s="120" t="n"/>
      <c r="H572" s="123" t="n"/>
      <c r="I572" s="123" t="n"/>
    </row>
    <row r="573" ht="15" customHeight="1" s="72">
      <c r="A573" s="117" t="n"/>
      <c r="B573" s="117" t="n"/>
      <c r="C573" s="117" t="n"/>
      <c r="D573" s="117" t="n"/>
      <c r="E573" s="118" t="n"/>
      <c r="F573" s="119" t="n"/>
      <c r="G573" s="120" t="n"/>
      <c r="H573" s="123" t="n"/>
      <c r="I573" s="123" t="n"/>
    </row>
    <row r="574" ht="15" customHeight="1" s="72">
      <c r="A574" s="117" t="n"/>
      <c r="B574" s="117" t="n"/>
      <c r="C574" s="117" t="n"/>
      <c r="D574" s="117" t="n"/>
      <c r="E574" s="118" t="n"/>
      <c r="F574" s="119" t="n"/>
      <c r="G574" s="120" t="n"/>
      <c r="H574" s="123" t="n"/>
      <c r="I574" s="123" t="n"/>
    </row>
    <row r="575" ht="15" customHeight="1" s="72">
      <c r="A575" s="117" t="n"/>
      <c r="B575" s="117" t="n"/>
      <c r="C575" s="117" t="n"/>
      <c r="D575" s="117" t="n"/>
      <c r="E575" s="118" t="n"/>
      <c r="F575" s="119" t="n"/>
      <c r="G575" s="120" t="n"/>
      <c r="H575" s="123" t="n"/>
      <c r="I575" s="123" t="n"/>
    </row>
    <row r="576" ht="15" customHeight="1" s="72">
      <c r="A576" s="117" t="n"/>
      <c r="B576" s="117" t="n"/>
      <c r="C576" s="117" t="n"/>
      <c r="D576" s="117" t="n"/>
      <c r="E576" s="118" t="n"/>
      <c r="F576" s="119" t="n"/>
      <c r="G576" s="120" t="n"/>
      <c r="H576" s="123" t="n"/>
      <c r="I576" s="123" t="n"/>
    </row>
    <row r="577" ht="15" customHeight="1" s="72">
      <c r="A577" s="117" t="n"/>
      <c r="B577" s="117" t="n"/>
      <c r="C577" s="117" t="n"/>
      <c r="D577" s="117" t="n"/>
      <c r="E577" s="118" t="n"/>
      <c r="F577" s="119" t="n"/>
      <c r="G577" s="120" t="n"/>
      <c r="H577" s="123" t="n"/>
      <c r="I577" s="123" t="n"/>
    </row>
    <row r="578" ht="15" customHeight="1" s="72">
      <c r="A578" s="117" t="n"/>
      <c r="B578" s="117" t="n"/>
      <c r="C578" s="117" t="n"/>
      <c r="D578" s="117" t="n"/>
      <c r="E578" s="118" t="n"/>
      <c r="F578" s="119" t="n"/>
      <c r="G578" s="120" t="n"/>
      <c r="H578" s="123" t="n"/>
      <c r="I578" s="123" t="n"/>
    </row>
    <row r="579" ht="15" customHeight="1" s="72">
      <c r="A579" s="117" t="n"/>
      <c r="B579" s="117" t="n"/>
      <c r="C579" s="117" t="n"/>
      <c r="D579" s="117" t="n"/>
      <c r="E579" s="118" t="n"/>
      <c r="F579" s="119" t="n"/>
      <c r="G579" s="120" t="n"/>
      <c r="H579" s="123" t="n"/>
      <c r="I579" s="123" t="n"/>
    </row>
    <row r="580" ht="15" customHeight="1" s="72">
      <c r="A580" s="117" t="n"/>
      <c r="B580" s="117" t="n"/>
      <c r="C580" s="117" t="n"/>
      <c r="D580" s="117" t="n"/>
      <c r="E580" s="118" t="n"/>
      <c r="F580" s="119" t="n"/>
      <c r="G580" s="120" t="n"/>
      <c r="H580" s="123" t="n"/>
      <c r="I580" s="123" t="n"/>
    </row>
    <row r="581" ht="15" customHeight="1" s="72">
      <c r="A581" s="117" t="n"/>
      <c r="B581" s="117" t="n"/>
      <c r="C581" s="117" t="n"/>
      <c r="D581" s="117" t="n"/>
      <c r="E581" s="118" t="n"/>
      <c r="F581" s="119" t="n"/>
      <c r="G581" s="120" t="n"/>
      <c r="H581" s="123" t="n"/>
      <c r="I581" s="123" t="n"/>
    </row>
    <row r="582" ht="15" customHeight="1" s="72">
      <c r="A582" s="117" t="n"/>
      <c r="B582" s="117" t="n"/>
      <c r="C582" s="117" t="n"/>
      <c r="D582" s="117" t="n"/>
      <c r="E582" s="118" t="n"/>
      <c r="F582" s="119" t="n"/>
      <c r="G582" s="120" t="n"/>
      <c r="H582" s="123" t="n"/>
      <c r="I582" s="123" t="n"/>
    </row>
    <row r="583" ht="15" customHeight="1" s="72">
      <c r="A583" s="117" t="n"/>
      <c r="B583" s="117" t="n"/>
      <c r="C583" s="117" t="n"/>
      <c r="D583" s="117" t="n"/>
      <c r="E583" s="118" t="n"/>
      <c r="F583" s="119" t="n"/>
      <c r="G583" s="120" t="n"/>
      <c r="H583" s="123" t="n"/>
      <c r="I583" s="123" t="n"/>
    </row>
    <row r="584" ht="15" customHeight="1" s="72">
      <c r="A584" s="117" t="n"/>
      <c r="B584" s="117" t="n"/>
      <c r="C584" s="117" t="n"/>
      <c r="D584" s="117" t="n"/>
      <c r="E584" s="118" t="n"/>
      <c r="F584" s="119" t="n"/>
      <c r="G584" s="120" t="n"/>
      <c r="H584" s="123" t="n"/>
      <c r="I584" s="123" t="n"/>
    </row>
    <row r="585" ht="15" customHeight="1" s="72">
      <c r="A585" s="117" t="n"/>
      <c r="B585" s="117" t="n"/>
      <c r="C585" s="117" t="n"/>
      <c r="D585" s="117" t="n"/>
      <c r="E585" s="118" t="n"/>
      <c r="F585" s="119" t="n"/>
      <c r="G585" s="120" t="n"/>
      <c r="H585" s="123" t="n"/>
      <c r="I585" s="123" t="n"/>
    </row>
    <row r="586" ht="15" customHeight="1" s="72">
      <c r="A586" s="117" t="n"/>
      <c r="B586" s="117" t="n"/>
      <c r="C586" s="117" t="n"/>
      <c r="D586" s="117" t="n"/>
      <c r="E586" s="118" t="n"/>
      <c r="F586" s="119" t="n"/>
      <c r="G586" s="120" t="n"/>
      <c r="H586" s="123" t="n"/>
      <c r="I586" s="123" t="n"/>
    </row>
    <row r="587" ht="15" customHeight="1" s="72">
      <c r="A587" s="117" t="n"/>
      <c r="B587" s="117" t="n"/>
      <c r="C587" s="117" t="n"/>
      <c r="D587" s="117" t="n"/>
      <c r="E587" s="118" t="n"/>
      <c r="F587" s="119" t="n"/>
      <c r="G587" s="120" t="n"/>
      <c r="H587" s="123" t="n"/>
      <c r="I587" s="123" t="n"/>
    </row>
    <row r="588" ht="15" customHeight="1" s="72">
      <c r="A588" s="117" t="n"/>
      <c r="B588" s="117" t="n"/>
      <c r="C588" s="117" t="n"/>
      <c r="D588" s="117" t="n"/>
      <c r="E588" s="118" t="n"/>
      <c r="F588" s="119" t="n"/>
      <c r="G588" s="120" t="n"/>
      <c r="H588" s="123" t="n"/>
      <c r="I588" s="123" t="n"/>
    </row>
    <row r="589" ht="15" customHeight="1" s="72">
      <c r="A589" s="117" t="n"/>
      <c r="B589" s="117" t="n"/>
      <c r="C589" s="117" t="n"/>
      <c r="D589" s="117" t="n"/>
      <c r="E589" s="118" t="n"/>
      <c r="F589" s="119" t="n"/>
      <c r="G589" s="120" t="n"/>
      <c r="H589" s="123" t="n"/>
      <c r="I589" s="123" t="n"/>
    </row>
    <row r="590" ht="15" customHeight="1" s="72">
      <c r="A590" s="117" t="n"/>
      <c r="B590" s="117" t="n"/>
      <c r="C590" s="117" t="n"/>
      <c r="D590" s="117" t="n"/>
      <c r="E590" s="118" t="n"/>
      <c r="F590" s="119" t="n"/>
      <c r="G590" s="120" t="n"/>
      <c r="H590" s="123" t="n"/>
      <c r="I590" s="123" t="n"/>
    </row>
    <row r="591" ht="15" customHeight="1" s="72">
      <c r="A591" s="117" t="n"/>
      <c r="B591" s="117" t="n"/>
      <c r="C591" s="117" t="n"/>
      <c r="D591" s="117" t="n"/>
      <c r="E591" s="118" t="n"/>
      <c r="F591" s="119" t="n"/>
      <c r="G591" s="120" t="n"/>
      <c r="H591" s="123" t="n"/>
      <c r="I591" s="123" t="n"/>
    </row>
    <row r="592" ht="15" customHeight="1" s="72">
      <c r="A592" s="117" t="n"/>
      <c r="B592" s="117" t="n"/>
      <c r="C592" s="117" t="n"/>
      <c r="D592" s="117" t="n"/>
      <c r="E592" s="118" t="n"/>
      <c r="F592" s="119" t="n"/>
      <c r="G592" s="120" t="n"/>
      <c r="H592" s="123" t="n"/>
      <c r="I592" s="123" t="n"/>
    </row>
    <row r="593" ht="15" customHeight="1" s="72">
      <c r="A593" s="117" t="n"/>
      <c r="B593" s="117" t="n"/>
      <c r="C593" s="117" t="n"/>
      <c r="D593" s="117" t="n"/>
      <c r="E593" s="118" t="n"/>
      <c r="F593" s="119" t="n"/>
      <c r="G593" s="120" t="n"/>
      <c r="H593" s="123" t="n"/>
      <c r="I593" s="123" t="n"/>
    </row>
    <row r="594" ht="15" customHeight="1" s="72">
      <c r="A594" s="117" t="n"/>
      <c r="B594" s="117" t="n"/>
      <c r="C594" s="117" t="n"/>
      <c r="D594" s="117" t="n"/>
      <c r="E594" s="118" t="n"/>
      <c r="F594" s="119" t="n"/>
      <c r="G594" s="120" t="n"/>
      <c r="H594" s="123" t="n"/>
      <c r="I594" s="123" t="n"/>
    </row>
    <row r="595" ht="15" customHeight="1" s="72">
      <c r="A595" s="117" t="n"/>
      <c r="B595" s="117" t="n"/>
      <c r="C595" s="117" t="n"/>
      <c r="D595" s="117" t="n"/>
      <c r="E595" s="118" t="n"/>
      <c r="F595" s="119" t="n"/>
      <c r="G595" s="120" t="n"/>
      <c r="H595" s="123" t="n"/>
      <c r="I595" s="123" t="n"/>
    </row>
    <row r="596" ht="15" customHeight="1" s="72">
      <c r="A596" s="117" t="n"/>
      <c r="B596" s="117" t="n"/>
      <c r="C596" s="117" t="n"/>
      <c r="D596" s="117" t="n"/>
      <c r="E596" s="118" t="n"/>
      <c r="F596" s="119" t="n"/>
      <c r="G596" s="120" t="n"/>
      <c r="H596" s="123" t="n"/>
      <c r="I596" s="123" t="n"/>
    </row>
    <row r="597" ht="15" customHeight="1" s="72">
      <c r="A597" s="117" t="n"/>
      <c r="B597" s="117" t="n"/>
      <c r="C597" s="117" t="n"/>
      <c r="D597" s="117" t="n"/>
      <c r="E597" s="118" t="n"/>
      <c r="F597" s="119" t="n"/>
      <c r="G597" s="120" t="n"/>
      <c r="H597" s="123" t="n"/>
      <c r="I597" s="123" t="n"/>
    </row>
    <row r="598" ht="15" customHeight="1" s="72">
      <c r="A598" s="117" t="n"/>
      <c r="B598" s="117" t="n"/>
      <c r="C598" s="117" t="n"/>
      <c r="D598" s="117" t="n"/>
      <c r="E598" s="118" t="n"/>
      <c r="F598" s="119" t="n"/>
      <c r="G598" s="120" t="n"/>
      <c r="H598" s="123" t="n"/>
      <c r="I598" s="123" t="n"/>
    </row>
    <row r="599" ht="15" customHeight="1" s="72">
      <c r="A599" s="117" t="n"/>
      <c r="B599" s="117" t="n"/>
      <c r="C599" s="117" t="n"/>
      <c r="D599" s="117" t="n"/>
      <c r="E599" s="118" t="n"/>
      <c r="F599" s="119" t="n"/>
      <c r="G599" s="120" t="n"/>
      <c r="H599" s="123" t="n"/>
      <c r="I599" s="123" t="n"/>
    </row>
    <row r="600" ht="15" customHeight="1" s="72">
      <c r="A600" s="117" t="n"/>
      <c r="B600" s="117" t="n"/>
      <c r="C600" s="117" t="n"/>
      <c r="D600" s="117" t="n"/>
      <c r="E600" s="118" t="n"/>
      <c r="F600" s="119" t="n"/>
      <c r="G600" s="120" t="n"/>
      <c r="H600" s="123" t="n"/>
      <c r="I600" s="123" t="n"/>
    </row>
    <row r="601" ht="15" customHeight="1" s="72">
      <c r="A601" s="117" t="n"/>
      <c r="B601" s="117" t="n"/>
      <c r="C601" s="117" t="n"/>
      <c r="D601" s="117" t="n"/>
      <c r="E601" s="118" t="n"/>
      <c r="F601" s="119" t="n"/>
      <c r="G601" s="120" t="n"/>
      <c r="H601" s="123" t="n"/>
      <c r="I601" s="123" t="n"/>
    </row>
    <row r="602" ht="15" customHeight="1" s="72">
      <c r="A602" s="117" t="n"/>
      <c r="B602" s="117" t="n"/>
      <c r="C602" s="117" t="n"/>
      <c r="D602" s="117" t="n"/>
      <c r="E602" s="118" t="n"/>
      <c r="F602" s="119" t="n"/>
      <c r="G602" s="120" t="n"/>
      <c r="H602" s="123" t="n"/>
      <c r="I602" s="123" t="n"/>
    </row>
    <row r="603" ht="15" customHeight="1" s="72">
      <c r="A603" s="117" t="n"/>
      <c r="B603" s="117" t="n"/>
      <c r="C603" s="117" t="n"/>
      <c r="D603" s="117" t="n"/>
      <c r="E603" s="118" t="n"/>
      <c r="F603" s="119" t="n"/>
      <c r="G603" s="120" t="n"/>
      <c r="H603" s="123" t="n"/>
      <c r="I603" s="123" t="n"/>
    </row>
    <row r="604" ht="15" customHeight="1" s="72">
      <c r="A604" s="117" t="n"/>
      <c r="B604" s="117" t="n"/>
      <c r="C604" s="117" t="n"/>
      <c r="D604" s="117" t="n"/>
      <c r="E604" s="118" t="n"/>
      <c r="F604" s="119" t="n"/>
      <c r="G604" s="120" t="n"/>
      <c r="H604" s="123" t="n"/>
      <c r="I604" s="123" t="n"/>
    </row>
    <row r="605" ht="15" customHeight="1" s="72">
      <c r="A605" s="117" t="n"/>
      <c r="B605" s="117" t="n"/>
      <c r="C605" s="117" t="n"/>
      <c r="D605" s="117" t="n"/>
      <c r="E605" s="118" t="n"/>
      <c r="F605" s="119" t="n"/>
      <c r="G605" s="120" t="n"/>
      <c r="H605" s="123" t="n"/>
      <c r="I605" s="123" t="n"/>
    </row>
    <row r="606" ht="15" customHeight="1" s="72">
      <c r="A606" s="117" t="n"/>
      <c r="B606" s="117" t="n"/>
      <c r="C606" s="117" t="n"/>
      <c r="D606" s="117" t="n"/>
      <c r="E606" s="118" t="n"/>
      <c r="F606" s="119" t="n"/>
      <c r="G606" s="120" t="n"/>
      <c r="H606" s="123" t="n"/>
      <c r="I606" s="123" t="n"/>
    </row>
    <row r="607" ht="15" customHeight="1" s="72">
      <c r="A607" s="117" t="n"/>
      <c r="B607" s="117" t="n"/>
      <c r="C607" s="117" t="n"/>
      <c r="D607" s="117" t="n"/>
      <c r="E607" s="118" t="n"/>
      <c r="F607" s="119" t="n"/>
      <c r="G607" s="120" t="n"/>
      <c r="H607" s="123" t="n"/>
      <c r="I607" s="123" t="n"/>
    </row>
    <row r="608" ht="15" customHeight="1" s="72">
      <c r="A608" s="117" t="n"/>
      <c r="B608" s="117" t="n"/>
      <c r="C608" s="117" t="n"/>
      <c r="D608" s="117" t="n"/>
      <c r="E608" s="118" t="n"/>
      <c r="F608" s="119" t="n"/>
      <c r="G608" s="120" t="n"/>
      <c r="H608" s="123" t="n"/>
      <c r="I608" s="123" t="n"/>
    </row>
    <row r="609" ht="15" customHeight="1" s="72">
      <c r="A609" s="117" t="n"/>
      <c r="B609" s="117" t="n"/>
      <c r="C609" s="117" t="n"/>
      <c r="D609" s="117" t="n"/>
      <c r="E609" s="118" t="n"/>
      <c r="F609" s="119" t="n"/>
      <c r="G609" s="120" t="n"/>
      <c r="H609" s="123" t="n"/>
      <c r="I609" s="123" t="n"/>
    </row>
    <row r="610" ht="15" customHeight="1" s="72">
      <c r="A610" s="117" t="n"/>
      <c r="B610" s="117" t="n"/>
      <c r="C610" s="117" t="n"/>
      <c r="D610" s="117" t="n"/>
      <c r="E610" s="118" t="n"/>
      <c r="F610" s="119" t="n"/>
      <c r="G610" s="120" t="n"/>
      <c r="H610" s="123" t="n"/>
      <c r="I610" s="123" t="n"/>
    </row>
    <row r="611" ht="15" customHeight="1" s="72">
      <c r="A611" s="117" t="n"/>
      <c r="B611" s="117" t="n"/>
      <c r="C611" s="117" t="n"/>
      <c r="D611" s="117" t="n"/>
      <c r="E611" s="118" t="n"/>
      <c r="F611" s="119" t="n"/>
      <c r="G611" s="120" t="n"/>
      <c r="H611" s="123" t="n"/>
      <c r="I611" s="123" t="n"/>
    </row>
    <row r="612" ht="15" customHeight="1" s="72">
      <c r="A612" s="117" t="n"/>
      <c r="B612" s="117" t="n"/>
      <c r="C612" s="117" t="n"/>
      <c r="D612" s="117" t="n"/>
      <c r="E612" s="118" t="n"/>
      <c r="F612" s="119" t="n"/>
      <c r="G612" s="120" t="n"/>
      <c r="H612" s="123" t="n"/>
      <c r="I612" s="123" t="n"/>
    </row>
    <row r="613" ht="15" customHeight="1" s="72">
      <c r="A613" s="117" t="n"/>
      <c r="B613" s="117" t="n"/>
      <c r="C613" s="117" t="n"/>
      <c r="D613" s="117" t="n"/>
      <c r="E613" s="118" t="n"/>
      <c r="F613" s="119" t="n"/>
      <c r="G613" s="120" t="n"/>
      <c r="H613" s="123" t="n"/>
      <c r="I613" s="123" t="n"/>
    </row>
    <row r="614" ht="15" customHeight="1" s="72">
      <c r="A614" s="117" t="n"/>
      <c r="B614" s="117" t="n"/>
      <c r="C614" s="117" t="n"/>
      <c r="D614" s="117" t="n"/>
      <c r="E614" s="118" t="n"/>
      <c r="F614" s="119" t="n"/>
      <c r="G614" s="120" t="n"/>
      <c r="H614" s="123" t="n"/>
      <c r="I614" s="123" t="n"/>
    </row>
    <row r="615" ht="15" customHeight="1" s="72">
      <c r="A615" s="117" t="n"/>
      <c r="B615" s="117" t="n"/>
      <c r="C615" s="117" t="n"/>
      <c r="D615" s="117" t="n"/>
      <c r="E615" s="118" t="n"/>
      <c r="F615" s="119" t="n"/>
      <c r="G615" s="120" t="n"/>
      <c r="H615" s="123" t="n"/>
      <c r="I615" s="123" t="n"/>
    </row>
    <row r="616" ht="15" customHeight="1" s="72">
      <c r="A616" s="117" t="n"/>
      <c r="B616" s="117" t="n"/>
      <c r="C616" s="117" t="n"/>
      <c r="D616" s="117" t="n"/>
      <c r="E616" s="118" t="n"/>
      <c r="F616" s="119" t="n"/>
      <c r="G616" s="120" t="n"/>
      <c r="H616" s="123" t="n"/>
      <c r="I616" s="123" t="n"/>
    </row>
    <row r="617" ht="15" customHeight="1" s="72">
      <c r="A617" s="117" t="n"/>
      <c r="B617" s="117" t="n"/>
      <c r="C617" s="117" t="n"/>
      <c r="D617" s="117" t="n"/>
      <c r="E617" s="118" t="n"/>
      <c r="F617" s="119" t="n"/>
      <c r="G617" s="120" t="n"/>
      <c r="H617" s="123" t="n"/>
      <c r="I617" s="123" t="n"/>
    </row>
    <row r="618" ht="15" customHeight="1" s="72">
      <c r="A618" s="117" t="n"/>
      <c r="B618" s="117" t="n"/>
      <c r="C618" s="117" t="n"/>
      <c r="D618" s="117" t="n"/>
      <c r="E618" s="118" t="n"/>
      <c r="F618" s="119" t="n"/>
      <c r="G618" s="120" t="n"/>
      <c r="H618" s="123" t="n"/>
      <c r="I618" s="123" t="n"/>
    </row>
    <row r="619" ht="15" customHeight="1" s="72">
      <c r="A619" s="117" t="n"/>
      <c r="B619" s="117" t="n"/>
      <c r="C619" s="117" t="n"/>
      <c r="D619" s="117" t="n"/>
      <c r="E619" s="118" t="n"/>
      <c r="F619" s="119" t="n"/>
      <c r="G619" s="120" t="n"/>
      <c r="H619" s="123" t="n"/>
      <c r="I619" s="123" t="n"/>
    </row>
    <row r="620" ht="15" customHeight="1" s="72">
      <c r="A620" s="117" t="n"/>
      <c r="B620" s="117" t="n"/>
      <c r="C620" s="117" t="n"/>
      <c r="D620" s="117" t="n"/>
      <c r="E620" s="118" t="n"/>
      <c r="F620" s="119" t="n"/>
      <c r="G620" s="120" t="n"/>
      <c r="H620" s="123" t="n"/>
      <c r="I620" s="123" t="n"/>
    </row>
    <row r="621" ht="15" customHeight="1" s="72">
      <c r="A621" s="117" t="n"/>
      <c r="B621" s="117" t="n"/>
      <c r="C621" s="117" t="n"/>
      <c r="D621" s="117" t="n"/>
      <c r="E621" s="118" t="n"/>
      <c r="F621" s="119" t="n"/>
      <c r="G621" s="120" t="n"/>
      <c r="H621" s="123" t="n"/>
      <c r="I621" s="123" t="n"/>
    </row>
    <row r="622" ht="15" customHeight="1" s="72">
      <c r="A622" s="117" t="n"/>
      <c r="B622" s="117" t="n"/>
      <c r="C622" s="117" t="n"/>
      <c r="D622" s="117" t="n"/>
      <c r="E622" s="118" t="n"/>
      <c r="F622" s="119" t="n"/>
      <c r="G622" s="120" t="n"/>
      <c r="H622" s="123" t="n"/>
      <c r="I622" s="123" t="n"/>
    </row>
    <row r="623" ht="15" customHeight="1" s="72">
      <c r="A623" s="117" t="n"/>
      <c r="B623" s="117" t="n"/>
      <c r="C623" s="117" t="n"/>
      <c r="D623" s="117" t="n"/>
      <c r="E623" s="118" t="n"/>
      <c r="F623" s="119" t="n"/>
      <c r="G623" s="120" t="n"/>
      <c r="H623" s="123" t="n"/>
      <c r="I623" s="123" t="n"/>
    </row>
    <row r="624" ht="15" customHeight="1" s="72">
      <c r="A624" s="117" t="n"/>
      <c r="B624" s="117" t="n"/>
      <c r="C624" s="117" t="n"/>
      <c r="D624" s="117" t="n"/>
      <c r="E624" s="118" t="n"/>
      <c r="F624" s="119" t="n"/>
      <c r="G624" s="120" t="n"/>
      <c r="H624" s="123" t="n"/>
      <c r="I624" s="123" t="n"/>
    </row>
    <row r="625" ht="15" customHeight="1" s="72">
      <c r="A625" s="117" t="n"/>
      <c r="B625" s="117" t="n"/>
      <c r="C625" s="117" t="n"/>
      <c r="D625" s="117" t="n"/>
      <c r="E625" s="118" t="n"/>
      <c r="F625" s="119" t="n"/>
      <c r="G625" s="120" t="n"/>
      <c r="H625" s="123" t="n"/>
      <c r="I625" s="123" t="n"/>
    </row>
    <row r="626" ht="15" customHeight="1" s="72">
      <c r="A626" s="117" t="n"/>
      <c r="B626" s="117" t="n"/>
      <c r="C626" s="117" t="n"/>
      <c r="D626" s="117" t="n"/>
      <c r="E626" s="118" t="n"/>
      <c r="F626" s="119" t="n"/>
      <c r="G626" s="120" t="n"/>
      <c r="H626" s="123" t="n"/>
      <c r="I626" s="123" t="n"/>
    </row>
    <row r="627" ht="15" customHeight="1" s="72">
      <c r="A627" s="117" t="n"/>
      <c r="B627" s="117" t="n"/>
      <c r="C627" s="117" t="n"/>
      <c r="D627" s="117" t="n"/>
      <c r="E627" s="118" t="n"/>
      <c r="F627" s="119" t="n"/>
      <c r="G627" s="120" t="n"/>
      <c r="H627" s="123" t="n"/>
      <c r="I627" s="123" t="n"/>
    </row>
    <row r="628" ht="15" customHeight="1" s="72">
      <c r="A628" s="117" t="n"/>
      <c r="B628" s="117" t="n"/>
      <c r="C628" s="117" t="n"/>
      <c r="D628" s="117" t="n"/>
      <c r="E628" s="118" t="n"/>
      <c r="F628" s="119" t="n"/>
      <c r="G628" s="120" t="n"/>
      <c r="H628" s="123" t="n"/>
      <c r="I628" s="123" t="n"/>
    </row>
    <row r="629" ht="15" customHeight="1" s="72">
      <c r="A629" s="117" t="n"/>
      <c r="B629" s="117" t="n"/>
      <c r="C629" s="117" t="n"/>
      <c r="D629" s="117" t="n"/>
      <c r="E629" s="118" t="n"/>
      <c r="F629" s="119" t="n"/>
      <c r="G629" s="120" t="n"/>
      <c r="H629" s="123" t="n"/>
      <c r="I629" s="123" t="n"/>
    </row>
    <row r="630" ht="15" customHeight="1" s="72">
      <c r="A630" s="117" t="n"/>
      <c r="B630" s="117" t="n"/>
      <c r="C630" s="117" t="n"/>
      <c r="D630" s="117" t="n"/>
      <c r="E630" s="118" t="n"/>
      <c r="F630" s="119" t="n"/>
      <c r="G630" s="120" t="n"/>
      <c r="H630" s="123" t="n"/>
      <c r="I630" s="123" t="n"/>
    </row>
    <row r="631" ht="15" customHeight="1" s="72">
      <c r="A631" s="117" t="n"/>
      <c r="B631" s="117" t="n"/>
      <c r="C631" s="117" t="n"/>
      <c r="D631" s="117" t="n"/>
      <c r="E631" s="118" t="n"/>
      <c r="F631" s="119" t="n"/>
      <c r="G631" s="120" t="n"/>
      <c r="H631" s="123" t="n"/>
      <c r="I631" s="123" t="n"/>
    </row>
    <row r="632" ht="15" customHeight="1" s="72">
      <c r="A632" s="117" t="n"/>
      <c r="B632" s="117" t="n"/>
      <c r="C632" s="117" t="n"/>
      <c r="D632" s="117" t="n"/>
      <c r="E632" s="118" t="n"/>
      <c r="F632" s="119" t="n"/>
      <c r="G632" s="120" t="n"/>
      <c r="H632" s="123" t="n"/>
      <c r="I632" s="123" t="n"/>
    </row>
    <row r="633" ht="15" customHeight="1" s="72">
      <c r="A633" s="117" t="n"/>
      <c r="B633" s="117" t="n"/>
      <c r="C633" s="117" t="n"/>
      <c r="D633" s="117" t="n"/>
      <c r="E633" s="118" t="n"/>
      <c r="F633" s="119" t="n"/>
      <c r="G633" s="120" t="n"/>
      <c r="H633" s="123" t="n"/>
      <c r="I633" s="123" t="n"/>
    </row>
    <row r="634" ht="15" customHeight="1" s="72">
      <c r="A634" s="117" t="n"/>
      <c r="B634" s="117" t="n"/>
      <c r="C634" s="117" t="n"/>
      <c r="D634" s="117" t="n"/>
      <c r="E634" s="118" t="n"/>
      <c r="F634" s="119" t="n"/>
      <c r="G634" s="120" t="n"/>
      <c r="H634" s="123" t="n"/>
      <c r="I634" s="123" t="n"/>
    </row>
    <row r="635" ht="15" customHeight="1" s="72">
      <c r="A635" s="117" t="n"/>
      <c r="B635" s="117" t="n"/>
      <c r="C635" s="117" t="n"/>
      <c r="D635" s="117" t="n"/>
      <c r="E635" s="118" t="n"/>
      <c r="F635" s="119" t="n"/>
      <c r="G635" s="120" t="n"/>
      <c r="H635" s="123" t="n"/>
      <c r="I635" s="123" t="n"/>
    </row>
    <row r="636" ht="15" customHeight="1" s="72">
      <c r="A636" s="117" t="n"/>
      <c r="B636" s="117" t="n"/>
      <c r="C636" s="117" t="n"/>
      <c r="D636" s="117" t="n"/>
      <c r="E636" s="118" t="n"/>
      <c r="F636" s="119" t="n"/>
      <c r="G636" s="120" t="n"/>
      <c r="H636" s="123" t="n"/>
      <c r="I636" s="123" t="n"/>
    </row>
    <row r="637" ht="15" customHeight="1" s="72">
      <c r="A637" s="117" t="n"/>
      <c r="B637" s="117" t="n"/>
      <c r="C637" s="117" t="n"/>
      <c r="D637" s="117" t="n"/>
      <c r="E637" s="118" t="n"/>
      <c r="F637" s="119" t="n"/>
      <c r="G637" s="120" t="n"/>
      <c r="H637" s="123" t="n"/>
      <c r="I637" s="123" t="n"/>
    </row>
    <row r="638" ht="15" customHeight="1" s="72">
      <c r="A638" s="117" t="n"/>
      <c r="B638" s="117" t="n"/>
      <c r="C638" s="117" t="n"/>
      <c r="D638" s="117" t="n"/>
      <c r="E638" s="118" t="n"/>
      <c r="F638" s="119" t="n"/>
      <c r="G638" s="120" t="n"/>
      <c r="H638" s="123" t="n"/>
      <c r="I638" s="123" t="n"/>
    </row>
    <row r="639" ht="15" customHeight="1" s="72">
      <c r="A639" s="117" t="n"/>
      <c r="B639" s="117" t="n"/>
      <c r="C639" s="117" t="n"/>
      <c r="D639" s="117" t="n"/>
      <c r="E639" s="118" t="n"/>
      <c r="F639" s="119" t="n"/>
      <c r="G639" s="120" t="n"/>
      <c r="H639" s="123" t="n"/>
      <c r="I639" s="123" t="n"/>
    </row>
    <row r="640" ht="15" customHeight="1" s="72">
      <c r="A640" s="117" t="n"/>
      <c r="B640" s="117" t="n"/>
      <c r="C640" s="117" t="n"/>
      <c r="D640" s="117" t="n"/>
      <c r="E640" s="118" t="n"/>
      <c r="F640" s="119" t="n"/>
      <c r="G640" s="120" t="n"/>
      <c r="H640" s="123" t="n"/>
      <c r="I640" s="123" t="n"/>
    </row>
    <row r="641" ht="15" customHeight="1" s="72">
      <c r="A641" s="117" t="n"/>
      <c r="B641" s="117" t="n"/>
      <c r="C641" s="117" t="n"/>
      <c r="D641" s="117" t="n"/>
      <c r="E641" s="118" t="n"/>
      <c r="F641" s="119" t="n"/>
      <c r="G641" s="120" t="n"/>
      <c r="H641" s="123" t="n"/>
      <c r="I641" s="123" t="n"/>
    </row>
    <row r="642" ht="15" customHeight="1" s="72">
      <c r="A642" s="117" t="n"/>
      <c r="B642" s="117" t="n"/>
      <c r="C642" s="117" t="n"/>
      <c r="D642" s="117" t="n"/>
      <c r="E642" s="118" t="n"/>
      <c r="F642" s="119" t="n"/>
      <c r="G642" s="120" t="n"/>
      <c r="H642" s="123" t="n"/>
      <c r="I642" s="123" t="n"/>
    </row>
    <row r="643" ht="15" customHeight="1" s="72">
      <c r="A643" s="117" t="n"/>
      <c r="B643" s="117" t="n"/>
      <c r="C643" s="117" t="n"/>
      <c r="D643" s="117" t="n"/>
      <c r="E643" s="118" t="n"/>
      <c r="F643" s="119" t="n"/>
      <c r="G643" s="120" t="n"/>
      <c r="H643" s="123" t="n"/>
      <c r="I643" s="123" t="n"/>
    </row>
    <row r="644" ht="15" customHeight="1" s="72">
      <c r="A644" s="117" t="n"/>
      <c r="B644" s="117" t="n"/>
      <c r="C644" s="117" t="n"/>
      <c r="D644" s="117" t="n"/>
      <c r="E644" s="118" t="n"/>
      <c r="F644" s="119" t="n"/>
      <c r="G644" s="120" t="n"/>
      <c r="H644" s="123" t="n"/>
      <c r="I644" s="123" t="n"/>
    </row>
    <row r="645" ht="15" customHeight="1" s="72">
      <c r="A645" s="117" t="n"/>
      <c r="B645" s="117" t="n"/>
      <c r="C645" s="117" t="n"/>
      <c r="D645" s="117" t="n"/>
      <c r="E645" s="118" t="n"/>
      <c r="F645" s="119" t="n"/>
      <c r="G645" s="120" t="n"/>
      <c r="H645" s="123" t="n"/>
      <c r="I645" s="123" t="n"/>
    </row>
    <row r="646" ht="15" customHeight="1" s="72">
      <c r="A646" s="117" t="n"/>
      <c r="B646" s="117" t="n"/>
      <c r="C646" s="117" t="n"/>
      <c r="D646" s="117" t="n"/>
      <c r="E646" s="118" t="n"/>
      <c r="F646" s="119" t="n"/>
      <c r="G646" s="120" t="n"/>
      <c r="H646" s="123" t="n"/>
      <c r="I646" s="123" t="n"/>
    </row>
    <row r="647" ht="15" customHeight="1" s="72">
      <c r="A647" s="117" t="n"/>
      <c r="B647" s="117" t="n"/>
      <c r="C647" s="117" t="n"/>
      <c r="D647" s="117" t="n"/>
      <c r="E647" s="118" t="n"/>
      <c r="F647" s="119" t="n"/>
      <c r="G647" s="120" t="n"/>
      <c r="H647" s="123" t="n"/>
      <c r="I647" s="123" t="n"/>
    </row>
    <row r="648" ht="15" customHeight="1" s="72">
      <c r="A648" s="117" t="n"/>
      <c r="B648" s="117" t="n"/>
      <c r="C648" s="117" t="n"/>
      <c r="D648" s="117" t="n"/>
      <c r="E648" s="118" t="n"/>
      <c r="F648" s="119" t="n"/>
      <c r="G648" s="120" t="n"/>
      <c r="H648" s="123" t="n"/>
      <c r="I648" s="123" t="n"/>
    </row>
    <row r="649" ht="15" customHeight="1" s="72">
      <c r="A649" s="117" t="n"/>
      <c r="B649" s="117" t="n"/>
      <c r="C649" s="117" t="n"/>
      <c r="D649" s="117" t="n"/>
      <c r="E649" s="118" t="n"/>
      <c r="F649" s="119" t="n"/>
      <c r="G649" s="120" t="n"/>
      <c r="H649" s="123" t="n"/>
      <c r="I649" s="123" t="n"/>
    </row>
    <row r="650" ht="15" customHeight="1" s="72">
      <c r="A650" s="117" t="n"/>
      <c r="B650" s="117" t="n"/>
      <c r="C650" s="117" t="n"/>
      <c r="D650" s="117" t="n"/>
      <c r="E650" s="118" t="n"/>
      <c r="F650" s="119" t="n"/>
      <c r="G650" s="120" t="n"/>
      <c r="H650" s="123" t="n"/>
      <c r="I650" s="123" t="n"/>
    </row>
    <row r="651" ht="15" customHeight="1" s="72">
      <c r="A651" s="117" t="n"/>
      <c r="B651" s="117" t="n"/>
      <c r="C651" s="117" t="n"/>
      <c r="D651" s="117" t="n"/>
      <c r="E651" s="118" t="n"/>
      <c r="F651" s="119" t="n"/>
      <c r="G651" s="120" t="n"/>
      <c r="H651" s="123" t="n"/>
      <c r="I651" s="123" t="n"/>
    </row>
    <row r="652" ht="15" customHeight="1" s="72">
      <c r="A652" s="117" t="n"/>
      <c r="B652" s="117" t="n"/>
      <c r="C652" s="117" t="n"/>
      <c r="D652" s="117" t="n"/>
      <c r="E652" s="118" t="n"/>
      <c r="F652" s="119" t="n"/>
      <c r="G652" s="120" t="n"/>
      <c r="H652" s="123" t="n"/>
      <c r="I652" s="123" t="n"/>
    </row>
    <row r="653" ht="15" customHeight="1" s="72">
      <c r="A653" s="117" t="n"/>
      <c r="B653" s="117" t="n"/>
      <c r="C653" s="117" t="n"/>
      <c r="D653" s="117" t="n"/>
      <c r="E653" s="118" t="n"/>
      <c r="F653" s="119" t="n"/>
      <c r="G653" s="120" t="n"/>
      <c r="H653" s="123" t="n"/>
      <c r="I653" s="123" t="n"/>
    </row>
    <row r="654" ht="15" customHeight="1" s="72">
      <c r="A654" s="117" t="n"/>
      <c r="B654" s="117" t="n"/>
      <c r="C654" s="117" t="n"/>
      <c r="D654" s="117" t="n"/>
      <c r="E654" s="118" t="n"/>
      <c r="F654" s="119" t="n"/>
      <c r="G654" s="120" t="n"/>
      <c r="H654" s="123" t="n"/>
      <c r="I654" s="123" t="n"/>
    </row>
    <row r="655" ht="15" customHeight="1" s="72">
      <c r="A655" s="117" t="n"/>
      <c r="B655" s="117" t="n"/>
      <c r="C655" s="117" t="n"/>
      <c r="D655" s="117" t="n"/>
      <c r="E655" s="118" t="n"/>
      <c r="F655" s="119" t="n"/>
      <c r="G655" s="120" t="n"/>
      <c r="H655" s="123" t="n"/>
      <c r="I655" s="123" t="n"/>
    </row>
    <row r="656" ht="15" customHeight="1" s="72">
      <c r="A656" s="117" t="n"/>
      <c r="B656" s="117" t="n"/>
      <c r="C656" s="117" t="n"/>
      <c r="D656" s="117" t="n"/>
      <c r="E656" s="118" t="n"/>
      <c r="F656" s="119" t="n"/>
      <c r="G656" s="120" t="n"/>
      <c r="H656" s="123" t="n"/>
      <c r="I656" s="123" t="n"/>
    </row>
    <row r="657" ht="15" customHeight="1" s="72">
      <c r="A657" s="117" t="n"/>
      <c r="B657" s="117" t="n"/>
      <c r="C657" s="117" t="n"/>
      <c r="D657" s="117" t="n"/>
      <c r="E657" s="118" t="n"/>
      <c r="F657" s="119" t="n"/>
      <c r="G657" s="120" t="n"/>
      <c r="H657" s="123" t="n"/>
      <c r="I657" s="123" t="n"/>
    </row>
    <row r="658" ht="15" customHeight="1" s="72">
      <c r="A658" s="117" t="n"/>
      <c r="B658" s="117" t="n"/>
      <c r="C658" s="117" t="n"/>
      <c r="D658" s="117" t="n"/>
      <c r="E658" s="118" t="n"/>
      <c r="F658" s="119" t="n"/>
      <c r="G658" s="120" t="n"/>
      <c r="H658" s="123" t="n"/>
      <c r="I658" s="123" t="n"/>
    </row>
    <row r="659" ht="15" customHeight="1" s="72">
      <c r="A659" s="117" t="n"/>
      <c r="B659" s="117" t="n"/>
      <c r="C659" s="117" t="n"/>
      <c r="D659" s="117" t="n"/>
      <c r="E659" s="118" t="n"/>
      <c r="F659" s="119" t="n"/>
      <c r="G659" s="120" t="n"/>
      <c r="H659" s="123" t="n"/>
      <c r="I659" s="123" t="n"/>
    </row>
    <row r="660" ht="15" customHeight="1" s="72">
      <c r="A660" s="117" t="n"/>
      <c r="B660" s="117" t="n"/>
      <c r="C660" s="117" t="n"/>
      <c r="D660" s="117" t="n"/>
      <c r="E660" s="118" t="n"/>
      <c r="F660" s="119" t="n"/>
      <c r="G660" s="120" t="n"/>
      <c r="H660" s="123" t="n"/>
      <c r="I660" s="123" t="n"/>
    </row>
    <row r="661" ht="15" customHeight="1" s="72">
      <c r="A661" s="117" t="n"/>
      <c r="B661" s="117" t="n"/>
      <c r="C661" s="117" t="n"/>
      <c r="D661" s="117" t="n"/>
      <c r="E661" s="118" t="n"/>
      <c r="F661" s="119" t="n"/>
      <c r="G661" s="120" t="n"/>
      <c r="H661" s="123" t="n"/>
      <c r="I661" s="123" t="n"/>
    </row>
    <row r="662" ht="15" customHeight="1" s="72">
      <c r="A662" s="117" t="n"/>
      <c r="B662" s="117" t="n"/>
      <c r="C662" s="117" t="n"/>
      <c r="D662" s="117" t="n"/>
      <c r="E662" s="118" t="n"/>
      <c r="F662" s="119" t="n"/>
      <c r="G662" s="120" t="n"/>
      <c r="H662" s="123" t="n"/>
      <c r="I662" s="123" t="n"/>
    </row>
    <row r="663" ht="15" customHeight="1" s="72">
      <c r="A663" s="117" t="n"/>
      <c r="B663" s="117" t="n"/>
      <c r="C663" s="117" t="n"/>
      <c r="D663" s="117" t="n"/>
      <c r="E663" s="118" t="n"/>
      <c r="F663" s="119" t="n"/>
      <c r="G663" s="120" t="n"/>
      <c r="H663" s="123" t="n"/>
      <c r="I663" s="123" t="n"/>
    </row>
    <row r="664" ht="15" customHeight="1" s="72">
      <c r="A664" s="117" t="n"/>
      <c r="B664" s="117" t="n"/>
      <c r="C664" s="117" t="n"/>
      <c r="D664" s="117" t="n"/>
      <c r="E664" s="118" t="n"/>
      <c r="F664" s="119" t="n"/>
      <c r="G664" s="120" t="n"/>
      <c r="H664" s="123" t="n"/>
      <c r="I664" s="123" t="n"/>
    </row>
    <row r="665" ht="15" customHeight="1" s="72">
      <c r="A665" s="117" t="n"/>
      <c r="B665" s="117" t="n"/>
      <c r="C665" s="117" t="n"/>
      <c r="D665" s="117" t="n"/>
      <c r="E665" s="118" t="n"/>
      <c r="F665" s="119" t="n"/>
      <c r="G665" s="120" t="n"/>
      <c r="H665" s="123" t="n"/>
      <c r="I665" s="123" t="n"/>
    </row>
    <row r="666" ht="15" customHeight="1" s="72">
      <c r="A666" s="117" t="n"/>
      <c r="B666" s="117" t="n"/>
      <c r="C666" s="117" t="n"/>
      <c r="D666" s="117" t="n"/>
      <c r="E666" s="118" t="n"/>
      <c r="F666" s="119" t="n"/>
      <c r="G666" s="120" t="n"/>
      <c r="H666" s="123" t="n"/>
      <c r="I666" s="123" t="n"/>
    </row>
    <row r="667" ht="15" customHeight="1" s="72">
      <c r="A667" s="117" t="n"/>
      <c r="B667" s="117" t="n"/>
      <c r="C667" s="117" t="n"/>
      <c r="D667" s="117" t="n"/>
      <c r="E667" s="118" t="n"/>
      <c r="F667" s="119" t="n"/>
      <c r="G667" s="120" t="n"/>
      <c r="H667" s="123" t="n"/>
      <c r="I667" s="123" t="n"/>
    </row>
    <row r="668" ht="15" customHeight="1" s="72">
      <c r="A668" s="117" t="n"/>
      <c r="B668" s="117" t="n"/>
      <c r="C668" s="117" t="n"/>
      <c r="D668" s="117" t="n"/>
      <c r="E668" s="118" t="n"/>
      <c r="F668" s="119" t="n"/>
      <c r="G668" s="120" t="n"/>
      <c r="H668" s="123" t="n"/>
      <c r="I668" s="123" t="n"/>
    </row>
    <row r="669" ht="15" customHeight="1" s="72">
      <c r="A669" s="117" t="n"/>
      <c r="B669" s="117" t="n"/>
      <c r="C669" s="117" t="n"/>
      <c r="D669" s="117" t="n"/>
      <c r="E669" s="118" t="n"/>
      <c r="F669" s="119" t="n"/>
      <c r="G669" s="120" t="n"/>
      <c r="H669" s="123" t="n"/>
      <c r="I669" s="123" t="n"/>
    </row>
    <row r="670" ht="15" customHeight="1" s="72">
      <c r="A670" s="117" t="n"/>
      <c r="B670" s="117" t="n"/>
      <c r="C670" s="117" t="n"/>
      <c r="D670" s="117" t="n"/>
      <c r="E670" s="118" t="n"/>
      <c r="F670" s="119" t="n"/>
      <c r="G670" s="120" t="n"/>
      <c r="H670" s="123" t="n"/>
      <c r="I670" s="123" t="n"/>
    </row>
    <row r="671" ht="15" customHeight="1" s="72">
      <c r="A671" s="117" t="n"/>
      <c r="B671" s="117" t="n"/>
      <c r="C671" s="117" t="n"/>
      <c r="D671" s="117" t="n"/>
      <c r="E671" s="118" t="n"/>
      <c r="F671" s="119" t="n"/>
      <c r="G671" s="120" t="n"/>
      <c r="H671" s="123" t="n"/>
      <c r="I671" s="123" t="n"/>
    </row>
    <row r="672" ht="15" customHeight="1" s="72">
      <c r="A672" s="117" t="n"/>
      <c r="B672" s="117" t="n"/>
      <c r="C672" s="117" t="n"/>
      <c r="D672" s="117" t="n"/>
      <c r="E672" s="118" t="n"/>
      <c r="F672" s="119" t="n"/>
      <c r="G672" s="120" t="n"/>
      <c r="H672" s="123" t="n"/>
      <c r="I672" s="123" t="n"/>
    </row>
    <row r="673" ht="15" customHeight="1" s="72">
      <c r="A673" s="117" t="n"/>
      <c r="B673" s="117" t="n"/>
      <c r="C673" s="117" t="n"/>
      <c r="D673" s="117" t="n"/>
      <c r="E673" s="118" t="n"/>
      <c r="F673" s="119" t="n"/>
      <c r="G673" s="120" t="n"/>
      <c r="H673" s="123" t="n"/>
      <c r="I673" s="123" t="n"/>
    </row>
    <row r="674" ht="15" customHeight="1" s="72">
      <c r="A674" s="117" t="n"/>
      <c r="B674" s="117" t="n"/>
      <c r="C674" s="117" t="n"/>
      <c r="D674" s="117" t="n"/>
      <c r="E674" s="118" t="n"/>
      <c r="F674" s="119" t="n"/>
      <c r="G674" s="120" t="n"/>
      <c r="H674" s="123" t="n"/>
      <c r="I674" s="123" t="n"/>
    </row>
    <row r="675" ht="15" customHeight="1" s="72">
      <c r="A675" s="117" t="n"/>
      <c r="B675" s="117" t="n"/>
      <c r="C675" s="117" t="n"/>
      <c r="D675" s="117" t="n"/>
      <c r="E675" s="118" t="n"/>
      <c r="F675" s="119" t="n"/>
      <c r="G675" s="120" t="n"/>
      <c r="H675" s="123" t="n"/>
      <c r="I675" s="123" t="n"/>
    </row>
    <row r="676" ht="15" customHeight="1" s="72">
      <c r="A676" s="117" t="n"/>
      <c r="B676" s="117" t="n"/>
      <c r="C676" s="117" t="n"/>
      <c r="D676" s="117" t="n"/>
      <c r="E676" s="118" t="n"/>
      <c r="F676" s="119" t="n"/>
      <c r="G676" s="120" t="n"/>
      <c r="H676" s="123" t="n"/>
      <c r="I676" s="123" t="n"/>
    </row>
    <row r="677" ht="15" customHeight="1" s="72">
      <c r="A677" s="117" t="n"/>
      <c r="B677" s="117" t="n"/>
      <c r="C677" s="117" t="n"/>
      <c r="D677" s="117" t="n"/>
      <c r="E677" s="118" t="n"/>
      <c r="F677" s="119" t="n"/>
      <c r="G677" s="120" t="n"/>
      <c r="H677" s="123" t="n"/>
      <c r="I677" s="123" t="n"/>
    </row>
    <row r="678" ht="15" customHeight="1" s="72">
      <c r="A678" s="117" t="n"/>
      <c r="B678" s="117" t="n"/>
      <c r="C678" s="117" t="n"/>
      <c r="D678" s="117" t="n"/>
      <c r="E678" s="118" t="n"/>
      <c r="F678" s="119" t="n"/>
      <c r="G678" s="120" t="n"/>
      <c r="H678" s="123" t="n"/>
      <c r="I678" s="123" t="n"/>
    </row>
    <row r="679" ht="15" customHeight="1" s="72">
      <c r="A679" s="117" t="n"/>
      <c r="B679" s="117" t="n"/>
      <c r="C679" s="117" t="n"/>
      <c r="D679" s="117" t="n"/>
      <c r="E679" s="118" t="n"/>
      <c r="F679" s="119" t="n"/>
      <c r="G679" s="120" t="n"/>
      <c r="H679" s="123" t="n"/>
      <c r="I679" s="123" t="n"/>
    </row>
    <row r="680" ht="15" customHeight="1" s="72">
      <c r="A680" s="117" t="n"/>
      <c r="B680" s="117" t="n"/>
      <c r="C680" s="117" t="n"/>
      <c r="D680" s="117" t="n"/>
      <c r="E680" s="118" t="n"/>
      <c r="F680" s="119" t="n"/>
      <c r="G680" s="120" t="n"/>
      <c r="H680" s="123" t="n"/>
      <c r="I680" s="123" t="n"/>
    </row>
    <row r="681" ht="15" customHeight="1" s="72">
      <c r="A681" s="117" t="n"/>
      <c r="B681" s="117" t="n"/>
      <c r="C681" s="117" t="n"/>
      <c r="D681" s="117" t="n"/>
      <c r="E681" s="118" t="n"/>
      <c r="F681" s="119" t="n"/>
      <c r="G681" s="120" t="n"/>
      <c r="H681" s="123" t="n"/>
      <c r="I681" s="123" t="n"/>
    </row>
    <row r="682" ht="15" customHeight="1" s="72">
      <c r="A682" s="117" t="n"/>
      <c r="B682" s="117" t="n"/>
      <c r="C682" s="117" t="n"/>
      <c r="D682" s="117" t="n"/>
      <c r="E682" s="118" t="n"/>
      <c r="F682" s="119" t="n"/>
      <c r="G682" s="120" t="n"/>
      <c r="H682" s="123" t="n"/>
      <c r="I682" s="123" t="n"/>
    </row>
    <row r="683" ht="15" customHeight="1" s="72">
      <c r="A683" s="117" t="n"/>
      <c r="B683" s="117" t="n"/>
      <c r="C683" s="117" t="n"/>
      <c r="D683" s="117" t="n"/>
      <c r="E683" s="118" t="n"/>
      <c r="F683" s="119" t="n"/>
      <c r="G683" s="120" t="n"/>
      <c r="H683" s="123" t="n"/>
      <c r="I683" s="123" t="n"/>
    </row>
    <row r="684" ht="15" customHeight="1" s="72">
      <c r="A684" s="117" t="n"/>
      <c r="B684" s="117" t="n"/>
      <c r="C684" s="117" t="n"/>
      <c r="D684" s="117" t="n"/>
      <c r="E684" s="118" t="n"/>
      <c r="F684" s="119" t="n"/>
      <c r="G684" s="120" t="n"/>
      <c r="H684" s="123" t="n"/>
      <c r="I684" s="123" t="n"/>
    </row>
    <row r="685" ht="15" customHeight="1" s="72">
      <c r="A685" s="117" t="n"/>
      <c r="B685" s="117" t="n"/>
      <c r="C685" s="117" t="n"/>
      <c r="D685" s="117" t="n"/>
      <c r="E685" s="118" t="n"/>
      <c r="F685" s="119" t="n"/>
      <c r="G685" s="120" t="n"/>
      <c r="H685" s="123" t="n"/>
      <c r="I685" s="123" t="n"/>
    </row>
    <row r="686" ht="15" customHeight="1" s="72">
      <c r="A686" s="117" t="n"/>
      <c r="B686" s="117" t="n"/>
      <c r="C686" s="117" t="n"/>
      <c r="D686" s="117" t="n"/>
      <c r="E686" s="118" t="n"/>
      <c r="F686" s="119" t="n"/>
      <c r="G686" s="120" t="n"/>
      <c r="H686" s="123" t="n"/>
      <c r="I686" s="123" t="n"/>
    </row>
    <row r="687" ht="15" customHeight="1" s="72">
      <c r="A687" s="117" t="n"/>
      <c r="B687" s="117" t="n"/>
      <c r="C687" s="117" t="n"/>
      <c r="D687" s="117" t="n"/>
      <c r="E687" s="118" t="n"/>
      <c r="F687" s="119" t="n"/>
      <c r="G687" s="120" t="n"/>
      <c r="H687" s="123" t="n"/>
      <c r="I687" s="123" t="n"/>
    </row>
    <row r="688" ht="15" customHeight="1" s="72">
      <c r="A688" s="117" t="n"/>
      <c r="B688" s="117" t="n"/>
      <c r="C688" s="117" t="n"/>
      <c r="D688" s="117" t="n"/>
      <c r="E688" s="118" t="n"/>
      <c r="F688" s="119" t="n"/>
      <c r="G688" s="120" t="n"/>
      <c r="H688" s="123" t="n"/>
      <c r="I688" s="123" t="n"/>
    </row>
    <row r="689" ht="15" customHeight="1" s="72">
      <c r="A689" s="117" t="n"/>
      <c r="B689" s="117" t="n"/>
      <c r="C689" s="117" t="n"/>
      <c r="D689" s="117" t="n"/>
      <c r="E689" s="118" t="n"/>
      <c r="F689" s="119" t="n"/>
      <c r="G689" s="120" t="n"/>
      <c r="H689" s="123" t="n"/>
      <c r="I689" s="123" t="n"/>
    </row>
    <row r="690" ht="15" customHeight="1" s="72">
      <c r="A690" s="117" t="n"/>
      <c r="B690" s="117" t="n"/>
      <c r="C690" s="117" t="n"/>
      <c r="D690" s="117" t="n"/>
      <c r="E690" s="118" t="n"/>
      <c r="F690" s="119" t="n"/>
      <c r="G690" s="120" t="n"/>
      <c r="H690" s="123" t="n"/>
      <c r="I690" s="123" t="n"/>
    </row>
    <row r="691" ht="15" customHeight="1" s="72">
      <c r="A691" s="117" t="n"/>
      <c r="B691" s="117" t="n"/>
      <c r="C691" s="117" t="n"/>
      <c r="D691" s="117" t="n"/>
      <c r="E691" s="118" t="n"/>
      <c r="F691" s="119" t="n"/>
      <c r="G691" s="120" t="n"/>
      <c r="H691" s="123" t="n"/>
      <c r="I691" s="123" t="n"/>
    </row>
    <row r="692" ht="15" customHeight="1" s="72">
      <c r="A692" s="117" t="n"/>
      <c r="B692" s="117" t="n"/>
      <c r="C692" s="117" t="n"/>
      <c r="D692" s="117" t="n"/>
      <c r="E692" s="118" t="n"/>
      <c r="F692" s="119" t="n"/>
      <c r="G692" s="120" t="n"/>
      <c r="H692" s="123" t="n"/>
      <c r="I692" s="123" t="n"/>
    </row>
    <row r="693" ht="15" customHeight="1" s="72">
      <c r="A693" s="117" t="n"/>
      <c r="B693" s="117" t="n"/>
      <c r="C693" s="117" t="n"/>
      <c r="D693" s="117" t="n"/>
      <c r="E693" s="118" t="n"/>
      <c r="F693" s="119" t="n"/>
      <c r="G693" s="120" t="n"/>
      <c r="H693" s="123" t="n"/>
      <c r="I693" s="123" t="n"/>
    </row>
    <row r="694" ht="15" customHeight="1" s="72">
      <c r="A694" s="117" t="n"/>
      <c r="B694" s="117" t="n"/>
      <c r="C694" s="117" t="n"/>
      <c r="D694" s="117" t="n"/>
      <c r="E694" s="118" t="n"/>
      <c r="F694" s="119" t="n"/>
      <c r="G694" s="120" t="n"/>
      <c r="H694" s="123" t="n"/>
      <c r="I694" s="123" t="n"/>
    </row>
    <row r="695" ht="15" customHeight="1" s="72">
      <c r="A695" s="117" t="n"/>
      <c r="B695" s="117" t="n"/>
      <c r="C695" s="117" t="n"/>
      <c r="D695" s="117" t="n"/>
      <c r="E695" s="118" t="n"/>
      <c r="F695" s="119" t="n"/>
      <c r="G695" s="120" t="n"/>
      <c r="H695" s="123" t="n"/>
      <c r="I695" s="123" t="n"/>
    </row>
    <row r="696" ht="15" customHeight="1" s="72">
      <c r="A696" s="117" t="n"/>
      <c r="B696" s="117" t="n"/>
      <c r="C696" s="117" t="n"/>
      <c r="D696" s="117" t="n"/>
      <c r="E696" s="118" t="n"/>
      <c r="F696" s="119" t="n"/>
      <c r="G696" s="120" t="n"/>
      <c r="H696" s="123" t="n"/>
      <c r="I696" s="123" t="n"/>
    </row>
    <row r="697" ht="15" customHeight="1" s="72">
      <c r="A697" s="117" t="n"/>
      <c r="B697" s="117" t="n"/>
      <c r="C697" s="117" t="n"/>
      <c r="D697" s="117" t="n"/>
      <c r="E697" s="118" t="n"/>
      <c r="F697" s="119" t="n"/>
      <c r="G697" s="120" t="n"/>
      <c r="H697" s="123" t="n"/>
      <c r="I697" s="123" t="n"/>
    </row>
    <row r="698" ht="15" customHeight="1" s="72">
      <c r="A698" s="117" t="n"/>
      <c r="B698" s="117" t="n"/>
      <c r="C698" s="117" t="n"/>
      <c r="D698" s="117" t="n"/>
      <c r="E698" s="118" t="n"/>
      <c r="F698" s="119" t="n"/>
      <c r="G698" s="120" t="n"/>
      <c r="H698" s="123" t="n"/>
      <c r="I698" s="123" t="n"/>
    </row>
    <row r="699" ht="15" customHeight="1" s="72">
      <c r="A699" s="117" t="n"/>
      <c r="B699" s="117" t="n"/>
      <c r="C699" s="117" t="n"/>
      <c r="D699" s="117" t="n"/>
      <c r="E699" s="118" t="n"/>
      <c r="F699" s="119" t="n"/>
      <c r="G699" s="120" t="n"/>
      <c r="H699" s="123" t="n"/>
      <c r="I699" s="123" t="n"/>
    </row>
    <row r="700" ht="15" customHeight="1" s="72">
      <c r="A700" s="117" t="n"/>
      <c r="B700" s="117" t="n"/>
      <c r="C700" s="117" t="n"/>
      <c r="D700" s="117" t="n"/>
      <c r="E700" s="118" t="n"/>
      <c r="F700" s="119" t="n"/>
      <c r="G700" s="120" t="n"/>
      <c r="H700" s="123" t="n"/>
      <c r="I700" s="123" t="n"/>
    </row>
    <row r="701" ht="15" customHeight="1" s="72">
      <c r="A701" s="117" t="n"/>
      <c r="B701" s="117" t="n"/>
      <c r="C701" s="117" t="n"/>
      <c r="D701" s="117" t="n"/>
      <c r="E701" s="118" t="n"/>
      <c r="F701" s="119" t="n"/>
      <c r="G701" s="120" t="n"/>
      <c r="H701" s="123" t="n"/>
      <c r="I701" s="123" t="n"/>
    </row>
    <row r="702" ht="15" customHeight="1" s="72">
      <c r="A702" s="117" t="n"/>
      <c r="B702" s="117" t="n"/>
      <c r="C702" s="117" t="n"/>
      <c r="D702" s="117" t="n"/>
      <c r="E702" s="118" t="n"/>
      <c r="F702" s="119" t="n"/>
      <c r="G702" s="120" t="n"/>
      <c r="H702" s="123" t="n"/>
      <c r="I702" s="123" t="n"/>
    </row>
    <row r="703" ht="15" customHeight="1" s="72">
      <c r="A703" s="117" t="n"/>
      <c r="B703" s="117" t="n"/>
      <c r="C703" s="117" t="n"/>
      <c r="D703" s="117" t="n"/>
      <c r="E703" s="118" t="n"/>
      <c r="F703" s="119" t="n"/>
      <c r="G703" s="120" t="n"/>
      <c r="H703" s="123" t="n"/>
      <c r="I703" s="123" t="n"/>
    </row>
    <row r="704" ht="15" customHeight="1" s="72">
      <c r="A704" s="117" t="n"/>
      <c r="B704" s="117" t="n"/>
      <c r="C704" s="117" t="n"/>
      <c r="D704" s="117" t="n"/>
      <c r="E704" s="118" t="n"/>
      <c r="F704" s="119" t="n"/>
      <c r="G704" s="120" t="n"/>
      <c r="H704" s="123" t="n"/>
      <c r="I704" s="123" t="n"/>
    </row>
    <row r="705" ht="15" customHeight="1" s="72">
      <c r="A705" s="117" t="n"/>
      <c r="B705" s="117" t="n"/>
      <c r="C705" s="117" t="n"/>
      <c r="D705" s="117" t="n"/>
      <c r="E705" s="118" t="n"/>
      <c r="F705" s="119" t="n"/>
      <c r="G705" s="120" t="n"/>
      <c r="H705" s="123" t="n"/>
      <c r="I705" s="123" t="n"/>
    </row>
    <row r="706" ht="15" customHeight="1" s="72">
      <c r="A706" s="117" t="n"/>
      <c r="B706" s="117" t="n"/>
      <c r="C706" s="117" t="n"/>
      <c r="D706" s="117" t="n"/>
      <c r="E706" s="118" t="n"/>
      <c r="F706" s="119" t="n"/>
      <c r="G706" s="120" t="n"/>
      <c r="H706" s="123" t="n"/>
      <c r="I706" s="123" t="n"/>
    </row>
    <row r="707" ht="15" customHeight="1" s="72">
      <c r="A707" s="117" t="n"/>
      <c r="B707" s="117" t="n"/>
      <c r="C707" s="117" t="n"/>
      <c r="D707" s="117" t="n"/>
      <c r="E707" s="118" t="n"/>
      <c r="F707" s="119" t="n"/>
      <c r="G707" s="120" t="n"/>
      <c r="H707" s="123" t="n"/>
      <c r="I707" s="123" t="n"/>
    </row>
    <row r="708" ht="15" customHeight="1" s="72">
      <c r="A708" s="117" t="n"/>
      <c r="B708" s="117" t="n"/>
      <c r="C708" s="117" t="n"/>
      <c r="D708" s="117" t="n"/>
      <c r="E708" s="118" t="n"/>
      <c r="F708" s="119" t="n"/>
      <c r="G708" s="120" t="n"/>
      <c r="H708" s="123" t="n"/>
      <c r="I708" s="123" t="n"/>
    </row>
    <row r="709" ht="15" customHeight="1" s="72">
      <c r="A709" s="117" t="n"/>
      <c r="B709" s="117" t="n"/>
      <c r="C709" s="117" t="n"/>
      <c r="D709" s="117" t="n"/>
      <c r="E709" s="118" t="n"/>
      <c r="F709" s="119" t="n"/>
      <c r="G709" s="120" t="n"/>
      <c r="H709" s="123" t="n"/>
      <c r="I709" s="123" t="n"/>
    </row>
    <row r="710" ht="15" customHeight="1" s="72">
      <c r="A710" s="117" t="n"/>
      <c r="B710" s="117" t="n"/>
      <c r="C710" s="117" t="n"/>
      <c r="D710" s="117" t="n"/>
      <c r="E710" s="118" t="n"/>
      <c r="F710" s="119" t="n"/>
      <c r="G710" s="120" t="n"/>
      <c r="H710" s="123" t="n"/>
      <c r="I710" s="123" t="n"/>
    </row>
    <row r="711" ht="15" customHeight="1" s="72">
      <c r="A711" s="117" t="n"/>
      <c r="B711" s="117" t="n"/>
      <c r="C711" s="117" t="n"/>
      <c r="D711" s="117" t="n"/>
      <c r="E711" s="118" t="n"/>
      <c r="F711" s="119" t="n"/>
      <c r="G711" s="120" t="n"/>
      <c r="H711" s="123" t="n"/>
      <c r="I711" s="123" t="n"/>
    </row>
    <row r="712" ht="15" customHeight="1" s="72">
      <c r="A712" s="117" t="n"/>
      <c r="B712" s="117" t="n"/>
      <c r="C712" s="117" t="n"/>
      <c r="D712" s="117" t="n"/>
      <c r="E712" s="118" t="n"/>
      <c r="F712" s="119" t="n"/>
      <c r="G712" s="120" t="n"/>
      <c r="H712" s="123" t="n"/>
      <c r="I712" s="123" t="n"/>
    </row>
    <row r="713" ht="15" customHeight="1" s="72">
      <c r="A713" s="117" t="n"/>
      <c r="B713" s="117" t="n"/>
      <c r="C713" s="117" t="n"/>
      <c r="D713" s="117" t="n"/>
      <c r="E713" s="118" t="n"/>
      <c r="F713" s="119" t="n"/>
      <c r="G713" s="120" t="n"/>
      <c r="H713" s="123" t="n"/>
      <c r="I713" s="123" t="n"/>
    </row>
    <row r="714" ht="15" customHeight="1" s="72">
      <c r="A714" s="117" t="n"/>
      <c r="B714" s="117" t="n"/>
      <c r="C714" s="117" t="n"/>
      <c r="D714" s="117" t="n"/>
      <c r="E714" s="118" t="n"/>
      <c r="F714" s="119" t="n"/>
      <c r="G714" s="120" t="n"/>
      <c r="H714" s="123" t="n"/>
      <c r="I714" s="123" t="n"/>
    </row>
    <row r="715" ht="15" customHeight="1" s="72">
      <c r="A715" s="117" t="n"/>
      <c r="B715" s="117" t="n"/>
      <c r="C715" s="117" t="n"/>
      <c r="D715" s="117" t="n"/>
      <c r="E715" s="118" t="n"/>
      <c r="F715" s="119" t="n"/>
      <c r="G715" s="120" t="n"/>
      <c r="H715" s="123" t="n"/>
      <c r="I715" s="123" t="n"/>
    </row>
    <row r="716" ht="15" customHeight="1" s="72">
      <c r="A716" s="117" t="n"/>
      <c r="B716" s="117" t="n"/>
      <c r="C716" s="117" t="n"/>
      <c r="D716" s="117" t="n"/>
      <c r="E716" s="118" t="n"/>
      <c r="F716" s="119" t="n"/>
      <c r="G716" s="120" t="n"/>
      <c r="H716" s="123" t="n"/>
      <c r="I716" s="123" t="n"/>
    </row>
    <row r="717" ht="15" customHeight="1" s="72">
      <c r="A717" s="117" t="n"/>
      <c r="B717" s="117" t="n"/>
      <c r="C717" s="117" t="n"/>
      <c r="D717" s="117" t="n"/>
      <c r="E717" s="118" t="n"/>
      <c r="F717" s="119" t="n"/>
      <c r="G717" s="120" t="n"/>
      <c r="H717" s="123" t="n"/>
      <c r="I717" s="123" t="n"/>
    </row>
    <row r="718" ht="15" customHeight="1" s="72">
      <c r="A718" s="117" t="n"/>
      <c r="B718" s="117" t="n"/>
      <c r="C718" s="117" t="n"/>
      <c r="D718" s="117" t="n"/>
      <c r="E718" s="118" t="n"/>
      <c r="F718" s="119" t="n"/>
      <c r="G718" s="120" t="n"/>
      <c r="H718" s="123" t="n"/>
      <c r="I718" s="123" t="n"/>
    </row>
    <row r="719" ht="15" customHeight="1" s="72">
      <c r="A719" s="117" t="n"/>
      <c r="B719" s="117" t="n"/>
      <c r="C719" s="117" t="n"/>
      <c r="D719" s="117" t="n"/>
      <c r="E719" s="118" t="n"/>
      <c r="F719" s="119" t="n"/>
      <c r="G719" s="120" t="n"/>
      <c r="H719" s="123" t="n"/>
      <c r="I719" s="123" t="n"/>
    </row>
    <row r="720" ht="15" customHeight="1" s="72">
      <c r="A720" s="117" t="n"/>
      <c r="B720" s="117" t="n"/>
      <c r="C720" s="117" t="n"/>
      <c r="D720" s="117" t="n"/>
      <c r="E720" s="118" t="n"/>
      <c r="F720" s="119" t="n"/>
      <c r="G720" s="120" t="n"/>
      <c r="H720" s="123" t="n"/>
      <c r="I720" s="123" t="n"/>
    </row>
    <row r="721" ht="15" customHeight="1" s="72">
      <c r="A721" s="117" t="n"/>
      <c r="B721" s="117" t="n"/>
      <c r="C721" s="117" t="n"/>
      <c r="D721" s="117" t="n"/>
      <c r="E721" s="118" t="n"/>
      <c r="F721" s="119" t="n"/>
      <c r="G721" s="120" t="n"/>
      <c r="H721" s="123" t="n"/>
      <c r="I721" s="123" t="n"/>
    </row>
    <row r="722" ht="15" customHeight="1" s="72">
      <c r="A722" s="117" t="n"/>
      <c r="B722" s="117" t="n"/>
      <c r="C722" s="117" t="n"/>
      <c r="D722" s="117" t="n"/>
      <c r="E722" s="118" t="n"/>
      <c r="F722" s="119" t="n"/>
      <c r="G722" s="120" t="n"/>
      <c r="H722" s="123" t="n"/>
      <c r="I722" s="123" t="n"/>
    </row>
    <row r="723" ht="15" customHeight="1" s="72">
      <c r="A723" s="117" t="n"/>
      <c r="B723" s="117" t="n"/>
      <c r="C723" s="117" t="n"/>
      <c r="D723" s="117" t="n"/>
      <c r="E723" s="118" t="n"/>
      <c r="F723" s="119" t="n"/>
      <c r="G723" s="120" t="n"/>
      <c r="H723" s="123" t="n"/>
      <c r="I723" s="123" t="n"/>
    </row>
    <row r="724" ht="15" customHeight="1" s="72">
      <c r="A724" s="117" t="n"/>
      <c r="B724" s="117" t="n"/>
      <c r="C724" s="117" t="n"/>
      <c r="D724" s="117" t="n"/>
      <c r="E724" s="118" t="n"/>
      <c r="F724" s="119" t="n"/>
      <c r="G724" s="120" t="n"/>
      <c r="H724" s="123" t="n"/>
      <c r="I724" s="123" t="n"/>
    </row>
    <row r="725" ht="15" customHeight="1" s="72">
      <c r="A725" s="117" t="n"/>
      <c r="B725" s="117" t="n"/>
      <c r="C725" s="117" t="n"/>
      <c r="D725" s="117" t="n"/>
      <c r="E725" s="118" t="n"/>
      <c r="F725" s="119" t="n"/>
      <c r="G725" s="120" t="n"/>
      <c r="H725" s="123" t="n"/>
      <c r="I725" s="123" t="n"/>
    </row>
    <row r="726" ht="15" customHeight="1" s="72">
      <c r="A726" s="117" t="n"/>
      <c r="B726" s="117" t="n"/>
      <c r="C726" s="117" t="n"/>
      <c r="D726" s="117" t="n"/>
      <c r="E726" s="118" t="n"/>
      <c r="F726" s="119" t="n"/>
      <c r="G726" s="120" t="n"/>
      <c r="H726" s="123" t="n"/>
      <c r="I726" s="123" t="n"/>
    </row>
    <row r="727" ht="15" customHeight="1" s="72">
      <c r="A727" s="117" t="n"/>
      <c r="B727" s="117" t="n"/>
      <c r="C727" s="117" t="n"/>
      <c r="D727" s="117" t="n"/>
      <c r="E727" s="118" t="n"/>
      <c r="F727" s="119" t="n"/>
      <c r="G727" s="120" t="n"/>
      <c r="H727" s="123" t="n"/>
      <c r="I727" s="123" t="n"/>
    </row>
    <row r="728" ht="15" customHeight="1" s="72">
      <c r="A728" s="117" t="n"/>
      <c r="B728" s="117" t="n"/>
      <c r="C728" s="117" t="n"/>
      <c r="D728" s="117" t="n"/>
      <c r="E728" s="118" t="n"/>
      <c r="F728" s="119" t="n"/>
      <c r="G728" s="120" t="n"/>
      <c r="H728" s="123" t="n"/>
      <c r="I728" s="123" t="n"/>
    </row>
    <row r="729" ht="15" customHeight="1" s="72">
      <c r="A729" s="117" t="n"/>
      <c r="B729" s="117" t="n"/>
      <c r="C729" s="117" t="n"/>
      <c r="D729" s="117" t="n"/>
      <c r="E729" s="118" t="n"/>
      <c r="F729" s="119" t="n"/>
      <c r="G729" s="120" t="n"/>
      <c r="H729" s="123" t="n"/>
      <c r="I729" s="123" t="n"/>
    </row>
    <row r="730" ht="15" customHeight="1" s="72">
      <c r="A730" s="117" t="n"/>
      <c r="B730" s="117" t="n"/>
      <c r="C730" s="117" t="n"/>
      <c r="D730" s="117" t="n"/>
      <c r="E730" s="118" t="n"/>
      <c r="F730" s="119" t="n"/>
      <c r="G730" s="120" t="n"/>
      <c r="H730" s="123" t="n"/>
      <c r="I730" s="123" t="n"/>
    </row>
    <row r="731" ht="15" customHeight="1" s="72">
      <c r="A731" s="117" t="n"/>
      <c r="B731" s="117" t="n"/>
      <c r="C731" s="117" t="n"/>
      <c r="D731" s="117" t="n"/>
      <c r="E731" s="118" t="n"/>
      <c r="F731" s="119" t="n"/>
      <c r="G731" s="120" t="n"/>
      <c r="H731" s="123" t="n"/>
      <c r="I731" s="123" t="n"/>
    </row>
    <row r="732" ht="15" customHeight="1" s="72">
      <c r="A732" s="117" t="n"/>
      <c r="B732" s="117" t="n"/>
      <c r="C732" s="117" t="n"/>
      <c r="D732" s="117" t="n"/>
      <c r="E732" s="118" t="n"/>
      <c r="F732" s="119" t="n"/>
      <c r="G732" s="120" t="n"/>
      <c r="H732" s="123" t="n"/>
      <c r="I732" s="123" t="n"/>
    </row>
    <row r="733" ht="15" customHeight="1" s="72">
      <c r="A733" s="117" t="n"/>
      <c r="B733" s="117" t="n"/>
      <c r="C733" s="117" t="n"/>
      <c r="D733" s="117" t="n"/>
      <c r="E733" s="118" t="n"/>
      <c r="F733" s="119" t="n"/>
      <c r="G733" s="120" t="n"/>
      <c r="H733" s="123" t="n"/>
      <c r="I733" s="123" t="n"/>
    </row>
    <row r="734" ht="15" customHeight="1" s="72">
      <c r="A734" s="117" t="n"/>
      <c r="B734" s="117" t="n"/>
      <c r="C734" s="117" t="n"/>
      <c r="D734" s="117" t="n"/>
      <c r="E734" s="118" t="n"/>
      <c r="F734" s="119" t="n"/>
      <c r="G734" s="120" t="n"/>
      <c r="H734" s="123" t="n"/>
      <c r="I734" s="123" t="n"/>
    </row>
    <row r="735" ht="15" customHeight="1" s="72">
      <c r="A735" s="117" t="n"/>
      <c r="B735" s="117" t="n"/>
      <c r="C735" s="117" t="n"/>
      <c r="D735" s="117" t="n"/>
      <c r="E735" s="118" t="n"/>
      <c r="F735" s="119" t="n"/>
      <c r="G735" s="120" t="n"/>
      <c r="H735" s="123" t="n"/>
      <c r="I735" s="123" t="n"/>
    </row>
    <row r="736" ht="15" customHeight="1" s="72">
      <c r="A736" s="117" t="n"/>
      <c r="B736" s="117" t="n"/>
      <c r="C736" s="117" t="n"/>
      <c r="D736" s="117" t="n"/>
      <c r="E736" s="118" t="n"/>
      <c r="F736" s="119" t="n"/>
      <c r="G736" s="120" t="n"/>
      <c r="H736" s="123" t="n"/>
      <c r="I736" s="123" t="n"/>
    </row>
    <row r="737" ht="15" customHeight="1" s="72">
      <c r="A737" s="117" t="n"/>
      <c r="B737" s="117" t="n"/>
      <c r="C737" s="117" t="n"/>
      <c r="D737" s="117" t="n"/>
      <c r="E737" s="118" t="n"/>
      <c r="F737" s="119" t="n"/>
      <c r="G737" s="120" t="n"/>
      <c r="H737" s="123" t="n"/>
      <c r="I737" s="123" t="n"/>
    </row>
    <row r="738" ht="15" customHeight="1" s="72">
      <c r="A738" s="117" t="n"/>
      <c r="B738" s="117" t="n"/>
      <c r="C738" s="117" t="n"/>
      <c r="D738" s="117" t="n"/>
      <c r="E738" s="118" t="n"/>
      <c r="F738" s="119" t="n"/>
      <c r="G738" s="120" t="n"/>
      <c r="H738" s="123" t="n"/>
      <c r="I738" s="123" t="n"/>
    </row>
    <row r="739" ht="15" customHeight="1" s="72">
      <c r="A739" s="117" t="n"/>
      <c r="B739" s="117" t="n"/>
      <c r="C739" s="117" t="n"/>
      <c r="D739" s="117" t="n"/>
      <c r="E739" s="118" t="n"/>
      <c r="F739" s="119" t="n"/>
      <c r="G739" s="120" t="n"/>
      <c r="H739" s="123" t="n"/>
      <c r="I739" s="123" t="n"/>
    </row>
    <row r="740" ht="15" customHeight="1" s="72">
      <c r="A740" s="117" t="n"/>
      <c r="B740" s="117" t="n"/>
      <c r="C740" s="117" t="n"/>
      <c r="D740" s="117" t="n"/>
      <c r="E740" s="118" t="n"/>
      <c r="F740" s="119" t="n"/>
      <c r="G740" s="120" t="n"/>
      <c r="H740" s="123" t="n"/>
      <c r="I740" s="123" t="n"/>
    </row>
    <row r="741" ht="15" customHeight="1" s="72">
      <c r="A741" s="117" t="n"/>
      <c r="B741" s="117" t="n"/>
      <c r="C741" s="117" t="n"/>
      <c r="D741" s="117" t="n"/>
      <c r="E741" s="118" t="n"/>
      <c r="F741" s="119" t="n"/>
      <c r="G741" s="120" t="n"/>
      <c r="H741" s="123" t="n"/>
      <c r="I741" s="123" t="n"/>
    </row>
    <row r="742" ht="15" customHeight="1" s="72">
      <c r="A742" s="117" t="n"/>
      <c r="B742" s="117" t="n"/>
      <c r="C742" s="117" t="n"/>
      <c r="D742" s="117" t="n"/>
      <c r="E742" s="118" t="n"/>
      <c r="F742" s="119" t="n"/>
      <c r="G742" s="120" t="n"/>
      <c r="H742" s="123" t="n"/>
      <c r="I742" s="123" t="n"/>
    </row>
    <row r="743" ht="15" customHeight="1" s="72">
      <c r="A743" s="117" t="n"/>
      <c r="B743" s="117" t="n"/>
      <c r="C743" s="117" t="n"/>
      <c r="D743" s="117" t="n"/>
      <c r="E743" s="118" t="n"/>
      <c r="F743" s="119" t="n"/>
      <c r="G743" s="120" t="n"/>
      <c r="H743" s="123" t="n"/>
      <c r="I743" s="123" t="n"/>
    </row>
    <row r="744" ht="15" customHeight="1" s="72">
      <c r="A744" s="117" t="n"/>
      <c r="B744" s="117" t="n"/>
      <c r="C744" s="117" t="n"/>
      <c r="D744" s="117" t="n"/>
      <c r="E744" s="118" t="n"/>
      <c r="F744" s="119" t="n"/>
      <c r="G744" s="120" t="n"/>
      <c r="H744" s="123" t="n"/>
      <c r="I744" s="123" t="n"/>
    </row>
    <row r="745" ht="15" customHeight="1" s="72">
      <c r="A745" s="117" t="n"/>
      <c r="B745" s="117" t="n"/>
      <c r="C745" s="117" t="n"/>
      <c r="D745" s="117" t="n"/>
      <c r="E745" s="118" t="n"/>
      <c r="F745" s="119" t="n"/>
      <c r="G745" s="120" t="n"/>
      <c r="H745" s="123" t="n"/>
      <c r="I745" s="123" t="n"/>
    </row>
    <row r="746" ht="15" customHeight="1" s="72">
      <c r="A746" s="117" t="n"/>
      <c r="B746" s="117" t="n"/>
      <c r="C746" s="117" t="n"/>
      <c r="D746" s="117" t="n"/>
      <c r="E746" s="118" t="n"/>
      <c r="F746" s="119" t="n"/>
      <c r="G746" s="120" t="n"/>
      <c r="H746" s="123" t="n"/>
      <c r="I746" s="123" t="n"/>
    </row>
    <row r="747" ht="15" customHeight="1" s="72">
      <c r="A747" s="117" t="n"/>
      <c r="B747" s="117" t="n"/>
      <c r="C747" s="117" t="n"/>
      <c r="D747" s="117" t="n"/>
      <c r="E747" s="118" t="n"/>
      <c r="F747" s="119" t="n"/>
      <c r="G747" s="120" t="n"/>
      <c r="H747" s="123" t="n"/>
      <c r="I747" s="123" t="n"/>
    </row>
    <row r="748" ht="15" customHeight="1" s="72">
      <c r="A748" s="117" t="n"/>
      <c r="B748" s="117" t="n"/>
      <c r="C748" s="117" t="n"/>
      <c r="D748" s="117" t="n"/>
      <c r="E748" s="118" t="n"/>
      <c r="F748" s="119" t="n"/>
      <c r="G748" s="120" t="n"/>
      <c r="H748" s="123" t="n"/>
      <c r="I748" s="123" t="n"/>
    </row>
    <row r="749" ht="15" customHeight="1" s="72">
      <c r="A749" s="117" t="n"/>
      <c r="B749" s="117" t="n"/>
      <c r="C749" s="117" t="n"/>
      <c r="D749" s="117" t="n"/>
      <c r="E749" s="118" t="n"/>
      <c r="F749" s="119" t="n"/>
      <c r="G749" s="120" t="n"/>
      <c r="H749" s="123" t="n"/>
      <c r="I749" s="123" t="n"/>
    </row>
    <row r="750" ht="15" customHeight="1" s="72">
      <c r="A750" s="117" t="n"/>
      <c r="B750" s="117" t="n"/>
      <c r="C750" s="117" t="n"/>
      <c r="D750" s="117" t="n"/>
      <c r="E750" s="118" t="n"/>
      <c r="F750" s="119" t="n"/>
      <c r="G750" s="120" t="n"/>
      <c r="H750" s="123" t="n"/>
      <c r="I750" s="123" t="n"/>
    </row>
    <row r="751" ht="15" customHeight="1" s="72">
      <c r="A751" s="117" t="n"/>
      <c r="B751" s="117" t="n"/>
      <c r="C751" s="117" t="n"/>
      <c r="D751" s="117" t="n"/>
      <c r="E751" s="118" t="n"/>
      <c r="F751" s="119" t="n"/>
      <c r="G751" s="120" t="n"/>
      <c r="H751" s="123" t="n"/>
      <c r="I751" s="123" t="n"/>
    </row>
    <row r="752" ht="15" customHeight="1" s="72">
      <c r="A752" s="117" t="n"/>
      <c r="B752" s="117" t="n"/>
      <c r="C752" s="117" t="n"/>
      <c r="D752" s="117" t="n"/>
      <c r="E752" s="118" t="n"/>
      <c r="F752" s="119" t="n"/>
      <c r="G752" s="120" t="n"/>
      <c r="H752" s="123" t="n"/>
      <c r="I752" s="123" t="n"/>
    </row>
    <row r="753" ht="15" customHeight="1" s="72">
      <c r="A753" s="117" t="n"/>
      <c r="B753" s="117" t="n"/>
      <c r="C753" s="117" t="n"/>
      <c r="D753" s="117" t="n"/>
      <c r="E753" s="118" t="n"/>
      <c r="F753" s="119" t="n"/>
      <c r="G753" s="120" t="n"/>
      <c r="H753" s="123" t="n"/>
      <c r="I753" s="123" t="n"/>
    </row>
    <row r="754" ht="15" customHeight="1" s="72">
      <c r="A754" s="117" t="n"/>
      <c r="B754" s="117" t="n"/>
      <c r="C754" s="117" t="n"/>
      <c r="D754" s="117" t="n"/>
      <c r="E754" s="118" t="n"/>
      <c r="F754" s="119" t="n"/>
      <c r="G754" s="120" t="n"/>
      <c r="H754" s="123" t="n"/>
      <c r="I754" s="123" t="n"/>
    </row>
    <row r="755" ht="15" customHeight="1" s="72">
      <c r="A755" s="117" t="n"/>
      <c r="B755" s="117" t="n"/>
      <c r="C755" s="117" t="n"/>
      <c r="D755" s="117" t="n"/>
      <c r="E755" s="118" t="n"/>
      <c r="F755" s="119" t="n"/>
      <c r="G755" s="120" t="n"/>
      <c r="H755" s="123" t="n"/>
      <c r="I755" s="123" t="n"/>
    </row>
    <row r="756" ht="15" customHeight="1" s="72">
      <c r="A756" s="117" t="n"/>
      <c r="B756" s="117" t="n"/>
      <c r="C756" s="117" t="n"/>
      <c r="D756" s="117" t="n"/>
      <c r="E756" s="118" t="n"/>
      <c r="F756" s="119" t="n"/>
      <c r="G756" s="120" t="n"/>
      <c r="H756" s="123" t="n"/>
      <c r="I756" s="123" t="n"/>
    </row>
    <row r="757" ht="15" customHeight="1" s="72">
      <c r="A757" s="117" t="n"/>
      <c r="B757" s="117" t="n"/>
      <c r="C757" s="117" t="n"/>
      <c r="D757" s="117" t="n"/>
      <c r="E757" s="118" t="n"/>
      <c r="F757" s="119" t="n"/>
      <c r="G757" s="120" t="n"/>
      <c r="H757" s="123" t="n"/>
      <c r="I757" s="123" t="n"/>
    </row>
    <row r="758" ht="15" customHeight="1" s="72">
      <c r="A758" s="117" t="n"/>
      <c r="B758" s="117" t="n"/>
      <c r="C758" s="117" t="n"/>
      <c r="D758" s="117" t="n"/>
      <c r="E758" s="118" t="n"/>
      <c r="F758" s="119" t="n"/>
      <c r="G758" s="120" t="n"/>
      <c r="H758" s="123" t="n"/>
      <c r="I758" s="123" t="n"/>
    </row>
    <row r="759" ht="15" customHeight="1" s="72">
      <c r="A759" s="117" t="n"/>
      <c r="B759" s="117" t="n"/>
      <c r="C759" s="117" t="n"/>
      <c r="D759" s="117" t="n"/>
      <c r="E759" s="118" t="n"/>
      <c r="F759" s="119" t="n"/>
      <c r="G759" s="120" t="n"/>
      <c r="H759" s="123" t="n"/>
      <c r="I759" s="123" t="n"/>
    </row>
    <row r="760" ht="15" customHeight="1" s="72">
      <c r="A760" s="117" t="n"/>
      <c r="B760" s="117" t="n"/>
      <c r="C760" s="117" t="n"/>
      <c r="D760" s="117" t="n"/>
      <c r="E760" s="118" t="n"/>
      <c r="F760" s="119" t="n"/>
      <c r="G760" s="120" t="n"/>
      <c r="H760" s="123" t="n"/>
      <c r="I760" s="123" t="n"/>
    </row>
    <row r="761" ht="15" customHeight="1" s="72">
      <c r="A761" s="117" t="n"/>
      <c r="B761" s="117" t="n"/>
      <c r="C761" s="117" t="n"/>
      <c r="D761" s="117" t="n"/>
      <c r="E761" s="118" t="n"/>
      <c r="F761" s="119" t="n"/>
      <c r="G761" s="120" t="n"/>
      <c r="H761" s="123" t="n"/>
      <c r="I761" s="123" t="n"/>
    </row>
    <row r="762" ht="15" customHeight="1" s="72">
      <c r="A762" s="117" t="n"/>
      <c r="B762" s="117" t="n"/>
      <c r="C762" s="117" t="n"/>
      <c r="D762" s="117" t="n"/>
      <c r="E762" s="118" t="n"/>
      <c r="F762" s="119" t="n"/>
      <c r="G762" s="120" t="n"/>
      <c r="H762" s="123" t="n"/>
      <c r="I762" s="123" t="n"/>
    </row>
    <row r="763" ht="15" customHeight="1" s="72">
      <c r="A763" s="117" t="n"/>
      <c r="B763" s="117" t="n"/>
      <c r="C763" s="117" t="n"/>
      <c r="D763" s="117" t="n"/>
      <c r="E763" s="118" t="n"/>
      <c r="F763" s="119" t="n"/>
      <c r="G763" s="120" t="n"/>
      <c r="H763" s="123" t="n"/>
      <c r="I763" s="123" t="n"/>
    </row>
    <row r="764" ht="15" customHeight="1" s="72">
      <c r="A764" s="117" t="n"/>
      <c r="B764" s="117" t="n"/>
      <c r="C764" s="117" t="n"/>
      <c r="D764" s="117" t="n"/>
      <c r="E764" s="118" t="n"/>
      <c r="F764" s="119" t="n"/>
      <c r="G764" s="120" t="n"/>
      <c r="H764" s="123" t="n"/>
      <c r="I764" s="123" t="n"/>
    </row>
    <row r="765" ht="15" customHeight="1" s="72">
      <c r="A765" s="117" t="n"/>
      <c r="B765" s="117" t="n"/>
      <c r="C765" s="117" t="n"/>
      <c r="D765" s="117" t="n"/>
      <c r="E765" s="118" t="n"/>
      <c r="F765" s="119" t="n"/>
      <c r="G765" s="120" t="n"/>
      <c r="H765" s="123" t="n"/>
      <c r="I765" s="123" t="n"/>
    </row>
    <row r="766" ht="15" customHeight="1" s="72">
      <c r="A766" s="117" t="n"/>
      <c r="B766" s="117" t="n"/>
      <c r="C766" s="117" t="n"/>
      <c r="D766" s="117" t="n"/>
      <c r="E766" s="118" t="n"/>
      <c r="F766" s="119" t="n"/>
      <c r="G766" s="120" t="n"/>
      <c r="H766" s="123" t="n"/>
      <c r="I766" s="123" t="n"/>
    </row>
    <row r="767" ht="15" customHeight="1" s="72">
      <c r="A767" s="117" t="n"/>
      <c r="B767" s="117" t="n"/>
      <c r="C767" s="117" t="n"/>
      <c r="D767" s="117" t="n"/>
      <c r="E767" s="118" t="n"/>
      <c r="F767" s="119" t="n"/>
      <c r="G767" s="120" t="n"/>
      <c r="H767" s="123" t="n"/>
      <c r="I767" s="123" t="n"/>
    </row>
    <row r="768" ht="15" customHeight="1" s="72">
      <c r="A768" s="117" t="n"/>
      <c r="B768" s="117" t="n"/>
      <c r="C768" s="117" t="n"/>
      <c r="D768" s="117" t="n"/>
      <c r="E768" s="118" t="n"/>
      <c r="F768" s="119" t="n"/>
      <c r="G768" s="120" t="n"/>
      <c r="H768" s="123" t="n"/>
      <c r="I768" s="123" t="n"/>
    </row>
    <row r="769" ht="15" customHeight="1" s="72">
      <c r="A769" s="117" t="n"/>
      <c r="B769" s="117" t="n"/>
      <c r="C769" s="117" t="n"/>
      <c r="D769" s="117" t="n"/>
      <c r="E769" s="118" t="n"/>
      <c r="F769" s="119" t="n"/>
      <c r="G769" s="120" t="n"/>
      <c r="H769" s="123" t="n"/>
      <c r="I769" s="123" t="n"/>
    </row>
    <row r="770" ht="15" customHeight="1" s="72">
      <c r="A770" s="117" t="n"/>
      <c r="B770" s="117" t="n"/>
      <c r="C770" s="117" t="n"/>
      <c r="D770" s="117" t="n"/>
      <c r="E770" s="118" t="n"/>
      <c r="F770" s="119" t="n"/>
      <c r="G770" s="120" t="n"/>
      <c r="H770" s="123" t="n"/>
      <c r="I770" s="123" t="n"/>
    </row>
    <row r="771" ht="15" customHeight="1" s="72">
      <c r="A771" s="117" t="n"/>
      <c r="B771" s="117" t="n"/>
      <c r="C771" s="117" t="n"/>
      <c r="D771" s="117" t="n"/>
      <c r="E771" s="118" t="n"/>
      <c r="F771" s="119" t="n"/>
      <c r="G771" s="120" t="n"/>
      <c r="H771" s="123" t="n"/>
      <c r="I771" s="123" t="n"/>
    </row>
    <row r="772" ht="15" customHeight="1" s="72">
      <c r="A772" s="117" t="n"/>
      <c r="B772" s="117" t="n"/>
      <c r="C772" s="117" t="n"/>
      <c r="D772" s="117" t="n"/>
      <c r="E772" s="118" t="n"/>
      <c r="F772" s="119" t="n"/>
      <c r="G772" s="120" t="n"/>
      <c r="H772" s="123" t="n"/>
      <c r="I772" s="123" t="n"/>
    </row>
    <row r="773" ht="15" customHeight="1" s="72">
      <c r="A773" s="117" t="n"/>
      <c r="B773" s="117" t="n"/>
      <c r="C773" s="117" t="n"/>
      <c r="D773" s="117" t="n"/>
      <c r="E773" s="118" t="n"/>
      <c r="F773" s="119" t="n"/>
      <c r="G773" s="120" t="n"/>
      <c r="H773" s="123" t="n"/>
      <c r="I773" s="123" t="n"/>
    </row>
    <row r="774" ht="15" customHeight="1" s="72">
      <c r="A774" s="117" t="n"/>
      <c r="B774" s="117" t="n"/>
      <c r="C774" s="117" t="n"/>
      <c r="D774" s="117" t="n"/>
      <c r="E774" s="118" t="n"/>
      <c r="F774" s="119" t="n"/>
      <c r="G774" s="120" t="n"/>
      <c r="H774" s="123" t="n"/>
      <c r="I774" s="123" t="n"/>
    </row>
    <row r="775" ht="15" customHeight="1" s="72">
      <c r="A775" s="117" t="n"/>
      <c r="B775" s="117" t="n"/>
      <c r="C775" s="117" t="n"/>
      <c r="D775" s="117" t="n"/>
      <c r="E775" s="118" t="n"/>
      <c r="F775" s="119" t="n"/>
      <c r="G775" s="120" t="n"/>
      <c r="H775" s="123" t="n"/>
      <c r="I775" s="123" t="n"/>
    </row>
    <row r="776" ht="15" customHeight="1" s="72">
      <c r="A776" s="117" t="n"/>
      <c r="B776" s="117" t="n"/>
      <c r="C776" s="117" t="n"/>
      <c r="D776" s="117" t="n"/>
      <c r="E776" s="118" t="n"/>
      <c r="F776" s="119" t="n"/>
      <c r="G776" s="120" t="n"/>
      <c r="H776" s="123" t="n"/>
      <c r="I776" s="123" t="n"/>
    </row>
    <row r="777" ht="15" customHeight="1" s="72">
      <c r="A777" s="117" t="n"/>
      <c r="B777" s="117" t="n"/>
      <c r="C777" s="117" t="n"/>
      <c r="D777" s="117" t="n"/>
      <c r="E777" s="118" t="n"/>
      <c r="F777" s="119" t="n"/>
      <c r="G777" s="120" t="n"/>
      <c r="H777" s="123" t="n"/>
      <c r="I777" s="123" t="n"/>
    </row>
    <row r="778" ht="15" customHeight="1" s="72">
      <c r="A778" s="117" t="n"/>
      <c r="B778" s="117" t="n"/>
      <c r="C778" s="117" t="n"/>
      <c r="D778" s="117" t="n"/>
      <c r="E778" s="118" t="n"/>
      <c r="F778" s="119" t="n"/>
      <c r="G778" s="120" t="n"/>
      <c r="H778" s="123" t="n"/>
      <c r="I778" s="123" t="n"/>
    </row>
    <row r="779" ht="15" customHeight="1" s="72">
      <c r="A779" s="117" t="n"/>
      <c r="B779" s="117" t="n"/>
      <c r="C779" s="117" t="n"/>
      <c r="D779" s="117" t="n"/>
      <c r="E779" s="118" t="n"/>
      <c r="F779" s="119" t="n"/>
      <c r="G779" s="120" t="n"/>
      <c r="H779" s="123" t="n"/>
      <c r="I779" s="123" t="n"/>
    </row>
    <row r="780" ht="15" customHeight="1" s="72">
      <c r="A780" s="117" t="n"/>
      <c r="B780" s="117" t="n"/>
      <c r="C780" s="117" t="n"/>
      <c r="D780" s="117" t="n"/>
      <c r="E780" s="118" t="n"/>
      <c r="F780" s="119" t="n"/>
      <c r="G780" s="120" t="n"/>
      <c r="H780" s="123" t="n"/>
      <c r="I780" s="123" t="n"/>
    </row>
    <row r="781" ht="15" customHeight="1" s="72">
      <c r="A781" s="117" t="n"/>
      <c r="B781" s="117" t="n"/>
      <c r="C781" s="117" t="n"/>
      <c r="D781" s="117" t="n"/>
      <c r="E781" s="118" t="n"/>
      <c r="F781" s="119" t="n"/>
      <c r="G781" s="120" t="n"/>
      <c r="H781" s="123" t="n"/>
      <c r="I781" s="123" t="n"/>
    </row>
    <row r="782" ht="15" customHeight="1" s="72">
      <c r="A782" s="117" t="n"/>
      <c r="B782" s="117" t="n"/>
      <c r="C782" s="117" t="n"/>
      <c r="D782" s="117" t="n"/>
      <c r="E782" s="118" t="n"/>
      <c r="F782" s="119" t="n"/>
      <c r="G782" s="120" t="n"/>
      <c r="H782" s="123" t="n"/>
      <c r="I782" s="123" t="n"/>
    </row>
    <row r="783" ht="15" customHeight="1" s="72">
      <c r="A783" s="117" t="n"/>
      <c r="B783" s="117" t="n"/>
      <c r="C783" s="117" t="n"/>
      <c r="D783" s="117" t="n"/>
      <c r="E783" s="118" t="n"/>
      <c r="F783" s="119" t="n"/>
      <c r="G783" s="120" t="n"/>
      <c r="H783" s="123" t="n"/>
      <c r="I783" s="123" t="n"/>
    </row>
    <row r="784" ht="15" customHeight="1" s="72">
      <c r="A784" s="117" t="n"/>
      <c r="B784" s="117" t="n"/>
      <c r="C784" s="117" t="n"/>
      <c r="D784" s="117" t="n"/>
      <c r="E784" s="118" t="n"/>
      <c r="F784" s="119" t="n"/>
      <c r="G784" s="120" t="n"/>
      <c r="H784" s="123" t="n"/>
      <c r="I784" s="123" t="n"/>
    </row>
    <row r="785" ht="15" customHeight="1" s="72">
      <c r="A785" s="117" t="n"/>
      <c r="B785" s="117" t="n"/>
      <c r="C785" s="117" t="n"/>
      <c r="D785" s="117" t="n"/>
      <c r="E785" s="118" t="n"/>
      <c r="F785" s="119" t="n"/>
      <c r="G785" s="120" t="n"/>
      <c r="H785" s="123" t="n"/>
      <c r="I785" s="123" t="n"/>
    </row>
    <row r="786" ht="15" customHeight="1" s="72">
      <c r="A786" s="117" t="n"/>
      <c r="B786" s="117" t="n"/>
      <c r="C786" s="117" t="n"/>
      <c r="D786" s="117" t="n"/>
      <c r="E786" s="118" t="n"/>
      <c r="F786" s="119" t="n"/>
      <c r="G786" s="120" t="n"/>
      <c r="H786" s="123" t="n"/>
      <c r="I786" s="123" t="n"/>
    </row>
    <row r="787" ht="15" customHeight="1" s="72">
      <c r="A787" s="117" t="n"/>
      <c r="B787" s="117" t="n"/>
      <c r="C787" s="117" t="n"/>
      <c r="D787" s="117" t="n"/>
      <c r="E787" s="118" t="n"/>
      <c r="F787" s="119" t="n"/>
      <c r="G787" s="120" t="n"/>
      <c r="H787" s="123" t="n"/>
      <c r="I787" s="123" t="n"/>
    </row>
    <row r="788" ht="15" customHeight="1" s="72">
      <c r="A788" s="117" t="n"/>
      <c r="B788" s="117" t="n"/>
      <c r="C788" s="117" t="n"/>
      <c r="D788" s="117" t="n"/>
      <c r="E788" s="118" t="n"/>
      <c r="F788" s="119" t="n"/>
      <c r="G788" s="120" t="n"/>
      <c r="H788" s="123" t="n"/>
      <c r="I788" s="123" t="n"/>
    </row>
    <row r="789" ht="15" customHeight="1" s="72">
      <c r="A789" s="117" t="n"/>
      <c r="B789" s="117" t="n"/>
      <c r="C789" s="117" t="n"/>
      <c r="D789" s="117" t="n"/>
      <c r="E789" s="118" t="n"/>
      <c r="F789" s="119" t="n"/>
      <c r="G789" s="120" t="n"/>
      <c r="H789" s="123" t="n"/>
      <c r="I789" s="123" t="n"/>
    </row>
    <row r="790" ht="15" customHeight="1" s="72">
      <c r="A790" s="117" t="n"/>
      <c r="B790" s="117" t="n"/>
      <c r="C790" s="117" t="n"/>
      <c r="D790" s="117" t="n"/>
      <c r="E790" s="118" t="n"/>
      <c r="F790" s="119" t="n"/>
      <c r="G790" s="120" t="n"/>
      <c r="H790" s="123" t="n"/>
      <c r="I790" s="123" t="n"/>
    </row>
    <row r="791" ht="15" customHeight="1" s="72">
      <c r="A791" s="117" t="n"/>
      <c r="B791" s="117" t="n"/>
      <c r="C791" s="117" t="n"/>
      <c r="D791" s="117" t="n"/>
      <c r="E791" s="118" t="n"/>
      <c r="F791" s="119" t="n"/>
      <c r="G791" s="120" t="n"/>
      <c r="H791" s="123" t="n"/>
      <c r="I791" s="123" t="n"/>
    </row>
    <row r="792" ht="15" customHeight="1" s="72">
      <c r="A792" s="117" t="n"/>
      <c r="B792" s="117" t="n"/>
      <c r="C792" s="117" t="n"/>
      <c r="D792" s="117" t="n"/>
      <c r="E792" s="118" t="n"/>
      <c r="F792" s="119" t="n"/>
      <c r="G792" s="120" t="n"/>
      <c r="H792" s="123" t="n"/>
      <c r="I792" s="123" t="n"/>
    </row>
    <row r="793" ht="15" customHeight="1" s="72">
      <c r="A793" s="117" t="n"/>
      <c r="B793" s="117" t="n"/>
      <c r="C793" s="117" t="n"/>
      <c r="D793" s="117" t="n"/>
      <c r="E793" s="118" t="n"/>
      <c r="F793" s="119" t="n"/>
      <c r="G793" s="120" t="n"/>
      <c r="H793" s="123" t="n"/>
      <c r="I793" s="123" t="n"/>
    </row>
    <row r="794" ht="15" customHeight="1" s="72">
      <c r="A794" s="117" t="n"/>
      <c r="B794" s="117" t="n"/>
      <c r="C794" s="117" t="n"/>
      <c r="D794" s="117" t="n"/>
      <c r="E794" s="118" t="n"/>
      <c r="F794" s="119" t="n"/>
      <c r="G794" s="120" t="n"/>
      <c r="H794" s="123" t="n"/>
      <c r="I794" s="123" t="n"/>
    </row>
    <row r="795" ht="15" customHeight="1" s="72">
      <c r="A795" s="117" t="n"/>
      <c r="B795" s="117" t="n"/>
      <c r="C795" s="117" t="n"/>
      <c r="D795" s="117" t="n"/>
      <c r="E795" s="118" t="n"/>
      <c r="F795" s="119" t="n"/>
      <c r="G795" s="120" t="n"/>
      <c r="H795" s="123" t="n"/>
      <c r="I795" s="123" t="n"/>
    </row>
    <row r="796" ht="15" customHeight="1" s="72">
      <c r="A796" s="117" t="n"/>
      <c r="B796" s="117" t="n"/>
      <c r="C796" s="117" t="n"/>
      <c r="D796" s="117" t="n"/>
      <c r="E796" s="118" t="n"/>
      <c r="F796" s="119" t="n"/>
      <c r="G796" s="120" t="n"/>
      <c r="H796" s="123" t="n"/>
      <c r="I796" s="123" t="n"/>
    </row>
    <row r="797" ht="15" customHeight="1" s="72">
      <c r="A797" s="117" t="n"/>
      <c r="B797" s="117" t="n"/>
      <c r="C797" s="117" t="n"/>
      <c r="D797" s="117" t="n"/>
      <c r="E797" s="118" t="n"/>
      <c r="F797" s="119" t="n"/>
      <c r="G797" s="120" t="n"/>
      <c r="H797" s="123" t="n"/>
      <c r="I797" s="123" t="n"/>
    </row>
    <row r="798" ht="15" customHeight="1" s="72">
      <c r="A798" s="117" t="n"/>
      <c r="B798" s="117" t="n"/>
      <c r="C798" s="117" t="n"/>
      <c r="D798" s="117" t="n"/>
      <c r="E798" s="118" t="n"/>
      <c r="F798" s="119" t="n"/>
      <c r="G798" s="120" t="n"/>
      <c r="H798" s="123" t="n"/>
      <c r="I798" s="123" t="n"/>
    </row>
    <row r="799" ht="15" customHeight="1" s="72">
      <c r="A799" s="117" t="n"/>
      <c r="B799" s="117" t="n"/>
      <c r="C799" s="117" t="n"/>
      <c r="D799" s="117" t="n"/>
      <c r="E799" s="118" t="n"/>
      <c r="F799" s="119" t="n"/>
      <c r="G799" s="120" t="n"/>
      <c r="H799" s="123" t="n"/>
      <c r="I799" s="123" t="n"/>
    </row>
    <row r="800" ht="15" customHeight="1" s="72">
      <c r="A800" s="117" t="n"/>
      <c r="B800" s="117" t="n"/>
      <c r="C800" s="117" t="n"/>
      <c r="D800" s="117" t="n"/>
      <c r="E800" s="118" t="n"/>
      <c r="F800" s="119" t="n"/>
      <c r="G800" s="120" t="n"/>
      <c r="H800" s="123" t="n"/>
      <c r="I800" s="123" t="n"/>
    </row>
    <row r="801" ht="15" customHeight="1" s="72">
      <c r="A801" s="117" t="n"/>
      <c r="B801" s="117" t="n"/>
      <c r="C801" s="117" t="n"/>
      <c r="D801" s="117" t="n"/>
      <c r="E801" s="118" t="n"/>
      <c r="F801" s="119" t="n"/>
      <c r="G801" s="120" t="n"/>
      <c r="H801" s="123" t="n"/>
      <c r="I801" s="123" t="n"/>
    </row>
    <row r="802" ht="15" customHeight="1" s="72">
      <c r="A802" s="117" t="n"/>
      <c r="B802" s="117" t="n"/>
      <c r="C802" s="117" t="n"/>
      <c r="D802" s="117" t="n"/>
      <c r="E802" s="118" t="n"/>
      <c r="F802" s="119" t="n"/>
      <c r="G802" s="120" t="n"/>
      <c r="H802" s="123" t="n"/>
      <c r="I802" s="123" t="n"/>
    </row>
    <row r="803" ht="15" customHeight="1" s="72">
      <c r="A803" s="117" t="n"/>
      <c r="B803" s="117" t="n"/>
      <c r="C803" s="117" t="n"/>
      <c r="D803" s="117" t="n"/>
      <c r="E803" s="118" t="n"/>
      <c r="F803" s="119" t="n"/>
      <c r="G803" s="120" t="n"/>
      <c r="H803" s="123" t="n"/>
      <c r="I803" s="123" t="n"/>
    </row>
    <row r="804" ht="15" customHeight="1" s="72">
      <c r="A804" s="117" t="n"/>
      <c r="B804" s="117" t="n"/>
      <c r="C804" s="117" t="n"/>
      <c r="D804" s="117" t="n"/>
      <c r="E804" s="118" t="n"/>
      <c r="F804" s="119" t="n"/>
      <c r="G804" s="120" t="n"/>
      <c r="H804" s="123" t="n"/>
      <c r="I804" s="123" t="n"/>
    </row>
    <row r="805" ht="15" customHeight="1" s="72">
      <c r="A805" s="117" t="n"/>
      <c r="B805" s="117" t="n"/>
      <c r="C805" s="117" t="n"/>
      <c r="D805" s="117" t="n"/>
      <c r="E805" s="118" t="n"/>
      <c r="F805" s="119" t="n"/>
      <c r="G805" s="120" t="n"/>
      <c r="H805" s="123" t="n"/>
      <c r="I805" s="123" t="n"/>
    </row>
    <row r="806" ht="15" customHeight="1" s="72">
      <c r="A806" s="117" t="n"/>
      <c r="B806" s="117" t="n"/>
      <c r="C806" s="117" t="n"/>
      <c r="D806" s="117" t="n"/>
      <c r="E806" s="118" t="n"/>
      <c r="F806" s="119" t="n"/>
      <c r="G806" s="120" t="n"/>
      <c r="H806" s="123" t="n"/>
      <c r="I806" s="123" t="n"/>
    </row>
    <row r="807" ht="15" customHeight="1" s="72">
      <c r="A807" s="117" t="n"/>
      <c r="B807" s="117" t="n"/>
      <c r="C807" s="117" t="n"/>
      <c r="D807" s="117" t="n"/>
      <c r="E807" s="118" t="n"/>
      <c r="F807" s="119" t="n"/>
      <c r="G807" s="120" t="n"/>
      <c r="H807" s="123" t="n"/>
      <c r="I807" s="123" t="n"/>
    </row>
    <row r="808" ht="15" customHeight="1" s="72">
      <c r="A808" s="117" t="n"/>
      <c r="B808" s="117" t="n"/>
      <c r="C808" s="117" t="n"/>
      <c r="D808" s="117" t="n"/>
      <c r="E808" s="118" t="n"/>
      <c r="F808" s="119" t="n"/>
      <c r="G808" s="120" t="n"/>
      <c r="H808" s="123" t="n"/>
      <c r="I808" s="123" t="n"/>
    </row>
    <row r="809" ht="15" customHeight="1" s="72">
      <c r="A809" s="117" t="n"/>
      <c r="B809" s="117" t="n"/>
      <c r="C809" s="117" t="n"/>
      <c r="D809" s="117" t="n"/>
      <c r="E809" s="118" t="n"/>
      <c r="F809" s="119" t="n"/>
      <c r="G809" s="120" t="n"/>
      <c r="H809" s="123" t="n"/>
      <c r="I809" s="123" t="n"/>
    </row>
    <row r="810" ht="15" customHeight="1" s="72">
      <c r="A810" s="117" t="n"/>
      <c r="B810" s="117" t="n"/>
      <c r="C810" s="117" t="n"/>
      <c r="D810" s="117" t="n"/>
      <c r="E810" s="118" t="n"/>
      <c r="F810" s="119" t="n"/>
      <c r="G810" s="120" t="n"/>
      <c r="H810" s="123" t="n"/>
      <c r="I810" s="123" t="n"/>
    </row>
    <row r="811" ht="15" customHeight="1" s="72">
      <c r="A811" s="117" t="n"/>
      <c r="B811" s="117" t="n"/>
      <c r="C811" s="117" t="n"/>
      <c r="D811" s="117" t="n"/>
      <c r="E811" s="118" t="n"/>
      <c r="F811" s="119" t="n"/>
      <c r="G811" s="120" t="n"/>
      <c r="H811" s="123" t="n"/>
      <c r="I811" s="123" t="n"/>
    </row>
    <row r="812" ht="15" customHeight="1" s="72">
      <c r="A812" s="117" t="n"/>
      <c r="B812" s="117" t="n"/>
      <c r="C812" s="117" t="n"/>
      <c r="D812" s="117" t="n"/>
      <c r="E812" s="118" t="n"/>
      <c r="F812" s="119" t="n"/>
      <c r="G812" s="120" t="n"/>
      <c r="H812" s="123" t="n"/>
      <c r="I812" s="123" t="n"/>
    </row>
    <row r="813" ht="15" customHeight="1" s="72">
      <c r="A813" s="117" t="n"/>
      <c r="B813" s="117" t="n"/>
      <c r="C813" s="117" t="n"/>
      <c r="D813" s="117" t="n"/>
      <c r="E813" s="118" t="n"/>
      <c r="F813" s="119" t="n"/>
      <c r="G813" s="120" t="n"/>
      <c r="H813" s="123" t="n"/>
      <c r="I813" s="123" t="n"/>
    </row>
    <row r="814" ht="15" customHeight="1" s="72">
      <c r="A814" s="117" t="n"/>
      <c r="B814" s="117" t="n"/>
      <c r="C814" s="117" t="n"/>
      <c r="D814" s="117" t="n"/>
      <c r="E814" s="118" t="n"/>
      <c r="F814" s="119" t="n"/>
      <c r="G814" s="120" t="n"/>
      <c r="H814" s="123" t="n"/>
      <c r="I814" s="123" t="n"/>
    </row>
    <row r="815" ht="15" customHeight="1" s="72">
      <c r="A815" s="117" t="n"/>
      <c r="B815" s="117" t="n"/>
      <c r="C815" s="117" t="n"/>
      <c r="D815" s="117" t="n"/>
      <c r="E815" s="118" t="n"/>
      <c r="F815" s="119" t="n"/>
      <c r="G815" s="120" t="n"/>
      <c r="H815" s="123" t="n"/>
      <c r="I815" s="123" t="n"/>
    </row>
    <row r="816" ht="15" customHeight="1" s="72">
      <c r="A816" s="117" t="n"/>
      <c r="B816" s="117" t="n"/>
      <c r="C816" s="117" t="n"/>
      <c r="D816" s="117" t="n"/>
      <c r="E816" s="118" t="n"/>
      <c r="F816" s="119" t="n"/>
      <c r="G816" s="120" t="n"/>
      <c r="H816" s="123" t="n"/>
      <c r="I816" s="123" t="n"/>
    </row>
    <row r="817" ht="15" customHeight="1" s="72">
      <c r="A817" s="117" t="n"/>
      <c r="B817" s="117" t="n"/>
      <c r="C817" s="117" t="n"/>
      <c r="D817" s="117" t="n"/>
      <c r="E817" s="118" t="n"/>
      <c r="F817" s="119" t="n"/>
      <c r="G817" s="120" t="n"/>
      <c r="H817" s="123" t="n"/>
      <c r="I817" s="123" t="n"/>
    </row>
    <row r="818" ht="15" customHeight="1" s="72">
      <c r="A818" s="117" t="n"/>
      <c r="B818" s="117" t="n"/>
      <c r="C818" s="117" t="n"/>
      <c r="D818" s="117" t="n"/>
      <c r="E818" s="118" t="n"/>
      <c r="F818" s="119" t="n"/>
      <c r="G818" s="120" t="n"/>
      <c r="H818" s="123" t="n"/>
      <c r="I818" s="123" t="n"/>
    </row>
    <row r="819" ht="15" customHeight="1" s="72">
      <c r="A819" s="117" t="n"/>
      <c r="B819" s="117" t="n"/>
      <c r="C819" s="117" t="n"/>
      <c r="D819" s="117" t="n"/>
      <c r="E819" s="118" t="n"/>
      <c r="F819" s="119" t="n"/>
      <c r="G819" s="120" t="n"/>
      <c r="H819" s="123" t="n"/>
      <c r="I819" s="123" t="n"/>
    </row>
    <row r="820" ht="15" customHeight="1" s="72">
      <c r="A820" s="117" t="n"/>
      <c r="B820" s="117" t="n"/>
      <c r="C820" s="117" t="n"/>
      <c r="D820" s="117" t="n"/>
      <c r="E820" s="118" t="n"/>
      <c r="F820" s="119" t="n"/>
      <c r="G820" s="120" t="n"/>
      <c r="H820" s="123" t="n"/>
      <c r="I820" s="123" t="n"/>
    </row>
    <row r="821" ht="15" customHeight="1" s="72">
      <c r="A821" s="117" t="n"/>
      <c r="B821" s="117" t="n"/>
      <c r="C821" s="117" t="n"/>
      <c r="D821" s="117" t="n"/>
      <c r="E821" s="118" t="n"/>
      <c r="F821" s="119" t="n"/>
      <c r="G821" s="120" t="n"/>
      <c r="H821" s="123" t="n"/>
      <c r="I821" s="123" t="n"/>
    </row>
    <row r="822" ht="15" customHeight="1" s="72">
      <c r="A822" s="117" t="n"/>
      <c r="B822" s="117" t="n"/>
      <c r="C822" s="117" t="n"/>
      <c r="D822" s="117" t="n"/>
      <c r="E822" s="118" t="n"/>
      <c r="F822" s="119" t="n"/>
      <c r="G822" s="120" t="n"/>
      <c r="H822" s="123" t="n"/>
      <c r="I822" s="123" t="n"/>
    </row>
    <row r="823" ht="15" customHeight="1" s="72">
      <c r="A823" s="117" t="n"/>
      <c r="B823" s="117" t="n"/>
      <c r="C823" s="117" t="n"/>
      <c r="D823" s="117" t="n"/>
      <c r="E823" s="118" t="n"/>
      <c r="F823" s="119" t="n"/>
      <c r="G823" s="120" t="n"/>
      <c r="H823" s="123" t="n"/>
      <c r="I823" s="123" t="n"/>
    </row>
    <row r="824" ht="15" customHeight="1" s="72">
      <c r="A824" s="117" t="n"/>
      <c r="B824" s="117" t="n"/>
      <c r="C824" s="117" t="n"/>
      <c r="D824" s="117" t="n"/>
      <c r="E824" s="118" t="n"/>
      <c r="F824" s="119" t="n"/>
      <c r="G824" s="120" t="n"/>
      <c r="H824" s="123" t="n"/>
      <c r="I824" s="123" t="n"/>
    </row>
    <row r="825" ht="15" customHeight="1" s="72">
      <c r="A825" s="117" t="n"/>
      <c r="B825" s="117" t="n"/>
      <c r="C825" s="117" t="n"/>
      <c r="D825" s="117" t="n"/>
      <c r="E825" s="118" t="n"/>
      <c r="F825" s="119" t="n"/>
      <c r="G825" s="120" t="n"/>
      <c r="H825" s="123" t="n"/>
      <c r="I825" s="123" t="n"/>
    </row>
    <row r="826" ht="15" customHeight="1" s="72">
      <c r="A826" s="117" t="n"/>
      <c r="B826" s="117" t="n"/>
      <c r="C826" s="117" t="n"/>
      <c r="D826" s="117" t="n"/>
      <c r="E826" s="118" t="n"/>
      <c r="F826" s="119" t="n"/>
      <c r="G826" s="120" t="n"/>
      <c r="H826" s="123" t="n"/>
      <c r="I826" s="123" t="n"/>
    </row>
    <row r="827" ht="15" customHeight="1" s="72">
      <c r="A827" s="117" t="n"/>
      <c r="B827" s="117" t="n"/>
      <c r="C827" s="117" t="n"/>
      <c r="D827" s="117" t="n"/>
      <c r="E827" s="118" t="n"/>
      <c r="F827" s="119" t="n"/>
      <c r="G827" s="120" t="n"/>
      <c r="H827" s="123" t="n"/>
      <c r="I827" s="123" t="n"/>
    </row>
    <row r="828" ht="15" customHeight="1" s="72">
      <c r="A828" s="117" t="n"/>
      <c r="B828" s="117" t="n"/>
      <c r="C828" s="117" t="n"/>
      <c r="D828" s="117" t="n"/>
      <c r="E828" s="118" t="n"/>
      <c r="F828" s="119" t="n"/>
      <c r="G828" s="120" t="n"/>
      <c r="H828" s="123" t="n"/>
      <c r="I828" s="123" t="n"/>
    </row>
    <row r="829" ht="15" customHeight="1" s="72">
      <c r="A829" s="117" t="n"/>
      <c r="B829" s="117" t="n"/>
      <c r="C829" s="117" t="n"/>
      <c r="D829" s="117" t="n"/>
      <c r="E829" s="118" t="n"/>
      <c r="F829" s="119" t="n"/>
      <c r="G829" s="120" t="n"/>
      <c r="H829" s="123" t="n"/>
      <c r="I829" s="123" t="n"/>
    </row>
    <row r="830" ht="15" customHeight="1" s="72">
      <c r="A830" s="117" t="n"/>
      <c r="B830" s="117" t="n"/>
      <c r="C830" s="117" t="n"/>
      <c r="D830" s="117" t="n"/>
      <c r="E830" s="118" t="n"/>
      <c r="F830" s="119" t="n"/>
      <c r="G830" s="120" t="n"/>
      <c r="H830" s="123" t="n"/>
      <c r="I830" s="123" t="n"/>
    </row>
    <row r="831" ht="15" customHeight="1" s="72">
      <c r="A831" s="117" t="n"/>
      <c r="B831" s="117" t="n"/>
      <c r="C831" s="117" t="n"/>
      <c r="D831" s="117" t="n"/>
      <c r="E831" s="118" t="n"/>
      <c r="F831" s="119" t="n"/>
      <c r="G831" s="120" t="n"/>
      <c r="H831" s="123" t="n"/>
      <c r="I831" s="123" t="n"/>
    </row>
    <row r="832" ht="15" customHeight="1" s="72">
      <c r="A832" s="117" t="n"/>
      <c r="B832" s="117" t="n"/>
      <c r="C832" s="117" t="n"/>
      <c r="D832" s="117" t="n"/>
      <c r="E832" s="118" t="n"/>
      <c r="F832" s="119" t="n"/>
      <c r="G832" s="120" t="n"/>
      <c r="H832" s="123" t="n"/>
      <c r="I832" s="123" t="n"/>
    </row>
    <row r="833" ht="15" customHeight="1" s="72">
      <c r="A833" s="117" t="n"/>
      <c r="B833" s="117" t="n"/>
      <c r="C833" s="117" t="n"/>
      <c r="D833" s="117" t="n"/>
      <c r="E833" s="118" t="n"/>
      <c r="F833" s="119" t="n"/>
      <c r="G833" s="120" t="n"/>
      <c r="H833" s="123" t="n"/>
      <c r="I833" s="123" t="n"/>
    </row>
    <row r="834" ht="15" customHeight="1" s="72">
      <c r="A834" s="117" t="n"/>
      <c r="B834" s="117" t="n"/>
      <c r="C834" s="117" t="n"/>
      <c r="D834" s="117" t="n"/>
      <c r="E834" s="118" t="n"/>
      <c r="F834" s="119" t="n"/>
      <c r="G834" s="120" t="n"/>
      <c r="H834" s="123" t="n"/>
      <c r="I834" s="123" t="n"/>
    </row>
    <row r="835" ht="15" customHeight="1" s="72">
      <c r="A835" s="117" t="n"/>
      <c r="B835" s="117" t="n"/>
      <c r="C835" s="117" t="n"/>
      <c r="D835" s="117" t="n"/>
      <c r="E835" s="118" t="n"/>
      <c r="F835" s="119" t="n"/>
      <c r="G835" s="120" t="n"/>
      <c r="H835" s="123" t="n"/>
      <c r="I835" s="123" t="n"/>
    </row>
    <row r="836" ht="15" customHeight="1" s="72">
      <c r="A836" s="117" t="n"/>
      <c r="B836" s="117" t="n"/>
      <c r="C836" s="117" t="n"/>
      <c r="D836" s="117" t="n"/>
      <c r="E836" s="118" t="n"/>
      <c r="F836" s="119" t="n"/>
      <c r="G836" s="120" t="n"/>
      <c r="H836" s="123" t="n"/>
      <c r="I836" s="123" t="n"/>
    </row>
    <row r="837" ht="15" customHeight="1" s="72">
      <c r="A837" s="117" t="n"/>
      <c r="B837" s="117" t="n"/>
      <c r="C837" s="117" t="n"/>
      <c r="D837" s="117" t="n"/>
      <c r="E837" s="118" t="n"/>
      <c r="F837" s="119" t="n"/>
      <c r="G837" s="120" t="n"/>
      <c r="H837" s="123" t="n"/>
      <c r="I837" s="123" t="n"/>
    </row>
    <row r="838" ht="15" customHeight="1" s="72">
      <c r="A838" s="117" t="n"/>
      <c r="B838" s="117" t="n"/>
      <c r="C838" s="117" t="n"/>
      <c r="D838" s="117" t="n"/>
      <c r="E838" s="118" t="n"/>
      <c r="F838" s="119" t="n"/>
      <c r="G838" s="120" t="n"/>
      <c r="H838" s="123" t="n"/>
      <c r="I838" s="123" t="n"/>
    </row>
    <row r="839" ht="15" customHeight="1" s="72">
      <c r="A839" s="117" t="n"/>
      <c r="B839" s="117" t="n"/>
      <c r="C839" s="117" t="n"/>
      <c r="D839" s="117" t="n"/>
      <c r="E839" s="118" t="n"/>
      <c r="F839" s="119" t="n"/>
      <c r="G839" s="120" t="n"/>
      <c r="H839" s="123" t="n"/>
      <c r="I839" s="123" t="n"/>
    </row>
    <row r="840" ht="15" customHeight="1" s="72">
      <c r="A840" s="117" t="n"/>
      <c r="B840" s="117" t="n"/>
      <c r="C840" s="117" t="n"/>
      <c r="D840" s="117" t="n"/>
      <c r="E840" s="118" t="n"/>
      <c r="F840" s="119" t="n"/>
      <c r="G840" s="120" t="n"/>
      <c r="H840" s="123" t="n"/>
      <c r="I840" s="123" t="n"/>
    </row>
    <row r="841" ht="15" customHeight="1" s="72">
      <c r="A841" s="117" t="n"/>
      <c r="B841" s="117" t="n"/>
      <c r="C841" s="117" t="n"/>
      <c r="D841" s="117" t="n"/>
      <c r="E841" s="118" t="n"/>
      <c r="F841" s="119" t="n"/>
      <c r="G841" s="120" t="n"/>
      <c r="H841" s="123" t="n"/>
      <c r="I841" s="123" t="n"/>
    </row>
    <row r="842" ht="15" customHeight="1" s="72">
      <c r="A842" s="117" t="n"/>
      <c r="B842" s="117" t="n"/>
      <c r="C842" s="117" t="n"/>
      <c r="D842" s="117" t="n"/>
      <c r="E842" s="118" t="n"/>
      <c r="F842" s="119" t="n"/>
      <c r="G842" s="120" t="n"/>
      <c r="H842" s="123" t="n"/>
      <c r="I842" s="123" t="n"/>
    </row>
    <row r="843" ht="15" customHeight="1" s="72">
      <c r="A843" s="117" t="n"/>
      <c r="B843" s="117" t="n"/>
      <c r="C843" s="117" t="n"/>
      <c r="D843" s="117" t="n"/>
      <c r="E843" s="118" t="n"/>
      <c r="F843" s="119" t="n"/>
      <c r="G843" s="120" t="n"/>
      <c r="H843" s="123" t="n"/>
      <c r="I843" s="123" t="n"/>
    </row>
    <row r="844" ht="15" customHeight="1" s="72">
      <c r="A844" s="117" t="n"/>
      <c r="B844" s="117" t="n"/>
      <c r="C844" s="117" t="n"/>
      <c r="D844" s="117" t="n"/>
      <c r="E844" s="118" t="n"/>
      <c r="F844" s="119" t="n"/>
      <c r="G844" s="120" t="n"/>
      <c r="H844" s="123" t="n"/>
      <c r="I844" s="123" t="n"/>
    </row>
    <row r="845" ht="15" customHeight="1" s="72">
      <c r="A845" s="117" t="n"/>
      <c r="B845" s="117" t="n"/>
      <c r="C845" s="117" t="n"/>
      <c r="D845" s="117" t="n"/>
      <c r="E845" s="118" t="n"/>
      <c r="F845" s="119" t="n"/>
      <c r="G845" s="120" t="n"/>
      <c r="H845" s="123" t="n"/>
      <c r="I845" s="123" t="n"/>
    </row>
    <row r="846" ht="15" customHeight="1" s="72">
      <c r="A846" s="117" t="n"/>
      <c r="B846" s="117" t="n"/>
      <c r="C846" s="117" t="n"/>
      <c r="D846" s="117" t="n"/>
      <c r="E846" s="118" t="n"/>
      <c r="F846" s="119" t="n"/>
      <c r="G846" s="120" t="n"/>
      <c r="H846" s="123" t="n"/>
      <c r="I846" s="123" t="n"/>
    </row>
    <row r="847" ht="15" customHeight="1" s="72">
      <c r="A847" s="117" t="n"/>
      <c r="B847" s="117" t="n"/>
      <c r="C847" s="117" t="n"/>
      <c r="D847" s="117" t="n"/>
      <c r="E847" s="118" t="n"/>
      <c r="F847" s="119" t="n"/>
      <c r="G847" s="120" t="n"/>
      <c r="H847" s="123" t="n"/>
      <c r="I847" s="123" t="n"/>
    </row>
    <row r="848" ht="15" customHeight="1" s="72">
      <c r="A848" s="117" t="n"/>
      <c r="B848" s="117" t="n"/>
      <c r="C848" s="117" t="n"/>
      <c r="D848" s="117" t="n"/>
      <c r="E848" s="118" t="n"/>
      <c r="F848" s="119" t="n"/>
      <c r="G848" s="120" t="n"/>
      <c r="H848" s="123" t="n"/>
      <c r="I848" s="123" t="n"/>
    </row>
    <row r="849" ht="15" customHeight="1" s="72">
      <c r="A849" s="117" t="n"/>
      <c r="B849" s="117" t="n"/>
      <c r="C849" s="117" t="n"/>
      <c r="D849" s="117" t="n"/>
      <c r="E849" s="118" t="n"/>
      <c r="F849" s="119" t="n"/>
      <c r="G849" s="120" t="n"/>
      <c r="H849" s="123" t="n"/>
      <c r="I849" s="123" t="n"/>
    </row>
    <row r="850" ht="15" customHeight="1" s="72">
      <c r="A850" s="117" t="n"/>
      <c r="B850" s="117" t="n"/>
      <c r="C850" s="117" t="n"/>
      <c r="D850" s="117" t="n"/>
      <c r="E850" s="118" t="n"/>
      <c r="F850" s="119" t="n"/>
      <c r="G850" s="120" t="n"/>
      <c r="H850" s="123" t="n"/>
      <c r="I850" s="123" t="n"/>
    </row>
    <row r="851" ht="15" customHeight="1" s="72">
      <c r="A851" s="117" t="n"/>
      <c r="B851" s="117" t="n"/>
      <c r="C851" s="117" t="n"/>
      <c r="D851" s="117" t="n"/>
      <c r="E851" s="118" t="n"/>
      <c r="F851" s="119" t="n"/>
      <c r="G851" s="120" t="n"/>
      <c r="H851" s="123" t="n"/>
      <c r="I851" s="123" t="n"/>
    </row>
    <row r="852" ht="15" customHeight="1" s="72">
      <c r="A852" s="117" t="n"/>
      <c r="B852" s="117" t="n"/>
      <c r="C852" s="117" t="n"/>
      <c r="D852" s="117" t="n"/>
      <c r="E852" s="118" t="n"/>
      <c r="F852" s="119" t="n"/>
      <c r="G852" s="120" t="n"/>
      <c r="H852" s="123" t="n"/>
      <c r="I852" s="123" t="n"/>
    </row>
    <row r="853" ht="15" customHeight="1" s="72">
      <c r="A853" s="117" t="n"/>
      <c r="B853" s="117" t="n"/>
      <c r="C853" s="117" t="n"/>
      <c r="D853" s="117" t="n"/>
      <c r="E853" s="118" t="n"/>
      <c r="F853" s="119" t="n"/>
      <c r="G853" s="120" t="n"/>
      <c r="H853" s="123" t="n"/>
      <c r="I853" s="123" t="n"/>
    </row>
    <row r="854" ht="15" customHeight="1" s="72">
      <c r="A854" s="117" t="n"/>
      <c r="B854" s="117" t="n"/>
      <c r="C854" s="117" t="n"/>
      <c r="D854" s="117" t="n"/>
      <c r="E854" s="118" t="n"/>
      <c r="F854" s="119" t="n"/>
      <c r="G854" s="120" t="n"/>
      <c r="H854" s="123" t="n"/>
      <c r="I854" s="123" t="n"/>
    </row>
    <row r="855" ht="15" customHeight="1" s="72">
      <c r="A855" s="117" t="n"/>
      <c r="B855" s="117" t="n"/>
      <c r="C855" s="117" t="n"/>
      <c r="D855" s="117" t="n"/>
      <c r="E855" s="118" t="n"/>
      <c r="F855" s="119" t="n"/>
      <c r="G855" s="120" t="n"/>
      <c r="H855" s="123" t="n"/>
      <c r="I855" s="123" t="n"/>
    </row>
    <row r="856" ht="15" customHeight="1" s="72">
      <c r="A856" s="117" t="n"/>
      <c r="B856" s="117" t="n"/>
      <c r="C856" s="117" t="n"/>
      <c r="D856" s="117" t="n"/>
      <c r="E856" s="118" t="n"/>
      <c r="F856" s="119" t="n"/>
      <c r="G856" s="120" t="n"/>
      <c r="H856" s="123" t="n"/>
      <c r="I856" s="123" t="n"/>
    </row>
    <row r="857" ht="15" customHeight="1" s="72">
      <c r="A857" s="117" t="n"/>
      <c r="B857" s="117" t="n"/>
      <c r="C857" s="117" t="n"/>
      <c r="D857" s="117" t="n"/>
      <c r="E857" s="118" t="n"/>
      <c r="F857" s="119" t="n"/>
      <c r="G857" s="120" t="n"/>
      <c r="H857" s="123" t="n"/>
      <c r="I857" s="123" t="n"/>
    </row>
    <row r="858" ht="15" customHeight="1" s="72">
      <c r="A858" s="117" t="n"/>
      <c r="B858" s="117" t="n"/>
      <c r="C858" s="117" t="n"/>
      <c r="D858" s="117" t="n"/>
      <c r="E858" s="118" t="n"/>
      <c r="F858" s="119" t="n"/>
      <c r="G858" s="120" t="n"/>
      <c r="H858" s="123" t="n"/>
      <c r="I858" s="123" t="n"/>
    </row>
    <row r="859" ht="15" customHeight="1" s="72">
      <c r="A859" s="117" t="n"/>
      <c r="B859" s="117" t="n"/>
      <c r="C859" s="117" t="n"/>
      <c r="D859" s="117" t="n"/>
      <c r="E859" s="118" t="n"/>
      <c r="F859" s="119" t="n"/>
      <c r="G859" s="120" t="n"/>
      <c r="H859" s="123" t="n"/>
      <c r="I859" s="123" t="n"/>
    </row>
    <row r="860" ht="15" customHeight="1" s="72">
      <c r="A860" s="117" t="n"/>
      <c r="B860" s="117" t="n"/>
      <c r="C860" s="117" t="n"/>
      <c r="D860" s="117" t="n"/>
      <c r="E860" s="118" t="n"/>
      <c r="F860" s="119" t="n"/>
      <c r="G860" s="120" t="n"/>
      <c r="H860" s="123" t="n"/>
      <c r="I860" s="123" t="n"/>
    </row>
    <row r="861" ht="15" customHeight="1" s="72">
      <c r="A861" s="117" t="n"/>
      <c r="B861" s="117" t="n"/>
      <c r="C861" s="117" t="n"/>
      <c r="D861" s="117" t="n"/>
      <c r="E861" s="118" t="n"/>
      <c r="F861" s="119" t="n"/>
      <c r="G861" s="120" t="n"/>
      <c r="H861" s="123" t="n"/>
      <c r="I861" s="123" t="n"/>
    </row>
    <row r="862" ht="15" customHeight="1" s="72">
      <c r="A862" s="117" t="n"/>
      <c r="B862" s="117" t="n"/>
      <c r="C862" s="117" t="n"/>
      <c r="D862" s="117" t="n"/>
      <c r="E862" s="118" t="n"/>
      <c r="F862" s="119" t="n"/>
      <c r="G862" s="120" t="n"/>
      <c r="H862" s="123" t="n"/>
      <c r="I862" s="123" t="n"/>
    </row>
    <row r="863" ht="15" customHeight="1" s="72">
      <c r="A863" s="117" t="n"/>
      <c r="B863" s="117" t="n"/>
      <c r="C863" s="117" t="n"/>
      <c r="D863" s="117" t="n"/>
      <c r="E863" s="118" t="n"/>
      <c r="F863" s="119" t="n"/>
      <c r="G863" s="120" t="n"/>
      <c r="H863" s="123" t="n"/>
      <c r="I863" s="123" t="n"/>
    </row>
    <row r="864" ht="15" customHeight="1" s="72">
      <c r="A864" s="117" t="n"/>
      <c r="B864" s="117" t="n"/>
      <c r="C864" s="117" t="n"/>
      <c r="D864" s="117" t="n"/>
      <c r="E864" s="118" t="n"/>
      <c r="F864" s="119" t="n"/>
      <c r="G864" s="120" t="n"/>
      <c r="H864" s="123" t="n"/>
      <c r="I864" s="123" t="n"/>
    </row>
    <row r="865" ht="15" customHeight="1" s="72">
      <c r="A865" s="117" t="n"/>
      <c r="B865" s="117" t="n"/>
      <c r="C865" s="117" t="n"/>
      <c r="D865" s="117" t="n"/>
      <c r="E865" s="118" t="n"/>
      <c r="F865" s="119" t="n"/>
      <c r="G865" s="120" t="n"/>
      <c r="H865" s="123" t="n"/>
      <c r="I865" s="123" t="n"/>
    </row>
    <row r="866" ht="15" customHeight="1" s="72">
      <c r="A866" s="117" t="n"/>
      <c r="B866" s="117" t="n"/>
      <c r="C866" s="117" t="n"/>
      <c r="D866" s="117" t="n"/>
      <c r="E866" s="118" t="n"/>
      <c r="F866" s="119" t="n"/>
      <c r="G866" s="120" t="n"/>
      <c r="H866" s="123" t="n"/>
      <c r="I866" s="123" t="n"/>
    </row>
    <row r="867" ht="15" customHeight="1" s="72">
      <c r="A867" s="117" t="n"/>
      <c r="B867" s="117" t="n"/>
      <c r="C867" s="117" t="n"/>
      <c r="D867" s="117" t="n"/>
      <c r="E867" s="118" t="n"/>
      <c r="F867" s="119" t="n"/>
      <c r="G867" s="120" t="n"/>
      <c r="H867" s="123" t="n"/>
      <c r="I867" s="123" t="n"/>
    </row>
    <row r="868" ht="15" customHeight="1" s="72">
      <c r="A868" s="117" t="n"/>
      <c r="B868" s="117" t="n"/>
      <c r="C868" s="117" t="n"/>
      <c r="D868" s="117" t="n"/>
      <c r="E868" s="118" t="n"/>
      <c r="F868" s="119" t="n"/>
      <c r="G868" s="120" t="n"/>
      <c r="H868" s="123" t="n"/>
      <c r="I868" s="123" t="n"/>
    </row>
    <row r="869" ht="15" customHeight="1" s="72">
      <c r="A869" s="117" t="n"/>
      <c r="B869" s="117" t="n"/>
      <c r="C869" s="117" t="n"/>
      <c r="D869" s="117" t="n"/>
      <c r="E869" s="118" t="n"/>
      <c r="F869" s="119" t="n"/>
      <c r="G869" s="120" t="n"/>
      <c r="H869" s="123" t="n"/>
      <c r="I869" s="123" t="n"/>
    </row>
    <row r="870" ht="15" customHeight="1" s="72">
      <c r="A870" s="117" t="n"/>
      <c r="B870" s="117" t="n"/>
      <c r="C870" s="117" t="n"/>
      <c r="D870" s="117" t="n"/>
      <c r="E870" s="118" t="n"/>
      <c r="F870" s="119" t="n"/>
      <c r="G870" s="120" t="n"/>
      <c r="H870" s="123" t="n"/>
      <c r="I870" s="123" t="n"/>
    </row>
    <row r="871" ht="15" customHeight="1" s="72">
      <c r="A871" s="117" t="n"/>
      <c r="B871" s="117" t="n"/>
      <c r="C871" s="117" t="n"/>
      <c r="D871" s="117" t="n"/>
      <c r="E871" s="118" t="n"/>
      <c r="F871" s="119" t="n"/>
      <c r="G871" s="120" t="n"/>
      <c r="H871" s="123" t="n"/>
      <c r="I871" s="123" t="n"/>
    </row>
    <row r="872" ht="15" customHeight="1" s="72">
      <c r="A872" s="117" t="n"/>
      <c r="B872" s="117" t="n"/>
      <c r="C872" s="117" t="n"/>
      <c r="D872" s="117" t="n"/>
      <c r="E872" s="118" t="n"/>
      <c r="F872" s="119" t="n"/>
      <c r="G872" s="120" t="n"/>
      <c r="H872" s="123" t="n"/>
      <c r="I872" s="123" t="n"/>
    </row>
    <row r="873" ht="15" customHeight="1" s="72">
      <c r="A873" s="117" t="n"/>
      <c r="B873" s="117" t="n"/>
      <c r="C873" s="117" t="n"/>
      <c r="D873" s="117" t="n"/>
      <c r="E873" s="118" t="n"/>
      <c r="F873" s="119" t="n"/>
      <c r="G873" s="120" t="n"/>
      <c r="H873" s="123" t="n"/>
      <c r="I873" s="123" t="n"/>
    </row>
    <row r="874" ht="15" customHeight="1" s="72">
      <c r="A874" s="117" t="n"/>
      <c r="B874" s="117" t="n"/>
      <c r="C874" s="117" t="n"/>
      <c r="D874" s="117" t="n"/>
      <c r="E874" s="118" t="n"/>
      <c r="F874" s="119" t="n"/>
      <c r="G874" s="120" t="n"/>
      <c r="H874" s="123" t="n"/>
      <c r="I874" s="123" t="n"/>
    </row>
    <row r="875" ht="15" customHeight="1" s="72">
      <c r="A875" s="117" t="n"/>
      <c r="B875" s="117" t="n"/>
      <c r="C875" s="117" t="n"/>
      <c r="D875" s="117" t="n"/>
      <c r="E875" s="118" t="n"/>
      <c r="F875" s="119" t="n"/>
      <c r="G875" s="120" t="n"/>
      <c r="H875" s="123" t="n"/>
      <c r="I875" s="123" t="n"/>
    </row>
    <row r="876" ht="15" customHeight="1" s="72">
      <c r="A876" s="117" t="n"/>
      <c r="B876" s="117" t="n"/>
      <c r="C876" s="117" t="n"/>
      <c r="D876" s="117" t="n"/>
      <c r="E876" s="118" t="n"/>
      <c r="F876" s="119" t="n"/>
      <c r="G876" s="120" t="n"/>
      <c r="H876" s="123" t="n"/>
      <c r="I876" s="123" t="n"/>
    </row>
    <row r="877" ht="15" customHeight="1" s="72">
      <c r="A877" s="117" t="n"/>
      <c r="B877" s="117" t="n"/>
      <c r="C877" s="117" t="n"/>
      <c r="D877" s="117" t="n"/>
      <c r="E877" s="118" t="n"/>
      <c r="F877" s="119" t="n"/>
      <c r="G877" s="120" t="n"/>
      <c r="H877" s="123" t="n"/>
      <c r="I877" s="123" t="n"/>
    </row>
    <row r="878" ht="15" customHeight="1" s="72">
      <c r="A878" s="117" t="n"/>
      <c r="B878" s="117" t="n"/>
      <c r="C878" s="117" t="n"/>
      <c r="D878" s="117" t="n"/>
      <c r="E878" s="118" t="n"/>
      <c r="F878" s="119" t="n"/>
      <c r="G878" s="120" t="n"/>
      <c r="H878" s="123" t="n"/>
      <c r="I878" s="123" t="n"/>
    </row>
    <row r="879" ht="15" customHeight="1" s="72">
      <c r="A879" s="117" t="n"/>
      <c r="B879" s="117" t="n"/>
      <c r="C879" s="117" t="n"/>
      <c r="D879" s="117" t="n"/>
      <c r="E879" s="118" t="n"/>
      <c r="F879" s="119" t="n"/>
      <c r="G879" s="120" t="n"/>
      <c r="H879" s="123" t="n"/>
      <c r="I879" s="123" t="n"/>
    </row>
    <row r="880" ht="15" customHeight="1" s="72">
      <c r="A880" s="117" t="n"/>
      <c r="B880" s="117" t="n"/>
      <c r="C880" s="117" t="n"/>
      <c r="D880" s="117" t="n"/>
      <c r="E880" s="118" t="n"/>
      <c r="F880" s="119" t="n"/>
      <c r="G880" s="120" t="n"/>
      <c r="H880" s="123" t="n"/>
      <c r="I880" s="123" t="n"/>
    </row>
    <row r="881" ht="15" customHeight="1" s="72">
      <c r="A881" s="117" t="n"/>
      <c r="B881" s="117" t="n"/>
      <c r="C881" s="117" t="n"/>
      <c r="D881" s="117" t="n"/>
      <c r="E881" s="118" t="n"/>
      <c r="F881" s="119" t="n"/>
      <c r="G881" s="120" t="n"/>
      <c r="H881" s="123" t="n"/>
      <c r="I881" s="123" t="n"/>
    </row>
    <row r="882" ht="15" customHeight="1" s="72">
      <c r="A882" s="117" t="n"/>
      <c r="B882" s="117" t="n"/>
      <c r="C882" s="117" t="n"/>
      <c r="D882" s="117" t="n"/>
      <c r="E882" s="118" t="n"/>
      <c r="F882" s="119" t="n"/>
      <c r="G882" s="120" t="n"/>
      <c r="H882" s="123" t="n"/>
      <c r="I882" s="123" t="n"/>
    </row>
    <row r="883" ht="15" customHeight="1" s="72">
      <c r="A883" s="117" t="n"/>
      <c r="B883" s="117" t="n"/>
      <c r="C883" s="117" t="n"/>
      <c r="D883" s="117" t="n"/>
      <c r="E883" s="118" t="n"/>
      <c r="F883" s="119" t="n"/>
      <c r="G883" s="120" t="n"/>
      <c r="H883" s="123" t="n"/>
      <c r="I883" s="123" t="n"/>
    </row>
    <row r="884" ht="15" customHeight="1" s="72">
      <c r="A884" s="117" t="n"/>
      <c r="B884" s="117" t="n"/>
      <c r="C884" s="117" t="n"/>
      <c r="D884" s="117" t="n"/>
      <c r="E884" s="118" t="n"/>
      <c r="F884" s="119" t="n"/>
      <c r="G884" s="120" t="n"/>
      <c r="H884" s="123" t="n"/>
      <c r="I884" s="123" t="n"/>
    </row>
    <row r="885" ht="15" customHeight="1" s="72">
      <c r="A885" s="117" t="n"/>
      <c r="B885" s="117" t="n"/>
      <c r="C885" s="117" t="n"/>
      <c r="D885" s="117" t="n"/>
      <c r="E885" s="118" t="n"/>
      <c r="F885" s="119" t="n"/>
      <c r="G885" s="120" t="n"/>
      <c r="H885" s="123" t="n"/>
      <c r="I885" s="123" t="n"/>
    </row>
    <row r="886" ht="15" customHeight="1" s="72">
      <c r="A886" s="117" t="n"/>
      <c r="B886" s="117" t="n"/>
      <c r="C886" s="117" t="n"/>
      <c r="D886" s="117" t="n"/>
      <c r="E886" s="118" t="n"/>
      <c r="F886" s="119" t="n"/>
      <c r="G886" s="120" t="n"/>
      <c r="H886" s="123" t="n"/>
      <c r="I886" s="123" t="n"/>
    </row>
    <row r="887" ht="15" customHeight="1" s="72">
      <c r="A887" s="117" t="n"/>
      <c r="B887" s="117" t="n"/>
      <c r="C887" s="117" t="n"/>
      <c r="D887" s="117" t="n"/>
      <c r="E887" s="118" t="n"/>
      <c r="F887" s="119" t="n"/>
      <c r="G887" s="120" t="n"/>
      <c r="H887" s="123" t="n"/>
      <c r="I887" s="123" t="n"/>
    </row>
    <row r="888" ht="15" customHeight="1" s="72">
      <c r="A888" s="117" t="n"/>
      <c r="B888" s="117" t="n"/>
      <c r="C888" s="117" t="n"/>
      <c r="D888" s="117" t="n"/>
      <c r="E888" s="118" t="n"/>
      <c r="F888" s="119" t="n"/>
      <c r="G888" s="120" t="n"/>
      <c r="H888" s="123" t="n"/>
      <c r="I888" s="123" t="n"/>
    </row>
    <row r="889" ht="15" customHeight="1" s="72">
      <c r="A889" s="117" t="n"/>
      <c r="B889" s="117" t="n"/>
      <c r="C889" s="117" t="n"/>
      <c r="D889" s="117" t="n"/>
      <c r="E889" s="118" t="n"/>
      <c r="F889" s="119" t="n"/>
      <c r="G889" s="120" t="n"/>
      <c r="H889" s="123" t="n"/>
      <c r="I889" s="123" t="n"/>
    </row>
    <row r="890" ht="15" customHeight="1" s="72">
      <c r="A890" s="117" t="n"/>
      <c r="B890" s="117" t="n"/>
      <c r="C890" s="117" t="n"/>
      <c r="D890" s="117" t="n"/>
      <c r="E890" s="118" t="n"/>
      <c r="F890" s="119" t="n"/>
      <c r="G890" s="120" t="n"/>
      <c r="H890" s="123" t="n"/>
      <c r="I890" s="123" t="n"/>
    </row>
    <row r="891" ht="15" customHeight="1" s="72">
      <c r="A891" s="117" t="n"/>
      <c r="B891" s="117" t="n"/>
      <c r="C891" s="117" t="n"/>
      <c r="D891" s="117" t="n"/>
      <c r="E891" s="118" t="n"/>
      <c r="F891" s="119" t="n"/>
      <c r="G891" s="120" t="n"/>
      <c r="H891" s="123" t="n"/>
      <c r="I891" s="123" t="n"/>
    </row>
    <row r="892" ht="15" customHeight="1" s="72">
      <c r="A892" s="117" t="n"/>
      <c r="B892" s="117" t="n"/>
      <c r="C892" s="117" t="n"/>
      <c r="D892" s="117" t="n"/>
      <c r="E892" s="118" t="n"/>
      <c r="F892" s="119" t="n"/>
      <c r="G892" s="120" t="n"/>
      <c r="H892" s="123" t="n"/>
      <c r="I892" s="123" t="n"/>
    </row>
    <row r="893" ht="15" customHeight="1" s="72">
      <c r="A893" s="117" t="n"/>
      <c r="B893" s="117" t="n"/>
      <c r="C893" s="117" t="n"/>
      <c r="D893" s="117" t="n"/>
      <c r="E893" s="118" t="n"/>
      <c r="F893" s="119" t="n"/>
      <c r="G893" s="120" t="n"/>
      <c r="H893" s="123" t="n"/>
      <c r="I893" s="123" t="n"/>
    </row>
    <row r="894" ht="15" customHeight="1" s="72">
      <c r="A894" s="117" t="n"/>
      <c r="B894" s="117" t="n"/>
      <c r="C894" s="117" t="n"/>
      <c r="D894" s="117" t="n"/>
      <c r="E894" s="118" t="n"/>
      <c r="F894" s="119" t="n"/>
      <c r="G894" s="120" t="n"/>
      <c r="H894" s="123" t="n"/>
      <c r="I894" s="123" t="n"/>
    </row>
    <row r="895" ht="15" customHeight="1" s="72">
      <c r="A895" s="117" t="n"/>
      <c r="B895" s="117" t="n"/>
      <c r="C895" s="117" t="n"/>
      <c r="D895" s="117" t="n"/>
      <c r="E895" s="118" t="n"/>
      <c r="F895" s="119" t="n"/>
      <c r="G895" s="120" t="n"/>
      <c r="H895" s="123" t="n"/>
      <c r="I895" s="123" t="n"/>
    </row>
    <row r="896" ht="15" customHeight="1" s="72">
      <c r="A896" s="117" t="n"/>
      <c r="B896" s="117" t="n"/>
      <c r="C896" s="117" t="n"/>
      <c r="D896" s="117" t="n"/>
      <c r="E896" s="118" t="n"/>
      <c r="F896" s="119" t="n"/>
      <c r="G896" s="120" t="n"/>
      <c r="H896" s="123" t="n"/>
      <c r="I896" s="123" t="n"/>
    </row>
    <row r="897" ht="15" customHeight="1" s="72">
      <c r="A897" s="117" t="n"/>
      <c r="B897" s="117" t="n"/>
      <c r="C897" s="117" t="n"/>
      <c r="D897" s="117" t="n"/>
      <c r="E897" s="118" t="n"/>
      <c r="F897" s="119" t="n"/>
      <c r="G897" s="120" t="n"/>
      <c r="H897" s="123" t="n"/>
      <c r="I897" s="123" t="n"/>
    </row>
    <row r="898" ht="15" customHeight="1" s="72">
      <c r="A898" s="117" t="n"/>
      <c r="B898" s="117" t="n"/>
      <c r="C898" s="117" t="n"/>
      <c r="D898" s="117" t="n"/>
      <c r="E898" s="118" t="n"/>
      <c r="F898" s="119" t="n"/>
      <c r="G898" s="120" t="n"/>
      <c r="H898" s="123" t="n"/>
      <c r="I898" s="123" t="n"/>
    </row>
    <row r="899" ht="15" customHeight="1" s="72">
      <c r="A899" s="117" t="n"/>
      <c r="B899" s="117" t="n"/>
      <c r="C899" s="117" t="n"/>
      <c r="D899" s="117" t="n"/>
      <c r="E899" s="118" t="n"/>
      <c r="F899" s="119" t="n"/>
      <c r="G899" s="120" t="n"/>
      <c r="H899" s="123" t="n"/>
      <c r="I899" s="123" t="n"/>
    </row>
    <row r="900" ht="15" customHeight="1" s="72">
      <c r="A900" s="117" t="n"/>
      <c r="B900" s="117" t="n"/>
      <c r="C900" s="117" t="n"/>
      <c r="D900" s="117" t="n"/>
      <c r="E900" s="118" t="n"/>
      <c r="F900" s="119" t="n"/>
      <c r="G900" s="120" t="n"/>
      <c r="H900" s="123" t="n"/>
      <c r="I900" s="123" t="n"/>
    </row>
    <row r="901" ht="15" customHeight="1" s="72">
      <c r="A901" s="117" t="n"/>
      <c r="B901" s="117" t="n"/>
      <c r="C901" s="117" t="n"/>
      <c r="D901" s="117" t="n"/>
      <c r="E901" s="118" t="n"/>
      <c r="F901" s="119" t="n"/>
      <c r="G901" s="120" t="n"/>
      <c r="H901" s="123" t="n"/>
      <c r="I901" s="123" t="n"/>
    </row>
    <row r="902" ht="15" customHeight="1" s="72">
      <c r="A902" s="117" t="n"/>
      <c r="B902" s="117" t="n"/>
      <c r="C902" s="117" t="n"/>
      <c r="D902" s="117" t="n"/>
      <c r="E902" s="118" t="n"/>
      <c r="F902" s="119" t="n"/>
      <c r="G902" s="120" t="n"/>
      <c r="H902" s="123" t="n"/>
      <c r="I902" s="123" t="n"/>
    </row>
    <row r="903" ht="15" customHeight="1" s="72">
      <c r="A903" s="117" t="n"/>
      <c r="B903" s="117" t="n"/>
      <c r="C903" s="117" t="n"/>
      <c r="D903" s="117" t="n"/>
      <c r="E903" s="118" t="n"/>
      <c r="F903" s="119" t="n"/>
      <c r="G903" s="120" t="n"/>
      <c r="H903" s="123" t="n"/>
      <c r="I903" s="123" t="n"/>
    </row>
    <row r="904" ht="15" customHeight="1" s="72">
      <c r="A904" s="117" t="n"/>
      <c r="B904" s="117" t="n"/>
      <c r="C904" s="117" t="n"/>
      <c r="D904" s="117" t="n"/>
      <c r="E904" s="118" t="n"/>
      <c r="F904" s="119" t="n"/>
      <c r="G904" s="120" t="n"/>
      <c r="H904" s="123" t="n"/>
      <c r="I904" s="123" t="n"/>
    </row>
    <row r="905" ht="15" customHeight="1" s="72">
      <c r="A905" s="117" t="n"/>
      <c r="B905" s="117" t="n"/>
      <c r="C905" s="117" t="n"/>
      <c r="D905" s="117" t="n"/>
      <c r="E905" s="118" t="n"/>
      <c r="F905" s="119" t="n"/>
      <c r="G905" s="120" t="n"/>
      <c r="H905" s="123" t="n"/>
      <c r="I905" s="123" t="n"/>
    </row>
    <row r="906" ht="15" customHeight="1" s="72">
      <c r="A906" s="117" t="n"/>
      <c r="B906" s="117" t="n"/>
      <c r="C906" s="117" t="n"/>
      <c r="D906" s="117" t="n"/>
      <c r="E906" s="118" t="n"/>
      <c r="F906" s="119" t="n"/>
      <c r="G906" s="120" t="n"/>
      <c r="H906" s="123" t="n"/>
      <c r="I906" s="123" t="n"/>
    </row>
    <row r="907" ht="15" customHeight="1" s="72">
      <c r="A907" s="117" t="n"/>
      <c r="B907" s="117" t="n"/>
      <c r="C907" s="117" t="n"/>
      <c r="D907" s="117" t="n"/>
      <c r="E907" s="118" t="n"/>
      <c r="F907" s="119" t="n"/>
      <c r="G907" s="120" t="n"/>
      <c r="H907" s="123" t="n"/>
      <c r="I907" s="123" t="n"/>
    </row>
    <row r="908" ht="15" customHeight="1" s="72">
      <c r="A908" s="117" t="n"/>
      <c r="B908" s="117" t="n"/>
      <c r="C908" s="117" t="n"/>
      <c r="D908" s="117" t="n"/>
      <c r="E908" s="118" t="n"/>
      <c r="F908" s="119" t="n"/>
      <c r="G908" s="120" t="n"/>
      <c r="H908" s="123" t="n"/>
      <c r="I908" s="123" t="n"/>
    </row>
    <row r="909" ht="15" customHeight="1" s="72">
      <c r="A909" s="117" t="n"/>
      <c r="B909" s="117" t="n"/>
      <c r="C909" s="117" t="n"/>
      <c r="D909" s="117" t="n"/>
      <c r="E909" s="118" t="n"/>
      <c r="F909" s="119" t="n"/>
      <c r="G909" s="120" t="n"/>
      <c r="H909" s="123" t="n"/>
      <c r="I909" s="123" t="n"/>
    </row>
    <row r="910" ht="15" customHeight="1" s="72">
      <c r="A910" s="117" t="n"/>
      <c r="B910" s="117" t="n"/>
      <c r="C910" s="117" t="n"/>
      <c r="D910" s="117" t="n"/>
      <c r="E910" s="118" t="n"/>
      <c r="F910" s="119" t="n"/>
      <c r="G910" s="120" t="n"/>
      <c r="H910" s="123" t="n"/>
      <c r="I910" s="123" t="n"/>
    </row>
    <row r="911" ht="15" customHeight="1" s="72">
      <c r="A911" s="117" t="n"/>
      <c r="B911" s="117" t="n"/>
      <c r="C911" s="117" t="n"/>
      <c r="D911" s="117" t="n"/>
      <c r="E911" s="118" t="n"/>
      <c r="F911" s="119" t="n"/>
      <c r="G911" s="120" t="n"/>
      <c r="H911" s="123" t="n"/>
      <c r="I911" s="123" t="n"/>
    </row>
    <row r="912" ht="15" customHeight="1" s="72">
      <c r="A912" s="117" t="n"/>
      <c r="B912" s="117" t="n"/>
      <c r="C912" s="117" t="n"/>
      <c r="D912" s="117" t="n"/>
      <c r="E912" s="118" t="n"/>
      <c r="F912" s="119" t="n"/>
      <c r="G912" s="120" t="n"/>
      <c r="H912" s="123" t="n"/>
      <c r="I912" s="123" t="n"/>
    </row>
    <row r="913" ht="15" customHeight="1" s="72">
      <c r="A913" s="117" t="n"/>
      <c r="B913" s="117" t="n"/>
      <c r="C913" s="117" t="n"/>
      <c r="D913" s="117" t="n"/>
      <c r="E913" s="118" t="n"/>
      <c r="F913" s="119" t="n"/>
      <c r="G913" s="120" t="n"/>
      <c r="H913" s="123" t="n"/>
      <c r="I913" s="123" t="n"/>
    </row>
    <row r="914" ht="15" customHeight="1" s="72">
      <c r="A914" s="117" t="n"/>
      <c r="B914" s="117" t="n"/>
      <c r="C914" s="117" t="n"/>
      <c r="D914" s="117" t="n"/>
      <c r="E914" s="118" t="n"/>
      <c r="F914" s="119" t="n"/>
      <c r="G914" s="120" t="n"/>
      <c r="H914" s="123" t="n"/>
      <c r="I914" s="123" t="n"/>
    </row>
    <row r="915" ht="15" customHeight="1" s="72">
      <c r="A915" s="117" t="n"/>
      <c r="B915" s="117" t="n"/>
      <c r="C915" s="117" t="n"/>
      <c r="D915" s="117" t="n"/>
      <c r="E915" s="118" t="n"/>
      <c r="F915" s="119" t="n"/>
      <c r="G915" s="120" t="n"/>
      <c r="H915" s="123" t="n"/>
      <c r="I915" s="123" t="n"/>
    </row>
    <row r="916" ht="15" customHeight="1" s="72">
      <c r="A916" s="117" t="n"/>
      <c r="B916" s="117" t="n"/>
      <c r="C916" s="117" t="n"/>
      <c r="D916" s="117" t="n"/>
      <c r="E916" s="118" t="n"/>
      <c r="F916" s="119" t="n"/>
      <c r="G916" s="120" t="n"/>
      <c r="H916" s="123" t="n"/>
      <c r="I916" s="123" t="n"/>
    </row>
    <row r="917" ht="15" customHeight="1" s="72">
      <c r="A917" s="117" t="n"/>
      <c r="B917" s="117" t="n"/>
      <c r="C917" s="117" t="n"/>
      <c r="D917" s="117" t="n"/>
      <c r="E917" s="118" t="n"/>
      <c r="F917" s="119" t="n"/>
      <c r="G917" s="120" t="n"/>
      <c r="H917" s="123" t="n"/>
      <c r="I917" s="123" t="n"/>
    </row>
    <row r="918" ht="15" customHeight="1" s="72">
      <c r="A918" s="117" t="n"/>
      <c r="B918" s="117" t="n"/>
      <c r="C918" s="117" t="n"/>
      <c r="D918" s="117" t="n"/>
      <c r="E918" s="118" t="n"/>
      <c r="F918" s="119" t="n"/>
      <c r="G918" s="120" t="n"/>
      <c r="H918" s="123" t="n"/>
      <c r="I918" s="123" t="n"/>
    </row>
    <row r="919" ht="15" customHeight="1" s="72">
      <c r="A919" s="117" t="n"/>
      <c r="B919" s="117" t="n"/>
      <c r="C919" s="117" t="n"/>
      <c r="D919" s="117" t="n"/>
      <c r="E919" s="118" t="n"/>
      <c r="F919" s="119" t="n"/>
      <c r="G919" s="120" t="n"/>
      <c r="H919" s="123" t="n"/>
      <c r="I919" s="123" t="n"/>
    </row>
    <row r="920" ht="15" customHeight="1" s="72">
      <c r="A920" s="117" t="n"/>
      <c r="B920" s="117" t="n"/>
      <c r="C920" s="117" t="n"/>
      <c r="D920" s="117" t="n"/>
      <c r="E920" s="118" t="n"/>
      <c r="F920" s="119" t="n"/>
      <c r="G920" s="120" t="n"/>
      <c r="H920" s="123" t="n"/>
      <c r="I920" s="123" t="n"/>
    </row>
    <row r="921" ht="15" customHeight="1" s="72">
      <c r="A921" s="117" t="n"/>
      <c r="B921" s="117" t="n"/>
      <c r="C921" s="117" t="n"/>
      <c r="D921" s="117" t="n"/>
      <c r="E921" s="118" t="n"/>
      <c r="F921" s="119" t="n"/>
      <c r="G921" s="120" t="n"/>
      <c r="H921" s="123" t="n"/>
      <c r="I921" s="123" t="n"/>
    </row>
    <row r="922" ht="15" customHeight="1" s="72">
      <c r="A922" s="117" t="n"/>
      <c r="B922" s="117" t="n"/>
      <c r="C922" s="117" t="n"/>
      <c r="D922" s="117" t="n"/>
      <c r="E922" s="118" t="n"/>
      <c r="F922" s="119" t="n"/>
      <c r="G922" s="120" t="n"/>
      <c r="H922" s="123" t="n"/>
      <c r="I922" s="123" t="n"/>
    </row>
    <row r="923" ht="15" customHeight="1" s="72">
      <c r="A923" s="117" t="n"/>
      <c r="B923" s="117" t="n"/>
      <c r="C923" s="117" t="n"/>
      <c r="D923" s="117" t="n"/>
      <c r="E923" s="118" t="n"/>
      <c r="F923" s="119" t="n"/>
      <c r="G923" s="120" t="n"/>
      <c r="H923" s="123" t="n"/>
      <c r="I923" s="123" t="n"/>
    </row>
    <row r="924" ht="15" customHeight="1" s="72">
      <c r="A924" s="117" t="n"/>
      <c r="B924" s="117" t="n"/>
      <c r="C924" s="117" t="n"/>
      <c r="D924" s="117" t="n"/>
      <c r="E924" s="118" t="n"/>
      <c r="F924" s="119" t="n"/>
      <c r="G924" s="120" t="n"/>
      <c r="H924" s="123" t="n"/>
      <c r="I924" s="123" t="n"/>
    </row>
    <row r="925" ht="15" customHeight="1" s="72">
      <c r="A925" s="117" t="n"/>
      <c r="B925" s="117" t="n"/>
      <c r="C925" s="117" t="n"/>
      <c r="D925" s="117" t="n"/>
      <c r="E925" s="118" t="n"/>
      <c r="F925" s="119" t="n"/>
      <c r="G925" s="120" t="n"/>
      <c r="H925" s="123" t="n"/>
      <c r="I925" s="123" t="n"/>
    </row>
    <row r="926" ht="15" customHeight="1" s="72">
      <c r="A926" s="117" t="n"/>
      <c r="B926" s="117" t="n"/>
      <c r="C926" s="117" t="n"/>
      <c r="D926" s="117" t="n"/>
      <c r="E926" s="118" t="n"/>
      <c r="F926" s="119" t="n"/>
      <c r="G926" s="120" t="n"/>
      <c r="H926" s="123" t="n"/>
      <c r="I926" s="123" t="n"/>
    </row>
    <row r="927" ht="15" customHeight="1" s="72">
      <c r="A927" s="117" t="n"/>
      <c r="B927" s="117" t="n"/>
      <c r="C927" s="117" t="n"/>
      <c r="D927" s="117" t="n"/>
      <c r="E927" s="118" t="n"/>
      <c r="F927" s="119" t="n"/>
      <c r="G927" s="120" t="n"/>
      <c r="H927" s="123" t="n"/>
      <c r="I927" s="123" t="n"/>
    </row>
    <row r="928" ht="15" customHeight="1" s="72">
      <c r="A928" s="117" t="n"/>
      <c r="B928" s="117" t="n"/>
      <c r="C928" s="117" t="n"/>
      <c r="D928" s="117" t="n"/>
      <c r="E928" s="118" t="n"/>
      <c r="F928" s="119" t="n"/>
      <c r="G928" s="120" t="n"/>
      <c r="H928" s="123" t="n"/>
      <c r="I928" s="123" t="n"/>
    </row>
    <row r="929" ht="15" customHeight="1" s="72">
      <c r="A929" s="117" t="n"/>
      <c r="B929" s="117" t="n"/>
      <c r="C929" s="117" t="n"/>
      <c r="D929" s="117" t="n"/>
      <c r="E929" s="118" t="n"/>
      <c r="F929" s="119" t="n"/>
      <c r="G929" s="120" t="n"/>
      <c r="H929" s="123" t="n"/>
      <c r="I929" s="123" t="n"/>
    </row>
    <row r="930" ht="15" customHeight="1" s="72">
      <c r="A930" s="117" t="n"/>
      <c r="B930" s="117" t="n"/>
      <c r="C930" s="117" t="n"/>
      <c r="D930" s="117" t="n"/>
      <c r="E930" s="118" t="n"/>
      <c r="F930" s="119" t="n"/>
      <c r="G930" s="120" t="n"/>
      <c r="H930" s="123" t="n"/>
      <c r="I930" s="123" t="n"/>
    </row>
    <row r="931" ht="15" customHeight="1" s="72">
      <c r="A931" s="117" t="n"/>
      <c r="B931" s="117" t="n"/>
      <c r="C931" s="117" t="n"/>
      <c r="D931" s="117" t="n"/>
      <c r="E931" s="118" t="n"/>
      <c r="F931" s="119" t="n"/>
      <c r="G931" s="120" t="n"/>
      <c r="H931" s="123" t="n"/>
      <c r="I931" s="123" t="n"/>
    </row>
    <row r="932" ht="15" customHeight="1" s="72">
      <c r="A932" s="117" t="n"/>
      <c r="B932" s="117" t="n"/>
      <c r="C932" s="117" t="n"/>
      <c r="D932" s="117" t="n"/>
      <c r="E932" s="118" t="n"/>
      <c r="F932" s="119" t="n"/>
      <c r="G932" s="120" t="n"/>
      <c r="H932" s="123" t="n"/>
      <c r="I932" s="123" t="n"/>
    </row>
    <row r="933" ht="15" customHeight="1" s="72">
      <c r="A933" s="117" t="n"/>
      <c r="B933" s="117" t="n"/>
      <c r="C933" s="117" t="n"/>
      <c r="D933" s="117" t="n"/>
      <c r="E933" s="118" t="n"/>
      <c r="F933" s="119" t="n"/>
      <c r="G933" s="120" t="n"/>
      <c r="H933" s="123" t="n"/>
      <c r="I933" s="123" t="n"/>
    </row>
    <row r="934" ht="15" customHeight="1" s="72">
      <c r="A934" s="117" t="n"/>
      <c r="B934" s="117" t="n"/>
      <c r="C934" s="117" t="n"/>
      <c r="D934" s="117" t="n"/>
      <c r="E934" s="118" t="n"/>
      <c r="F934" s="119" t="n"/>
      <c r="G934" s="120" t="n"/>
      <c r="H934" s="123" t="n"/>
      <c r="I934" s="123" t="n"/>
    </row>
    <row r="935" ht="15" customHeight="1" s="72">
      <c r="A935" s="117" t="n"/>
      <c r="B935" s="117" t="n"/>
      <c r="C935" s="117" t="n"/>
      <c r="D935" s="117" t="n"/>
      <c r="E935" s="118" t="n"/>
      <c r="F935" s="119" t="n"/>
      <c r="G935" s="120" t="n"/>
      <c r="H935" s="123" t="n"/>
      <c r="I935" s="123" t="n"/>
    </row>
    <row r="936" ht="15" customHeight="1" s="72">
      <c r="A936" s="117" t="n"/>
      <c r="B936" s="117" t="n"/>
      <c r="C936" s="117" t="n"/>
      <c r="D936" s="117" t="n"/>
      <c r="E936" s="118" t="n"/>
      <c r="F936" s="119" t="n"/>
      <c r="G936" s="120" t="n"/>
      <c r="H936" s="123" t="n"/>
      <c r="I936" s="123" t="n"/>
    </row>
    <row r="937" ht="15" customHeight="1" s="72">
      <c r="A937" s="117" t="n"/>
      <c r="B937" s="117" t="n"/>
      <c r="C937" s="117" t="n"/>
      <c r="D937" s="117" t="n"/>
      <c r="E937" s="118" t="n"/>
      <c r="F937" s="119" t="n"/>
      <c r="G937" s="120" t="n"/>
      <c r="H937" s="123" t="n"/>
      <c r="I937" s="123" t="n"/>
    </row>
    <row r="938" ht="15" customHeight="1" s="72">
      <c r="A938" s="117" t="n"/>
      <c r="B938" s="117" t="n"/>
      <c r="C938" s="117" t="n"/>
      <c r="D938" s="117" t="n"/>
      <c r="E938" s="118" t="n"/>
      <c r="F938" s="119" t="n"/>
      <c r="G938" s="120" t="n"/>
      <c r="H938" s="123" t="n"/>
      <c r="I938" s="123" t="n"/>
    </row>
    <row r="939" ht="15" customHeight="1" s="72">
      <c r="A939" s="117" t="n"/>
      <c r="B939" s="117" t="n"/>
      <c r="C939" s="117" t="n"/>
      <c r="D939" s="117" t="n"/>
      <c r="E939" s="118" t="n"/>
      <c r="F939" s="119" t="n"/>
      <c r="G939" s="120" t="n"/>
      <c r="H939" s="123" t="n"/>
      <c r="I939" s="123" t="n"/>
    </row>
    <row r="940" ht="15" customHeight="1" s="72">
      <c r="A940" s="117" t="n"/>
      <c r="B940" s="117" t="n"/>
      <c r="C940" s="117" t="n"/>
      <c r="D940" s="117" t="n"/>
      <c r="E940" s="118" t="n"/>
      <c r="F940" s="119" t="n"/>
      <c r="G940" s="120" t="n"/>
      <c r="H940" s="123" t="n"/>
      <c r="I940" s="123" t="n"/>
    </row>
    <row r="941" ht="15" customHeight="1" s="72">
      <c r="A941" s="117" t="n"/>
      <c r="B941" s="117" t="n"/>
      <c r="C941" s="117" t="n"/>
      <c r="D941" s="117" t="n"/>
      <c r="E941" s="118" t="n"/>
      <c r="F941" s="119" t="n"/>
      <c r="G941" s="120" t="n"/>
      <c r="H941" s="123" t="n"/>
      <c r="I941" s="123" t="n"/>
    </row>
    <row r="942" ht="15" customHeight="1" s="72">
      <c r="A942" s="117" t="n"/>
      <c r="B942" s="117" t="n"/>
      <c r="C942" s="117" t="n"/>
      <c r="D942" s="117" t="n"/>
      <c r="E942" s="118" t="n"/>
      <c r="F942" s="119" t="n"/>
      <c r="G942" s="120" t="n"/>
      <c r="H942" s="123" t="n"/>
      <c r="I942" s="123" t="n"/>
    </row>
    <row r="943" ht="15" customHeight="1" s="72">
      <c r="A943" s="117" t="n"/>
      <c r="B943" s="117" t="n"/>
      <c r="C943" s="117" t="n"/>
      <c r="D943" s="117" t="n"/>
      <c r="E943" s="118" t="n"/>
      <c r="F943" s="119" t="n"/>
      <c r="G943" s="120" t="n"/>
      <c r="H943" s="123" t="n"/>
      <c r="I943" s="123" t="n"/>
    </row>
    <row r="944" ht="15" customHeight="1" s="72">
      <c r="A944" s="117" t="n"/>
      <c r="B944" s="117" t="n"/>
      <c r="C944" s="117" t="n"/>
      <c r="D944" s="117" t="n"/>
      <c r="E944" s="118" t="n"/>
      <c r="F944" s="119" t="n"/>
      <c r="G944" s="120" t="n"/>
      <c r="H944" s="123" t="n"/>
      <c r="I944" s="123" t="n"/>
    </row>
    <row r="945" ht="15" customHeight="1" s="72">
      <c r="A945" s="117" t="n"/>
      <c r="B945" s="117" t="n"/>
      <c r="C945" s="117" t="n"/>
      <c r="D945" s="117" t="n"/>
      <c r="E945" s="118" t="n"/>
      <c r="F945" s="119" t="n"/>
      <c r="G945" s="120" t="n"/>
      <c r="H945" s="123" t="n"/>
      <c r="I945" s="123" t="n"/>
    </row>
    <row r="946" ht="15" customHeight="1" s="72">
      <c r="A946" s="117" t="n"/>
      <c r="B946" s="117" t="n"/>
      <c r="C946" s="117" t="n"/>
      <c r="D946" s="117" t="n"/>
      <c r="E946" s="118" t="n"/>
      <c r="F946" s="119" t="n"/>
      <c r="G946" s="120" t="n"/>
      <c r="H946" s="123" t="n"/>
      <c r="I946" s="123" t="n"/>
    </row>
    <row r="947" ht="15" customHeight="1" s="72">
      <c r="A947" s="117" t="n"/>
      <c r="B947" s="117" t="n"/>
      <c r="C947" s="117" t="n"/>
      <c r="D947" s="117" t="n"/>
      <c r="E947" s="118" t="n"/>
      <c r="F947" s="119" t="n"/>
      <c r="G947" s="120" t="n"/>
      <c r="H947" s="123" t="n"/>
      <c r="I947" s="123" t="n"/>
    </row>
    <row r="948" ht="15" customHeight="1" s="72">
      <c r="A948" s="117" t="n"/>
      <c r="B948" s="117" t="n"/>
      <c r="C948" s="117" t="n"/>
      <c r="D948" s="117" t="n"/>
      <c r="E948" s="118" t="n"/>
      <c r="F948" s="119" t="n"/>
      <c r="G948" s="120" t="n"/>
      <c r="H948" s="123" t="n"/>
      <c r="I948" s="123" t="n"/>
    </row>
    <row r="949" ht="15" customHeight="1" s="72">
      <c r="A949" s="117" t="n"/>
      <c r="B949" s="117" t="n"/>
      <c r="C949" s="117" t="n"/>
      <c r="D949" s="117" t="n"/>
      <c r="E949" s="118" t="n"/>
      <c r="F949" s="119" t="n"/>
      <c r="G949" s="120" t="n"/>
      <c r="H949" s="123" t="n"/>
      <c r="I949" s="123" t="n"/>
    </row>
    <row r="950" ht="15" customHeight="1" s="72">
      <c r="A950" s="117" t="n"/>
      <c r="B950" s="117" t="n"/>
      <c r="C950" s="117" t="n"/>
      <c r="D950" s="117" t="n"/>
      <c r="E950" s="118" t="n"/>
      <c r="F950" s="119" t="n"/>
      <c r="G950" s="120" t="n"/>
      <c r="H950" s="123" t="n"/>
      <c r="I950" s="123" t="n"/>
    </row>
    <row r="951" ht="15" customHeight="1" s="72">
      <c r="A951" s="117" t="n"/>
      <c r="B951" s="117" t="n"/>
      <c r="C951" s="117" t="n"/>
      <c r="D951" s="117" t="n"/>
      <c r="E951" s="118" t="n"/>
      <c r="F951" s="119" t="n"/>
      <c r="G951" s="120" t="n"/>
      <c r="H951" s="123" t="n"/>
      <c r="I951" s="123" t="n"/>
    </row>
    <row r="952" ht="15" customHeight="1" s="72">
      <c r="A952" s="117" t="n"/>
      <c r="B952" s="117" t="n"/>
      <c r="C952" s="117" t="n"/>
      <c r="D952" s="117" t="n"/>
      <c r="E952" s="118" t="n"/>
      <c r="F952" s="119" t="n"/>
      <c r="G952" s="120" t="n"/>
      <c r="H952" s="123" t="n"/>
      <c r="I952" s="123" t="n"/>
    </row>
    <row r="953" ht="15" customHeight="1" s="72">
      <c r="A953" s="117" t="n"/>
      <c r="B953" s="117" t="n"/>
      <c r="C953" s="117" t="n"/>
      <c r="D953" s="117" t="n"/>
      <c r="E953" s="118" t="n"/>
      <c r="F953" s="119" t="n"/>
      <c r="G953" s="120" t="n"/>
      <c r="H953" s="123" t="n"/>
      <c r="I953" s="123" t="n"/>
    </row>
    <row r="954" ht="15" customHeight="1" s="72">
      <c r="A954" s="117" t="n"/>
      <c r="B954" s="117" t="n"/>
      <c r="C954" s="117" t="n"/>
      <c r="D954" s="117" t="n"/>
      <c r="E954" s="118" t="n"/>
      <c r="F954" s="119" t="n"/>
      <c r="G954" s="120" t="n"/>
      <c r="H954" s="123" t="n"/>
      <c r="I954" s="123" t="n"/>
    </row>
    <row r="955" ht="15" customHeight="1" s="72">
      <c r="A955" s="117" t="n"/>
      <c r="B955" s="117" t="n"/>
      <c r="C955" s="117" t="n"/>
      <c r="D955" s="117" t="n"/>
      <c r="E955" s="118" t="n"/>
      <c r="F955" s="119" t="n"/>
      <c r="G955" s="120" t="n"/>
      <c r="H955" s="123" t="n"/>
      <c r="I955" s="123" t="n"/>
    </row>
    <row r="956" ht="15" customHeight="1" s="72">
      <c r="A956" s="117" t="n"/>
      <c r="B956" s="117" t="n"/>
      <c r="C956" s="117" t="n"/>
      <c r="D956" s="117" t="n"/>
      <c r="E956" s="118" t="n"/>
      <c r="F956" s="119" t="n"/>
      <c r="G956" s="120" t="n"/>
      <c r="H956" s="123" t="n"/>
      <c r="I956" s="123" t="n"/>
    </row>
    <row r="957" ht="15" customHeight="1" s="72">
      <c r="A957" s="117" t="n"/>
      <c r="B957" s="117" t="n"/>
      <c r="C957" s="117" t="n"/>
      <c r="D957" s="117" t="n"/>
      <c r="E957" s="118" t="n"/>
      <c r="F957" s="119" t="n"/>
      <c r="G957" s="120" t="n"/>
      <c r="H957" s="123" t="n"/>
      <c r="I957" s="123" t="n"/>
    </row>
    <row r="958" ht="15" customHeight="1" s="72">
      <c r="A958" s="117" t="n"/>
      <c r="B958" s="117" t="n"/>
      <c r="C958" s="117" t="n"/>
      <c r="D958" s="117" t="n"/>
      <c r="E958" s="118" t="n"/>
      <c r="F958" s="119" t="n"/>
      <c r="G958" s="120" t="n"/>
      <c r="H958" s="123" t="n"/>
      <c r="I958" s="123" t="n"/>
    </row>
    <row r="959" ht="15" customHeight="1" s="72">
      <c r="A959" s="117" t="n"/>
      <c r="B959" s="117" t="n"/>
      <c r="C959" s="117" t="n"/>
      <c r="D959" s="117" t="n"/>
      <c r="E959" s="118" t="n"/>
      <c r="F959" s="119" t="n"/>
      <c r="G959" s="120" t="n"/>
      <c r="H959" s="123" t="n"/>
      <c r="I959" s="123" t="n"/>
    </row>
    <row r="960" ht="15" customHeight="1" s="72">
      <c r="A960" s="117" t="n"/>
      <c r="B960" s="117" t="n"/>
      <c r="C960" s="117" t="n"/>
      <c r="D960" s="117" t="n"/>
      <c r="E960" s="118" t="n"/>
      <c r="F960" s="119" t="n"/>
      <c r="G960" s="120" t="n"/>
      <c r="H960" s="123" t="n"/>
      <c r="I960" s="123" t="n"/>
    </row>
    <row r="961" ht="15" customHeight="1" s="72">
      <c r="A961" s="117" t="n"/>
      <c r="B961" s="117" t="n"/>
      <c r="C961" s="117" t="n"/>
      <c r="D961" s="117" t="n"/>
      <c r="E961" s="118" t="n"/>
      <c r="F961" s="119" t="n"/>
      <c r="G961" s="120" t="n"/>
      <c r="H961" s="123" t="n"/>
      <c r="I961" s="123" t="n"/>
    </row>
    <row r="962" ht="15" customHeight="1" s="72">
      <c r="A962" s="117" t="n"/>
      <c r="B962" s="117" t="n"/>
      <c r="C962" s="117" t="n"/>
      <c r="D962" s="117" t="n"/>
      <c r="E962" s="118" t="n"/>
      <c r="F962" s="119" t="n"/>
      <c r="G962" s="120" t="n"/>
      <c r="H962" s="123" t="n"/>
      <c r="I962" s="123" t="n"/>
    </row>
    <row r="963" ht="15" customHeight="1" s="72">
      <c r="A963" s="117" t="n"/>
      <c r="B963" s="117" t="n"/>
      <c r="C963" s="117" t="n"/>
      <c r="D963" s="117" t="n"/>
      <c r="E963" s="118" t="n"/>
      <c r="F963" s="119" t="n"/>
      <c r="G963" s="120" t="n"/>
      <c r="H963" s="123" t="n"/>
      <c r="I963" s="123" t="n"/>
    </row>
    <row r="964" ht="15" customHeight="1" s="72">
      <c r="A964" s="117" t="n"/>
      <c r="B964" s="117" t="n"/>
      <c r="C964" s="117" t="n"/>
      <c r="D964" s="117" t="n"/>
      <c r="E964" s="118" t="n"/>
      <c r="F964" s="119" t="n"/>
      <c r="G964" s="120" t="n"/>
      <c r="H964" s="123" t="n"/>
      <c r="I964" s="123" t="n"/>
    </row>
    <row r="965" ht="15" customHeight="1" s="72">
      <c r="A965" s="117" t="n"/>
      <c r="B965" s="117" t="n"/>
      <c r="C965" s="117" t="n"/>
      <c r="D965" s="117" t="n"/>
      <c r="E965" s="118" t="n"/>
      <c r="F965" s="119" t="n"/>
      <c r="G965" s="120" t="n"/>
      <c r="H965" s="123" t="n"/>
      <c r="I965" s="123" t="n"/>
    </row>
    <row r="966" ht="15" customHeight="1" s="72">
      <c r="A966" s="117" t="n"/>
      <c r="B966" s="117" t="n"/>
      <c r="C966" s="117" t="n"/>
      <c r="D966" s="117" t="n"/>
      <c r="E966" s="118" t="n"/>
      <c r="F966" s="119" t="n"/>
      <c r="G966" s="120" t="n"/>
      <c r="H966" s="123" t="n"/>
      <c r="I966" s="123" t="n"/>
    </row>
    <row r="967" ht="15" customHeight="1" s="72">
      <c r="A967" s="117" t="n"/>
      <c r="B967" s="117" t="n"/>
      <c r="C967" s="117" t="n"/>
      <c r="D967" s="117" t="n"/>
      <c r="E967" s="118" t="n"/>
      <c r="F967" s="119" t="n"/>
      <c r="G967" s="120" t="n"/>
      <c r="H967" s="123" t="n"/>
      <c r="I967" s="123" t="n"/>
    </row>
    <row r="968" ht="15" customHeight="1" s="72">
      <c r="A968" s="117" t="n"/>
      <c r="B968" s="117" t="n"/>
      <c r="C968" s="117" t="n"/>
      <c r="D968" s="117" t="n"/>
      <c r="E968" s="118" t="n"/>
      <c r="F968" s="119" t="n"/>
      <c r="G968" s="120" t="n"/>
      <c r="H968" s="123" t="n"/>
      <c r="I968" s="123" t="n"/>
    </row>
    <row r="969" ht="15" customHeight="1" s="72">
      <c r="A969" s="117" t="n"/>
      <c r="B969" s="117" t="n"/>
      <c r="C969" s="117" t="n"/>
      <c r="D969" s="117" t="n"/>
      <c r="E969" s="118" t="n"/>
      <c r="F969" s="119" t="n"/>
      <c r="G969" s="120" t="n"/>
      <c r="H969" s="123" t="n"/>
      <c r="I969" s="123" t="n"/>
    </row>
    <row r="970" ht="15" customHeight="1" s="72">
      <c r="A970" s="117" t="n"/>
      <c r="B970" s="117" t="n"/>
      <c r="C970" s="117" t="n"/>
      <c r="D970" s="117" t="n"/>
      <c r="E970" s="118" t="n"/>
      <c r="F970" s="119" t="n"/>
      <c r="G970" s="120" t="n"/>
      <c r="H970" s="123" t="n"/>
      <c r="I970" s="123" t="n"/>
    </row>
    <row r="971" ht="15" customHeight="1" s="72">
      <c r="A971" s="117" t="n"/>
      <c r="B971" s="117" t="n"/>
      <c r="C971" s="117" t="n"/>
      <c r="D971" s="117" t="n"/>
      <c r="E971" s="118" t="n"/>
      <c r="F971" s="119" t="n"/>
      <c r="G971" s="120" t="n"/>
      <c r="H971" s="123" t="n"/>
      <c r="I971" s="123" t="n"/>
    </row>
    <row r="972" ht="15" customHeight="1" s="72">
      <c r="A972" s="117" t="n"/>
      <c r="B972" s="117" t="n"/>
      <c r="C972" s="117" t="n"/>
      <c r="D972" s="117" t="n"/>
      <c r="E972" s="118" t="n"/>
      <c r="F972" s="119" t="n"/>
      <c r="G972" s="120" t="n"/>
      <c r="H972" s="123" t="n"/>
      <c r="I972" s="123" t="n"/>
    </row>
    <row r="973" ht="15" customHeight="1" s="72">
      <c r="A973" s="117" t="n"/>
      <c r="B973" s="117" t="n"/>
      <c r="C973" s="117" t="n"/>
      <c r="D973" s="117" t="n"/>
      <c r="E973" s="118" t="n"/>
      <c r="F973" s="119" t="n"/>
      <c r="G973" s="120" t="n"/>
      <c r="H973" s="123" t="n"/>
      <c r="I973" s="123" t="n"/>
    </row>
    <row r="974" ht="15" customHeight="1" s="72">
      <c r="A974" s="117" t="n"/>
      <c r="B974" s="117" t="n"/>
      <c r="C974" s="117" t="n"/>
      <c r="D974" s="117" t="n"/>
      <c r="E974" s="118" t="n"/>
      <c r="F974" s="119" t="n"/>
      <c r="G974" s="120" t="n"/>
      <c r="H974" s="123" t="n"/>
      <c r="I974" s="123" t="n"/>
    </row>
    <row r="975" ht="15" customHeight="1" s="72">
      <c r="A975" s="117" t="n"/>
      <c r="B975" s="117" t="n"/>
      <c r="C975" s="117" t="n"/>
      <c r="D975" s="117" t="n"/>
      <c r="E975" s="118" t="n"/>
      <c r="F975" s="119" t="n"/>
      <c r="G975" s="120" t="n"/>
      <c r="H975" s="123" t="n"/>
      <c r="I975" s="123" t="n"/>
    </row>
    <row r="976" ht="15" customHeight="1" s="72">
      <c r="A976" s="117" t="n"/>
      <c r="B976" s="117" t="n"/>
      <c r="C976" s="117" t="n"/>
      <c r="D976" s="117" t="n"/>
      <c r="E976" s="118" t="n"/>
      <c r="F976" s="119" t="n"/>
      <c r="G976" s="120" t="n"/>
      <c r="H976" s="123" t="n"/>
      <c r="I976" s="123" t="n"/>
    </row>
    <row r="977" ht="15" customHeight="1" s="72">
      <c r="A977" s="117" t="n"/>
      <c r="B977" s="117" t="n"/>
      <c r="C977" s="117" t="n"/>
      <c r="D977" s="117" t="n"/>
      <c r="E977" s="118" t="n"/>
      <c r="F977" s="119" t="n"/>
      <c r="G977" s="120" t="n"/>
      <c r="H977" s="123" t="n"/>
      <c r="I977" s="123" t="n"/>
    </row>
    <row r="978" ht="15" customHeight="1" s="72">
      <c r="A978" s="117" t="n"/>
      <c r="B978" s="117" t="n"/>
      <c r="C978" s="117" t="n"/>
      <c r="D978" s="117" t="n"/>
      <c r="E978" s="118" t="n"/>
      <c r="F978" s="119" t="n"/>
      <c r="G978" s="120" t="n"/>
      <c r="H978" s="123" t="n"/>
      <c r="I978" s="123" t="n"/>
    </row>
    <row r="979" ht="15" customHeight="1" s="72">
      <c r="A979" s="117" t="n"/>
      <c r="B979" s="117" t="n"/>
      <c r="C979" s="117" t="n"/>
      <c r="D979" s="117" t="n"/>
      <c r="E979" s="118" t="n"/>
      <c r="F979" s="119" t="n"/>
      <c r="G979" s="120" t="n"/>
      <c r="H979" s="123" t="n"/>
      <c r="I979" s="123" t="n"/>
    </row>
    <row r="980" ht="15" customHeight="1" s="72">
      <c r="A980" s="117" t="n"/>
      <c r="B980" s="117" t="n"/>
      <c r="C980" s="117" t="n"/>
      <c r="D980" s="117" t="n"/>
      <c r="E980" s="118" t="n"/>
      <c r="F980" s="119" t="n"/>
      <c r="G980" s="120" t="n"/>
      <c r="H980" s="123" t="n"/>
      <c r="I980" s="123" t="n"/>
    </row>
    <row r="981" ht="15" customHeight="1" s="72">
      <c r="A981" s="117" t="n"/>
      <c r="B981" s="117" t="n"/>
      <c r="C981" s="117" t="n"/>
      <c r="D981" s="117" t="n"/>
      <c r="E981" s="118" t="n"/>
      <c r="F981" s="119" t="n"/>
      <c r="G981" s="120" t="n"/>
      <c r="H981" s="123" t="n"/>
      <c r="I981" s="123" t="n"/>
    </row>
    <row r="982" ht="15" customHeight="1" s="72">
      <c r="A982" s="117" t="n"/>
      <c r="B982" s="117" t="n"/>
      <c r="C982" s="117" t="n"/>
      <c r="D982" s="117" t="n"/>
      <c r="E982" s="118" t="n"/>
      <c r="F982" s="119" t="n"/>
      <c r="G982" s="120" t="n"/>
      <c r="H982" s="123" t="n"/>
      <c r="I982" s="123" t="n"/>
    </row>
    <row r="983" ht="15" customHeight="1" s="72">
      <c r="A983" s="117" t="n"/>
      <c r="B983" s="117" t="n"/>
      <c r="C983" s="117" t="n"/>
      <c r="D983" s="117" t="n"/>
      <c r="E983" s="118" t="n"/>
      <c r="F983" s="119" t="n"/>
      <c r="G983" s="120" t="n"/>
      <c r="H983" s="123" t="n"/>
      <c r="I983" s="123" t="n"/>
    </row>
    <row r="984" ht="15" customHeight="1" s="72">
      <c r="A984" s="117" t="n"/>
      <c r="B984" s="117" t="n"/>
      <c r="C984" s="117" t="n"/>
      <c r="D984" s="117" t="n"/>
      <c r="E984" s="118" t="n"/>
      <c r="F984" s="119" t="n"/>
      <c r="G984" s="120" t="n"/>
      <c r="H984" s="123" t="n"/>
      <c r="I984" s="123" t="n"/>
    </row>
    <row r="985" ht="15" customHeight="1" s="72">
      <c r="A985" s="117" t="n"/>
      <c r="B985" s="117" t="n"/>
      <c r="C985" s="117" t="n"/>
      <c r="D985" s="117" t="n"/>
      <c r="E985" s="118" t="n"/>
      <c r="F985" s="119" t="n"/>
      <c r="G985" s="120" t="n"/>
      <c r="H985" s="123" t="n"/>
      <c r="I985" s="123" t="n"/>
    </row>
    <row r="986" ht="15" customHeight="1" s="72">
      <c r="A986" s="117" t="n"/>
      <c r="B986" s="117" t="n"/>
      <c r="C986" s="117" t="n"/>
      <c r="D986" s="117" t="n"/>
      <c r="E986" s="118" t="n"/>
      <c r="F986" s="119" t="n"/>
      <c r="G986" s="120" t="n"/>
      <c r="H986" s="123" t="n"/>
      <c r="I986" s="123" t="n"/>
    </row>
    <row r="987" ht="15" customHeight="1" s="72">
      <c r="A987" s="117" t="n"/>
      <c r="B987" s="117" t="n"/>
      <c r="C987" s="117" t="n"/>
      <c r="D987" s="117" t="n"/>
      <c r="E987" s="118" t="n"/>
      <c r="F987" s="119" t="n"/>
      <c r="G987" s="120" t="n"/>
      <c r="H987" s="123" t="n"/>
      <c r="I987" s="123" t="n"/>
    </row>
    <row r="988" ht="15" customHeight="1" s="72">
      <c r="A988" s="117" t="n"/>
      <c r="B988" s="117" t="n"/>
      <c r="C988" s="117" t="n"/>
      <c r="D988" s="117" t="n"/>
      <c r="E988" s="118" t="n"/>
      <c r="F988" s="119" t="n"/>
      <c r="G988" s="120" t="n"/>
      <c r="H988" s="123" t="n"/>
      <c r="I988" s="123" t="n"/>
    </row>
    <row r="989" ht="15" customHeight="1" s="72">
      <c r="A989" s="117" t="n"/>
      <c r="B989" s="117" t="n"/>
      <c r="C989" s="117" t="n"/>
      <c r="D989" s="117" t="n"/>
      <c r="E989" s="118" t="n"/>
      <c r="F989" s="119" t="n"/>
      <c r="G989" s="120" t="n"/>
      <c r="H989" s="123" t="n"/>
      <c r="I989" s="123" t="n"/>
    </row>
    <row r="990" ht="15" customHeight="1" s="72">
      <c r="A990" s="117" t="n"/>
      <c r="B990" s="117" t="n"/>
      <c r="C990" s="117" t="n"/>
      <c r="D990" s="117" t="n"/>
      <c r="E990" s="118" t="n"/>
      <c r="F990" s="119" t="n"/>
      <c r="G990" s="120" t="n"/>
      <c r="H990" s="123" t="n"/>
      <c r="I990" s="123" t="n"/>
    </row>
    <row r="991" ht="15" customHeight="1" s="72">
      <c r="A991" s="117" t="n"/>
      <c r="B991" s="117" t="n"/>
      <c r="C991" s="117" t="n"/>
      <c r="D991" s="117" t="n"/>
      <c r="E991" s="118" t="n"/>
      <c r="F991" s="119" t="n"/>
      <c r="G991" s="120" t="n"/>
      <c r="H991" s="123" t="n"/>
      <c r="I991" s="123" t="n"/>
    </row>
    <row r="992" ht="15" customHeight="1" s="72">
      <c r="A992" s="117" t="n"/>
      <c r="B992" s="117" t="n"/>
      <c r="C992" s="117" t="n"/>
      <c r="D992" s="117" t="n"/>
      <c r="E992" s="118" t="n"/>
      <c r="F992" s="119" t="n"/>
      <c r="G992" s="120" t="n"/>
      <c r="H992" s="123" t="n"/>
      <c r="I992" s="123" t="n"/>
    </row>
    <row r="993" ht="15" customHeight="1" s="72">
      <c r="A993" s="117" t="n"/>
      <c r="B993" s="117" t="n"/>
      <c r="C993" s="117" t="n"/>
      <c r="D993" s="117" t="n"/>
      <c r="E993" s="118" t="n"/>
      <c r="F993" s="119" t="n"/>
      <c r="G993" s="120" t="n"/>
      <c r="H993" s="123" t="n"/>
      <c r="I993" s="123" t="n"/>
    </row>
    <row r="994" ht="15" customHeight="1" s="72">
      <c r="A994" s="117" t="n"/>
      <c r="B994" s="117" t="n"/>
      <c r="C994" s="117" t="n"/>
      <c r="D994" s="117" t="n"/>
      <c r="E994" s="118" t="n"/>
      <c r="F994" s="119" t="n"/>
      <c r="G994" s="120" t="n"/>
      <c r="H994" s="123" t="n"/>
      <c r="I994" s="123" t="n"/>
    </row>
    <row r="995" ht="15" customHeight="1" s="72">
      <c r="A995" s="117" t="n"/>
      <c r="B995" s="117" t="n"/>
      <c r="C995" s="117" t="n"/>
      <c r="D995" s="117" t="n"/>
      <c r="E995" s="118" t="n"/>
      <c r="F995" s="119" t="n"/>
      <c r="G995" s="120" t="n"/>
      <c r="H995" s="123" t="n"/>
      <c r="I995" s="123" t="n"/>
    </row>
    <row r="996" ht="15" customHeight="1" s="72">
      <c r="A996" s="117" t="n"/>
      <c r="B996" s="117" t="n"/>
      <c r="C996" s="117" t="n"/>
      <c r="D996" s="117" t="n"/>
      <c r="E996" s="118" t="n"/>
      <c r="F996" s="119" t="n"/>
      <c r="G996" s="120" t="n"/>
      <c r="H996" s="123" t="n"/>
      <c r="I996" s="123" t="n"/>
    </row>
    <row r="997" ht="15" customHeight="1" s="72">
      <c r="A997" s="117" t="n"/>
      <c r="B997" s="117" t="n"/>
      <c r="C997" s="117" t="n"/>
      <c r="D997" s="117" t="n"/>
      <c r="E997" s="118" t="n"/>
      <c r="F997" s="119" t="n"/>
      <c r="G997" s="120" t="n"/>
      <c r="H997" s="123" t="n"/>
      <c r="I997" s="123" t="n"/>
    </row>
    <row r="998" ht="15" customHeight="1" s="72">
      <c r="A998" s="117" t="n"/>
      <c r="B998" s="117" t="n"/>
      <c r="C998" s="117" t="n"/>
      <c r="D998" s="117" t="n"/>
      <c r="E998" s="118" t="n"/>
      <c r="F998" s="119" t="n"/>
      <c r="G998" s="120" t="n"/>
      <c r="H998" s="123" t="n"/>
      <c r="I998" s="123" t="n"/>
    </row>
    <row r="999" ht="15" customHeight="1" s="72">
      <c r="A999" s="117" t="n"/>
      <c r="B999" s="117" t="n"/>
      <c r="C999" s="117" t="n"/>
      <c r="D999" s="117" t="n"/>
      <c r="E999" s="118" t="n"/>
      <c r="F999" s="119" t="n"/>
      <c r="G999" s="120" t="n"/>
      <c r="H999" s="123" t="n"/>
      <c r="I999" s="123" t="n"/>
    </row>
    <row r="1000" ht="15" customHeight="1" s="72">
      <c r="A1000" s="117" t="n"/>
      <c r="B1000" s="117" t="n"/>
      <c r="C1000" s="117" t="n"/>
      <c r="D1000" s="117" t="n"/>
      <c r="E1000" s="118" t="n"/>
      <c r="F1000" s="119" t="n"/>
      <c r="G1000" s="120" t="n"/>
      <c r="H1000" s="123" t="n"/>
      <c r="I1000" s="123" t="n"/>
    </row>
    <row r="1001" ht="15" customHeight="1" s="72">
      <c r="A1001" s="117" t="n"/>
      <c r="B1001" s="117" t="n"/>
      <c r="C1001" s="117" t="n"/>
      <c r="D1001" s="117" t="n"/>
      <c r="E1001" s="118" t="n"/>
      <c r="F1001" s="119" t="n"/>
      <c r="G1001" s="120" t="n"/>
      <c r="H1001" s="123" t="n"/>
      <c r="I1001" s="123" t="n"/>
    </row>
    <row r="1002" ht="15" customHeight="1" s="72">
      <c r="A1002" s="117" t="n"/>
      <c r="B1002" s="117" t="n"/>
      <c r="C1002" s="117" t="n"/>
      <c r="D1002" s="117" t="n"/>
      <c r="E1002" s="118" t="n"/>
      <c r="F1002" s="119" t="n"/>
      <c r="G1002" s="120" t="n"/>
      <c r="H1002" s="123" t="n"/>
      <c r="I1002" s="123" t="n"/>
    </row>
    <row r="1003" ht="15" customHeight="1" s="72">
      <c r="A1003" s="117" t="n"/>
      <c r="B1003" s="117" t="n"/>
      <c r="C1003" s="117" t="n"/>
      <c r="D1003" s="117" t="n"/>
      <c r="E1003" s="118" t="n"/>
      <c r="F1003" s="119" t="n"/>
      <c r="G1003" s="120" t="n"/>
      <c r="H1003" s="123" t="n"/>
      <c r="I1003" s="123" t="n"/>
    </row>
    <row r="1004" ht="15" customHeight="1" s="72">
      <c r="A1004" s="117" t="n"/>
      <c r="B1004" s="117" t="n"/>
      <c r="C1004" s="117" t="n"/>
      <c r="D1004" s="117" t="n"/>
      <c r="E1004" s="117" t="n"/>
      <c r="F1004" s="117" t="n"/>
    </row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4">
    <dataValidation sqref="C6:C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D6:D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E6:E1004" showDropDown="0" showInputMessage="1" showErrorMessage="1" allowBlank="1" errorTitle="Geçersiz miktar" error="0 veya daha büyük olmalı." promptTitle="Miktar" prompt="Reçetedeki hammadde miktarını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ile 1.000.000 arasında olmalı." promptTitle="Birim Maliyet" prompt="Hammadde birim maliyetini TL olarak girin." type="decimal" errorStyle="stop" operator="between">
      <formula1>0</formula1>
      <formula2>1000000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8" min="1" max="1"/>
    <col width="8" customWidth="1" style="98" min="2" max="2"/>
    <col width="15" customWidth="1" style="98" min="3" max="3"/>
    <col width="10" customWidth="1" style="98" min="4" max="4"/>
    <col width="15" customWidth="1" style="98" min="5" max="5"/>
    <col width="13" customWidth="1" style="98" min="6" max="6"/>
    <col width="15" customWidth="1" style="98" min="7" max="7"/>
    <col width="14" customWidth="1" style="98" min="8" max="8"/>
    <col width="17" customWidth="1" style="98" min="9" max="9"/>
    <col width="11" customWidth="1" style="98" min="10" max="10"/>
    <col width="16" customWidth="1" style="98" min="11" max="11"/>
    <col width="52" customWidth="1" style="98" min="12" max="12"/>
  </cols>
  <sheetData>
    <row r="1" ht="25.5" customHeight="1" s="72">
      <c r="A1" s="99" t="inlineStr">
        <is>
          <t>STOK — Mutfak Kayıp/Kaçak Hesaplayıcı</t>
        </is>
      </c>
    </row>
    <row r="3" ht="30" customHeight="1" s="72">
      <c r="A3" s="110" t="inlineStr">
        <is>
          <t>Hammadde Stok Hareketi</t>
        </is>
      </c>
    </row>
    <row r="4" ht="95.25" customHeight="1" s="72">
      <c r="A4" s="101" t="inlineStr">
        <is>
          <t>Dönem başı stok, alım ve dönem sonu stok girin; fiili tüketim ve kayıp/kaçak otomatik hesaplanır.</t>
        </is>
      </c>
    </row>
    <row r="5" ht="30" customHeight="1" s="72">
      <c r="A5" s="111" t="inlineStr">
        <is>
          <t>Hammadde</t>
        </is>
      </c>
      <c r="B5" s="111" t="inlineStr">
        <is>
          <t>Birim</t>
        </is>
      </c>
      <c r="C5" s="111" t="inlineStr">
        <is>
          <t>Dönem Başı Stok</t>
        </is>
      </c>
      <c r="D5" s="111" t="inlineStr">
        <is>
          <t>Alım</t>
        </is>
      </c>
      <c r="E5" s="111" t="inlineStr">
        <is>
          <t>Dönem Sonu Stok</t>
        </is>
      </c>
      <c r="F5" s="111" t="inlineStr">
        <is>
          <t>Fiili Tüketim</t>
        </is>
      </c>
      <c r="G5" s="111" t="inlineStr">
        <is>
          <t>Birim Maliyet (TL)</t>
        </is>
      </c>
      <c r="H5" s="111" t="inlineStr">
        <is>
          <t>Teorik Tüketim</t>
        </is>
      </c>
      <c r="I5" s="111" t="inlineStr">
        <is>
          <t>Kayıp/Kaçak (Miktar)</t>
        </is>
      </c>
      <c r="J5" s="111" t="inlineStr">
        <is>
          <t>Kayıp Oranı</t>
        </is>
      </c>
      <c r="K5" s="111" t="inlineStr">
        <is>
          <t>Kayıp Tutarı (TL)</t>
        </is>
      </c>
      <c r="L5" s="111" t="inlineStr">
        <is>
          <t>Açıklama</t>
        </is>
      </c>
    </row>
    <row r="6" ht="15" customHeight="1" s="72">
      <c r="A6" s="112" t="inlineStr">
        <is>
          <t>Un</t>
        </is>
      </c>
      <c r="B6" s="112" t="inlineStr">
        <is>
          <t>kg</t>
        </is>
      </c>
      <c r="C6" s="113" t="n">
        <v>120</v>
      </c>
      <c r="D6" s="113" t="n">
        <v>90</v>
      </c>
      <c r="E6" s="113" t="n">
        <v>135</v>
      </c>
      <c r="F6" s="122">
        <f>IF($A6="","",MAX(0,$C6+$D6-$E6))</f>
        <v/>
      </c>
      <c r="G6" s="114" t="n">
        <v>18</v>
      </c>
      <c r="H6" s="122">
        <f>IF($A6="","",SUMIFS(tblRecete[Teorik Tüketim],tblRecete[Hammadde],$A6))</f>
        <v/>
      </c>
      <c r="I6" s="122">
        <f>IF($A6="","",MAX(0,$F6-$H6))</f>
        <v/>
      </c>
      <c r="J6" s="124">
        <f>IF($A6="","",IF($H6=0,0,$I6/$H6))</f>
        <v/>
      </c>
      <c r="K6" s="115">
        <f>IF($A6="","",$I6*$G6)</f>
        <v/>
      </c>
      <c r="L6" s="116">
        <f>IF($A6="","",CONCATENATE("Hammadde: ",$A6," | Kayıp: ",TEXT($K6,"₺ #,##0")," | Oran: ",TEXT($J6,"0,0%")))</f>
        <v/>
      </c>
    </row>
    <row r="7" ht="15" customHeight="1" s="72">
      <c r="A7" s="112" t="inlineStr">
        <is>
          <t>Tereyağı</t>
        </is>
      </c>
      <c r="B7" s="112" t="inlineStr">
        <is>
          <t>kg</t>
        </is>
      </c>
      <c r="C7" s="113" t="n">
        <v>18</v>
      </c>
      <c r="D7" s="113" t="n">
        <v>14</v>
      </c>
      <c r="E7" s="113" t="n">
        <v>12</v>
      </c>
      <c r="F7" s="122">
        <f>IF($A7="","",MAX(0,$C7+$D7-$E7))</f>
        <v/>
      </c>
      <c r="G7" s="114" t="n">
        <v>120</v>
      </c>
      <c r="H7" s="122">
        <f>IF($A7="","",SUMIFS(tblRecete[Teorik Tüketim],tblRecete[Hammadde],$A7))</f>
        <v/>
      </c>
      <c r="I7" s="122">
        <f>IF($A7="","",MAX(0,$F7-$H7))</f>
        <v/>
      </c>
      <c r="J7" s="124">
        <f>IF($A7="","",IF($H7=0,0,$I7/$H7))</f>
        <v/>
      </c>
      <c r="K7" s="115">
        <f>IF($A7="","",$I7*$G7)</f>
        <v/>
      </c>
      <c r="L7" s="116">
        <f>IF($A7="","",CONCATENATE("Hammadde: ",$A7," | Kayıp: ",TEXT($K7,"₺ #,##0")," | Oran: ",TEXT($J7,"0,0%")))</f>
        <v/>
      </c>
    </row>
    <row r="8" ht="15" customHeight="1" s="72">
      <c r="A8" s="112" t="inlineStr">
        <is>
          <t>Peynir</t>
        </is>
      </c>
      <c r="B8" s="112" t="inlineStr">
        <is>
          <t>kg</t>
        </is>
      </c>
      <c r="C8" s="113" t="n">
        <v>30</v>
      </c>
      <c r="D8" s="113" t="n">
        <v>25</v>
      </c>
      <c r="E8" s="113" t="n">
        <v>20</v>
      </c>
      <c r="F8" s="122">
        <f>IF($A8="","",MAX(0,$C8+$D8-$E8))</f>
        <v/>
      </c>
      <c r="G8" s="114" t="n">
        <v>160</v>
      </c>
      <c r="H8" s="122">
        <f>IF($A8="","",SUMIFS(tblRecete[Teorik Tüketim],tblRecete[Hammadde],$A8))</f>
        <v/>
      </c>
      <c r="I8" s="122">
        <f>IF($A8="","",MAX(0,$F8-$H8))</f>
        <v/>
      </c>
      <c r="J8" s="124">
        <f>IF($A8="","",IF($H8=0,0,$I8/$H8))</f>
        <v/>
      </c>
      <c r="K8" s="115">
        <f>IF($A8="","",$I8*$G8)</f>
        <v/>
      </c>
      <c r="L8" s="116">
        <f>IF($A8="","",CONCATENATE("Hammadde: ",$A8," | Kayıp: ",TEXT($K8,"₺ #,##0")," | Oran: ",TEXT($J8,"0,0%")))</f>
        <v/>
      </c>
    </row>
    <row r="9" ht="15" customHeight="1" s="72">
      <c r="A9" s="112" t="inlineStr">
        <is>
          <t>Yumurta</t>
        </is>
      </c>
      <c r="B9" s="112" t="inlineStr">
        <is>
          <t>adet</t>
        </is>
      </c>
      <c r="C9" s="113" t="n">
        <v>400</v>
      </c>
      <c r="D9" s="113" t="n">
        <v>300</v>
      </c>
      <c r="E9" s="113" t="n">
        <v>350</v>
      </c>
      <c r="F9" s="122">
        <f>IF($A9="","",MAX(0,$C9+$D9-$E9))</f>
        <v/>
      </c>
      <c r="G9" s="114" t="n">
        <v>6</v>
      </c>
      <c r="H9" s="122">
        <f>IF($A9="","",SUMIFS(tblRecete[Teorik Tüketim],tblRecete[Hammadde],$A9))</f>
        <v/>
      </c>
      <c r="I9" s="122">
        <f>IF($A9="","",MAX(0,$F9-$H9))</f>
        <v/>
      </c>
      <c r="J9" s="124">
        <f>IF($A9="","",IF($H9=0,0,$I9/$H9))</f>
        <v/>
      </c>
      <c r="K9" s="115">
        <f>IF($A9="","",$I9*$G9)</f>
        <v/>
      </c>
      <c r="L9" s="116">
        <f>IF($A9="","",CONCATENATE("Hammadde: ",$A9," | Kayıp: ",TEXT($K9,"₺ #,##0")," | Oran: ",TEXT($J9,"0,0%")))</f>
        <v/>
      </c>
    </row>
    <row r="10" ht="15" customHeight="1" s="72">
      <c r="A10" s="112" t="inlineStr">
        <is>
          <t>Et</t>
        </is>
      </c>
      <c r="B10" s="112" t="inlineStr">
        <is>
          <t>kg</t>
        </is>
      </c>
      <c r="C10" s="113" t="n">
        <v>60</v>
      </c>
      <c r="D10" s="113" t="n">
        <v>55</v>
      </c>
      <c r="E10" s="113" t="n">
        <v>40</v>
      </c>
      <c r="F10" s="122">
        <f>IF($A10="","",MAX(0,$C10+$D10-$E10))</f>
        <v/>
      </c>
      <c r="G10" s="114" t="n">
        <v>320</v>
      </c>
      <c r="H10" s="122">
        <f>IF($A10="","",SUMIFS(tblRecete[Teorik Tüketim],tblRecete[Hammadde],$A10))</f>
        <v/>
      </c>
      <c r="I10" s="122">
        <f>IF($A10="","",MAX(0,$F10-$H10))</f>
        <v/>
      </c>
      <c r="J10" s="124">
        <f>IF($A10="","",IF($H10=0,0,$I10/$H10))</f>
        <v/>
      </c>
      <c r="K10" s="115">
        <f>IF($A10="","",$I10*$G10)</f>
        <v/>
      </c>
      <c r="L10" s="116">
        <f>IF($A10="","",CONCATENATE("Hammadde: ",$A10," | Kayıp: ",TEXT($K10,"₺ #,##0")," | Oran: ",TEXT($J10,"0,0%")))</f>
        <v/>
      </c>
    </row>
    <row r="11" ht="15" customHeight="1" s="72">
      <c r="A11" s="112" t="inlineStr">
        <is>
          <t>Domates</t>
        </is>
      </c>
      <c r="B11" s="112" t="inlineStr">
        <is>
          <t>kg</t>
        </is>
      </c>
      <c r="C11" s="113" t="n">
        <v>45</v>
      </c>
      <c r="D11" s="113" t="n">
        <v>40</v>
      </c>
      <c r="E11" s="113" t="n">
        <v>30</v>
      </c>
      <c r="F11" s="122">
        <f>IF($A11="","",MAX(0,$C11+$D11-$E11))</f>
        <v/>
      </c>
      <c r="G11" s="114" t="n">
        <v>35</v>
      </c>
      <c r="H11" s="122">
        <f>IF($A11="","",SUMIFS(tblRecete[Teorik Tüketim],tblRecete[Hammadde],$A11))</f>
        <v/>
      </c>
      <c r="I11" s="122">
        <f>IF($A11="","",MAX(0,$F11-$H11))</f>
        <v/>
      </c>
      <c r="J11" s="124">
        <f>IF($A11="","",IF($H11=0,0,$I11/$H11))</f>
        <v/>
      </c>
      <c r="K11" s="115">
        <f>IF($A11="","",$I11*$G11)</f>
        <v/>
      </c>
      <c r="L11" s="116">
        <f>IF($A11="","",CONCATENATE("Hammadde: ",$A11," | Kayıp: ",TEXT($K11,"₺ #,##0")," | Oran: ",TEXT($J11,"0,0%")))</f>
        <v/>
      </c>
    </row>
    <row r="12" ht="15" customHeight="1" s="72">
      <c r="A12" s="112" t="inlineStr">
        <is>
          <t>Salça</t>
        </is>
      </c>
      <c r="B12" s="112" t="inlineStr">
        <is>
          <t>kg</t>
        </is>
      </c>
      <c r="C12" s="113" t="n">
        <v>12</v>
      </c>
      <c r="D12" s="113" t="n">
        <v>10</v>
      </c>
      <c r="E12" s="113" t="n">
        <v>8</v>
      </c>
      <c r="F12" s="122">
        <f>IF($A12="","",MAX(0,$C12+$D12-$E12))</f>
        <v/>
      </c>
      <c r="G12" s="114" t="n">
        <v>60</v>
      </c>
      <c r="H12" s="122">
        <f>IF($A12="","",SUMIFS(tblRecete[Teorik Tüketim],tblRecete[Hammadde],$A12))</f>
        <v/>
      </c>
      <c r="I12" s="122">
        <f>IF($A12="","",MAX(0,$F12-$H12))</f>
        <v/>
      </c>
      <c r="J12" s="124">
        <f>IF($A12="","",IF($H12=0,0,$I12/$H12))</f>
        <v/>
      </c>
      <c r="K12" s="115">
        <f>IF($A12="","",$I12*$G12)</f>
        <v/>
      </c>
      <c r="L12" s="116">
        <f>IF($A12="","",CONCATENATE("Hammadde: ",$A12," | Kayıp: ",TEXT($K12,"₺ #,##0")," | Oran: ",TEXT($J12,"0,0%")))</f>
        <v/>
      </c>
    </row>
    <row r="13" ht="15" customHeight="1" s="72">
      <c r="A13" s="112" t="inlineStr">
        <is>
          <t>Patates</t>
        </is>
      </c>
      <c r="B13" s="112" t="inlineStr">
        <is>
          <t>kg</t>
        </is>
      </c>
      <c r="C13" s="113" t="n">
        <v>100</v>
      </c>
      <c r="D13" s="113" t="n">
        <v>80</v>
      </c>
      <c r="E13" s="113" t="n">
        <v>70</v>
      </c>
      <c r="F13" s="122">
        <f>IF($A13="","",MAX(0,$C13+$D13-$E13))</f>
        <v/>
      </c>
      <c r="G13" s="114" t="n">
        <v>22</v>
      </c>
      <c r="H13" s="122">
        <f>IF($A13="","",SUMIFS(tblRecete[Teorik Tüketim],tblRecete[Hammadde],$A13))</f>
        <v/>
      </c>
      <c r="I13" s="122">
        <f>IF($A13="","",MAX(0,$F13-$H13))</f>
        <v/>
      </c>
      <c r="J13" s="124">
        <f>IF($A13="","",IF($H13=0,0,$I13/$H13))</f>
        <v/>
      </c>
      <c r="K13" s="115">
        <f>IF($A13="","",$I13*$G13)</f>
        <v/>
      </c>
      <c r="L13" s="116">
        <f>IF($A13="","",CONCATENATE("Hammadde: ",$A13," | Kayıp: ",TEXT($K13,"₺ #,##0")," | Oran: ",TEXT($J13,"0,0%")))</f>
        <v/>
      </c>
    </row>
    <row r="14" ht="15" customHeight="1" s="72">
      <c r="A14" s="117" t="n"/>
      <c r="B14" s="117" t="n"/>
      <c r="C14" s="118" t="n"/>
      <c r="D14" s="118" t="n"/>
      <c r="E14" s="118" t="n"/>
      <c r="F14" s="122">
        <f>IF($A14="","",MAX(0,$C14+$D14-$E14))</f>
        <v/>
      </c>
      <c r="G14" s="119" t="n"/>
      <c r="H14" s="122">
        <f>IF($A14="","",SUMIFS(tblRecete[Teorik Tüketim],tblRecete[Hammadde],$A14))</f>
        <v/>
      </c>
      <c r="I14" s="122">
        <f>IF($A14="","",MAX(0,$F14-$H14))</f>
        <v/>
      </c>
      <c r="J14" s="124">
        <f>IF($A14="","",IF($H14=0,0,$I14/$H14))</f>
        <v/>
      </c>
      <c r="K14" s="115">
        <f>IF($A14="","",$I14*$G14)</f>
        <v/>
      </c>
      <c r="L14" s="116">
        <f>IF($A14="","",CONCATENATE("Hammadde: ",$A14," | Kayıp: ",TEXT($K14,"₺ #,##0")," | Oran: ",TEXT($J14,"0,0%")))</f>
        <v/>
      </c>
    </row>
    <row r="15" ht="15" customHeight="1" s="72">
      <c r="A15" s="117" t="n"/>
      <c r="B15" s="117" t="n"/>
      <c r="C15" s="118" t="n"/>
      <c r="D15" s="118" t="n"/>
      <c r="E15" s="118" t="n"/>
      <c r="F15" s="122">
        <f>IF($A15="","",MAX(0,$C15+$D15-$E15))</f>
        <v/>
      </c>
      <c r="G15" s="119" t="n"/>
      <c r="H15" s="122">
        <f>IF($A15="","",SUMIFS(tblRecete[Teorik Tüketim],tblRecete[Hammadde],$A15))</f>
        <v/>
      </c>
      <c r="I15" s="122">
        <f>IF($A15="","",MAX(0,$F15-$H15))</f>
        <v/>
      </c>
      <c r="J15" s="124">
        <f>IF($A15="","",IF($H15=0,0,$I15/$H15))</f>
        <v/>
      </c>
      <c r="K15" s="115">
        <f>IF($A15="","",$I15*$G15)</f>
        <v/>
      </c>
      <c r="L15" s="116">
        <f>IF($A15="","",CONCATENATE("Hammadde: ",$A15," | Kayıp: ",TEXT($K15,"₺ #,##0")," | Oran: ",TEXT($J15,"0,0%")))</f>
        <v/>
      </c>
    </row>
    <row r="16" ht="15" customHeight="1" s="72">
      <c r="A16" s="117" t="n"/>
      <c r="B16" s="117" t="n"/>
      <c r="C16" s="118" t="n"/>
      <c r="D16" s="118" t="n"/>
      <c r="E16" s="118" t="n"/>
      <c r="F16" s="122">
        <f>IF($A16="","",MAX(0,$C16+$D16-$E16))</f>
        <v/>
      </c>
      <c r="G16" s="119" t="n"/>
      <c r="H16" s="122">
        <f>IF($A16="","",SUMIFS(tblRecete[Teorik Tüketim],tblRecete[Hammadde],$A16))</f>
        <v/>
      </c>
      <c r="I16" s="122">
        <f>IF($A16="","",MAX(0,$F16-$H16))</f>
        <v/>
      </c>
      <c r="J16" s="124">
        <f>IF($A16="","",IF($H16=0,0,$I16/$H16))</f>
        <v/>
      </c>
      <c r="K16" s="115">
        <f>IF($A16="","",$I16*$G16)</f>
        <v/>
      </c>
      <c r="L16" s="116">
        <f>IF($A16="","",CONCATENATE("Hammadde: ",$A16," | Kayıp: ",TEXT($K16,"₺ #,##0")," | Oran: ",TEXT($J16,"0,0%")))</f>
        <v/>
      </c>
    </row>
    <row r="17" ht="15" customHeight="1" s="72">
      <c r="A17" s="117" t="n"/>
      <c r="B17" s="117" t="n"/>
      <c r="C17" s="118" t="n"/>
      <c r="D17" s="118" t="n"/>
      <c r="E17" s="118" t="n"/>
      <c r="F17" s="122">
        <f>IF($A17="","",MAX(0,$C17+$D17-$E17))</f>
        <v/>
      </c>
      <c r="G17" s="119" t="n"/>
      <c r="H17" s="122">
        <f>IF($A17="","",SUMIFS(tblRecete[Teorik Tüketim],tblRecete[Hammadde],$A17))</f>
        <v/>
      </c>
      <c r="I17" s="122">
        <f>IF($A17="","",MAX(0,$F17-$H17))</f>
        <v/>
      </c>
      <c r="J17" s="124">
        <f>IF($A17="","",IF($H17=0,0,$I17/$H17))</f>
        <v/>
      </c>
      <c r="K17" s="115">
        <f>IF($A17="","",$I17*$G17)</f>
        <v/>
      </c>
      <c r="L17" s="116">
        <f>IF($A17="","",CONCATENATE("Hammadde: ",$A17," | Kayıp: ",TEXT($K17,"₺ #,##0")," | Oran: ",TEXT($J17,"0,0%")))</f>
        <v/>
      </c>
    </row>
    <row r="18" ht="15" customHeight="1" s="72">
      <c r="A18" s="117" t="n"/>
      <c r="B18" s="117" t="n"/>
      <c r="C18" s="118" t="n"/>
      <c r="D18" s="118" t="n"/>
      <c r="E18" s="118" t="n"/>
      <c r="F18" s="122">
        <f>IF($A18="","",MAX(0,$C18+$D18-$E18))</f>
        <v/>
      </c>
      <c r="G18" s="119" t="n"/>
      <c r="H18" s="122">
        <f>IF($A18="","",SUMIFS(tblRecete[Teorik Tüketim],tblRecete[Hammadde],$A18))</f>
        <v/>
      </c>
      <c r="I18" s="122">
        <f>IF($A18="","",MAX(0,$F18-$H18))</f>
        <v/>
      </c>
      <c r="J18" s="124">
        <f>IF($A18="","",IF($H18=0,0,$I18/$H18))</f>
        <v/>
      </c>
      <c r="K18" s="115">
        <f>IF($A18="","",$I18*$G18)</f>
        <v/>
      </c>
      <c r="L18" s="116">
        <f>IF($A18="","",CONCATENATE("Hammadde: ",$A18," | Kayıp: ",TEXT($K18,"₺ #,##0")," | Oran: ",TEXT($J18,"0,0%")))</f>
        <v/>
      </c>
    </row>
    <row r="19" ht="15" customHeight="1" s="72">
      <c r="A19" s="117" t="n"/>
      <c r="B19" s="117" t="n"/>
      <c r="C19" s="118" t="n"/>
      <c r="D19" s="118" t="n"/>
      <c r="E19" s="118" t="n"/>
      <c r="F19" s="122">
        <f>IF($A19="","",MAX(0,$C19+$D19-$E19))</f>
        <v/>
      </c>
      <c r="G19" s="119" t="n"/>
      <c r="H19" s="122">
        <f>IF($A19="","",SUMIFS(tblRecete[Teorik Tüketim],tblRecete[Hammadde],$A19))</f>
        <v/>
      </c>
      <c r="I19" s="122">
        <f>IF($A19="","",MAX(0,$F19-$H19))</f>
        <v/>
      </c>
      <c r="J19" s="124">
        <f>IF($A19="","",IF($H19=0,0,$I19/$H19))</f>
        <v/>
      </c>
      <c r="K19" s="115">
        <f>IF($A19="","",$I19*$G19)</f>
        <v/>
      </c>
      <c r="L19" s="116">
        <f>IF($A19="","",CONCATENATE("Hammadde: ",$A19," | Kayıp: ",TEXT($K19,"₺ #,##0")," | Oran: ",TEXT($J19,"0,0%")))</f>
        <v/>
      </c>
    </row>
    <row r="20" ht="15" customHeight="1" s="72">
      <c r="A20" s="117" t="n"/>
      <c r="B20" s="117" t="n"/>
      <c r="C20" s="118" t="n"/>
      <c r="D20" s="118" t="n"/>
      <c r="E20" s="118" t="n"/>
      <c r="F20" s="122">
        <f>IF($A20="","",MAX(0,$C20+$D20-$E20))</f>
        <v/>
      </c>
      <c r="G20" s="119" t="n"/>
      <c r="H20" s="122">
        <f>IF($A20="","",SUMIFS(tblRecete[Teorik Tüketim],tblRecete[Hammadde],$A20))</f>
        <v/>
      </c>
      <c r="I20" s="122">
        <f>IF($A20="","",MAX(0,$F20-$H20))</f>
        <v/>
      </c>
      <c r="J20" s="124">
        <f>IF($A20="","",IF($H20=0,0,$I20/$H20))</f>
        <v/>
      </c>
      <c r="K20" s="115">
        <f>IF($A20="","",$I20*$G20)</f>
        <v/>
      </c>
      <c r="L20" s="116">
        <f>IF($A20="","",CONCATENATE("Hammadde: ",$A20," | Kayıp: ",TEXT($K20,"₺ #,##0")," | Oran: ",TEXT($J20,"0,0%")))</f>
        <v/>
      </c>
    </row>
    <row r="21" ht="15" customHeight="1" s="72">
      <c r="A21" s="117" t="n"/>
      <c r="B21" s="117" t="n"/>
      <c r="C21" s="118" t="n"/>
      <c r="D21" s="118" t="n"/>
      <c r="E21" s="118" t="n"/>
      <c r="F21" s="122">
        <f>IF($A21="","",MAX(0,$C21+$D21-$E21))</f>
        <v/>
      </c>
      <c r="G21" s="119" t="n"/>
      <c r="H21" s="122">
        <f>IF($A21="","",SUMIFS(tblRecete[Teorik Tüketim],tblRecete[Hammadde],$A21))</f>
        <v/>
      </c>
      <c r="I21" s="122">
        <f>IF($A21="","",MAX(0,$F21-$H21))</f>
        <v/>
      </c>
      <c r="J21" s="124">
        <f>IF($A21="","",IF($H21=0,0,$I21/$H21))</f>
        <v/>
      </c>
      <c r="K21" s="115">
        <f>IF($A21="","",$I21*$G21)</f>
        <v/>
      </c>
      <c r="L21" s="116">
        <f>IF($A21="","",CONCATENATE("Hammadde: ",$A21," | Kayıp: ",TEXT($K21,"₺ #,##0")," | Oran: ",TEXT($J21,"0,0%")))</f>
        <v/>
      </c>
    </row>
    <row r="22" ht="15" customHeight="1" s="72">
      <c r="A22" s="117" t="n"/>
      <c r="B22" s="117" t="n"/>
      <c r="C22" s="118" t="n"/>
      <c r="D22" s="118" t="n"/>
      <c r="E22" s="118" t="n"/>
      <c r="F22" s="122">
        <f>IF($A22="","",MAX(0,$C22+$D22-$E22))</f>
        <v/>
      </c>
      <c r="G22" s="119" t="n"/>
      <c r="H22" s="122">
        <f>IF($A22="","",SUMIFS(tblRecete[Teorik Tüketim],tblRecete[Hammadde],$A22))</f>
        <v/>
      </c>
      <c r="I22" s="122">
        <f>IF($A22="","",MAX(0,$F22-$H22))</f>
        <v/>
      </c>
      <c r="J22" s="124">
        <f>IF($A22="","",IF($H22=0,0,$I22/$H22))</f>
        <v/>
      </c>
      <c r="K22" s="115">
        <f>IF($A22="","",$I22*$G22)</f>
        <v/>
      </c>
      <c r="L22" s="116">
        <f>IF($A22="","",CONCATENATE("Hammadde: ",$A22," | Kayıp: ",TEXT($K22,"₺ #,##0")," | Oran: ",TEXT($J22,"0,0%")))</f>
        <v/>
      </c>
    </row>
    <row r="23" ht="15" customHeight="1" s="72">
      <c r="A23" s="117" t="n"/>
      <c r="B23" s="117" t="n"/>
      <c r="C23" s="118" t="n"/>
      <c r="D23" s="118" t="n"/>
      <c r="E23" s="118" t="n"/>
      <c r="F23" s="122">
        <f>IF($A23="","",MAX(0,$C23+$D23-$E23))</f>
        <v/>
      </c>
      <c r="G23" s="119" t="n"/>
      <c r="H23" s="122">
        <f>IF($A23="","",SUMIFS(tblRecete[Teorik Tüketim],tblRecete[Hammadde],$A23))</f>
        <v/>
      </c>
      <c r="I23" s="122">
        <f>IF($A23="","",MAX(0,$F23-$H23))</f>
        <v/>
      </c>
      <c r="J23" s="124">
        <f>IF($A23="","",IF($H23=0,0,$I23/$H23))</f>
        <v/>
      </c>
      <c r="K23" s="115">
        <f>IF($A23="","",$I23*$G23)</f>
        <v/>
      </c>
      <c r="L23" s="116">
        <f>IF($A23="","",CONCATENATE("Hammadde: ",$A23," | Kayıp: ",TEXT($K23,"₺ #,##0")," | Oran: ",TEXT($J23,"0,0%")))</f>
        <v/>
      </c>
    </row>
    <row r="24" ht="15" customHeight="1" s="72">
      <c r="A24" s="117" t="n"/>
      <c r="B24" s="117" t="n"/>
      <c r="C24" s="118" t="n"/>
      <c r="D24" s="118" t="n"/>
      <c r="E24" s="118" t="n"/>
      <c r="F24" s="122">
        <f>IF($A24="","",MAX(0,$C24+$D24-$E24))</f>
        <v/>
      </c>
      <c r="G24" s="119" t="n"/>
      <c r="H24" s="122">
        <f>IF($A24="","",SUMIFS(tblRecete[Teorik Tüketim],tblRecete[Hammadde],$A24))</f>
        <v/>
      </c>
      <c r="I24" s="122">
        <f>IF($A24="","",MAX(0,$F24-$H24))</f>
        <v/>
      </c>
      <c r="J24" s="124">
        <f>IF($A24="","",IF($H24=0,0,$I24/$H24))</f>
        <v/>
      </c>
      <c r="K24" s="115">
        <f>IF($A24="","",$I24*$G24)</f>
        <v/>
      </c>
      <c r="L24" s="116">
        <f>IF($A24="","",CONCATENATE("Hammadde: ",$A24," | Kayıp: ",TEXT($K24,"₺ #,##0")," | Oran: ",TEXT($J24,"0,0%")))</f>
        <v/>
      </c>
    </row>
    <row r="25" ht="15" customHeight="1" s="72">
      <c r="A25" s="117" t="n"/>
      <c r="B25" s="117" t="n"/>
      <c r="C25" s="118" t="n"/>
      <c r="D25" s="118" t="n"/>
      <c r="E25" s="118" t="n"/>
      <c r="F25" s="122">
        <f>IF($A25="","",MAX(0,$C25+$D25-$E25))</f>
        <v/>
      </c>
      <c r="G25" s="119" t="n"/>
      <c r="H25" s="122">
        <f>IF($A25="","",SUMIFS(tblRecete[Teorik Tüketim],tblRecete[Hammadde],$A25))</f>
        <v/>
      </c>
      <c r="I25" s="122">
        <f>IF($A25="","",MAX(0,$F25-$H25))</f>
        <v/>
      </c>
      <c r="J25" s="124">
        <f>IF($A25="","",IF($H25=0,0,$I25/$H25))</f>
        <v/>
      </c>
      <c r="K25" s="115">
        <f>IF($A25="","",$I25*$G25)</f>
        <v/>
      </c>
      <c r="L25" s="116">
        <f>IF($A25="","",CONCATENATE("Hammadde: ",$A25," | Kayıp: ",TEXT($K25,"₺ #,##0")," | Oran: ",TEXT($J25,"0,0%")))</f>
        <v/>
      </c>
    </row>
    <row r="26" ht="15" customHeight="1" s="72">
      <c r="A26" s="117" t="n"/>
      <c r="B26" s="117" t="n"/>
      <c r="C26" s="118" t="n"/>
      <c r="D26" s="118" t="n"/>
      <c r="E26" s="118" t="n"/>
      <c r="F26" s="122">
        <f>IF($A26="","",MAX(0,$C26+$D26-$E26))</f>
        <v/>
      </c>
      <c r="G26" s="119" t="n"/>
      <c r="H26" s="122">
        <f>IF($A26="","",SUMIFS(tblRecete[Teorik Tüketim],tblRecete[Hammadde],$A26))</f>
        <v/>
      </c>
      <c r="I26" s="122">
        <f>IF($A26="","",MAX(0,$F26-$H26))</f>
        <v/>
      </c>
      <c r="J26" s="124">
        <f>IF($A26="","",IF($H26=0,0,$I26/$H26))</f>
        <v/>
      </c>
      <c r="K26" s="115">
        <f>IF($A26="","",$I26*$G26)</f>
        <v/>
      </c>
      <c r="L26" s="116">
        <f>IF($A26="","",CONCATENATE("Hammadde: ",$A26," | Kayıp: ",TEXT($K26,"₺ #,##0")," | Oran: ",TEXT($J26,"0,0%")))</f>
        <v/>
      </c>
    </row>
    <row r="27" ht="15" customHeight="1" s="72">
      <c r="A27" s="117" t="n"/>
      <c r="B27" s="117" t="n"/>
      <c r="C27" s="118" t="n"/>
      <c r="D27" s="118" t="n"/>
      <c r="E27" s="118" t="n"/>
      <c r="F27" s="122">
        <f>IF($A27="","",MAX(0,$C27+$D27-$E27))</f>
        <v/>
      </c>
      <c r="G27" s="119" t="n"/>
      <c r="H27" s="122">
        <f>IF($A27="","",SUMIFS(tblRecete[Teorik Tüketim],tblRecete[Hammadde],$A27))</f>
        <v/>
      </c>
      <c r="I27" s="122">
        <f>IF($A27="","",MAX(0,$F27-$H27))</f>
        <v/>
      </c>
      <c r="J27" s="124">
        <f>IF($A27="","",IF($H27=0,0,$I27/$H27))</f>
        <v/>
      </c>
      <c r="K27" s="115">
        <f>IF($A27="","",$I27*$G27)</f>
        <v/>
      </c>
      <c r="L27" s="116">
        <f>IF($A27="","",CONCATENATE("Hammadde: ",$A27," | Kayıp: ",TEXT($K27,"₺ #,##0")," | Oran: ",TEXT($J27,"0,0%")))</f>
        <v/>
      </c>
    </row>
    <row r="28" ht="15" customHeight="1" s="72">
      <c r="A28" s="117" t="n"/>
      <c r="B28" s="117" t="n"/>
      <c r="C28" s="118" t="n"/>
      <c r="D28" s="118" t="n"/>
      <c r="E28" s="118" t="n"/>
      <c r="F28" s="122">
        <f>IF($A28="","",MAX(0,$C28+$D28-$E28))</f>
        <v/>
      </c>
      <c r="G28" s="119" t="n"/>
      <c r="H28" s="122">
        <f>IF($A28="","",SUMIFS(tblRecete[Teorik Tüketim],tblRecete[Hammadde],$A28))</f>
        <v/>
      </c>
      <c r="I28" s="122">
        <f>IF($A28="","",MAX(0,$F28-$H28))</f>
        <v/>
      </c>
      <c r="J28" s="124">
        <f>IF($A28="","",IF($H28=0,0,$I28/$H28))</f>
        <v/>
      </c>
      <c r="K28" s="115">
        <f>IF($A28="","",$I28*$G28)</f>
        <v/>
      </c>
      <c r="L28" s="116">
        <f>IF($A28="","",CONCATENATE("Hammadde: ",$A28," | Kayıp: ",TEXT($K28,"₺ #,##0")," | Oran: ",TEXT($J28,"0,0%")))</f>
        <v/>
      </c>
    </row>
    <row r="29" ht="15" customHeight="1" s="72">
      <c r="A29" s="117" t="n"/>
      <c r="B29" s="117" t="n"/>
      <c r="C29" s="118" t="n"/>
      <c r="D29" s="118" t="n"/>
      <c r="E29" s="118" t="n"/>
      <c r="F29" s="122">
        <f>IF($A29="","",MAX(0,$C29+$D29-$E29))</f>
        <v/>
      </c>
      <c r="G29" s="119" t="n"/>
      <c r="H29" s="122">
        <f>IF($A29="","",SUMIFS(tblRecete[Teorik Tüketim],tblRecete[Hammadde],$A29))</f>
        <v/>
      </c>
      <c r="I29" s="122">
        <f>IF($A29="","",MAX(0,$F29-$H29))</f>
        <v/>
      </c>
      <c r="J29" s="124">
        <f>IF($A29="","",IF($H29=0,0,$I29/$H29))</f>
        <v/>
      </c>
      <c r="K29" s="115">
        <f>IF($A29="","",$I29*$G29)</f>
        <v/>
      </c>
      <c r="L29" s="116">
        <f>IF($A29="","",CONCATENATE("Hammadde: ",$A29," | Kayıp: ",TEXT($K29,"₺ #,##0")," | Oran: ",TEXT($J29,"0,0%")))</f>
        <v/>
      </c>
    </row>
    <row r="30" ht="15" customHeight="1" s="72">
      <c r="A30" s="117" t="n"/>
      <c r="B30" s="117" t="n"/>
      <c r="C30" s="118" t="n"/>
      <c r="D30" s="118" t="n"/>
      <c r="E30" s="118" t="n"/>
      <c r="F30" s="122">
        <f>IF($A30="","",MAX(0,$C30+$D30-$E30))</f>
        <v/>
      </c>
      <c r="G30" s="119" t="n"/>
      <c r="H30" s="122">
        <f>IF($A30="","",SUMIFS(tblRecete[Teorik Tüketim],tblRecete[Hammadde],$A30))</f>
        <v/>
      </c>
      <c r="I30" s="122">
        <f>IF($A30="","",MAX(0,$F30-$H30))</f>
        <v/>
      </c>
      <c r="J30" s="124">
        <f>IF($A30="","",IF($H30=0,0,$I30/$H30))</f>
        <v/>
      </c>
      <c r="K30" s="115">
        <f>IF($A30="","",$I30*$G30)</f>
        <v/>
      </c>
      <c r="L30" s="116">
        <f>IF($A30="","",CONCATENATE("Hammadde: ",$A30," | Kayıp: ",TEXT($K30,"₺ #,##0")," | Oran: ",TEXT($J30,"0,0%")))</f>
        <v/>
      </c>
    </row>
    <row r="31" ht="15" customHeight="1" s="72">
      <c r="A31" s="117" t="n"/>
      <c r="B31" s="117" t="n"/>
      <c r="C31" s="118" t="n"/>
      <c r="D31" s="118" t="n"/>
      <c r="E31" s="118" t="n"/>
      <c r="F31" s="122">
        <f>IF($A31="","",MAX(0,$C31+$D31-$E31))</f>
        <v/>
      </c>
      <c r="G31" s="119" t="n"/>
      <c r="H31" s="122">
        <f>IF($A31="","",SUMIFS(tblRecete[Teorik Tüketim],tblRecete[Hammadde],$A31))</f>
        <v/>
      </c>
      <c r="I31" s="122">
        <f>IF($A31="","",MAX(0,$F31-$H31))</f>
        <v/>
      </c>
      <c r="J31" s="124">
        <f>IF($A31="","",IF($H31=0,0,$I31/$H31))</f>
        <v/>
      </c>
      <c r="K31" s="115">
        <f>IF($A31="","",$I31*$G31)</f>
        <v/>
      </c>
      <c r="L31" s="116">
        <f>IF($A31="","",CONCATENATE("Hammadde: ",$A31," | Kayıp: ",TEXT($K31,"₺ #,##0")," | Oran: ",TEXT($J31,"0,0%")))</f>
        <v/>
      </c>
    </row>
    <row r="32" ht="15" customHeight="1" s="72">
      <c r="A32" s="117" t="n"/>
      <c r="B32" s="117" t="n"/>
      <c r="C32" s="118" t="n"/>
      <c r="D32" s="118" t="n"/>
      <c r="E32" s="118" t="n"/>
      <c r="F32" s="122">
        <f>IF($A32="","",MAX(0,$C32+$D32-$E32))</f>
        <v/>
      </c>
      <c r="G32" s="119" t="n"/>
      <c r="H32" s="122">
        <f>IF($A32="","",SUMIFS(tblRecete[Teorik Tüketim],tblRecete[Hammadde],$A32))</f>
        <v/>
      </c>
      <c r="I32" s="122">
        <f>IF($A32="","",MAX(0,$F32-$H32))</f>
        <v/>
      </c>
      <c r="J32" s="124">
        <f>IF($A32="","",IF($H32=0,0,$I32/$H32))</f>
        <v/>
      </c>
      <c r="K32" s="115">
        <f>IF($A32="","",$I32*$G32)</f>
        <v/>
      </c>
      <c r="L32" s="116">
        <f>IF($A32="","",CONCATENATE("Hammadde: ",$A32," | Kayıp: ",TEXT($K32,"₺ #,##0")," | Oran: ",TEXT($J32,"0,0%")))</f>
        <v/>
      </c>
    </row>
    <row r="33" ht="15" customHeight="1" s="72">
      <c r="A33" s="117" t="n"/>
      <c r="B33" s="117" t="n"/>
      <c r="C33" s="118" t="n"/>
      <c r="D33" s="118" t="n"/>
      <c r="E33" s="118" t="n"/>
      <c r="F33" s="122">
        <f>IF($A33="","",MAX(0,$C33+$D33-$E33))</f>
        <v/>
      </c>
      <c r="G33" s="119" t="n"/>
      <c r="H33" s="122">
        <f>IF($A33="","",SUMIFS(tblRecete[Teorik Tüketim],tblRecete[Hammadde],$A33))</f>
        <v/>
      </c>
      <c r="I33" s="122">
        <f>IF($A33="","",MAX(0,$F33-$H33))</f>
        <v/>
      </c>
      <c r="J33" s="124">
        <f>IF($A33="","",IF($H33=0,0,$I33/$H33))</f>
        <v/>
      </c>
      <c r="K33" s="115">
        <f>IF($A33="","",$I33*$G33)</f>
        <v/>
      </c>
      <c r="L33" s="116">
        <f>IF($A33="","",CONCATENATE("Hammadde: ",$A33," | Kayıp: ",TEXT($K33,"₺ #,##0")," | Oran: ",TEXT($J33,"0,0%")))</f>
        <v/>
      </c>
    </row>
    <row r="34" ht="15" customHeight="1" s="72">
      <c r="A34" s="117" t="n"/>
      <c r="B34" s="117" t="n"/>
      <c r="C34" s="118" t="n"/>
      <c r="D34" s="118" t="n"/>
      <c r="E34" s="118" t="n"/>
      <c r="F34" s="122">
        <f>IF($A34="","",MAX(0,$C34+$D34-$E34))</f>
        <v/>
      </c>
      <c r="G34" s="119" t="n"/>
      <c r="H34" s="122">
        <f>IF($A34="","",SUMIFS(tblRecete[Teorik Tüketim],tblRecete[Hammadde],$A34))</f>
        <v/>
      </c>
      <c r="I34" s="122">
        <f>IF($A34="","",MAX(0,$F34-$H34))</f>
        <v/>
      </c>
      <c r="J34" s="124">
        <f>IF($A34="","",IF($H34=0,0,$I34/$H34))</f>
        <v/>
      </c>
      <c r="K34" s="115">
        <f>IF($A34="","",$I34*$G34)</f>
        <v/>
      </c>
      <c r="L34" s="116">
        <f>IF($A34="","",CONCATENATE("Hammadde: ",$A34," | Kayıp: ",TEXT($K34,"₺ #,##0")," | Oran: ",TEXT($J34,"0,0%")))</f>
        <v/>
      </c>
    </row>
    <row r="35" ht="15" customHeight="1" s="72">
      <c r="A35" s="117" t="n"/>
      <c r="B35" s="117" t="n"/>
      <c r="C35" s="118" t="n"/>
      <c r="D35" s="118" t="n"/>
      <c r="E35" s="118" t="n"/>
      <c r="F35" s="122">
        <f>IF($A35="","",MAX(0,$C35+$D35-$E35))</f>
        <v/>
      </c>
      <c r="G35" s="119" t="n"/>
      <c r="H35" s="122">
        <f>IF($A35="","",SUMIFS(tblRecete[Teorik Tüketim],tblRecete[Hammadde],$A35))</f>
        <v/>
      </c>
      <c r="I35" s="122">
        <f>IF($A35="","",MAX(0,$F35-$H35))</f>
        <v/>
      </c>
      <c r="J35" s="124">
        <f>IF($A35="","",IF($H35=0,0,$I35/$H35))</f>
        <v/>
      </c>
      <c r="K35" s="115">
        <f>IF($A35="","",$I35*$G35)</f>
        <v/>
      </c>
      <c r="L35" s="116">
        <f>IF($A35="","",CONCATENATE("Hammadde: ",$A35," | Kayıp: ",TEXT($K35,"₺ #,##0")," | Oran: ",TEXT($J35,"0,0%")))</f>
        <v/>
      </c>
    </row>
    <row r="36" ht="15" customHeight="1" s="72">
      <c r="A36" s="117" t="n"/>
      <c r="B36" s="117" t="n"/>
      <c r="C36" s="118" t="n"/>
      <c r="D36" s="118" t="n"/>
      <c r="E36" s="118" t="n"/>
      <c r="F36" s="122">
        <f>IF($A36="","",MAX(0,$C36+$D36-$E36))</f>
        <v/>
      </c>
      <c r="G36" s="119" t="n"/>
      <c r="H36" s="122">
        <f>IF($A36="","",SUMIFS(tblRecete[Teorik Tüketim],tblRecete[Hammadde],$A36))</f>
        <v/>
      </c>
      <c r="I36" s="122">
        <f>IF($A36="","",MAX(0,$F36-$H36))</f>
        <v/>
      </c>
      <c r="J36" s="124">
        <f>IF($A36="","",IF($H36=0,0,$I36/$H36))</f>
        <v/>
      </c>
      <c r="K36" s="115">
        <f>IF($A36="","",$I36*$G36)</f>
        <v/>
      </c>
      <c r="L36" s="116">
        <f>IF($A36="","",CONCATENATE("Hammadde: ",$A36," | Kayıp: ",TEXT($K36,"₺ #,##0")," | Oran: ",TEXT($J36,"0,0%")))</f>
        <v/>
      </c>
    </row>
    <row r="37" ht="15" customHeight="1" s="72">
      <c r="A37" s="117" t="n"/>
      <c r="B37" s="117" t="n"/>
      <c r="C37" s="118" t="n"/>
      <c r="D37" s="118" t="n"/>
      <c r="E37" s="118" t="n"/>
      <c r="F37" s="122">
        <f>IF($A37="","",MAX(0,$C37+$D37-$E37))</f>
        <v/>
      </c>
      <c r="G37" s="119" t="n"/>
      <c r="H37" s="122">
        <f>IF($A37="","",SUMIFS(tblRecete[Teorik Tüketim],tblRecete[Hammadde],$A37))</f>
        <v/>
      </c>
      <c r="I37" s="122">
        <f>IF($A37="","",MAX(0,$F37-$H37))</f>
        <v/>
      </c>
      <c r="J37" s="124">
        <f>IF($A37="","",IF($H37=0,0,$I37/$H37))</f>
        <v/>
      </c>
      <c r="K37" s="115">
        <f>IF($A37="","",$I37*$G37)</f>
        <v/>
      </c>
      <c r="L37" s="116">
        <f>IF($A37="","",CONCATENATE("Hammadde: ",$A37," | Kayıp: ",TEXT($K37,"₺ #,##0")," | Oran: ",TEXT($J37,"0,0%")))</f>
        <v/>
      </c>
    </row>
    <row r="38" ht="15" customHeight="1" s="72">
      <c r="A38" s="117" t="n"/>
      <c r="B38" s="117" t="n"/>
      <c r="C38" s="118" t="n"/>
      <c r="D38" s="118" t="n"/>
      <c r="E38" s="118" t="n"/>
      <c r="F38" s="122">
        <f>IF($A38="","",MAX(0,$C38+$D38-$E38))</f>
        <v/>
      </c>
      <c r="G38" s="119" t="n"/>
      <c r="H38" s="122">
        <f>IF($A38="","",SUMIFS(tblRecete[Teorik Tüketim],tblRecete[Hammadde],$A38))</f>
        <v/>
      </c>
      <c r="I38" s="122">
        <f>IF($A38="","",MAX(0,$F38-$H38))</f>
        <v/>
      </c>
      <c r="J38" s="124">
        <f>IF($A38="","",IF($H38=0,0,$I38/$H38))</f>
        <v/>
      </c>
      <c r="K38" s="115">
        <f>IF($A38="","",$I38*$G38)</f>
        <v/>
      </c>
      <c r="L38" s="116">
        <f>IF($A38="","",CONCATENATE("Hammadde: ",$A38," | Kayıp: ",TEXT($K38,"₺ #,##0")," | Oran: ",TEXT($J38,"0,0%")))</f>
        <v/>
      </c>
    </row>
    <row r="39" ht="15" customHeight="1" s="72">
      <c r="A39" s="117" t="n"/>
      <c r="B39" s="117" t="n"/>
      <c r="C39" s="118" t="n"/>
      <c r="D39" s="118" t="n"/>
      <c r="E39" s="118" t="n"/>
      <c r="F39" s="122">
        <f>IF($A39="","",MAX(0,$C39+$D39-$E39))</f>
        <v/>
      </c>
      <c r="G39" s="119" t="n"/>
      <c r="H39" s="122">
        <f>IF($A39="","",SUMIFS(tblRecete[Teorik Tüketim],tblRecete[Hammadde],$A39))</f>
        <v/>
      </c>
      <c r="I39" s="122">
        <f>IF($A39="","",MAX(0,$F39-$H39))</f>
        <v/>
      </c>
      <c r="J39" s="124">
        <f>IF($A39="","",IF($H39=0,0,$I39/$H39))</f>
        <v/>
      </c>
      <c r="K39" s="115">
        <f>IF($A39="","",$I39*$G39)</f>
        <v/>
      </c>
      <c r="L39" s="116">
        <f>IF($A39="","",CONCATENATE("Hammadde: ",$A39," | Kayıp: ",TEXT($K39,"₺ #,##0")," | Oran: ",TEXT($J39,"0,0%")))</f>
        <v/>
      </c>
    </row>
    <row r="40" ht="15" customHeight="1" s="72">
      <c r="A40" s="117" t="n"/>
      <c r="B40" s="117" t="n"/>
      <c r="C40" s="118" t="n"/>
      <c r="D40" s="118" t="n"/>
      <c r="E40" s="118" t="n"/>
      <c r="F40" s="122">
        <f>IF($A40="","",MAX(0,$C40+$D40-$E40))</f>
        <v/>
      </c>
      <c r="G40" s="119" t="n"/>
      <c r="H40" s="122">
        <f>IF($A40="","",SUMIFS(tblRecete[Teorik Tüketim],tblRecete[Hammadde],$A40))</f>
        <v/>
      </c>
      <c r="I40" s="122">
        <f>IF($A40="","",MAX(0,$F40-$H40))</f>
        <v/>
      </c>
      <c r="J40" s="124">
        <f>IF($A40="","",IF($H40=0,0,$I40/$H40))</f>
        <v/>
      </c>
      <c r="K40" s="115">
        <f>IF($A40="","",$I40*$G40)</f>
        <v/>
      </c>
      <c r="L40" s="116">
        <f>IF($A40="","",CONCATENATE("Hammadde: ",$A40," | Kayıp: ",TEXT($K40,"₺ #,##0")," | Oran: ",TEXT($J40,"0,0%")))</f>
        <v/>
      </c>
    </row>
    <row r="41" ht="15" customHeight="1" s="72">
      <c r="A41" s="117" t="n"/>
      <c r="B41" s="117" t="n"/>
      <c r="C41" s="118" t="n"/>
      <c r="D41" s="118" t="n"/>
      <c r="E41" s="118" t="n"/>
      <c r="F41" s="122">
        <f>IF($A41="","",MAX(0,$C41+$D41-$E41))</f>
        <v/>
      </c>
      <c r="G41" s="119" t="n"/>
      <c r="H41" s="122">
        <f>IF($A41="","",SUMIFS(tblRecete[Teorik Tüketim],tblRecete[Hammadde],$A41))</f>
        <v/>
      </c>
      <c r="I41" s="122">
        <f>IF($A41="","",MAX(0,$F41-$H41))</f>
        <v/>
      </c>
      <c r="J41" s="124">
        <f>IF($A41="","",IF($H41=0,0,$I41/$H41))</f>
        <v/>
      </c>
      <c r="K41" s="115">
        <f>IF($A41="","",$I41*$G41)</f>
        <v/>
      </c>
      <c r="L41" s="116">
        <f>IF($A41="","",CONCATENATE("Hammadde: ",$A41," | Kayıp: ",TEXT($K41,"₺ #,##0")," | Oran: ",TEXT($J41,"0,0%")))</f>
        <v/>
      </c>
    </row>
    <row r="42" ht="15" customHeight="1" s="72">
      <c r="A42" s="117" t="n"/>
      <c r="B42" s="117" t="n"/>
      <c r="C42" s="118" t="n"/>
      <c r="D42" s="118" t="n"/>
      <c r="E42" s="118" t="n"/>
      <c r="F42" s="122">
        <f>IF($A42="","",MAX(0,$C42+$D42-$E42))</f>
        <v/>
      </c>
      <c r="G42" s="119" t="n"/>
      <c r="H42" s="122">
        <f>IF($A42="","",SUMIFS(tblRecete[Teorik Tüketim],tblRecete[Hammadde],$A42))</f>
        <v/>
      </c>
      <c r="I42" s="122">
        <f>IF($A42="","",MAX(0,$F42-$H42))</f>
        <v/>
      </c>
      <c r="J42" s="124">
        <f>IF($A42="","",IF($H42=0,0,$I42/$H42))</f>
        <v/>
      </c>
      <c r="K42" s="115">
        <f>IF($A42="","",$I42*$G42)</f>
        <v/>
      </c>
      <c r="L42" s="116">
        <f>IF($A42="","",CONCATENATE("Hammadde: ",$A42," | Kayıp: ",TEXT($K42,"₺ #,##0")," | Oran: ",TEXT($J42,"0,0%")))</f>
        <v/>
      </c>
    </row>
    <row r="43" ht="15" customHeight="1" s="72">
      <c r="A43" s="117" t="n"/>
      <c r="B43" s="117" t="n"/>
      <c r="C43" s="118" t="n"/>
      <c r="D43" s="118" t="n"/>
      <c r="E43" s="118" t="n"/>
      <c r="F43" s="122">
        <f>IF($A43="","",MAX(0,$C43+$D43-$E43))</f>
        <v/>
      </c>
      <c r="G43" s="119" t="n"/>
      <c r="H43" s="122">
        <f>IF($A43="","",SUMIFS(tblRecete[Teorik Tüketim],tblRecete[Hammadde],$A43))</f>
        <v/>
      </c>
      <c r="I43" s="122">
        <f>IF($A43="","",MAX(0,$F43-$H43))</f>
        <v/>
      </c>
      <c r="J43" s="124">
        <f>IF($A43="","",IF($H43=0,0,$I43/$H43))</f>
        <v/>
      </c>
      <c r="K43" s="115">
        <f>IF($A43="","",$I43*$G43)</f>
        <v/>
      </c>
      <c r="L43" s="116">
        <f>IF($A43="","",CONCATENATE("Hammadde: ",$A43," | Kayıp: ",TEXT($K43,"₺ #,##0")," | Oran: ",TEXT($J43,"0,0%")))</f>
        <v/>
      </c>
    </row>
    <row r="44" ht="15" customHeight="1" s="72">
      <c r="A44" s="117" t="n"/>
      <c r="B44" s="117" t="n"/>
      <c r="C44" s="118" t="n"/>
      <c r="D44" s="118" t="n"/>
      <c r="E44" s="118" t="n"/>
      <c r="F44" s="122">
        <f>IF($A44="","",MAX(0,$C44+$D44-$E44))</f>
        <v/>
      </c>
      <c r="G44" s="119" t="n"/>
      <c r="H44" s="122">
        <f>IF($A44="","",SUMIFS(tblRecete[Teorik Tüketim],tblRecete[Hammadde],$A44))</f>
        <v/>
      </c>
      <c r="I44" s="122">
        <f>IF($A44="","",MAX(0,$F44-$H44))</f>
        <v/>
      </c>
      <c r="J44" s="124">
        <f>IF($A44="","",IF($H44=0,0,$I44/$H44))</f>
        <v/>
      </c>
      <c r="K44" s="115">
        <f>IF($A44="","",$I44*$G44)</f>
        <v/>
      </c>
      <c r="L44" s="116">
        <f>IF($A44="","",CONCATENATE("Hammadde: ",$A44," | Kayıp: ",TEXT($K44,"₺ #,##0")," | Oran: ",TEXT($J44,"0,0%")))</f>
        <v/>
      </c>
    </row>
    <row r="45" ht="15" customHeight="1" s="72">
      <c r="A45" s="117" t="n"/>
      <c r="B45" s="117" t="n"/>
      <c r="C45" s="118" t="n"/>
      <c r="D45" s="118" t="n"/>
      <c r="E45" s="118" t="n"/>
      <c r="F45" s="122">
        <f>IF($A45="","",MAX(0,$C45+$D45-$E45))</f>
        <v/>
      </c>
      <c r="G45" s="119" t="n"/>
      <c r="H45" s="122">
        <f>IF($A45="","",SUMIFS(tblRecete[Teorik Tüketim],tblRecete[Hammadde],$A45))</f>
        <v/>
      </c>
      <c r="I45" s="122">
        <f>IF($A45="","",MAX(0,$F45-$H45))</f>
        <v/>
      </c>
      <c r="J45" s="124">
        <f>IF($A45="","",IF($H45=0,0,$I45/$H45))</f>
        <v/>
      </c>
      <c r="K45" s="115">
        <f>IF($A45="","",$I45*$G45)</f>
        <v/>
      </c>
      <c r="L45" s="116">
        <f>IF($A45="","",CONCATENATE("Hammadde: ",$A45," | Kayıp: ",TEXT($K45,"₺ #,##0")," | Oran: ",TEXT($J45,"0,0%")))</f>
        <v/>
      </c>
    </row>
    <row r="46" ht="15" customHeight="1" s="72">
      <c r="A46" s="117" t="n"/>
      <c r="B46" s="117" t="n"/>
      <c r="C46" s="118" t="n"/>
      <c r="D46" s="118" t="n"/>
      <c r="E46" s="118" t="n"/>
      <c r="F46" s="122">
        <f>IF($A46="","",MAX(0,$C46+$D46-$E46))</f>
        <v/>
      </c>
      <c r="G46" s="119" t="n"/>
      <c r="H46" s="122">
        <f>IF($A46="","",SUMIFS(tblRecete[Teorik Tüketim],tblRecete[Hammadde],$A46))</f>
        <v/>
      </c>
      <c r="I46" s="122">
        <f>IF($A46="","",MAX(0,$F46-$H46))</f>
        <v/>
      </c>
      <c r="J46" s="124">
        <f>IF($A46="","",IF($H46=0,0,$I46/$H46))</f>
        <v/>
      </c>
      <c r="K46" s="115">
        <f>IF($A46="","",$I46*$G46)</f>
        <v/>
      </c>
      <c r="L46" s="116">
        <f>IF($A46="","",CONCATENATE("Hammadde: ",$A46," | Kayıp: ",TEXT($K46,"₺ #,##0")," | Oran: ",TEXT($J46,"0,0%")))</f>
        <v/>
      </c>
    </row>
    <row r="47" ht="15" customHeight="1" s="72">
      <c r="A47" s="117" t="n"/>
      <c r="B47" s="117" t="n"/>
      <c r="C47" s="118" t="n"/>
      <c r="D47" s="118" t="n"/>
      <c r="E47" s="118" t="n"/>
      <c r="F47" s="122">
        <f>IF($A47="","",MAX(0,$C47+$D47-$E47))</f>
        <v/>
      </c>
      <c r="G47" s="119" t="n"/>
      <c r="H47" s="122">
        <f>IF($A47="","",SUMIFS(tblRecete[Teorik Tüketim],tblRecete[Hammadde],$A47))</f>
        <v/>
      </c>
      <c r="I47" s="122">
        <f>IF($A47="","",MAX(0,$F47-$H47))</f>
        <v/>
      </c>
      <c r="J47" s="124">
        <f>IF($A47="","",IF($H47=0,0,$I47/$H47))</f>
        <v/>
      </c>
      <c r="K47" s="115">
        <f>IF($A47="","",$I47*$G47)</f>
        <v/>
      </c>
      <c r="L47" s="116">
        <f>IF($A47="","",CONCATENATE("Hammadde: ",$A47," | Kayıp: ",TEXT($K47,"₺ #,##0")," | Oran: ",TEXT($J47,"0,0%")))</f>
        <v/>
      </c>
    </row>
    <row r="48" ht="15" customHeight="1" s="72">
      <c r="A48" s="117" t="n"/>
      <c r="B48" s="117" t="n"/>
      <c r="C48" s="118" t="n"/>
      <c r="D48" s="118" t="n"/>
      <c r="E48" s="118" t="n"/>
      <c r="F48" s="122">
        <f>IF($A48="","",MAX(0,$C48+$D48-$E48))</f>
        <v/>
      </c>
      <c r="G48" s="119" t="n"/>
      <c r="H48" s="122">
        <f>IF($A48="","",SUMIFS(tblRecete[Teorik Tüketim],tblRecete[Hammadde],$A48))</f>
        <v/>
      </c>
      <c r="I48" s="122">
        <f>IF($A48="","",MAX(0,$F48-$H48))</f>
        <v/>
      </c>
      <c r="J48" s="124">
        <f>IF($A48="","",IF($H48=0,0,$I48/$H48))</f>
        <v/>
      </c>
      <c r="K48" s="115">
        <f>IF($A48="","",$I48*$G48)</f>
        <v/>
      </c>
      <c r="L48" s="116">
        <f>IF($A48="","",CONCATENATE("Hammadde: ",$A48," | Kayıp: ",TEXT($K48,"₺ #,##0")," | Oran: ",TEXT($J48,"0,0%")))</f>
        <v/>
      </c>
    </row>
    <row r="49" ht="15" customHeight="1" s="72">
      <c r="A49" s="117" t="n"/>
      <c r="B49" s="117" t="n"/>
      <c r="C49" s="118" t="n"/>
      <c r="D49" s="118" t="n"/>
      <c r="E49" s="118" t="n"/>
      <c r="F49" s="122">
        <f>IF($A49="","",MAX(0,$C49+$D49-$E49))</f>
        <v/>
      </c>
      <c r="G49" s="119" t="n"/>
      <c r="H49" s="122">
        <f>IF($A49="","",SUMIFS(tblRecete[Teorik Tüketim],tblRecete[Hammadde],$A49))</f>
        <v/>
      </c>
      <c r="I49" s="122">
        <f>IF($A49="","",MAX(0,$F49-$H49))</f>
        <v/>
      </c>
      <c r="J49" s="124">
        <f>IF($A49="","",IF($H49=0,0,$I49/$H49))</f>
        <v/>
      </c>
      <c r="K49" s="115">
        <f>IF($A49="","",$I49*$G49)</f>
        <v/>
      </c>
      <c r="L49" s="116">
        <f>IF($A49="","",CONCATENATE("Hammadde: ",$A49," | Kayıp: ",TEXT($K49,"₺ #,##0")," | Oran: ",TEXT($J49,"0,0%")))</f>
        <v/>
      </c>
    </row>
    <row r="50" ht="15" customHeight="1" s="72">
      <c r="A50" s="117" t="n"/>
      <c r="B50" s="117" t="n"/>
      <c r="C50" s="118" t="n"/>
      <c r="D50" s="118" t="n"/>
      <c r="E50" s="118" t="n"/>
      <c r="F50" s="122">
        <f>IF($A50="","",MAX(0,$C50+$D50-$E50))</f>
        <v/>
      </c>
      <c r="G50" s="119" t="n"/>
      <c r="H50" s="122">
        <f>IF($A50="","",SUMIFS(tblRecete[Teorik Tüketim],tblRecete[Hammadde],$A50))</f>
        <v/>
      </c>
      <c r="I50" s="122">
        <f>IF($A50="","",MAX(0,$F50-$H50))</f>
        <v/>
      </c>
      <c r="J50" s="124">
        <f>IF($A50="","",IF($H50=0,0,$I50/$H50))</f>
        <v/>
      </c>
      <c r="K50" s="115">
        <f>IF($A50="","",$I50*$G50)</f>
        <v/>
      </c>
      <c r="L50" s="116">
        <f>IF($A50="","",CONCATENATE("Hammadde: ",$A50," | Kayıp: ",TEXT($K50,"₺ #,##0")," | Oran: ",TEXT($J50,"0,0%")))</f>
        <v/>
      </c>
    </row>
    <row r="51" ht="15" customHeight="1" s="72">
      <c r="A51" s="117" t="n"/>
      <c r="B51" s="117" t="n"/>
      <c r="C51" s="118" t="n"/>
      <c r="D51" s="118" t="n"/>
      <c r="E51" s="118" t="n"/>
      <c r="F51" s="122">
        <f>IF($A51="","",MAX(0,$C51+$D51-$E51))</f>
        <v/>
      </c>
      <c r="G51" s="119" t="n"/>
      <c r="H51" s="122">
        <f>IF($A51="","",SUMIFS(tblRecete[Teorik Tüketim],tblRecete[Hammadde],$A51))</f>
        <v/>
      </c>
      <c r="I51" s="122">
        <f>IF($A51="","",MAX(0,$F51-$H51))</f>
        <v/>
      </c>
      <c r="J51" s="124">
        <f>IF($A51="","",IF($H51=0,0,$I51/$H51))</f>
        <v/>
      </c>
      <c r="K51" s="115">
        <f>IF($A51="","",$I51*$G51)</f>
        <v/>
      </c>
      <c r="L51" s="116">
        <f>IF($A51="","",CONCATENATE("Hammadde: ",$A51," | Kayıp: ",TEXT($K51,"₺ #,##0")," | Oran: ",TEXT($J51,"0,0%")))</f>
        <v/>
      </c>
    </row>
    <row r="52" ht="15" customHeight="1" s="72">
      <c r="A52" s="117" t="n"/>
      <c r="B52" s="117" t="n"/>
      <c r="C52" s="118" t="n"/>
      <c r="D52" s="118" t="n"/>
      <c r="E52" s="118" t="n"/>
      <c r="F52" s="122">
        <f>IF($A52="","",MAX(0,$C52+$D52-$E52))</f>
        <v/>
      </c>
      <c r="G52" s="119" t="n"/>
      <c r="H52" s="122">
        <f>IF($A52="","",SUMIFS(tblRecete[Teorik Tüketim],tblRecete[Hammadde],$A52))</f>
        <v/>
      </c>
      <c r="I52" s="122">
        <f>IF($A52="","",MAX(0,$F52-$H52))</f>
        <v/>
      </c>
      <c r="J52" s="124">
        <f>IF($A52="","",IF($H52=0,0,$I52/$H52))</f>
        <v/>
      </c>
      <c r="K52" s="115">
        <f>IF($A52="","",$I52*$G52)</f>
        <v/>
      </c>
      <c r="L52" s="116">
        <f>IF($A52="","",CONCATENATE("Hammadde: ",$A52," | Kayıp: ",TEXT($K52,"₺ #,##0")," | Oran: ",TEXT($J52,"0,0%")))</f>
        <v/>
      </c>
    </row>
    <row r="53" ht="15" customHeight="1" s="72">
      <c r="A53" s="117" t="n"/>
      <c r="B53" s="117" t="n"/>
      <c r="C53" s="118" t="n"/>
      <c r="D53" s="118" t="n"/>
      <c r="E53" s="118" t="n"/>
      <c r="F53" s="122">
        <f>IF($A53="","",MAX(0,$C53+$D53-$E53))</f>
        <v/>
      </c>
      <c r="G53" s="119" t="n"/>
      <c r="H53" s="122">
        <f>IF($A53="","",SUMIFS(tblRecete[Teorik Tüketim],tblRecete[Hammadde],$A53))</f>
        <v/>
      </c>
      <c r="I53" s="122">
        <f>IF($A53="","",MAX(0,$F53-$H53))</f>
        <v/>
      </c>
      <c r="J53" s="124">
        <f>IF($A53="","",IF($H53=0,0,$I53/$H53))</f>
        <v/>
      </c>
      <c r="K53" s="115">
        <f>IF($A53="","",$I53*$G53)</f>
        <v/>
      </c>
      <c r="L53" s="116">
        <f>IF($A53="","",CONCATENATE("Hammadde: ",$A53," | Kayıp: ",TEXT($K53,"₺ #,##0")," | Oran: ",TEXT($J53,"0,0%")))</f>
        <v/>
      </c>
    </row>
    <row r="54" ht="15" customHeight="1" s="72">
      <c r="A54" s="117" t="n"/>
      <c r="B54" s="117" t="n"/>
      <c r="C54" s="118" t="n"/>
      <c r="D54" s="118" t="n"/>
      <c r="E54" s="118" t="n"/>
      <c r="F54" s="122">
        <f>IF($A54="","",MAX(0,$C54+$D54-$E54))</f>
        <v/>
      </c>
      <c r="G54" s="119" t="n"/>
      <c r="H54" s="122">
        <f>IF($A54="","",SUMIFS(tblRecete[Teorik Tüketim],tblRecete[Hammadde],$A54))</f>
        <v/>
      </c>
      <c r="I54" s="122">
        <f>IF($A54="","",MAX(0,$F54-$H54))</f>
        <v/>
      </c>
      <c r="J54" s="124">
        <f>IF($A54="","",IF($H54=0,0,$I54/$H54))</f>
        <v/>
      </c>
      <c r="K54" s="115">
        <f>IF($A54="","",$I54*$G54)</f>
        <v/>
      </c>
      <c r="L54" s="116">
        <f>IF($A54="","",CONCATENATE("Hammadde: ",$A54," | Kayıp: ",TEXT($K54,"₺ #,##0")," | Oran: ",TEXT($J54,"0,0%")))</f>
        <v/>
      </c>
    </row>
    <row r="55" ht="15" customHeight="1" s="72">
      <c r="A55" s="117" t="n"/>
      <c r="B55" s="117" t="n"/>
      <c r="C55" s="118" t="n"/>
      <c r="D55" s="118" t="n"/>
      <c r="E55" s="118" t="n"/>
      <c r="F55" s="122">
        <f>IF($A55="","",MAX(0,$C55+$D55-$E55))</f>
        <v/>
      </c>
      <c r="G55" s="119" t="n"/>
      <c r="H55" s="122">
        <f>IF($A55="","",SUMIFS(tblRecete[Teorik Tüketim],tblRecete[Hammadde],$A55))</f>
        <v/>
      </c>
      <c r="I55" s="122">
        <f>IF($A55="","",MAX(0,$F55-$H55))</f>
        <v/>
      </c>
      <c r="J55" s="124">
        <f>IF($A55="","",IF($H55=0,0,$I55/$H55))</f>
        <v/>
      </c>
      <c r="K55" s="115">
        <f>IF($A55="","",$I55*$G55)</f>
        <v/>
      </c>
      <c r="L55" s="116">
        <f>IF($A55="","",CONCATENATE("Hammadde: ",$A55," | Kayıp: ",TEXT($K55,"₺ #,##0")," | Oran: ",TEXT($J55,"0,0%")))</f>
        <v/>
      </c>
    </row>
    <row r="56" ht="15" customHeight="1" s="72">
      <c r="A56" s="117" t="n"/>
      <c r="B56" s="117" t="n"/>
      <c r="C56" s="118" t="n"/>
      <c r="D56" s="118" t="n"/>
      <c r="E56" s="118" t="n"/>
      <c r="F56" s="122">
        <f>IF($A56="","",MAX(0,$C56+$D56-$E56))</f>
        <v/>
      </c>
      <c r="G56" s="119" t="n"/>
      <c r="H56" s="122">
        <f>IF($A56="","",SUMIFS(tblRecete[Teorik Tüketim],tblRecete[Hammadde],$A56))</f>
        <v/>
      </c>
      <c r="I56" s="122">
        <f>IF($A56="","",MAX(0,$F56-$H56))</f>
        <v/>
      </c>
      <c r="J56" s="124">
        <f>IF($A56="","",IF($H56=0,0,$I56/$H56))</f>
        <v/>
      </c>
      <c r="K56" s="115">
        <f>IF($A56="","",$I56*$G56)</f>
        <v/>
      </c>
      <c r="L56" s="116">
        <f>IF($A56="","",CONCATENATE("Hammadde: ",$A56," | Kayıp: ",TEXT($K56,"₺ #,##0")," | Oran: ",TEXT($J56,"0,0%")))</f>
        <v/>
      </c>
    </row>
    <row r="57" ht="15" customHeight="1" s="72">
      <c r="A57" s="117" t="n"/>
      <c r="B57" s="117" t="n"/>
      <c r="C57" s="118" t="n"/>
      <c r="D57" s="118" t="n"/>
      <c r="E57" s="118" t="n"/>
      <c r="F57" s="122">
        <f>IF($A57="","",MAX(0,$C57+$D57-$E57))</f>
        <v/>
      </c>
      <c r="G57" s="119" t="n"/>
      <c r="H57" s="122">
        <f>IF($A57="","",SUMIFS(tblRecete[Teorik Tüketim],tblRecete[Hammadde],$A57))</f>
        <v/>
      </c>
      <c r="I57" s="122">
        <f>IF($A57="","",MAX(0,$F57-$H57))</f>
        <v/>
      </c>
      <c r="J57" s="124">
        <f>IF($A57="","",IF($H57=0,0,$I57/$H57))</f>
        <v/>
      </c>
      <c r="K57" s="115">
        <f>IF($A57="","",$I57*$G57)</f>
        <v/>
      </c>
      <c r="L57" s="116">
        <f>IF($A57="","",CONCATENATE("Hammadde: ",$A57," | Kayıp: ",TEXT($K57,"₺ #,##0")," | Oran: ",TEXT($J57,"0,0%")))</f>
        <v/>
      </c>
    </row>
    <row r="58" ht="15" customHeight="1" s="72">
      <c r="A58" s="117" t="n"/>
      <c r="B58" s="117" t="n"/>
      <c r="C58" s="118" t="n"/>
      <c r="D58" s="118" t="n"/>
      <c r="E58" s="118" t="n"/>
      <c r="F58" s="122">
        <f>IF($A58="","",MAX(0,$C58+$D58-$E58))</f>
        <v/>
      </c>
      <c r="G58" s="119" t="n"/>
      <c r="H58" s="122">
        <f>IF($A58="","",SUMIFS(tblRecete[Teorik Tüketim],tblRecete[Hammadde],$A58))</f>
        <v/>
      </c>
      <c r="I58" s="122">
        <f>IF($A58="","",MAX(0,$F58-$H58))</f>
        <v/>
      </c>
      <c r="J58" s="124">
        <f>IF($A58="","",IF($H58=0,0,$I58/$H58))</f>
        <v/>
      </c>
      <c r="K58" s="115">
        <f>IF($A58="","",$I58*$G58)</f>
        <v/>
      </c>
      <c r="L58" s="116">
        <f>IF($A58="","",CONCATENATE("Hammadde: ",$A58," | Kayıp: ",TEXT($K58,"₺ #,##0")," | Oran: ",TEXT($J58,"0,0%")))</f>
        <v/>
      </c>
    </row>
    <row r="59" ht="15" customHeight="1" s="72">
      <c r="A59" s="117" t="n"/>
      <c r="B59" s="117" t="n"/>
      <c r="C59" s="118" t="n"/>
      <c r="D59" s="118" t="n"/>
      <c r="E59" s="118" t="n"/>
      <c r="F59" s="122">
        <f>IF($A59="","",MAX(0,$C59+$D59-$E59))</f>
        <v/>
      </c>
      <c r="G59" s="119" t="n"/>
      <c r="H59" s="122">
        <f>IF($A59="","",SUMIFS(tblRecete[Teorik Tüketim],tblRecete[Hammadde],$A59))</f>
        <v/>
      </c>
      <c r="I59" s="122">
        <f>IF($A59="","",MAX(0,$F59-$H59))</f>
        <v/>
      </c>
      <c r="J59" s="124">
        <f>IF($A59="","",IF($H59=0,0,$I59/$H59))</f>
        <v/>
      </c>
      <c r="K59" s="115">
        <f>IF($A59="","",$I59*$G59)</f>
        <v/>
      </c>
      <c r="L59" s="116">
        <f>IF($A59="","",CONCATENATE("Hammadde: ",$A59," | Kayıp: ",TEXT($K59,"₺ #,##0")," | Oran: ",TEXT($J59,"0,0%")))</f>
        <v/>
      </c>
    </row>
    <row r="60" ht="15" customHeight="1" s="72">
      <c r="A60" s="117" t="n"/>
      <c r="B60" s="117" t="n"/>
      <c r="C60" s="118" t="n"/>
      <c r="D60" s="118" t="n"/>
      <c r="E60" s="118" t="n"/>
      <c r="F60" s="122">
        <f>IF($A60="","",MAX(0,$C60+$D60-$E60))</f>
        <v/>
      </c>
      <c r="G60" s="119" t="n"/>
      <c r="H60" s="122">
        <f>IF($A60="","",SUMIFS(tblRecete[Teorik Tüketim],tblRecete[Hammadde],$A60))</f>
        <v/>
      </c>
      <c r="I60" s="122">
        <f>IF($A60="","",MAX(0,$F60-$H60))</f>
        <v/>
      </c>
      <c r="J60" s="124">
        <f>IF($A60="","",IF($H60=0,0,$I60/$H60))</f>
        <v/>
      </c>
      <c r="K60" s="115">
        <f>IF($A60="","",$I60*$G60)</f>
        <v/>
      </c>
      <c r="L60" s="116">
        <f>IF($A60="","",CONCATENATE("Hammadde: ",$A60," | Kayıp: ",TEXT($K60,"₺ #,##0")," | Oran: ",TEXT($J60,"0,0%")))</f>
        <v/>
      </c>
    </row>
    <row r="61" ht="15" customHeight="1" s="72">
      <c r="A61" s="117" t="n"/>
      <c r="B61" s="117" t="n"/>
      <c r="C61" s="118" t="n"/>
      <c r="D61" s="118" t="n"/>
      <c r="E61" s="118" t="n"/>
      <c r="F61" s="123" t="n"/>
      <c r="G61" s="119" t="n"/>
      <c r="H61" s="123" t="n"/>
      <c r="I61" s="123" t="n"/>
      <c r="J61" s="125" t="n"/>
      <c r="K61" s="120" t="n"/>
    </row>
    <row r="62" ht="15" customHeight="1" s="72">
      <c r="A62" s="117" t="n"/>
      <c r="B62" s="117" t="n"/>
      <c r="C62" s="118" t="n"/>
      <c r="D62" s="118" t="n"/>
      <c r="E62" s="118" t="n"/>
      <c r="F62" s="123" t="n"/>
      <c r="G62" s="119" t="n"/>
      <c r="H62" s="123" t="n"/>
      <c r="I62" s="123" t="n"/>
      <c r="J62" s="125" t="n"/>
      <c r="K62" s="120" t="n"/>
    </row>
    <row r="63" ht="15" customHeight="1" s="72">
      <c r="A63" s="117" t="n"/>
      <c r="B63" s="117" t="n"/>
      <c r="C63" s="118" t="n"/>
      <c r="D63" s="118" t="n"/>
      <c r="E63" s="118" t="n"/>
      <c r="F63" s="123" t="n"/>
      <c r="G63" s="119" t="n"/>
      <c r="H63" s="123" t="n"/>
      <c r="I63" s="123" t="n"/>
      <c r="J63" s="125" t="n"/>
      <c r="K63" s="120" t="n"/>
    </row>
    <row r="64" ht="15" customHeight="1" s="72">
      <c r="A64" s="117" t="n"/>
      <c r="B64" s="117" t="n"/>
      <c r="C64" s="118" t="n"/>
      <c r="D64" s="118" t="n"/>
      <c r="E64" s="118" t="n"/>
      <c r="F64" s="123" t="n"/>
      <c r="G64" s="119" t="n"/>
      <c r="H64" s="123" t="n"/>
      <c r="I64" s="123" t="n"/>
      <c r="J64" s="125" t="n"/>
      <c r="K64" s="120" t="n"/>
    </row>
    <row r="65" ht="15" customHeight="1" s="72">
      <c r="A65" s="117" t="n"/>
      <c r="B65" s="117" t="n"/>
      <c r="C65" s="118" t="n"/>
      <c r="D65" s="118" t="n"/>
      <c r="E65" s="118" t="n"/>
      <c r="F65" s="123" t="n"/>
      <c r="G65" s="119" t="n"/>
      <c r="H65" s="123" t="n"/>
      <c r="I65" s="123" t="n"/>
      <c r="J65" s="125" t="n"/>
      <c r="K65" s="120" t="n"/>
    </row>
    <row r="66" ht="15" customHeight="1" s="72">
      <c r="A66" s="117" t="n"/>
      <c r="B66" s="117" t="n"/>
      <c r="C66" s="118" t="n"/>
      <c r="D66" s="118" t="n"/>
      <c r="E66" s="118" t="n"/>
      <c r="F66" s="123" t="n"/>
      <c r="G66" s="119" t="n"/>
      <c r="H66" s="123" t="n"/>
      <c r="I66" s="123" t="n"/>
      <c r="J66" s="125" t="n"/>
      <c r="K66" s="120" t="n"/>
    </row>
    <row r="67" ht="15" customHeight="1" s="72">
      <c r="A67" s="117" t="n"/>
      <c r="B67" s="117" t="n"/>
      <c r="C67" s="118" t="n"/>
      <c r="D67" s="118" t="n"/>
      <c r="E67" s="118" t="n"/>
      <c r="F67" s="123" t="n"/>
      <c r="G67" s="119" t="n"/>
      <c r="H67" s="123" t="n"/>
      <c r="I67" s="123" t="n"/>
      <c r="J67" s="125" t="n"/>
      <c r="K67" s="120" t="n"/>
    </row>
    <row r="68" ht="15" customHeight="1" s="72">
      <c r="A68" s="117" t="n"/>
      <c r="B68" s="117" t="n"/>
      <c r="C68" s="118" t="n"/>
      <c r="D68" s="118" t="n"/>
      <c r="E68" s="118" t="n"/>
      <c r="F68" s="123" t="n"/>
      <c r="G68" s="119" t="n"/>
      <c r="H68" s="123" t="n"/>
      <c r="I68" s="123" t="n"/>
      <c r="J68" s="125" t="n"/>
      <c r="K68" s="120" t="n"/>
    </row>
    <row r="69" ht="15" customHeight="1" s="72">
      <c r="A69" s="117" t="n"/>
      <c r="B69" s="117" t="n"/>
      <c r="C69" s="118" t="n"/>
      <c r="D69" s="118" t="n"/>
      <c r="E69" s="118" t="n"/>
      <c r="F69" s="123" t="n"/>
      <c r="G69" s="119" t="n"/>
      <c r="H69" s="123" t="n"/>
      <c r="I69" s="123" t="n"/>
      <c r="J69" s="125" t="n"/>
      <c r="K69" s="120" t="n"/>
    </row>
    <row r="70" ht="15" customHeight="1" s="72">
      <c r="A70" s="117" t="n"/>
      <c r="B70" s="117" t="n"/>
      <c r="C70" s="118" t="n"/>
      <c r="D70" s="118" t="n"/>
      <c r="E70" s="118" t="n"/>
      <c r="F70" s="123" t="n"/>
      <c r="G70" s="119" t="n"/>
      <c r="H70" s="123" t="n"/>
      <c r="I70" s="123" t="n"/>
      <c r="J70" s="125" t="n"/>
      <c r="K70" s="120" t="n"/>
    </row>
    <row r="71" ht="15" customHeight="1" s="72">
      <c r="A71" s="117" t="n"/>
      <c r="B71" s="117" t="n"/>
      <c r="C71" s="118" t="n"/>
      <c r="D71" s="118" t="n"/>
      <c r="E71" s="118" t="n"/>
      <c r="F71" s="123" t="n"/>
      <c r="G71" s="119" t="n"/>
      <c r="H71" s="123" t="n"/>
      <c r="I71" s="123" t="n"/>
      <c r="J71" s="125" t="n"/>
      <c r="K71" s="120" t="n"/>
    </row>
    <row r="72" ht="15" customHeight="1" s="72">
      <c r="A72" s="117" t="n"/>
      <c r="B72" s="117" t="n"/>
      <c r="C72" s="118" t="n"/>
      <c r="D72" s="118" t="n"/>
      <c r="E72" s="118" t="n"/>
      <c r="F72" s="123" t="n"/>
      <c r="G72" s="119" t="n"/>
      <c r="H72" s="123" t="n"/>
      <c r="I72" s="123" t="n"/>
      <c r="J72" s="125" t="n"/>
      <c r="K72" s="120" t="n"/>
    </row>
    <row r="73" ht="15" customHeight="1" s="72">
      <c r="A73" s="117" t="n"/>
      <c r="B73" s="117" t="n"/>
      <c r="C73" s="118" t="n"/>
      <c r="D73" s="118" t="n"/>
      <c r="E73" s="118" t="n"/>
      <c r="F73" s="123" t="n"/>
      <c r="G73" s="119" t="n"/>
      <c r="H73" s="123" t="n"/>
      <c r="I73" s="123" t="n"/>
      <c r="J73" s="125" t="n"/>
      <c r="K73" s="120" t="n"/>
    </row>
    <row r="74" ht="15" customHeight="1" s="72">
      <c r="A74" s="117" t="n"/>
      <c r="B74" s="117" t="n"/>
      <c r="C74" s="118" t="n"/>
      <c r="D74" s="118" t="n"/>
      <c r="E74" s="118" t="n"/>
      <c r="F74" s="123" t="n"/>
      <c r="G74" s="119" t="n"/>
      <c r="H74" s="123" t="n"/>
      <c r="I74" s="123" t="n"/>
      <c r="J74" s="125" t="n"/>
      <c r="K74" s="120" t="n"/>
    </row>
    <row r="75" ht="15" customHeight="1" s="72">
      <c r="A75" s="117" t="n"/>
      <c r="B75" s="117" t="n"/>
      <c r="C75" s="118" t="n"/>
      <c r="D75" s="118" t="n"/>
      <c r="E75" s="118" t="n"/>
      <c r="F75" s="123" t="n"/>
      <c r="G75" s="119" t="n"/>
      <c r="H75" s="123" t="n"/>
      <c r="I75" s="123" t="n"/>
      <c r="J75" s="125" t="n"/>
      <c r="K75" s="120" t="n"/>
    </row>
    <row r="76" ht="15" customHeight="1" s="72">
      <c r="A76" s="117" t="n"/>
      <c r="B76" s="117" t="n"/>
      <c r="C76" s="118" t="n"/>
      <c r="D76" s="118" t="n"/>
      <c r="E76" s="118" t="n"/>
      <c r="F76" s="123" t="n"/>
      <c r="G76" s="119" t="n"/>
      <c r="H76" s="123" t="n"/>
      <c r="I76" s="123" t="n"/>
      <c r="J76" s="125" t="n"/>
      <c r="K76" s="120" t="n"/>
    </row>
    <row r="77" ht="15" customHeight="1" s="72">
      <c r="A77" s="117" t="n"/>
      <c r="B77" s="117" t="n"/>
      <c r="C77" s="118" t="n"/>
      <c r="D77" s="118" t="n"/>
      <c r="E77" s="118" t="n"/>
      <c r="F77" s="123" t="n"/>
      <c r="G77" s="119" t="n"/>
      <c r="H77" s="123" t="n"/>
      <c r="I77" s="123" t="n"/>
      <c r="J77" s="125" t="n"/>
      <c r="K77" s="120" t="n"/>
    </row>
    <row r="78" ht="15" customHeight="1" s="72">
      <c r="A78" s="117" t="n"/>
      <c r="B78" s="117" t="n"/>
      <c r="C78" s="118" t="n"/>
      <c r="D78" s="118" t="n"/>
      <c r="E78" s="118" t="n"/>
      <c r="F78" s="123" t="n"/>
      <c r="G78" s="119" t="n"/>
      <c r="H78" s="123" t="n"/>
      <c r="I78" s="123" t="n"/>
      <c r="J78" s="125" t="n"/>
      <c r="K78" s="120" t="n"/>
    </row>
    <row r="79" ht="15" customHeight="1" s="72">
      <c r="A79" s="117" t="n"/>
      <c r="B79" s="117" t="n"/>
      <c r="C79" s="118" t="n"/>
      <c r="D79" s="118" t="n"/>
      <c r="E79" s="118" t="n"/>
      <c r="F79" s="123" t="n"/>
      <c r="G79" s="119" t="n"/>
      <c r="H79" s="123" t="n"/>
      <c r="I79" s="123" t="n"/>
      <c r="J79" s="125" t="n"/>
      <c r="K79" s="120" t="n"/>
    </row>
    <row r="80" ht="15" customHeight="1" s="72">
      <c r="A80" s="117" t="n"/>
      <c r="B80" s="117" t="n"/>
      <c r="C80" s="118" t="n"/>
      <c r="D80" s="118" t="n"/>
      <c r="E80" s="118" t="n"/>
      <c r="F80" s="123" t="n"/>
      <c r="G80" s="119" t="n"/>
      <c r="H80" s="123" t="n"/>
      <c r="I80" s="123" t="n"/>
      <c r="J80" s="125" t="n"/>
      <c r="K80" s="120" t="n"/>
    </row>
    <row r="81" ht="15" customHeight="1" s="72">
      <c r="A81" s="117" t="n"/>
      <c r="B81" s="117" t="n"/>
      <c r="C81" s="118" t="n"/>
      <c r="D81" s="118" t="n"/>
      <c r="E81" s="118" t="n"/>
      <c r="F81" s="123" t="n"/>
      <c r="G81" s="119" t="n"/>
      <c r="H81" s="123" t="n"/>
      <c r="I81" s="123" t="n"/>
      <c r="J81" s="125" t="n"/>
      <c r="K81" s="120" t="n"/>
    </row>
    <row r="82" ht="15" customHeight="1" s="72">
      <c r="A82" s="117" t="n"/>
      <c r="B82" s="117" t="n"/>
      <c r="C82" s="118" t="n"/>
      <c r="D82" s="118" t="n"/>
      <c r="E82" s="118" t="n"/>
      <c r="F82" s="123" t="n"/>
      <c r="G82" s="119" t="n"/>
      <c r="H82" s="123" t="n"/>
      <c r="I82" s="123" t="n"/>
      <c r="J82" s="125" t="n"/>
      <c r="K82" s="120" t="n"/>
    </row>
    <row r="83" ht="15" customHeight="1" s="72">
      <c r="A83" s="117" t="n"/>
      <c r="B83" s="117" t="n"/>
      <c r="C83" s="118" t="n"/>
      <c r="D83" s="118" t="n"/>
      <c r="E83" s="118" t="n"/>
      <c r="F83" s="123" t="n"/>
      <c r="G83" s="119" t="n"/>
      <c r="H83" s="123" t="n"/>
      <c r="I83" s="123" t="n"/>
      <c r="J83" s="125" t="n"/>
      <c r="K83" s="120" t="n"/>
    </row>
    <row r="84" ht="15" customHeight="1" s="72">
      <c r="A84" s="117" t="n"/>
      <c r="B84" s="117" t="n"/>
      <c r="C84" s="118" t="n"/>
      <c r="D84" s="118" t="n"/>
      <c r="E84" s="118" t="n"/>
      <c r="F84" s="123" t="n"/>
      <c r="G84" s="119" t="n"/>
      <c r="H84" s="123" t="n"/>
      <c r="I84" s="123" t="n"/>
      <c r="J84" s="125" t="n"/>
      <c r="K84" s="120" t="n"/>
    </row>
    <row r="85" ht="15" customHeight="1" s="72">
      <c r="A85" s="117" t="n"/>
      <c r="B85" s="117" t="n"/>
      <c r="C85" s="118" t="n"/>
      <c r="D85" s="118" t="n"/>
      <c r="E85" s="118" t="n"/>
      <c r="F85" s="123" t="n"/>
      <c r="G85" s="119" t="n"/>
      <c r="H85" s="123" t="n"/>
      <c r="I85" s="123" t="n"/>
      <c r="J85" s="125" t="n"/>
      <c r="K85" s="120" t="n"/>
    </row>
    <row r="86" ht="15" customHeight="1" s="72">
      <c r="A86" s="117" t="n"/>
      <c r="B86" s="117" t="n"/>
      <c r="C86" s="118" t="n"/>
      <c r="D86" s="118" t="n"/>
      <c r="E86" s="118" t="n"/>
      <c r="F86" s="123" t="n"/>
      <c r="G86" s="119" t="n"/>
      <c r="H86" s="123" t="n"/>
      <c r="I86" s="123" t="n"/>
      <c r="J86" s="125" t="n"/>
      <c r="K86" s="120" t="n"/>
    </row>
    <row r="87" ht="15" customHeight="1" s="72">
      <c r="A87" s="117" t="n"/>
      <c r="B87" s="117" t="n"/>
      <c r="C87" s="118" t="n"/>
      <c r="D87" s="118" t="n"/>
      <c r="E87" s="118" t="n"/>
      <c r="F87" s="123" t="n"/>
      <c r="G87" s="119" t="n"/>
      <c r="H87" s="123" t="n"/>
      <c r="I87" s="123" t="n"/>
      <c r="J87" s="125" t="n"/>
      <c r="K87" s="120" t="n"/>
    </row>
    <row r="88" ht="15" customHeight="1" s="72">
      <c r="A88" s="117" t="n"/>
      <c r="B88" s="117" t="n"/>
      <c r="C88" s="118" t="n"/>
      <c r="D88" s="118" t="n"/>
      <c r="E88" s="118" t="n"/>
      <c r="F88" s="123" t="n"/>
      <c r="G88" s="119" t="n"/>
      <c r="H88" s="123" t="n"/>
      <c r="I88" s="123" t="n"/>
      <c r="J88" s="125" t="n"/>
      <c r="K88" s="120" t="n"/>
    </row>
    <row r="89" ht="15" customHeight="1" s="72">
      <c r="A89" s="117" t="n"/>
      <c r="B89" s="117" t="n"/>
      <c r="C89" s="118" t="n"/>
      <c r="D89" s="118" t="n"/>
      <c r="E89" s="118" t="n"/>
      <c r="F89" s="123" t="n"/>
      <c r="G89" s="119" t="n"/>
      <c r="H89" s="123" t="n"/>
      <c r="I89" s="123" t="n"/>
      <c r="J89" s="125" t="n"/>
      <c r="K89" s="120" t="n"/>
    </row>
    <row r="90" ht="15" customHeight="1" s="72">
      <c r="A90" s="117" t="n"/>
      <c r="B90" s="117" t="n"/>
      <c r="C90" s="118" t="n"/>
      <c r="D90" s="118" t="n"/>
      <c r="E90" s="118" t="n"/>
      <c r="F90" s="123" t="n"/>
      <c r="G90" s="119" t="n"/>
      <c r="H90" s="123" t="n"/>
      <c r="I90" s="123" t="n"/>
      <c r="J90" s="125" t="n"/>
      <c r="K90" s="120" t="n"/>
    </row>
    <row r="91" ht="15" customHeight="1" s="72">
      <c r="A91" s="117" t="n"/>
      <c r="B91" s="117" t="n"/>
      <c r="C91" s="118" t="n"/>
      <c r="D91" s="118" t="n"/>
      <c r="E91" s="118" t="n"/>
      <c r="F91" s="123" t="n"/>
      <c r="G91" s="119" t="n"/>
      <c r="H91" s="123" t="n"/>
      <c r="I91" s="123" t="n"/>
      <c r="J91" s="125" t="n"/>
      <c r="K91" s="120" t="n"/>
    </row>
    <row r="92" ht="15" customHeight="1" s="72">
      <c r="A92" s="117" t="n"/>
      <c r="B92" s="117" t="n"/>
      <c r="C92" s="118" t="n"/>
      <c r="D92" s="118" t="n"/>
      <c r="E92" s="118" t="n"/>
      <c r="F92" s="123" t="n"/>
      <c r="G92" s="119" t="n"/>
      <c r="H92" s="123" t="n"/>
      <c r="I92" s="123" t="n"/>
      <c r="J92" s="125" t="n"/>
      <c r="K92" s="120" t="n"/>
    </row>
    <row r="93" ht="15" customHeight="1" s="72">
      <c r="A93" s="117" t="n"/>
      <c r="B93" s="117" t="n"/>
      <c r="C93" s="118" t="n"/>
      <c r="D93" s="118" t="n"/>
      <c r="E93" s="118" t="n"/>
      <c r="F93" s="123" t="n"/>
      <c r="G93" s="119" t="n"/>
      <c r="H93" s="123" t="n"/>
      <c r="I93" s="123" t="n"/>
      <c r="J93" s="125" t="n"/>
      <c r="K93" s="120" t="n"/>
    </row>
    <row r="94" ht="15" customHeight="1" s="72">
      <c r="A94" s="117" t="n"/>
      <c r="B94" s="117" t="n"/>
      <c r="C94" s="118" t="n"/>
      <c r="D94" s="118" t="n"/>
      <c r="E94" s="118" t="n"/>
      <c r="F94" s="123" t="n"/>
      <c r="G94" s="119" t="n"/>
      <c r="H94" s="123" t="n"/>
      <c r="I94" s="123" t="n"/>
      <c r="J94" s="125" t="n"/>
      <c r="K94" s="120" t="n"/>
    </row>
    <row r="95" ht="15" customHeight="1" s="72">
      <c r="A95" s="117" t="n"/>
      <c r="B95" s="117" t="n"/>
      <c r="C95" s="118" t="n"/>
      <c r="D95" s="118" t="n"/>
      <c r="E95" s="118" t="n"/>
      <c r="F95" s="123" t="n"/>
      <c r="G95" s="119" t="n"/>
      <c r="H95" s="123" t="n"/>
      <c r="I95" s="123" t="n"/>
      <c r="J95" s="125" t="n"/>
      <c r="K95" s="120" t="n"/>
    </row>
    <row r="96" ht="15" customHeight="1" s="72">
      <c r="A96" s="117" t="n"/>
      <c r="B96" s="117" t="n"/>
      <c r="C96" s="118" t="n"/>
      <c r="D96" s="118" t="n"/>
      <c r="E96" s="118" t="n"/>
      <c r="F96" s="123" t="n"/>
      <c r="G96" s="119" t="n"/>
      <c r="H96" s="123" t="n"/>
      <c r="I96" s="123" t="n"/>
      <c r="J96" s="125" t="n"/>
      <c r="K96" s="120" t="n"/>
    </row>
    <row r="97" ht="15" customHeight="1" s="72">
      <c r="A97" s="117" t="n"/>
      <c r="B97" s="117" t="n"/>
      <c r="C97" s="118" t="n"/>
      <c r="D97" s="118" t="n"/>
      <c r="E97" s="118" t="n"/>
      <c r="F97" s="123" t="n"/>
      <c r="G97" s="119" t="n"/>
      <c r="H97" s="123" t="n"/>
      <c r="I97" s="123" t="n"/>
      <c r="J97" s="125" t="n"/>
      <c r="K97" s="120" t="n"/>
    </row>
    <row r="98" ht="15" customHeight="1" s="72">
      <c r="A98" s="117" t="n"/>
      <c r="B98" s="117" t="n"/>
      <c r="C98" s="118" t="n"/>
      <c r="D98" s="118" t="n"/>
      <c r="E98" s="118" t="n"/>
      <c r="F98" s="123" t="n"/>
      <c r="G98" s="119" t="n"/>
      <c r="H98" s="123" t="n"/>
      <c r="I98" s="123" t="n"/>
      <c r="J98" s="125" t="n"/>
      <c r="K98" s="120" t="n"/>
    </row>
    <row r="99" ht="15" customHeight="1" s="72">
      <c r="A99" s="117" t="n"/>
      <c r="B99" s="117" t="n"/>
      <c r="C99" s="118" t="n"/>
      <c r="D99" s="118" t="n"/>
      <c r="E99" s="118" t="n"/>
      <c r="F99" s="123" t="n"/>
      <c r="G99" s="119" t="n"/>
      <c r="H99" s="123" t="n"/>
      <c r="I99" s="123" t="n"/>
      <c r="J99" s="125" t="n"/>
      <c r="K99" s="120" t="n"/>
    </row>
    <row r="100" ht="15" customHeight="1" s="72">
      <c r="A100" s="117" t="n"/>
      <c r="B100" s="117" t="n"/>
      <c r="C100" s="118" t="n"/>
      <c r="D100" s="118" t="n"/>
      <c r="E100" s="118" t="n"/>
      <c r="F100" s="123" t="n"/>
      <c r="G100" s="119" t="n"/>
      <c r="H100" s="123" t="n"/>
      <c r="I100" s="123" t="n"/>
      <c r="J100" s="125" t="n"/>
      <c r="K100" s="120" t="n"/>
    </row>
    <row r="101" ht="15" customHeight="1" s="72">
      <c r="A101" s="117" t="n"/>
      <c r="B101" s="117" t="n"/>
      <c r="C101" s="118" t="n"/>
      <c r="D101" s="118" t="n"/>
      <c r="E101" s="118" t="n"/>
      <c r="F101" s="123" t="n"/>
      <c r="G101" s="119" t="n"/>
      <c r="H101" s="123" t="n"/>
      <c r="I101" s="123" t="n"/>
      <c r="J101" s="125" t="n"/>
      <c r="K101" s="120" t="n"/>
    </row>
    <row r="102" ht="15" customHeight="1" s="72">
      <c r="A102" s="117" t="n"/>
      <c r="B102" s="117" t="n"/>
      <c r="C102" s="118" t="n"/>
      <c r="D102" s="118" t="n"/>
      <c r="E102" s="118" t="n"/>
      <c r="F102" s="123" t="n"/>
      <c r="G102" s="119" t="n"/>
      <c r="H102" s="123" t="n"/>
      <c r="I102" s="123" t="n"/>
      <c r="J102" s="125" t="n"/>
      <c r="K102" s="120" t="n"/>
    </row>
    <row r="103" ht="15" customHeight="1" s="72">
      <c r="A103" s="117" t="n"/>
      <c r="B103" s="117" t="n"/>
      <c r="C103" s="118" t="n"/>
      <c r="D103" s="118" t="n"/>
      <c r="E103" s="118" t="n"/>
      <c r="F103" s="123" t="n"/>
      <c r="G103" s="119" t="n"/>
      <c r="H103" s="123" t="n"/>
      <c r="I103" s="123" t="n"/>
      <c r="J103" s="125" t="n"/>
      <c r="K103" s="120" t="n"/>
    </row>
    <row r="104" ht="15" customHeight="1" s="72">
      <c r="A104" s="117" t="n"/>
      <c r="B104" s="117" t="n"/>
      <c r="C104" s="118" t="n"/>
      <c r="D104" s="118" t="n"/>
      <c r="E104" s="118" t="n"/>
      <c r="F104" s="123" t="n"/>
      <c r="G104" s="119" t="n"/>
      <c r="H104" s="123" t="n"/>
      <c r="I104" s="123" t="n"/>
      <c r="J104" s="125" t="n"/>
      <c r="K104" s="120" t="n"/>
    </row>
    <row r="105" ht="15" customHeight="1" s="72">
      <c r="A105" s="117" t="n"/>
      <c r="B105" s="117" t="n"/>
      <c r="C105" s="118" t="n"/>
      <c r="D105" s="118" t="n"/>
      <c r="E105" s="118" t="n"/>
      <c r="F105" s="123" t="n"/>
      <c r="G105" s="119" t="n"/>
      <c r="H105" s="123" t="n"/>
      <c r="I105" s="123" t="n"/>
      <c r="J105" s="125" t="n"/>
      <c r="K105" s="120" t="n"/>
    </row>
    <row r="106" ht="15" customHeight="1" s="72">
      <c r="A106" s="117" t="n"/>
      <c r="B106" s="117" t="n"/>
      <c r="C106" s="118" t="n"/>
      <c r="D106" s="118" t="n"/>
      <c r="E106" s="118" t="n"/>
      <c r="F106" s="123" t="n"/>
      <c r="G106" s="119" t="n"/>
      <c r="H106" s="123" t="n"/>
      <c r="I106" s="123" t="n"/>
      <c r="J106" s="125" t="n"/>
      <c r="K106" s="120" t="n"/>
    </row>
    <row r="107" ht="15" customHeight="1" s="72">
      <c r="A107" s="117" t="n"/>
      <c r="B107" s="117" t="n"/>
      <c r="C107" s="118" t="n"/>
      <c r="D107" s="118" t="n"/>
      <c r="E107" s="118" t="n"/>
      <c r="F107" s="123" t="n"/>
      <c r="G107" s="119" t="n"/>
      <c r="H107" s="123" t="n"/>
      <c r="I107" s="123" t="n"/>
      <c r="J107" s="125" t="n"/>
      <c r="K107" s="120" t="n"/>
    </row>
    <row r="108" ht="15" customHeight="1" s="72">
      <c r="A108" s="117" t="n"/>
      <c r="B108" s="117" t="n"/>
      <c r="C108" s="118" t="n"/>
      <c r="D108" s="118" t="n"/>
      <c r="E108" s="118" t="n"/>
      <c r="F108" s="123" t="n"/>
      <c r="G108" s="119" t="n"/>
      <c r="H108" s="123" t="n"/>
      <c r="I108" s="123" t="n"/>
      <c r="J108" s="125" t="n"/>
      <c r="K108" s="120" t="n"/>
    </row>
    <row r="109" ht="15" customHeight="1" s="72">
      <c r="A109" s="117" t="n"/>
      <c r="B109" s="117" t="n"/>
      <c r="C109" s="118" t="n"/>
      <c r="D109" s="118" t="n"/>
      <c r="E109" s="118" t="n"/>
      <c r="F109" s="123" t="n"/>
      <c r="G109" s="119" t="n"/>
      <c r="H109" s="123" t="n"/>
      <c r="I109" s="123" t="n"/>
      <c r="J109" s="125" t="n"/>
      <c r="K109" s="120" t="n"/>
    </row>
    <row r="110" ht="15" customHeight="1" s="72">
      <c r="A110" s="117" t="n"/>
      <c r="B110" s="117" t="n"/>
      <c r="C110" s="118" t="n"/>
      <c r="D110" s="118" t="n"/>
      <c r="E110" s="118" t="n"/>
      <c r="F110" s="123" t="n"/>
      <c r="G110" s="119" t="n"/>
      <c r="H110" s="123" t="n"/>
      <c r="I110" s="123" t="n"/>
      <c r="J110" s="125" t="n"/>
      <c r="K110" s="120" t="n"/>
    </row>
    <row r="111" ht="15" customHeight="1" s="72">
      <c r="A111" s="117" t="n"/>
      <c r="B111" s="117" t="n"/>
      <c r="C111" s="118" t="n"/>
      <c r="D111" s="118" t="n"/>
      <c r="E111" s="118" t="n"/>
      <c r="F111" s="123" t="n"/>
      <c r="G111" s="119" t="n"/>
      <c r="H111" s="123" t="n"/>
      <c r="I111" s="123" t="n"/>
      <c r="J111" s="125" t="n"/>
      <c r="K111" s="120" t="n"/>
    </row>
    <row r="112" ht="15" customHeight="1" s="72">
      <c r="A112" s="117" t="n"/>
      <c r="B112" s="117" t="n"/>
      <c r="C112" s="118" t="n"/>
      <c r="D112" s="118" t="n"/>
      <c r="E112" s="118" t="n"/>
      <c r="F112" s="123" t="n"/>
      <c r="G112" s="119" t="n"/>
      <c r="H112" s="123" t="n"/>
      <c r="I112" s="123" t="n"/>
      <c r="J112" s="125" t="n"/>
      <c r="K112" s="120" t="n"/>
    </row>
    <row r="113" ht="15" customHeight="1" s="72">
      <c r="A113" s="117" t="n"/>
      <c r="B113" s="117" t="n"/>
      <c r="C113" s="118" t="n"/>
      <c r="D113" s="118" t="n"/>
      <c r="E113" s="118" t="n"/>
      <c r="F113" s="123" t="n"/>
      <c r="G113" s="119" t="n"/>
      <c r="H113" s="123" t="n"/>
      <c r="I113" s="123" t="n"/>
      <c r="J113" s="125" t="n"/>
      <c r="K113" s="120" t="n"/>
    </row>
    <row r="114" ht="15" customHeight="1" s="72">
      <c r="A114" s="117" t="n"/>
      <c r="B114" s="117" t="n"/>
      <c r="C114" s="118" t="n"/>
      <c r="D114" s="118" t="n"/>
      <c r="E114" s="118" t="n"/>
      <c r="F114" s="123" t="n"/>
      <c r="G114" s="119" t="n"/>
      <c r="H114" s="123" t="n"/>
      <c r="I114" s="123" t="n"/>
      <c r="J114" s="125" t="n"/>
      <c r="K114" s="120" t="n"/>
    </row>
    <row r="115" ht="15" customHeight="1" s="72">
      <c r="A115" s="117" t="n"/>
      <c r="B115" s="117" t="n"/>
      <c r="C115" s="118" t="n"/>
      <c r="D115" s="118" t="n"/>
      <c r="E115" s="118" t="n"/>
      <c r="F115" s="123" t="n"/>
      <c r="G115" s="119" t="n"/>
      <c r="H115" s="123" t="n"/>
      <c r="I115" s="123" t="n"/>
      <c r="J115" s="125" t="n"/>
      <c r="K115" s="120" t="n"/>
    </row>
    <row r="116" ht="15" customHeight="1" s="72">
      <c r="A116" s="117" t="n"/>
      <c r="B116" s="117" t="n"/>
      <c r="C116" s="118" t="n"/>
      <c r="D116" s="118" t="n"/>
      <c r="E116" s="118" t="n"/>
      <c r="F116" s="123" t="n"/>
      <c r="G116" s="119" t="n"/>
      <c r="H116" s="123" t="n"/>
      <c r="I116" s="123" t="n"/>
      <c r="J116" s="125" t="n"/>
      <c r="K116" s="120" t="n"/>
    </row>
    <row r="117" ht="15" customHeight="1" s="72">
      <c r="A117" s="117" t="n"/>
      <c r="B117" s="117" t="n"/>
      <c r="C117" s="118" t="n"/>
      <c r="D117" s="118" t="n"/>
      <c r="E117" s="118" t="n"/>
      <c r="F117" s="123" t="n"/>
      <c r="G117" s="119" t="n"/>
      <c r="H117" s="123" t="n"/>
      <c r="I117" s="123" t="n"/>
      <c r="J117" s="125" t="n"/>
      <c r="K117" s="120" t="n"/>
    </row>
    <row r="118" ht="15" customHeight="1" s="72">
      <c r="A118" s="117" t="n"/>
      <c r="B118" s="117" t="n"/>
      <c r="C118" s="118" t="n"/>
      <c r="D118" s="118" t="n"/>
      <c r="E118" s="118" t="n"/>
      <c r="F118" s="123" t="n"/>
      <c r="G118" s="119" t="n"/>
      <c r="H118" s="123" t="n"/>
      <c r="I118" s="123" t="n"/>
      <c r="J118" s="125" t="n"/>
      <c r="K118" s="120" t="n"/>
    </row>
    <row r="119" ht="15" customHeight="1" s="72">
      <c r="A119" s="117" t="n"/>
      <c r="B119" s="117" t="n"/>
      <c r="C119" s="118" t="n"/>
      <c r="D119" s="118" t="n"/>
      <c r="E119" s="118" t="n"/>
      <c r="F119" s="123" t="n"/>
      <c r="G119" s="119" t="n"/>
      <c r="H119" s="123" t="n"/>
      <c r="I119" s="123" t="n"/>
      <c r="J119" s="125" t="n"/>
      <c r="K119" s="120" t="n"/>
    </row>
    <row r="120" ht="15" customHeight="1" s="72">
      <c r="A120" s="117" t="n"/>
      <c r="B120" s="117" t="n"/>
      <c r="C120" s="118" t="n"/>
      <c r="D120" s="118" t="n"/>
      <c r="E120" s="118" t="n"/>
      <c r="F120" s="123" t="n"/>
      <c r="G120" s="119" t="n"/>
      <c r="H120" s="123" t="n"/>
      <c r="I120" s="123" t="n"/>
      <c r="J120" s="125" t="n"/>
      <c r="K120" s="120" t="n"/>
    </row>
    <row r="121" ht="15" customHeight="1" s="72">
      <c r="A121" s="117" t="n"/>
      <c r="B121" s="117" t="n"/>
      <c r="C121" s="118" t="n"/>
      <c r="D121" s="118" t="n"/>
      <c r="E121" s="118" t="n"/>
      <c r="F121" s="123" t="n"/>
      <c r="G121" s="119" t="n"/>
      <c r="H121" s="123" t="n"/>
      <c r="I121" s="123" t="n"/>
      <c r="J121" s="125" t="n"/>
      <c r="K121" s="120" t="n"/>
    </row>
    <row r="122" ht="15" customHeight="1" s="72">
      <c r="A122" s="117" t="n"/>
      <c r="B122" s="117" t="n"/>
      <c r="C122" s="118" t="n"/>
      <c r="D122" s="118" t="n"/>
      <c r="E122" s="118" t="n"/>
      <c r="F122" s="123" t="n"/>
      <c r="G122" s="119" t="n"/>
      <c r="H122" s="123" t="n"/>
      <c r="I122" s="123" t="n"/>
      <c r="J122" s="125" t="n"/>
      <c r="K122" s="120" t="n"/>
    </row>
    <row r="123" ht="15" customHeight="1" s="72">
      <c r="A123" s="117" t="n"/>
      <c r="B123" s="117" t="n"/>
      <c r="C123" s="118" t="n"/>
      <c r="D123" s="118" t="n"/>
      <c r="E123" s="118" t="n"/>
      <c r="F123" s="123" t="n"/>
      <c r="G123" s="119" t="n"/>
      <c r="H123" s="123" t="n"/>
      <c r="I123" s="123" t="n"/>
      <c r="J123" s="125" t="n"/>
      <c r="K123" s="120" t="n"/>
    </row>
    <row r="124" ht="15" customHeight="1" s="72">
      <c r="A124" s="117" t="n"/>
      <c r="B124" s="117" t="n"/>
      <c r="C124" s="118" t="n"/>
      <c r="D124" s="118" t="n"/>
      <c r="E124" s="118" t="n"/>
      <c r="F124" s="123" t="n"/>
      <c r="G124" s="119" t="n"/>
      <c r="H124" s="123" t="n"/>
      <c r="I124" s="123" t="n"/>
      <c r="J124" s="125" t="n"/>
      <c r="K124" s="120" t="n"/>
    </row>
    <row r="125" ht="15" customHeight="1" s="72">
      <c r="A125" s="117" t="n"/>
      <c r="B125" s="117" t="n"/>
      <c r="C125" s="118" t="n"/>
      <c r="D125" s="118" t="n"/>
      <c r="E125" s="118" t="n"/>
      <c r="F125" s="123" t="n"/>
      <c r="G125" s="119" t="n"/>
      <c r="H125" s="123" t="n"/>
      <c r="I125" s="123" t="n"/>
      <c r="J125" s="125" t="n"/>
      <c r="K125" s="120" t="n"/>
    </row>
    <row r="126" ht="15" customHeight="1" s="72">
      <c r="A126" s="117" t="n"/>
      <c r="B126" s="117" t="n"/>
      <c r="C126" s="118" t="n"/>
      <c r="D126" s="118" t="n"/>
      <c r="E126" s="118" t="n"/>
      <c r="F126" s="123" t="n"/>
      <c r="G126" s="119" t="n"/>
      <c r="H126" s="123" t="n"/>
      <c r="I126" s="123" t="n"/>
      <c r="J126" s="125" t="n"/>
      <c r="K126" s="120" t="n"/>
    </row>
    <row r="127" ht="15" customHeight="1" s="72">
      <c r="A127" s="117" t="n"/>
      <c r="B127" s="117" t="n"/>
      <c r="C127" s="118" t="n"/>
      <c r="D127" s="118" t="n"/>
      <c r="E127" s="118" t="n"/>
      <c r="F127" s="123" t="n"/>
      <c r="G127" s="119" t="n"/>
      <c r="H127" s="123" t="n"/>
      <c r="I127" s="123" t="n"/>
      <c r="J127" s="125" t="n"/>
      <c r="K127" s="120" t="n"/>
    </row>
    <row r="128" ht="15" customHeight="1" s="72">
      <c r="A128" s="117" t="n"/>
      <c r="B128" s="117" t="n"/>
      <c r="C128" s="118" t="n"/>
      <c r="D128" s="118" t="n"/>
      <c r="E128" s="118" t="n"/>
      <c r="F128" s="123" t="n"/>
      <c r="G128" s="119" t="n"/>
      <c r="H128" s="123" t="n"/>
      <c r="I128" s="123" t="n"/>
      <c r="J128" s="125" t="n"/>
      <c r="K128" s="120" t="n"/>
    </row>
    <row r="129" ht="15" customHeight="1" s="72">
      <c r="A129" s="117" t="n"/>
      <c r="B129" s="117" t="n"/>
      <c r="C129" s="118" t="n"/>
      <c r="D129" s="118" t="n"/>
      <c r="E129" s="118" t="n"/>
      <c r="F129" s="123" t="n"/>
      <c r="G129" s="119" t="n"/>
      <c r="H129" s="123" t="n"/>
      <c r="I129" s="123" t="n"/>
      <c r="J129" s="125" t="n"/>
      <c r="K129" s="120" t="n"/>
    </row>
    <row r="130" ht="15" customHeight="1" s="72">
      <c r="A130" s="117" t="n"/>
      <c r="B130" s="117" t="n"/>
      <c r="C130" s="118" t="n"/>
      <c r="D130" s="118" t="n"/>
      <c r="E130" s="118" t="n"/>
      <c r="F130" s="123" t="n"/>
      <c r="G130" s="119" t="n"/>
      <c r="H130" s="123" t="n"/>
      <c r="I130" s="123" t="n"/>
      <c r="J130" s="125" t="n"/>
      <c r="K130" s="120" t="n"/>
    </row>
    <row r="131" ht="15" customHeight="1" s="72">
      <c r="A131" s="117" t="n"/>
      <c r="B131" s="117" t="n"/>
      <c r="C131" s="118" t="n"/>
      <c r="D131" s="118" t="n"/>
      <c r="E131" s="118" t="n"/>
      <c r="F131" s="123" t="n"/>
      <c r="G131" s="119" t="n"/>
      <c r="H131" s="123" t="n"/>
      <c r="I131" s="123" t="n"/>
      <c r="J131" s="125" t="n"/>
      <c r="K131" s="120" t="n"/>
    </row>
    <row r="132" ht="15" customHeight="1" s="72">
      <c r="A132" s="117" t="n"/>
      <c r="B132" s="117" t="n"/>
      <c r="C132" s="118" t="n"/>
      <c r="D132" s="118" t="n"/>
      <c r="E132" s="118" t="n"/>
      <c r="F132" s="123" t="n"/>
      <c r="G132" s="119" t="n"/>
      <c r="H132" s="123" t="n"/>
      <c r="I132" s="123" t="n"/>
      <c r="J132" s="125" t="n"/>
      <c r="K132" s="120" t="n"/>
    </row>
    <row r="133" ht="15" customHeight="1" s="72">
      <c r="A133" s="117" t="n"/>
      <c r="B133" s="117" t="n"/>
      <c r="C133" s="118" t="n"/>
      <c r="D133" s="118" t="n"/>
      <c r="E133" s="118" t="n"/>
      <c r="F133" s="123" t="n"/>
      <c r="G133" s="119" t="n"/>
      <c r="H133" s="123" t="n"/>
      <c r="I133" s="123" t="n"/>
      <c r="J133" s="125" t="n"/>
      <c r="K133" s="120" t="n"/>
    </row>
    <row r="134" ht="15" customHeight="1" s="72">
      <c r="A134" s="117" t="n"/>
      <c r="B134" s="117" t="n"/>
      <c r="C134" s="118" t="n"/>
      <c r="D134" s="118" t="n"/>
      <c r="E134" s="118" t="n"/>
      <c r="F134" s="123" t="n"/>
      <c r="G134" s="119" t="n"/>
      <c r="H134" s="123" t="n"/>
      <c r="I134" s="123" t="n"/>
      <c r="J134" s="125" t="n"/>
      <c r="K134" s="120" t="n"/>
    </row>
    <row r="135" ht="15" customHeight="1" s="72">
      <c r="A135" s="117" t="n"/>
      <c r="B135" s="117" t="n"/>
      <c r="C135" s="118" t="n"/>
      <c r="D135" s="118" t="n"/>
      <c r="E135" s="118" t="n"/>
      <c r="F135" s="123" t="n"/>
      <c r="G135" s="119" t="n"/>
      <c r="H135" s="123" t="n"/>
      <c r="I135" s="123" t="n"/>
      <c r="J135" s="125" t="n"/>
      <c r="K135" s="120" t="n"/>
    </row>
    <row r="136" ht="15" customHeight="1" s="72">
      <c r="A136" s="117" t="n"/>
      <c r="B136" s="117" t="n"/>
      <c r="C136" s="118" t="n"/>
      <c r="D136" s="118" t="n"/>
      <c r="E136" s="118" t="n"/>
      <c r="F136" s="123" t="n"/>
      <c r="G136" s="119" t="n"/>
      <c r="H136" s="123" t="n"/>
      <c r="I136" s="123" t="n"/>
      <c r="J136" s="125" t="n"/>
      <c r="K136" s="120" t="n"/>
    </row>
    <row r="137" ht="15" customHeight="1" s="72">
      <c r="A137" s="117" t="n"/>
      <c r="B137" s="117" t="n"/>
      <c r="C137" s="118" t="n"/>
      <c r="D137" s="118" t="n"/>
      <c r="E137" s="118" t="n"/>
      <c r="F137" s="123" t="n"/>
      <c r="G137" s="119" t="n"/>
      <c r="H137" s="123" t="n"/>
      <c r="I137" s="123" t="n"/>
      <c r="J137" s="125" t="n"/>
      <c r="K137" s="120" t="n"/>
    </row>
    <row r="138" ht="15" customHeight="1" s="72">
      <c r="A138" s="117" t="n"/>
      <c r="B138" s="117" t="n"/>
      <c r="C138" s="118" t="n"/>
      <c r="D138" s="118" t="n"/>
      <c r="E138" s="118" t="n"/>
      <c r="F138" s="123" t="n"/>
      <c r="G138" s="119" t="n"/>
      <c r="H138" s="123" t="n"/>
      <c r="I138" s="123" t="n"/>
      <c r="J138" s="125" t="n"/>
      <c r="K138" s="120" t="n"/>
    </row>
    <row r="139" ht="15" customHeight="1" s="72">
      <c r="A139" s="117" t="n"/>
      <c r="B139" s="117" t="n"/>
      <c r="C139" s="118" t="n"/>
      <c r="D139" s="118" t="n"/>
      <c r="E139" s="118" t="n"/>
      <c r="F139" s="123" t="n"/>
      <c r="G139" s="119" t="n"/>
      <c r="H139" s="123" t="n"/>
      <c r="I139" s="123" t="n"/>
      <c r="J139" s="125" t="n"/>
      <c r="K139" s="120" t="n"/>
    </row>
    <row r="140" ht="15" customHeight="1" s="72">
      <c r="A140" s="117" t="n"/>
      <c r="B140" s="117" t="n"/>
      <c r="C140" s="118" t="n"/>
      <c r="D140" s="118" t="n"/>
      <c r="E140" s="118" t="n"/>
      <c r="F140" s="123" t="n"/>
      <c r="G140" s="119" t="n"/>
      <c r="H140" s="123" t="n"/>
      <c r="I140" s="123" t="n"/>
      <c r="J140" s="125" t="n"/>
      <c r="K140" s="120" t="n"/>
    </row>
    <row r="141" ht="15" customHeight="1" s="72">
      <c r="A141" s="117" t="n"/>
      <c r="B141" s="117" t="n"/>
      <c r="C141" s="118" t="n"/>
      <c r="D141" s="118" t="n"/>
      <c r="E141" s="118" t="n"/>
      <c r="F141" s="123" t="n"/>
      <c r="G141" s="119" t="n"/>
      <c r="H141" s="123" t="n"/>
      <c r="I141" s="123" t="n"/>
      <c r="J141" s="125" t="n"/>
      <c r="K141" s="120" t="n"/>
    </row>
    <row r="142" ht="15" customHeight="1" s="72">
      <c r="A142" s="117" t="n"/>
      <c r="B142" s="117" t="n"/>
      <c r="C142" s="118" t="n"/>
      <c r="D142" s="118" t="n"/>
      <c r="E142" s="118" t="n"/>
      <c r="F142" s="123" t="n"/>
      <c r="G142" s="119" t="n"/>
      <c r="H142" s="123" t="n"/>
      <c r="I142" s="123" t="n"/>
      <c r="J142" s="125" t="n"/>
      <c r="K142" s="120" t="n"/>
    </row>
    <row r="143" ht="15" customHeight="1" s="72">
      <c r="A143" s="117" t="n"/>
      <c r="B143" s="117" t="n"/>
      <c r="C143" s="118" t="n"/>
      <c r="D143" s="118" t="n"/>
      <c r="E143" s="118" t="n"/>
      <c r="F143" s="123" t="n"/>
      <c r="G143" s="119" t="n"/>
      <c r="H143" s="123" t="n"/>
      <c r="I143" s="123" t="n"/>
      <c r="J143" s="125" t="n"/>
      <c r="K143" s="120" t="n"/>
    </row>
    <row r="144" ht="15" customHeight="1" s="72">
      <c r="A144" s="117" t="n"/>
      <c r="B144" s="117" t="n"/>
      <c r="C144" s="118" t="n"/>
      <c r="D144" s="118" t="n"/>
      <c r="E144" s="118" t="n"/>
      <c r="F144" s="123" t="n"/>
      <c r="G144" s="119" t="n"/>
      <c r="H144" s="123" t="n"/>
      <c r="I144" s="123" t="n"/>
      <c r="J144" s="125" t="n"/>
      <c r="K144" s="120" t="n"/>
    </row>
    <row r="145" ht="15" customHeight="1" s="72">
      <c r="A145" s="117" t="n"/>
      <c r="B145" s="117" t="n"/>
      <c r="C145" s="118" t="n"/>
      <c r="D145" s="118" t="n"/>
      <c r="E145" s="118" t="n"/>
      <c r="F145" s="123" t="n"/>
      <c r="G145" s="119" t="n"/>
      <c r="H145" s="123" t="n"/>
      <c r="I145" s="123" t="n"/>
      <c r="J145" s="125" t="n"/>
      <c r="K145" s="120" t="n"/>
    </row>
    <row r="146" ht="15" customHeight="1" s="72">
      <c r="A146" s="117" t="n"/>
      <c r="B146" s="117" t="n"/>
      <c r="C146" s="118" t="n"/>
      <c r="D146" s="118" t="n"/>
      <c r="E146" s="118" t="n"/>
      <c r="F146" s="123" t="n"/>
      <c r="G146" s="119" t="n"/>
      <c r="H146" s="123" t="n"/>
      <c r="I146" s="123" t="n"/>
      <c r="J146" s="125" t="n"/>
      <c r="K146" s="120" t="n"/>
    </row>
    <row r="147" ht="15" customHeight="1" s="72">
      <c r="A147" s="117" t="n"/>
      <c r="B147" s="117" t="n"/>
      <c r="C147" s="118" t="n"/>
      <c r="D147" s="118" t="n"/>
      <c r="E147" s="118" t="n"/>
      <c r="F147" s="123" t="n"/>
      <c r="G147" s="119" t="n"/>
      <c r="H147" s="123" t="n"/>
      <c r="I147" s="123" t="n"/>
      <c r="J147" s="125" t="n"/>
      <c r="K147" s="120" t="n"/>
    </row>
    <row r="148" ht="15" customHeight="1" s="72">
      <c r="A148" s="117" t="n"/>
      <c r="B148" s="117" t="n"/>
      <c r="C148" s="118" t="n"/>
      <c r="D148" s="118" t="n"/>
      <c r="E148" s="118" t="n"/>
      <c r="F148" s="123" t="n"/>
      <c r="G148" s="119" t="n"/>
      <c r="H148" s="123" t="n"/>
      <c r="I148" s="123" t="n"/>
      <c r="J148" s="125" t="n"/>
      <c r="K148" s="120" t="n"/>
    </row>
    <row r="149" ht="15" customHeight="1" s="72">
      <c r="A149" s="117" t="n"/>
      <c r="B149" s="117" t="n"/>
      <c r="C149" s="118" t="n"/>
      <c r="D149" s="118" t="n"/>
      <c r="E149" s="118" t="n"/>
      <c r="F149" s="123" t="n"/>
      <c r="G149" s="119" t="n"/>
      <c r="H149" s="123" t="n"/>
      <c r="I149" s="123" t="n"/>
      <c r="J149" s="125" t="n"/>
      <c r="K149" s="120" t="n"/>
    </row>
    <row r="150" ht="15" customHeight="1" s="72">
      <c r="A150" s="117" t="n"/>
      <c r="B150" s="117" t="n"/>
      <c r="C150" s="118" t="n"/>
      <c r="D150" s="118" t="n"/>
      <c r="E150" s="118" t="n"/>
      <c r="F150" s="123" t="n"/>
      <c r="G150" s="119" t="n"/>
      <c r="H150" s="123" t="n"/>
      <c r="I150" s="123" t="n"/>
      <c r="J150" s="125" t="n"/>
      <c r="K150" s="120" t="n"/>
    </row>
    <row r="151" ht="15" customHeight="1" s="72">
      <c r="A151" s="117" t="n"/>
      <c r="B151" s="117" t="n"/>
      <c r="C151" s="118" t="n"/>
      <c r="D151" s="118" t="n"/>
      <c r="E151" s="118" t="n"/>
      <c r="F151" s="123" t="n"/>
      <c r="G151" s="119" t="n"/>
      <c r="H151" s="123" t="n"/>
      <c r="I151" s="123" t="n"/>
      <c r="J151" s="125" t="n"/>
      <c r="K151" s="120" t="n"/>
    </row>
    <row r="152" ht="15" customHeight="1" s="72">
      <c r="A152" s="117" t="n"/>
      <c r="B152" s="117" t="n"/>
      <c r="C152" s="118" t="n"/>
      <c r="D152" s="118" t="n"/>
      <c r="E152" s="118" t="n"/>
      <c r="F152" s="123" t="n"/>
      <c r="G152" s="119" t="n"/>
      <c r="H152" s="123" t="n"/>
      <c r="I152" s="123" t="n"/>
      <c r="J152" s="125" t="n"/>
      <c r="K152" s="120" t="n"/>
    </row>
    <row r="153" ht="15" customHeight="1" s="72">
      <c r="A153" s="117" t="n"/>
      <c r="B153" s="117" t="n"/>
      <c r="C153" s="118" t="n"/>
      <c r="D153" s="118" t="n"/>
      <c r="E153" s="118" t="n"/>
      <c r="F153" s="123" t="n"/>
      <c r="G153" s="119" t="n"/>
      <c r="H153" s="123" t="n"/>
      <c r="I153" s="123" t="n"/>
      <c r="J153" s="125" t="n"/>
      <c r="K153" s="120" t="n"/>
    </row>
    <row r="154" ht="15" customHeight="1" s="72">
      <c r="A154" s="117" t="n"/>
      <c r="B154" s="117" t="n"/>
      <c r="C154" s="118" t="n"/>
      <c r="D154" s="118" t="n"/>
      <c r="E154" s="118" t="n"/>
      <c r="F154" s="123" t="n"/>
      <c r="G154" s="119" t="n"/>
      <c r="H154" s="123" t="n"/>
      <c r="I154" s="123" t="n"/>
      <c r="J154" s="125" t="n"/>
      <c r="K154" s="120" t="n"/>
    </row>
    <row r="155" ht="15" customHeight="1" s="72">
      <c r="A155" s="117" t="n"/>
      <c r="B155" s="117" t="n"/>
      <c r="C155" s="118" t="n"/>
      <c r="D155" s="118" t="n"/>
      <c r="E155" s="118" t="n"/>
      <c r="F155" s="123" t="n"/>
      <c r="G155" s="119" t="n"/>
      <c r="H155" s="123" t="n"/>
      <c r="I155" s="123" t="n"/>
      <c r="J155" s="125" t="n"/>
      <c r="K155" s="120" t="n"/>
    </row>
    <row r="156" ht="15" customHeight="1" s="72">
      <c r="A156" s="117" t="n"/>
      <c r="B156" s="117" t="n"/>
      <c r="C156" s="118" t="n"/>
      <c r="D156" s="118" t="n"/>
      <c r="E156" s="118" t="n"/>
      <c r="F156" s="123" t="n"/>
      <c r="G156" s="119" t="n"/>
      <c r="H156" s="123" t="n"/>
      <c r="I156" s="123" t="n"/>
      <c r="J156" s="125" t="n"/>
      <c r="K156" s="120" t="n"/>
    </row>
    <row r="157" ht="15" customHeight="1" s="72">
      <c r="A157" s="117" t="n"/>
      <c r="B157" s="117" t="n"/>
      <c r="C157" s="118" t="n"/>
      <c r="D157" s="118" t="n"/>
      <c r="E157" s="118" t="n"/>
      <c r="F157" s="123" t="n"/>
      <c r="G157" s="119" t="n"/>
      <c r="H157" s="123" t="n"/>
      <c r="I157" s="123" t="n"/>
      <c r="J157" s="125" t="n"/>
      <c r="K157" s="120" t="n"/>
    </row>
    <row r="158" ht="15" customHeight="1" s="72">
      <c r="A158" s="117" t="n"/>
      <c r="B158" s="117" t="n"/>
      <c r="C158" s="118" t="n"/>
      <c r="D158" s="118" t="n"/>
      <c r="E158" s="118" t="n"/>
      <c r="F158" s="123" t="n"/>
      <c r="G158" s="119" t="n"/>
      <c r="H158" s="123" t="n"/>
      <c r="I158" s="123" t="n"/>
      <c r="J158" s="125" t="n"/>
      <c r="K158" s="120" t="n"/>
    </row>
    <row r="159" ht="15" customHeight="1" s="72">
      <c r="A159" s="117" t="n"/>
      <c r="B159" s="117" t="n"/>
      <c r="C159" s="118" t="n"/>
      <c r="D159" s="118" t="n"/>
      <c r="E159" s="118" t="n"/>
      <c r="F159" s="123" t="n"/>
      <c r="G159" s="119" t="n"/>
      <c r="H159" s="123" t="n"/>
      <c r="I159" s="123" t="n"/>
      <c r="J159" s="125" t="n"/>
      <c r="K159" s="120" t="n"/>
    </row>
    <row r="160" ht="15" customHeight="1" s="72">
      <c r="A160" s="117" t="n"/>
      <c r="B160" s="117" t="n"/>
      <c r="C160" s="118" t="n"/>
      <c r="D160" s="118" t="n"/>
      <c r="E160" s="118" t="n"/>
      <c r="F160" s="123" t="n"/>
      <c r="G160" s="119" t="n"/>
      <c r="H160" s="123" t="n"/>
      <c r="I160" s="123" t="n"/>
      <c r="J160" s="125" t="n"/>
      <c r="K160" s="120" t="n"/>
    </row>
    <row r="161" ht="15" customHeight="1" s="72">
      <c r="A161" s="117" t="n"/>
      <c r="B161" s="117" t="n"/>
      <c r="C161" s="118" t="n"/>
      <c r="D161" s="118" t="n"/>
      <c r="E161" s="118" t="n"/>
      <c r="F161" s="123" t="n"/>
      <c r="G161" s="119" t="n"/>
      <c r="H161" s="123" t="n"/>
      <c r="I161" s="123" t="n"/>
      <c r="J161" s="125" t="n"/>
      <c r="K161" s="120" t="n"/>
    </row>
    <row r="162" ht="15" customHeight="1" s="72">
      <c r="A162" s="117" t="n"/>
      <c r="B162" s="117" t="n"/>
      <c r="C162" s="118" t="n"/>
      <c r="D162" s="118" t="n"/>
      <c r="E162" s="118" t="n"/>
      <c r="F162" s="123" t="n"/>
      <c r="G162" s="119" t="n"/>
      <c r="H162" s="123" t="n"/>
      <c r="I162" s="123" t="n"/>
      <c r="J162" s="125" t="n"/>
      <c r="K162" s="120" t="n"/>
    </row>
    <row r="163" ht="15" customHeight="1" s="72">
      <c r="A163" s="117" t="n"/>
      <c r="B163" s="117" t="n"/>
      <c r="C163" s="118" t="n"/>
      <c r="D163" s="118" t="n"/>
      <c r="E163" s="118" t="n"/>
      <c r="F163" s="123" t="n"/>
      <c r="G163" s="119" t="n"/>
      <c r="H163" s="123" t="n"/>
      <c r="I163" s="123" t="n"/>
      <c r="J163" s="125" t="n"/>
      <c r="K163" s="120" t="n"/>
    </row>
    <row r="164" ht="15" customHeight="1" s="72">
      <c r="A164" s="117" t="n"/>
      <c r="B164" s="117" t="n"/>
      <c r="C164" s="118" t="n"/>
      <c r="D164" s="118" t="n"/>
      <c r="E164" s="118" t="n"/>
      <c r="F164" s="123" t="n"/>
      <c r="G164" s="119" t="n"/>
      <c r="H164" s="123" t="n"/>
      <c r="I164" s="123" t="n"/>
      <c r="J164" s="125" t="n"/>
      <c r="K164" s="120" t="n"/>
    </row>
    <row r="165" ht="15" customHeight="1" s="72">
      <c r="A165" s="117" t="n"/>
      <c r="B165" s="117" t="n"/>
      <c r="C165" s="118" t="n"/>
      <c r="D165" s="118" t="n"/>
      <c r="E165" s="118" t="n"/>
      <c r="F165" s="123" t="n"/>
      <c r="G165" s="119" t="n"/>
      <c r="H165" s="123" t="n"/>
      <c r="I165" s="123" t="n"/>
      <c r="J165" s="125" t="n"/>
      <c r="K165" s="120" t="n"/>
    </row>
    <row r="166" ht="15" customHeight="1" s="72">
      <c r="A166" s="117" t="n"/>
      <c r="B166" s="117" t="n"/>
      <c r="C166" s="118" t="n"/>
      <c r="D166" s="118" t="n"/>
      <c r="E166" s="118" t="n"/>
      <c r="F166" s="123" t="n"/>
      <c r="G166" s="119" t="n"/>
      <c r="H166" s="123" t="n"/>
      <c r="I166" s="123" t="n"/>
      <c r="J166" s="125" t="n"/>
      <c r="K166" s="120" t="n"/>
    </row>
    <row r="167" ht="15" customHeight="1" s="72">
      <c r="A167" s="117" t="n"/>
      <c r="B167" s="117" t="n"/>
      <c r="C167" s="118" t="n"/>
      <c r="D167" s="118" t="n"/>
      <c r="E167" s="118" t="n"/>
      <c r="F167" s="123" t="n"/>
      <c r="G167" s="119" t="n"/>
      <c r="H167" s="123" t="n"/>
      <c r="I167" s="123" t="n"/>
      <c r="J167" s="125" t="n"/>
      <c r="K167" s="120" t="n"/>
    </row>
    <row r="168" ht="15" customHeight="1" s="72">
      <c r="A168" s="117" t="n"/>
      <c r="B168" s="117" t="n"/>
      <c r="C168" s="118" t="n"/>
      <c r="D168" s="118" t="n"/>
      <c r="E168" s="118" t="n"/>
      <c r="F168" s="123" t="n"/>
      <c r="G168" s="119" t="n"/>
      <c r="H168" s="123" t="n"/>
      <c r="I168" s="123" t="n"/>
      <c r="J168" s="125" t="n"/>
      <c r="K168" s="120" t="n"/>
    </row>
    <row r="169" ht="15" customHeight="1" s="72">
      <c r="A169" s="117" t="n"/>
      <c r="B169" s="117" t="n"/>
      <c r="C169" s="118" t="n"/>
      <c r="D169" s="118" t="n"/>
      <c r="E169" s="118" t="n"/>
      <c r="F169" s="123" t="n"/>
      <c r="G169" s="119" t="n"/>
      <c r="H169" s="123" t="n"/>
      <c r="I169" s="123" t="n"/>
      <c r="J169" s="125" t="n"/>
      <c r="K169" s="120" t="n"/>
    </row>
    <row r="170" ht="15" customHeight="1" s="72">
      <c r="A170" s="117" t="n"/>
      <c r="B170" s="117" t="n"/>
      <c r="C170" s="118" t="n"/>
      <c r="D170" s="118" t="n"/>
      <c r="E170" s="118" t="n"/>
      <c r="F170" s="123" t="n"/>
      <c r="G170" s="119" t="n"/>
      <c r="H170" s="123" t="n"/>
      <c r="I170" s="123" t="n"/>
      <c r="J170" s="125" t="n"/>
      <c r="K170" s="120" t="n"/>
    </row>
    <row r="171" ht="15" customHeight="1" s="72">
      <c r="A171" s="117" t="n"/>
      <c r="B171" s="117" t="n"/>
      <c r="C171" s="118" t="n"/>
      <c r="D171" s="118" t="n"/>
      <c r="E171" s="118" t="n"/>
      <c r="F171" s="123" t="n"/>
      <c r="G171" s="119" t="n"/>
      <c r="H171" s="123" t="n"/>
      <c r="I171" s="123" t="n"/>
      <c r="J171" s="125" t="n"/>
      <c r="K171" s="120" t="n"/>
    </row>
    <row r="172" ht="15" customHeight="1" s="72">
      <c r="A172" s="117" t="n"/>
      <c r="B172" s="117" t="n"/>
      <c r="C172" s="118" t="n"/>
      <c r="D172" s="118" t="n"/>
      <c r="E172" s="118" t="n"/>
      <c r="F172" s="123" t="n"/>
      <c r="G172" s="119" t="n"/>
      <c r="H172" s="123" t="n"/>
      <c r="I172" s="123" t="n"/>
      <c r="J172" s="125" t="n"/>
      <c r="K172" s="120" t="n"/>
    </row>
    <row r="173" ht="15" customHeight="1" s="72">
      <c r="A173" s="117" t="n"/>
      <c r="B173" s="117" t="n"/>
      <c r="C173" s="118" t="n"/>
      <c r="D173" s="118" t="n"/>
      <c r="E173" s="118" t="n"/>
      <c r="F173" s="123" t="n"/>
      <c r="G173" s="119" t="n"/>
      <c r="H173" s="123" t="n"/>
      <c r="I173" s="123" t="n"/>
      <c r="J173" s="125" t="n"/>
      <c r="K173" s="120" t="n"/>
    </row>
    <row r="174" ht="15" customHeight="1" s="72">
      <c r="A174" s="117" t="n"/>
      <c r="B174" s="117" t="n"/>
      <c r="C174" s="118" t="n"/>
      <c r="D174" s="118" t="n"/>
      <c r="E174" s="118" t="n"/>
      <c r="F174" s="123" t="n"/>
      <c r="G174" s="119" t="n"/>
      <c r="H174" s="123" t="n"/>
      <c r="I174" s="123" t="n"/>
      <c r="J174" s="125" t="n"/>
      <c r="K174" s="120" t="n"/>
    </row>
    <row r="175" ht="15" customHeight="1" s="72">
      <c r="A175" s="117" t="n"/>
      <c r="B175" s="117" t="n"/>
      <c r="C175" s="118" t="n"/>
      <c r="D175" s="118" t="n"/>
      <c r="E175" s="118" t="n"/>
      <c r="F175" s="123" t="n"/>
      <c r="G175" s="119" t="n"/>
      <c r="H175" s="123" t="n"/>
      <c r="I175" s="123" t="n"/>
      <c r="J175" s="125" t="n"/>
      <c r="K175" s="120" t="n"/>
    </row>
    <row r="176" ht="15" customHeight="1" s="72">
      <c r="A176" s="117" t="n"/>
      <c r="B176" s="117" t="n"/>
      <c r="C176" s="118" t="n"/>
      <c r="D176" s="118" t="n"/>
      <c r="E176" s="118" t="n"/>
      <c r="F176" s="123" t="n"/>
      <c r="G176" s="119" t="n"/>
      <c r="H176" s="123" t="n"/>
      <c r="I176" s="123" t="n"/>
      <c r="J176" s="125" t="n"/>
      <c r="K176" s="120" t="n"/>
    </row>
    <row r="177" ht="15" customHeight="1" s="72">
      <c r="A177" s="117" t="n"/>
      <c r="B177" s="117" t="n"/>
      <c r="C177" s="118" t="n"/>
      <c r="D177" s="118" t="n"/>
      <c r="E177" s="118" t="n"/>
      <c r="F177" s="123" t="n"/>
      <c r="G177" s="119" t="n"/>
      <c r="H177" s="123" t="n"/>
      <c r="I177" s="123" t="n"/>
      <c r="J177" s="125" t="n"/>
      <c r="K177" s="120" t="n"/>
    </row>
    <row r="178" ht="15" customHeight="1" s="72">
      <c r="A178" s="117" t="n"/>
      <c r="B178" s="117" t="n"/>
      <c r="C178" s="118" t="n"/>
      <c r="D178" s="118" t="n"/>
      <c r="E178" s="118" t="n"/>
      <c r="F178" s="123" t="n"/>
      <c r="G178" s="119" t="n"/>
      <c r="H178" s="123" t="n"/>
      <c r="I178" s="123" t="n"/>
      <c r="J178" s="125" t="n"/>
      <c r="K178" s="120" t="n"/>
    </row>
    <row r="179" ht="15" customHeight="1" s="72">
      <c r="A179" s="117" t="n"/>
      <c r="B179" s="117" t="n"/>
      <c r="C179" s="118" t="n"/>
      <c r="D179" s="118" t="n"/>
      <c r="E179" s="118" t="n"/>
      <c r="F179" s="123" t="n"/>
      <c r="G179" s="119" t="n"/>
      <c r="H179" s="123" t="n"/>
      <c r="I179" s="123" t="n"/>
      <c r="J179" s="125" t="n"/>
      <c r="K179" s="120" t="n"/>
    </row>
    <row r="180" ht="15" customHeight="1" s="72">
      <c r="A180" s="117" t="n"/>
      <c r="B180" s="117" t="n"/>
      <c r="C180" s="118" t="n"/>
      <c r="D180" s="118" t="n"/>
      <c r="E180" s="118" t="n"/>
      <c r="F180" s="123" t="n"/>
      <c r="G180" s="119" t="n"/>
      <c r="H180" s="123" t="n"/>
      <c r="I180" s="123" t="n"/>
      <c r="J180" s="125" t="n"/>
      <c r="K180" s="120" t="n"/>
    </row>
    <row r="181" ht="15" customHeight="1" s="72">
      <c r="A181" s="117" t="n"/>
      <c r="B181" s="117" t="n"/>
      <c r="C181" s="118" t="n"/>
      <c r="D181" s="118" t="n"/>
      <c r="E181" s="118" t="n"/>
      <c r="F181" s="123" t="n"/>
      <c r="G181" s="119" t="n"/>
      <c r="H181" s="123" t="n"/>
      <c r="I181" s="123" t="n"/>
      <c r="J181" s="125" t="n"/>
      <c r="K181" s="120" t="n"/>
    </row>
    <row r="182" ht="15" customHeight="1" s="72">
      <c r="A182" s="117" t="n"/>
      <c r="B182" s="117" t="n"/>
      <c r="C182" s="118" t="n"/>
      <c r="D182" s="118" t="n"/>
      <c r="E182" s="118" t="n"/>
      <c r="F182" s="123" t="n"/>
      <c r="G182" s="119" t="n"/>
      <c r="H182" s="123" t="n"/>
      <c r="I182" s="123" t="n"/>
      <c r="J182" s="125" t="n"/>
      <c r="K182" s="120" t="n"/>
    </row>
    <row r="183" ht="15" customHeight="1" s="72">
      <c r="A183" s="117" t="n"/>
      <c r="B183" s="117" t="n"/>
      <c r="C183" s="118" t="n"/>
      <c r="D183" s="118" t="n"/>
      <c r="E183" s="118" t="n"/>
      <c r="F183" s="123" t="n"/>
      <c r="G183" s="119" t="n"/>
      <c r="H183" s="123" t="n"/>
      <c r="I183" s="123" t="n"/>
      <c r="J183" s="125" t="n"/>
      <c r="K183" s="120" t="n"/>
    </row>
    <row r="184" ht="15" customHeight="1" s="72">
      <c r="A184" s="117" t="n"/>
      <c r="B184" s="117" t="n"/>
      <c r="C184" s="118" t="n"/>
      <c r="D184" s="118" t="n"/>
      <c r="E184" s="118" t="n"/>
      <c r="F184" s="123" t="n"/>
      <c r="G184" s="119" t="n"/>
      <c r="H184" s="123" t="n"/>
      <c r="I184" s="123" t="n"/>
      <c r="J184" s="125" t="n"/>
      <c r="K184" s="120" t="n"/>
    </row>
    <row r="185" ht="15" customHeight="1" s="72">
      <c r="A185" s="117" t="n"/>
      <c r="B185" s="117" t="n"/>
      <c r="C185" s="118" t="n"/>
      <c r="D185" s="118" t="n"/>
      <c r="E185" s="118" t="n"/>
      <c r="F185" s="123" t="n"/>
      <c r="G185" s="119" t="n"/>
      <c r="H185" s="123" t="n"/>
      <c r="I185" s="123" t="n"/>
      <c r="J185" s="125" t="n"/>
      <c r="K185" s="120" t="n"/>
    </row>
    <row r="186" ht="15" customHeight="1" s="72">
      <c r="A186" s="117" t="n"/>
      <c r="B186" s="117" t="n"/>
      <c r="C186" s="118" t="n"/>
      <c r="D186" s="118" t="n"/>
      <c r="E186" s="118" t="n"/>
      <c r="F186" s="123" t="n"/>
      <c r="G186" s="119" t="n"/>
      <c r="H186" s="123" t="n"/>
      <c r="I186" s="123" t="n"/>
      <c r="J186" s="125" t="n"/>
      <c r="K186" s="120" t="n"/>
    </row>
    <row r="187" ht="15" customHeight="1" s="72">
      <c r="A187" s="117" t="n"/>
      <c r="B187" s="117" t="n"/>
      <c r="C187" s="118" t="n"/>
      <c r="D187" s="118" t="n"/>
      <c r="E187" s="118" t="n"/>
      <c r="F187" s="123" t="n"/>
      <c r="G187" s="119" t="n"/>
      <c r="H187" s="123" t="n"/>
      <c r="I187" s="123" t="n"/>
      <c r="J187" s="125" t="n"/>
      <c r="K187" s="120" t="n"/>
    </row>
    <row r="188" ht="15" customHeight="1" s="72">
      <c r="A188" s="117" t="n"/>
      <c r="B188" s="117" t="n"/>
      <c r="C188" s="118" t="n"/>
      <c r="D188" s="118" t="n"/>
      <c r="E188" s="118" t="n"/>
      <c r="F188" s="123" t="n"/>
      <c r="G188" s="119" t="n"/>
      <c r="H188" s="123" t="n"/>
      <c r="I188" s="123" t="n"/>
      <c r="J188" s="125" t="n"/>
      <c r="K188" s="120" t="n"/>
    </row>
    <row r="189" ht="15" customHeight="1" s="72">
      <c r="A189" s="117" t="n"/>
      <c r="B189" s="117" t="n"/>
      <c r="C189" s="118" t="n"/>
      <c r="D189" s="118" t="n"/>
      <c r="E189" s="118" t="n"/>
      <c r="F189" s="123" t="n"/>
      <c r="G189" s="119" t="n"/>
      <c r="H189" s="123" t="n"/>
      <c r="I189" s="123" t="n"/>
      <c r="J189" s="125" t="n"/>
      <c r="K189" s="120" t="n"/>
    </row>
    <row r="190" ht="15" customHeight="1" s="72">
      <c r="A190" s="117" t="n"/>
      <c r="B190" s="117" t="n"/>
      <c r="C190" s="118" t="n"/>
      <c r="D190" s="118" t="n"/>
      <c r="E190" s="118" t="n"/>
      <c r="F190" s="123" t="n"/>
      <c r="G190" s="119" t="n"/>
      <c r="H190" s="123" t="n"/>
      <c r="I190" s="123" t="n"/>
      <c r="J190" s="125" t="n"/>
      <c r="K190" s="120" t="n"/>
    </row>
    <row r="191" ht="15" customHeight="1" s="72">
      <c r="A191" s="117" t="n"/>
      <c r="B191" s="117" t="n"/>
      <c r="C191" s="118" t="n"/>
      <c r="D191" s="118" t="n"/>
      <c r="E191" s="118" t="n"/>
      <c r="F191" s="123" t="n"/>
      <c r="G191" s="119" t="n"/>
      <c r="H191" s="123" t="n"/>
      <c r="I191" s="123" t="n"/>
      <c r="J191" s="125" t="n"/>
      <c r="K191" s="120" t="n"/>
    </row>
    <row r="192" ht="15" customHeight="1" s="72">
      <c r="A192" s="117" t="n"/>
      <c r="B192" s="117" t="n"/>
      <c r="C192" s="118" t="n"/>
      <c r="D192" s="118" t="n"/>
      <c r="E192" s="118" t="n"/>
      <c r="F192" s="123" t="n"/>
      <c r="G192" s="119" t="n"/>
      <c r="H192" s="123" t="n"/>
      <c r="I192" s="123" t="n"/>
      <c r="J192" s="125" t="n"/>
      <c r="K192" s="120" t="n"/>
    </row>
    <row r="193" ht="15" customHeight="1" s="72">
      <c r="A193" s="117" t="n"/>
      <c r="B193" s="117" t="n"/>
      <c r="C193" s="118" t="n"/>
      <c r="D193" s="118" t="n"/>
      <c r="E193" s="118" t="n"/>
      <c r="F193" s="123" t="n"/>
      <c r="G193" s="119" t="n"/>
      <c r="H193" s="123" t="n"/>
      <c r="I193" s="123" t="n"/>
      <c r="J193" s="125" t="n"/>
      <c r="K193" s="120" t="n"/>
    </row>
    <row r="194" ht="15" customHeight="1" s="72">
      <c r="A194" s="117" t="n"/>
      <c r="B194" s="117" t="n"/>
      <c r="C194" s="118" t="n"/>
      <c r="D194" s="118" t="n"/>
      <c r="E194" s="118" t="n"/>
      <c r="F194" s="123" t="n"/>
      <c r="G194" s="119" t="n"/>
      <c r="H194" s="123" t="n"/>
      <c r="I194" s="123" t="n"/>
      <c r="J194" s="125" t="n"/>
      <c r="K194" s="120" t="n"/>
    </row>
    <row r="195" ht="15" customHeight="1" s="72">
      <c r="A195" s="117" t="n"/>
      <c r="B195" s="117" t="n"/>
      <c r="C195" s="118" t="n"/>
      <c r="D195" s="118" t="n"/>
      <c r="E195" s="118" t="n"/>
      <c r="F195" s="123" t="n"/>
      <c r="G195" s="119" t="n"/>
      <c r="H195" s="123" t="n"/>
      <c r="I195" s="123" t="n"/>
      <c r="J195" s="125" t="n"/>
      <c r="K195" s="120" t="n"/>
    </row>
    <row r="196" ht="15" customHeight="1" s="72">
      <c r="A196" s="117" t="n"/>
      <c r="B196" s="117" t="n"/>
      <c r="C196" s="118" t="n"/>
      <c r="D196" s="118" t="n"/>
      <c r="E196" s="118" t="n"/>
      <c r="F196" s="123" t="n"/>
      <c r="G196" s="119" t="n"/>
      <c r="H196" s="123" t="n"/>
      <c r="I196" s="123" t="n"/>
      <c r="J196" s="125" t="n"/>
      <c r="K196" s="120" t="n"/>
    </row>
    <row r="197" ht="15" customHeight="1" s="72">
      <c r="A197" s="117" t="n"/>
      <c r="B197" s="117" t="n"/>
      <c r="C197" s="118" t="n"/>
      <c r="D197" s="118" t="n"/>
      <c r="E197" s="118" t="n"/>
      <c r="F197" s="123" t="n"/>
      <c r="G197" s="119" t="n"/>
      <c r="H197" s="123" t="n"/>
      <c r="I197" s="123" t="n"/>
      <c r="J197" s="125" t="n"/>
      <c r="K197" s="120" t="n"/>
    </row>
    <row r="198" ht="15" customHeight="1" s="72">
      <c r="A198" s="117" t="n"/>
      <c r="B198" s="117" t="n"/>
      <c r="C198" s="118" t="n"/>
      <c r="D198" s="118" t="n"/>
      <c r="E198" s="118" t="n"/>
      <c r="F198" s="123" t="n"/>
      <c r="G198" s="119" t="n"/>
      <c r="H198" s="123" t="n"/>
      <c r="I198" s="123" t="n"/>
      <c r="J198" s="125" t="n"/>
      <c r="K198" s="120" t="n"/>
    </row>
    <row r="199" ht="15" customHeight="1" s="72">
      <c r="A199" s="117" t="n"/>
      <c r="B199" s="117" t="n"/>
      <c r="C199" s="118" t="n"/>
      <c r="D199" s="118" t="n"/>
      <c r="E199" s="118" t="n"/>
      <c r="F199" s="123" t="n"/>
      <c r="G199" s="119" t="n"/>
      <c r="H199" s="123" t="n"/>
      <c r="I199" s="123" t="n"/>
      <c r="J199" s="125" t="n"/>
      <c r="K199" s="120" t="n"/>
    </row>
    <row r="200" ht="15" customHeight="1" s="72">
      <c r="A200" s="117" t="n"/>
      <c r="B200" s="117" t="n"/>
      <c r="C200" s="118" t="n"/>
      <c r="D200" s="118" t="n"/>
      <c r="E200" s="118" t="n"/>
      <c r="F200" s="123" t="n"/>
      <c r="G200" s="119" t="n"/>
      <c r="H200" s="123" t="n"/>
      <c r="I200" s="123" t="n"/>
      <c r="J200" s="125" t="n"/>
      <c r="K200" s="120" t="n"/>
    </row>
    <row r="201" ht="15" customHeight="1" s="72">
      <c r="A201" s="117" t="n"/>
      <c r="B201" s="117" t="n"/>
      <c r="C201" s="118" t="n"/>
      <c r="D201" s="118" t="n"/>
      <c r="E201" s="118" t="n"/>
      <c r="F201" s="123" t="n"/>
      <c r="G201" s="119" t="n"/>
      <c r="H201" s="123" t="n"/>
      <c r="I201" s="123" t="n"/>
      <c r="J201" s="125" t="n"/>
      <c r="K201" s="120" t="n"/>
    </row>
    <row r="202" ht="15" customHeight="1" s="72">
      <c r="A202" s="117" t="n"/>
      <c r="B202" s="117" t="n"/>
      <c r="C202" s="118" t="n"/>
      <c r="D202" s="118" t="n"/>
      <c r="E202" s="118" t="n"/>
      <c r="F202" s="123" t="n"/>
      <c r="G202" s="119" t="n"/>
      <c r="H202" s="123" t="n"/>
      <c r="I202" s="123" t="n"/>
      <c r="J202" s="125" t="n"/>
      <c r="K202" s="120" t="n"/>
    </row>
    <row r="203" ht="15" customHeight="1" s="72">
      <c r="A203" s="117" t="n"/>
      <c r="B203" s="117" t="n"/>
      <c r="C203" s="118" t="n"/>
      <c r="D203" s="118" t="n"/>
      <c r="E203" s="118" t="n"/>
      <c r="F203" s="123" t="n"/>
      <c r="G203" s="119" t="n"/>
      <c r="H203" s="123" t="n"/>
      <c r="I203" s="123" t="n"/>
      <c r="J203" s="125" t="n"/>
      <c r="K203" s="120" t="n"/>
    </row>
    <row r="204" ht="15" customHeight="1" s="72">
      <c r="A204" s="117" t="n"/>
      <c r="B204" s="117" t="n"/>
      <c r="C204" s="118" t="n"/>
      <c r="D204" s="118" t="n"/>
      <c r="E204" s="118" t="n"/>
      <c r="F204" s="123" t="n"/>
      <c r="G204" s="119" t="n"/>
      <c r="H204" s="123" t="n"/>
      <c r="I204" s="123" t="n"/>
      <c r="J204" s="125" t="n"/>
      <c r="K204" s="120" t="n"/>
    </row>
    <row r="205" ht="15" customHeight="1" s="72">
      <c r="A205" s="117" t="n"/>
      <c r="B205" s="117" t="n"/>
      <c r="C205" s="118" t="n"/>
      <c r="D205" s="118" t="n"/>
      <c r="E205" s="118" t="n"/>
      <c r="F205" s="123" t="n"/>
      <c r="G205" s="119" t="n"/>
      <c r="H205" s="123" t="n"/>
      <c r="I205" s="123" t="n"/>
      <c r="J205" s="125" t="n"/>
      <c r="K205" s="120" t="n"/>
    </row>
    <row r="206" ht="15" customHeight="1" s="72">
      <c r="A206" s="117" t="n"/>
      <c r="B206" s="117" t="n"/>
      <c r="C206" s="118" t="n"/>
      <c r="D206" s="118" t="n"/>
      <c r="E206" s="118" t="n"/>
      <c r="F206" s="123" t="n"/>
      <c r="G206" s="119" t="n"/>
      <c r="H206" s="123" t="n"/>
      <c r="I206" s="123" t="n"/>
      <c r="J206" s="125" t="n"/>
      <c r="K206" s="120" t="n"/>
    </row>
    <row r="207" ht="15" customHeight="1" s="72">
      <c r="A207" s="117" t="n"/>
      <c r="B207" s="117" t="n"/>
      <c r="C207" s="118" t="n"/>
      <c r="D207" s="118" t="n"/>
      <c r="E207" s="118" t="n"/>
      <c r="F207" s="123" t="n"/>
      <c r="G207" s="119" t="n"/>
      <c r="H207" s="123" t="n"/>
      <c r="I207" s="123" t="n"/>
      <c r="J207" s="125" t="n"/>
      <c r="K207" s="120" t="n"/>
    </row>
    <row r="208" ht="15" customHeight="1" s="72">
      <c r="A208" s="117" t="n"/>
      <c r="B208" s="117" t="n"/>
      <c r="C208" s="118" t="n"/>
      <c r="D208" s="118" t="n"/>
      <c r="E208" s="118" t="n"/>
      <c r="F208" s="123" t="n"/>
      <c r="G208" s="119" t="n"/>
      <c r="H208" s="123" t="n"/>
      <c r="I208" s="123" t="n"/>
      <c r="J208" s="125" t="n"/>
      <c r="K208" s="120" t="n"/>
    </row>
    <row r="209" ht="15" customHeight="1" s="72">
      <c r="A209" s="117" t="n"/>
      <c r="B209" s="117" t="n"/>
      <c r="C209" s="118" t="n"/>
      <c r="D209" s="118" t="n"/>
      <c r="E209" s="118" t="n"/>
      <c r="F209" s="123" t="n"/>
      <c r="G209" s="119" t="n"/>
      <c r="H209" s="123" t="n"/>
      <c r="I209" s="123" t="n"/>
      <c r="J209" s="125" t="n"/>
      <c r="K209" s="120" t="n"/>
    </row>
    <row r="210" ht="15" customHeight="1" s="72">
      <c r="A210" s="117" t="n"/>
      <c r="B210" s="117" t="n"/>
      <c r="C210" s="118" t="n"/>
      <c r="D210" s="118" t="n"/>
      <c r="E210" s="118" t="n"/>
      <c r="F210" s="123" t="n"/>
      <c r="G210" s="119" t="n"/>
      <c r="H210" s="123" t="n"/>
      <c r="I210" s="123" t="n"/>
      <c r="J210" s="125" t="n"/>
      <c r="K210" s="120" t="n"/>
    </row>
    <row r="211" ht="15" customHeight="1" s="72">
      <c r="A211" s="117" t="n"/>
      <c r="B211" s="117" t="n"/>
      <c r="C211" s="118" t="n"/>
      <c r="D211" s="118" t="n"/>
      <c r="E211" s="118" t="n"/>
      <c r="F211" s="123" t="n"/>
      <c r="G211" s="119" t="n"/>
      <c r="H211" s="123" t="n"/>
      <c r="I211" s="123" t="n"/>
      <c r="J211" s="125" t="n"/>
      <c r="K211" s="120" t="n"/>
    </row>
    <row r="212" ht="15" customHeight="1" s="72">
      <c r="A212" s="117" t="n"/>
      <c r="B212" s="117" t="n"/>
      <c r="C212" s="118" t="n"/>
      <c r="D212" s="118" t="n"/>
      <c r="E212" s="118" t="n"/>
      <c r="F212" s="123" t="n"/>
      <c r="G212" s="119" t="n"/>
      <c r="H212" s="123" t="n"/>
      <c r="I212" s="123" t="n"/>
      <c r="J212" s="125" t="n"/>
      <c r="K212" s="120" t="n"/>
    </row>
    <row r="213" ht="15" customHeight="1" s="72">
      <c r="A213" s="117" t="n"/>
      <c r="B213" s="117" t="n"/>
      <c r="C213" s="118" t="n"/>
      <c r="D213" s="118" t="n"/>
      <c r="E213" s="118" t="n"/>
      <c r="F213" s="123" t="n"/>
      <c r="G213" s="119" t="n"/>
      <c r="H213" s="123" t="n"/>
      <c r="I213" s="123" t="n"/>
      <c r="J213" s="125" t="n"/>
      <c r="K213" s="120" t="n"/>
    </row>
    <row r="214" ht="15" customHeight="1" s="72">
      <c r="A214" s="117" t="n"/>
      <c r="B214" s="117" t="n"/>
      <c r="C214" s="118" t="n"/>
      <c r="D214" s="118" t="n"/>
      <c r="E214" s="118" t="n"/>
      <c r="F214" s="123" t="n"/>
      <c r="G214" s="119" t="n"/>
      <c r="H214" s="123" t="n"/>
      <c r="I214" s="123" t="n"/>
      <c r="J214" s="125" t="n"/>
      <c r="K214" s="120" t="n"/>
    </row>
    <row r="215" ht="15" customHeight="1" s="72">
      <c r="A215" s="117" t="n"/>
      <c r="B215" s="117" t="n"/>
      <c r="C215" s="118" t="n"/>
      <c r="D215" s="118" t="n"/>
      <c r="E215" s="118" t="n"/>
      <c r="F215" s="123" t="n"/>
      <c r="G215" s="119" t="n"/>
      <c r="H215" s="123" t="n"/>
      <c r="I215" s="123" t="n"/>
      <c r="J215" s="125" t="n"/>
      <c r="K215" s="120" t="n"/>
    </row>
    <row r="216" ht="15" customHeight="1" s="72">
      <c r="A216" s="117" t="n"/>
      <c r="B216" s="117" t="n"/>
      <c r="C216" s="118" t="n"/>
      <c r="D216" s="118" t="n"/>
      <c r="E216" s="118" t="n"/>
      <c r="F216" s="123" t="n"/>
      <c r="G216" s="119" t="n"/>
      <c r="H216" s="123" t="n"/>
      <c r="I216" s="123" t="n"/>
      <c r="J216" s="125" t="n"/>
      <c r="K216" s="120" t="n"/>
    </row>
    <row r="217" ht="15" customHeight="1" s="72">
      <c r="A217" s="117" t="n"/>
      <c r="B217" s="117" t="n"/>
      <c r="C217" s="118" t="n"/>
      <c r="D217" s="118" t="n"/>
      <c r="E217" s="118" t="n"/>
      <c r="F217" s="123" t="n"/>
      <c r="G217" s="119" t="n"/>
      <c r="H217" s="123" t="n"/>
      <c r="I217" s="123" t="n"/>
      <c r="J217" s="125" t="n"/>
      <c r="K217" s="120" t="n"/>
    </row>
    <row r="218" ht="15" customHeight="1" s="72">
      <c r="A218" s="117" t="n"/>
      <c r="B218" s="117" t="n"/>
      <c r="C218" s="118" t="n"/>
      <c r="D218" s="118" t="n"/>
      <c r="E218" s="118" t="n"/>
      <c r="F218" s="123" t="n"/>
      <c r="G218" s="119" t="n"/>
      <c r="H218" s="123" t="n"/>
      <c r="I218" s="123" t="n"/>
      <c r="J218" s="125" t="n"/>
      <c r="K218" s="120" t="n"/>
    </row>
    <row r="219" ht="15" customHeight="1" s="72">
      <c r="A219" s="117" t="n"/>
      <c r="B219" s="117" t="n"/>
      <c r="C219" s="118" t="n"/>
      <c r="D219" s="118" t="n"/>
      <c r="E219" s="118" t="n"/>
      <c r="F219" s="123" t="n"/>
      <c r="G219" s="119" t="n"/>
      <c r="H219" s="123" t="n"/>
      <c r="I219" s="123" t="n"/>
      <c r="J219" s="125" t="n"/>
      <c r="K219" s="120" t="n"/>
    </row>
    <row r="220" ht="15" customHeight="1" s="72">
      <c r="A220" s="117" t="n"/>
      <c r="B220" s="117" t="n"/>
      <c r="C220" s="118" t="n"/>
      <c r="D220" s="118" t="n"/>
      <c r="E220" s="118" t="n"/>
      <c r="F220" s="123" t="n"/>
      <c r="G220" s="119" t="n"/>
      <c r="H220" s="123" t="n"/>
      <c r="I220" s="123" t="n"/>
      <c r="J220" s="125" t="n"/>
      <c r="K220" s="120" t="n"/>
    </row>
    <row r="221" ht="15" customHeight="1" s="72">
      <c r="A221" s="117" t="n"/>
      <c r="B221" s="117" t="n"/>
      <c r="C221" s="118" t="n"/>
      <c r="D221" s="118" t="n"/>
      <c r="E221" s="118" t="n"/>
      <c r="F221" s="123" t="n"/>
      <c r="G221" s="119" t="n"/>
      <c r="H221" s="123" t="n"/>
      <c r="I221" s="123" t="n"/>
      <c r="J221" s="125" t="n"/>
      <c r="K221" s="120" t="n"/>
    </row>
    <row r="222" ht="15" customHeight="1" s="72">
      <c r="A222" s="117" t="n"/>
      <c r="B222" s="117" t="n"/>
      <c r="C222" s="118" t="n"/>
      <c r="D222" s="118" t="n"/>
      <c r="E222" s="118" t="n"/>
      <c r="F222" s="123" t="n"/>
      <c r="G222" s="119" t="n"/>
      <c r="H222" s="123" t="n"/>
      <c r="I222" s="123" t="n"/>
      <c r="J222" s="125" t="n"/>
      <c r="K222" s="120" t="n"/>
    </row>
    <row r="223" ht="15" customHeight="1" s="72">
      <c r="A223" s="117" t="n"/>
      <c r="B223" s="117" t="n"/>
      <c r="C223" s="118" t="n"/>
      <c r="D223" s="118" t="n"/>
      <c r="E223" s="118" t="n"/>
      <c r="F223" s="123" t="n"/>
      <c r="G223" s="119" t="n"/>
      <c r="H223" s="123" t="n"/>
      <c r="I223" s="123" t="n"/>
      <c r="J223" s="125" t="n"/>
      <c r="K223" s="120" t="n"/>
    </row>
    <row r="224" ht="15" customHeight="1" s="72">
      <c r="A224" s="117" t="n"/>
      <c r="B224" s="117" t="n"/>
      <c r="C224" s="118" t="n"/>
      <c r="D224" s="118" t="n"/>
      <c r="E224" s="118" t="n"/>
      <c r="F224" s="123" t="n"/>
      <c r="G224" s="119" t="n"/>
      <c r="H224" s="123" t="n"/>
      <c r="I224" s="123" t="n"/>
      <c r="J224" s="125" t="n"/>
      <c r="K224" s="120" t="n"/>
    </row>
    <row r="225" ht="15" customHeight="1" s="72">
      <c r="A225" s="117" t="n"/>
      <c r="B225" s="117" t="n"/>
      <c r="C225" s="118" t="n"/>
      <c r="D225" s="118" t="n"/>
      <c r="E225" s="118" t="n"/>
      <c r="F225" s="123" t="n"/>
      <c r="G225" s="119" t="n"/>
      <c r="H225" s="123" t="n"/>
      <c r="I225" s="123" t="n"/>
      <c r="J225" s="125" t="n"/>
      <c r="K225" s="120" t="n"/>
    </row>
    <row r="226" ht="15" customHeight="1" s="72">
      <c r="A226" s="117" t="n"/>
      <c r="B226" s="117" t="n"/>
      <c r="C226" s="118" t="n"/>
      <c r="D226" s="118" t="n"/>
      <c r="E226" s="118" t="n"/>
      <c r="F226" s="123" t="n"/>
      <c r="G226" s="119" t="n"/>
      <c r="H226" s="123" t="n"/>
      <c r="I226" s="123" t="n"/>
      <c r="J226" s="125" t="n"/>
      <c r="K226" s="120" t="n"/>
    </row>
    <row r="227" ht="15" customHeight="1" s="72">
      <c r="A227" s="117" t="n"/>
      <c r="B227" s="117" t="n"/>
      <c r="C227" s="118" t="n"/>
      <c r="D227" s="118" t="n"/>
      <c r="E227" s="118" t="n"/>
      <c r="F227" s="123" t="n"/>
      <c r="G227" s="119" t="n"/>
      <c r="H227" s="123" t="n"/>
      <c r="I227" s="123" t="n"/>
      <c r="J227" s="125" t="n"/>
      <c r="K227" s="120" t="n"/>
    </row>
    <row r="228" ht="15" customHeight="1" s="72">
      <c r="A228" s="117" t="n"/>
      <c r="B228" s="117" t="n"/>
      <c r="C228" s="118" t="n"/>
      <c r="D228" s="118" t="n"/>
      <c r="E228" s="118" t="n"/>
      <c r="F228" s="123" t="n"/>
      <c r="G228" s="119" t="n"/>
      <c r="H228" s="123" t="n"/>
      <c r="I228" s="123" t="n"/>
      <c r="J228" s="125" t="n"/>
      <c r="K228" s="120" t="n"/>
    </row>
    <row r="229" ht="15" customHeight="1" s="72">
      <c r="A229" s="117" t="n"/>
      <c r="B229" s="117" t="n"/>
      <c r="C229" s="118" t="n"/>
      <c r="D229" s="118" t="n"/>
      <c r="E229" s="118" t="n"/>
      <c r="F229" s="123" t="n"/>
      <c r="G229" s="119" t="n"/>
      <c r="H229" s="123" t="n"/>
      <c r="I229" s="123" t="n"/>
      <c r="J229" s="125" t="n"/>
      <c r="K229" s="120" t="n"/>
    </row>
    <row r="230" ht="15" customHeight="1" s="72">
      <c r="A230" s="117" t="n"/>
      <c r="B230" s="117" t="n"/>
      <c r="C230" s="118" t="n"/>
      <c r="D230" s="118" t="n"/>
      <c r="E230" s="118" t="n"/>
      <c r="F230" s="123" t="n"/>
      <c r="G230" s="119" t="n"/>
      <c r="H230" s="123" t="n"/>
      <c r="I230" s="123" t="n"/>
      <c r="J230" s="125" t="n"/>
      <c r="K230" s="120" t="n"/>
    </row>
    <row r="231" ht="15" customHeight="1" s="72">
      <c r="A231" s="117" t="n"/>
      <c r="B231" s="117" t="n"/>
      <c r="C231" s="118" t="n"/>
      <c r="D231" s="118" t="n"/>
      <c r="E231" s="118" t="n"/>
      <c r="F231" s="123" t="n"/>
      <c r="G231" s="119" t="n"/>
      <c r="H231" s="123" t="n"/>
      <c r="I231" s="123" t="n"/>
      <c r="J231" s="125" t="n"/>
      <c r="K231" s="120" t="n"/>
    </row>
    <row r="232" ht="15" customHeight="1" s="72">
      <c r="A232" s="117" t="n"/>
      <c r="B232" s="117" t="n"/>
      <c r="C232" s="118" t="n"/>
      <c r="D232" s="118" t="n"/>
      <c r="E232" s="118" t="n"/>
      <c r="F232" s="123" t="n"/>
      <c r="G232" s="119" t="n"/>
      <c r="H232" s="123" t="n"/>
      <c r="I232" s="123" t="n"/>
      <c r="J232" s="125" t="n"/>
      <c r="K232" s="120" t="n"/>
    </row>
    <row r="233" ht="15" customHeight="1" s="72">
      <c r="A233" s="117" t="n"/>
      <c r="B233" s="117" t="n"/>
      <c r="C233" s="118" t="n"/>
      <c r="D233" s="118" t="n"/>
      <c r="E233" s="118" t="n"/>
      <c r="F233" s="123" t="n"/>
      <c r="G233" s="119" t="n"/>
      <c r="H233" s="123" t="n"/>
      <c r="I233" s="123" t="n"/>
      <c r="J233" s="125" t="n"/>
      <c r="K233" s="120" t="n"/>
    </row>
    <row r="234" ht="15" customHeight="1" s="72">
      <c r="A234" s="117" t="n"/>
      <c r="B234" s="117" t="n"/>
      <c r="C234" s="118" t="n"/>
      <c r="D234" s="118" t="n"/>
      <c r="E234" s="118" t="n"/>
      <c r="F234" s="123" t="n"/>
      <c r="G234" s="119" t="n"/>
      <c r="H234" s="123" t="n"/>
      <c r="I234" s="123" t="n"/>
      <c r="J234" s="125" t="n"/>
      <c r="K234" s="120" t="n"/>
    </row>
    <row r="235" ht="15" customHeight="1" s="72">
      <c r="A235" s="117" t="n"/>
      <c r="B235" s="117" t="n"/>
      <c r="C235" s="118" t="n"/>
      <c r="D235" s="118" t="n"/>
      <c r="E235" s="118" t="n"/>
      <c r="F235" s="123" t="n"/>
      <c r="G235" s="119" t="n"/>
      <c r="H235" s="123" t="n"/>
      <c r="I235" s="123" t="n"/>
      <c r="J235" s="125" t="n"/>
      <c r="K235" s="120" t="n"/>
    </row>
    <row r="236" ht="15" customHeight="1" s="72">
      <c r="A236" s="117" t="n"/>
      <c r="B236" s="117" t="n"/>
      <c r="C236" s="118" t="n"/>
      <c r="D236" s="118" t="n"/>
      <c r="E236" s="118" t="n"/>
      <c r="F236" s="123" t="n"/>
      <c r="G236" s="119" t="n"/>
      <c r="H236" s="123" t="n"/>
      <c r="I236" s="123" t="n"/>
      <c r="J236" s="125" t="n"/>
      <c r="K236" s="120" t="n"/>
    </row>
    <row r="237" ht="15" customHeight="1" s="72">
      <c r="A237" s="117" t="n"/>
      <c r="B237" s="117" t="n"/>
      <c r="C237" s="118" t="n"/>
      <c r="D237" s="118" t="n"/>
      <c r="E237" s="118" t="n"/>
      <c r="F237" s="123" t="n"/>
      <c r="G237" s="119" t="n"/>
      <c r="H237" s="123" t="n"/>
      <c r="I237" s="123" t="n"/>
      <c r="J237" s="125" t="n"/>
      <c r="K237" s="120" t="n"/>
    </row>
    <row r="238" ht="15" customHeight="1" s="72">
      <c r="A238" s="117" t="n"/>
      <c r="B238" s="117" t="n"/>
      <c r="C238" s="118" t="n"/>
      <c r="D238" s="118" t="n"/>
      <c r="E238" s="118" t="n"/>
      <c r="F238" s="123" t="n"/>
      <c r="G238" s="119" t="n"/>
      <c r="H238" s="123" t="n"/>
      <c r="I238" s="123" t="n"/>
      <c r="J238" s="125" t="n"/>
      <c r="K238" s="120" t="n"/>
    </row>
    <row r="239" ht="15" customHeight="1" s="72">
      <c r="A239" s="117" t="n"/>
      <c r="B239" s="117" t="n"/>
      <c r="C239" s="118" t="n"/>
      <c r="D239" s="118" t="n"/>
      <c r="E239" s="118" t="n"/>
      <c r="F239" s="123" t="n"/>
      <c r="G239" s="119" t="n"/>
      <c r="H239" s="123" t="n"/>
      <c r="I239" s="123" t="n"/>
      <c r="J239" s="125" t="n"/>
      <c r="K239" s="120" t="n"/>
    </row>
    <row r="240" ht="15" customHeight="1" s="72">
      <c r="A240" s="117" t="n"/>
      <c r="B240" s="117" t="n"/>
      <c r="C240" s="118" t="n"/>
      <c r="D240" s="118" t="n"/>
      <c r="E240" s="118" t="n"/>
      <c r="F240" s="123" t="n"/>
      <c r="G240" s="119" t="n"/>
      <c r="H240" s="123" t="n"/>
      <c r="I240" s="123" t="n"/>
      <c r="J240" s="125" t="n"/>
      <c r="K240" s="120" t="n"/>
    </row>
    <row r="241" ht="15" customHeight="1" s="72">
      <c r="A241" s="117" t="n"/>
      <c r="B241" s="117" t="n"/>
      <c r="C241" s="118" t="n"/>
      <c r="D241" s="118" t="n"/>
      <c r="E241" s="118" t="n"/>
      <c r="F241" s="123" t="n"/>
      <c r="G241" s="119" t="n"/>
      <c r="H241" s="123" t="n"/>
      <c r="I241" s="123" t="n"/>
      <c r="J241" s="125" t="n"/>
      <c r="K241" s="120" t="n"/>
    </row>
    <row r="242" ht="15" customHeight="1" s="72">
      <c r="A242" s="117" t="n"/>
      <c r="B242" s="117" t="n"/>
      <c r="C242" s="118" t="n"/>
      <c r="D242" s="118" t="n"/>
      <c r="E242" s="118" t="n"/>
      <c r="F242" s="123" t="n"/>
      <c r="G242" s="119" t="n"/>
      <c r="H242" s="123" t="n"/>
      <c r="I242" s="123" t="n"/>
      <c r="J242" s="125" t="n"/>
      <c r="K242" s="120" t="n"/>
    </row>
    <row r="243" ht="15" customHeight="1" s="72">
      <c r="A243" s="117" t="n"/>
      <c r="B243" s="117" t="n"/>
      <c r="C243" s="118" t="n"/>
      <c r="D243" s="118" t="n"/>
      <c r="E243" s="118" t="n"/>
      <c r="F243" s="123" t="n"/>
      <c r="G243" s="119" t="n"/>
      <c r="H243" s="123" t="n"/>
      <c r="I243" s="123" t="n"/>
      <c r="J243" s="125" t="n"/>
      <c r="K243" s="120" t="n"/>
    </row>
    <row r="244" ht="15" customHeight="1" s="72">
      <c r="A244" s="117" t="n"/>
      <c r="B244" s="117" t="n"/>
      <c r="C244" s="118" t="n"/>
      <c r="D244" s="118" t="n"/>
      <c r="E244" s="118" t="n"/>
      <c r="F244" s="123" t="n"/>
      <c r="G244" s="119" t="n"/>
      <c r="H244" s="123" t="n"/>
      <c r="I244" s="123" t="n"/>
      <c r="J244" s="125" t="n"/>
      <c r="K244" s="120" t="n"/>
    </row>
    <row r="245" ht="15" customHeight="1" s="72">
      <c r="A245" s="117" t="n"/>
      <c r="B245" s="117" t="n"/>
      <c r="C245" s="118" t="n"/>
      <c r="D245" s="118" t="n"/>
      <c r="E245" s="118" t="n"/>
      <c r="F245" s="123" t="n"/>
      <c r="G245" s="119" t="n"/>
      <c r="H245" s="123" t="n"/>
      <c r="I245" s="123" t="n"/>
      <c r="J245" s="125" t="n"/>
      <c r="K245" s="120" t="n"/>
    </row>
    <row r="246" ht="15" customHeight="1" s="72">
      <c r="A246" s="117" t="n"/>
      <c r="B246" s="117" t="n"/>
      <c r="C246" s="118" t="n"/>
      <c r="D246" s="118" t="n"/>
      <c r="E246" s="118" t="n"/>
      <c r="F246" s="123" t="n"/>
      <c r="G246" s="119" t="n"/>
      <c r="H246" s="123" t="n"/>
      <c r="I246" s="123" t="n"/>
      <c r="J246" s="125" t="n"/>
      <c r="K246" s="120" t="n"/>
    </row>
    <row r="247" ht="15" customHeight="1" s="72">
      <c r="A247" s="117" t="n"/>
      <c r="B247" s="117" t="n"/>
      <c r="C247" s="118" t="n"/>
      <c r="D247" s="118" t="n"/>
      <c r="E247" s="118" t="n"/>
      <c r="F247" s="123" t="n"/>
      <c r="G247" s="119" t="n"/>
      <c r="H247" s="123" t="n"/>
      <c r="I247" s="123" t="n"/>
      <c r="J247" s="125" t="n"/>
      <c r="K247" s="120" t="n"/>
    </row>
    <row r="248" ht="15" customHeight="1" s="72">
      <c r="A248" s="117" t="n"/>
      <c r="B248" s="117" t="n"/>
      <c r="C248" s="118" t="n"/>
      <c r="D248" s="118" t="n"/>
      <c r="E248" s="118" t="n"/>
      <c r="F248" s="123" t="n"/>
      <c r="G248" s="119" t="n"/>
      <c r="H248" s="123" t="n"/>
      <c r="I248" s="123" t="n"/>
      <c r="J248" s="125" t="n"/>
      <c r="K248" s="120" t="n"/>
    </row>
    <row r="249" ht="15" customHeight="1" s="72">
      <c r="A249" s="117" t="n"/>
      <c r="B249" s="117" t="n"/>
      <c r="C249" s="118" t="n"/>
      <c r="D249" s="118" t="n"/>
      <c r="E249" s="118" t="n"/>
      <c r="F249" s="123" t="n"/>
      <c r="G249" s="119" t="n"/>
      <c r="H249" s="123" t="n"/>
      <c r="I249" s="123" t="n"/>
      <c r="J249" s="125" t="n"/>
      <c r="K249" s="120" t="n"/>
    </row>
    <row r="250" ht="15" customHeight="1" s="72">
      <c r="A250" s="117" t="n"/>
      <c r="B250" s="117" t="n"/>
      <c r="C250" s="118" t="n"/>
      <c r="D250" s="118" t="n"/>
      <c r="E250" s="118" t="n"/>
      <c r="F250" s="123" t="n"/>
      <c r="G250" s="119" t="n"/>
      <c r="H250" s="123" t="n"/>
      <c r="I250" s="123" t="n"/>
      <c r="J250" s="125" t="n"/>
      <c r="K250" s="120" t="n"/>
    </row>
    <row r="251" ht="15" customHeight="1" s="72">
      <c r="A251" s="117" t="n"/>
      <c r="B251" s="117" t="n"/>
      <c r="C251" s="118" t="n"/>
      <c r="D251" s="118" t="n"/>
      <c r="E251" s="118" t="n"/>
      <c r="F251" s="123" t="n"/>
      <c r="G251" s="119" t="n"/>
      <c r="H251" s="123" t="n"/>
      <c r="I251" s="123" t="n"/>
      <c r="J251" s="125" t="n"/>
      <c r="K251" s="120" t="n"/>
    </row>
    <row r="252" ht="15" customHeight="1" s="72">
      <c r="A252" s="117" t="n"/>
      <c r="B252" s="117" t="n"/>
      <c r="C252" s="118" t="n"/>
      <c r="D252" s="118" t="n"/>
      <c r="E252" s="118" t="n"/>
      <c r="F252" s="123" t="n"/>
      <c r="G252" s="119" t="n"/>
      <c r="H252" s="123" t="n"/>
      <c r="I252" s="123" t="n"/>
      <c r="J252" s="125" t="n"/>
      <c r="K252" s="120" t="n"/>
    </row>
    <row r="253" ht="15" customHeight="1" s="72">
      <c r="A253" s="117" t="n"/>
      <c r="B253" s="117" t="n"/>
      <c r="C253" s="118" t="n"/>
      <c r="D253" s="118" t="n"/>
      <c r="E253" s="118" t="n"/>
      <c r="F253" s="123" t="n"/>
      <c r="G253" s="119" t="n"/>
      <c r="H253" s="123" t="n"/>
      <c r="I253" s="123" t="n"/>
      <c r="J253" s="125" t="n"/>
      <c r="K253" s="120" t="n"/>
    </row>
    <row r="254" ht="15" customHeight="1" s="72">
      <c r="A254" s="117" t="n"/>
      <c r="B254" s="117" t="n"/>
      <c r="C254" s="118" t="n"/>
      <c r="D254" s="118" t="n"/>
      <c r="E254" s="118" t="n"/>
      <c r="F254" s="123" t="n"/>
      <c r="G254" s="119" t="n"/>
      <c r="H254" s="123" t="n"/>
      <c r="I254" s="123" t="n"/>
      <c r="J254" s="125" t="n"/>
      <c r="K254" s="120" t="n"/>
    </row>
    <row r="255" ht="15" customHeight="1" s="72">
      <c r="A255" s="117" t="n"/>
      <c r="B255" s="117" t="n"/>
      <c r="C255" s="118" t="n"/>
      <c r="D255" s="118" t="n"/>
      <c r="E255" s="118" t="n"/>
      <c r="F255" s="123" t="n"/>
      <c r="G255" s="119" t="n"/>
      <c r="H255" s="123" t="n"/>
      <c r="I255" s="123" t="n"/>
      <c r="J255" s="125" t="n"/>
      <c r="K255" s="120" t="n"/>
    </row>
    <row r="256" ht="15" customHeight="1" s="72">
      <c r="A256" s="117" t="n"/>
      <c r="B256" s="117" t="n"/>
      <c r="C256" s="118" t="n"/>
      <c r="D256" s="118" t="n"/>
      <c r="E256" s="118" t="n"/>
      <c r="F256" s="123" t="n"/>
      <c r="G256" s="119" t="n"/>
      <c r="H256" s="123" t="n"/>
      <c r="I256" s="123" t="n"/>
      <c r="J256" s="125" t="n"/>
      <c r="K256" s="120" t="n"/>
    </row>
    <row r="257" ht="15" customHeight="1" s="72">
      <c r="A257" s="117" t="n"/>
      <c r="B257" s="117" t="n"/>
      <c r="C257" s="118" t="n"/>
      <c r="D257" s="118" t="n"/>
      <c r="E257" s="118" t="n"/>
      <c r="F257" s="123" t="n"/>
      <c r="G257" s="119" t="n"/>
      <c r="H257" s="123" t="n"/>
      <c r="I257" s="123" t="n"/>
      <c r="J257" s="125" t="n"/>
      <c r="K257" s="120" t="n"/>
    </row>
    <row r="258" ht="15" customHeight="1" s="72">
      <c r="A258" s="117" t="n"/>
      <c r="B258" s="117" t="n"/>
      <c r="C258" s="118" t="n"/>
      <c r="D258" s="118" t="n"/>
      <c r="E258" s="118" t="n"/>
      <c r="F258" s="123" t="n"/>
      <c r="G258" s="119" t="n"/>
      <c r="H258" s="123" t="n"/>
      <c r="I258" s="123" t="n"/>
      <c r="J258" s="125" t="n"/>
      <c r="K258" s="120" t="n"/>
    </row>
    <row r="259" ht="15" customHeight="1" s="72">
      <c r="A259" s="117" t="n"/>
      <c r="B259" s="117" t="n"/>
      <c r="C259" s="118" t="n"/>
      <c r="D259" s="118" t="n"/>
      <c r="E259" s="118" t="n"/>
      <c r="F259" s="123" t="n"/>
      <c r="G259" s="119" t="n"/>
      <c r="H259" s="123" t="n"/>
      <c r="I259" s="123" t="n"/>
      <c r="J259" s="125" t="n"/>
      <c r="K259" s="120" t="n"/>
    </row>
    <row r="260" ht="15" customHeight="1" s="72">
      <c r="A260" s="117" t="n"/>
      <c r="B260" s="117" t="n"/>
      <c r="C260" s="118" t="n"/>
      <c r="D260" s="118" t="n"/>
      <c r="E260" s="118" t="n"/>
      <c r="F260" s="123" t="n"/>
      <c r="G260" s="119" t="n"/>
      <c r="H260" s="123" t="n"/>
      <c r="I260" s="123" t="n"/>
      <c r="J260" s="125" t="n"/>
      <c r="K260" s="120" t="n"/>
    </row>
    <row r="261" ht="15" customHeight="1" s="72">
      <c r="A261" s="117" t="n"/>
      <c r="B261" s="117" t="n"/>
      <c r="C261" s="118" t="n"/>
      <c r="D261" s="118" t="n"/>
      <c r="E261" s="118" t="n"/>
      <c r="F261" s="123" t="n"/>
      <c r="G261" s="119" t="n"/>
      <c r="H261" s="123" t="n"/>
      <c r="I261" s="123" t="n"/>
      <c r="J261" s="125" t="n"/>
      <c r="K261" s="120" t="n"/>
    </row>
    <row r="262" ht="15" customHeight="1" s="72">
      <c r="A262" s="117" t="n"/>
      <c r="B262" s="117" t="n"/>
      <c r="C262" s="118" t="n"/>
      <c r="D262" s="118" t="n"/>
      <c r="E262" s="118" t="n"/>
      <c r="F262" s="123" t="n"/>
      <c r="G262" s="119" t="n"/>
      <c r="H262" s="123" t="n"/>
      <c r="I262" s="123" t="n"/>
      <c r="J262" s="125" t="n"/>
      <c r="K262" s="120" t="n"/>
    </row>
    <row r="263" ht="15" customHeight="1" s="72">
      <c r="A263" s="117" t="n"/>
      <c r="B263" s="117" t="n"/>
      <c r="C263" s="118" t="n"/>
      <c r="D263" s="118" t="n"/>
      <c r="E263" s="118" t="n"/>
      <c r="F263" s="123" t="n"/>
      <c r="G263" s="119" t="n"/>
      <c r="H263" s="123" t="n"/>
      <c r="I263" s="123" t="n"/>
      <c r="J263" s="125" t="n"/>
      <c r="K263" s="120" t="n"/>
    </row>
    <row r="264" ht="15" customHeight="1" s="72">
      <c r="A264" s="117" t="n"/>
      <c r="B264" s="117" t="n"/>
      <c r="C264" s="118" t="n"/>
      <c r="D264" s="118" t="n"/>
      <c r="E264" s="118" t="n"/>
      <c r="F264" s="123" t="n"/>
      <c r="G264" s="119" t="n"/>
      <c r="H264" s="123" t="n"/>
      <c r="I264" s="123" t="n"/>
      <c r="J264" s="125" t="n"/>
      <c r="K264" s="120" t="n"/>
    </row>
    <row r="265" ht="15" customHeight="1" s="72">
      <c r="A265" s="117" t="n"/>
      <c r="B265" s="117" t="n"/>
      <c r="C265" s="118" t="n"/>
      <c r="D265" s="118" t="n"/>
      <c r="E265" s="118" t="n"/>
      <c r="F265" s="123" t="n"/>
      <c r="G265" s="119" t="n"/>
      <c r="H265" s="123" t="n"/>
      <c r="I265" s="123" t="n"/>
      <c r="J265" s="125" t="n"/>
      <c r="K265" s="120" t="n"/>
    </row>
    <row r="266" ht="15" customHeight="1" s="72">
      <c r="A266" s="117" t="n"/>
      <c r="B266" s="117" t="n"/>
      <c r="C266" s="118" t="n"/>
      <c r="D266" s="118" t="n"/>
      <c r="E266" s="118" t="n"/>
      <c r="F266" s="123" t="n"/>
      <c r="G266" s="119" t="n"/>
      <c r="H266" s="123" t="n"/>
      <c r="I266" s="123" t="n"/>
      <c r="J266" s="125" t="n"/>
      <c r="K266" s="120" t="n"/>
    </row>
    <row r="267" ht="15" customHeight="1" s="72">
      <c r="A267" s="117" t="n"/>
      <c r="B267" s="117" t="n"/>
      <c r="C267" s="118" t="n"/>
      <c r="D267" s="118" t="n"/>
      <c r="E267" s="118" t="n"/>
      <c r="F267" s="123" t="n"/>
      <c r="G267" s="119" t="n"/>
      <c r="H267" s="123" t="n"/>
      <c r="I267" s="123" t="n"/>
      <c r="J267" s="125" t="n"/>
      <c r="K267" s="120" t="n"/>
    </row>
    <row r="268" ht="15" customHeight="1" s="72">
      <c r="A268" s="117" t="n"/>
      <c r="B268" s="117" t="n"/>
      <c r="C268" s="118" t="n"/>
      <c r="D268" s="118" t="n"/>
      <c r="E268" s="118" t="n"/>
      <c r="F268" s="123" t="n"/>
      <c r="G268" s="119" t="n"/>
      <c r="H268" s="123" t="n"/>
      <c r="I268" s="123" t="n"/>
      <c r="J268" s="125" t="n"/>
      <c r="K268" s="120" t="n"/>
    </row>
    <row r="269" ht="15" customHeight="1" s="72">
      <c r="A269" s="117" t="n"/>
      <c r="B269" s="117" t="n"/>
      <c r="C269" s="118" t="n"/>
      <c r="D269" s="118" t="n"/>
      <c r="E269" s="118" t="n"/>
      <c r="F269" s="123" t="n"/>
      <c r="G269" s="119" t="n"/>
      <c r="H269" s="123" t="n"/>
      <c r="I269" s="123" t="n"/>
      <c r="J269" s="125" t="n"/>
      <c r="K269" s="120" t="n"/>
    </row>
    <row r="270" ht="15" customHeight="1" s="72">
      <c r="A270" s="117" t="n"/>
      <c r="B270" s="117" t="n"/>
      <c r="C270" s="118" t="n"/>
      <c r="D270" s="118" t="n"/>
      <c r="E270" s="118" t="n"/>
      <c r="F270" s="123" t="n"/>
      <c r="G270" s="119" t="n"/>
      <c r="H270" s="123" t="n"/>
      <c r="I270" s="123" t="n"/>
      <c r="J270" s="125" t="n"/>
      <c r="K270" s="120" t="n"/>
    </row>
    <row r="271" ht="15" customHeight="1" s="72">
      <c r="A271" s="117" t="n"/>
      <c r="B271" s="117" t="n"/>
      <c r="C271" s="118" t="n"/>
      <c r="D271" s="118" t="n"/>
      <c r="E271" s="118" t="n"/>
      <c r="F271" s="123" t="n"/>
      <c r="G271" s="119" t="n"/>
      <c r="H271" s="123" t="n"/>
      <c r="I271" s="123" t="n"/>
      <c r="J271" s="125" t="n"/>
      <c r="K271" s="120" t="n"/>
    </row>
    <row r="272" ht="15" customHeight="1" s="72">
      <c r="A272" s="117" t="n"/>
      <c r="B272" s="117" t="n"/>
      <c r="C272" s="118" t="n"/>
      <c r="D272" s="118" t="n"/>
      <c r="E272" s="118" t="n"/>
      <c r="F272" s="123" t="n"/>
      <c r="G272" s="119" t="n"/>
      <c r="H272" s="123" t="n"/>
      <c r="I272" s="123" t="n"/>
      <c r="J272" s="125" t="n"/>
      <c r="K272" s="120" t="n"/>
    </row>
    <row r="273" ht="15" customHeight="1" s="72">
      <c r="A273" s="117" t="n"/>
      <c r="B273" s="117" t="n"/>
      <c r="C273" s="118" t="n"/>
      <c r="D273" s="118" t="n"/>
      <c r="E273" s="118" t="n"/>
      <c r="F273" s="123" t="n"/>
      <c r="G273" s="119" t="n"/>
      <c r="H273" s="123" t="n"/>
      <c r="I273" s="123" t="n"/>
      <c r="J273" s="125" t="n"/>
      <c r="K273" s="120" t="n"/>
    </row>
    <row r="274" ht="15" customHeight="1" s="72">
      <c r="A274" s="117" t="n"/>
      <c r="B274" s="117" t="n"/>
      <c r="C274" s="118" t="n"/>
      <c r="D274" s="118" t="n"/>
      <c r="E274" s="118" t="n"/>
      <c r="F274" s="123" t="n"/>
      <c r="G274" s="119" t="n"/>
      <c r="H274" s="123" t="n"/>
      <c r="I274" s="123" t="n"/>
      <c r="J274" s="125" t="n"/>
      <c r="K274" s="120" t="n"/>
    </row>
    <row r="275" ht="15" customHeight="1" s="72">
      <c r="A275" s="117" t="n"/>
      <c r="B275" s="117" t="n"/>
      <c r="C275" s="118" t="n"/>
      <c r="D275" s="118" t="n"/>
      <c r="E275" s="118" t="n"/>
      <c r="F275" s="123" t="n"/>
      <c r="G275" s="119" t="n"/>
      <c r="H275" s="123" t="n"/>
      <c r="I275" s="123" t="n"/>
      <c r="J275" s="125" t="n"/>
      <c r="K275" s="120" t="n"/>
    </row>
    <row r="276" ht="15" customHeight="1" s="72">
      <c r="A276" s="117" t="n"/>
      <c r="B276" s="117" t="n"/>
      <c r="C276" s="118" t="n"/>
      <c r="D276" s="118" t="n"/>
      <c r="E276" s="118" t="n"/>
      <c r="F276" s="123" t="n"/>
      <c r="G276" s="119" t="n"/>
      <c r="H276" s="123" t="n"/>
      <c r="I276" s="123" t="n"/>
      <c r="J276" s="125" t="n"/>
      <c r="K276" s="120" t="n"/>
    </row>
    <row r="277" ht="15" customHeight="1" s="72">
      <c r="A277" s="117" t="n"/>
      <c r="B277" s="117" t="n"/>
      <c r="C277" s="118" t="n"/>
      <c r="D277" s="118" t="n"/>
      <c r="E277" s="118" t="n"/>
      <c r="F277" s="123" t="n"/>
      <c r="G277" s="119" t="n"/>
      <c r="H277" s="123" t="n"/>
      <c r="I277" s="123" t="n"/>
      <c r="J277" s="125" t="n"/>
      <c r="K277" s="120" t="n"/>
    </row>
    <row r="278" ht="15" customHeight="1" s="72">
      <c r="A278" s="117" t="n"/>
      <c r="B278" s="117" t="n"/>
      <c r="C278" s="118" t="n"/>
      <c r="D278" s="118" t="n"/>
      <c r="E278" s="118" t="n"/>
      <c r="F278" s="123" t="n"/>
      <c r="G278" s="119" t="n"/>
      <c r="H278" s="123" t="n"/>
      <c r="I278" s="123" t="n"/>
      <c r="J278" s="125" t="n"/>
      <c r="K278" s="120" t="n"/>
    </row>
    <row r="279" ht="15" customHeight="1" s="72">
      <c r="A279" s="117" t="n"/>
      <c r="B279" s="117" t="n"/>
      <c r="C279" s="118" t="n"/>
      <c r="D279" s="118" t="n"/>
      <c r="E279" s="118" t="n"/>
      <c r="F279" s="123" t="n"/>
      <c r="G279" s="119" t="n"/>
      <c r="H279" s="123" t="n"/>
      <c r="I279" s="123" t="n"/>
      <c r="J279" s="125" t="n"/>
      <c r="K279" s="120" t="n"/>
    </row>
    <row r="280" ht="15" customHeight="1" s="72">
      <c r="A280" s="117" t="n"/>
      <c r="B280" s="117" t="n"/>
      <c r="C280" s="118" t="n"/>
      <c r="D280" s="118" t="n"/>
      <c r="E280" s="118" t="n"/>
      <c r="F280" s="123" t="n"/>
      <c r="G280" s="119" t="n"/>
      <c r="H280" s="123" t="n"/>
      <c r="I280" s="123" t="n"/>
      <c r="J280" s="125" t="n"/>
      <c r="K280" s="120" t="n"/>
    </row>
    <row r="281" ht="15" customHeight="1" s="72">
      <c r="A281" s="117" t="n"/>
      <c r="B281" s="117" t="n"/>
      <c r="C281" s="118" t="n"/>
      <c r="D281" s="118" t="n"/>
      <c r="E281" s="118" t="n"/>
      <c r="F281" s="123" t="n"/>
      <c r="G281" s="119" t="n"/>
      <c r="H281" s="123" t="n"/>
      <c r="I281" s="123" t="n"/>
      <c r="J281" s="125" t="n"/>
      <c r="K281" s="120" t="n"/>
    </row>
    <row r="282" ht="15" customHeight="1" s="72">
      <c r="A282" s="117" t="n"/>
      <c r="B282" s="117" t="n"/>
      <c r="C282" s="118" t="n"/>
      <c r="D282" s="118" t="n"/>
      <c r="E282" s="118" t="n"/>
      <c r="F282" s="123" t="n"/>
      <c r="G282" s="119" t="n"/>
      <c r="H282" s="123" t="n"/>
      <c r="I282" s="123" t="n"/>
      <c r="J282" s="125" t="n"/>
      <c r="K282" s="120" t="n"/>
    </row>
    <row r="283" ht="15" customHeight="1" s="72">
      <c r="A283" s="117" t="n"/>
      <c r="B283" s="117" t="n"/>
      <c r="C283" s="118" t="n"/>
      <c r="D283" s="118" t="n"/>
      <c r="E283" s="118" t="n"/>
      <c r="F283" s="123" t="n"/>
      <c r="G283" s="119" t="n"/>
      <c r="H283" s="123" t="n"/>
      <c r="I283" s="123" t="n"/>
      <c r="J283" s="125" t="n"/>
      <c r="K283" s="120" t="n"/>
    </row>
    <row r="284" ht="15" customHeight="1" s="72">
      <c r="A284" s="117" t="n"/>
      <c r="B284" s="117" t="n"/>
      <c r="C284" s="118" t="n"/>
      <c r="D284" s="118" t="n"/>
      <c r="E284" s="118" t="n"/>
      <c r="F284" s="123" t="n"/>
      <c r="G284" s="119" t="n"/>
      <c r="H284" s="123" t="n"/>
      <c r="I284" s="123" t="n"/>
      <c r="J284" s="125" t="n"/>
      <c r="K284" s="120" t="n"/>
    </row>
    <row r="285" ht="15" customHeight="1" s="72">
      <c r="A285" s="117" t="n"/>
      <c r="B285" s="117" t="n"/>
      <c r="C285" s="118" t="n"/>
      <c r="D285" s="118" t="n"/>
      <c r="E285" s="118" t="n"/>
      <c r="F285" s="123" t="n"/>
      <c r="G285" s="119" t="n"/>
      <c r="H285" s="123" t="n"/>
      <c r="I285" s="123" t="n"/>
      <c r="J285" s="125" t="n"/>
      <c r="K285" s="120" t="n"/>
    </row>
    <row r="286" ht="15" customHeight="1" s="72">
      <c r="A286" s="117" t="n"/>
      <c r="B286" s="117" t="n"/>
      <c r="C286" s="118" t="n"/>
      <c r="D286" s="118" t="n"/>
      <c r="E286" s="118" t="n"/>
      <c r="F286" s="123" t="n"/>
      <c r="G286" s="119" t="n"/>
      <c r="H286" s="123" t="n"/>
      <c r="I286" s="123" t="n"/>
      <c r="J286" s="125" t="n"/>
      <c r="K286" s="120" t="n"/>
    </row>
    <row r="287" ht="15" customHeight="1" s="72">
      <c r="A287" s="117" t="n"/>
      <c r="B287" s="117" t="n"/>
      <c r="C287" s="118" t="n"/>
      <c r="D287" s="118" t="n"/>
      <c r="E287" s="118" t="n"/>
      <c r="F287" s="123" t="n"/>
      <c r="G287" s="119" t="n"/>
      <c r="H287" s="123" t="n"/>
      <c r="I287" s="123" t="n"/>
      <c r="J287" s="125" t="n"/>
      <c r="K287" s="120" t="n"/>
    </row>
    <row r="288" ht="15" customHeight="1" s="72">
      <c r="A288" s="117" t="n"/>
      <c r="B288" s="117" t="n"/>
      <c r="C288" s="118" t="n"/>
      <c r="D288" s="118" t="n"/>
      <c r="E288" s="118" t="n"/>
      <c r="F288" s="123" t="n"/>
      <c r="G288" s="119" t="n"/>
      <c r="H288" s="123" t="n"/>
      <c r="I288" s="123" t="n"/>
      <c r="J288" s="125" t="n"/>
      <c r="K288" s="120" t="n"/>
    </row>
    <row r="289" ht="15" customHeight="1" s="72">
      <c r="A289" s="117" t="n"/>
      <c r="B289" s="117" t="n"/>
      <c r="C289" s="118" t="n"/>
      <c r="D289" s="118" t="n"/>
      <c r="E289" s="118" t="n"/>
      <c r="F289" s="123" t="n"/>
      <c r="G289" s="119" t="n"/>
      <c r="H289" s="123" t="n"/>
      <c r="I289" s="123" t="n"/>
      <c r="J289" s="125" t="n"/>
      <c r="K289" s="120" t="n"/>
    </row>
    <row r="290" ht="15" customHeight="1" s="72">
      <c r="A290" s="117" t="n"/>
      <c r="B290" s="117" t="n"/>
      <c r="C290" s="118" t="n"/>
      <c r="D290" s="118" t="n"/>
      <c r="E290" s="118" t="n"/>
      <c r="F290" s="123" t="n"/>
      <c r="G290" s="119" t="n"/>
      <c r="H290" s="123" t="n"/>
      <c r="I290" s="123" t="n"/>
      <c r="J290" s="125" t="n"/>
      <c r="K290" s="120" t="n"/>
    </row>
    <row r="291" ht="15" customHeight="1" s="72">
      <c r="A291" s="117" t="n"/>
      <c r="B291" s="117" t="n"/>
      <c r="C291" s="118" t="n"/>
      <c r="D291" s="118" t="n"/>
      <c r="E291" s="118" t="n"/>
      <c r="F291" s="123" t="n"/>
      <c r="G291" s="119" t="n"/>
      <c r="H291" s="123" t="n"/>
      <c r="I291" s="123" t="n"/>
      <c r="J291" s="125" t="n"/>
      <c r="K291" s="120" t="n"/>
    </row>
    <row r="292" ht="15" customHeight="1" s="72">
      <c r="A292" s="117" t="n"/>
      <c r="B292" s="117" t="n"/>
      <c r="C292" s="118" t="n"/>
      <c r="D292" s="118" t="n"/>
      <c r="E292" s="118" t="n"/>
      <c r="F292" s="123" t="n"/>
      <c r="G292" s="119" t="n"/>
      <c r="H292" s="123" t="n"/>
      <c r="I292" s="123" t="n"/>
      <c r="J292" s="125" t="n"/>
      <c r="K292" s="120" t="n"/>
    </row>
    <row r="293" ht="15" customHeight="1" s="72">
      <c r="A293" s="117" t="n"/>
      <c r="B293" s="117" t="n"/>
      <c r="C293" s="118" t="n"/>
      <c r="D293" s="118" t="n"/>
      <c r="E293" s="118" t="n"/>
      <c r="F293" s="123" t="n"/>
      <c r="G293" s="119" t="n"/>
      <c r="H293" s="123" t="n"/>
      <c r="I293" s="123" t="n"/>
      <c r="J293" s="125" t="n"/>
      <c r="K293" s="120" t="n"/>
    </row>
    <row r="294" ht="15" customHeight="1" s="72">
      <c r="A294" s="117" t="n"/>
      <c r="B294" s="117" t="n"/>
      <c r="C294" s="118" t="n"/>
      <c r="D294" s="118" t="n"/>
      <c r="E294" s="118" t="n"/>
      <c r="F294" s="123" t="n"/>
      <c r="G294" s="119" t="n"/>
      <c r="H294" s="123" t="n"/>
      <c r="I294" s="123" t="n"/>
      <c r="J294" s="125" t="n"/>
      <c r="K294" s="120" t="n"/>
    </row>
    <row r="295" ht="15" customHeight="1" s="72">
      <c r="A295" s="117" t="n"/>
      <c r="B295" s="117" t="n"/>
      <c r="C295" s="118" t="n"/>
      <c r="D295" s="118" t="n"/>
      <c r="E295" s="118" t="n"/>
      <c r="F295" s="123" t="n"/>
      <c r="G295" s="119" t="n"/>
      <c r="H295" s="123" t="n"/>
      <c r="I295" s="123" t="n"/>
      <c r="J295" s="125" t="n"/>
      <c r="K295" s="120" t="n"/>
    </row>
    <row r="296" ht="15" customHeight="1" s="72">
      <c r="A296" s="117" t="n"/>
      <c r="B296" s="117" t="n"/>
      <c r="C296" s="118" t="n"/>
      <c r="D296" s="118" t="n"/>
      <c r="E296" s="118" t="n"/>
      <c r="F296" s="123" t="n"/>
      <c r="G296" s="119" t="n"/>
      <c r="H296" s="123" t="n"/>
      <c r="I296" s="123" t="n"/>
      <c r="J296" s="125" t="n"/>
      <c r="K296" s="120" t="n"/>
    </row>
    <row r="297" ht="15" customHeight="1" s="72">
      <c r="A297" s="117" t="n"/>
      <c r="B297" s="117" t="n"/>
      <c r="C297" s="118" t="n"/>
      <c r="D297" s="118" t="n"/>
      <c r="E297" s="118" t="n"/>
      <c r="F297" s="123" t="n"/>
      <c r="G297" s="119" t="n"/>
      <c r="H297" s="123" t="n"/>
      <c r="I297" s="123" t="n"/>
      <c r="J297" s="125" t="n"/>
      <c r="K297" s="120" t="n"/>
    </row>
    <row r="298" ht="15" customHeight="1" s="72">
      <c r="A298" s="117" t="n"/>
      <c r="B298" s="117" t="n"/>
      <c r="C298" s="118" t="n"/>
      <c r="D298" s="118" t="n"/>
      <c r="E298" s="118" t="n"/>
      <c r="F298" s="123" t="n"/>
      <c r="G298" s="119" t="n"/>
      <c r="H298" s="123" t="n"/>
      <c r="I298" s="123" t="n"/>
      <c r="J298" s="125" t="n"/>
      <c r="K298" s="120" t="n"/>
    </row>
    <row r="299" ht="15" customHeight="1" s="72">
      <c r="A299" s="117" t="n"/>
      <c r="B299" s="117" t="n"/>
      <c r="C299" s="118" t="n"/>
      <c r="D299" s="118" t="n"/>
      <c r="E299" s="118" t="n"/>
      <c r="F299" s="123" t="n"/>
      <c r="G299" s="119" t="n"/>
      <c r="H299" s="123" t="n"/>
      <c r="I299" s="123" t="n"/>
      <c r="J299" s="125" t="n"/>
      <c r="K299" s="120" t="n"/>
    </row>
    <row r="300" ht="15" customHeight="1" s="72">
      <c r="A300" s="117" t="n"/>
      <c r="B300" s="117" t="n"/>
      <c r="C300" s="118" t="n"/>
      <c r="D300" s="118" t="n"/>
      <c r="E300" s="118" t="n"/>
      <c r="F300" s="123" t="n"/>
      <c r="G300" s="119" t="n"/>
      <c r="H300" s="123" t="n"/>
      <c r="I300" s="123" t="n"/>
      <c r="J300" s="125" t="n"/>
      <c r="K300" s="120" t="n"/>
    </row>
    <row r="301" ht="15" customHeight="1" s="72">
      <c r="A301" s="117" t="n"/>
      <c r="B301" s="117" t="n"/>
      <c r="C301" s="118" t="n"/>
      <c r="D301" s="118" t="n"/>
      <c r="E301" s="118" t="n"/>
      <c r="F301" s="123" t="n"/>
      <c r="G301" s="119" t="n"/>
      <c r="H301" s="123" t="n"/>
      <c r="I301" s="123" t="n"/>
      <c r="J301" s="125" t="n"/>
      <c r="K301" s="120" t="n"/>
    </row>
    <row r="302" ht="15" customHeight="1" s="72">
      <c r="A302" s="117" t="n"/>
      <c r="B302" s="117" t="n"/>
      <c r="C302" s="118" t="n"/>
      <c r="D302" s="118" t="n"/>
      <c r="E302" s="118" t="n"/>
      <c r="F302" s="123" t="n"/>
      <c r="G302" s="119" t="n"/>
      <c r="H302" s="123" t="n"/>
      <c r="I302" s="123" t="n"/>
      <c r="J302" s="125" t="n"/>
      <c r="K302" s="120" t="n"/>
    </row>
    <row r="303" ht="15" customHeight="1" s="72">
      <c r="A303" s="117" t="n"/>
      <c r="B303" s="117" t="n"/>
      <c r="C303" s="118" t="n"/>
      <c r="D303" s="118" t="n"/>
      <c r="E303" s="118" t="n"/>
      <c r="F303" s="123" t="n"/>
      <c r="G303" s="119" t="n"/>
      <c r="H303" s="123" t="n"/>
      <c r="I303" s="123" t="n"/>
      <c r="J303" s="125" t="n"/>
      <c r="K303" s="120" t="n"/>
    </row>
    <row r="304" ht="15" customHeight="1" s="72">
      <c r="A304" s="117" t="n"/>
      <c r="B304" s="117" t="n"/>
      <c r="C304" s="118" t="n"/>
      <c r="D304" s="118" t="n"/>
      <c r="E304" s="118" t="n"/>
      <c r="F304" s="123" t="n"/>
      <c r="G304" s="119" t="n"/>
      <c r="H304" s="123" t="n"/>
      <c r="I304" s="123" t="n"/>
      <c r="J304" s="125" t="n"/>
      <c r="K304" s="120" t="n"/>
    </row>
    <row r="305" ht="15" customHeight="1" s="72">
      <c r="A305" s="117" t="n"/>
      <c r="B305" s="117" t="n"/>
      <c r="C305" s="118" t="n"/>
      <c r="D305" s="118" t="n"/>
      <c r="E305" s="118" t="n"/>
      <c r="F305" s="123" t="n"/>
      <c r="G305" s="119" t="n"/>
      <c r="H305" s="123" t="n"/>
      <c r="I305" s="123" t="n"/>
      <c r="J305" s="125" t="n"/>
      <c r="K305" s="120" t="n"/>
    </row>
    <row r="306" ht="15" customHeight="1" s="72">
      <c r="A306" s="117" t="n"/>
      <c r="B306" s="117" t="n"/>
      <c r="C306" s="118" t="n"/>
      <c r="D306" s="118" t="n"/>
      <c r="E306" s="118" t="n"/>
      <c r="F306" s="123" t="n"/>
      <c r="G306" s="119" t="n"/>
      <c r="H306" s="123" t="n"/>
      <c r="I306" s="123" t="n"/>
      <c r="J306" s="125" t="n"/>
      <c r="K306" s="120" t="n"/>
    </row>
    <row r="307" ht="15" customHeight="1" s="72">
      <c r="A307" s="117" t="n"/>
      <c r="B307" s="117" t="n"/>
      <c r="C307" s="118" t="n"/>
      <c r="D307" s="118" t="n"/>
      <c r="E307" s="118" t="n"/>
      <c r="F307" s="123" t="n"/>
      <c r="G307" s="119" t="n"/>
      <c r="H307" s="123" t="n"/>
      <c r="I307" s="123" t="n"/>
      <c r="J307" s="125" t="n"/>
      <c r="K307" s="120" t="n"/>
    </row>
    <row r="308" ht="15" customHeight="1" s="72">
      <c r="A308" s="117" t="n"/>
      <c r="B308" s="117" t="n"/>
      <c r="C308" s="118" t="n"/>
      <c r="D308" s="118" t="n"/>
      <c r="E308" s="118" t="n"/>
      <c r="F308" s="123" t="n"/>
      <c r="G308" s="119" t="n"/>
      <c r="H308" s="123" t="n"/>
      <c r="I308" s="123" t="n"/>
      <c r="J308" s="125" t="n"/>
      <c r="K308" s="120" t="n"/>
    </row>
    <row r="309" ht="15" customHeight="1" s="72">
      <c r="A309" s="117" t="n"/>
      <c r="B309" s="117" t="n"/>
      <c r="C309" s="118" t="n"/>
      <c r="D309" s="118" t="n"/>
      <c r="E309" s="118" t="n"/>
      <c r="F309" s="123" t="n"/>
      <c r="G309" s="119" t="n"/>
      <c r="H309" s="123" t="n"/>
      <c r="I309" s="123" t="n"/>
      <c r="J309" s="125" t="n"/>
      <c r="K309" s="120" t="n"/>
    </row>
    <row r="310" ht="15" customHeight="1" s="72">
      <c r="A310" s="117" t="n"/>
      <c r="B310" s="117" t="n"/>
      <c r="C310" s="118" t="n"/>
      <c r="D310" s="118" t="n"/>
      <c r="E310" s="118" t="n"/>
      <c r="F310" s="123" t="n"/>
      <c r="G310" s="119" t="n"/>
      <c r="H310" s="123" t="n"/>
      <c r="I310" s="123" t="n"/>
      <c r="J310" s="125" t="n"/>
      <c r="K310" s="120" t="n"/>
    </row>
    <row r="311" ht="15" customHeight="1" s="72">
      <c r="A311" s="117" t="n"/>
      <c r="B311" s="117" t="n"/>
      <c r="C311" s="118" t="n"/>
      <c r="D311" s="118" t="n"/>
      <c r="E311" s="118" t="n"/>
      <c r="F311" s="123" t="n"/>
      <c r="G311" s="119" t="n"/>
      <c r="H311" s="123" t="n"/>
      <c r="I311" s="123" t="n"/>
      <c r="J311" s="125" t="n"/>
      <c r="K311" s="120" t="n"/>
    </row>
    <row r="312" ht="15" customHeight="1" s="72">
      <c r="A312" s="117" t="n"/>
      <c r="B312" s="117" t="n"/>
      <c r="C312" s="118" t="n"/>
      <c r="D312" s="118" t="n"/>
      <c r="E312" s="118" t="n"/>
      <c r="F312" s="123" t="n"/>
      <c r="G312" s="119" t="n"/>
      <c r="H312" s="123" t="n"/>
      <c r="I312" s="123" t="n"/>
      <c r="J312" s="125" t="n"/>
      <c r="K312" s="120" t="n"/>
    </row>
    <row r="313" ht="15" customHeight="1" s="72">
      <c r="A313" s="117" t="n"/>
      <c r="B313" s="117" t="n"/>
      <c r="C313" s="118" t="n"/>
      <c r="D313" s="118" t="n"/>
      <c r="E313" s="118" t="n"/>
      <c r="F313" s="123" t="n"/>
      <c r="G313" s="119" t="n"/>
      <c r="H313" s="123" t="n"/>
      <c r="I313" s="123" t="n"/>
      <c r="J313" s="125" t="n"/>
      <c r="K313" s="120" t="n"/>
    </row>
    <row r="314" ht="15" customHeight="1" s="72">
      <c r="A314" s="117" t="n"/>
      <c r="B314" s="117" t="n"/>
      <c r="C314" s="118" t="n"/>
      <c r="D314" s="118" t="n"/>
      <c r="E314" s="118" t="n"/>
      <c r="F314" s="123" t="n"/>
      <c r="G314" s="119" t="n"/>
      <c r="H314" s="123" t="n"/>
      <c r="I314" s="123" t="n"/>
      <c r="J314" s="125" t="n"/>
      <c r="K314" s="120" t="n"/>
    </row>
    <row r="315" ht="15" customHeight="1" s="72">
      <c r="A315" s="117" t="n"/>
      <c r="B315" s="117" t="n"/>
      <c r="C315" s="118" t="n"/>
      <c r="D315" s="118" t="n"/>
      <c r="E315" s="118" t="n"/>
      <c r="F315" s="123" t="n"/>
      <c r="G315" s="119" t="n"/>
      <c r="H315" s="123" t="n"/>
      <c r="I315" s="123" t="n"/>
      <c r="J315" s="125" t="n"/>
      <c r="K315" s="120" t="n"/>
    </row>
    <row r="316" ht="15" customHeight="1" s="72">
      <c r="A316" s="117" t="n"/>
      <c r="B316" s="117" t="n"/>
      <c r="C316" s="118" t="n"/>
      <c r="D316" s="118" t="n"/>
      <c r="E316" s="118" t="n"/>
      <c r="F316" s="123" t="n"/>
      <c r="G316" s="119" t="n"/>
      <c r="H316" s="123" t="n"/>
      <c r="I316" s="123" t="n"/>
      <c r="J316" s="125" t="n"/>
      <c r="K316" s="120" t="n"/>
    </row>
    <row r="317" ht="15" customHeight="1" s="72">
      <c r="A317" s="117" t="n"/>
      <c r="B317" s="117" t="n"/>
      <c r="C317" s="118" t="n"/>
      <c r="D317" s="118" t="n"/>
      <c r="E317" s="118" t="n"/>
      <c r="F317" s="123" t="n"/>
      <c r="G317" s="119" t="n"/>
      <c r="H317" s="123" t="n"/>
      <c r="I317" s="123" t="n"/>
      <c r="J317" s="125" t="n"/>
      <c r="K317" s="120" t="n"/>
    </row>
    <row r="318" ht="15" customHeight="1" s="72">
      <c r="A318" s="117" t="n"/>
      <c r="B318" s="117" t="n"/>
      <c r="C318" s="118" t="n"/>
      <c r="D318" s="118" t="n"/>
      <c r="E318" s="118" t="n"/>
      <c r="F318" s="123" t="n"/>
      <c r="G318" s="119" t="n"/>
      <c r="H318" s="123" t="n"/>
      <c r="I318" s="123" t="n"/>
      <c r="J318" s="125" t="n"/>
      <c r="K318" s="120" t="n"/>
    </row>
    <row r="319" ht="15" customHeight="1" s="72">
      <c r="A319" s="117" t="n"/>
      <c r="B319" s="117" t="n"/>
      <c r="C319" s="118" t="n"/>
      <c r="D319" s="118" t="n"/>
      <c r="E319" s="118" t="n"/>
      <c r="F319" s="123" t="n"/>
      <c r="G319" s="119" t="n"/>
      <c r="H319" s="123" t="n"/>
      <c r="I319" s="123" t="n"/>
      <c r="J319" s="125" t="n"/>
      <c r="K319" s="120" t="n"/>
    </row>
    <row r="320" ht="15" customHeight="1" s="72">
      <c r="A320" s="117" t="n"/>
      <c r="B320" s="117" t="n"/>
      <c r="C320" s="118" t="n"/>
      <c r="D320" s="118" t="n"/>
      <c r="E320" s="118" t="n"/>
      <c r="F320" s="123" t="n"/>
      <c r="G320" s="119" t="n"/>
      <c r="H320" s="123" t="n"/>
      <c r="I320" s="123" t="n"/>
      <c r="J320" s="125" t="n"/>
      <c r="K320" s="120" t="n"/>
    </row>
    <row r="321" ht="15" customHeight="1" s="72">
      <c r="A321" s="117" t="n"/>
      <c r="B321" s="117" t="n"/>
      <c r="C321" s="118" t="n"/>
      <c r="D321" s="118" t="n"/>
      <c r="E321" s="118" t="n"/>
      <c r="F321" s="123" t="n"/>
      <c r="G321" s="119" t="n"/>
      <c r="H321" s="123" t="n"/>
      <c r="I321" s="123" t="n"/>
      <c r="J321" s="125" t="n"/>
      <c r="K321" s="120" t="n"/>
    </row>
    <row r="322" ht="15" customHeight="1" s="72">
      <c r="A322" s="117" t="n"/>
      <c r="B322" s="117" t="n"/>
      <c r="C322" s="118" t="n"/>
      <c r="D322" s="118" t="n"/>
      <c r="E322" s="118" t="n"/>
      <c r="F322" s="123" t="n"/>
      <c r="G322" s="119" t="n"/>
      <c r="H322" s="123" t="n"/>
      <c r="I322" s="123" t="n"/>
      <c r="J322" s="125" t="n"/>
      <c r="K322" s="120" t="n"/>
    </row>
    <row r="323" ht="15" customHeight="1" s="72">
      <c r="A323" s="117" t="n"/>
      <c r="B323" s="117" t="n"/>
      <c r="C323" s="118" t="n"/>
      <c r="D323" s="118" t="n"/>
      <c r="E323" s="118" t="n"/>
      <c r="F323" s="123" t="n"/>
      <c r="G323" s="119" t="n"/>
      <c r="H323" s="123" t="n"/>
      <c r="I323" s="123" t="n"/>
      <c r="J323" s="125" t="n"/>
      <c r="K323" s="120" t="n"/>
    </row>
    <row r="324" ht="15" customHeight="1" s="72">
      <c r="A324" s="117" t="n"/>
      <c r="B324" s="117" t="n"/>
      <c r="C324" s="118" t="n"/>
      <c r="D324" s="118" t="n"/>
      <c r="E324" s="118" t="n"/>
      <c r="F324" s="123" t="n"/>
      <c r="G324" s="119" t="n"/>
      <c r="H324" s="123" t="n"/>
      <c r="I324" s="123" t="n"/>
      <c r="J324" s="125" t="n"/>
      <c r="K324" s="120" t="n"/>
    </row>
    <row r="325" ht="15" customHeight="1" s="72">
      <c r="A325" s="117" t="n"/>
      <c r="B325" s="117" t="n"/>
      <c r="C325" s="118" t="n"/>
      <c r="D325" s="118" t="n"/>
      <c r="E325" s="118" t="n"/>
      <c r="F325" s="123" t="n"/>
      <c r="G325" s="119" t="n"/>
      <c r="H325" s="123" t="n"/>
      <c r="I325" s="123" t="n"/>
      <c r="J325" s="125" t="n"/>
      <c r="K325" s="120" t="n"/>
    </row>
    <row r="326" ht="15" customHeight="1" s="72">
      <c r="A326" s="117" t="n"/>
      <c r="B326" s="117" t="n"/>
      <c r="C326" s="118" t="n"/>
      <c r="D326" s="118" t="n"/>
      <c r="E326" s="118" t="n"/>
      <c r="F326" s="123" t="n"/>
      <c r="G326" s="119" t="n"/>
      <c r="H326" s="123" t="n"/>
      <c r="I326" s="123" t="n"/>
      <c r="J326" s="125" t="n"/>
      <c r="K326" s="120" t="n"/>
    </row>
    <row r="327" ht="15" customHeight="1" s="72">
      <c r="A327" s="117" t="n"/>
      <c r="B327" s="117" t="n"/>
      <c r="C327" s="118" t="n"/>
      <c r="D327" s="118" t="n"/>
      <c r="E327" s="118" t="n"/>
      <c r="F327" s="123" t="n"/>
      <c r="G327" s="119" t="n"/>
      <c r="H327" s="123" t="n"/>
      <c r="I327" s="123" t="n"/>
      <c r="J327" s="125" t="n"/>
      <c r="K327" s="120" t="n"/>
    </row>
    <row r="328" ht="15" customHeight="1" s="72">
      <c r="A328" s="117" t="n"/>
      <c r="B328" s="117" t="n"/>
      <c r="C328" s="118" t="n"/>
      <c r="D328" s="118" t="n"/>
      <c r="E328" s="118" t="n"/>
      <c r="F328" s="123" t="n"/>
      <c r="G328" s="119" t="n"/>
      <c r="H328" s="123" t="n"/>
      <c r="I328" s="123" t="n"/>
      <c r="J328" s="125" t="n"/>
      <c r="K328" s="120" t="n"/>
    </row>
    <row r="329" ht="15" customHeight="1" s="72">
      <c r="A329" s="117" t="n"/>
      <c r="B329" s="117" t="n"/>
      <c r="C329" s="118" t="n"/>
      <c r="D329" s="118" t="n"/>
      <c r="E329" s="118" t="n"/>
      <c r="F329" s="123" t="n"/>
      <c r="G329" s="119" t="n"/>
      <c r="H329" s="123" t="n"/>
      <c r="I329" s="123" t="n"/>
      <c r="J329" s="125" t="n"/>
      <c r="K329" s="120" t="n"/>
    </row>
    <row r="330" ht="15" customHeight="1" s="72">
      <c r="A330" s="117" t="n"/>
      <c r="B330" s="117" t="n"/>
      <c r="C330" s="118" t="n"/>
      <c r="D330" s="118" t="n"/>
      <c r="E330" s="118" t="n"/>
      <c r="F330" s="123" t="n"/>
      <c r="G330" s="119" t="n"/>
      <c r="H330" s="123" t="n"/>
      <c r="I330" s="123" t="n"/>
      <c r="J330" s="125" t="n"/>
      <c r="K330" s="120" t="n"/>
    </row>
    <row r="331" ht="15" customHeight="1" s="72">
      <c r="A331" s="117" t="n"/>
      <c r="B331" s="117" t="n"/>
      <c r="C331" s="118" t="n"/>
      <c r="D331" s="118" t="n"/>
      <c r="E331" s="118" t="n"/>
      <c r="F331" s="123" t="n"/>
      <c r="G331" s="119" t="n"/>
      <c r="H331" s="123" t="n"/>
      <c r="I331" s="123" t="n"/>
      <c r="J331" s="125" t="n"/>
      <c r="K331" s="120" t="n"/>
    </row>
    <row r="332" ht="15" customHeight="1" s="72">
      <c r="A332" s="117" t="n"/>
      <c r="B332" s="117" t="n"/>
      <c r="C332" s="118" t="n"/>
      <c r="D332" s="118" t="n"/>
      <c r="E332" s="118" t="n"/>
      <c r="F332" s="123" t="n"/>
      <c r="G332" s="119" t="n"/>
      <c r="H332" s="123" t="n"/>
      <c r="I332" s="123" t="n"/>
      <c r="J332" s="125" t="n"/>
      <c r="K332" s="120" t="n"/>
    </row>
    <row r="333" ht="15" customHeight="1" s="72">
      <c r="A333" s="117" t="n"/>
      <c r="B333" s="117" t="n"/>
      <c r="C333" s="118" t="n"/>
      <c r="D333" s="118" t="n"/>
      <c r="E333" s="118" t="n"/>
      <c r="F333" s="123" t="n"/>
      <c r="G333" s="119" t="n"/>
      <c r="H333" s="123" t="n"/>
      <c r="I333" s="123" t="n"/>
      <c r="J333" s="125" t="n"/>
      <c r="K333" s="120" t="n"/>
    </row>
    <row r="334" ht="15" customHeight="1" s="72">
      <c r="A334" s="117" t="n"/>
      <c r="B334" s="117" t="n"/>
      <c r="C334" s="118" t="n"/>
      <c r="D334" s="118" t="n"/>
      <c r="E334" s="118" t="n"/>
      <c r="F334" s="123" t="n"/>
      <c r="G334" s="119" t="n"/>
      <c r="H334" s="123" t="n"/>
      <c r="I334" s="123" t="n"/>
      <c r="J334" s="125" t="n"/>
      <c r="K334" s="120" t="n"/>
    </row>
    <row r="335" ht="15" customHeight="1" s="72">
      <c r="A335" s="117" t="n"/>
      <c r="B335" s="117" t="n"/>
      <c r="C335" s="118" t="n"/>
      <c r="D335" s="118" t="n"/>
      <c r="E335" s="118" t="n"/>
      <c r="F335" s="123" t="n"/>
      <c r="G335" s="119" t="n"/>
      <c r="H335" s="123" t="n"/>
      <c r="I335" s="123" t="n"/>
      <c r="J335" s="125" t="n"/>
      <c r="K335" s="120" t="n"/>
    </row>
    <row r="336" ht="15" customHeight="1" s="72">
      <c r="A336" s="117" t="n"/>
      <c r="B336" s="117" t="n"/>
      <c r="C336" s="118" t="n"/>
      <c r="D336" s="118" t="n"/>
      <c r="E336" s="118" t="n"/>
      <c r="F336" s="123" t="n"/>
      <c r="G336" s="119" t="n"/>
      <c r="H336" s="123" t="n"/>
      <c r="I336" s="123" t="n"/>
      <c r="J336" s="125" t="n"/>
      <c r="K336" s="120" t="n"/>
    </row>
    <row r="337" ht="15" customHeight="1" s="72">
      <c r="A337" s="117" t="n"/>
      <c r="B337" s="117" t="n"/>
      <c r="C337" s="118" t="n"/>
      <c r="D337" s="118" t="n"/>
      <c r="E337" s="118" t="n"/>
      <c r="F337" s="123" t="n"/>
      <c r="G337" s="119" t="n"/>
      <c r="H337" s="123" t="n"/>
      <c r="I337" s="123" t="n"/>
      <c r="J337" s="125" t="n"/>
      <c r="K337" s="120" t="n"/>
    </row>
    <row r="338" ht="15" customHeight="1" s="72">
      <c r="A338" s="117" t="n"/>
      <c r="B338" s="117" t="n"/>
      <c r="C338" s="118" t="n"/>
      <c r="D338" s="118" t="n"/>
      <c r="E338" s="118" t="n"/>
      <c r="F338" s="123" t="n"/>
      <c r="G338" s="119" t="n"/>
      <c r="H338" s="123" t="n"/>
      <c r="I338" s="123" t="n"/>
      <c r="J338" s="125" t="n"/>
      <c r="K338" s="120" t="n"/>
    </row>
    <row r="339" ht="15" customHeight="1" s="72">
      <c r="A339" s="117" t="n"/>
      <c r="B339" s="117" t="n"/>
      <c r="C339" s="118" t="n"/>
      <c r="D339" s="118" t="n"/>
      <c r="E339" s="118" t="n"/>
      <c r="F339" s="123" t="n"/>
      <c r="G339" s="119" t="n"/>
      <c r="H339" s="123" t="n"/>
      <c r="I339" s="123" t="n"/>
      <c r="J339" s="125" t="n"/>
      <c r="K339" s="120" t="n"/>
    </row>
    <row r="340" ht="15" customHeight="1" s="72">
      <c r="A340" s="117" t="n"/>
      <c r="B340" s="117" t="n"/>
      <c r="C340" s="118" t="n"/>
      <c r="D340" s="118" t="n"/>
      <c r="E340" s="118" t="n"/>
      <c r="F340" s="123" t="n"/>
      <c r="G340" s="119" t="n"/>
      <c r="H340" s="123" t="n"/>
      <c r="I340" s="123" t="n"/>
      <c r="J340" s="125" t="n"/>
      <c r="K340" s="120" t="n"/>
    </row>
    <row r="341" ht="15" customHeight="1" s="72">
      <c r="A341" s="117" t="n"/>
      <c r="B341" s="117" t="n"/>
      <c r="C341" s="118" t="n"/>
      <c r="D341" s="118" t="n"/>
      <c r="E341" s="118" t="n"/>
      <c r="F341" s="123" t="n"/>
      <c r="G341" s="119" t="n"/>
      <c r="H341" s="123" t="n"/>
      <c r="I341" s="123" t="n"/>
      <c r="J341" s="125" t="n"/>
      <c r="K341" s="120" t="n"/>
    </row>
    <row r="342" ht="15" customHeight="1" s="72">
      <c r="A342" s="117" t="n"/>
      <c r="B342" s="117" t="n"/>
      <c r="C342" s="118" t="n"/>
      <c r="D342" s="118" t="n"/>
      <c r="E342" s="118" t="n"/>
      <c r="F342" s="123" t="n"/>
      <c r="G342" s="119" t="n"/>
      <c r="H342" s="123" t="n"/>
      <c r="I342" s="123" t="n"/>
      <c r="J342" s="125" t="n"/>
      <c r="K342" s="120" t="n"/>
    </row>
    <row r="343" ht="15" customHeight="1" s="72">
      <c r="A343" s="117" t="n"/>
      <c r="B343" s="117" t="n"/>
      <c r="C343" s="118" t="n"/>
      <c r="D343" s="118" t="n"/>
      <c r="E343" s="118" t="n"/>
      <c r="F343" s="123" t="n"/>
      <c r="G343" s="119" t="n"/>
      <c r="H343" s="123" t="n"/>
      <c r="I343" s="123" t="n"/>
      <c r="J343" s="125" t="n"/>
      <c r="K343" s="120" t="n"/>
    </row>
    <row r="344" ht="15" customHeight="1" s="72">
      <c r="A344" s="117" t="n"/>
      <c r="B344" s="117" t="n"/>
      <c r="C344" s="118" t="n"/>
      <c r="D344" s="118" t="n"/>
      <c r="E344" s="118" t="n"/>
      <c r="F344" s="123" t="n"/>
      <c r="G344" s="119" t="n"/>
      <c r="H344" s="123" t="n"/>
      <c r="I344" s="123" t="n"/>
      <c r="J344" s="125" t="n"/>
      <c r="K344" s="120" t="n"/>
    </row>
    <row r="345" ht="15" customHeight="1" s="72">
      <c r="A345" s="117" t="n"/>
      <c r="B345" s="117" t="n"/>
      <c r="C345" s="118" t="n"/>
      <c r="D345" s="118" t="n"/>
      <c r="E345" s="118" t="n"/>
      <c r="F345" s="123" t="n"/>
      <c r="G345" s="119" t="n"/>
      <c r="H345" s="123" t="n"/>
      <c r="I345" s="123" t="n"/>
      <c r="J345" s="125" t="n"/>
      <c r="K345" s="120" t="n"/>
    </row>
    <row r="346" ht="15" customHeight="1" s="72">
      <c r="A346" s="117" t="n"/>
      <c r="B346" s="117" t="n"/>
      <c r="C346" s="118" t="n"/>
      <c r="D346" s="118" t="n"/>
      <c r="E346" s="118" t="n"/>
      <c r="F346" s="123" t="n"/>
      <c r="G346" s="119" t="n"/>
      <c r="H346" s="123" t="n"/>
      <c r="I346" s="123" t="n"/>
      <c r="J346" s="125" t="n"/>
      <c r="K346" s="120" t="n"/>
    </row>
    <row r="347" ht="15" customHeight="1" s="72">
      <c r="A347" s="117" t="n"/>
      <c r="B347" s="117" t="n"/>
      <c r="C347" s="118" t="n"/>
      <c r="D347" s="118" t="n"/>
      <c r="E347" s="118" t="n"/>
      <c r="F347" s="123" t="n"/>
      <c r="G347" s="119" t="n"/>
      <c r="H347" s="123" t="n"/>
      <c r="I347" s="123" t="n"/>
      <c r="J347" s="125" t="n"/>
      <c r="K347" s="120" t="n"/>
    </row>
    <row r="348" ht="15" customHeight="1" s="72">
      <c r="A348" s="117" t="n"/>
      <c r="B348" s="117" t="n"/>
      <c r="C348" s="118" t="n"/>
      <c r="D348" s="118" t="n"/>
      <c r="E348" s="118" t="n"/>
      <c r="F348" s="123" t="n"/>
      <c r="G348" s="119" t="n"/>
      <c r="H348" s="123" t="n"/>
      <c r="I348" s="123" t="n"/>
      <c r="J348" s="125" t="n"/>
      <c r="K348" s="120" t="n"/>
    </row>
    <row r="349" ht="15" customHeight="1" s="72">
      <c r="A349" s="117" t="n"/>
      <c r="B349" s="117" t="n"/>
      <c r="C349" s="118" t="n"/>
      <c r="D349" s="118" t="n"/>
      <c r="E349" s="118" t="n"/>
      <c r="F349" s="123" t="n"/>
      <c r="G349" s="119" t="n"/>
      <c r="H349" s="123" t="n"/>
      <c r="I349" s="123" t="n"/>
      <c r="J349" s="125" t="n"/>
      <c r="K349" s="120" t="n"/>
    </row>
    <row r="350" ht="15" customHeight="1" s="72">
      <c r="A350" s="117" t="n"/>
      <c r="B350" s="117" t="n"/>
      <c r="C350" s="118" t="n"/>
      <c r="D350" s="118" t="n"/>
      <c r="E350" s="118" t="n"/>
      <c r="F350" s="123" t="n"/>
      <c r="G350" s="119" t="n"/>
      <c r="H350" s="123" t="n"/>
      <c r="I350" s="123" t="n"/>
      <c r="J350" s="125" t="n"/>
      <c r="K350" s="120" t="n"/>
    </row>
    <row r="351" ht="15" customHeight="1" s="72">
      <c r="A351" s="117" t="n"/>
      <c r="B351" s="117" t="n"/>
      <c r="C351" s="118" t="n"/>
      <c r="D351" s="118" t="n"/>
      <c r="E351" s="118" t="n"/>
      <c r="F351" s="123" t="n"/>
      <c r="G351" s="119" t="n"/>
      <c r="H351" s="123" t="n"/>
      <c r="I351" s="123" t="n"/>
      <c r="J351" s="125" t="n"/>
      <c r="K351" s="120" t="n"/>
    </row>
    <row r="352" ht="15" customHeight="1" s="72">
      <c r="A352" s="117" t="n"/>
      <c r="B352" s="117" t="n"/>
      <c r="C352" s="118" t="n"/>
      <c r="D352" s="118" t="n"/>
      <c r="E352" s="118" t="n"/>
      <c r="F352" s="123" t="n"/>
      <c r="G352" s="119" t="n"/>
      <c r="H352" s="123" t="n"/>
      <c r="I352" s="123" t="n"/>
      <c r="J352" s="125" t="n"/>
      <c r="K352" s="120" t="n"/>
    </row>
    <row r="353" ht="15" customHeight="1" s="72">
      <c r="A353" s="117" t="n"/>
      <c r="B353" s="117" t="n"/>
      <c r="C353" s="118" t="n"/>
      <c r="D353" s="118" t="n"/>
      <c r="E353" s="118" t="n"/>
      <c r="F353" s="123" t="n"/>
      <c r="G353" s="119" t="n"/>
      <c r="H353" s="123" t="n"/>
      <c r="I353" s="123" t="n"/>
      <c r="J353" s="125" t="n"/>
      <c r="K353" s="120" t="n"/>
    </row>
    <row r="354" ht="15" customHeight="1" s="72">
      <c r="A354" s="117" t="n"/>
      <c r="B354" s="117" t="n"/>
      <c r="C354" s="118" t="n"/>
      <c r="D354" s="118" t="n"/>
      <c r="E354" s="118" t="n"/>
      <c r="F354" s="123" t="n"/>
      <c r="G354" s="119" t="n"/>
      <c r="H354" s="123" t="n"/>
      <c r="I354" s="123" t="n"/>
      <c r="J354" s="125" t="n"/>
      <c r="K354" s="120" t="n"/>
    </row>
    <row r="355" ht="15" customHeight="1" s="72">
      <c r="A355" s="117" t="n"/>
      <c r="B355" s="117" t="n"/>
      <c r="C355" s="118" t="n"/>
      <c r="D355" s="118" t="n"/>
      <c r="E355" s="118" t="n"/>
      <c r="F355" s="123" t="n"/>
      <c r="G355" s="119" t="n"/>
      <c r="H355" s="123" t="n"/>
      <c r="I355" s="123" t="n"/>
      <c r="J355" s="125" t="n"/>
      <c r="K355" s="120" t="n"/>
    </row>
    <row r="356" ht="15" customHeight="1" s="72">
      <c r="A356" s="117" t="n"/>
      <c r="B356" s="117" t="n"/>
      <c r="C356" s="118" t="n"/>
      <c r="D356" s="118" t="n"/>
      <c r="E356" s="118" t="n"/>
      <c r="F356" s="123" t="n"/>
      <c r="G356" s="119" t="n"/>
      <c r="H356" s="123" t="n"/>
      <c r="I356" s="123" t="n"/>
      <c r="J356" s="125" t="n"/>
      <c r="K356" s="120" t="n"/>
    </row>
    <row r="357" ht="15" customHeight="1" s="72">
      <c r="A357" s="117" t="n"/>
      <c r="B357" s="117" t="n"/>
      <c r="C357" s="118" t="n"/>
      <c r="D357" s="118" t="n"/>
      <c r="E357" s="118" t="n"/>
      <c r="F357" s="123" t="n"/>
      <c r="G357" s="119" t="n"/>
      <c r="H357" s="123" t="n"/>
      <c r="I357" s="123" t="n"/>
      <c r="J357" s="125" t="n"/>
      <c r="K357" s="120" t="n"/>
    </row>
    <row r="358" ht="15" customHeight="1" s="72">
      <c r="A358" s="117" t="n"/>
      <c r="B358" s="117" t="n"/>
      <c r="C358" s="118" t="n"/>
      <c r="D358" s="118" t="n"/>
      <c r="E358" s="118" t="n"/>
      <c r="F358" s="123" t="n"/>
      <c r="G358" s="119" t="n"/>
      <c r="H358" s="123" t="n"/>
      <c r="I358" s="123" t="n"/>
      <c r="J358" s="125" t="n"/>
      <c r="K358" s="120" t="n"/>
    </row>
    <row r="359" ht="15" customHeight="1" s="72">
      <c r="A359" s="117" t="n"/>
      <c r="B359" s="117" t="n"/>
      <c r="C359" s="118" t="n"/>
      <c r="D359" s="118" t="n"/>
      <c r="E359" s="118" t="n"/>
      <c r="F359" s="123" t="n"/>
      <c r="G359" s="119" t="n"/>
      <c r="H359" s="123" t="n"/>
      <c r="I359" s="123" t="n"/>
      <c r="J359" s="125" t="n"/>
      <c r="K359" s="120" t="n"/>
    </row>
    <row r="360" ht="15" customHeight="1" s="72">
      <c r="A360" s="117" t="n"/>
      <c r="B360" s="117" t="n"/>
      <c r="C360" s="118" t="n"/>
      <c r="D360" s="118" t="n"/>
      <c r="E360" s="118" t="n"/>
      <c r="F360" s="123" t="n"/>
      <c r="G360" s="119" t="n"/>
      <c r="H360" s="123" t="n"/>
      <c r="I360" s="123" t="n"/>
      <c r="J360" s="125" t="n"/>
      <c r="K360" s="120" t="n"/>
    </row>
    <row r="361" ht="15" customHeight="1" s="72">
      <c r="A361" s="117" t="n"/>
      <c r="B361" s="117" t="n"/>
      <c r="C361" s="118" t="n"/>
      <c r="D361" s="118" t="n"/>
      <c r="E361" s="118" t="n"/>
      <c r="F361" s="123" t="n"/>
      <c r="G361" s="119" t="n"/>
      <c r="H361" s="123" t="n"/>
      <c r="I361" s="123" t="n"/>
      <c r="J361" s="125" t="n"/>
      <c r="K361" s="120" t="n"/>
    </row>
    <row r="362" ht="15" customHeight="1" s="72">
      <c r="A362" s="117" t="n"/>
      <c r="B362" s="117" t="n"/>
      <c r="C362" s="118" t="n"/>
      <c r="D362" s="118" t="n"/>
      <c r="E362" s="118" t="n"/>
      <c r="F362" s="123" t="n"/>
      <c r="G362" s="119" t="n"/>
      <c r="H362" s="123" t="n"/>
      <c r="I362" s="123" t="n"/>
      <c r="J362" s="125" t="n"/>
      <c r="K362" s="120" t="n"/>
    </row>
    <row r="363" ht="15" customHeight="1" s="72">
      <c r="A363" s="117" t="n"/>
      <c r="B363" s="117" t="n"/>
      <c r="C363" s="118" t="n"/>
      <c r="D363" s="118" t="n"/>
      <c r="E363" s="118" t="n"/>
      <c r="F363" s="123" t="n"/>
      <c r="G363" s="119" t="n"/>
      <c r="H363" s="123" t="n"/>
      <c r="I363" s="123" t="n"/>
      <c r="J363" s="125" t="n"/>
      <c r="K363" s="120" t="n"/>
    </row>
    <row r="364" ht="15" customHeight="1" s="72">
      <c r="A364" s="117" t="n"/>
      <c r="B364" s="117" t="n"/>
      <c r="C364" s="118" t="n"/>
      <c r="D364" s="118" t="n"/>
      <c r="E364" s="118" t="n"/>
      <c r="F364" s="123" t="n"/>
      <c r="G364" s="119" t="n"/>
      <c r="H364" s="123" t="n"/>
      <c r="I364" s="123" t="n"/>
      <c r="J364" s="125" t="n"/>
      <c r="K364" s="120" t="n"/>
    </row>
    <row r="365" ht="15" customHeight="1" s="72">
      <c r="A365" s="117" t="n"/>
      <c r="B365" s="117" t="n"/>
      <c r="C365" s="118" t="n"/>
      <c r="D365" s="118" t="n"/>
      <c r="E365" s="118" t="n"/>
      <c r="F365" s="123" t="n"/>
      <c r="G365" s="119" t="n"/>
      <c r="H365" s="123" t="n"/>
      <c r="I365" s="123" t="n"/>
      <c r="J365" s="125" t="n"/>
      <c r="K365" s="120" t="n"/>
    </row>
    <row r="366" ht="15" customHeight="1" s="72">
      <c r="A366" s="117" t="n"/>
      <c r="B366" s="117" t="n"/>
      <c r="C366" s="118" t="n"/>
      <c r="D366" s="118" t="n"/>
      <c r="E366" s="118" t="n"/>
      <c r="F366" s="123" t="n"/>
      <c r="G366" s="119" t="n"/>
      <c r="H366" s="123" t="n"/>
      <c r="I366" s="123" t="n"/>
      <c r="J366" s="125" t="n"/>
      <c r="K366" s="120" t="n"/>
    </row>
    <row r="367" ht="15" customHeight="1" s="72">
      <c r="A367" s="117" t="n"/>
      <c r="B367" s="117" t="n"/>
      <c r="C367" s="118" t="n"/>
      <c r="D367" s="118" t="n"/>
      <c r="E367" s="118" t="n"/>
      <c r="F367" s="123" t="n"/>
      <c r="G367" s="119" t="n"/>
      <c r="H367" s="123" t="n"/>
      <c r="I367" s="123" t="n"/>
      <c r="J367" s="125" t="n"/>
      <c r="K367" s="120" t="n"/>
    </row>
    <row r="368" ht="15" customHeight="1" s="72">
      <c r="A368" s="117" t="n"/>
      <c r="B368" s="117" t="n"/>
      <c r="C368" s="118" t="n"/>
      <c r="D368" s="118" t="n"/>
      <c r="E368" s="118" t="n"/>
      <c r="F368" s="123" t="n"/>
      <c r="G368" s="119" t="n"/>
      <c r="H368" s="123" t="n"/>
      <c r="I368" s="123" t="n"/>
      <c r="J368" s="125" t="n"/>
      <c r="K368" s="120" t="n"/>
    </row>
    <row r="369" ht="15" customHeight="1" s="72">
      <c r="A369" s="117" t="n"/>
      <c r="B369" s="117" t="n"/>
      <c r="C369" s="118" t="n"/>
      <c r="D369" s="118" t="n"/>
      <c r="E369" s="118" t="n"/>
      <c r="F369" s="123" t="n"/>
      <c r="G369" s="119" t="n"/>
      <c r="H369" s="123" t="n"/>
      <c r="I369" s="123" t="n"/>
      <c r="J369" s="125" t="n"/>
      <c r="K369" s="120" t="n"/>
    </row>
    <row r="370" ht="15" customHeight="1" s="72">
      <c r="A370" s="117" t="n"/>
      <c r="B370" s="117" t="n"/>
      <c r="C370" s="118" t="n"/>
      <c r="D370" s="118" t="n"/>
      <c r="E370" s="118" t="n"/>
      <c r="F370" s="123" t="n"/>
      <c r="G370" s="119" t="n"/>
      <c r="H370" s="123" t="n"/>
      <c r="I370" s="123" t="n"/>
      <c r="J370" s="125" t="n"/>
      <c r="K370" s="120" t="n"/>
    </row>
    <row r="371" ht="15" customHeight="1" s="72">
      <c r="A371" s="117" t="n"/>
      <c r="B371" s="117" t="n"/>
      <c r="C371" s="118" t="n"/>
      <c r="D371" s="118" t="n"/>
      <c r="E371" s="118" t="n"/>
      <c r="F371" s="123" t="n"/>
      <c r="G371" s="119" t="n"/>
      <c r="H371" s="123" t="n"/>
      <c r="I371" s="123" t="n"/>
      <c r="J371" s="125" t="n"/>
      <c r="K371" s="120" t="n"/>
    </row>
    <row r="372" ht="15" customHeight="1" s="72">
      <c r="A372" s="117" t="n"/>
      <c r="B372" s="117" t="n"/>
      <c r="C372" s="118" t="n"/>
      <c r="D372" s="118" t="n"/>
      <c r="E372" s="118" t="n"/>
      <c r="F372" s="123" t="n"/>
      <c r="G372" s="119" t="n"/>
      <c r="H372" s="123" t="n"/>
      <c r="I372" s="123" t="n"/>
      <c r="J372" s="125" t="n"/>
      <c r="K372" s="120" t="n"/>
    </row>
    <row r="373" ht="15" customHeight="1" s="72">
      <c r="A373" s="117" t="n"/>
      <c r="B373" s="117" t="n"/>
      <c r="C373" s="118" t="n"/>
      <c r="D373" s="118" t="n"/>
      <c r="E373" s="118" t="n"/>
      <c r="F373" s="123" t="n"/>
      <c r="G373" s="119" t="n"/>
      <c r="H373" s="123" t="n"/>
      <c r="I373" s="123" t="n"/>
      <c r="J373" s="125" t="n"/>
      <c r="K373" s="120" t="n"/>
    </row>
    <row r="374" ht="15" customHeight="1" s="72">
      <c r="A374" s="117" t="n"/>
      <c r="B374" s="117" t="n"/>
      <c r="C374" s="118" t="n"/>
      <c r="D374" s="118" t="n"/>
      <c r="E374" s="118" t="n"/>
      <c r="F374" s="123" t="n"/>
      <c r="G374" s="119" t="n"/>
      <c r="H374" s="123" t="n"/>
      <c r="I374" s="123" t="n"/>
      <c r="J374" s="125" t="n"/>
      <c r="K374" s="120" t="n"/>
    </row>
    <row r="375" ht="15" customHeight="1" s="72">
      <c r="A375" s="117" t="n"/>
      <c r="B375" s="117" t="n"/>
      <c r="C375" s="118" t="n"/>
      <c r="D375" s="118" t="n"/>
      <c r="E375" s="118" t="n"/>
      <c r="F375" s="123" t="n"/>
      <c r="G375" s="119" t="n"/>
      <c r="H375" s="123" t="n"/>
      <c r="I375" s="123" t="n"/>
      <c r="J375" s="125" t="n"/>
      <c r="K375" s="120" t="n"/>
    </row>
    <row r="376" ht="15" customHeight="1" s="72">
      <c r="A376" s="117" t="n"/>
      <c r="B376" s="117" t="n"/>
      <c r="C376" s="118" t="n"/>
      <c r="D376" s="118" t="n"/>
      <c r="E376" s="118" t="n"/>
      <c r="F376" s="123" t="n"/>
      <c r="G376" s="119" t="n"/>
      <c r="H376" s="123" t="n"/>
      <c r="I376" s="123" t="n"/>
      <c r="J376" s="125" t="n"/>
      <c r="K376" s="120" t="n"/>
    </row>
    <row r="377" ht="15" customHeight="1" s="72">
      <c r="A377" s="117" t="n"/>
      <c r="B377" s="117" t="n"/>
      <c r="C377" s="118" t="n"/>
      <c r="D377" s="118" t="n"/>
      <c r="E377" s="118" t="n"/>
      <c r="F377" s="123" t="n"/>
      <c r="G377" s="119" t="n"/>
      <c r="H377" s="123" t="n"/>
      <c r="I377" s="123" t="n"/>
      <c r="J377" s="125" t="n"/>
      <c r="K377" s="120" t="n"/>
    </row>
    <row r="378" ht="15" customHeight="1" s="72">
      <c r="A378" s="117" t="n"/>
      <c r="B378" s="117" t="n"/>
      <c r="C378" s="118" t="n"/>
      <c r="D378" s="118" t="n"/>
      <c r="E378" s="118" t="n"/>
      <c r="F378" s="123" t="n"/>
      <c r="G378" s="119" t="n"/>
      <c r="H378" s="123" t="n"/>
      <c r="I378" s="123" t="n"/>
      <c r="J378" s="125" t="n"/>
      <c r="K378" s="120" t="n"/>
    </row>
    <row r="379" ht="15" customHeight="1" s="72">
      <c r="A379" s="117" t="n"/>
      <c r="B379" s="117" t="n"/>
      <c r="C379" s="118" t="n"/>
      <c r="D379" s="118" t="n"/>
      <c r="E379" s="118" t="n"/>
      <c r="F379" s="123" t="n"/>
      <c r="G379" s="119" t="n"/>
      <c r="H379" s="123" t="n"/>
      <c r="I379" s="123" t="n"/>
      <c r="J379" s="125" t="n"/>
      <c r="K379" s="120" t="n"/>
    </row>
    <row r="380" ht="15" customHeight="1" s="72">
      <c r="A380" s="117" t="n"/>
      <c r="B380" s="117" t="n"/>
      <c r="C380" s="118" t="n"/>
      <c r="D380" s="118" t="n"/>
      <c r="E380" s="118" t="n"/>
      <c r="F380" s="123" t="n"/>
      <c r="G380" s="119" t="n"/>
      <c r="H380" s="123" t="n"/>
      <c r="I380" s="123" t="n"/>
      <c r="J380" s="125" t="n"/>
      <c r="K380" s="120" t="n"/>
    </row>
    <row r="381" ht="15" customHeight="1" s="72">
      <c r="A381" s="117" t="n"/>
      <c r="B381" s="117" t="n"/>
      <c r="C381" s="118" t="n"/>
      <c r="D381" s="118" t="n"/>
      <c r="E381" s="118" t="n"/>
      <c r="F381" s="123" t="n"/>
      <c r="G381" s="119" t="n"/>
      <c r="H381" s="123" t="n"/>
      <c r="I381" s="123" t="n"/>
      <c r="J381" s="125" t="n"/>
      <c r="K381" s="120" t="n"/>
    </row>
    <row r="382" ht="15" customHeight="1" s="72">
      <c r="A382" s="117" t="n"/>
      <c r="B382" s="117" t="n"/>
      <c r="C382" s="118" t="n"/>
      <c r="D382" s="118" t="n"/>
      <c r="E382" s="118" t="n"/>
      <c r="F382" s="123" t="n"/>
      <c r="G382" s="119" t="n"/>
      <c r="H382" s="123" t="n"/>
      <c r="I382" s="123" t="n"/>
      <c r="J382" s="125" t="n"/>
      <c r="K382" s="120" t="n"/>
    </row>
    <row r="383" ht="15" customHeight="1" s="72">
      <c r="A383" s="117" t="n"/>
      <c r="B383" s="117" t="n"/>
      <c r="C383" s="118" t="n"/>
      <c r="D383" s="118" t="n"/>
      <c r="E383" s="118" t="n"/>
      <c r="F383" s="123" t="n"/>
      <c r="G383" s="119" t="n"/>
      <c r="H383" s="123" t="n"/>
      <c r="I383" s="123" t="n"/>
      <c r="J383" s="125" t="n"/>
      <c r="K383" s="120" t="n"/>
    </row>
    <row r="384" ht="15" customHeight="1" s="72">
      <c r="A384" s="117" t="n"/>
      <c r="B384" s="117" t="n"/>
      <c r="C384" s="118" t="n"/>
      <c r="D384" s="118" t="n"/>
      <c r="E384" s="118" t="n"/>
      <c r="F384" s="123" t="n"/>
      <c r="G384" s="119" t="n"/>
      <c r="H384" s="123" t="n"/>
      <c r="I384" s="123" t="n"/>
      <c r="J384" s="125" t="n"/>
      <c r="K384" s="120" t="n"/>
    </row>
    <row r="385" ht="15" customHeight="1" s="72">
      <c r="A385" s="117" t="n"/>
      <c r="B385" s="117" t="n"/>
      <c r="C385" s="118" t="n"/>
      <c r="D385" s="118" t="n"/>
      <c r="E385" s="118" t="n"/>
      <c r="F385" s="123" t="n"/>
      <c r="G385" s="119" t="n"/>
      <c r="H385" s="123" t="n"/>
      <c r="I385" s="123" t="n"/>
      <c r="J385" s="125" t="n"/>
      <c r="K385" s="120" t="n"/>
    </row>
    <row r="386" ht="15" customHeight="1" s="72">
      <c r="A386" s="117" t="n"/>
      <c r="B386" s="117" t="n"/>
      <c r="C386" s="118" t="n"/>
      <c r="D386" s="118" t="n"/>
      <c r="E386" s="118" t="n"/>
      <c r="F386" s="123" t="n"/>
      <c r="G386" s="119" t="n"/>
      <c r="H386" s="123" t="n"/>
      <c r="I386" s="123" t="n"/>
      <c r="J386" s="125" t="n"/>
      <c r="K386" s="120" t="n"/>
    </row>
    <row r="387" ht="15" customHeight="1" s="72">
      <c r="A387" s="117" t="n"/>
      <c r="B387" s="117" t="n"/>
      <c r="C387" s="118" t="n"/>
      <c r="D387" s="118" t="n"/>
      <c r="E387" s="118" t="n"/>
      <c r="F387" s="123" t="n"/>
      <c r="G387" s="119" t="n"/>
      <c r="H387" s="123" t="n"/>
      <c r="I387" s="123" t="n"/>
      <c r="J387" s="125" t="n"/>
      <c r="K387" s="120" t="n"/>
    </row>
    <row r="388" ht="15" customHeight="1" s="72">
      <c r="A388" s="117" t="n"/>
      <c r="B388" s="117" t="n"/>
      <c r="C388" s="118" t="n"/>
      <c r="D388" s="118" t="n"/>
      <c r="E388" s="118" t="n"/>
      <c r="F388" s="123" t="n"/>
      <c r="G388" s="119" t="n"/>
      <c r="H388" s="123" t="n"/>
      <c r="I388" s="123" t="n"/>
      <c r="J388" s="125" t="n"/>
      <c r="K388" s="120" t="n"/>
    </row>
    <row r="389" ht="15" customHeight="1" s="72">
      <c r="A389" s="117" t="n"/>
      <c r="B389" s="117" t="n"/>
      <c r="C389" s="118" t="n"/>
      <c r="D389" s="118" t="n"/>
      <c r="E389" s="118" t="n"/>
      <c r="F389" s="123" t="n"/>
      <c r="G389" s="119" t="n"/>
      <c r="H389" s="123" t="n"/>
      <c r="I389" s="123" t="n"/>
      <c r="J389" s="125" t="n"/>
      <c r="K389" s="120" t="n"/>
    </row>
    <row r="390" ht="15" customHeight="1" s="72">
      <c r="A390" s="117" t="n"/>
      <c r="B390" s="117" t="n"/>
      <c r="C390" s="118" t="n"/>
      <c r="D390" s="118" t="n"/>
      <c r="E390" s="118" t="n"/>
      <c r="F390" s="123" t="n"/>
      <c r="G390" s="119" t="n"/>
      <c r="H390" s="123" t="n"/>
      <c r="I390" s="123" t="n"/>
      <c r="J390" s="125" t="n"/>
      <c r="K390" s="120" t="n"/>
    </row>
    <row r="391" ht="15" customHeight="1" s="72">
      <c r="A391" s="117" t="n"/>
      <c r="B391" s="117" t="n"/>
      <c r="C391" s="118" t="n"/>
      <c r="D391" s="118" t="n"/>
      <c r="E391" s="118" t="n"/>
      <c r="F391" s="123" t="n"/>
      <c r="G391" s="119" t="n"/>
      <c r="H391" s="123" t="n"/>
      <c r="I391" s="123" t="n"/>
      <c r="J391" s="125" t="n"/>
      <c r="K391" s="120" t="n"/>
    </row>
    <row r="392" ht="15" customHeight="1" s="72">
      <c r="A392" s="117" t="n"/>
      <c r="B392" s="117" t="n"/>
      <c r="C392" s="118" t="n"/>
      <c r="D392" s="118" t="n"/>
      <c r="E392" s="118" t="n"/>
      <c r="F392" s="123" t="n"/>
      <c r="G392" s="119" t="n"/>
      <c r="H392" s="123" t="n"/>
      <c r="I392" s="123" t="n"/>
      <c r="J392" s="125" t="n"/>
      <c r="K392" s="120" t="n"/>
    </row>
    <row r="393" ht="15" customHeight="1" s="72">
      <c r="A393" s="117" t="n"/>
      <c r="B393" s="117" t="n"/>
      <c r="C393" s="118" t="n"/>
      <c r="D393" s="118" t="n"/>
      <c r="E393" s="118" t="n"/>
      <c r="F393" s="123" t="n"/>
      <c r="G393" s="119" t="n"/>
      <c r="H393" s="123" t="n"/>
      <c r="I393" s="123" t="n"/>
      <c r="J393" s="125" t="n"/>
      <c r="K393" s="120" t="n"/>
    </row>
    <row r="394" ht="15" customHeight="1" s="72">
      <c r="A394" s="117" t="n"/>
      <c r="B394" s="117" t="n"/>
      <c r="C394" s="118" t="n"/>
      <c r="D394" s="118" t="n"/>
      <c r="E394" s="118" t="n"/>
      <c r="F394" s="123" t="n"/>
      <c r="G394" s="119" t="n"/>
      <c r="H394" s="123" t="n"/>
      <c r="I394" s="123" t="n"/>
      <c r="J394" s="125" t="n"/>
      <c r="K394" s="120" t="n"/>
    </row>
    <row r="395" ht="15" customHeight="1" s="72">
      <c r="A395" s="117" t="n"/>
      <c r="B395" s="117" t="n"/>
      <c r="C395" s="118" t="n"/>
      <c r="D395" s="118" t="n"/>
      <c r="E395" s="118" t="n"/>
      <c r="F395" s="123" t="n"/>
      <c r="G395" s="119" t="n"/>
      <c r="H395" s="123" t="n"/>
      <c r="I395" s="123" t="n"/>
      <c r="J395" s="125" t="n"/>
      <c r="K395" s="120" t="n"/>
    </row>
    <row r="396" ht="15" customHeight="1" s="72">
      <c r="A396" s="117" t="n"/>
      <c r="B396" s="117" t="n"/>
      <c r="C396" s="118" t="n"/>
      <c r="D396" s="118" t="n"/>
      <c r="E396" s="118" t="n"/>
      <c r="F396" s="123" t="n"/>
      <c r="G396" s="119" t="n"/>
      <c r="H396" s="123" t="n"/>
      <c r="I396" s="123" t="n"/>
      <c r="J396" s="125" t="n"/>
      <c r="K396" s="120" t="n"/>
    </row>
    <row r="397" ht="15" customHeight="1" s="72">
      <c r="A397" s="117" t="n"/>
      <c r="B397" s="117" t="n"/>
      <c r="C397" s="118" t="n"/>
      <c r="D397" s="118" t="n"/>
      <c r="E397" s="118" t="n"/>
      <c r="F397" s="123" t="n"/>
      <c r="G397" s="119" t="n"/>
      <c r="H397" s="123" t="n"/>
      <c r="I397" s="123" t="n"/>
      <c r="J397" s="125" t="n"/>
      <c r="K397" s="120" t="n"/>
    </row>
    <row r="398" ht="15" customHeight="1" s="72">
      <c r="A398" s="117" t="n"/>
      <c r="B398" s="117" t="n"/>
      <c r="C398" s="118" t="n"/>
      <c r="D398" s="118" t="n"/>
      <c r="E398" s="118" t="n"/>
      <c r="F398" s="123" t="n"/>
      <c r="G398" s="119" t="n"/>
      <c r="H398" s="123" t="n"/>
      <c r="I398" s="123" t="n"/>
      <c r="J398" s="125" t="n"/>
      <c r="K398" s="120" t="n"/>
    </row>
    <row r="399" ht="15" customHeight="1" s="72">
      <c r="A399" s="117" t="n"/>
      <c r="B399" s="117" t="n"/>
      <c r="C399" s="118" t="n"/>
      <c r="D399" s="118" t="n"/>
      <c r="E399" s="118" t="n"/>
      <c r="F399" s="123" t="n"/>
      <c r="G399" s="119" t="n"/>
      <c r="H399" s="123" t="n"/>
      <c r="I399" s="123" t="n"/>
      <c r="J399" s="125" t="n"/>
      <c r="K399" s="120" t="n"/>
    </row>
    <row r="400" ht="15" customHeight="1" s="72">
      <c r="A400" s="117" t="n"/>
      <c r="B400" s="117" t="n"/>
      <c r="C400" s="118" t="n"/>
      <c r="D400" s="118" t="n"/>
      <c r="E400" s="118" t="n"/>
      <c r="F400" s="123" t="n"/>
      <c r="G400" s="119" t="n"/>
      <c r="H400" s="123" t="n"/>
      <c r="I400" s="123" t="n"/>
      <c r="J400" s="125" t="n"/>
      <c r="K400" s="120" t="n"/>
    </row>
    <row r="401" ht="15" customHeight="1" s="72">
      <c r="A401" s="117" t="n"/>
      <c r="B401" s="117" t="n"/>
      <c r="C401" s="118" t="n"/>
      <c r="D401" s="118" t="n"/>
      <c r="E401" s="118" t="n"/>
      <c r="F401" s="123" t="n"/>
      <c r="G401" s="119" t="n"/>
      <c r="H401" s="123" t="n"/>
      <c r="I401" s="123" t="n"/>
      <c r="J401" s="125" t="n"/>
      <c r="K401" s="120" t="n"/>
    </row>
    <row r="402" ht="15" customHeight="1" s="72">
      <c r="A402" s="117" t="n"/>
      <c r="B402" s="117" t="n"/>
      <c r="C402" s="118" t="n"/>
      <c r="D402" s="118" t="n"/>
      <c r="E402" s="118" t="n"/>
      <c r="F402" s="123" t="n"/>
      <c r="G402" s="119" t="n"/>
      <c r="H402" s="123" t="n"/>
      <c r="I402" s="123" t="n"/>
      <c r="J402" s="125" t="n"/>
      <c r="K402" s="120" t="n"/>
    </row>
    <row r="403" ht="15" customHeight="1" s="72">
      <c r="A403" s="117" t="n"/>
      <c r="B403" s="117" t="n"/>
      <c r="C403" s="118" t="n"/>
      <c r="D403" s="118" t="n"/>
      <c r="E403" s="118" t="n"/>
      <c r="F403" s="123" t="n"/>
      <c r="G403" s="119" t="n"/>
      <c r="H403" s="123" t="n"/>
      <c r="I403" s="123" t="n"/>
      <c r="J403" s="125" t="n"/>
      <c r="K403" s="120" t="n"/>
    </row>
    <row r="404" ht="15" customHeight="1" s="72">
      <c r="A404" s="117" t="n"/>
      <c r="B404" s="117" t="n"/>
      <c r="C404" s="118" t="n"/>
      <c r="D404" s="118" t="n"/>
      <c r="E404" s="118" t="n"/>
      <c r="F404" s="123" t="n"/>
      <c r="G404" s="119" t="n"/>
      <c r="H404" s="123" t="n"/>
      <c r="I404" s="123" t="n"/>
      <c r="J404" s="125" t="n"/>
      <c r="K404" s="120" t="n"/>
    </row>
    <row r="405" ht="15" customHeight="1" s="72">
      <c r="A405" s="117" t="n"/>
      <c r="B405" s="117" t="n"/>
      <c r="C405" s="118" t="n"/>
      <c r="D405" s="118" t="n"/>
      <c r="E405" s="118" t="n"/>
      <c r="F405" s="123" t="n"/>
      <c r="G405" s="119" t="n"/>
      <c r="H405" s="123" t="n"/>
      <c r="I405" s="123" t="n"/>
      <c r="J405" s="125" t="n"/>
      <c r="K405" s="120" t="n"/>
    </row>
    <row r="406" ht="15" customHeight="1" s="72">
      <c r="A406" s="117" t="n"/>
      <c r="B406" s="117" t="n"/>
      <c r="C406" s="118" t="n"/>
      <c r="D406" s="118" t="n"/>
      <c r="E406" s="118" t="n"/>
      <c r="F406" s="123" t="n"/>
      <c r="G406" s="119" t="n"/>
      <c r="H406" s="123" t="n"/>
      <c r="I406" s="123" t="n"/>
      <c r="J406" s="125" t="n"/>
      <c r="K406" s="120" t="n"/>
    </row>
    <row r="407" ht="15" customHeight="1" s="72">
      <c r="A407" s="117" t="n"/>
      <c r="B407" s="117" t="n"/>
      <c r="C407" s="118" t="n"/>
      <c r="D407" s="118" t="n"/>
      <c r="E407" s="118" t="n"/>
      <c r="F407" s="123" t="n"/>
      <c r="G407" s="119" t="n"/>
      <c r="H407" s="123" t="n"/>
      <c r="I407" s="123" t="n"/>
      <c r="J407" s="125" t="n"/>
      <c r="K407" s="120" t="n"/>
    </row>
    <row r="408" ht="15" customHeight="1" s="72">
      <c r="A408" s="117" t="n"/>
      <c r="B408" s="117" t="n"/>
      <c r="C408" s="118" t="n"/>
      <c r="D408" s="118" t="n"/>
      <c r="E408" s="118" t="n"/>
      <c r="F408" s="123" t="n"/>
      <c r="G408" s="119" t="n"/>
      <c r="H408" s="123" t="n"/>
      <c r="I408" s="123" t="n"/>
      <c r="J408" s="125" t="n"/>
      <c r="K408" s="120" t="n"/>
    </row>
    <row r="409" ht="15" customHeight="1" s="72">
      <c r="A409" s="117" t="n"/>
      <c r="B409" s="117" t="n"/>
      <c r="C409" s="118" t="n"/>
      <c r="D409" s="118" t="n"/>
      <c r="E409" s="118" t="n"/>
      <c r="F409" s="123" t="n"/>
      <c r="G409" s="119" t="n"/>
      <c r="H409" s="123" t="n"/>
      <c r="I409" s="123" t="n"/>
      <c r="J409" s="125" t="n"/>
      <c r="K409" s="120" t="n"/>
    </row>
    <row r="410" ht="15" customHeight="1" s="72">
      <c r="A410" s="117" t="n"/>
      <c r="B410" s="117" t="n"/>
      <c r="C410" s="118" t="n"/>
      <c r="D410" s="118" t="n"/>
      <c r="E410" s="118" t="n"/>
      <c r="F410" s="123" t="n"/>
      <c r="G410" s="119" t="n"/>
      <c r="H410" s="123" t="n"/>
      <c r="I410" s="123" t="n"/>
      <c r="J410" s="125" t="n"/>
      <c r="K410" s="120" t="n"/>
    </row>
    <row r="411" ht="15" customHeight="1" s="72">
      <c r="A411" s="117" t="n"/>
      <c r="B411" s="117" t="n"/>
      <c r="C411" s="118" t="n"/>
      <c r="D411" s="118" t="n"/>
      <c r="E411" s="118" t="n"/>
      <c r="F411" s="123" t="n"/>
      <c r="G411" s="119" t="n"/>
      <c r="H411" s="123" t="n"/>
      <c r="I411" s="123" t="n"/>
      <c r="J411" s="125" t="n"/>
      <c r="K411" s="120" t="n"/>
    </row>
    <row r="412" ht="15" customHeight="1" s="72">
      <c r="A412" s="117" t="n"/>
      <c r="B412" s="117" t="n"/>
      <c r="C412" s="118" t="n"/>
      <c r="D412" s="118" t="n"/>
      <c r="E412" s="118" t="n"/>
      <c r="F412" s="123" t="n"/>
      <c r="G412" s="119" t="n"/>
      <c r="H412" s="123" t="n"/>
      <c r="I412" s="123" t="n"/>
      <c r="J412" s="125" t="n"/>
      <c r="K412" s="120" t="n"/>
    </row>
    <row r="413" ht="15" customHeight="1" s="72">
      <c r="A413" s="117" t="n"/>
      <c r="B413" s="117" t="n"/>
      <c r="C413" s="118" t="n"/>
      <c r="D413" s="118" t="n"/>
      <c r="E413" s="118" t="n"/>
      <c r="F413" s="123" t="n"/>
      <c r="G413" s="119" t="n"/>
      <c r="H413" s="123" t="n"/>
      <c r="I413" s="123" t="n"/>
      <c r="J413" s="125" t="n"/>
      <c r="K413" s="120" t="n"/>
    </row>
    <row r="414" ht="15" customHeight="1" s="72">
      <c r="A414" s="117" t="n"/>
      <c r="B414" s="117" t="n"/>
      <c r="C414" s="118" t="n"/>
      <c r="D414" s="118" t="n"/>
      <c r="E414" s="118" t="n"/>
      <c r="F414" s="123" t="n"/>
      <c r="G414" s="119" t="n"/>
      <c r="H414" s="123" t="n"/>
      <c r="I414" s="123" t="n"/>
      <c r="J414" s="125" t="n"/>
      <c r="K414" s="120" t="n"/>
    </row>
    <row r="415" ht="15" customHeight="1" s="72">
      <c r="A415" s="117" t="n"/>
      <c r="B415" s="117" t="n"/>
      <c r="C415" s="118" t="n"/>
      <c r="D415" s="118" t="n"/>
      <c r="E415" s="118" t="n"/>
      <c r="F415" s="123" t="n"/>
      <c r="G415" s="119" t="n"/>
      <c r="H415" s="123" t="n"/>
      <c r="I415" s="123" t="n"/>
      <c r="J415" s="125" t="n"/>
      <c r="K415" s="120" t="n"/>
    </row>
    <row r="416" ht="15" customHeight="1" s="72">
      <c r="A416" s="117" t="n"/>
      <c r="B416" s="117" t="n"/>
      <c r="C416" s="118" t="n"/>
      <c r="D416" s="118" t="n"/>
      <c r="E416" s="118" t="n"/>
      <c r="F416" s="123" t="n"/>
      <c r="G416" s="119" t="n"/>
      <c r="H416" s="123" t="n"/>
      <c r="I416" s="123" t="n"/>
      <c r="J416" s="125" t="n"/>
      <c r="K416" s="120" t="n"/>
    </row>
    <row r="417" ht="15" customHeight="1" s="72">
      <c r="A417" s="117" t="n"/>
      <c r="B417" s="117" t="n"/>
      <c r="C417" s="118" t="n"/>
      <c r="D417" s="118" t="n"/>
      <c r="E417" s="118" t="n"/>
      <c r="F417" s="123" t="n"/>
      <c r="G417" s="119" t="n"/>
      <c r="H417" s="123" t="n"/>
      <c r="I417" s="123" t="n"/>
      <c r="J417" s="125" t="n"/>
      <c r="K417" s="120" t="n"/>
    </row>
    <row r="418" ht="15" customHeight="1" s="72">
      <c r="A418" s="117" t="n"/>
      <c r="B418" s="117" t="n"/>
      <c r="C418" s="118" t="n"/>
      <c r="D418" s="118" t="n"/>
      <c r="E418" s="118" t="n"/>
      <c r="F418" s="123" t="n"/>
      <c r="G418" s="119" t="n"/>
      <c r="H418" s="123" t="n"/>
      <c r="I418" s="123" t="n"/>
      <c r="J418" s="125" t="n"/>
      <c r="K418" s="120" t="n"/>
    </row>
    <row r="419" ht="15" customHeight="1" s="72">
      <c r="A419" s="117" t="n"/>
      <c r="B419" s="117" t="n"/>
      <c r="C419" s="118" t="n"/>
      <c r="D419" s="118" t="n"/>
      <c r="E419" s="118" t="n"/>
      <c r="F419" s="123" t="n"/>
      <c r="G419" s="119" t="n"/>
      <c r="H419" s="123" t="n"/>
      <c r="I419" s="123" t="n"/>
      <c r="J419" s="125" t="n"/>
      <c r="K419" s="120" t="n"/>
    </row>
    <row r="420" ht="15" customHeight="1" s="72">
      <c r="A420" s="117" t="n"/>
      <c r="B420" s="117" t="n"/>
      <c r="C420" s="118" t="n"/>
      <c r="D420" s="118" t="n"/>
      <c r="E420" s="118" t="n"/>
      <c r="F420" s="123" t="n"/>
      <c r="G420" s="119" t="n"/>
      <c r="H420" s="123" t="n"/>
      <c r="I420" s="123" t="n"/>
      <c r="J420" s="125" t="n"/>
      <c r="K420" s="120" t="n"/>
    </row>
    <row r="421" ht="15" customHeight="1" s="72">
      <c r="A421" s="117" t="n"/>
      <c r="B421" s="117" t="n"/>
      <c r="C421" s="118" t="n"/>
      <c r="D421" s="118" t="n"/>
      <c r="E421" s="118" t="n"/>
      <c r="F421" s="123" t="n"/>
      <c r="G421" s="119" t="n"/>
      <c r="H421" s="123" t="n"/>
      <c r="I421" s="123" t="n"/>
      <c r="J421" s="125" t="n"/>
      <c r="K421" s="120" t="n"/>
    </row>
    <row r="422" ht="15" customHeight="1" s="72">
      <c r="A422" s="117" t="n"/>
      <c r="B422" s="117" t="n"/>
      <c r="C422" s="118" t="n"/>
      <c r="D422" s="118" t="n"/>
      <c r="E422" s="118" t="n"/>
      <c r="F422" s="123" t="n"/>
      <c r="G422" s="119" t="n"/>
      <c r="H422" s="123" t="n"/>
      <c r="I422" s="123" t="n"/>
      <c r="J422" s="125" t="n"/>
      <c r="K422" s="120" t="n"/>
    </row>
    <row r="423" ht="15" customHeight="1" s="72">
      <c r="A423" s="117" t="n"/>
      <c r="B423" s="117" t="n"/>
      <c r="C423" s="118" t="n"/>
      <c r="D423" s="118" t="n"/>
      <c r="E423" s="118" t="n"/>
      <c r="F423" s="123" t="n"/>
      <c r="G423" s="119" t="n"/>
      <c r="H423" s="123" t="n"/>
      <c r="I423" s="123" t="n"/>
      <c r="J423" s="125" t="n"/>
      <c r="K423" s="120" t="n"/>
    </row>
    <row r="424" ht="15" customHeight="1" s="72">
      <c r="A424" s="117" t="n"/>
      <c r="B424" s="117" t="n"/>
      <c r="C424" s="118" t="n"/>
      <c r="D424" s="118" t="n"/>
      <c r="E424" s="118" t="n"/>
      <c r="F424" s="123" t="n"/>
      <c r="G424" s="119" t="n"/>
      <c r="H424" s="123" t="n"/>
      <c r="I424" s="123" t="n"/>
      <c r="J424" s="125" t="n"/>
      <c r="K424" s="120" t="n"/>
    </row>
    <row r="425" ht="15" customHeight="1" s="72">
      <c r="A425" s="117" t="n"/>
      <c r="B425" s="117" t="n"/>
      <c r="C425" s="118" t="n"/>
      <c r="D425" s="118" t="n"/>
      <c r="E425" s="118" t="n"/>
      <c r="F425" s="123" t="n"/>
      <c r="G425" s="119" t="n"/>
      <c r="H425" s="123" t="n"/>
      <c r="I425" s="123" t="n"/>
      <c r="J425" s="125" t="n"/>
      <c r="K425" s="120" t="n"/>
    </row>
    <row r="426" ht="15" customHeight="1" s="72">
      <c r="A426" s="117" t="n"/>
      <c r="B426" s="117" t="n"/>
      <c r="C426" s="118" t="n"/>
      <c r="D426" s="118" t="n"/>
      <c r="E426" s="118" t="n"/>
      <c r="F426" s="123" t="n"/>
      <c r="G426" s="119" t="n"/>
      <c r="H426" s="123" t="n"/>
      <c r="I426" s="123" t="n"/>
      <c r="J426" s="125" t="n"/>
      <c r="K426" s="120" t="n"/>
    </row>
    <row r="427" ht="15" customHeight="1" s="72">
      <c r="A427" s="117" t="n"/>
      <c r="B427" s="117" t="n"/>
      <c r="C427" s="118" t="n"/>
      <c r="D427" s="118" t="n"/>
      <c r="E427" s="118" t="n"/>
      <c r="F427" s="123" t="n"/>
      <c r="G427" s="119" t="n"/>
      <c r="H427" s="123" t="n"/>
      <c r="I427" s="123" t="n"/>
      <c r="J427" s="125" t="n"/>
      <c r="K427" s="120" t="n"/>
    </row>
    <row r="428" ht="15" customHeight="1" s="72">
      <c r="A428" s="117" t="n"/>
      <c r="B428" s="117" t="n"/>
      <c r="C428" s="118" t="n"/>
      <c r="D428" s="118" t="n"/>
      <c r="E428" s="118" t="n"/>
      <c r="F428" s="123" t="n"/>
      <c r="G428" s="119" t="n"/>
      <c r="H428" s="123" t="n"/>
      <c r="I428" s="123" t="n"/>
      <c r="J428" s="125" t="n"/>
      <c r="K428" s="120" t="n"/>
    </row>
    <row r="429" ht="15" customHeight="1" s="72">
      <c r="A429" s="117" t="n"/>
      <c r="B429" s="117" t="n"/>
      <c r="C429" s="118" t="n"/>
      <c r="D429" s="118" t="n"/>
      <c r="E429" s="118" t="n"/>
      <c r="F429" s="123" t="n"/>
      <c r="G429" s="119" t="n"/>
      <c r="H429" s="123" t="n"/>
      <c r="I429" s="123" t="n"/>
      <c r="J429" s="125" t="n"/>
      <c r="K429" s="120" t="n"/>
    </row>
    <row r="430" ht="15" customHeight="1" s="72">
      <c r="A430" s="117" t="n"/>
      <c r="B430" s="117" t="n"/>
      <c r="C430" s="118" t="n"/>
      <c r="D430" s="118" t="n"/>
      <c r="E430" s="118" t="n"/>
      <c r="F430" s="123" t="n"/>
      <c r="G430" s="119" t="n"/>
      <c r="H430" s="123" t="n"/>
      <c r="I430" s="123" t="n"/>
      <c r="J430" s="125" t="n"/>
      <c r="K430" s="120" t="n"/>
    </row>
    <row r="431" ht="15" customHeight="1" s="72">
      <c r="A431" s="117" t="n"/>
      <c r="B431" s="117" t="n"/>
      <c r="C431" s="118" t="n"/>
      <c r="D431" s="118" t="n"/>
      <c r="E431" s="118" t="n"/>
      <c r="F431" s="123" t="n"/>
      <c r="G431" s="119" t="n"/>
      <c r="H431" s="123" t="n"/>
      <c r="I431" s="123" t="n"/>
      <c r="J431" s="125" t="n"/>
      <c r="K431" s="120" t="n"/>
    </row>
    <row r="432" ht="15" customHeight="1" s="72">
      <c r="A432" s="117" t="n"/>
      <c r="B432" s="117" t="n"/>
      <c r="C432" s="118" t="n"/>
      <c r="D432" s="118" t="n"/>
      <c r="E432" s="118" t="n"/>
      <c r="F432" s="123" t="n"/>
      <c r="G432" s="119" t="n"/>
      <c r="H432" s="123" t="n"/>
      <c r="I432" s="123" t="n"/>
      <c r="J432" s="125" t="n"/>
      <c r="K432" s="120" t="n"/>
    </row>
    <row r="433" ht="15" customHeight="1" s="72">
      <c r="A433" s="117" t="n"/>
      <c r="B433" s="117" t="n"/>
      <c r="C433" s="118" t="n"/>
      <c r="D433" s="118" t="n"/>
      <c r="E433" s="118" t="n"/>
      <c r="F433" s="123" t="n"/>
      <c r="G433" s="119" t="n"/>
      <c r="H433" s="123" t="n"/>
      <c r="I433" s="123" t="n"/>
      <c r="J433" s="125" t="n"/>
      <c r="K433" s="120" t="n"/>
    </row>
    <row r="434" ht="15" customHeight="1" s="72">
      <c r="A434" s="117" t="n"/>
      <c r="B434" s="117" t="n"/>
      <c r="C434" s="118" t="n"/>
      <c r="D434" s="118" t="n"/>
      <c r="E434" s="118" t="n"/>
      <c r="F434" s="123" t="n"/>
      <c r="G434" s="119" t="n"/>
      <c r="H434" s="123" t="n"/>
      <c r="I434" s="123" t="n"/>
      <c r="J434" s="125" t="n"/>
      <c r="K434" s="120" t="n"/>
    </row>
    <row r="435" ht="15" customHeight="1" s="72">
      <c r="A435" s="117" t="n"/>
      <c r="B435" s="117" t="n"/>
      <c r="C435" s="118" t="n"/>
      <c r="D435" s="118" t="n"/>
      <c r="E435" s="118" t="n"/>
      <c r="F435" s="123" t="n"/>
      <c r="G435" s="119" t="n"/>
      <c r="H435" s="123" t="n"/>
      <c r="I435" s="123" t="n"/>
      <c r="J435" s="125" t="n"/>
      <c r="K435" s="120" t="n"/>
    </row>
    <row r="436" ht="15" customHeight="1" s="72">
      <c r="A436" s="117" t="n"/>
      <c r="B436" s="117" t="n"/>
      <c r="C436" s="118" t="n"/>
      <c r="D436" s="118" t="n"/>
      <c r="E436" s="118" t="n"/>
      <c r="F436" s="123" t="n"/>
      <c r="G436" s="119" t="n"/>
      <c r="H436" s="123" t="n"/>
      <c r="I436" s="123" t="n"/>
      <c r="J436" s="125" t="n"/>
      <c r="K436" s="120" t="n"/>
    </row>
    <row r="437" ht="15" customHeight="1" s="72">
      <c r="A437" s="117" t="n"/>
      <c r="B437" s="117" t="n"/>
      <c r="C437" s="118" t="n"/>
      <c r="D437" s="118" t="n"/>
      <c r="E437" s="118" t="n"/>
      <c r="F437" s="123" t="n"/>
      <c r="G437" s="119" t="n"/>
      <c r="H437" s="123" t="n"/>
      <c r="I437" s="123" t="n"/>
      <c r="J437" s="125" t="n"/>
      <c r="K437" s="120" t="n"/>
    </row>
    <row r="438" ht="15" customHeight="1" s="72">
      <c r="A438" s="117" t="n"/>
      <c r="B438" s="117" t="n"/>
      <c r="C438" s="118" t="n"/>
      <c r="D438" s="118" t="n"/>
      <c r="E438" s="118" t="n"/>
      <c r="F438" s="123" t="n"/>
      <c r="G438" s="119" t="n"/>
      <c r="H438" s="123" t="n"/>
      <c r="I438" s="123" t="n"/>
      <c r="J438" s="125" t="n"/>
      <c r="K438" s="120" t="n"/>
    </row>
    <row r="439" ht="15" customHeight="1" s="72">
      <c r="A439" s="117" t="n"/>
      <c r="B439" s="117" t="n"/>
      <c r="C439" s="118" t="n"/>
      <c r="D439" s="118" t="n"/>
      <c r="E439" s="118" t="n"/>
      <c r="F439" s="123" t="n"/>
      <c r="G439" s="119" t="n"/>
      <c r="H439" s="123" t="n"/>
      <c r="I439" s="123" t="n"/>
      <c r="J439" s="125" t="n"/>
      <c r="K439" s="120" t="n"/>
    </row>
    <row r="440" ht="15" customHeight="1" s="72">
      <c r="A440" s="117" t="n"/>
      <c r="B440" s="117" t="n"/>
      <c r="C440" s="118" t="n"/>
      <c r="D440" s="118" t="n"/>
      <c r="E440" s="118" t="n"/>
      <c r="F440" s="123" t="n"/>
      <c r="G440" s="119" t="n"/>
      <c r="H440" s="123" t="n"/>
      <c r="I440" s="123" t="n"/>
      <c r="J440" s="125" t="n"/>
      <c r="K440" s="120" t="n"/>
    </row>
    <row r="441" ht="15" customHeight="1" s="72">
      <c r="A441" s="117" t="n"/>
      <c r="B441" s="117" t="n"/>
      <c r="C441" s="118" t="n"/>
      <c r="D441" s="118" t="n"/>
      <c r="E441" s="118" t="n"/>
      <c r="F441" s="123" t="n"/>
      <c r="G441" s="119" t="n"/>
      <c r="H441" s="123" t="n"/>
      <c r="I441" s="123" t="n"/>
      <c r="J441" s="125" t="n"/>
      <c r="K441" s="120" t="n"/>
    </row>
    <row r="442" ht="15" customHeight="1" s="72">
      <c r="A442" s="117" t="n"/>
      <c r="B442" s="117" t="n"/>
      <c r="C442" s="118" t="n"/>
      <c r="D442" s="118" t="n"/>
      <c r="E442" s="118" t="n"/>
      <c r="F442" s="123" t="n"/>
      <c r="G442" s="119" t="n"/>
      <c r="H442" s="123" t="n"/>
      <c r="I442" s="123" t="n"/>
      <c r="J442" s="125" t="n"/>
      <c r="K442" s="120" t="n"/>
    </row>
    <row r="443" ht="15" customHeight="1" s="72">
      <c r="A443" s="117" t="n"/>
      <c r="B443" s="117" t="n"/>
      <c r="C443" s="118" t="n"/>
      <c r="D443" s="118" t="n"/>
      <c r="E443" s="118" t="n"/>
      <c r="F443" s="123" t="n"/>
      <c r="G443" s="119" t="n"/>
      <c r="H443" s="123" t="n"/>
      <c r="I443" s="123" t="n"/>
      <c r="J443" s="125" t="n"/>
      <c r="K443" s="120" t="n"/>
    </row>
    <row r="444" ht="15" customHeight="1" s="72">
      <c r="A444" s="117" t="n"/>
      <c r="B444" s="117" t="n"/>
      <c r="C444" s="118" t="n"/>
      <c r="D444" s="118" t="n"/>
      <c r="E444" s="118" t="n"/>
      <c r="F444" s="123" t="n"/>
      <c r="G444" s="119" t="n"/>
      <c r="H444" s="123" t="n"/>
      <c r="I444" s="123" t="n"/>
      <c r="J444" s="125" t="n"/>
      <c r="K444" s="120" t="n"/>
    </row>
    <row r="445" ht="15" customHeight="1" s="72">
      <c r="A445" s="117" t="n"/>
      <c r="B445" s="117" t="n"/>
      <c r="C445" s="118" t="n"/>
      <c r="D445" s="118" t="n"/>
      <c r="E445" s="118" t="n"/>
      <c r="F445" s="123" t="n"/>
      <c r="G445" s="119" t="n"/>
      <c r="H445" s="123" t="n"/>
      <c r="I445" s="123" t="n"/>
      <c r="J445" s="125" t="n"/>
      <c r="K445" s="120" t="n"/>
    </row>
    <row r="446" ht="15" customHeight="1" s="72">
      <c r="A446" s="117" t="n"/>
      <c r="B446" s="117" t="n"/>
      <c r="C446" s="118" t="n"/>
      <c r="D446" s="118" t="n"/>
      <c r="E446" s="118" t="n"/>
      <c r="F446" s="123" t="n"/>
      <c r="G446" s="119" t="n"/>
      <c r="H446" s="123" t="n"/>
      <c r="I446" s="123" t="n"/>
      <c r="J446" s="125" t="n"/>
      <c r="K446" s="120" t="n"/>
    </row>
    <row r="447" ht="15" customHeight="1" s="72">
      <c r="A447" s="117" t="n"/>
      <c r="B447" s="117" t="n"/>
      <c r="C447" s="118" t="n"/>
      <c r="D447" s="118" t="n"/>
      <c r="E447" s="118" t="n"/>
      <c r="F447" s="123" t="n"/>
      <c r="G447" s="119" t="n"/>
      <c r="H447" s="123" t="n"/>
      <c r="I447" s="123" t="n"/>
      <c r="J447" s="125" t="n"/>
      <c r="K447" s="120" t="n"/>
    </row>
    <row r="448" ht="15" customHeight="1" s="72">
      <c r="A448" s="117" t="n"/>
      <c r="B448" s="117" t="n"/>
      <c r="C448" s="118" t="n"/>
      <c r="D448" s="118" t="n"/>
      <c r="E448" s="118" t="n"/>
      <c r="F448" s="123" t="n"/>
      <c r="G448" s="119" t="n"/>
      <c r="H448" s="123" t="n"/>
      <c r="I448" s="123" t="n"/>
      <c r="J448" s="125" t="n"/>
      <c r="K448" s="120" t="n"/>
    </row>
    <row r="449" ht="15" customHeight="1" s="72">
      <c r="A449" s="117" t="n"/>
      <c r="B449" s="117" t="n"/>
      <c r="C449" s="118" t="n"/>
      <c r="D449" s="118" t="n"/>
      <c r="E449" s="118" t="n"/>
      <c r="F449" s="123" t="n"/>
      <c r="G449" s="119" t="n"/>
      <c r="H449" s="123" t="n"/>
      <c r="I449" s="123" t="n"/>
      <c r="J449" s="125" t="n"/>
      <c r="K449" s="120" t="n"/>
    </row>
    <row r="450" ht="15" customHeight="1" s="72">
      <c r="A450" s="117" t="n"/>
      <c r="B450" s="117" t="n"/>
      <c r="C450" s="118" t="n"/>
      <c r="D450" s="118" t="n"/>
      <c r="E450" s="118" t="n"/>
      <c r="F450" s="123" t="n"/>
      <c r="G450" s="119" t="n"/>
      <c r="H450" s="123" t="n"/>
      <c r="I450" s="123" t="n"/>
      <c r="J450" s="125" t="n"/>
      <c r="K450" s="120" t="n"/>
    </row>
    <row r="451" ht="15" customHeight="1" s="72">
      <c r="A451" s="117" t="n"/>
      <c r="B451" s="117" t="n"/>
      <c r="C451" s="118" t="n"/>
      <c r="D451" s="118" t="n"/>
      <c r="E451" s="118" t="n"/>
      <c r="F451" s="123" t="n"/>
      <c r="G451" s="119" t="n"/>
      <c r="H451" s="123" t="n"/>
      <c r="I451" s="123" t="n"/>
      <c r="J451" s="125" t="n"/>
      <c r="K451" s="120" t="n"/>
    </row>
    <row r="452" ht="15" customHeight="1" s="72">
      <c r="A452" s="117" t="n"/>
      <c r="B452" s="117" t="n"/>
      <c r="C452" s="118" t="n"/>
      <c r="D452" s="118" t="n"/>
      <c r="E452" s="118" t="n"/>
      <c r="F452" s="123" t="n"/>
      <c r="G452" s="119" t="n"/>
      <c r="H452" s="123" t="n"/>
      <c r="I452" s="123" t="n"/>
      <c r="J452" s="125" t="n"/>
      <c r="K452" s="120" t="n"/>
    </row>
    <row r="453" ht="15" customHeight="1" s="72">
      <c r="A453" s="117" t="n"/>
      <c r="B453" s="117" t="n"/>
      <c r="C453" s="118" t="n"/>
      <c r="D453" s="118" t="n"/>
      <c r="E453" s="118" t="n"/>
      <c r="F453" s="123" t="n"/>
      <c r="G453" s="119" t="n"/>
      <c r="H453" s="123" t="n"/>
      <c r="I453" s="123" t="n"/>
      <c r="J453" s="125" t="n"/>
      <c r="K453" s="120" t="n"/>
    </row>
    <row r="454" ht="15" customHeight="1" s="72">
      <c r="A454" s="117" t="n"/>
      <c r="B454" s="117" t="n"/>
      <c r="C454" s="118" t="n"/>
      <c r="D454" s="118" t="n"/>
      <c r="E454" s="118" t="n"/>
      <c r="F454" s="123" t="n"/>
      <c r="G454" s="119" t="n"/>
      <c r="H454" s="123" t="n"/>
      <c r="I454" s="123" t="n"/>
      <c r="J454" s="125" t="n"/>
      <c r="K454" s="120" t="n"/>
    </row>
    <row r="455" ht="15" customHeight="1" s="72">
      <c r="A455" s="117" t="n"/>
      <c r="B455" s="117" t="n"/>
      <c r="C455" s="118" t="n"/>
      <c r="D455" s="118" t="n"/>
      <c r="E455" s="118" t="n"/>
      <c r="F455" s="123" t="n"/>
      <c r="G455" s="119" t="n"/>
      <c r="H455" s="123" t="n"/>
      <c r="I455" s="123" t="n"/>
      <c r="J455" s="125" t="n"/>
      <c r="K455" s="120" t="n"/>
    </row>
    <row r="456" ht="15" customHeight="1" s="72">
      <c r="A456" s="117" t="n"/>
      <c r="B456" s="117" t="n"/>
      <c r="C456" s="118" t="n"/>
      <c r="D456" s="118" t="n"/>
      <c r="E456" s="118" t="n"/>
      <c r="F456" s="123" t="n"/>
      <c r="G456" s="119" t="n"/>
      <c r="H456" s="123" t="n"/>
      <c r="I456" s="123" t="n"/>
      <c r="J456" s="125" t="n"/>
      <c r="K456" s="120" t="n"/>
    </row>
    <row r="457" ht="15" customHeight="1" s="72">
      <c r="A457" s="117" t="n"/>
      <c r="B457" s="117" t="n"/>
      <c r="C457" s="118" t="n"/>
      <c r="D457" s="118" t="n"/>
      <c r="E457" s="118" t="n"/>
      <c r="F457" s="123" t="n"/>
      <c r="G457" s="119" t="n"/>
      <c r="H457" s="123" t="n"/>
      <c r="I457" s="123" t="n"/>
      <c r="J457" s="125" t="n"/>
      <c r="K457" s="120" t="n"/>
    </row>
    <row r="458" ht="15" customHeight="1" s="72">
      <c r="A458" s="117" t="n"/>
      <c r="B458" s="117" t="n"/>
      <c r="C458" s="118" t="n"/>
      <c r="D458" s="118" t="n"/>
      <c r="E458" s="118" t="n"/>
      <c r="F458" s="123" t="n"/>
      <c r="G458" s="119" t="n"/>
      <c r="H458" s="123" t="n"/>
      <c r="I458" s="123" t="n"/>
      <c r="J458" s="125" t="n"/>
      <c r="K458" s="120" t="n"/>
    </row>
    <row r="459" ht="15" customHeight="1" s="72">
      <c r="A459" s="117" t="n"/>
      <c r="B459" s="117" t="n"/>
      <c r="C459" s="118" t="n"/>
      <c r="D459" s="118" t="n"/>
      <c r="E459" s="118" t="n"/>
      <c r="F459" s="123" t="n"/>
      <c r="G459" s="119" t="n"/>
      <c r="H459" s="123" t="n"/>
      <c r="I459" s="123" t="n"/>
      <c r="J459" s="125" t="n"/>
      <c r="K459" s="120" t="n"/>
    </row>
    <row r="460" ht="15" customHeight="1" s="72">
      <c r="A460" s="117" t="n"/>
      <c r="B460" s="117" t="n"/>
      <c r="C460" s="118" t="n"/>
      <c r="D460" s="118" t="n"/>
      <c r="E460" s="118" t="n"/>
      <c r="F460" s="123" t="n"/>
      <c r="G460" s="119" t="n"/>
      <c r="H460" s="123" t="n"/>
      <c r="I460" s="123" t="n"/>
      <c r="J460" s="125" t="n"/>
      <c r="K460" s="120" t="n"/>
    </row>
    <row r="461" ht="15" customHeight="1" s="72">
      <c r="A461" s="117" t="n"/>
      <c r="B461" s="117" t="n"/>
      <c r="C461" s="118" t="n"/>
      <c r="D461" s="118" t="n"/>
      <c r="E461" s="118" t="n"/>
      <c r="F461" s="123" t="n"/>
      <c r="G461" s="119" t="n"/>
      <c r="H461" s="123" t="n"/>
      <c r="I461" s="123" t="n"/>
      <c r="J461" s="125" t="n"/>
      <c r="K461" s="120" t="n"/>
    </row>
    <row r="462" ht="15" customHeight="1" s="72">
      <c r="A462" s="117" t="n"/>
      <c r="B462" s="117" t="n"/>
      <c r="C462" s="118" t="n"/>
      <c r="D462" s="118" t="n"/>
      <c r="E462" s="118" t="n"/>
      <c r="F462" s="123" t="n"/>
      <c r="G462" s="119" t="n"/>
      <c r="H462" s="123" t="n"/>
      <c r="I462" s="123" t="n"/>
      <c r="J462" s="125" t="n"/>
      <c r="K462" s="120" t="n"/>
    </row>
    <row r="463" ht="15" customHeight="1" s="72">
      <c r="A463" s="117" t="n"/>
      <c r="B463" s="117" t="n"/>
      <c r="C463" s="118" t="n"/>
      <c r="D463" s="118" t="n"/>
      <c r="E463" s="118" t="n"/>
      <c r="F463" s="123" t="n"/>
      <c r="G463" s="119" t="n"/>
      <c r="H463" s="123" t="n"/>
      <c r="I463" s="123" t="n"/>
      <c r="J463" s="125" t="n"/>
      <c r="K463" s="120" t="n"/>
    </row>
    <row r="464" ht="15" customHeight="1" s="72">
      <c r="A464" s="117" t="n"/>
      <c r="B464" s="117" t="n"/>
      <c r="C464" s="118" t="n"/>
      <c r="D464" s="118" t="n"/>
      <c r="E464" s="118" t="n"/>
      <c r="F464" s="123" t="n"/>
      <c r="G464" s="119" t="n"/>
      <c r="H464" s="123" t="n"/>
      <c r="I464" s="123" t="n"/>
      <c r="J464" s="125" t="n"/>
      <c r="K464" s="120" t="n"/>
    </row>
    <row r="465" ht="15" customHeight="1" s="72">
      <c r="A465" s="117" t="n"/>
      <c r="B465" s="117" t="n"/>
      <c r="C465" s="118" t="n"/>
      <c r="D465" s="118" t="n"/>
      <c r="E465" s="118" t="n"/>
      <c r="F465" s="123" t="n"/>
      <c r="G465" s="119" t="n"/>
      <c r="H465" s="123" t="n"/>
      <c r="I465" s="123" t="n"/>
      <c r="J465" s="125" t="n"/>
      <c r="K465" s="120" t="n"/>
    </row>
    <row r="466" ht="15" customHeight="1" s="72">
      <c r="A466" s="117" t="n"/>
      <c r="B466" s="117" t="n"/>
      <c r="C466" s="118" t="n"/>
      <c r="D466" s="118" t="n"/>
      <c r="E466" s="118" t="n"/>
      <c r="F466" s="123" t="n"/>
      <c r="G466" s="119" t="n"/>
      <c r="H466" s="123" t="n"/>
      <c r="I466" s="123" t="n"/>
      <c r="J466" s="125" t="n"/>
      <c r="K466" s="120" t="n"/>
    </row>
    <row r="467" ht="15" customHeight="1" s="72">
      <c r="A467" s="117" t="n"/>
      <c r="B467" s="117" t="n"/>
      <c r="C467" s="118" t="n"/>
      <c r="D467" s="118" t="n"/>
      <c r="E467" s="118" t="n"/>
      <c r="F467" s="123" t="n"/>
      <c r="G467" s="119" t="n"/>
      <c r="H467" s="123" t="n"/>
      <c r="I467" s="123" t="n"/>
      <c r="J467" s="125" t="n"/>
      <c r="K467" s="120" t="n"/>
    </row>
    <row r="468" ht="15" customHeight="1" s="72">
      <c r="A468" s="117" t="n"/>
      <c r="B468" s="117" t="n"/>
      <c r="C468" s="118" t="n"/>
      <c r="D468" s="118" t="n"/>
      <c r="E468" s="118" t="n"/>
      <c r="F468" s="123" t="n"/>
      <c r="G468" s="119" t="n"/>
      <c r="H468" s="123" t="n"/>
      <c r="I468" s="123" t="n"/>
      <c r="J468" s="125" t="n"/>
      <c r="K468" s="120" t="n"/>
    </row>
    <row r="469" ht="15" customHeight="1" s="72">
      <c r="A469" s="117" t="n"/>
      <c r="B469" s="117" t="n"/>
      <c r="C469" s="118" t="n"/>
      <c r="D469" s="118" t="n"/>
      <c r="E469" s="118" t="n"/>
      <c r="F469" s="123" t="n"/>
      <c r="G469" s="119" t="n"/>
      <c r="H469" s="123" t="n"/>
      <c r="I469" s="123" t="n"/>
      <c r="J469" s="125" t="n"/>
      <c r="K469" s="120" t="n"/>
    </row>
    <row r="470" ht="15" customHeight="1" s="72">
      <c r="A470" s="117" t="n"/>
      <c r="B470" s="117" t="n"/>
      <c r="C470" s="118" t="n"/>
      <c r="D470" s="118" t="n"/>
      <c r="E470" s="118" t="n"/>
      <c r="F470" s="123" t="n"/>
      <c r="G470" s="119" t="n"/>
      <c r="H470" s="123" t="n"/>
      <c r="I470" s="123" t="n"/>
      <c r="J470" s="125" t="n"/>
      <c r="K470" s="120" t="n"/>
    </row>
    <row r="471" ht="15" customHeight="1" s="72">
      <c r="A471" s="117" t="n"/>
      <c r="B471" s="117" t="n"/>
      <c r="C471" s="118" t="n"/>
      <c r="D471" s="118" t="n"/>
      <c r="E471" s="118" t="n"/>
      <c r="F471" s="123" t="n"/>
      <c r="G471" s="119" t="n"/>
      <c r="H471" s="123" t="n"/>
      <c r="I471" s="123" t="n"/>
      <c r="J471" s="125" t="n"/>
      <c r="K471" s="120" t="n"/>
    </row>
    <row r="472" ht="15" customHeight="1" s="72">
      <c r="A472" s="117" t="n"/>
      <c r="B472" s="117" t="n"/>
      <c r="C472" s="118" t="n"/>
      <c r="D472" s="118" t="n"/>
      <c r="E472" s="118" t="n"/>
      <c r="F472" s="123" t="n"/>
      <c r="G472" s="119" t="n"/>
      <c r="H472" s="123" t="n"/>
      <c r="I472" s="123" t="n"/>
      <c r="J472" s="125" t="n"/>
      <c r="K472" s="120" t="n"/>
    </row>
    <row r="473" ht="15" customHeight="1" s="72">
      <c r="A473" s="117" t="n"/>
      <c r="B473" s="117" t="n"/>
      <c r="C473" s="118" t="n"/>
      <c r="D473" s="118" t="n"/>
      <c r="E473" s="118" t="n"/>
      <c r="F473" s="123" t="n"/>
      <c r="G473" s="119" t="n"/>
      <c r="H473" s="123" t="n"/>
      <c r="I473" s="123" t="n"/>
      <c r="J473" s="125" t="n"/>
      <c r="K473" s="120" t="n"/>
    </row>
    <row r="474" ht="15" customHeight="1" s="72">
      <c r="A474" s="117" t="n"/>
      <c r="B474" s="117" t="n"/>
      <c r="C474" s="118" t="n"/>
      <c r="D474" s="118" t="n"/>
      <c r="E474" s="118" t="n"/>
      <c r="F474" s="123" t="n"/>
      <c r="G474" s="119" t="n"/>
      <c r="H474" s="123" t="n"/>
      <c r="I474" s="123" t="n"/>
      <c r="J474" s="125" t="n"/>
      <c r="K474" s="120" t="n"/>
    </row>
    <row r="475" ht="15" customHeight="1" s="72">
      <c r="A475" s="117" t="n"/>
      <c r="B475" s="117" t="n"/>
      <c r="C475" s="118" t="n"/>
      <c r="D475" s="118" t="n"/>
      <c r="E475" s="118" t="n"/>
      <c r="F475" s="123" t="n"/>
      <c r="G475" s="119" t="n"/>
      <c r="H475" s="123" t="n"/>
      <c r="I475" s="123" t="n"/>
      <c r="J475" s="125" t="n"/>
      <c r="K475" s="120" t="n"/>
    </row>
    <row r="476" ht="15" customHeight="1" s="72">
      <c r="A476" s="117" t="n"/>
      <c r="B476" s="117" t="n"/>
      <c r="C476" s="118" t="n"/>
      <c r="D476" s="118" t="n"/>
      <c r="E476" s="118" t="n"/>
      <c r="F476" s="123" t="n"/>
      <c r="G476" s="119" t="n"/>
      <c r="H476" s="123" t="n"/>
      <c r="I476" s="123" t="n"/>
      <c r="J476" s="125" t="n"/>
      <c r="K476" s="120" t="n"/>
    </row>
    <row r="477" ht="15" customHeight="1" s="72">
      <c r="A477" s="117" t="n"/>
      <c r="B477" s="117" t="n"/>
      <c r="C477" s="118" t="n"/>
      <c r="D477" s="118" t="n"/>
      <c r="E477" s="118" t="n"/>
      <c r="F477" s="123" t="n"/>
      <c r="G477" s="119" t="n"/>
      <c r="H477" s="123" t="n"/>
      <c r="I477" s="123" t="n"/>
      <c r="J477" s="125" t="n"/>
      <c r="K477" s="120" t="n"/>
    </row>
    <row r="478" ht="15" customHeight="1" s="72">
      <c r="A478" s="117" t="n"/>
      <c r="B478" s="117" t="n"/>
      <c r="C478" s="118" t="n"/>
      <c r="D478" s="118" t="n"/>
      <c r="E478" s="118" t="n"/>
      <c r="F478" s="123" t="n"/>
      <c r="G478" s="119" t="n"/>
      <c r="H478" s="123" t="n"/>
      <c r="I478" s="123" t="n"/>
      <c r="J478" s="125" t="n"/>
      <c r="K478" s="120" t="n"/>
    </row>
    <row r="479" ht="15" customHeight="1" s="72">
      <c r="A479" s="117" t="n"/>
      <c r="B479" s="117" t="n"/>
      <c r="C479" s="118" t="n"/>
      <c r="D479" s="118" t="n"/>
      <c r="E479" s="118" t="n"/>
      <c r="F479" s="123" t="n"/>
      <c r="G479" s="119" t="n"/>
      <c r="H479" s="123" t="n"/>
      <c r="I479" s="123" t="n"/>
      <c r="J479" s="125" t="n"/>
      <c r="K479" s="120" t="n"/>
    </row>
    <row r="480" ht="15" customHeight="1" s="72">
      <c r="A480" s="117" t="n"/>
      <c r="B480" s="117" t="n"/>
      <c r="C480" s="118" t="n"/>
      <c r="D480" s="118" t="n"/>
      <c r="E480" s="118" t="n"/>
      <c r="F480" s="123" t="n"/>
      <c r="G480" s="119" t="n"/>
      <c r="H480" s="123" t="n"/>
      <c r="I480" s="123" t="n"/>
      <c r="J480" s="125" t="n"/>
      <c r="K480" s="120" t="n"/>
    </row>
    <row r="481" ht="15" customHeight="1" s="72">
      <c r="A481" s="117" t="n"/>
      <c r="B481" s="117" t="n"/>
      <c r="C481" s="118" t="n"/>
      <c r="D481" s="118" t="n"/>
      <c r="E481" s="118" t="n"/>
      <c r="F481" s="123" t="n"/>
      <c r="G481" s="119" t="n"/>
      <c r="H481" s="123" t="n"/>
      <c r="I481" s="123" t="n"/>
      <c r="J481" s="125" t="n"/>
      <c r="K481" s="120" t="n"/>
    </row>
    <row r="482" ht="15" customHeight="1" s="72">
      <c r="A482" s="117" t="n"/>
      <c r="B482" s="117" t="n"/>
      <c r="C482" s="118" t="n"/>
      <c r="D482" s="118" t="n"/>
      <c r="E482" s="118" t="n"/>
      <c r="F482" s="123" t="n"/>
      <c r="G482" s="119" t="n"/>
      <c r="H482" s="123" t="n"/>
      <c r="I482" s="123" t="n"/>
      <c r="J482" s="125" t="n"/>
      <c r="K482" s="120" t="n"/>
    </row>
    <row r="483" ht="15" customHeight="1" s="72">
      <c r="A483" s="117" t="n"/>
      <c r="B483" s="117" t="n"/>
      <c r="C483" s="118" t="n"/>
      <c r="D483" s="118" t="n"/>
      <c r="E483" s="118" t="n"/>
      <c r="F483" s="123" t="n"/>
      <c r="G483" s="119" t="n"/>
      <c r="H483" s="123" t="n"/>
      <c r="I483" s="123" t="n"/>
      <c r="J483" s="125" t="n"/>
      <c r="K483" s="120" t="n"/>
    </row>
    <row r="484" ht="15" customHeight="1" s="72">
      <c r="A484" s="117" t="n"/>
      <c r="B484" s="117" t="n"/>
      <c r="C484" s="118" t="n"/>
      <c r="D484" s="118" t="n"/>
      <c r="E484" s="118" t="n"/>
      <c r="F484" s="123" t="n"/>
      <c r="G484" s="119" t="n"/>
      <c r="H484" s="123" t="n"/>
      <c r="I484" s="123" t="n"/>
      <c r="J484" s="125" t="n"/>
      <c r="K484" s="120" t="n"/>
    </row>
    <row r="485" ht="15" customHeight="1" s="72">
      <c r="A485" s="117" t="n"/>
      <c r="B485" s="117" t="n"/>
      <c r="C485" s="118" t="n"/>
      <c r="D485" s="118" t="n"/>
      <c r="E485" s="118" t="n"/>
      <c r="F485" s="123" t="n"/>
      <c r="G485" s="119" t="n"/>
      <c r="H485" s="123" t="n"/>
      <c r="I485" s="123" t="n"/>
      <c r="J485" s="125" t="n"/>
      <c r="K485" s="120" t="n"/>
    </row>
    <row r="486" ht="15" customHeight="1" s="72">
      <c r="A486" s="117" t="n"/>
      <c r="B486" s="117" t="n"/>
      <c r="C486" s="118" t="n"/>
      <c r="D486" s="118" t="n"/>
      <c r="E486" s="118" t="n"/>
      <c r="F486" s="123" t="n"/>
      <c r="G486" s="119" t="n"/>
      <c r="H486" s="123" t="n"/>
      <c r="I486" s="123" t="n"/>
      <c r="J486" s="125" t="n"/>
      <c r="K486" s="120" t="n"/>
    </row>
    <row r="487" ht="15" customHeight="1" s="72">
      <c r="A487" s="117" t="n"/>
      <c r="B487" s="117" t="n"/>
      <c r="C487" s="118" t="n"/>
      <c r="D487" s="118" t="n"/>
      <c r="E487" s="118" t="n"/>
      <c r="F487" s="123" t="n"/>
      <c r="G487" s="119" t="n"/>
      <c r="H487" s="123" t="n"/>
      <c r="I487" s="123" t="n"/>
      <c r="J487" s="125" t="n"/>
      <c r="K487" s="120" t="n"/>
    </row>
    <row r="488" ht="15" customHeight="1" s="72">
      <c r="A488" s="117" t="n"/>
      <c r="B488" s="117" t="n"/>
      <c r="C488" s="118" t="n"/>
      <c r="D488" s="118" t="n"/>
      <c r="E488" s="118" t="n"/>
      <c r="F488" s="123" t="n"/>
      <c r="G488" s="119" t="n"/>
      <c r="H488" s="123" t="n"/>
      <c r="I488" s="123" t="n"/>
      <c r="J488" s="125" t="n"/>
      <c r="K488" s="120" t="n"/>
    </row>
    <row r="489" ht="15" customHeight="1" s="72">
      <c r="A489" s="117" t="n"/>
      <c r="B489" s="117" t="n"/>
      <c r="C489" s="118" t="n"/>
      <c r="D489" s="118" t="n"/>
      <c r="E489" s="118" t="n"/>
      <c r="F489" s="123" t="n"/>
      <c r="G489" s="119" t="n"/>
      <c r="H489" s="123" t="n"/>
      <c r="I489" s="123" t="n"/>
      <c r="J489" s="125" t="n"/>
      <c r="K489" s="120" t="n"/>
    </row>
    <row r="490" ht="15" customHeight="1" s="72">
      <c r="A490" s="117" t="n"/>
      <c r="B490" s="117" t="n"/>
      <c r="C490" s="118" t="n"/>
      <c r="D490" s="118" t="n"/>
      <c r="E490" s="118" t="n"/>
      <c r="F490" s="123" t="n"/>
      <c r="G490" s="119" t="n"/>
      <c r="H490" s="123" t="n"/>
      <c r="I490" s="123" t="n"/>
      <c r="J490" s="125" t="n"/>
      <c r="K490" s="120" t="n"/>
    </row>
    <row r="491" ht="15" customHeight="1" s="72">
      <c r="A491" s="117" t="n"/>
      <c r="B491" s="117" t="n"/>
      <c r="C491" s="118" t="n"/>
      <c r="D491" s="118" t="n"/>
      <c r="E491" s="118" t="n"/>
      <c r="F491" s="123" t="n"/>
      <c r="G491" s="119" t="n"/>
      <c r="H491" s="123" t="n"/>
      <c r="I491" s="123" t="n"/>
      <c r="J491" s="125" t="n"/>
      <c r="K491" s="120" t="n"/>
    </row>
    <row r="492" ht="15" customHeight="1" s="72">
      <c r="A492" s="117" t="n"/>
      <c r="B492" s="117" t="n"/>
      <c r="C492" s="118" t="n"/>
      <c r="D492" s="118" t="n"/>
      <c r="E492" s="118" t="n"/>
      <c r="F492" s="123" t="n"/>
      <c r="G492" s="119" t="n"/>
      <c r="H492" s="123" t="n"/>
      <c r="I492" s="123" t="n"/>
      <c r="J492" s="125" t="n"/>
      <c r="K492" s="120" t="n"/>
    </row>
    <row r="493" ht="15" customHeight="1" s="72">
      <c r="A493" s="117" t="n"/>
      <c r="B493" s="117" t="n"/>
      <c r="C493" s="118" t="n"/>
      <c r="D493" s="118" t="n"/>
      <c r="E493" s="118" t="n"/>
      <c r="F493" s="123" t="n"/>
      <c r="G493" s="119" t="n"/>
      <c r="H493" s="123" t="n"/>
      <c r="I493" s="123" t="n"/>
      <c r="J493" s="125" t="n"/>
      <c r="K493" s="120" t="n"/>
    </row>
    <row r="494" ht="15" customHeight="1" s="72">
      <c r="A494" s="117" t="n"/>
      <c r="B494" s="117" t="n"/>
      <c r="C494" s="118" t="n"/>
      <c r="D494" s="118" t="n"/>
      <c r="E494" s="118" t="n"/>
      <c r="F494" s="123" t="n"/>
      <c r="G494" s="119" t="n"/>
      <c r="H494" s="123" t="n"/>
      <c r="I494" s="123" t="n"/>
      <c r="J494" s="125" t="n"/>
      <c r="K494" s="120" t="n"/>
    </row>
    <row r="495" ht="15" customHeight="1" s="72">
      <c r="A495" s="117" t="n"/>
      <c r="B495" s="117" t="n"/>
      <c r="C495" s="118" t="n"/>
      <c r="D495" s="118" t="n"/>
      <c r="E495" s="118" t="n"/>
      <c r="F495" s="123" t="n"/>
      <c r="G495" s="119" t="n"/>
      <c r="H495" s="123" t="n"/>
      <c r="I495" s="123" t="n"/>
      <c r="J495" s="125" t="n"/>
      <c r="K495" s="120" t="n"/>
    </row>
    <row r="496" ht="15" customHeight="1" s="72">
      <c r="A496" s="117" t="n"/>
      <c r="B496" s="117" t="n"/>
      <c r="C496" s="118" t="n"/>
      <c r="D496" s="118" t="n"/>
      <c r="E496" s="118" t="n"/>
      <c r="F496" s="123" t="n"/>
      <c r="G496" s="119" t="n"/>
      <c r="H496" s="123" t="n"/>
      <c r="I496" s="123" t="n"/>
      <c r="J496" s="125" t="n"/>
      <c r="K496" s="120" t="n"/>
    </row>
    <row r="497" ht="15" customHeight="1" s="72">
      <c r="A497" s="117" t="n"/>
      <c r="B497" s="117" t="n"/>
      <c r="C497" s="118" t="n"/>
      <c r="D497" s="118" t="n"/>
      <c r="E497" s="118" t="n"/>
      <c r="F497" s="123" t="n"/>
      <c r="G497" s="119" t="n"/>
      <c r="H497" s="123" t="n"/>
      <c r="I497" s="123" t="n"/>
      <c r="J497" s="125" t="n"/>
      <c r="K497" s="120" t="n"/>
    </row>
    <row r="498" ht="15" customHeight="1" s="72">
      <c r="A498" s="117" t="n"/>
      <c r="B498" s="117" t="n"/>
      <c r="C498" s="118" t="n"/>
      <c r="D498" s="118" t="n"/>
      <c r="E498" s="118" t="n"/>
      <c r="F498" s="123" t="n"/>
      <c r="G498" s="119" t="n"/>
      <c r="H498" s="123" t="n"/>
      <c r="I498" s="123" t="n"/>
      <c r="J498" s="125" t="n"/>
      <c r="K498" s="120" t="n"/>
    </row>
    <row r="499" ht="15" customHeight="1" s="72">
      <c r="A499" s="117" t="n"/>
      <c r="B499" s="117" t="n"/>
      <c r="C499" s="118" t="n"/>
      <c r="D499" s="118" t="n"/>
      <c r="E499" s="118" t="n"/>
      <c r="F499" s="123" t="n"/>
      <c r="G499" s="119" t="n"/>
      <c r="H499" s="123" t="n"/>
      <c r="I499" s="123" t="n"/>
      <c r="J499" s="125" t="n"/>
      <c r="K499" s="120" t="n"/>
    </row>
    <row r="500" ht="15" customHeight="1" s="72">
      <c r="A500" s="117" t="n"/>
      <c r="B500" s="117" t="n"/>
      <c r="C500" s="118" t="n"/>
      <c r="D500" s="118" t="n"/>
      <c r="E500" s="118" t="n"/>
      <c r="F500" s="123" t="n"/>
      <c r="G500" s="119" t="n"/>
      <c r="H500" s="123" t="n"/>
      <c r="I500" s="123" t="n"/>
      <c r="J500" s="125" t="n"/>
      <c r="K500" s="120" t="n"/>
    </row>
    <row r="501" ht="15" customHeight="1" s="72">
      <c r="A501" s="117" t="n"/>
      <c r="B501" s="117" t="n"/>
      <c r="C501" s="118" t="n"/>
      <c r="D501" s="118" t="n"/>
      <c r="E501" s="118" t="n"/>
      <c r="F501" s="123" t="n"/>
      <c r="G501" s="119" t="n"/>
      <c r="H501" s="123" t="n"/>
      <c r="I501" s="123" t="n"/>
      <c r="J501" s="125" t="n"/>
      <c r="K501" s="120" t="n"/>
    </row>
    <row r="502" ht="15" customHeight="1" s="72">
      <c r="A502" s="117" t="n"/>
      <c r="B502" s="117" t="n"/>
      <c r="C502" s="118" t="n"/>
      <c r="D502" s="118" t="n"/>
      <c r="E502" s="118" t="n"/>
      <c r="F502" s="123" t="n"/>
      <c r="G502" s="119" t="n"/>
      <c r="H502" s="123" t="n"/>
      <c r="I502" s="123" t="n"/>
      <c r="J502" s="125" t="n"/>
      <c r="K502" s="120" t="n"/>
    </row>
    <row r="503" ht="15" customHeight="1" s="72">
      <c r="A503" s="117" t="n"/>
      <c r="B503" s="117" t="n"/>
      <c r="C503" s="118" t="n"/>
      <c r="D503" s="118" t="n"/>
      <c r="E503" s="118" t="n"/>
      <c r="F503" s="123" t="n"/>
      <c r="G503" s="119" t="n"/>
      <c r="H503" s="123" t="n"/>
      <c r="I503" s="123" t="n"/>
      <c r="J503" s="125" t="n"/>
      <c r="K503" s="120" t="n"/>
    </row>
    <row r="504" ht="15" customHeight="1" s="72">
      <c r="A504" s="117" t="n"/>
      <c r="B504" s="117" t="n"/>
      <c r="C504" s="118" t="n"/>
      <c r="D504" s="118" t="n"/>
      <c r="E504" s="118" t="n"/>
      <c r="F504" s="123" t="n"/>
      <c r="G504" s="119" t="n"/>
      <c r="H504" s="123" t="n"/>
      <c r="I504" s="123" t="n"/>
      <c r="J504" s="125" t="n"/>
      <c r="K504" s="120" t="n"/>
    </row>
    <row r="505" ht="15" customHeight="1" s="72">
      <c r="A505" s="117" t="n"/>
      <c r="B505" s="117" t="n"/>
      <c r="C505" s="118" t="n"/>
      <c r="D505" s="118" t="n"/>
      <c r="E505" s="118" t="n"/>
      <c r="F505" s="123" t="n"/>
      <c r="G505" s="119" t="n"/>
      <c r="H505" s="123" t="n"/>
      <c r="I505" s="123" t="n"/>
      <c r="J505" s="125" t="n"/>
      <c r="K505" s="120" t="n"/>
    </row>
    <row r="506" ht="15" customHeight="1" s="72">
      <c r="A506" s="117" t="n"/>
      <c r="B506" s="117" t="n"/>
      <c r="C506" s="118" t="n"/>
      <c r="D506" s="118" t="n"/>
      <c r="E506" s="118" t="n"/>
      <c r="F506" s="123" t="n"/>
      <c r="G506" s="119" t="n"/>
      <c r="H506" s="123" t="n"/>
      <c r="I506" s="123" t="n"/>
      <c r="J506" s="125" t="n"/>
      <c r="K506" s="120" t="n"/>
    </row>
    <row r="507" ht="15" customHeight="1" s="72">
      <c r="A507" s="117" t="n"/>
      <c r="B507" s="117" t="n"/>
      <c r="C507" s="118" t="n"/>
      <c r="D507" s="118" t="n"/>
      <c r="E507" s="118" t="n"/>
      <c r="F507" s="123" t="n"/>
      <c r="G507" s="119" t="n"/>
      <c r="H507" s="123" t="n"/>
      <c r="I507" s="123" t="n"/>
      <c r="J507" s="125" t="n"/>
      <c r="K507" s="120" t="n"/>
    </row>
    <row r="508" ht="15" customHeight="1" s="72">
      <c r="A508" s="117" t="n"/>
      <c r="B508" s="117" t="n"/>
      <c r="C508" s="118" t="n"/>
      <c r="D508" s="118" t="n"/>
      <c r="E508" s="118" t="n"/>
      <c r="F508" s="123" t="n"/>
      <c r="G508" s="119" t="n"/>
      <c r="H508" s="123" t="n"/>
      <c r="I508" s="123" t="n"/>
      <c r="J508" s="125" t="n"/>
      <c r="K508" s="120" t="n"/>
    </row>
    <row r="509" ht="15" customHeight="1" s="72">
      <c r="A509" s="117" t="n"/>
      <c r="B509" s="117" t="n"/>
      <c r="C509" s="118" t="n"/>
      <c r="D509" s="118" t="n"/>
      <c r="E509" s="118" t="n"/>
      <c r="F509" s="123" t="n"/>
      <c r="G509" s="119" t="n"/>
      <c r="H509" s="123" t="n"/>
      <c r="I509" s="123" t="n"/>
      <c r="J509" s="125" t="n"/>
      <c r="K509" s="120" t="n"/>
    </row>
    <row r="510" ht="15" customHeight="1" s="72">
      <c r="A510" s="117" t="n"/>
      <c r="B510" s="117" t="n"/>
      <c r="C510" s="118" t="n"/>
      <c r="D510" s="118" t="n"/>
      <c r="E510" s="118" t="n"/>
      <c r="F510" s="123" t="n"/>
      <c r="G510" s="119" t="n"/>
      <c r="H510" s="123" t="n"/>
      <c r="I510" s="123" t="n"/>
      <c r="J510" s="125" t="n"/>
      <c r="K510" s="120" t="n"/>
    </row>
    <row r="511" ht="15" customHeight="1" s="72">
      <c r="A511" s="117" t="n"/>
      <c r="B511" s="117" t="n"/>
      <c r="C511" s="118" t="n"/>
      <c r="D511" s="118" t="n"/>
      <c r="E511" s="118" t="n"/>
      <c r="F511" s="123" t="n"/>
      <c r="G511" s="119" t="n"/>
      <c r="H511" s="123" t="n"/>
      <c r="I511" s="123" t="n"/>
      <c r="J511" s="125" t="n"/>
      <c r="K511" s="120" t="n"/>
    </row>
    <row r="512" ht="15" customHeight="1" s="72">
      <c r="A512" s="117" t="n"/>
      <c r="B512" s="117" t="n"/>
      <c r="C512" s="118" t="n"/>
      <c r="D512" s="118" t="n"/>
      <c r="E512" s="118" t="n"/>
      <c r="F512" s="123" t="n"/>
      <c r="G512" s="119" t="n"/>
      <c r="H512" s="123" t="n"/>
      <c r="I512" s="123" t="n"/>
      <c r="J512" s="125" t="n"/>
      <c r="K512" s="120" t="n"/>
    </row>
    <row r="513" ht="15" customHeight="1" s="72">
      <c r="A513" s="117" t="n"/>
      <c r="B513" s="117" t="n"/>
      <c r="C513" s="118" t="n"/>
      <c r="D513" s="118" t="n"/>
      <c r="E513" s="118" t="n"/>
      <c r="F513" s="123" t="n"/>
      <c r="G513" s="119" t="n"/>
      <c r="H513" s="123" t="n"/>
      <c r="I513" s="123" t="n"/>
      <c r="J513" s="125" t="n"/>
      <c r="K513" s="120" t="n"/>
    </row>
    <row r="514" ht="15" customHeight="1" s="72">
      <c r="A514" s="117" t="n"/>
      <c r="B514" s="117" t="n"/>
      <c r="C514" s="118" t="n"/>
      <c r="D514" s="118" t="n"/>
      <c r="E514" s="118" t="n"/>
      <c r="F514" s="123" t="n"/>
      <c r="G514" s="119" t="n"/>
      <c r="H514" s="123" t="n"/>
      <c r="I514" s="123" t="n"/>
      <c r="J514" s="125" t="n"/>
      <c r="K514" s="120" t="n"/>
    </row>
    <row r="515" ht="15" customHeight="1" s="72">
      <c r="A515" s="117" t="n"/>
      <c r="B515" s="117" t="n"/>
      <c r="C515" s="118" t="n"/>
      <c r="D515" s="118" t="n"/>
      <c r="E515" s="118" t="n"/>
      <c r="F515" s="123" t="n"/>
      <c r="G515" s="119" t="n"/>
      <c r="H515" s="123" t="n"/>
      <c r="I515" s="123" t="n"/>
      <c r="J515" s="125" t="n"/>
      <c r="K515" s="120" t="n"/>
    </row>
    <row r="516" ht="15" customHeight="1" s="72">
      <c r="A516" s="117" t="n"/>
      <c r="B516" s="117" t="n"/>
      <c r="C516" s="118" t="n"/>
      <c r="D516" s="118" t="n"/>
      <c r="E516" s="118" t="n"/>
      <c r="F516" s="123" t="n"/>
      <c r="G516" s="119" t="n"/>
      <c r="H516" s="123" t="n"/>
      <c r="I516" s="123" t="n"/>
      <c r="J516" s="125" t="n"/>
      <c r="K516" s="120" t="n"/>
    </row>
    <row r="517" ht="15" customHeight="1" s="72">
      <c r="A517" s="117" t="n"/>
      <c r="B517" s="117" t="n"/>
      <c r="C517" s="118" t="n"/>
      <c r="D517" s="118" t="n"/>
      <c r="E517" s="118" t="n"/>
      <c r="F517" s="123" t="n"/>
      <c r="G517" s="119" t="n"/>
      <c r="H517" s="123" t="n"/>
      <c r="I517" s="123" t="n"/>
      <c r="J517" s="125" t="n"/>
      <c r="K517" s="120" t="n"/>
    </row>
    <row r="518" ht="15" customHeight="1" s="72">
      <c r="A518" s="117" t="n"/>
      <c r="B518" s="117" t="n"/>
      <c r="C518" s="118" t="n"/>
      <c r="D518" s="118" t="n"/>
      <c r="E518" s="118" t="n"/>
      <c r="F518" s="123" t="n"/>
      <c r="G518" s="119" t="n"/>
      <c r="H518" s="123" t="n"/>
      <c r="I518" s="123" t="n"/>
      <c r="J518" s="125" t="n"/>
      <c r="K518" s="120" t="n"/>
    </row>
    <row r="519" ht="15" customHeight="1" s="72">
      <c r="A519" s="117" t="n"/>
      <c r="B519" s="117" t="n"/>
      <c r="C519" s="118" t="n"/>
      <c r="D519" s="118" t="n"/>
      <c r="E519" s="118" t="n"/>
      <c r="F519" s="123" t="n"/>
      <c r="G519" s="119" t="n"/>
      <c r="H519" s="123" t="n"/>
      <c r="I519" s="123" t="n"/>
      <c r="J519" s="125" t="n"/>
      <c r="K519" s="120" t="n"/>
    </row>
    <row r="520" ht="15" customHeight="1" s="72">
      <c r="A520" s="117" t="n"/>
      <c r="B520" s="117" t="n"/>
      <c r="C520" s="118" t="n"/>
      <c r="D520" s="118" t="n"/>
      <c r="E520" s="118" t="n"/>
      <c r="F520" s="123" t="n"/>
      <c r="G520" s="119" t="n"/>
      <c r="H520" s="123" t="n"/>
      <c r="I520" s="123" t="n"/>
      <c r="J520" s="125" t="n"/>
      <c r="K520" s="120" t="n"/>
    </row>
    <row r="521" ht="15" customHeight="1" s="72">
      <c r="A521" s="117" t="n"/>
      <c r="B521" s="117" t="n"/>
      <c r="C521" s="118" t="n"/>
      <c r="D521" s="118" t="n"/>
      <c r="E521" s="118" t="n"/>
      <c r="F521" s="123" t="n"/>
      <c r="G521" s="119" t="n"/>
      <c r="H521" s="123" t="n"/>
      <c r="I521" s="123" t="n"/>
      <c r="J521" s="125" t="n"/>
      <c r="K521" s="120" t="n"/>
    </row>
    <row r="522" ht="15" customHeight="1" s="72">
      <c r="A522" s="117" t="n"/>
      <c r="B522" s="117" t="n"/>
      <c r="C522" s="118" t="n"/>
      <c r="D522" s="118" t="n"/>
      <c r="E522" s="118" t="n"/>
      <c r="F522" s="123" t="n"/>
      <c r="G522" s="119" t="n"/>
      <c r="H522" s="123" t="n"/>
      <c r="I522" s="123" t="n"/>
      <c r="J522" s="125" t="n"/>
      <c r="K522" s="120" t="n"/>
    </row>
    <row r="523" ht="15" customHeight="1" s="72">
      <c r="A523" s="117" t="n"/>
      <c r="B523" s="117" t="n"/>
      <c r="C523" s="118" t="n"/>
      <c r="D523" s="118" t="n"/>
      <c r="E523" s="118" t="n"/>
      <c r="F523" s="123" t="n"/>
      <c r="G523" s="119" t="n"/>
      <c r="H523" s="123" t="n"/>
      <c r="I523" s="123" t="n"/>
      <c r="J523" s="125" t="n"/>
      <c r="K523" s="120" t="n"/>
    </row>
    <row r="524" ht="15" customHeight="1" s="72">
      <c r="A524" s="117" t="n"/>
      <c r="B524" s="117" t="n"/>
      <c r="C524" s="118" t="n"/>
      <c r="D524" s="118" t="n"/>
      <c r="E524" s="118" t="n"/>
      <c r="F524" s="123" t="n"/>
      <c r="G524" s="119" t="n"/>
      <c r="H524" s="123" t="n"/>
      <c r="I524" s="123" t="n"/>
      <c r="J524" s="125" t="n"/>
      <c r="K524" s="120" t="n"/>
    </row>
    <row r="525" ht="15" customHeight="1" s="72">
      <c r="A525" s="117" t="n"/>
      <c r="B525" s="117" t="n"/>
      <c r="C525" s="118" t="n"/>
      <c r="D525" s="118" t="n"/>
      <c r="E525" s="118" t="n"/>
      <c r="F525" s="123" t="n"/>
      <c r="G525" s="119" t="n"/>
      <c r="H525" s="123" t="n"/>
      <c r="I525" s="123" t="n"/>
      <c r="J525" s="125" t="n"/>
      <c r="K525" s="120" t="n"/>
    </row>
    <row r="526" ht="15" customHeight="1" s="72">
      <c r="A526" s="117" t="n"/>
      <c r="B526" s="117" t="n"/>
      <c r="C526" s="118" t="n"/>
      <c r="D526" s="118" t="n"/>
      <c r="E526" s="118" t="n"/>
      <c r="F526" s="123" t="n"/>
      <c r="G526" s="119" t="n"/>
      <c r="H526" s="123" t="n"/>
      <c r="I526" s="123" t="n"/>
      <c r="J526" s="125" t="n"/>
      <c r="K526" s="120" t="n"/>
    </row>
    <row r="527" ht="15" customHeight="1" s="72">
      <c r="A527" s="117" t="n"/>
      <c r="B527" s="117" t="n"/>
      <c r="C527" s="118" t="n"/>
      <c r="D527" s="118" t="n"/>
      <c r="E527" s="118" t="n"/>
      <c r="F527" s="123" t="n"/>
      <c r="G527" s="119" t="n"/>
      <c r="H527" s="123" t="n"/>
      <c r="I527" s="123" t="n"/>
      <c r="J527" s="125" t="n"/>
      <c r="K527" s="120" t="n"/>
    </row>
    <row r="528" ht="15" customHeight="1" s="72">
      <c r="A528" s="117" t="n"/>
      <c r="B528" s="117" t="n"/>
      <c r="C528" s="118" t="n"/>
      <c r="D528" s="118" t="n"/>
      <c r="E528" s="118" t="n"/>
      <c r="F528" s="123" t="n"/>
      <c r="G528" s="119" t="n"/>
      <c r="H528" s="123" t="n"/>
      <c r="I528" s="123" t="n"/>
      <c r="J528" s="125" t="n"/>
      <c r="K528" s="120" t="n"/>
    </row>
    <row r="529" ht="15" customHeight="1" s="72">
      <c r="A529" s="117" t="n"/>
      <c r="B529" s="117" t="n"/>
      <c r="C529" s="118" t="n"/>
      <c r="D529" s="118" t="n"/>
      <c r="E529" s="118" t="n"/>
      <c r="F529" s="123" t="n"/>
      <c r="G529" s="119" t="n"/>
      <c r="H529" s="123" t="n"/>
      <c r="I529" s="123" t="n"/>
      <c r="J529" s="125" t="n"/>
      <c r="K529" s="120" t="n"/>
    </row>
    <row r="530" ht="15" customHeight="1" s="72">
      <c r="A530" s="117" t="n"/>
      <c r="B530" s="117" t="n"/>
      <c r="C530" s="118" t="n"/>
      <c r="D530" s="118" t="n"/>
      <c r="E530" s="118" t="n"/>
      <c r="F530" s="123" t="n"/>
      <c r="G530" s="119" t="n"/>
      <c r="H530" s="123" t="n"/>
      <c r="I530" s="123" t="n"/>
      <c r="J530" s="125" t="n"/>
      <c r="K530" s="120" t="n"/>
    </row>
    <row r="531" ht="15" customHeight="1" s="72">
      <c r="A531" s="117" t="n"/>
      <c r="B531" s="117" t="n"/>
      <c r="C531" s="118" t="n"/>
      <c r="D531" s="118" t="n"/>
      <c r="E531" s="118" t="n"/>
      <c r="F531" s="123" t="n"/>
      <c r="G531" s="119" t="n"/>
      <c r="H531" s="123" t="n"/>
      <c r="I531" s="123" t="n"/>
      <c r="J531" s="125" t="n"/>
      <c r="K531" s="120" t="n"/>
    </row>
    <row r="532" ht="15" customHeight="1" s="72">
      <c r="A532" s="117" t="n"/>
      <c r="B532" s="117" t="n"/>
      <c r="C532" s="118" t="n"/>
      <c r="D532" s="118" t="n"/>
      <c r="E532" s="118" t="n"/>
      <c r="F532" s="123" t="n"/>
      <c r="G532" s="119" t="n"/>
      <c r="H532" s="123" t="n"/>
      <c r="I532" s="123" t="n"/>
      <c r="J532" s="125" t="n"/>
      <c r="K532" s="120" t="n"/>
    </row>
    <row r="533" ht="15" customHeight="1" s="72">
      <c r="A533" s="117" t="n"/>
      <c r="B533" s="117" t="n"/>
      <c r="C533" s="118" t="n"/>
      <c r="D533" s="118" t="n"/>
      <c r="E533" s="118" t="n"/>
      <c r="F533" s="123" t="n"/>
      <c r="G533" s="119" t="n"/>
      <c r="H533" s="123" t="n"/>
      <c r="I533" s="123" t="n"/>
      <c r="J533" s="125" t="n"/>
      <c r="K533" s="120" t="n"/>
    </row>
    <row r="534" ht="15" customHeight="1" s="72">
      <c r="A534" s="117" t="n"/>
      <c r="B534" s="117" t="n"/>
      <c r="C534" s="118" t="n"/>
      <c r="D534" s="118" t="n"/>
      <c r="E534" s="118" t="n"/>
      <c r="F534" s="123" t="n"/>
      <c r="G534" s="119" t="n"/>
      <c r="H534" s="123" t="n"/>
      <c r="I534" s="123" t="n"/>
      <c r="J534" s="125" t="n"/>
      <c r="K534" s="120" t="n"/>
    </row>
    <row r="535" ht="15" customHeight="1" s="72">
      <c r="A535" s="117" t="n"/>
      <c r="B535" s="117" t="n"/>
      <c r="C535" s="118" t="n"/>
      <c r="D535" s="118" t="n"/>
      <c r="E535" s="118" t="n"/>
      <c r="F535" s="123" t="n"/>
      <c r="G535" s="119" t="n"/>
      <c r="H535" s="123" t="n"/>
      <c r="I535" s="123" t="n"/>
      <c r="J535" s="125" t="n"/>
      <c r="K535" s="120" t="n"/>
    </row>
    <row r="536" ht="15" customHeight="1" s="72">
      <c r="A536" s="117" t="n"/>
      <c r="B536" s="117" t="n"/>
      <c r="C536" s="118" t="n"/>
      <c r="D536" s="118" t="n"/>
      <c r="E536" s="118" t="n"/>
      <c r="F536" s="123" t="n"/>
      <c r="G536" s="119" t="n"/>
      <c r="H536" s="123" t="n"/>
      <c r="I536" s="123" t="n"/>
      <c r="J536" s="125" t="n"/>
      <c r="K536" s="120" t="n"/>
    </row>
    <row r="537" ht="15" customHeight="1" s="72">
      <c r="A537" s="117" t="n"/>
      <c r="B537" s="117" t="n"/>
      <c r="C537" s="118" t="n"/>
      <c r="D537" s="118" t="n"/>
      <c r="E537" s="118" t="n"/>
      <c r="F537" s="123" t="n"/>
      <c r="G537" s="119" t="n"/>
      <c r="H537" s="123" t="n"/>
      <c r="I537" s="123" t="n"/>
      <c r="J537" s="125" t="n"/>
      <c r="K537" s="120" t="n"/>
    </row>
    <row r="538" ht="15" customHeight="1" s="72">
      <c r="A538" s="117" t="n"/>
      <c r="B538" s="117" t="n"/>
      <c r="C538" s="118" t="n"/>
      <c r="D538" s="118" t="n"/>
      <c r="E538" s="118" t="n"/>
      <c r="F538" s="123" t="n"/>
      <c r="G538" s="119" t="n"/>
      <c r="H538" s="123" t="n"/>
      <c r="I538" s="123" t="n"/>
      <c r="J538" s="125" t="n"/>
      <c r="K538" s="120" t="n"/>
    </row>
    <row r="539" ht="15" customHeight="1" s="72">
      <c r="A539" s="117" t="n"/>
      <c r="B539" s="117" t="n"/>
      <c r="C539" s="118" t="n"/>
      <c r="D539" s="118" t="n"/>
      <c r="E539" s="118" t="n"/>
      <c r="F539" s="123" t="n"/>
      <c r="G539" s="119" t="n"/>
      <c r="H539" s="123" t="n"/>
      <c r="I539" s="123" t="n"/>
      <c r="J539" s="125" t="n"/>
      <c r="K539" s="120" t="n"/>
    </row>
    <row r="540" ht="15" customHeight="1" s="72">
      <c r="A540" s="117" t="n"/>
      <c r="B540" s="117" t="n"/>
      <c r="C540" s="118" t="n"/>
      <c r="D540" s="118" t="n"/>
      <c r="E540" s="118" t="n"/>
      <c r="F540" s="123" t="n"/>
      <c r="G540" s="119" t="n"/>
      <c r="H540" s="123" t="n"/>
      <c r="I540" s="123" t="n"/>
      <c r="J540" s="125" t="n"/>
      <c r="K540" s="120" t="n"/>
    </row>
    <row r="541" ht="15" customHeight="1" s="72">
      <c r="A541" s="117" t="n"/>
      <c r="B541" s="117" t="n"/>
      <c r="C541" s="118" t="n"/>
      <c r="D541" s="118" t="n"/>
      <c r="E541" s="118" t="n"/>
      <c r="F541" s="123" t="n"/>
      <c r="G541" s="119" t="n"/>
      <c r="H541" s="123" t="n"/>
      <c r="I541" s="123" t="n"/>
      <c r="J541" s="125" t="n"/>
      <c r="K541" s="120" t="n"/>
    </row>
    <row r="542" ht="15" customHeight="1" s="72">
      <c r="A542" s="117" t="n"/>
      <c r="B542" s="117" t="n"/>
      <c r="C542" s="118" t="n"/>
      <c r="D542" s="118" t="n"/>
      <c r="E542" s="118" t="n"/>
      <c r="F542" s="123" t="n"/>
      <c r="G542" s="119" t="n"/>
      <c r="H542" s="123" t="n"/>
      <c r="I542" s="123" t="n"/>
      <c r="J542" s="125" t="n"/>
      <c r="K542" s="120" t="n"/>
    </row>
    <row r="543" ht="15" customHeight="1" s="72">
      <c r="A543" s="117" t="n"/>
      <c r="B543" s="117" t="n"/>
      <c r="C543" s="118" t="n"/>
      <c r="D543" s="118" t="n"/>
      <c r="E543" s="118" t="n"/>
      <c r="F543" s="123" t="n"/>
      <c r="G543" s="119" t="n"/>
      <c r="H543" s="123" t="n"/>
      <c r="I543" s="123" t="n"/>
      <c r="J543" s="125" t="n"/>
      <c r="K543" s="120" t="n"/>
    </row>
    <row r="544" ht="15" customHeight="1" s="72">
      <c r="A544" s="117" t="n"/>
      <c r="B544" s="117" t="n"/>
      <c r="C544" s="118" t="n"/>
      <c r="D544" s="118" t="n"/>
      <c r="E544" s="118" t="n"/>
      <c r="F544" s="123" t="n"/>
      <c r="G544" s="119" t="n"/>
      <c r="H544" s="123" t="n"/>
      <c r="I544" s="123" t="n"/>
      <c r="J544" s="125" t="n"/>
      <c r="K544" s="120" t="n"/>
    </row>
    <row r="545" ht="15" customHeight="1" s="72">
      <c r="A545" s="117" t="n"/>
      <c r="B545" s="117" t="n"/>
      <c r="C545" s="118" t="n"/>
      <c r="D545" s="118" t="n"/>
      <c r="E545" s="118" t="n"/>
      <c r="F545" s="123" t="n"/>
      <c r="G545" s="119" t="n"/>
      <c r="H545" s="123" t="n"/>
      <c r="I545" s="123" t="n"/>
      <c r="J545" s="125" t="n"/>
      <c r="K545" s="120" t="n"/>
    </row>
    <row r="546" ht="15" customHeight="1" s="72">
      <c r="A546" s="117" t="n"/>
      <c r="B546" s="117" t="n"/>
      <c r="C546" s="118" t="n"/>
      <c r="D546" s="118" t="n"/>
      <c r="E546" s="118" t="n"/>
      <c r="F546" s="123" t="n"/>
      <c r="G546" s="119" t="n"/>
      <c r="H546" s="123" t="n"/>
      <c r="I546" s="123" t="n"/>
      <c r="J546" s="125" t="n"/>
      <c r="K546" s="120" t="n"/>
    </row>
    <row r="547" ht="15" customHeight="1" s="72">
      <c r="A547" s="117" t="n"/>
      <c r="B547" s="117" t="n"/>
      <c r="C547" s="118" t="n"/>
      <c r="D547" s="118" t="n"/>
      <c r="E547" s="118" t="n"/>
      <c r="F547" s="123" t="n"/>
      <c r="G547" s="119" t="n"/>
      <c r="H547" s="123" t="n"/>
      <c r="I547" s="123" t="n"/>
      <c r="J547" s="125" t="n"/>
      <c r="K547" s="120" t="n"/>
    </row>
    <row r="548" ht="15" customHeight="1" s="72">
      <c r="A548" s="117" t="n"/>
      <c r="B548" s="117" t="n"/>
      <c r="C548" s="118" t="n"/>
      <c r="D548" s="118" t="n"/>
      <c r="E548" s="118" t="n"/>
      <c r="F548" s="123" t="n"/>
      <c r="G548" s="119" t="n"/>
      <c r="H548" s="123" t="n"/>
      <c r="I548" s="123" t="n"/>
      <c r="J548" s="125" t="n"/>
      <c r="K548" s="120" t="n"/>
    </row>
    <row r="549" ht="15" customHeight="1" s="72">
      <c r="A549" s="117" t="n"/>
      <c r="B549" s="117" t="n"/>
      <c r="C549" s="118" t="n"/>
      <c r="D549" s="118" t="n"/>
      <c r="E549" s="118" t="n"/>
      <c r="F549" s="123" t="n"/>
      <c r="G549" s="119" t="n"/>
      <c r="H549" s="123" t="n"/>
      <c r="I549" s="123" t="n"/>
      <c r="J549" s="125" t="n"/>
      <c r="K549" s="120" t="n"/>
    </row>
    <row r="550" ht="15" customHeight="1" s="72">
      <c r="A550" s="117" t="n"/>
      <c r="B550" s="117" t="n"/>
      <c r="C550" s="118" t="n"/>
      <c r="D550" s="118" t="n"/>
      <c r="E550" s="118" t="n"/>
      <c r="F550" s="123" t="n"/>
      <c r="G550" s="119" t="n"/>
      <c r="H550" s="123" t="n"/>
      <c r="I550" s="123" t="n"/>
      <c r="J550" s="125" t="n"/>
      <c r="K550" s="120" t="n"/>
    </row>
    <row r="551" ht="15" customHeight="1" s="72">
      <c r="A551" s="117" t="n"/>
      <c r="B551" s="117" t="n"/>
      <c r="C551" s="118" t="n"/>
      <c r="D551" s="118" t="n"/>
      <c r="E551" s="118" t="n"/>
      <c r="F551" s="123" t="n"/>
      <c r="G551" s="119" t="n"/>
      <c r="H551" s="123" t="n"/>
      <c r="I551" s="123" t="n"/>
      <c r="J551" s="125" t="n"/>
      <c r="K551" s="120" t="n"/>
    </row>
    <row r="552" ht="15" customHeight="1" s="72">
      <c r="A552" s="117" t="n"/>
      <c r="B552" s="117" t="n"/>
      <c r="C552" s="118" t="n"/>
      <c r="D552" s="118" t="n"/>
      <c r="E552" s="118" t="n"/>
      <c r="F552" s="123" t="n"/>
      <c r="G552" s="119" t="n"/>
      <c r="H552" s="123" t="n"/>
      <c r="I552" s="123" t="n"/>
      <c r="J552" s="125" t="n"/>
      <c r="K552" s="120" t="n"/>
    </row>
    <row r="553" ht="15" customHeight="1" s="72">
      <c r="A553" s="117" t="n"/>
      <c r="B553" s="117" t="n"/>
      <c r="C553" s="118" t="n"/>
      <c r="D553" s="118" t="n"/>
      <c r="E553" s="118" t="n"/>
      <c r="F553" s="123" t="n"/>
      <c r="G553" s="119" t="n"/>
      <c r="H553" s="123" t="n"/>
      <c r="I553" s="123" t="n"/>
      <c r="J553" s="125" t="n"/>
      <c r="K553" s="120" t="n"/>
    </row>
    <row r="554" ht="15" customHeight="1" s="72">
      <c r="A554" s="117" t="n"/>
      <c r="B554" s="117" t="n"/>
      <c r="C554" s="118" t="n"/>
      <c r="D554" s="118" t="n"/>
      <c r="E554" s="118" t="n"/>
      <c r="F554" s="123" t="n"/>
      <c r="G554" s="119" t="n"/>
      <c r="H554" s="123" t="n"/>
      <c r="I554" s="123" t="n"/>
      <c r="J554" s="125" t="n"/>
      <c r="K554" s="120" t="n"/>
    </row>
    <row r="555" ht="15" customHeight="1" s="72">
      <c r="A555" s="117" t="n"/>
      <c r="B555" s="117" t="n"/>
      <c r="C555" s="118" t="n"/>
      <c r="D555" s="118" t="n"/>
      <c r="E555" s="118" t="n"/>
      <c r="F555" s="123" t="n"/>
      <c r="G555" s="119" t="n"/>
      <c r="H555" s="123" t="n"/>
      <c r="I555" s="123" t="n"/>
      <c r="J555" s="125" t="n"/>
      <c r="K555" s="120" t="n"/>
    </row>
    <row r="556" ht="15" customHeight="1" s="72">
      <c r="A556" s="117" t="n"/>
      <c r="B556" s="117" t="n"/>
      <c r="C556" s="118" t="n"/>
      <c r="D556" s="118" t="n"/>
      <c r="E556" s="118" t="n"/>
      <c r="F556" s="123" t="n"/>
      <c r="G556" s="119" t="n"/>
      <c r="H556" s="123" t="n"/>
      <c r="I556" s="123" t="n"/>
      <c r="J556" s="125" t="n"/>
      <c r="K556" s="120" t="n"/>
    </row>
    <row r="557" ht="15" customHeight="1" s="72">
      <c r="A557" s="117" t="n"/>
      <c r="B557" s="117" t="n"/>
      <c r="C557" s="118" t="n"/>
      <c r="D557" s="118" t="n"/>
      <c r="E557" s="118" t="n"/>
      <c r="F557" s="123" t="n"/>
      <c r="G557" s="119" t="n"/>
      <c r="H557" s="123" t="n"/>
      <c r="I557" s="123" t="n"/>
      <c r="J557" s="125" t="n"/>
      <c r="K557" s="120" t="n"/>
    </row>
    <row r="558" ht="15" customHeight="1" s="72">
      <c r="A558" s="117" t="n"/>
      <c r="B558" s="117" t="n"/>
      <c r="C558" s="118" t="n"/>
      <c r="D558" s="118" t="n"/>
      <c r="E558" s="118" t="n"/>
      <c r="F558" s="123" t="n"/>
      <c r="G558" s="119" t="n"/>
      <c r="H558" s="123" t="n"/>
      <c r="I558" s="123" t="n"/>
      <c r="J558" s="125" t="n"/>
      <c r="K558" s="120" t="n"/>
    </row>
    <row r="559" ht="15" customHeight="1" s="72">
      <c r="A559" s="117" t="n"/>
      <c r="B559" s="117" t="n"/>
      <c r="C559" s="118" t="n"/>
      <c r="D559" s="118" t="n"/>
      <c r="E559" s="118" t="n"/>
      <c r="F559" s="123" t="n"/>
      <c r="G559" s="119" t="n"/>
      <c r="H559" s="123" t="n"/>
      <c r="I559" s="123" t="n"/>
      <c r="J559" s="125" t="n"/>
      <c r="K559" s="120" t="n"/>
    </row>
    <row r="560" ht="15" customHeight="1" s="72">
      <c r="A560" s="117" t="n"/>
      <c r="B560" s="117" t="n"/>
      <c r="C560" s="118" t="n"/>
      <c r="D560" s="118" t="n"/>
      <c r="E560" s="118" t="n"/>
      <c r="F560" s="123" t="n"/>
      <c r="G560" s="119" t="n"/>
      <c r="H560" s="123" t="n"/>
      <c r="I560" s="123" t="n"/>
      <c r="J560" s="125" t="n"/>
      <c r="K560" s="120" t="n"/>
    </row>
    <row r="561" ht="15" customHeight="1" s="72">
      <c r="A561" s="117" t="n"/>
      <c r="B561" s="117" t="n"/>
      <c r="C561" s="118" t="n"/>
      <c r="D561" s="118" t="n"/>
      <c r="E561" s="118" t="n"/>
      <c r="F561" s="123" t="n"/>
      <c r="G561" s="119" t="n"/>
      <c r="H561" s="123" t="n"/>
      <c r="I561" s="123" t="n"/>
      <c r="J561" s="125" t="n"/>
      <c r="K561" s="120" t="n"/>
    </row>
    <row r="562" ht="15" customHeight="1" s="72">
      <c r="A562" s="117" t="n"/>
      <c r="B562" s="117" t="n"/>
      <c r="C562" s="118" t="n"/>
      <c r="D562" s="118" t="n"/>
      <c r="E562" s="118" t="n"/>
      <c r="F562" s="123" t="n"/>
      <c r="G562" s="119" t="n"/>
      <c r="H562" s="123" t="n"/>
      <c r="I562" s="123" t="n"/>
      <c r="J562" s="125" t="n"/>
      <c r="K562" s="120" t="n"/>
    </row>
    <row r="563" ht="15" customHeight="1" s="72">
      <c r="A563" s="117" t="n"/>
      <c r="B563" s="117" t="n"/>
      <c r="C563" s="118" t="n"/>
      <c r="D563" s="118" t="n"/>
      <c r="E563" s="118" t="n"/>
      <c r="F563" s="123" t="n"/>
      <c r="G563" s="119" t="n"/>
      <c r="H563" s="123" t="n"/>
      <c r="I563" s="123" t="n"/>
      <c r="J563" s="125" t="n"/>
      <c r="K563" s="120" t="n"/>
    </row>
    <row r="564" ht="15" customHeight="1" s="72">
      <c r="A564" s="117" t="n"/>
      <c r="B564" s="117" t="n"/>
      <c r="C564" s="118" t="n"/>
      <c r="D564" s="118" t="n"/>
      <c r="E564" s="118" t="n"/>
      <c r="F564" s="123" t="n"/>
      <c r="G564" s="119" t="n"/>
      <c r="H564" s="123" t="n"/>
      <c r="I564" s="123" t="n"/>
      <c r="J564" s="125" t="n"/>
      <c r="K564" s="120" t="n"/>
    </row>
    <row r="565" ht="15" customHeight="1" s="72">
      <c r="A565" s="117" t="n"/>
      <c r="B565" s="117" t="n"/>
      <c r="C565" s="118" t="n"/>
      <c r="D565" s="118" t="n"/>
      <c r="E565" s="118" t="n"/>
      <c r="F565" s="123" t="n"/>
      <c r="G565" s="119" t="n"/>
      <c r="H565" s="123" t="n"/>
      <c r="I565" s="123" t="n"/>
      <c r="J565" s="125" t="n"/>
      <c r="K565" s="120" t="n"/>
    </row>
    <row r="566" ht="15" customHeight="1" s="72">
      <c r="A566" s="117" t="n"/>
      <c r="B566" s="117" t="n"/>
      <c r="C566" s="118" t="n"/>
      <c r="D566" s="118" t="n"/>
      <c r="E566" s="118" t="n"/>
      <c r="F566" s="123" t="n"/>
      <c r="G566" s="119" t="n"/>
      <c r="H566" s="123" t="n"/>
      <c r="I566" s="123" t="n"/>
      <c r="J566" s="125" t="n"/>
      <c r="K566" s="120" t="n"/>
    </row>
    <row r="567" ht="15" customHeight="1" s="72">
      <c r="A567" s="117" t="n"/>
      <c r="B567" s="117" t="n"/>
      <c r="C567" s="118" t="n"/>
      <c r="D567" s="118" t="n"/>
      <c r="E567" s="118" t="n"/>
      <c r="F567" s="123" t="n"/>
      <c r="G567" s="119" t="n"/>
      <c r="H567" s="123" t="n"/>
      <c r="I567" s="123" t="n"/>
      <c r="J567" s="125" t="n"/>
      <c r="K567" s="120" t="n"/>
    </row>
    <row r="568" ht="15" customHeight="1" s="72">
      <c r="A568" s="117" t="n"/>
      <c r="B568" s="117" t="n"/>
      <c r="C568" s="118" t="n"/>
      <c r="D568" s="118" t="n"/>
      <c r="E568" s="118" t="n"/>
      <c r="F568" s="123" t="n"/>
      <c r="G568" s="119" t="n"/>
      <c r="H568" s="123" t="n"/>
      <c r="I568" s="123" t="n"/>
      <c r="J568" s="125" t="n"/>
      <c r="K568" s="120" t="n"/>
    </row>
    <row r="569" ht="15" customHeight="1" s="72">
      <c r="A569" s="117" t="n"/>
      <c r="B569" s="117" t="n"/>
      <c r="C569" s="118" t="n"/>
      <c r="D569" s="118" t="n"/>
      <c r="E569" s="118" t="n"/>
      <c r="F569" s="123" t="n"/>
      <c r="G569" s="119" t="n"/>
      <c r="H569" s="123" t="n"/>
      <c r="I569" s="123" t="n"/>
      <c r="J569" s="125" t="n"/>
      <c r="K569" s="120" t="n"/>
    </row>
    <row r="570" ht="15" customHeight="1" s="72">
      <c r="A570" s="117" t="n"/>
      <c r="B570" s="117" t="n"/>
      <c r="C570" s="118" t="n"/>
      <c r="D570" s="118" t="n"/>
      <c r="E570" s="118" t="n"/>
      <c r="F570" s="123" t="n"/>
      <c r="G570" s="119" t="n"/>
      <c r="H570" s="123" t="n"/>
      <c r="I570" s="123" t="n"/>
      <c r="J570" s="125" t="n"/>
      <c r="K570" s="120" t="n"/>
    </row>
    <row r="571" ht="15" customHeight="1" s="72">
      <c r="A571" s="117" t="n"/>
      <c r="B571" s="117" t="n"/>
      <c r="C571" s="118" t="n"/>
      <c r="D571" s="118" t="n"/>
      <c r="E571" s="118" t="n"/>
      <c r="F571" s="123" t="n"/>
      <c r="G571" s="119" t="n"/>
      <c r="H571" s="123" t="n"/>
      <c r="I571" s="123" t="n"/>
      <c r="J571" s="125" t="n"/>
      <c r="K571" s="120" t="n"/>
    </row>
    <row r="572" ht="15" customHeight="1" s="72">
      <c r="A572" s="117" t="n"/>
      <c r="B572" s="117" t="n"/>
      <c r="C572" s="118" t="n"/>
      <c r="D572" s="118" t="n"/>
      <c r="E572" s="118" t="n"/>
      <c r="F572" s="123" t="n"/>
      <c r="G572" s="119" t="n"/>
      <c r="H572" s="123" t="n"/>
      <c r="I572" s="123" t="n"/>
      <c r="J572" s="125" t="n"/>
      <c r="K572" s="120" t="n"/>
    </row>
    <row r="573" ht="15" customHeight="1" s="72">
      <c r="A573" s="117" t="n"/>
      <c r="B573" s="117" t="n"/>
      <c r="C573" s="118" t="n"/>
      <c r="D573" s="118" t="n"/>
      <c r="E573" s="118" t="n"/>
      <c r="F573" s="123" t="n"/>
      <c r="G573" s="119" t="n"/>
      <c r="H573" s="123" t="n"/>
      <c r="I573" s="123" t="n"/>
      <c r="J573" s="125" t="n"/>
      <c r="K573" s="120" t="n"/>
    </row>
    <row r="574" ht="15" customHeight="1" s="72">
      <c r="A574" s="117" t="n"/>
      <c r="B574" s="117" t="n"/>
      <c r="C574" s="118" t="n"/>
      <c r="D574" s="118" t="n"/>
      <c r="E574" s="118" t="n"/>
      <c r="F574" s="123" t="n"/>
      <c r="G574" s="119" t="n"/>
      <c r="H574" s="123" t="n"/>
      <c r="I574" s="123" t="n"/>
      <c r="J574" s="125" t="n"/>
      <c r="K574" s="120" t="n"/>
    </row>
    <row r="575" ht="15" customHeight="1" s="72">
      <c r="A575" s="117" t="n"/>
      <c r="B575" s="117" t="n"/>
      <c r="C575" s="118" t="n"/>
      <c r="D575" s="118" t="n"/>
      <c r="E575" s="118" t="n"/>
      <c r="F575" s="123" t="n"/>
      <c r="G575" s="119" t="n"/>
      <c r="H575" s="123" t="n"/>
      <c r="I575" s="123" t="n"/>
      <c r="J575" s="125" t="n"/>
      <c r="K575" s="120" t="n"/>
    </row>
    <row r="576" ht="15" customHeight="1" s="72">
      <c r="A576" s="117" t="n"/>
      <c r="B576" s="117" t="n"/>
      <c r="C576" s="118" t="n"/>
      <c r="D576" s="118" t="n"/>
      <c r="E576" s="118" t="n"/>
      <c r="F576" s="123" t="n"/>
      <c r="G576" s="119" t="n"/>
      <c r="H576" s="123" t="n"/>
      <c r="I576" s="123" t="n"/>
      <c r="J576" s="125" t="n"/>
      <c r="K576" s="120" t="n"/>
    </row>
    <row r="577" ht="15" customHeight="1" s="72">
      <c r="A577" s="117" t="n"/>
      <c r="B577" s="117" t="n"/>
      <c r="C577" s="118" t="n"/>
      <c r="D577" s="118" t="n"/>
      <c r="E577" s="118" t="n"/>
      <c r="F577" s="123" t="n"/>
      <c r="G577" s="119" t="n"/>
      <c r="H577" s="123" t="n"/>
      <c r="I577" s="123" t="n"/>
      <c r="J577" s="125" t="n"/>
      <c r="K577" s="120" t="n"/>
    </row>
    <row r="578" ht="15" customHeight="1" s="72">
      <c r="A578" s="117" t="n"/>
      <c r="B578" s="117" t="n"/>
      <c r="C578" s="118" t="n"/>
      <c r="D578" s="118" t="n"/>
      <c r="E578" s="118" t="n"/>
      <c r="F578" s="123" t="n"/>
      <c r="G578" s="119" t="n"/>
      <c r="H578" s="123" t="n"/>
      <c r="I578" s="123" t="n"/>
      <c r="J578" s="125" t="n"/>
      <c r="K578" s="120" t="n"/>
    </row>
    <row r="579" ht="15" customHeight="1" s="72">
      <c r="A579" s="117" t="n"/>
      <c r="B579" s="117" t="n"/>
      <c r="C579" s="118" t="n"/>
      <c r="D579" s="118" t="n"/>
      <c r="E579" s="118" t="n"/>
      <c r="F579" s="123" t="n"/>
      <c r="G579" s="119" t="n"/>
      <c r="H579" s="123" t="n"/>
      <c r="I579" s="123" t="n"/>
      <c r="J579" s="125" t="n"/>
      <c r="K579" s="120" t="n"/>
    </row>
    <row r="580" ht="15" customHeight="1" s="72">
      <c r="A580" s="117" t="n"/>
      <c r="B580" s="117" t="n"/>
      <c r="C580" s="118" t="n"/>
      <c r="D580" s="118" t="n"/>
      <c r="E580" s="118" t="n"/>
      <c r="F580" s="123" t="n"/>
      <c r="G580" s="119" t="n"/>
      <c r="H580" s="123" t="n"/>
      <c r="I580" s="123" t="n"/>
      <c r="J580" s="125" t="n"/>
      <c r="K580" s="120" t="n"/>
    </row>
    <row r="581" ht="15" customHeight="1" s="72">
      <c r="A581" s="117" t="n"/>
      <c r="B581" s="117" t="n"/>
      <c r="C581" s="118" t="n"/>
      <c r="D581" s="118" t="n"/>
      <c r="E581" s="118" t="n"/>
      <c r="F581" s="123" t="n"/>
      <c r="G581" s="119" t="n"/>
      <c r="H581" s="123" t="n"/>
      <c r="I581" s="123" t="n"/>
      <c r="J581" s="125" t="n"/>
      <c r="K581" s="120" t="n"/>
    </row>
    <row r="582" ht="15" customHeight="1" s="72">
      <c r="A582" s="117" t="n"/>
      <c r="B582" s="117" t="n"/>
      <c r="C582" s="118" t="n"/>
      <c r="D582" s="118" t="n"/>
      <c r="E582" s="118" t="n"/>
      <c r="F582" s="123" t="n"/>
      <c r="G582" s="119" t="n"/>
      <c r="H582" s="123" t="n"/>
      <c r="I582" s="123" t="n"/>
      <c r="J582" s="125" t="n"/>
      <c r="K582" s="120" t="n"/>
    </row>
    <row r="583" ht="15" customHeight="1" s="72">
      <c r="A583" s="117" t="n"/>
      <c r="B583" s="117" t="n"/>
      <c r="C583" s="118" t="n"/>
      <c r="D583" s="118" t="n"/>
      <c r="E583" s="118" t="n"/>
      <c r="F583" s="123" t="n"/>
      <c r="G583" s="119" t="n"/>
      <c r="H583" s="123" t="n"/>
      <c r="I583" s="123" t="n"/>
      <c r="J583" s="125" t="n"/>
      <c r="K583" s="120" t="n"/>
    </row>
    <row r="584" ht="15" customHeight="1" s="72">
      <c r="A584" s="117" t="n"/>
      <c r="B584" s="117" t="n"/>
      <c r="C584" s="118" t="n"/>
      <c r="D584" s="118" t="n"/>
      <c r="E584" s="118" t="n"/>
      <c r="F584" s="123" t="n"/>
      <c r="G584" s="119" t="n"/>
      <c r="H584" s="123" t="n"/>
      <c r="I584" s="123" t="n"/>
      <c r="J584" s="125" t="n"/>
      <c r="K584" s="120" t="n"/>
    </row>
    <row r="585" ht="15" customHeight="1" s="72">
      <c r="A585" s="117" t="n"/>
      <c r="B585" s="117" t="n"/>
      <c r="C585" s="118" t="n"/>
      <c r="D585" s="118" t="n"/>
      <c r="E585" s="118" t="n"/>
      <c r="F585" s="123" t="n"/>
      <c r="G585" s="119" t="n"/>
      <c r="H585" s="123" t="n"/>
      <c r="I585" s="123" t="n"/>
      <c r="J585" s="125" t="n"/>
      <c r="K585" s="120" t="n"/>
    </row>
    <row r="586" ht="15" customHeight="1" s="72">
      <c r="A586" s="117" t="n"/>
      <c r="B586" s="117" t="n"/>
      <c r="C586" s="118" t="n"/>
      <c r="D586" s="118" t="n"/>
      <c r="E586" s="118" t="n"/>
      <c r="F586" s="123" t="n"/>
      <c r="G586" s="119" t="n"/>
      <c r="H586" s="123" t="n"/>
      <c r="I586" s="123" t="n"/>
      <c r="J586" s="125" t="n"/>
      <c r="K586" s="120" t="n"/>
    </row>
    <row r="587" ht="15" customHeight="1" s="72">
      <c r="A587" s="117" t="n"/>
      <c r="B587" s="117" t="n"/>
      <c r="C587" s="118" t="n"/>
      <c r="D587" s="118" t="n"/>
      <c r="E587" s="118" t="n"/>
      <c r="F587" s="123" t="n"/>
      <c r="G587" s="119" t="n"/>
      <c r="H587" s="123" t="n"/>
      <c r="I587" s="123" t="n"/>
      <c r="J587" s="125" t="n"/>
      <c r="K587" s="120" t="n"/>
    </row>
    <row r="588" ht="15" customHeight="1" s="72">
      <c r="A588" s="117" t="n"/>
      <c r="B588" s="117" t="n"/>
      <c r="C588" s="118" t="n"/>
      <c r="D588" s="118" t="n"/>
      <c r="E588" s="118" t="n"/>
      <c r="F588" s="123" t="n"/>
      <c r="G588" s="119" t="n"/>
      <c r="H588" s="123" t="n"/>
      <c r="I588" s="123" t="n"/>
      <c r="J588" s="125" t="n"/>
      <c r="K588" s="120" t="n"/>
    </row>
    <row r="589" ht="15" customHeight="1" s="72">
      <c r="A589" s="117" t="n"/>
      <c r="B589" s="117" t="n"/>
      <c r="C589" s="118" t="n"/>
      <c r="D589" s="118" t="n"/>
      <c r="E589" s="118" t="n"/>
      <c r="F589" s="123" t="n"/>
      <c r="G589" s="119" t="n"/>
      <c r="H589" s="123" t="n"/>
      <c r="I589" s="123" t="n"/>
      <c r="J589" s="125" t="n"/>
      <c r="K589" s="120" t="n"/>
    </row>
    <row r="590" ht="15" customHeight="1" s="72">
      <c r="A590" s="117" t="n"/>
      <c r="B590" s="117" t="n"/>
      <c r="C590" s="118" t="n"/>
      <c r="D590" s="118" t="n"/>
      <c r="E590" s="118" t="n"/>
      <c r="F590" s="123" t="n"/>
      <c r="G590" s="119" t="n"/>
      <c r="H590" s="123" t="n"/>
      <c r="I590" s="123" t="n"/>
      <c r="J590" s="125" t="n"/>
      <c r="K590" s="120" t="n"/>
    </row>
    <row r="591" ht="15" customHeight="1" s="72">
      <c r="A591" s="117" t="n"/>
      <c r="B591" s="117" t="n"/>
      <c r="C591" s="118" t="n"/>
      <c r="D591" s="118" t="n"/>
      <c r="E591" s="118" t="n"/>
      <c r="F591" s="123" t="n"/>
      <c r="G591" s="119" t="n"/>
      <c r="H591" s="123" t="n"/>
      <c r="I591" s="123" t="n"/>
      <c r="J591" s="125" t="n"/>
      <c r="K591" s="120" t="n"/>
    </row>
    <row r="592" ht="15" customHeight="1" s="72">
      <c r="A592" s="117" t="n"/>
      <c r="B592" s="117" t="n"/>
      <c r="C592" s="118" t="n"/>
      <c r="D592" s="118" t="n"/>
      <c r="E592" s="118" t="n"/>
      <c r="F592" s="123" t="n"/>
      <c r="G592" s="119" t="n"/>
      <c r="H592" s="123" t="n"/>
      <c r="I592" s="123" t="n"/>
      <c r="J592" s="125" t="n"/>
      <c r="K592" s="120" t="n"/>
    </row>
    <row r="593" ht="15" customHeight="1" s="72">
      <c r="A593" s="117" t="n"/>
      <c r="B593" s="117" t="n"/>
      <c r="C593" s="118" t="n"/>
      <c r="D593" s="118" t="n"/>
      <c r="E593" s="118" t="n"/>
      <c r="F593" s="123" t="n"/>
      <c r="G593" s="119" t="n"/>
      <c r="H593" s="123" t="n"/>
      <c r="I593" s="123" t="n"/>
      <c r="J593" s="125" t="n"/>
      <c r="K593" s="120" t="n"/>
    </row>
    <row r="594" ht="15" customHeight="1" s="72">
      <c r="A594" s="117" t="n"/>
      <c r="B594" s="117" t="n"/>
      <c r="C594" s="118" t="n"/>
      <c r="D594" s="118" t="n"/>
      <c r="E594" s="118" t="n"/>
      <c r="F594" s="123" t="n"/>
      <c r="G594" s="119" t="n"/>
      <c r="H594" s="123" t="n"/>
      <c r="I594" s="123" t="n"/>
      <c r="J594" s="125" t="n"/>
      <c r="K594" s="120" t="n"/>
    </row>
    <row r="595" ht="15" customHeight="1" s="72">
      <c r="A595" s="117" t="n"/>
      <c r="B595" s="117" t="n"/>
      <c r="C595" s="118" t="n"/>
      <c r="D595" s="118" t="n"/>
      <c r="E595" s="118" t="n"/>
      <c r="F595" s="123" t="n"/>
      <c r="G595" s="119" t="n"/>
      <c r="H595" s="123" t="n"/>
      <c r="I595" s="123" t="n"/>
      <c r="J595" s="125" t="n"/>
      <c r="K595" s="120" t="n"/>
    </row>
    <row r="596" ht="15" customHeight="1" s="72">
      <c r="A596" s="117" t="n"/>
      <c r="B596" s="117" t="n"/>
      <c r="C596" s="118" t="n"/>
      <c r="D596" s="118" t="n"/>
      <c r="E596" s="118" t="n"/>
      <c r="F596" s="123" t="n"/>
      <c r="G596" s="119" t="n"/>
      <c r="H596" s="123" t="n"/>
      <c r="I596" s="123" t="n"/>
      <c r="J596" s="125" t="n"/>
      <c r="K596" s="120" t="n"/>
    </row>
    <row r="597" ht="15" customHeight="1" s="72">
      <c r="A597" s="117" t="n"/>
      <c r="B597" s="117" t="n"/>
      <c r="C597" s="118" t="n"/>
      <c r="D597" s="118" t="n"/>
      <c r="E597" s="118" t="n"/>
      <c r="F597" s="123" t="n"/>
      <c r="G597" s="119" t="n"/>
      <c r="H597" s="123" t="n"/>
      <c r="I597" s="123" t="n"/>
      <c r="J597" s="125" t="n"/>
      <c r="K597" s="120" t="n"/>
    </row>
    <row r="598" ht="15" customHeight="1" s="72">
      <c r="A598" s="117" t="n"/>
      <c r="B598" s="117" t="n"/>
      <c r="C598" s="118" t="n"/>
      <c r="D598" s="118" t="n"/>
      <c r="E598" s="118" t="n"/>
      <c r="F598" s="123" t="n"/>
      <c r="G598" s="119" t="n"/>
      <c r="H598" s="123" t="n"/>
      <c r="I598" s="123" t="n"/>
      <c r="J598" s="125" t="n"/>
      <c r="K598" s="120" t="n"/>
    </row>
    <row r="599" ht="15" customHeight="1" s="72">
      <c r="A599" s="117" t="n"/>
      <c r="B599" s="117" t="n"/>
      <c r="C599" s="118" t="n"/>
      <c r="D599" s="118" t="n"/>
      <c r="E599" s="118" t="n"/>
      <c r="F599" s="123" t="n"/>
      <c r="G599" s="119" t="n"/>
      <c r="H599" s="123" t="n"/>
      <c r="I599" s="123" t="n"/>
      <c r="J599" s="125" t="n"/>
      <c r="K599" s="120" t="n"/>
    </row>
    <row r="600" ht="15" customHeight="1" s="72">
      <c r="A600" s="117" t="n"/>
      <c r="B600" s="117" t="n"/>
      <c r="C600" s="118" t="n"/>
      <c r="D600" s="118" t="n"/>
      <c r="E600" s="118" t="n"/>
      <c r="F600" s="123" t="n"/>
      <c r="G600" s="119" t="n"/>
      <c r="H600" s="123" t="n"/>
      <c r="I600" s="123" t="n"/>
      <c r="J600" s="125" t="n"/>
      <c r="K600" s="120" t="n"/>
    </row>
    <row r="601" ht="15" customHeight="1" s="72">
      <c r="A601" s="117" t="n"/>
      <c r="B601" s="117" t="n"/>
      <c r="C601" s="118" t="n"/>
      <c r="D601" s="118" t="n"/>
      <c r="E601" s="118" t="n"/>
      <c r="F601" s="123" t="n"/>
      <c r="G601" s="119" t="n"/>
      <c r="H601" s="123" t="n"/>
      <c r="I601" s="123" t="n"/>
      <c r="J601" s="125" t="n"/>
      <c r="K601" s="120" t="n"/>
    </row>
    <row r="602" ht="15" customHeight="1" s="72">
      <c r="A602" s="117" t="n"/>
      <c r="B602" s="117" t="n"/>
      <c r="C602" s="118" t="n"/>
      <c r="D602" s="118" t="n"/>
      <c r="E602" s="118" t="n"/>
      <c r="F602" s="123" t="n"/>
      <c r="G602" s="119" t="n"/>
      <c r="H602" s="123" t="n"/>
      <c r="I602" s="123" t="n"/>
      <c r="J602" s="125" t="n"/>
      <c r="K602" s="120" t="n"/>
    </row>
    <row r="603" ht="15" customHeight="1" s="72">
      <c r="A603" s="117" t="n"/>
      <c r="B603" s="117" t="n"/>
      <c r="C603" s="118" t="n"/>
      <c r="D603" s="118" t="n"/>
      <c r="E603" s="118" t="n"/>
      <c r="F603" s="123" t="n"/>
      <c r="G603" s="119" t="n"/>
      <c r="H603" s="123" t="n"/>
      <c r="I603" s="123" t="n"/>
      <c r="J603" s="125" t="n"/>
      <c r="K603" s="120" t="n"/>
    </row>
    <row r="604" ht="15" customHeight="1" s="72">
      <c r="A604" s="117" t="n"/>
      <c r="B604" s="117" t="n"/>
      <c r="C604" s="118" t="n"/>
      <c r="D604" s="118" t="n"/>
      <c r="E604" s="118" t="n"/>
      <c r="F604" s="123" t="n"/>
      <c r="G604" s="119" t="n"/>
      <c r="H604" s="123" t="n"/>
      <c r="I604" s="123" t="n"/>
      <c r="J604" s="125" t="n"/>
      <c r="K604" s="120" t="n"/>
    </row>
    <row r="605" ht="15" customHeight="1" s="72">
      <c r="A605" s="117" t="n"/>
      <c r="B605" s="117" t="n"/>
      <c r="C605" s="118" t="n"/>
      <c r="D605" s="118" t="n"/>
      <c r="E605" s="118" t="n"/>
      <c r="F605" s="123" t="n"/>
      <c r="G605" s="119" t="n"/>
      <c r="H605" s="123" t="n"/>
      <c r="I605" s="123" t="n"/>
      <c r="J605" s="125" t="n"/>
      <c r="K605" s="120" t="n"/>
    </row>
    <row r="606" ht="15" customHeight="1" s="72">
      <c r="A606" s="117" t="n"/>
      <c r="B606" s="117" t="n"/>
      <c r="C606" s="118" t="n"/>
      <c r="D606" s="118" t="n"/>
      <c r="E606" s="118" t="n"/>
      <c r="F606" s="123" t="n"/>
      <c r="G606" s="119" t="n"/>
      <c r="H606" s="123" t="n"/>
      <c r="I606" s="123" t="n"/>
      <c r="J606" s="125" t="n"/>
      <c r="K606" s="120" t="n"/>
    </row>
    <row r="607" ht="15" customHeight="1" s="72">
      <c r="A607" s="117" t="n"/>
      <c r="B607" s="117" t="n"/>
      <c r="C607" s="118" t="n"/>
      <c r="D607" s="118" t="n"/>
      <c r="E607" s="118" t="n"/>
      <c r="F607" s="123" t="n"/>
      <c r="G607" s="119" t="n"/>
      <c r="H607" s="123" t="n"/>
      <c r="I607" s="123" t="n"/>
      <c r="J607" s="125" t="n"/>
      <c r="K607" s="120" t="n"/>
    </row>
    <row r="608" ht="15" customHeight="1" s="72">
      <c r="A608" s="117" t="n"/>
      <c r="B608" s="117" t="n"/>
      <c r="C608" s="118" t="n"/>
      <c r="D608" s="118" t="n"/>
      <c r="E608" s="118" t="n"/>
      <c r="F608" s="123" t="n"/>
      <c r="G608" s="119" t="n"/>
      <c r="H608" s="123" t="n"/>
      <c r="I608" s="123" t="n"/>
      <c r="J608" s="125" t="n"/>
      <c r="K608" s="120" t="n"/>
    </row>
    <row r="609" ht="15" customHeight="1" s="72">
      <c r="A609" s="117" t="n"/>
      <c r="B609" s="117" t="n"/>
      <c r="C609" s="118" t="n"/>
      <c r="D609" s="118" t="n"/>
      <c r="E609" s="118" t="n"/>
      <c r="F609" s="123" t="n"/>
      <c r="G609" s="119" t="n"/>
      <c r="H609" s="123" t="n"/>
      <c r="I609" s="123" t="n"/>
      <c r="J609" s="125" t="n"/>
      <c r="K609" s="120" t="n"/>
    </row>
    <row r="610" ht="15" customHeight="1" s="72">
      <c r="A610" s="117" t="n"/>
      <c r="B610" s="117" t="n"/>
      <c r="C610" s="118" t="n"/>
      <c r="D610" s="118" t="n"/>
      <c r="E610" s="118" t="n"/>
      <c r="F610" s="123" t="n"/>
      <c r="G610" s="119" t="n"/>
      <c r="H610" s="123" t="n"/>
      <c r="I610" s="123" t="n"/>
      <c r="J610" s="125" t="n"/>
      <c r="K610" s="120" t="n"/>
    </row>
    <row r="611" ht="15" customHeight="1" s="72">
      <c r="A611" s="117" t="n"/>
      <c r="B611" s="117" t="n"/>
      <c r="C611" s="118" t="n"/>
      <c r="D611" s="118" t="n"/>
      <c r="E611" s="118" t="n"/>
      <c r="F611" s="123" t="n"/>
      <c r="G611" s="119" t="n"/>
      <c r="H611" s="123" t="n"/>
      <c r="I611" s="123" t="n"/>
      <c r="J611" s="125" t="n"/>
      <c r="K611" s="120" t="n"/>
    </row>
    <row r="612" ht="15" customHeight="1" s="72">
      <c r="A612" s="117" t="n"/>
      <c r="B612" s="117" t="n"/>
      <c r="C612" s="118" t="n"/>
      <c r="D612" s="118" t="n"/>
      <c r="E612" s="118" t="n"/>
      <c r="F612" s="123" t="n"/>
      <c r="G612" s="119" t="n"/>
      <c r="H612" s="123" t="n"/>
      <c r="I612" s="123" t="n"/>
      <c r="J612" s="125" t="n"/>
      <c r="K612" s="120" t="n"/>
    </row>
    <row r="613" ht="15" customHeight="1" s="72">
      <c r="A613" s="117" t="n"/>
      <c r="B613" s="117" t="n"/>
      <c r="C613" s="118" t="n"/>
      <c r="D613" s="118" t="n"/>
      <c r="E613" s="118" t="n"/>
      <c r="F613" s="123" t="n"/>
      <c r="G613" s="119" t="n"/>
      <c r="H613" s="123" t="n"/>
      <c r="I613" s="123" t="n"/>
      <c r="J613" s="125" t="n"/>
      <c r="K613" s="120" t="n"/>
    </row>
    <row r="614" ht="15" customHeight="1" s="72">
      <c r="A614" s="117" t="n"/>
      <c r="B614" s="117" t="n"/>
      <c r="C614" s="118" t="n"/>
      <c r="D614" s="118" t="n"/>
      <c r="E614" s="118" t="n"/>
      <c r="F614" s="123" t="n"/>
      <c r="G614" s="119" t="n"/>
      <c r="H614" s="123" t="n"/>
      <c r="I614" s="123" t="n"/>
      <c r="J614" s="125" t="n"/>
      <c r="K614" s="120" t="n"/>
    </row>
    <row r="615" ht="15" customHeight="1" s="72">
      <c r="A615" s="117" t="n"/>
      <c r="B615" s="117" t="n"/>
      <c r="C615" s="118" t="n"/>
      <c r="D615" s="118" t="n"/>
      <c r="E615" s="118" t="n"/>
      <c r="F615" s="123" t="n"/>
      <c r="G615" s="119" t="n"/>
      <c r="H615" s="123" t="n"/>
      <c r="I615" s="123" t="n"/>
      <c r="J615" s="125" t="n"/>
      <c r="K615" s="120" t="n"/>
    </row>
    <row r="616" ht="15" customHeight="1" s="72">
      <c r="A616" s="117" t="n"/>
      <c r="B616" s="117" t="n"/>
      <c r="C616" s="118" t="n"/>
      <c r="D616" s="118" t="n"/>
      <c r="E616" s="118" t="n"/>
      <c r="F616" s="123" t="n"/>
      <c r="G616" s="119" t="n"/>
      <c r="H616" s="123" t="n"/>
      <c r="I616" s="123" t="n"/>
      <c r="J616" s="125" t="n"/>
      <c r="K616" s="120" t="n"/>
    </row>
    <row r="617" ht="15" customHeight="1" s="72">
      <c r="A617" s="117" t="n"/>
      <c r="B617" s="117" t="n"/>
      <c r="C617" s="118" t="n"/>
      <c r="D617" s="118" t="n"/>
      <c r="E617" s="118" t="n"/>
      <c r="F617" s="123" t="n"/>
      <c r="G617" s="119" t="n"/>
      <c r="H617" s="123" t="n"/>
      <c r="I617" s="123" t="n"/>
      <c r="J617" s="125" t="n"/>
      <c r="K617" s="120" t="n"/>
    </row>
    <row r="618" ht="15" customHeight="1" s="72">
      <c r="A618" s="117" t="n"/>
      <c r="B618" s="117" t="n"/>
      <c r="C618" s="118" t="n"/>
      <c r="D618" s="118" t="n"/>
      <c r="E618" s="118" t="n"/>
      <c r="F618" s="123" t="n"/>
      <c r="G618" s="119" t="n"/>
      <c r="H618" s="123" t="n"/>
      <c r="I618" s="123" t="n"/>
      <c r="J618" s="125" t="n"/>
      <c r="K618" s="120" t="n"/>
    </row>
    <row r="619" ht="15" customHeight="1" s="72">
      <c r="A619" s="117" t="n"/>
      <c r="B619" s="117" t="n"/>
      <c r="C619" s="118" t="n"/>
      <c r="D619" s="118" t="n"/>
      <c r="E619" s="118" t="n"/>
      <c r="F619" s="123" t="n"/>
      <c r="G619" s="119" t="n"/>
      <c r="H619" s="123" t="n"/>
      <c r="I619" s="123" t="n"/>
      <c r="J619" s="125" t="n"/>
      <c r="K619" s="120" t="n"/>
    </row>
    <row r="620" ht="15" customHeight="1" s="72">
      <c r="A620" s="117" t="n"/>
      <c r="B620" s="117" t="n"/>
      <c r="C620" s="118" t="n"/>
      <c r="D620" s="118" t="n"/>
      <c r="E620" s="118" t="n"/>
      <c r="F620" s="123" t="n"/>
      <c r="G620" s="119" t="n"/>
      <c r="H620" s="123" t="n"/>
      <c r="I620" s="123" t="n"/>
      <c r="J620" s="125" t="n"/>
      <c r="K620" s="120" t="n"/>
    </row>
    <row r="621" ht="15" customHeight="1" s="72">
      <c r="A621" s="117" t="n"/>
      <c r="B621" s="117" t="n"/>
      <c r="C621" s="118" t="n"/>
      <c r="D621" s="118" t="n"/>
      <c r="E621" s="118" t="n"/>
      <c r="F621" s="123" t="n"/>
      <c r="G621" s="119" t="n"/>
      <c r="H621" s="123" t="n"/>
      <c r="I621" s="123" t="n"/>
      <c r="J621" s="125" t="n"/>
      <c r="K621" s="120" t="n"/>
    </row>
    <row r="622" ht="15" customHeight="1" s="72">
      <c r="A622" s="117" t="n"/>
      <c r="B622" s="117" t="n"/>
      <c r="C622" s="118" t="n"/>
      <c r="D622" s="118" t="n"/>
      <c r="E622" s="118" t="n"/>
      <c r="F622" s="123" t="n"/>
      <c r="G622" s="119" t="n"/>
      <c r="H622" s="123" t="n"/>
      <c r="I622" s="123" t="n"/>
      <c r="J622" s="125" t="n"/>
      <c r="K622" s="120" t="n"/>
    </row>
    <row r="623" ht="15" customHeight="1" s="72">
      <c r="A623" s="117" t="n"/>
      <c r="B623" s="117" t="n"/>
      <c r="C623" s="118" t="n"/>
      <c r="D623" s="118" t="n"/>
      <c r="E623" s="118" t="n"/>
      <c r="F623" s="123" t="n"/>
      <c r="G623" s="119" t="n"/>
      <c r="H623" s="123" t="n"/>
      <c r="I623" s="123" t="n"/>
      <c r="J623" s="125" t="n"/>
      <c r="K623" s="120" t="n"/>
    </row>
    <row r="624" ht="15" customHeight="1" s="72">
      <c r="A624" s="117" t="n"/>
      <c r="B624" s="117" t="n"/>
      <c r="C624" s="118" t="n"/>
      <c r="D624" s="118" t="n"/>
      <c r="E624" s="118" t="n"/>
      <c r="F624" s="123" t="n"/>
      <c r="G624" s="119" t="n"/>
      <c r="H624" s="123" t="n"/>
      <c r="I624" s="123" t="n"/>
      <c r="J624" s="125" t="n"/>
      <c r="K624" s="120" t="n"/>
    </row>
    <row r="625" ht="15" customHeight="1" s="72">
      <c r="A625" s="117" t="n"/>
      <c r="B625" s="117" t="n"/>
      <c r="C625" s="118" t="n"/>
      <c r="D625" s="118" t="n"/>
      <c r="E625" s="118" t="n"/>
      <c r="F625" s="123" t="n"/>
      <c r="G625" s="119" t="n"/>
      <c r="H625" s="123" t="n"/>
      <c r="I625" s="123" t="n"/>
      <c r="J625" s="125" t="n"/>
      <c r="K625" s="120" t="n"/>
    </row>
    <row r="626" ht="15" customHeight="1" s="72">
      <c r="A626" s="117" t="n"/>
      <c r="B626" s="117" t="n"/>
      <c r="C626" s="118" t="n"/>
      <c r="D626" s="118" t="n"/>
      <c r="E626" s="118" t="n"/>
      <c r="F626" s="123" t="n"/>
      <c r="G626" s="119" t="n"/>
      <c r="H626" s="123" t="n"/>
      <c r="I626" s="123" t="n"/>
      <c r="J626" s="125" t="n"/>
      <c r="K626" s="120" t="n"/>
    </row>
    <row r="627" ht="15" customHeight="1" s="72">
      <c r="A627" s="117" t="n"/>
      <c r="B627" s="117" t="n"/>
      <c r="C627" s="118" t="n"/>
      <c r="D627" s="118" t="n"/>
      <c r="E627" s="118" t="n"/>
      <c r="F627" s="123" t="n"/>
      <c r="G627" s="119" t="n"/>
      <c r="H627" s="123" t="n"/>
      <c r="I627" s="123" t="n"/>
      <c r="J627" s="125" t="n"/>
      <c r="K627" s="120" t="n"/>
    </row>
    <row r="628" ht="15" customHeight="1" s="72">
      <c r="A628" s="117" t="n"/>
      <c r="B628" s="117" t="n"/>
      <c r="C628" s="118" t="n"/>
      <c r="D628" s="118" t="n"/>
      <c r="E628" s="118" t="n"/>
      <c r="F628" s="123" t="n"/>
      <c r="G628" s="119" t="n"/>
      <c r="H628" s="123" t="n"/>
      <c r="I628" s="123" t="n"/>
      <c r="J628" s="125" t="n"/>
      <c r="K628" s="120" t="n"/>
    </row>
    <row r="629" ht="15" customHeight="1" s="72">
      <c r="A629" s="117" t="n"/>
      <c r="B629" s="117" t="n"/>
      <c r="C629" s="118" t="n"/>
      <c r="D629" s="118" t="n"/>
      <c r="E629" s="118" t="n"/>
      <c r="F629" s="123" t="n"/>
      <c r="G629" s="119" t="n"/>
      <c r="H629" s="123" t="n"/>
      <c r="I629" s="123" t="n"/>
      <c r="J629" s="125" t="n"/>
      <c r="K629" s="120" t="n"/>
    </row>
    <row r="630" ht="15" customHeight="1" s="72">
      <c r="A630" s="117" t="n"/>
      <c r="B630" s="117" t="n"/>
      <c r="C630" s="118" t="n"/>
      <c r="D630" s="118" t="n"/>
      <c r="E630" s="118" t="n"/>
      <c r="F630" s="123" t="n"/>
      <c r="G630" s="119" t="n"/>
      <c r="H630" s="123" t="n"/>
      <c r="I630" s="123" t="n"/>
      <c r="J630" s="125" t="n"/>
      <c r="K630" s="120" t="n"/>
    </row>
    <row r="631" ht="15" customHeight="1" s="72">
      <c r="A631" s="117" t="n"/>
      <c r="B631" s="117" t="n"/>
      <c r="C631" s="118" t="n"/>
      <c r="D631" s="118" t="n"/>
      <c r="E631" s="118" t="n"/>
      <c r="F631" s="123" t="n"/>
      <c r="G631" s="119" t="n"/>
      <c r="H631" s="123" t="n"/>
      <c r="I631" s="123" t="n"/>
      <c r="J631" s="125" t="n"/>
      <c r="K631" s="120" t="n"/>
    </row>
    <row r="632" ht="15" customHeight="1" s="72">
      <c r="A632" s="117" t="n"/>
      <c r="B632" s="117" t="n"/>
      <c r="C632" s="118" t="n"/>
      <c r="D632" s="118" t="n"/>
      <c r="E632" s="118" t="n"/>
      <c r="F632" s="123" t="n"/>
      <c r="G632" s="119" t="n"/>
      <c r="H632" s="123" t="n"/>
      <c r="I632" s="123" t="n"/>
      <c r="J632" s="125" t="n"/>
      <c r="K632" s="120" t="n"/>
    </row>
    <row r="633" ht="15" customHeight="1" s="72">
      <c r="A633" s="117" t="n"/>
      <c r="B633" s="117" t="n"/>
      <c r="C633" s="118" t="n"/>
      <c r="D633" s="118" t="n"/>
      <c r="E633" s="118" t="n"/>
      <c r="F633" s="123" t="n"/>
      <c r="G633" s="119" t="n"/>
      <c r="H633" s="123" t="n"/>
      <c r="I633" s="123" t="n"/>
      <c r="J633" s="125" t="n"/>
      <c r="K633" s="120" t="n"/>
    </row>
    <row r="634" ht="15" customHeight="1" s="72">
      <c r="A634" s="117" t="n"/>
      <c r="B634" s="117" t="n"/>
      <c r="C634" s="118" t="n"/>
      <c r="D634" s="118" t="n"/>
      <c r="E634" s="118" t="n"/>
      <c r="F634" s="123" t="n"/>
      <c r="G634" s="119" t="n"/>
      <c r="H634" s="123" t="n"/>
      <c r="I634" s="123" t="n"/>
      <c r="J634" s="125" t="n"/>
      <c r="K634" s="120" t="n"/>
    </row>
    <row r="635" ht="15" customHeight="1" s="72">
      <c r="A635" s="117" t="n"/>
      <c r="B635" s="117" t="n"/>
      <c r="C635" s="118" t="n"/>
      <c r="D635" s="118" t="n"/>
      <c r="E635" s="118" t="n"/>
      <c r="F635" s="123" t="n"/>
      <c r="G635" s="119" t="n"/>
      <c r="H635" s="123" t="n"/>
      <c r="I635" s="123" t="n"/>
      <c r="J635" s="125" t="n"/>
      <c r="K635" s="120" t="n"/>
    </row>
    <row r="636" ht="15" customHeight="1" s="72">
      <c r="A636" s="117" t="n"/>
      <c r="B636" s="117" t="n"/>
      <c r="C636" s="118" t="n"/>
      <c r="D636" s="118" t="n"/>
      <c r="E636" s="118" t="n"/>
      <c r="F636" s="123" t="n"/>
      <c r="G636" s="119" t="n"/>
      <c r="H636" s="123" t="n"/>
      <c r="I636" s="123" t="n"/>
      <c r="J636" s="125" t="n"/>
      <c r="K636" s="120" t="n"/>
    </row>
    <row r="637" ht="15" customHeight="1" s="72">
      <c r="A637" s="117" t="n"/>
      <c r="B637" s="117" t="n"/>
      <c r="C637" s="118" t="n"/>
      <c r="D637" s="118" t="n"/>
      <c r="E637" s="118" t="n"/>
      <c r="F637" s="123" t="n"/>
      <c r="G637" s="119" t="n"/>
      <c r="H637" s="123" t="n"/>
      <c r="I637" s="123" t="n"/>
      <c r="J637" s="125" t="n"/>
      <c r="K637" s="120" t="n"/>
    </row>
    <row r="638" ht="15" customHeight="1" s="72">
      <c r="A638" s="117" t="n"/>
      <c r="B638" s="117" t="n"/>
      <c r="C638" s="118" t="n"/>
      <c r="D638" s="118" t="n"/>
      <c r="E638" s="118" t="n"/>
      <c r="F638" s="123" t="n"/>
      <c r="G638" s="119" t="n"/>
      <c r="H638" s="123" t="n"/>
      <c r="I638" s="123" t="n"/>
      <c r="J638" s="125" t="n"/>
      <c r="K638" s="120" t="n"/>
    </row>
    <row r="639" ht="15" customHeight="1" s="72">
      <c r="A639" s="117" t="n"/>
      <c r="B639" s="117" t="n"/>
      <c r="C639" s="118" t="n"/>
      <c r="D639" s="118" t="n"/>
      <c r="E639" s="118" t="n"/>
      <c r="F639" s="123" t="n"/>
      <c r="G639" s="119" t="n"/>
      <c r="H639" s="123" t="n"/>
      <c r="I639" s="123" t="n"/>
      <c r="J639" s="125" t="n"/>
      <c r="K639" s="120" t="n"/>
    </row>
    <row r="640" ht="15" customHeight="1" s="72">
      <c r="A640" s="117" t="n"/>
      <c r="B640" s="117" t="n"/>
      <c r="C640" s="118" t="n"/>
      <c r="D640" s="118" t="n"/>
      <c r="E640" s="118" t="n"/>
      <c r="F640" s="123" t="n"/>
      <c r="G640" s="119" t="n"/>
      <c r="H640" s="123" t="n"/>
      <c r="I640" s="123" t="n"/>
      <c r="J640" s="125" t="n"/>
      <c r="K640" s="120" t="n"/>
    </row>
    <row r="641" ht="15" customHeight="1" s="72">
      <c r="A641" s="117" t="n"/>
      <c r="B641" s="117" t="n"/>
      <c r="C641" s="118" t="n"/>
      <c r="D641" s="118" t="n"/>
      <c r="E641" s="118" t="n"/>
      <c r="F641" s="123" t="n"/>
      <c r="G641" s="119" t="n"/>
      <c r="H641" s="123" t="n"/>
      <c r="I641" s="123" t="n"/>
      <c r="J641" s="125" t="n"/>
      <c r="K641" s="120" t="n"/>
    </row>
    <row r="642" ht="15" customHeight="1" s="72">
      <c r="A642" s="117" t="n"/>
      <c r="B642" s="117" t="n"/>
      <c r="C642" s="118" t="n"/>
      <c r="D642" s="118" t="n"/>
      <c r="E642" s="118" t="n"/>
      <c r="F642" s="123" t="n"/>
      <c r="G642" s="119" t="n"/>
      <c r="H642" s="123" t="n"/>
      <c r="I642" s="123" t="n"/>
      <c r="J642" s="125" t="n"/>
      <c r="K642" s="120" t="n"/>
    </row>
    <row r="643" ht="15" customHeight="1" s="72">
      <c r="A643" s="117" t="n"/>
      <c r="B643" s="117" t="n"/>
      <c r="C643" s="118" t="n"/>
      <c r="D643" s="118" t="n"/>
      <c r="E643" s="118" t="n"/>
      <c r="F643" s="123" t="n"/>
      <c r="G643" s="119" t="n"/>
      <c r="H643" s="123" t="n"/>
      <c r="I643" s="123" t="n"/>
      <c r="J643" s="125" t="n"/>
      <c r="K643" s="120" t="n"/>
    </row>
    <row r="644" ht="15" customHeight="1" s="72">
      <c r="A644" s="117" t="n"/>
      <c r="B644" s="117" t="n"/>
      <c r="C644" s="118" t="n"/>
      <c r="D644" s="118" t="n"/>
      <c r="E644" s="118" t="n"/>
      <c r="F644" s="123" t="n"/>
      <c r="G644" s="119" t="n"/>
      <c r="H644" s="123" t="n"/>
      <c r="I644" s="123" t="n"/>
      <c r="J644" s="125" t="n"/>
      <c r="K644" s="120" t="n"/>
    </row>
    <row r="645" ht="15" customHeight="1" s="72">
      <c r="A645" s="117" t="n"/>
      <c r="B645" s="117" t="n"/>
      <c r="C645" s="118" t="n"/>
      <c r="D645" s="118" t="n"/>
      <c r="E645" s="118" t="n"/>
      <c r="F645" s="123" t="n"/>
      <c r="G645" s="119" t="n"/>
      <c r="H645" s="123" t="n"/>
      <c r="I645" s="123" t="n"/>
      <c r="J645" s="125" t="n"/>
      <c r="K645" s="120" t="n"/>
    </row>
    <row r="646" ht="15" customHeight="1" s="72">
      <c r="A646" s="117" t="n"/>
      <c r="B646" s="117" t="n"/>
      <c r="C646" s="118" t="n"/>
      <c r="D646" s="118" t="n"/>
      <c r="E646" s="118" t="n"/>
      <c r="F646" s="123" t="n"/>
      <c r="G646" s="119" t="n"/>
      <c r="H646" s="123" t="n"/>
      <c r="I646" s="123" t="n"/>
      <c r="J646" s="125" t="n"/>
      <c r="K646" s="120" t="n"/>
    </row>
    <row r="647" ht="15" customHeight="1" s="72">
      <c r="A647" s="117" t="n"/>
      <c r="B647" s="117" t="n"/>
      <c r="C647" s="118" t="n"/>
      <c r="D647" s="118" t="n"/>
      <c r="E647" s="118" t="n"/>
      <c r="F647" s="123" t="n"/>
      <c r="G647" s="119" t="n"/>
      <c r="H647" s="123" t="n"/>
      <c r="I647" s="123" t="n"/>
      <c r="J647" s="125" t="n"/>
      <c r="K647" s="120" t="n"/>
    </row>
    <row r="648" ht="15" customHeight="1" s="72">
      <c r="A648" s="117" t="n"/>
      <c r="B648" s="117" t="n"/>
      <c r="C648" s="118" t="n"/>
      <c r="D648" s="118" t="n"/>
      <c r="E648" s="118" t="n"/>
      <c r="F648" s="123" t="n"/>
      <c r="G648" s="119" t="n"/>
      <c r="H648" s="123" t="n"/>
      <c r="I648" s="123" t="n"/>
      <c r="J648" s="125" t="n"/>
      <c r="K648" s="120" t="n"/>
    </row>
    <row r="649" ht="15" customHeight="1" s="72">
      <c r="A649" s="117" t="n"/>
      <c r="B649" s="117" t="n"/>
      <c r="C649" s="118" t="n"/>
      <c r="D649" s="118" t="n"/>
      <c r="E649" s="118" t="n"/>
      <c r="F649" s="123" t="n"/>
      <c r="G649" s="119" t="n"/>
      <c r="H649" s="123" t="n"/>
      <c r="I649" s="123" t="n"/>
      <c r="J649" s="125" t="n"/>
      <c r="K649" s="120" t="n"/>
    </row>
    <row r="650" ht="15" customHeight="1" s="72">
      <c r="A650" s="117" t="n"/>
      <c r="B650" s="117" t="n"/>
      <c r="C650" s="118" t="n"/>
      <c r="D650" s="118" t="n"/>
      <c r="E650" s="118" t="n"/>
      <c r="F650" s="123" t="n"/>
      <c r="G650" s="119" t="n"/>
      <c r="H650" s="123" t="n"/>
      <c r="I650" s="123" t="n"/>
      <c r="J650" s="125" t="n"/>
      <c r="K650" s="120" t="n"/>
    </row>
    <row r="651" ht="15" customHeight="1" s="72">
      <c r="A651" s="117" t="n"/>
      <c r="B651" s="117" t="n"/>
      <c r="C651" s="118" t="n"/>
      <c r="D651" s="118" t="n"/>
      <c r="E651" s="118" t="n"/>
      <c r="F651" s="123" t="n"/>
      <c r="G651" s="119" t="n"/>
      <c r="H651" s="123" t="n"/>
      <c r="I651" s="123" t="n"/>
      <c r="J651" s="125" t="n"/>
      <c r="K651" s="120" t="n"/>
    </row>
    <row r="652" ht="15" customHeight="1" s="72">
      <c r="A652" s="117" t="n"/>
      <c r="B652" s="117" t="n"/>
      <c r="C652" s="118" t="n"/>
      <c r="D652" s="118" t="n"/>
      <c r="E652" s="118" t="n"/>
      <c r="F652" s="123" t="n"/>
      <c r="G652" s="119" t="n"/>
      <c r="H652" s="123" t="n"/>
      <c r="I652" s="123" t="n"/>
      <c r="J652" s="125" t="n"/>
      <c r="K652" s="120" t="n"/>
    </row>
    <row r="653" ht="15" customHeight="1" s="72">
      <c r="A653" s="117" t="n"/>
      <c r="B653" s="117" t="n"/>
      <c r="C653" s="118" t="n"/>
      <c r="D653" s="118" t="n"/>
      <c r="E653" s="118" t="n"/>
      <c r="F653" s="123" t="n"/>
      <c r="G653" s="119" t="n"/>
      <c r="H653" s="123" t="n"/>
      <c r="I653" s="123" t="n"/>
      <c r="J653" s="125" t="n"/>
      <c r="K653" s="120" t="n"/>
    </row>
    <row r="654" ht="15" customHeight="1" s="72">
      <c r="A654" s="117" t="n"/>
      <c r="B654" s="117" t="n"/>
      <c r="C654" s="118" t="n"/>
      <c r="D654" s="118" t="n"/>
      <c r="E654" s="118" t="n"/>
      <c r="F654" s="123" t="n"/>
      <c r="G654" s="119" t="n"/>
      <c r="H654" s="123" t="n"/>
      <c r="I654" s="123" t="n"/>
      <c r="J654" s="125" t="n"/>
      <c r="K654" s="120" t="n"/>
    </row>
    <row r="655" ht="15" customHeight="1" s="72">
      <c r="A655" s="117" t="n"/>
      <c r="B655" s="117" t="n"/>
      <c r="C655" s="118" t="n"/>
      <c r="D655" s="118" t="n"/>
      <c r="E655" s="118" t="n"/>
      <c r="F655" s="123" t="n"/>
      <c r="G655" s="119" t="n"/>
      <c r="H655" s="123" t="n"/>
      <c r="I655" s="123" t="n"/>
      <c r="J655" s="125" t="n"/>
      <c r="K655" s="120" t="n"/>
    </row>
    <row r="656" ht="15" customHeight="1" s="72">
      <c r="A656" s="117" t="n"/>
      <c r="B656" s="117" t="n"/>
      <c r="C656" s="118" t="n"/>
      <c r="D656" s="118" t="n"/>
      <c r="E656" s="118" t="n"/>
      <c r="F656" s="123" t="n"/>
      <c r="G656" s="119" t="n"/>
      <c r="H656" s="123" t="n"/>
      <c r="I656" s="123" t="n"/>
      <c r="J656" s="125" t="n"/>
      <c r="K656" s="120" t="n"/>
    </row>
    <row r="657" ht="15" customHeight="1" s="72">
      <c r="A657" s="117" t="n"/>
      <c r="B657" s="117" t="n"/>
      <c r="C657" s="118" t="n"/>
      <c r="D657" s="118" t="n"/>
      <c r="E657" s="118" t="n"/>
      <c r="F657" s="123" t="n"/>
      <c r="G657" s="119" t="n"/>
      <c r="H657" s="123" t="n"/>
      <c r="I657" s="123" t="n"/>
      <c r="J657" s="125" t="n"/>
      <c r="K657" s="120" t="n"/>
    </row>
    <row r="658" ht="15" customHeight="1" s="72">
      <c r="A658" s="117" t="n"/>
      <c r="B658" s="117" t="n"/>
      <c r="C658" s="118" t="n"/>
      <c r="D658" s="118" t="n"/>
      <c r="E658" s="118" t="n"/>
      <c r="F658" s="123" t="n"/>
      <c r="G658" s="119" t="n"/>
      <c r="H658" s="123" t="n"/>
      <c r="I658" s="123" t="n"/>
      <c r="J658" s="125" t="n"/>
      <c r="K658" s="120" t="n"/>
    </row>
    <row r="659" ht="15" customHeight="1" s="72">
      <c r="A659" s="117" t="n"/>
      <c r="B659" s="117" t="n"/>
      <c r="C659" s="118" t="n"/>
      <c r="D659" s="118" t="n"/>
      <c r="E659" s="118" t="n"/>
      <c r="F659" s="123" t="n"/>
      <c r="G659" s="119" t="n"/>
      <c r="H659" s="123" t="n"/>
      <c r="I659" s="123" t="n"/>
      <c r="J659" s="125" t="n"/>
      <c r="K659" s="120" t="n"/>
    </row>
    <row r="660" ht="15" customHeight="1" s="72">
      <c r="A660" s="117" t="n"/>
      <c r="B660" s="117" t="n"/>
      <c r="C660" s="118" t="n"/>
      <c r="D660" s="118" t="n"/>
      <c r="E660" s="118" t="n"/>
      <c r="F660" s="123" t="n"/>
      <c r="G660" s="119" t="n"/>
      <c r="H660" s="123" t="n"/>
      <c r="I660" s="123" t="n"/>
      <c r="J660" s="125" t="n"/>
      <c r="K660" s="120" t="n"/>
    </row>
    <row r="661" ht="15" customHeight="1" s="72">
      <c r="A661" s="117" t="n"/>
      <c r="B661" s="117" t="n"/>
      <c r="C661" s="118" t="n"/>
      <c r="D661" s="118" t="n"/>
      <c r="E661" s="118" t="n"/>
      <c r="F661" s="123" t="n"/>
      <c r="G661" s="119" t="n"/>
      <c r="H661" s="123" t="n"/>
      <c r="I661" s="123" t="n"/>
      <c r="J661" s="125" t="n"/>
      <c r="K661" s="120" t="n"/>
    </row>
    <row r="662" ht="15" customHeight="1" s="72">
      <c r="A662" s="117" t="n"/>
      <c r="B662" s="117" t="n"/>
      <c r="C662" s="118" t="n"/>
      <c r="D662" s="118" t="n"/>
      <c r="E662" s="118" t="n"/>
      <c r="F662" s="123" t="n"/>
      <c r="G662" s="119" t="n"/>
      <c r="H662" s="123" t="n"/>
      <c r="I662" s="123" t="n"/>
      <c r="J662" s="125" t="n"/>
      <c r="K662" s="120" t="n"/>
    </row>
    <row r="663" ht="15" customHeight="1" s="72">
      <c r="A663" s="117" t="n"/>
      <c r="B663" s="117" t="n"/>
      <c r="C663" s="118" t="n"/>
      <c r="D663" s="118" t="n"/>
      <c r="E663" s="118" t="n"/>
      <c r="F663" s="123" t="n"/>
      <c r="G663" s="119" t="n"/>
      <c r="H663" s="123" t="n"/>
      <c r="I663" s="123" t="n"/>
      <c r="J663" s="125" t="n"/>
      <c r="K663" s="120" t="n"/>
    </row>
    <row r="664" ht="15" customHeight="1" s="72">
      <c r="A664" s="117" t="n"/>
      <c r="B664" s="117" t="n"/>
      <c r="C664" s="118" t="n"/>
      <c r="D664" s="118" t="n"/>
      <c r="E664" s="118" t="n"/>
      <c r="F664" s="123" t="n"/>
      <c r="G664" s="119" t="n"/>
      <c r="H664" s="123" t="n"/>
      <c r="I664" s="123" t="n"/>
      <c r="J664" s="125" t="n"/>
      <c r="K664" s="120" t="n"/>
    </row>
    <row r="665" ht="15" customHeight="1" s="72">
      <c r="A665" s="117" t="n"/>
      <c r="B665" s="117" t="n"/>
      <c r="C665" s="118" t="n"/>
      <c r="D665" s="118" t="n"/>
      <c r="E665" s="118" t="n"/>
      <c r="F665" s="123" t="n"/>
      <c r="G665" s="119" t="n"/>
      <c r="H665" s="123" t="n"/>
      <c r="I665" s="123" t="n"/>
      <c r="J665" s="125" t="n"/>
      <c r="K665" s="120" t="n"/>
    </row>
    <row r="666" ht="15" customHeight="1" s="72">
      <c r="A666" s="117" t="n"/>
      <c r="B666" s="117" t="n"/>
      <c r="C666" s="118" t="n"/>
      <c r="D666" s="118" t="n"/>
      <c r="E666" s="118" t="n"/>
      <c r="F666" s="123" t="n"/>
      <c r="G666" s="119" t="n"/>
      <c r="H666" s="123" t="n"/>
      <c r="I666" s="123" t="n"/>
      <c r="J666" s="125" t="n"/>
      <c r="K666" s="120" t="n"/>
    </row>
    <row r="667" ht="15" customHeight="1" s="72">
      <c r="A667" s="117" t="n"/>
      <c r="B667" s="117" t="n"/>
      <c r="C667" s="118" t="n"/>
      <c r="D667" s="118" t="n"/>
      <c r="E667" s="118" t="n"/>
      <c r="F667" s="123" t="n"/>
      <c r="G667" s="119" t="n"/>
      <c r="H667" s="123" t="n"/>
      <c r="I667" s="123" t="n"/>
      <c r="J667" s="125" t="n"/>
      <c r="K667" s="120" t="n"/>
    </row>
    <row r="668" ht="15" customHeight="1" s="72">
      <c r="A668" s="117" t="n"/>
      <c r="B668" s="117" t="n"/>
      <c r="C668" s="118" t="n"/>
      <c r="D668" s="118" t="n"/>
      <c r="E668" s="118" t="n"/>
      <c r="F668" s="123" t="n"/>
      <c r="G668" s="119" t="n"/>
      <c r="H668" s="123" t="n"/>
      <c r="I668" s="123" t="n"/>
      <c r="J668" s="125" t="n"/>
      <c r="K668" s="120" t="n"/>
    </row>
    <row r="669" ht="15" customHeight="1" s="72">
      <c r="A669" s="117" t="n"/>
      <c r="B669" s="117" t="n"/>
      <c r="C669" s="118" t="n"/>
      <c r="D669" s="118" t="n"/>
      <c r="E669" s="118" t="n"/>
      <c r="F669" s="123" t="n"/>
      <c r="G669" s="119" t="n"/>
      <c r="H669" s="123" t="n"/>
      <c r="I669" s="123" t="n"/>
      <c r="J669" s="125" t="n"/>
      <c r="K669" s="120" t="n"/>
    </row>
    <row r="670" ht="15" customHeight="1" s="72">
      <c r="A670" s="117" t="n"/>
      <c r="B670" s="117" t="n"/>
      <c r="C670" s="118" t="n"/>
      <c r="D670" s="118" t="n"/>
      <c r="E670" s="118" t="n"/>
      <c r="F670" s="123" t="n"/>
      <c r="G670" s="119" t="n"/>
      <c r="H670" s="123" t="n"/>
      <c r="I670" s="123" t="n"/>
      <c r="J670" s="125" t="n"/>
      <c r="K670" s="120" t="n"/>
    </row>
    <row r="671" ht="15" customHeight="1" s="72">
      <c r="A671" s="117" t="n"/>
      <c r="B671" s="117" t="n"/>
      <c r="C671" s="118" t="n"/>
      <c r="D671" s="118" t="n"/>
      <c r="E671" s="118" t="n"/>
      <c r="F671" s="123" t="n"/>
      <c r="G671" s="119" t="n"/>
      <c r="H671" s="123" t="n"/>
      <c r="I671" s="123" t="n"/>
      <c r="J671" s="125" t="n"/>
      <c r="K671" s="120" t="n"/>
    </row>
    <row r="672" ht="15" customHeight="1" s="72">
      <c r="A672" s="117" t="n"/>
      <c r="B672" s="117" t="n"/>
      <c r="C672" s="118" t="n"/>
      <c r="D672" s="118" t="n"/>
      <c r="E672" s="118" t="n"/>
      <c r="F672" s="123" t="n"/>
      <c r="G672" s="119" t="n"/>
      <c r="H672" s="123" t="n"/>
      <c r="I672" s="123" t="n"/>
      <c r="J672" s="125" t="n"/>
      <c r="K672" s="120" t="n"/>
    </row>
    <row r="673" ht="15" customHeight="1" s="72">
      <c r="A673" s="117" t="n"/>
      <c r="B673" s="117" t="n"/>
      <c r="C673" s="118" t="n"/>
      <c r="D673" s="118" t="n"/>
      <c r="E673" s="118" t="n"/>
      <c r="F673" s="123" t="n"/>
      <c r="G673" s="119" t="n"/>
      <c r="H673" s="123" t="n"/>
      <c r="I673" s="123" t="n"/>
      <c r="J673" s="125" t="n"/>
      <c r="K673" s="120" t="n"/>
    </row>
    <row r="674" ht="15" customHeight="1" s="72">
      <c r="A674" s="117" t="n"/>
      <c r="B674" s="117" t="n"/>
      <c r="C674" s="118" t="n"/>
      <c r="D674" s="118" t="n"/>
      <c r="E674" s="118" t="n"/>
      <c r="F674" s="123" t="n"/>
      <c r="G674" s="119" t="n"/>
      <c r="H674" s="123" t="n"/>
      <c r="I674" s="123" t="n"/>
      <c r="J674" s="125" t="n"/>
      <c r="K674" s="120" t="n"/>
    </row>
    <row r="675" ht="15" customHeight="1" s="72">
      <c r="A675" s="117" t="n"/>
      <c r="B675" s="117" t="n"/>
      <c r="C675" s="118" t="n"/>
      <c r="D675" s="118" t="n"/>
      <c r="E675" s="118" t="n"/>
      <c r="F675" s="123" t="n"/>
      <c r="G675" s="119" t="n"/>
      <c r="H675" s="123" t="n"/>
      <c r="I675" s="123" t="n"/>
      <c r="J675" s="125" t="n"/>
      <c r="K675" s="120" t="n"/>
    </row>
    <row r="676" ht="15" customHeight="1" s="72">
      <c r="A676" s="117" t="n"/>
      <c r="B676" s="117" t="n"/>
      <c r="C676" s="118" t="n"/>
      <c r="D676" s="118" t="n"/>
      <c r="E676" s="118" t="n"/>
      <c r="F676" s="123" t="n"/>
      <c r="G676" s="119" t="n"/>
      <c r="H676" s="123" t="n"/>
      <c r="I676" s="123" t="n"/>
      <c r="J676" s="125" t="n"/>
      <c r="K676" s="120" t="n"/>
    </row>
    <row r="677" ht="15" customHeight="1" s="72">
      <c r="A677" s="117" t="n"/>
      <c r="B677" s="117" t="n"/>
      <c r="C677" s="118" t="n"/>
      <c r="D677" s="118" t="n"/>
      <c r="E677" s="118" t="n"/>
      <c r="F677" s="123" t="n"/>
      <c r="G677" s="119" t="n"/>
      <c r="H677" s="123" t="n"/>
      <c r="I677" s="123" t="n"/>
      <c r="J677" s="125" t="n"/>
      <c r="K677" s="120" t="n"/>
    </row>
    <row r="678" ht="15" customHeight="1" s="72">
      <c r="A678" s="117" t="n"/>
      <c r="B678" s="117" t="n"/>
      <c r="C678" s="118" t="n"/>
      <c r="D678" s="118" t="n"/>
      <c r="E678" s="118" t="n"/>
      <c r="F678" s="123" t="n"/>
      <c r="G678" s="119" t="n"/>
      <c r="H678" s="123" t="n"/>
      <c r="I678" s="123" t="n"/>
      <c r="J678" s="125" t="n"/>
      <c r="K678" s="120" t="n"/>
    </row>
    <row r="679" ht="15" customHeight="1" s="72">
      <c r="A679" s="117" t="n"/>
      <c r="B679" s="117" t="n"/>
      <c r="C679" s="118" t="n"/>
      <c r="D679" s="118" t="n"/>
      <c r="E679" s="118" t="n"/>
      <c r="F679" s="123" t="n"/>
      <c r="G679" s="119" t="n"/>
      <c r="H679" s="123" t="n"/>
      <c r="I679" s="123" t="n"/>
      <c r="J679" s="125" t="n"/>
      <c r="K679" s="120" t="n"/>
    </row>
    <row r="680" ht="15" customHeight="1" s="72">
      <c r="A680" s="117" t="n"/>
      <c r="B680" s="117" t="n"/>
      <c r="C680" s="118" t="n"/>
      <c r="D680" s="118" t="n"/>
      <c r="E680" s="118" t="n"/>
      <c r="F680" s="123" t="n"/>
      <c r="G680" s="119" t="n"/>
      <c r="H680" s="123" t="n"/>
      <c r="I680" s="123" t="n"/>
      <c r="J680" s="125" t="n"/>
      <c r="K680" s="120" t="n"/>
    </row>
    <row r="681" ht="15" customHeight="1" s="72">
      <c r="A681" s="117" t="n"/>
      <c r="B681" s="117" t="n"/>
      <c r="C681" s="118" t="n"/>
      <c r="D681" s="118" t="n"/>
      <c r="E681" s="118" t="n"/>
      <c r="F681" s="123" t="n"/>
      <c r="G681" s="119" t="n"/>
      <c r="H681" s="123" t="n"/>
      <c r="I681" s="123" t="n"/>
      <c r="J681" s="125" t="n"/>
      <c r="K681" s="120" t="n"/>
    </row>
    <row r="682" ht="15" customHeight="1" s="72">
      <c r="A682" s="117" t="n"/>
      <c r="B682" s="117" t="n"/>
      <c r="C682" s="118" t="n"/>
      <c r="D682" s="118" t="n"/>
      <c r="E682" s="118" t="n"/>
      <c r="F682" s="123" t="n"/>
      <c r="G682" s="119" t="n"/>
      <c r="H682" s="123" t="n"/>
      <c r="I682" s="123" t="n"/>
      <c r="J682" s="125" t="n"/>
      <c r="K682" s="120" t="n"/>
    </row>
    <row r="683" ht="15" customHeight="1" s="72">
      <c r="A683" s="117" t="n"/>
      <c r="B683" s="117" t="n"/>
      <c r="C683" s="118" t="n"/>
      <c r="D683" s="118" t="n"/>
      <c r="E683" s="118" t="n"/>
      <c r="F683" s="123" t="n"/>
      <c r="G683" s="119" t="n"/>
      <c r="H683" s="123" t="n"/>
      <c r="I683" s="123" t="n"/>
      <c r="J683" s="125" t="n"/>
      <c r="K683" s="120" t="n"/>
    </row>
    <row r="684" ht="15" customHeight="1" s="72">
      <c r="A684" s="117" t="n"/>
      <c r="B684" s="117" t="n"/>
      <c r="C684" s="118" t="n"/>
      <c r="D684" s="118" t="n"/>
      <c r="E684" s="118" t="n"/>
      <c r="F684" s="123" t="n"/>
      <c r="G684" s="119" t="n"/>
      <c r="H684" s="123" t="n"/>
      <c r="I684" s="123" t="n"/>
      <c r="J684" s="125" t="n"/>
      <c r="K684" s="120" t="n"/>
    </row>
    <row r="685" ht="15" customHeight="1" s="72">
      <c r="A685" s="117" t="n"/>
      <c r="B685" s="117" t="n"/>
      <c r="C685" s="118" t="n"/>
      <c r="D685" s="118" t="n"/>
      <c r="E685" s="118" t="n"/>
      <c r="F685" s="123" t="n"/>
      <c r="G685" s="119" t="n"/>
      <c r="H685" s="123" t="n"/>
      <c r="I685" s="123" t="n"/>
      <c r="J685" s="125" t="n"/>
      <c r="K685" s="120" t="n"/>
    </row>
    <row r="686" ht="15" customHeight="1" s="72">
      <c r="A686" s="117" t="n"/>
      <c r="B686" s="117" t="n"/>
      <c r="C686" s="118" t="n"/>
      <c r="D686" s="118" t="n"/>
      <c r="E686" s="118" t="n"/>
      <c r="F686" s="123" t="n"/>
      <c r="G686" s="119" t="n"/>
      <c r="H686" s="123" t="n"/>
      <c r="I686" s="123" t="n"/>
      <c r="J686" s="125" t="n"/>
      <c r="K686" s="120" t="n"/>
    </row>
    <row r="687" ht="15" customHeight="1" s="72">
      <c r="A687" s="117" t="n"/>
      <c r="B687" s="117" t="n"/>
      <c r="C687" s="118" t="n"/>
      <c r="D687" s="118" t="n"/>
      <c r="E687" s="118" t="n"/>
      <c r="F687" s="123" t="n"/>
      <c r="G687" s="119" t="n"/>
      <c r="H687" s="123" t="n"/>
      <c r="I687" s="123" t="n"/>
      <c r="J687" s="125" t="n"/>
      <c r="K687" s="120" t="n"/>
    </row>
    <row r="688" ht="15" customHeight="1" s="72">
      <c r="A688" s="117" t="n"/>
      <c r="B688" s="117" t="n"/>
      <c r="C688" s="118" t="n"/>
      <c r="D688" s="118" t="n"/>
      <c r="E688" s="118" t="n"/>
      <c r="F688" s="123" t="n"/>
      <c r="G688" s="119" t="n"/>
      <c r="H688" s="123" t="n"/>
      <c r="I688" s="123" t="n"/>
      <c r="J688" s="125" t="n"/>
      <c r="K688" s="120" t="n"/>
    </row>
    <row r="689" ht="15" customHeight="1" s="72">
      <c r="A689" s="117" t="n"/>
      <c r="B689" s="117" t="n"/>
      <c r="C689" s="118" t="n"/>
      <c r="D689" s="118" t="n"/>
      <c r="E689" s="118" t="n"/>
      <c r="F689" s="123" t="n"/>
      <c r="G689" s="119" t="n"/>
      <c r="H689" s="123" t="n"/>
      <c r="I689" s="123" t="n"/>
      <c r="J689" s="125" t="n"/>
      <c r="K689" s="120" t="n"/>
    </row>
    <row r="690" ht="15" customHeight="1" s="72">
      <c r="A690" s="117" t="n"/>
      <c r="B690" s="117" t="n"/>
      <c r="C690" s="118" t="n"/>
      <c r="D690" s="118" t="n"/>
      <c r="E690" s="118" t="n"/>
      <c r="F690" s="123" t="n"/>
      <c r="G690" s="119" t="n"/>
      <c r="H690" s="123" t="n"/>
      <c r="I690" s="123" t="n"/>
      <c r="J690" s="125" t="n"/>
      <c r="K690" s="120" t="n"/>
    </row>
    <row r="691" ht="15" customHeight="1" s="72">
      <c r="A691" s="117" t="n"/>
      <c r="B691" s="117" t="n"/>
      <c r="C691" s="118" t="n"/>
      <c r="D691" s="118" t="n"/>
      <c r="E691" s="118" t="n"/>
      <c r="F691" s="123" t="n"/>
      <c r="G691" s="119" t="n"/>
      <c r="H691" s="123" t="n"/>
      <c r="I691" s="123" t="n"/>
      <c r="J691" s="125" t="n"/>
      <c r="K691" s="120" t="n"/>
    </row>
    <row r="692" ht="15" customHeight="1" s="72">
      <c r="A692" s="117" t="n"/>
      <c r="B692" s="117" t="n"/>
      <c r="C692" s="118" t="n"/>
      <c r="D692" s="118" t="n"/>
      <c r="E692" s="118" t="n"/>
      <c r="F692" s="123" t="n"/>
      <c r="G692" s="119" t="n"/>
      <c r="H692" s="123" t="n"/>
      <c r="I692" s="123" t="n"/>
      <c r="J692" s="125" t="n"/>
      <c r="K692" s="120" t="n"/>
    </row>
    <row r="693" ht="15" customHeight="1" s="72">
      <c r="A693" s="117" t="n"/>
      <c r="B693" s="117" t="n"/>
      <c r="C693" s="118" t="n"/>
      <c r="D693" s="118" t="n"/>
      <c r="E693" s="118" t="n"/>
      <c r="F693" s="123" t="n"/>
      <c r="G693" s="119" t="n"/>
      <c r="H693" s="123" t="n"/>
      <c r="I693" s="123" t="n"/>
      <c r="J693" s="125" t="n"/>
      <c r="K693" s="120" t="n"/>
    </row>
    <row r="694" ht="15" customHeight="1" s="72">
      <c r="A694" s="117" t="n"/>
      <c r="B694" s="117" t="n"/>
      <c r="C694" s="118" t="n"/>
      <c r="D694" s="118" t="n"/>
      <c r="E694" s="118" t="n"/>
      <c r="F694" s="123" t="n"/>
      <c r="G694" s="119" t="n"/>
      <c r="H694" s="123" t="n"/>
      <c r="I694" s="123" t="n"/>
      <c r="J694" s="125" t="n"/>
      <c r="K694" s="120" t="n"/>
    </row>
    <row r="695" ht="15" customHeight="1" s="72">
      <c r="A695" s="117" t="n"/>
      <c r="B695" s="117" t="n"/>
      <c r="C695" s="118" t="n"/>
      <c r="D695" s="118" t="n"/>
      <c r="E695" s="118" t="n"/>
      <c r="F695" s="123" t="n"/>
      <c r="G695" s="119" t="n"/>
      <c r="H695" s="123" t="n"/>
      <c r="I695" s="123" t="n"/>
      <c r="J695" s="125" t="n"/>
      <c r="K695" s="120" t="n"/>
    </row>
    <row r="696" ht="15" customHeight="1" s="72">
      <c r="A696" s="117" t="n"/>
      <c r="B696" s="117" t="n"/>
      <c r="C696" s="118" t="n"/>
      <c r="D696" s="118" t="n"/>
      <c r="E696" s="118" t="n"/>
      <c r="F696" s="123" t="n"/>
      <c r="G696" s="119" t="n"/>
      <c r="H696" s="123" t="n"/>
      <c r="I696" s="123" t="n"/>
      <c r="J696" s="125" t="n"/>
      <c r="K696" s="120" t="n"/>
    </row>
    <row r="697" ht="15" customHeight="1" s="72">
      <c r="A697" s="117" t="n"/>
      <c r="B697" s="117" t="n"/>
      <c r="C697" s="118" t="n"/>
      <c r="D697" s="118" t="n"/>
      <c r="E697" s="118" t="n"/>
      <c r="F697" s="123" t="n"/>
      <c r="G697" s="119" t="n"/>
      <c r="H697" s="123" t="n"/>
      <c r="I697" s="123" t="n"/>
      <c r="J697" s="125" t="n"/>
      <c r="K697" s="120" t="n"/>
    </row>
    <row r="698" ht="15" customHeight="1" s="72">
      <c r="A698" s="117" t="n"/>
      <c r="B698" s="117" t="n"/>
      <c r="C698" s="118" t="n"/>
      <c r="D698" s="118" t="n"/>
      <c r="E698" s="118" t="n"/>
      <c r="F698" s="123" t="n"/>
      <c r="G698" s="119" t="n"/>
      <c r="H698" s="123" t="n"/>
      <c r="I698" s="123" t="n"/>
      <c r="J698" s="125" t="n"/>
      <c r="K698" s="120" t="n"/>
    </row>
    <row r="699" ht="15" customHeight="1" s="72">
      <c r="A699" s="117" t="n"/>
      <c r="B699" s="117" t="n"/>
      <c r="C699" s="118" t="n"/>
      <c r="D699" s="118" t="n"/>
      <c r="E699" s="118" t="n"/>
      <c r="F699" s="123" t="n"/>
      <c r="G699" s="119" t="n"/>
      <c r="H699" s="123" t="n"/>
      <c r="I699" s="123" t="n"/>
      <c r="J699" s="125" t="n"/>
      <c r="K699" s="120" t="n"/>
    </row>
    <row r="700" ht="15" customHeight="1" s="72">
      <c r="A700" s="117" t="n"/>
      <c r="B700" s="117" t="n"/>
      <c r="C700" s="118" t="n"/>
      <c r="D700" s="118" t="n"/>
      <c r="E700" s="118" t="n"/>
      <c r="F700" s="123" t="n"/>
      <c r="G700" s="119" t="n"/>
      <c r="H700" s="123" t="n"/>
      <c r="I700" s="123" t="n"/>
      <c r="J700" s="125" t="n"/>
      <c r="K700" s="120" t="n"/>
    </row>
    <row r="701" ht="15" customHeight="1" s="72">
      <c r="A701" s="117" t="n"/>
      <c r="B701" s="117" t="n"/>
      <c r="C701" s="118" t="n"/>
      <c r="D701" s="118" t="n"/>
      <c r="E701" s="118" t="n"/>
      <c r="F701" s="123" t="n"/>
      <c r="G701" s="119" t="n"/>
      <c r="H701" s="123" t="n"/>
      <c r="I701" s="123" t="n"/>
      <c r="J701" s="125" t="n"/>
      <c r="K701" s="120" t="n"/>
    </row>
    <row r="702" ht="15" customHeight="1" s="72">
      <c r="A702" s="117" t="n"/>
      <c r="B702" s="117" t="n"/>
      <c r="C702" s="118" t="n"/>
      <c r="D702" s="118" t="n"/>
      <c r="E702" s="118" t="n"/>
      <c r="F702" s="123" t="n"/>
      <c r="G702" s="119" t="n"/>
      <c r="H702" s="123" t="n"/>
      <c r="I702" s="123" t="n"/>
      <c r="J702" s="125" t="n"/>
      <c r="K702" s="120" t="n"/>
    </row>
    <row r="703" ht="15" customHeight="1" s="72">
      <c r="A703" s="117" t="n"/>
      <c r="B703" s="117" t="n"/>
      <c r="C703" s="118" t="n"/>
      <c r="D703" s="118" t="n"/>
      <c r="E703" s="118" t="n"/>
      <c r="F703" s="123" t="n"/>
      <c r="G703" s="119" t="n"/>
      <c r="H703" s="123" t="n"/>
      <c r="I703" s="123" t="n"/>
      <c r="J703" s="125" t="n"/>
      <c r="K703" s="120" t="n"/>
    </row>
    <row r="704" ht="15" customHeight="1" s="72">
      <c r="A704" s="117" t="n"/>
      <c r="B704" s="117" t="n"/>
      <c r="C704" s="118" t="n"/>
      <c r="D704" s="118" t="n"/>
      <c r="E704" s="118" t="n"/>
      <c r="F704" s="123" t="n"/>
      <c r="G704" s="119" t="n"/>
      <c r="H704" s="123" t="n"/>
      <c r="I704" s="123" t="n"/>
      <c r="J704" s="125" t="n"/>
      <c r="K704" s="120" t="n"/>
    </row>
    <row r="705" ht="15" customHeight="1" s="72">
      <c r="A705" s="117" t="n"/>
      <c r="B705" s="117" t="n"/>
      <c r="C705" s="118" t="n"/>
      <c r="D705" s="118" t="n"/>
      <c r="E705" s="118" t="n"/>
      <c r="F705" s="123" t="n"/>
      <c r="G705" s="119" t="n"/>
      <c r="H705" s="123" t="n"/>
      <c r="I705" s="123" t="n"/>
      <c r="J705" s="125" t="n"/>
      <c r="K705" s="120" t="n"/>
    </row>
    <row r="706" ht="15" customHeight="1" s="72">
      <c r="A706" s="117" t="n"/>
      <c r="B706" s="117" t="n"/>
      <c r="C706" s="118" t="n"/>
      <c r="D706" s="118" t="n"/>
      <c r="E706" s="118" t="n"/>
      <c r="F706" s="123" t="n"/>
      <c r="G706" s="119" t="n"/>
      <c r="H706" s="123" t="n"/>
      <c r="I706" s="123" t="n"/>
      <c r="J706" s="125" t="n"/>
      <c r="K706" s="120" t="n"/>
    </row>
    <row r="707" ht="15" customHeight="1" s="72">
      <c r="A707" s="117" t="n"/>
      <c r="B707" s="117" t="n"/>
      <c r="C707" s="118" t="n"/>
      <c r="D707" s="118" t="n"/>
      <c r="E707" s="118" t="n"/>
      <c r="F707" s="123" t="n"/>
      <c r="G707" s="119" t="n"/>
      <c r="H707" s="123" t="n"/>
      <c r="I707" s="123" t="n"/>
      <c r="J707" s="125" t="n"/>
      <c r="K707" s="120" t="n"/>
    </row>
    <row r="708" ht="15" customHeight="1" s="72">
      <c r="A708" s="117" t="n"/>
      <c r="B708" s="117" t="n"/>
      <c r="C708" s="118" t="n"/>
      <c r="D708" s="118" t="n"/>
      <c r="E708" s="118" t="n"/>
      <c r="F708" s="123" t="n"/>
      <c r="G708" s="119" t="n"/>
      <c r="H708" s="123" t="n"/>
      <c r="I708" s="123" t="n"/>
      <c r="J708" s="125" t="n"/>
      <c r="K708" s="120" t="n"/>
    </row>
    <row r="709" ht="15" customHeight="1" s="72">
      <c r="A709" s="117" t="n"/>
      <c r="B709" s="117" t="n"/>
      <c r="C709" s="118" t="n"/>
      <c r="D709" s="118" t="n"/>
      <c r="E709" s="118" t="n"/>
      <c r="F709" s="123" t="n"/>
      <c r="G709" s="119" t="n"/>
      <c r="H709" s="123" t="n"/>
      <c r="I709" s="123" t="n"/>
      <c r="J709" s="125" t="n"/>
      <c r="K709" s="120" t="n"/>
    </row>
    <row r="710" ht="15" customHeight="1" s="72">
      <c r="A710" s="117" t="n"/>
      <c r="B710" s="117" t="n"/>
      <c r="C710" s="118" t="n"/>
      <c r="D710" s="118" t="n"/>
      <c r="E710" s="118" t="n"/>
      <c r="F710" s="123" t="n"/>
      <c r="G710" s="119" t="n"/>
      <c r="H710" s="123" t="n"/>
      <c r="I710" s="123" t="n"/>
      <c r="J710" s="125" t="n"/>
      <c r="K710" s="120" t="n"/>
    </row>
    <row r="711" ht="15" customHeight="1" s="72">
      <c r="A711" s="117" t="n"/>
      <c r="B711" s="117" t="n"/>
      <c r="C711" s="118" t="n"/>
      <c r="D711" s="118" t="n"/>
      <c r="E711" s="118" t="n"/>
      <c r="F711" s="123" t="n"/>
      <c r="G711" s="119" t="n"/>
      <c r="H711" s="123" t="n"/>
      <c r="I711" s="123" t="n"/>
      <c r="J711" s="125" t="n"/>
      <c r="K711" s="120" t="n"/>
    </row>
    <row r="712" ht="15" customHeight="1" s="72">
      <c r="A712" s="117" t="n"/>
      <c r="B712" s="117" t="n"/>
      <c r="C712" s="118" t="n"/>
      <c r="D712" s="118" t="n"/>
      <c r="E712" s="118" t="n"/>
      <c r="F712" s="123" t="n"/>
      <c r="G712" s="119" t="n"/>
      <c r="H712" s="123" t="n"/>
      <c r="I712" s="123" t="n"/>
      <c r="J712" s="125" t="n"/>
      <c r="K712" s="120" t="n"/>
    </row>
    <row r="713" ht="15" customHeight="1" s="72">
      <c r="A713" s="117" t="n"/>
      <c r="B713" s="117" t="n"/>
      <c r="C713" s="118" t="n"/>
      <c r="D713" s="118" t="n"/>
      <c r="E713" s="118" t="n"/>
      <c r="F713" s="123" t="n"/>
      <c r="G713" s="119" t="n"/>
      <c r="H713" s="123" t="n"/>
      <c r="I713" s="123" t="n"/>
      <c r="J713" s="125" t="n"/>
      <c r="K713" s="120" t="n"/>
    </row>
    <row r="714" ht="15" customHeight="1" s="72">
      <c r="A714" s="117" t="n"/>
      <c r="B714" s="117" t="n"/>
      <c r="C714" s="118" t="n"/>
      <c r="D714" s="118" t="n"/>
      <c r="E714" s="118" t="n"/>
      <c r="F714" s="123" t="n"/>
      <c r="G714" s="119" t="n"/>
      <c r="H714" s="123" t="n"/>
      <c r="I714" s="123" t="n"/>
      <c r="J714" s="125" t="n"/>
      <c r="K714" s="120" t="n"/>
    </row>
    <row r="715" ht="15" customHeight="1" s="72">
      <c r="A715" s="117" t="n"/>
      <c r="B715" s="117" t="n"/>
      <c r="C715" s="118" t="n"/>
      <c r="D715" s="118" t="n"/>
      <c r="E715" s="118" t="n"/>
      <c r="F715" s="123" t="n"/>
      <c r="G715" s="119" t="n"/>
      <c r="H715" s="123" t="n"/>
      <c r="I715" s="123" t="n"/>
      <c r="J715" s="125" t="n"/>
      <c r="K715" s="120" t="n"/>
    </row>
    <row r="716" ht="15" customHeight="1" s="72">
      <c r="A716" s="117" t="n"/>
      <c r="B716" s="117" t="n"/>
      <c r="C716" s="118" t="n"/>
      <c r="D716" s="118" t="n"/>
      <c r="E716" s="118" t="n"/>
      <c r="F716" s="123" t="n"/>
      <c r="G716" s="119" t="n"/>
      <c r="H716" s="123" t="n"/>
      <c r="I716" s="123" t="n"/>
      <c r="J716" s="125" t="n"/>
      <c r="K716" s="120" t="n"/>
    </row>
    <row r="717" ht="15" customHeight="1" s="72">
      <c r="A717" s="117" t="n"/>
      <c r="B717" s="117" t="n"/>
      <c r="C717" s="118" t="n"/>
      <c r="D717" s="118" t="n"/>
      <c r="E717" s="118" t="n"/>
      <c r="F717" s="123" t="n"/>
      <c r="G717" s="119" t="n"/>
      <c r="H717" s="123" t="n"/>
      <c r="I717" s="123" t="n"/>
      <c r="J717" s="125" t="n"/>
      <c r="K717" s="120" t="n"/>
    </row>
    <row r="718" ht="15" customHeight="1" s="72">
      <c r="A718" s="117" t="n"/>
      <c r="B718" s="117" t="n"/>
      <c r="C718" s="118" t="n"/>
      <c r="D718" s="118" t="n"/>
      <c r="E718" s="118" t="n"/>
      <c r="F718" s="123" t="n"/>
      <c r="G718" s="119" t="n"/>
      <c r="H718" s="123" t="n"/>
      <c r="I718" s="123" t="n"/>
      <c r="J718" s="125" t="n"/>
      <c r="K718" s="120" t="n"/>
    </row>
    <row r="719" ht="15" customHeight="1" s="72">
      <c r="A719" s="117" t="n"/>
      <c r="B719" s="117" t="n"/>
      <c r="C719" s="118" t="n"/>
      <c r="D719" s="118" t="n"/>
      <c r="E719" s="118" t="n"/>
      <c r="F719" s="123" t="n"/>
      <c r="G719" s="119" t="n"/>
      <c r="H719" s="123" t="n"/>
      <c r="I719" s="123" t="n"/>
      <c r="J719" s="125" t="n"/>
      <c r="K719" s="120" t="n"/>
    </row>
    <row r="720" ht="15" customHeight="1" s="72">
      <c r="A720" s="117" t="n"/>
      <c r="B720" s="117" t="n"/>
      <c r="C720" s="118" t="n"/>
      <c r="D720" s="118" t="n"/>
      <c r="E720" s="118" t="n"/>
      <c r="F720" s="123" t="n"/>
      <c r="G720" s="119" t="n"/>
      <c r="H720" s="123" t="n"/>
      <c r="I720" s="123" t="n"/>
      <c r="J720" s="125" t="n"/>
      <c r="K720" s="120" t="n"/>
    </row>
    <row r="721" ht="15" customHeight="1" s="72">
      <c r="A721" s="117" t="n"/>
      <c r="B721" s="117" t="n"/>
      <c r="C721" s="118" t="n"/>
      <c r="D721" s="118" t="n"/>
      <c r="E721" s="118" t="n"/>
      <c r="F721" s="123" t="n"/>
      <c r="G721" s="119" t="n"/>
      <c r="H721" s="123" t="n"/>
      <c r="I721" s="123" t="n"/>
      <c r="J721" s="125" t="n"/>
      <c r="K721" s="120" t="n"/>
    </row>
    <row r="722" ht="15" customHeight="1" s="72">
      <c r="A722" s="117" t="n"/>
      <c r="B722" s="117" t="n"/>
      <c r="C722" s="118" t="n"/>
      <c r="D722" s="118" t="n"/>
      <c r="E722" s="118" t="n"/>
      <c r="F722" s="123" t="n"/>
      <c r="G722" s="119" t="n"/>
      <c r="H722" s="123" t="n"/>
      <c r="I722" s="123" t="n"/>
      <c r="J722" s="125" t="n"/>
      <c r="K722" s="120" t="n"/>
    </row>
    <row r="723" ht="15" customHeight="1" s="72">
      <c r="A723" s="117" t="n"/>
      <c r="B723" s="117" t="n"/>
      <c r="C723" s="118" t="n"/>
      <c r="D723" s="118" t="n"/>
      <c r="E723" s="118" t="n"/>
      <c r="F723" s="123" t="n"/>
      <c r="G723" s="119" t="n"/>
      <c r="H723" s="123" t="n"/>
      <c r="I723" s="123" t="n"/>
      <c r="J723" s="125" t="n"/>
      <c r="K723" s="120" t="n"/>
    </row>
    <row r="724" ht="15" customHeight="1" s="72">
      <c r="A724" s="117" t="n"/>
      <c r="B724" s="117" t="n"/>
      <c r="C724" s="118" t="n"/>
      <c r="D724" s="118" t="n"/>
      <c r="E724" s="118" t="n"/>
      <c r="F724" s="123" t="n"/>
      <c r="G724" s="119" t="n"/>
      <c r="H724" s="123" t="n"/>
      <c r="I724" s="123" t="n"/>
      <c r="J724" s="125" t="n"/>
      <c r="K724" s="120" t="n"/>
    </row>
    <row r="725" ht="15" customHeight="1" s="72">
      <c r="A725" s="117" t="n"/>
      <c r="B725" s="117" t="n"/>
      <c r="C725" s="118" t="n"/>
      <c r="D725" s="118" t="n"/>
      <c r="E725" s="118" t="n"/>
      <c r="F725" s="123" t="n"/>
      <c r="G725" s="119" t="n"/>
      <c r="H725" s="123" t="n"/>
      <c r="I725" s="123" t="n"/>
      <c r="J725" s="125" t="n"/>
      <c r="K725" s="120" t="n"/>
    </row>
    <row r="726" ht="15" customHeight="1" s="72">
      <c r="A726" s="117" t="n"/>
      <c r="B726" s="117" t="n"/>
      <c r="C726" s="118" t="n"/>
      <c r="D726" s="118" t="n"/>
      <c r="E726" s="118" t="n"/>
      <c r="F726" s="123" t="n"/>
      <c r="G726" s="119" t="n"/>
      <c r="H726" s="123" t="n"/>
      <c r="I726" s="123" t="n"/>
      <c r="J726" s="125" t="n"/>
      <c r="K726" s="120" t="n"/>
    </row>
    <row r="727" ht="15" customHeight="1" s="72">
      <c r="A727" s="117" t="n"/>
      <c r="B727" s="117" t="n"/>
      <c r="C727" s="118" t="n"/>
      <c r="D727" s="118" t="n"/>
      <c r="E727" s="118" t="n"/>
      <c r="F727" s="123" t="n"/>
      <c r="G727" s="119" t="n"/>
      <c r="H727" s="123" t="n"/>
      <c r="I727" s="123" t="n"/>
      <c r="J727" s="125" t="n"/>
      <c r="K727" s="120" t="n"/>
    </row>
    <row r="728" ht="15" customHeight="1" s="72">
      <c r="A728" s="117" t="n"/>
      <c r="B728" s="117" t="n"/>
      <c r="C728" s="118" t="n"/>
      <c r="D728" s="118" t="n"/>
      <c r="E728" s="118" t="n"/>
      <c r="F728" s="123" t="n"/>
      <c r="G728" s="119" t="n"/>
      <c r="H728" s="123" t="n"/>
      <c r="I728" s="123" t="n"/>
      <c r="J728" s="125" t="n"/>
      <c r="K728" s="120" t="n"/>
    </row>
    <row r="729" ht="15" customHeight="1" s="72">
      <c r="A729" s="117" t="n"/>
      <c r="B729" s="117" t="n"/>
      <c r="C729" s="118" t="n"/>
      <c r="D729" s="118" t="n"/>
      <c r="E729" s="118" t="n"/>
      <c r="F729" s="123" t="n"/>
      <c r="G729" s="119" t="n"/>
      <c r="H729" s="123" t="n"/>
      <c r="I729" s="123" t="n"/>
      <c r="J729" s="125" t="n"/>
      <c r="K729" s="120" t="n"/>
    </row>
    <row r="730" ht="15" customHeight="1" s="72">
      <c r="A730" s="117" t="n"/>
      <c r="B730" s="117" t="n"/>
      <c r="C730" s="118" t="n"/>
      <c r="D730" s="118" t="n"/>
      <c r="E730" s="118" t="n"/>
      <c r="F730" s="123" t="n"/>
      <c r="G730" s="119" t="n"/>
      <c r="H730" s="123" t="n"/>
      <c r="I730" s="123" t="n"/>
      <c r="J730" s="125" t="n"/>
      <c r="K730" s="120" t="n"/>
    </row>
    <row r="731" ht="15" customHeight="1" s="72">
      <c r="A731" s="117" t="n"/>
      <c r="B731" s="117" t="n"/>
      <c r="C731" s="118" t="n"/>
      <c r="D731" s="118" t="n"/>
      <c r="E731" s="118" t="n"/>
      <c r="F731" s="123" t="n"/>
      <c r="G731" s="119" t="n"/>
      <c r="H731" s="123" t="n"/>
      <c r="I731" s="123" t="n"/>
      <c r="J731" s="125" t="n"/>
      <c r="K731" s="120" t="n"/>
    </row>
    <row r="732" ht="15" customHeight="1" s="72">
      <c r="A732" s="117" t="n"/>
      <c r="B732" s="117" t="n"/>
      <c r="C732" s="118" t="n"/>
      <c r="D732" s="118" t="n"/>
      <c r="E732" s="118" t="n"/>
      <c r="F732" s="123" t="n"/>
      <c r="G732" s="119" t="n"/>
      <c r="H732" s="123" t="n"/>
      <c r="I732" s="123" t="n"/>
      <c r="J732" s="125" t="n"/>
      <c r="K732" s="120" t="n"/>
    </row>
    <row r="733" ht="15" customHeight="1" s="72">
      <c r="A733" s="117" t="n"/>
      <c r="B733" s="117" t="n"/>
      <c r="C733" s="118" t="n"/>
      <c r="D733" s="118" t="n"/>
      <c r="E733" s="118" t="n"/>
      <c r="F733" s="123" t="n"/>
      <c r="G733" s="119" t="n"/>
      <c r="H733" s="123" t="n"/>
      <c r="I733" s="123" t="n"/>
      <c r="J733" s="125" t="n"/>
      <c r="K733" s="120" t="n"/>
    </row>
    <row r="734" ht="15" customHeight="1" s="72">
      <c r="A734" s="117" t="n"/>
      <c r="B734" s="117" t="n"/>
      <c r="C734" s="118" t="n"/>
      <c r="D734" s="118" t="n"/>
      <c r="E734" s="118" t="n"/>
      <c r="F734" s="123" t="n"/>
      <c r="G734" s="119" t="n"/>
      <c r="H734" s="123" t="n"/>
      <c r="I734" s="123" t="n"/>
      <c r="J734" s="125" t="n"/>
      <c r="K734" s="120" t="n"/>
    </row>
    <row r="735" ht="15" customHeight="1" s="72">
      <c r="A735" s="117" t="n"/>
      <c r="B735" s="117" t="n"/>
      <c r="C735" s="118" t="n"/>
      <c r="D735" s="118" t="n"/>
      <c r="E735" s="118" t="n"/>
      <c r="F735" s="123" t="n"/>
      <c r="G735" s="119" t="n"/>
      <c r="H735" s="123" t="n"/>
      <c r="I735" s="123" t="n"/>
      <c r="J735" s="125" t="n"/>
      <c r="K735" s="120" t="n"/>
    </row>
    <row r="736" ht="15" customHeight="1" s="72">
      <c r="A736" s="117" t="n"/>
      <c r="B736" s="117" t="n"/>
      <c r="C736" s="118" t="n"/>
      <c r="D736" s="118" t="n"/>
      <c r="E736" s="118" t="n"/>
      <c r="F736" s="123" t="n"/>
      <c r="G736" s="119" t="n"/>
      <c r="H736" s="123" t="n"/>
      <c r="I736" s="123" t="n"/>
      <c r="J736" s="125" t="n"/>
      <c r="K736" s="120" t="n"/>
    </row>
    <row r="737" ht="15" customHeight="1" s="72">
      <c r="A737" s="117" t="n"/>
      <c r="B737" s="117" t="n"/>
      <c r="C737" s="118" t="n"/>
      <c r="D737" s="118" t="n"/>
      <c r="E737" s="118" t="n"/>
      <c r="F737" s="123" t="n"/>
      <c r="G737" s="119" t="n"/>
      <c r="H737" s="123" t="n"/>
      <c r="I737" s="123" t="n"/>
      <c r="J737" s="125" t="n"/>
      <c r="K737" s="120" t="n"/>
    </row>
    <row r="738" ht="15" customHeight="1" s="72">
      <c r="A738" s="117" t="n"/>
      <c r="B738" s="117" t="n"/>
      <c r="C738" s="118" t="n"/>
      <c r="D738" s="118" t="n"/>
      <c r="E738" s="118" t="n"/>
      <c r="F738" s="123" t="n"/>
      <c r="G738" s="119" t="n"/>
      <c r="H738" s="123" t="n"/>
      <c r="I738" s="123" t="n"/>
      <c r="J738" s="125" t="n"/>
      <c r="K738" s="120" t="n"/>
    </row>
    <row r="739" ht="15" customHeight="1" s="72">
      <c r="A739" s="117" t="n"/>
      <c r="B739" s="117" t="n"/>
      <c r="C739" s="118" t="n"/>
      <c r="D739" s="118" t="n"/>
      <c r="E739" s="118" t="n"/>
      <c r="F739" s="123" t="n"/>
      <c r="G739" s="119" t="n"/>
      <c r="H739" s="123" t="n"/>
      <c r="I739" s="123" t="n"/>
      <c r="J739" s="125" t="n"/>
      <c r="K739" s="120" t="n"/>
    </row>
    <row r="740" ht="15" customHeight="1" s="72">
      <c r="A740" s="117" t="n"/>
      <c r="B740" s="117" t="n"/>
      <c r="C740" s="118" t="n"/>
      <c r="D740" s="118" t="n"/>
      <c r="E740" s="118" t="n"/>
      <c r="F740" s="123" t="n"/>
      <c r="G740" s="119" t="n"/>
      <c r="H740" s="123" t="n"/>
      <c r="I740" s="123" t="n"/>
      <c r="J740" s="125" t="n"/>
      <c r="K740" s="120" t="n"/>
    </row>
    <row r="741" ht="15" customHeight="1" s="72">
      <c r="A741" s="117" t="n"/>
      <c r="B741" s="117" t="n"/>
      <c r="C741" s="118" t="n"/>
      <c r="D741" s="118" t="n"/>
      <c r="E741" s="118" t="n"/>
      <c r="F741" s="123" t="n"/>
      <c r="G741" s="119" t="n"/>
      <c r="H741" s="123" t="n"/>
      <c r="I741" s="123" t="n"/>
      <c r="J741" s="125" t="n"/>
      <c r="K741" s="120" t="n"/>
    </row>
    <row r="742" ht="15" customHeight="1" s="72">
      <c r="A742" s="117" t="n"/>
      <c r="B742" s="117" t="n"/>
      <c r="C742" s="118" t="n"/>
      <c r="D742" s="118" t="n"/>
      <c r="E742" s="118" t="n"/>
      <c r="F742" s="123" t="n"/>
      <c r="G742" s="119" t="n"/>
      <c r="H742" s="123" t="n"/>
      <c r="I742" s="123" t="n"/>
      <c r="J742" s="125" t="n"/>
      <c r="K742" s="120" t="n"/>
    </row>
    <row r="743" ht="15" customHeight="1" s="72">
      <c r="A743" s="117" t="n"/>
      <c r="B743" s="117" t="n"/>
      <c r="C743" s="118" t="n"/>
      <c r="D743" s="118" t="n"/>
      <c r="E743" s="118" t="n"/>
      <c r="F743" s="123" t="n"/>
      <c r="G743" s="119" t="n"/>
      <c r="H743" s="123" t="n"/>
      <c r="I743" s="123" t="n"/>
      <c r="J743" s="125" t="n"/>
      <c r="K743" s="120" t="n"/>
    </row>
    <row r="744" ht="15" customHeight="1" s="72">
      <c r="A744" s="117" t="n"/>
      <c r="B744" s="117" t="n"/>
      <c r="C744" s="118" t="n"/>
      <c r="D744" s="118" t="n"/>
      <c r="E744" s="118" t="n"/>
      <c r="F744" s="123" t="n"/>
      <c r="G744" s="119" t="n"/>
      <c r="H744" s="123" t="n"/>
      <c r="I744" s="123" t="n"/>
      <c r="J744" s="125" t="n"/>
      <c r="K744" s="120" t="n"/>
    </row>
    <row r="745" ht="15" customHeight="1" s="72">
      <c r="A745" s="117" t="n"/>
      <c r="B745" s="117" t="n"/>
      <c r="C745" s="118" t="n"/>
      <c r="D745" s="118" t="n"/>
      <c r="E745" s="118" t="n"/>
      <c r="F745" s="123" t="n"/>
      <c r="G745" s="119" t="n"/>
      <c r="H745" s="123" t="n"/>
      <c r="I745" s="123" t="n"/>
      <c r="J745" s="125" t="n"/>
      <c r="K745" s="120" t="n"/>
    </row>
    <row r="746" ht="15" customHeight="1" s="72">
      <c r="A746" s="117" t="n"/>
      <c r="B746" s="117" t="n"/>
      <c r="C746" s="118" t="n"/>
      <c r="D746" s="118" t="n"/>
      <c r="E746" s="118" t="n"/>
      <c r="F746" s="123" t="n"/>
      <c r="G746" s="119" t="n"/>
      <c r="H746" s="123" t="n"/>
      <c r="I746" s="123" t="n"/>
      <c r="J746" s="125" t="n"/>
      <c r="K746" s="120" t="n"/>
    </row>
    <row r="747" ht="15" customHeight="1" s="72">
      <c r="A747" s="117" t="n"/>
      <c r="B747" s="117" t="n"/>
      <c r="C747" s="118" t="n"/>
      <c r="D747" s="118" t="n"/>
      <c r="E747" s="118" t="n"/>
      <c r="F747" s="123" t="n"/>
      <c r="G747" s="119" t="n"/>
      <c r="H747" s="123" t="n"/>
      <c r="I747" s="123" t="n"/>
      <c r="J747" s="125" t="n"/>
      <c r="K747" s="120" t="n"/>
    </row>
    <row r="748" ht="15" customHeight="1" s="72">
      <c r="A748" s="117" t="n"/>
      <c r="B748" s="117" t="n"/>
      <c r="C748" s="118" t="n"/>
      <c r="D748" s="118" t="n"/>
      <c r="E748" s="118" t="n"/>
      <c r="F748" s="123" t="n"/>
      <c r="G748" s="119" t="n"/>
      <c r="H748" s="123" t="n"/>
      <c r="I748" s="123" t="n"/>
      <c r="J748" s="125" t="n"/>
      <c r="K748" s="120" t="n"/>
    </row>
    <row r="749" ht="15" customHeight="1" s="72">
      <c r="A749" s="117" t="n"/>
      <c r="B749" s="117" t="n"/>
      <c r="C749" s="118" t="n"/>
      <c r="D749" s="118" t="n"/>
      <c r="E749" s="118" t="n"/>
      <c r="F749" s="123" t="n"/>
      <c r="G749" s="119" t="n"/>
      <c r="H749" s="123" t="n"/>
      <c r="I749" s="123" t="n"/>
      <c r="J749" s="125" t="n"/>
      <c r="K749" s="120" t="n"/>
    </row>
    <row r="750" ht="15" customHeight="1" s="72">
      <c r="A750" s="117" t="n"/>
      <c r="B750" s="117" t="n"/>
      <c r="C750" s="118" t="n"/>
      <c r="D750" s="118" t="n"/>
      <c r="E750" s="118" t="n"/>
      <c r="F750" s="123" t="n"/>
      <c r="G750" s="119" t="n"/>
      <c r="H750" s="123" t="n"/>
      <c r="I750" s="123" t="n"/>
      <c r="J750" s="125" t="n"/>
      <c r="K750" s="120" t="n"/>
    </row>
    <row r="751" ht="15" customHeight="1" s="72">
      <c r="A751" s="117" t="n"/>
      <c r="B751" s="117" t="n"/>
      <c r="C751" s="118" t="n"/>
      <c r="D751" s="118" t="n"/>
      <c r="E751" s="118" t="n"/>
      <c r="F751" s="123" t="n"/>
      <c r="G751" s="119" t="n"/>
      <c r="H751" s="123" t="n"/>
      <c r="I751" s="123" t="n"/>
      <c r="J751" s="125" t="n"/>
      <c r="K751" s="120" t="n"/>
    </row>
    <row r="752" ht="15" customHeight="1" s="72">
      <c r="A752" s="117" t="n"/>
      <c r="B752" s="117" t="n"/>
      <c r="C752" s="118" t="n"/>
      <c r="D752" s="118" t="n"/>
      <c r="E752" s="118" t="n"/>
      <c r="F752" s="123" t="n"/>
      <c r="G752" s="119" t="n"/>
      <c r="H752" s="123" t="n"/>
      <c r="I752" s="123" t="n"/>
      <c r="J752" s="125" t="n"/>
      <c r="K752" s="120" t="n"/>
    </row>
    <row r="753" ht="15" customHeight="1" s="72">
      <c r="A753" s="117" t="n"/>
      <c r="B753" s="117" t="n"/>
      <c r="C753" s="118" t="n"/>
      <c r="D753" s="118" t="n"/>
      <c r="E753" s="118" t="n"/>
      <c r="F753" s="123" t="n"/>
      <c r="G753" s="119" t="n"/>
      <c r="H753" s="123" t="n"/>
      <c r="I753" s="123" t="n"/>
      <c r="J753" s="125" t="n"/>
      <c r="K753" s="120" t="n"/>
    </row>
    <row r="754" ht="15" customHeight="1" s="72">
      <c r="A754" s="117" t="n"/>
      <c r="B754" s="117" t="n"/>
      <c r="C754" s="118" t="n"/>
      <c r="D754" s="118" t="n"/>
      <c r="E754" s="118" t="n"/>
      <c r="F754" s="123" t="n"/>
      <c r="G754" s="119" t="n"/>
      <c r="H754" s="123" t="n"/>
      <c r="I754" s="123" t="n"/>
      <c r="J754" s="125" t="n"/>
      <c r="K754" s="120" t="n"/>
    </row>
    <row r="755" ht="15" customHeight="1" s="72">
      <c r="A755" s="117" t="n"/>
      <c r="B755" s="117" t="n"/>
      <c r="C755" s="118" t="n"/>
      <c r="D755" s="118" t="n"/>
      <c r="E755" s="118" t="n"/>
      <c r="F755" s="123" t="n"/>
      <c r="G755" s="119" t="n"/>
      <c r="H755" s="123" t="n"/>
      <c r="I755" s="123" t="n"/>
      <c r="J755" s="125" t="n"/>
      <c r="K755" s="120" t="n"/>
    </row>
    <row r="756" ht="15" customHeight="1" s="72">
      <c r="A756" s="117" t="n"/>
      <c r="B756" s="117" t="n"/>
      <c r="C756" s="118" t="n"/>
      <c r="D756" s="118" t="n"/>
      <c r="E756" s="118" t="n"/>
      <c r="F756" s="123" t="n"/>
      <c r="G756" s="119" t="n"/>
      <c r="H756" s="123" t="n"/>
      <c r="I756" s="123" t="n"/>
      <c r="J756" s="125" t="n"/>
      <c r="K756" s="120" t="n"/>
    </row>
    <row r="757" ht="15" customHeight="1" s="72">
      <c r="A757" s="117" t="n"/>
      <c r="B757" s="117" t="n"/>
      <c r="C757" s="118" t="n"/>
      <c r="D757" s="118" t="n"/>
      <c r="E757" s="118" t="n"/>
      <c r="F757" s="123" t="n"/>
      <c r="G757" s="119" t="n"/>
      <c r="H757" s="123" t="n"/>
      <c r="I757" s="123" t="n"/>
      <c r="J757" s="125" t="n"/>
      <c r="K757" s="120" t="n"/>
    </row>
    <row r="758" ht="15" customHeight="1" s="72">
      <c r="A758" s="117" t="n"/>
      <c r="B758" s="117" t="n"/>
      <c r="C758" s="118" t="n"/>
      <c r="D758" s="118" t="n"/>
      <c r="E758" s="118" t="n"/>
      <c r="F758" s="123" t="n"/>
      <c r="G758" s="119" t="n"/>
      <c r="H758" s="123" t="n"/>
      <c r="I758" s="123" t="n"/>
      <c r="J758" s="125" t="n"/>
      <c r="K758" s="120" t="n"/>
    </row>
    <row r="759" ht="15" customHeight="1" s="72">
      <c r="A759" s="117" t="n"/>
      <c r="B759" s="117" t="n"/>
      <c r="C759" s="118" t="n"/>
      <c r="D759" s="118" t="n"/>
      <c r="E759" s="118" t="n"/>
      <c r="F759" s="123" t="n"/>
      <c r="G759" s="119" t="n"/>
      <c r="H759" s="123" t="n"/>
      <c r="I759" s="123" t="n"/>
      <c r="J759" s="125" t="n"/>
      <c r="K759" s="120" t="n"/>
    </row>
    <row r="760" ht="15" customHeight="1" s="72">
      <c r="A760" s="117" t="n"/>
      <c r="B760" s="117" t="n"/>
      <c r="C760" s="118" t="n"/>
      <c r="D760" s="118" t="n"/>
      <c r="E760" s="118" t="n"/>
      <c r="F760" s="123" t="n"/>
      <c r="G760" s="119" t="n"/>
      <c r="H760" s="123" t="n"/>
      <c r="I760" s="123" t="n"/>
      <c r="J760" s="125" t="n"/>
      <c r="K760" s="120" t="n"/>
    </row>
    <row r="761" ht="15" customHeight="1" s="72">
      <c r="A761" s="117" t="n"/>
      <c r="B761" s="117" t="n"/>
      <c r="C761" s="118" t="n"/>
      <c r="D761" s="118" t="n"/>
      <c r="E761" s="118" t="n"/>
      <c r="F761" s="123" t="n"/>
      <c r="G761" s="119" t="n"/>
      <c r="H761" s="123" t="n"/>
      <c r="I761" s="123" t="n"/>
      <c r="J761" s="125" t="n"/>
      <c r="K761" s="120" t="n"/>
    </row>
    <row r="762" ht="15" customHeight="1" s="72">
      <c r="A762" s="117" t="n"/>
      <c r="B762" s="117" t="n"/>
      <c r="C762" s="118" t="n"/>
      <c r="D762" s="118" t="n"/>
      <c r="E762" s="118" t="n"/>
      <c r="F762" s="123" t="n"/>
      <c r="G762" s="119" t="n"/>
      <c r="H762" s="123" t="n"/>
      <c r="I762" s="123" t="n"/>
      <c r="J762" s="125" t="n"/>
      <c r="K762" s="120" t="n"/>
    </row>
    <row r="763" ht="15" customHeight="1" s="72">
      <c r="A763" s="117" t="n"/>
      <c r="B763" s="117" t="n"/>
      <c r="C763" s="118" t="n"/>
      <c r="D763" s="118" t="n"/>
      <c r="E763" s="118" t="n"/>
      <c r="F763" s="123" t="n"/>
      <c r="G763" s="119" t="n"/>
      <c r="H763" s="123" t="n"/>
      <c r="I763" s="123" t="n"/>
      <c r="J763" s="125" t="n"/>
      <c r="K763" s="120" t="n"/>
    </row>
    <row r="764" ht="15" customHeight="1" s="72">
      <c r="A764" s="117" t="n"/>
      <c r="B764" s="117" t="n"/>
      <c r="C764" s="118" t="n"/>
      <c r="D764" s="118" t="n"/>
      <c r="E764" s="118" t="n"/>
      <c r="F764" s="123" t="n"/>
      <c r="G764" s="119" t="n"/>
      <c r="H764" s="123" t="n"/>
      <c r="I764" s="123" t="n"/>
      <c r="J764" s="125" t="n"/>
      <c r="K764" s="120" t="n"/>
    </row>
    <row r="765" ht="15" customHeight="1" s="72">
      <c r="A765" s="117" t="n"/>
      <c r="B765" s="117" t="n"/>
      <c r="C765" s="118" t="n"/>
      <c r="D765" s="118" t="n"/>
      <c r="E765" s="118" t="n"/>
      <c r="F765" s="123" t="n"/>
      <c r="G765" s="119" t="n"/>
      <c r="H765" s="123" t="n"/>
      <c r="I765" s="123" t="n"/>
      <c r="J765" s="125" t="n"/>
      <c r="K765" s="120" t="n"/>
    </row>
    <row r="766" ht="15" customHeight="1" s="72">
      <c r="A766" s="117" t="n"/>
      <c r="B766" s="117" t="n"/>
      <c r="C766" s="118" t="n"/>
      <c r="D766" s="118" t="n"/>
      <c r="E766" s="118" t="n"/>
      <c r="F766" s="123" t="n"/>
      <c r="G766" s="119" t="n"/>
      <c r="H766" s="123" t="n"/>
      <c r="I766" s="123" t="n"/>
      <c r="J766" s="125" t="n"/>
      <c r="K766" s="120" t="n"/>
    </row>
    <row r="767" ht="15" customHeight="1" s="72">
      <c r="A767" s="117" t="n"/>
      <c r="B767" s="117" t="n"/>
      <c r="C767" s="118" t="n"/>
      <c r="D767" s="118" t="n"/>
      <c r="E767" s="118" t="n"/>
      <c r="F767" s="123" t="n"/>
      <c r="G767" s="119" t="n"/>
      <c r="H767" s="123" t="n"/>
      <c r="I767" s="123" t="n"/>
      <c r="J767" s="125" t="n"/>
      <c r="K767" s="120" t="n"/>
    </row>
    <row r="768" ht="15" customHeight="1" s="72">
      <c r="A768" s="117" t="n"/>
      <c r="B768" s="117" t="n"/>
      <c r="C768" s="118" t="n"/>
      <c r="D768" s="118" t="n"/>
      <c r="E768" s="118" t="n"/>
      <c r="F768" s="123" t="n"/>
      <c r="G768" s="119" t="n"/>
      <c r="H768" s="123" t="n"/>
      <c r="I768" s="123" t="n"/>
      <c r="J768" s="125" t="n"/>
      <c r="K768" s="120" t="n"/>
    </row>
    <row r="769" ht="15" customHeight="1" s="72">
      <c r="A769" s="117" t="n"/>
      <c r="B769" s="117" t="n"/>
      <c r="C769" s="118" t="n"/>
      <c r="D769" s="118" t="n"/>
      <c r="E769" s="118" t="n"/>
      <c r="F769" s="123" t="n"/>
      <c r="G769" s="119" t="n"/>
      <c r="H769" s="123" t="n"/>
      <c r="I769" s="123" t="n"/>
      <c r="J769" s="125" t="n"/>
      <c r="K769" s="120" t="n"/>
    </row>
    <row r="770" ht="15" customHeight="1" s="72">
      <c r="A770" s="117" t="n"/>
      <c r="B770" s="117" t="n"/>
      <c r="C770" s="118" t="n"/>
      <c r="D770" s="118" t="n"/>
      <c r="E770" s="118" t="n"/>
      <c r="F770" s="123" t="n"/>
      <c r="G770" s="119" t="n"/>
      <c r="H770" s="123" t="n"/>
      <c r="I770" s="123" t="n"/>
      <c r="J770" s="125" t="n"/>
      <c r="K770" s="120" t="n"/>
    </row>
    <row r="771" ht="15" customHeight="1" s="72">
      <c r="A771" s="117" t="n"/>
      <c r="B771" s="117" t="n"/>
      <c r="C771" s="118" t="n"/>
      <c r="D771" s="118" t="n"/>
      <c r="E771" s="118" t="n"/>
      <c r="F771" s="123" t="n"/>
      <c r="G771" s="119" t="n"/>
      <c r="H771" s="123" t="n"/>
      <c r="I771" s="123" t="n"/>
      <c r="J771" s="125" t="n"/>
      <c r="K771" s="120" t="n"/>
    </row>
    <row r="772" ht="15" customHeight="1" s="72">
      <c r="A772" s="117" t="n"/>
      <c r="B772" s="117" t="n"/>
      <c r="C772" s="118" t="n"/>
      <c r="D772" s="118" t="n"/>
      <c r="E772" s="118" t="n"/>
      <c r="F772" s="123" t="n"/>
      <c r="G772" s="119" t="n"/>
      <c r="H772" s="123" t="n"/>
      <c r="I772" s="123" t="n"/>
      <c r="J772" s="125" t="n"/>
      <c r="K772" s="120" t="n"/>
    </row>
    <row r="773" ht="15" customHeight="1" s="72">
      <c r="A773" s="117" t="n"/>
      <c r="B773" s="117" t="n"/>
      <c r="C773" s="118" t="n"/>
      <c r="D773" s="118" t="n"/>
      <c r="E773" s="118" t="n"/>
      <c r="F773" s="123" t="n"/>
      <c r="G773" s="119" t="n"/>
      <c r="H773" s="123" t="n"/>
      <c r="I773" s="123" t="n"/>
      <c r="J773" s="125" t="n"/>
      <c r="K773" s="120" t="n"/>
    </row>
    <row r="774" ht="15" customHeight="1" s="72">
      <c r="A774" s="117" t="n"/>
      <c r="B774" s="117" t="n"/>
      <c r="C774" s="118" t="n"/>
      <c r="D774" s="118" t="n"/>
      <c r="E774" s="118" t="n"/>
      <c r="F774" s="123" t="n"/>
      <c r="G774" s="119" t="n"/>
      <c r="H774" s="123" t="n"/>
      <c r="I774" s="123" t="n"/>
      <c r="J774" s="125" t="n"/>
      <c r="K774" s="120" t="n"/>
    </row>
    <row r="775" ht="15" customHeight="1" s="72">
      <c r="A775" s="117" t="n"/>
      <c r="B775" s="117" t="n"/>
      <c r="C775" s="118" t="n"/>
      <c r="D775" s="118" t="n"/>
      <c r="E775" s="118" t="n"/>
      <c r="F775" s="123" t="n"/>
      <c r="G775" s="119" t="n"/>
      <c r="H775" s="123" t="n"/>
      <c r="I775" s="123" t="n"/>
      <c r="J775" s="125" t="n"/>
      <c r="K775" s="120" t="n"/>
    </row>
    <row r="776" ht="15" customHeight="1" s="72">
      <c r="A776" s="117" t="n"/>
      <c r="B776" s="117" t="n"/>
      <c r="C776" s="118" t="n"/>
      <c r="D776" s="118" t="n"/>
      <c r="E776" s="118" t="n"/>
      <c r="F776" s="123" t="n"/>
      <c r="G776" s="119" t="n"/>
      <c r="H776" s="123" t="n"/>
      <c r="I776" s="123" t="n"/>
      <c r="J776" s="125" t="n"/>
      <c r="K776" s="120" t="n"/>
    </row>
    <row r="777" ht="15" customHeight="1" s="72">
      <c r="A777" s="117" t="n"/>
      <c r="B777" s="117" t="n"/>
      <c r="C777" s="118" t="n"/>
      <c r="D777" s="118" t="n"/>
      <c r="E777" s="118" t="n"/>
      <c r="F777" s="123" t="n"/>
      <c r="G777" s="119" t="n"/>
      <c r="H777" s="123" t="n"/>
      <c r="I777" s="123" t="n"/>
      <c r="J777" s="125" t="n"/>
      <c r="K777" s="120" t="n"/>
    </row>
    <row r="778" ht="15" customHeight="1" s="72">
      <c r="A778" s="117" t="n"/>
      <c r="B778" s="117" t="n"/>
      <c r="C778" s="118" t="n"/>
      <c r="D778" s="118" t="n"/>
      <c r="E778" s="118" t="n"/>
      <c r="F778" s="123" t="n"/>
      <c r="G778" s="119" t="n"/>
      <c r="H778" s="123" t="n"/>
      <c r="I778" s="123" t="n"/>
      <c r="J778" s="125" t="n"/>
      <c r="K778" s="120" t="n"/>
    </row>
    <row r="779" ht="15" customHeight="1" s="72">
      <c r="A779" s="117" t="n"/>
      <c r="B779" s="117" t="n"/>
      <c r="C779" s="118" t="n"/>
      <c r="D779" s="118" t="n"/>
      <c r="E779" s="118" t="n"/>
      <c r="F779" s="123" t="n"/>
      <c r="G779" s="119" t="n"/>
      <c r="H779" s="123" t="n"/>
      <c r="I779" s="123" t="n"/>
      <c r="J779" s="125" t="n"/>
      <c r="K779" s="120" t="n"/>
    </row>
    <row r="780" ht="15" customHeight="1" s="72">
      <c r="A780" s="117" t="n"/>
      <c r="B780" s="117" t="n"/>
      <c r="C780" s="118" t="n"/>
      <c r="D780" s="118" t="n"/>
      <c r="E780" s="118" t="n"/>
      <c r="F780" s="123" t="n"/>
      <c r="G780" s="119" t="n"/>
      <c r="H780" s="123" t="n"/>
      <c r="I780" s="123" t="n"/>
      <c r="J780" s="125" t="n"/>
      <c r="K780" s="120" t="n"/>
    </row>
    <row r="781" ht="15" customHeight="1" s="72">
      <c r="A781" s="117" t="n"/>
      <c r="B781" s="117" t="n"/>
      <c r="C781" s="118" t="n"/>
      <c r="D781" s="118" t="n"/>
      <c r="E781" s="118" t="n"/>
      <c r="F781" s="123" t="n"/>
      <c r="G781" s="119" t="n"/>
      <c r="H781" s="123" t="n"/>
      <c r="I781" s="123" t="n"/>
      <c r="J781" s="125" t="n"/>
      <c r="K781" s="120" t="n"/>
    </row>
    <row r="782" ht="15" customHeight="1" s="72">
      <c r="A782" s="117" t="n"/>
      <c r="B782" s="117" t="n"/>
      <c r="C782" s="118" t="n"/>
      <c r="D782" s="118" t="n"/>
      <c r="E782" s="118" t="n"/>
      <c r="F782" s="123" t="n"/>
      <c r="G782" s="119" t="n"/>
      <c r="H782" s="123" t="n"/>
      <c r="I782" s="123" t="n"/>
      <c r="J782" s="125" t="n"/>
      <c r="K782" s="120" t="n"/>
    </row>
    <row r="783" ht="15" customHeight="1" s="72">
      <c r="A783" s="117" t="n"/>
      <c r="B783" s="117" t="n"/>
      <c r="C783" s="118" t="n"/>
      <c r="D783" s="118" t="n"/>
      <c r="E783" s="118" t="n"/>
      <c r="F783" s="123" t="n"/>
      <c r="G783" s="119" t="n"/>
      <c r="H783" s="123" t="n"/>
      <c r="I783" s="123" t="n"/>
      <c r="J783" s="125" t="n"/>
      <c r="K783" s="120" t="n"/>
    </row>
    <row r="784" ht="15" customHeight="1" s="72">
      <c r="A784" s="117" t="n"/>
      <c r="B784" s="117" t="n"/>
      <c r="C784" s="118" t="n"/>
      <c r="D784" s="118" t="n"/>
      <c r="E784" s="118" t="n"/>
      <c r="F784" s="123" t="n"/>
      <c r="G784" s="119" t="n"/>
      <c r="H784" s="123" t="n"/>
      <c r="I784" s="123" t="n"/>
      <c r="J784" s="125" t="n"/>
      <c r="K784" s="120" t="n"/>
    </row>
    <row r="785" ht="15" customHeight="1" s="72">
      <c r="A785" s="117" t="n"/>
      <c r="B785" s="117" t="n"/>
      <c r="C785" s="118" t="n"/>
      <c r="D785" s="118" t="n"/>
      <c r="E785" s="118" t="n"/>
      <c r="F785" s="123" t="n"/>
      <c r="G785" s="119" t="n"/>
      <c r="H785" s="123" t="n"/>
      <c r="I785" s="123" t="n"/>
      <c r="J785" s="125" t="n"/>
      <c r="K785" s="120" t="n"/>
    </row>
    <row r="786" ht="15" customHeight="1" s="72">
      <c r="A786" s="117" t="n"/>
      <c r="B786" s="117" t="n"/>
      <c r="C786" s="118" t="n"/>
      <c r="D786" s="118" t="n"/>
      <c r="E786" s="118" t="n"/>
      <c r="F786" s="123" t="n"/>
      <c r="G786" s="119" t="n"/>
      <c r="H786" s="123" t="n"/>
      <c r="I786" s="123" t="n"/>
      <c r="J786" s="125" t="n"/>
      <c r="K786" s="120" t="n"/>
    </row>
    <row r="787" ht="15" customHeight="1" s="72">
      <c r="A787" s="117" t="n"/>
      <c r="B787" s="117" t="n"/>
      <c r="C787" s="118" t="n"/>
      <c r="D787" s="118" t="n"/>
      <c r="E787" s="118" t="n"/>
      <c r="F787" s="123" t="n"/>
      <c r="G787" s="119" t="n"/>
      <c r="H787" s="123" t="n"/>
      <c r="I787" s="123" t="n"/>
      <c r="J787" s="125" t="n"/>
      <c r="K787" s="120" t="n"/>
    </row>
    <row r="788" ht="15" customHeight="1" s="72">
      <c r="A788" s="117" t="n"/>
      <c r="B788" s="117" t="n"/>
      <c r="C788" s="118" t="n"/>
      <c r="D788" s="118" t="n"/>
      <c r="E788" s="118" t="n"/>
      <c r="F788" s="123" t="n"/>
      <c r="G788" s="119" t="n"/>
      <c r="H788" s="123" t="n"/>
      <c r="I788" s="123" t="n"/>
      <c r="J788" s="125" t="n"/>
      <c r="K788" s="120" t="n"/>
    </row>
    <row r="789" ht="15" customHeight="1" s="72">
      <c r="A789" s="117" t="n"/>
      <c r="B789" s="117" t="n"/>
      <c r="C789" s="118" t="n"/>
      <c r="D789" s="118" t="n"/>
      <c r="E789" s="118" t="n"/>
      <c r="F789" s="123" t="n"/>
      <c r="G789" s="119" t="n"/>
      <c r="H789" s="123" t="n"/>
      <c r="I789" s="123" t="n"/>
      <c r="J789" s="125" t="n"/>
      <c r="K789" s="120" t="n"/>
    </row>
    <row r="790" ht="15" customHeight="1" s="72">
      <c r="A790" s="117" t="n"/>
      <c r="B790" s="117" t="n"/>
      <c r="C790" s="118" t="n"/>
      <c r="D790" s="118" t="n"/>
      <c r="E790" s="118" t="n"/>
      <c r="F790" s="123" t="n"/>
      <c r="G790" s="119" t="n"/>
      <c r="H790" s="123" t="n"/>
      <c r="I790" s="123" t="n"/>
      <c r="J790" s="125" t="n"/>
      <c r="K790" s="120" t="n"/>
    </row>
    <row r="791" ht="15" customHeight="1" s="72">
      <c r="A791" s="117" t="n"/>
      <c r="B791" s="117" t="n"/>
      <c r="C791" s="118" t="n"/>
      <c r="D791" s="118" t="n"/>
      <c r="E791" s="118" t="n"/>
      <c r="F791" s="123" t="n"/>
      <c r="G791" s="119" t="n"/>
      <c r="H791" s="123" t="n"/>
      <c r="I791" s="123" t="n"/>
      <c r="J791" s="125" t="n"/>
      <c r="K791" s="120" t="n"/>
    </row>
    <row r="792" ht="15" customHeight="1" s="72">
      <c r="A792" s="117" t="n"/>
      <c r="B792" s="117" t="n"/>
      <c r="C792" s="118" t="n"/>
      <c r="D792" s="118" t="n"/>
      <c r="E792" s="118" t="n"/>
      <c r="F792" s="123" t="n"/>
      <c r="G792" s="119" t="n"/>
      <c r="H792" s="123" t="n"/>
      <c r="I792" s="123" t="n"/>
      <c r="J792" s="125" t="n"/>
      <c r="K792" s="120" t="n"/>
    </row>
    <row r="793" ht="15" customHeight="1" s="72">
      <c r="A793" s="117" t="n"/>
      <c r="B793" s="117" t="n"/>
      <c r="C793" s="118" t="n"/>
      <c r="D793" s="118" t="n"/>
      <c r="E793" s="118" t="n"/>
      <c r="F793" s="123" t="n"/>
      <c r="G793" s="119" t="n"/>
      <c r="H793" s="123" t="n"/>
      <c r="I793" s="123" t="n"/>
      <c r="J793" s="125" t="n"/>
      <c r="K793" s="120" t="n"/>
    </row>
    <row r="794" ht="15" customHeight="1" s="72">
      <c r="A794" s="117" t="n"/>
      <c r="B794" s="117" t="n"/>
      <c r="C794" s="118" t="n"/>
      <c r="D794" s="118" t="n"/>
      <c r="E794" s="118" t="n"/>
      <c r="F794" s="123" t="n"/>
      <c r="G794" s="119" t="n"/>
      <c r="H794" s="123" t="n"/>
      <c r="I794" s="123" t="n"/>
      <c r="J794" s="125" t="n"/>
      <c r="K794" s="120" t="n"/>
    </row>
    <row r="795" ht="15" customHeight="1" s="72">
      <c r="A795" s="117" t="n"/>
      <c r="B795" s="117" t="n"/>
      <c r="C795" s="118" t="n"/>
      <c r="D795" s="118" t="n"/>
      <c r="E795" s="118" t="n"/>
      <c r="F795" s="123" t="n"/>
      <c r="G795" s="119" t="n"/>
      <c r="H795" s="123" t="n"/>
      <c r="I795" s="123" t="n"/>
      <c r="J795" s="125" t="n"/>
      <c r="K795" s="120" t="n"/>
    </row>
    <row r="796" ht="15" customHeight="1" s="72">
      <c r="A796" s="117" t="n"/>
      <c r="B796" s="117" t="n"/>
      <c r="C796" s="118" t="n"/>
      <c r="D796" s="118" t="n"/>
      <c r="E796" s="118" t="n"/>
      <c r="F796" s="123" t="n"/>
      <c r="G796" s="119" t="n"/>
      <c r="H796" s="123" t="n"/>
      <c r="I796" s="123" t="n"/>
      <c r="J796" s="125" t="n"/>
      <c r="K796" s="120" t="n"/>
    </row>
    <row r="797" ht="15" customHeight="1" s="72">
      <c r="A797" s="117" t="n"/>
      <c r="B797" s="117" t="n"/>
      <c r="C797" s="118" t="n"/>
      <c r="D797" s="118" t="n"/>
      <c r="E797" s="118" t="n"/>
      <c r="F797" s="123" t="n"/>
      <c r="G797" s="119" t="n"/>
      <c r="H797" s="123" t="n"/>
      <c r="I797" s="123" t="n"/>
      <c r="J797" s="125" t="n"/>
      <c r="K797" s="120" t="n"/>
    </row>
    <row r="798" ht="15" customHeight="1" s="72">
      <c r="A798" s="117" t="n"/>
      <c r="B798" s="117" t="n"/>
      <c r="C798" s="118" t="n"/>
      <c r="D798" s="118" t="n"/>
      <c r="E798" s="118" t="n"/>
      <c r="F798" s="123" t="n"/>
      <c r="G798" s="119" t="n"/>
      <c r="H798" s="123" t="n"/>
      <c r="I798" s="123" t="n"/>
      <c r="J798" s="125" t="n"/>
      <c r="K798" s="120" t="n"/>
    </row>
    <row r="799" ht="15" customHeight="1" s="72">
      <c r="A799" s="117" t="n"/>
      <c r="B799" s="117" t="n"/>
      <c r="C799" s="118" t="n"/>
      <c r="D799" s="118" t="n"/>
      <c r="E799" s="118" t="n"/>
      <c r="F799" s="123" t="n"/>
      <c r="G799" s="119" t="n"/>
      <c r="H799" s="123" t="n"/>
      <c r="I799" s="123" t="n"/>
      <c r="J799" s="125" t="n"/>
      <c r="K799" s="120" t="n"/>
    </row>
    <row r="800" ht="15" customHeight="1" s="72">
      <c r="A800" s="117" t="n"/>
      <c r="B800" s="117" t="n"/>
      <c r="C800" s="118" t="n"/>
      <c r="D800" s="118" t="n"/>
      <c r="E800" s="118" t="n"/>
      <c r="F800" s="123" t="n"/>
      <c r="G800" s="119" t="n"/>
      <c r="H800" s="123" t="n"/>
      <c r="I800" s="123" t="n"/>
      <c r="J800" s="125" t="n"/>
      <c r="K800" s="120" t="n"/>
    </row>
    <row r="801" ht="15" customHeight="1" s="72">
      <c r="A801" s="117" t="n"/>
      <c r="B801" s="117" t="n"/>
      <c r="C801" s="118" t="n"/>
      <c r="D801" s="118" t="n"/>
      <c r="E801" s="118" t="n"/>
      <c r="F801" s="123" t="n"/>
      <c r="G801" s="119" t="n"/>
      <c r="H801" s="123" t="n"/>
      <c r="I801" s="123" t="n"/>
      <c r="J801" s="125" t="n"/>
      <c r="K801" s="120" t="n"/>
    </row>
    <row r="802" ht="15" customHeight="1" s="72">
      <c r="A802" s="117" t="n"/>
      <c r="B802" s="117" t="n"/>
      <c r="C802" s="118" t="n"/>
      <c r="D802" s="118" t="n"/>
      <c r="E802" s="118" t="n"/>
      <c r="F802" s="123" t="n"/>
      <c r="G802" s="119" t="n"/>
      <c r="H802" s="123" t="n"/>
      <c r="I802" s="123" t="n"/>
      <c r="J802" s="125" t="n"/>
      <c r="K802" s="120" t="n"/>
    </row>
    <row r="803" ht="15" customHeight="1" s="72">
      <c r="A803" s="117" t="n"/>
      <c r="B803" s="117" t="n"/>
      <c r="C803" s="118" t="n"/>
      <c r="D803" s="118" t="n"/>
      <c r="E803" s="118" t="n"/>
      <c r="F803" s="123" t="n"/>
      <c r="G803" s="119" t="n"/>
      <c r="H803" s="123" t="n"/>
      <c r="I803" s="123" t="n"/>
      <c r="J803" s="125" t="n"/>
      <c r="K803" s="120" t="n"/>
    </row>
    <row r="804" ht="15" customHeight="1" s="72">
      <c r="A804" s="117" t="n"/>
      <c r="B804" s="117" t="n"/>
      <c r="C804" s="118" t="n"/>
      <c r="D804" s="118" t="n"/>
      <c r="E804" s="118" t="n"/>
      <c r="F804" s="123" t="n"/>
      <c r="G804" s="119" t="n"/>
      <c r="H804" s="123" t="n"/>
      <c r="I804" s="123" t="n"/>
      <c r="J804" s="125" t="n"/>
      <c r="K804" s="120" t="n"/>
    </row>
    <row r="805" ht="15" customHeight="1" s="72">
      <c r="A805" s="117" t="n"/>
      <c r="B805" s="117" t="n"/>
      <c r="C805" s="118" t="n"/>
      <c r="D805" s="118" t="n"/>
      <c r="E805" s="118" t="n"/>
      <c r="F805" s="123" t="n"/>
      <c r="G805" s="119" t="n"/>
      <c r="H805" s="123" t="n"/>
      <c r="I805" s="123" t="n"/>
      <c r="J805" s="125" t="n"/>
      <c r="K805" s="120" t="n"/>
    </row>
    <row r="806" ht="15" customHeight="1" s="72">
      <c r="A806" s="117" t="n"/>
      <c r="B806" s="117" t="n"/>
      <c r="C806" s="118" t="n"/>
      <c r="D806" s="118" t="n"/>
      <c r="E806" s="118" t="n"/>
      <c r="F806" s="123" t="n"/>
      <c r="G806" s="119" t="n"/>
      <c r="H806" s="123" t="n"/>
      <c r="I806" s="123" t="n"/>
      <c r="J806" s="125" t="n"/>
      <c r="K806" s="120" t="n"/>
    </row>
    <row r="807" ht="15" customHeight="1" s="72">
      <c r="A807" s="117" t="n"/>
      <c r="B807" s="117" t="n"/>
      <c r="C807" s="118" t="n"/>
      <c r="D807" s="118" t="n"/>
      <c r="E807" s="118" t="n"/>
      <c r="F807" s="123" t="n"/>
      <c r="G807" s="119" t="n"/>
      <c r="H807" s="123" t="n"/>
      <c r="I807" s="123" t="n"/>
      <c r="J807" s="125" t="n"/>
      <c r="K807" s="120" t="n"/>
    </row>
    <row r="808" ht="15" customHeight="1" s="72">
      <c r="A808" s="117" t="n"/>
      <c r="B808" s="117" t="n"/>
      <c r="C808" s="118" t="n"/>
      <c r="D808" s="118" t="n"/>
      <c r="E808" s="118" t="n"/>
      <c r="F808" s="123" t="n"/>
      <c r="G808" s="119" t="n"/>
      <c r="H808" s="123" t="n"/>
      <c r="I808" s="123" t="n"/>
      <c r="J808" s="125" t="n"/>
      <c r="K808" s="120" t="n"/>
    </row>
    <row r="809" ht="15" customHeight="1" s="72">
      <c r="A809" s="117" t="n"/>
      <c r="B809" s="117" t="n"/>
      <c r="C809" s="118" t="n"/>
      <c r="D809" s="118" t="n"/>
      <c r="E809" s="118" t="n"/>
      <c r="F809" s="123" t="n"/>
      <c r="G809" s="119" t="n"/>
      <c r="H809" s="123" t="n"/>
      <c r="I809" s="123" t="n"/>
      <c r="J809" s="125" t="n"/>
      <c r="K809" s="120" t="n"/>
    </row>
    <row r="810" ht="15" customHeight="1" s="72">
      <c r="A810" s="117" t="n"/>
      <c r="B810" s="117" t="n"/>
      <c r="C810" s="118" t="n"/>
      <c r="D810" s="118" t="n"/>
      <c r="E810" s="118" t="n"/>
      <c r="F810" s="123" t="n"/>
      <c r="G810" s="119" t="n"/>
      <c r="H810" s="123" t="n"/>
      <c r="I810" s="123" t="n"/>
      <c r="J810" s="125" t="n"/>
      <c r="K810" s="120" t="n"/>
    </row>
    <row r="811" ht="15" customHeight="1" s="72">
      <c r="A811" s="117" t="n"/>
      <c r="B811" s="117" t="n"/>
      <c r="C811" s="118" t="n"/>
      <c r="D811" s="118" t="n"/>
      <c r="E811" s="118" t="n"/>
      <c r="F811" s="123" t="n"/>
      <c r="G811" s="119" t="n"/>
      <c r="H811" s="123" t="n"/>
      <c r="I811" s="123" t="n"/>
      <c r="J811" s="125" t="n"/>
      <c r="K811" s="120" t="n"/>
    </row>
    <row r="812" ht="15" customHeight="1" s="72">
      <c r="A812" s="117" t="n"/>
      <c r="B812" s="117" t="n"/>
      <c r="C812" s="118" t="n"/>
      <c r="D812" s="118" t="n"/>
      <c r="E812" s="118" t="n"/>
      <c r="F812" s="123" t="n"/>
      <c r="G812" s="119" t="n"/>
      <c r="H812" s="123" t="n"/>
      <c r="I812" s="123" t="n"/>
      <c r="J812" s="125" t="n"/>
      <c r="K812" s="120" t="n"/>
    </row>
    <row r="813" ht="15" customHeight="1" s="72">
      <c r="A813" s="117" t="n"/>
      <c r="B813" s="117" t="n"/>
      <c r="C813" s="118" t="n"/>
      <c r="D813" s="118" t="n"/>
      <c r="E813" s="118" t="n"/>
      <c r="F813" s="123" t="n"/>
      <c r="G813" s="119" t="n"/>
      <c r="H813" s="123" t="n"/>
      <c r="I813" s="123" t="n"/>
      <c r="J813" s="125" t="n"/>
      <c r="K813" s="120" t="n"/>
    </row>
    <row r="814" ht="15" customHeight="1" s="72">
      <c r="A814" s="117" t="n"/>
      <c r="B814" s="117" t="n"/>
      <c r="C814" s="118" t="n"/>
      <c r="D814" s="118" t="n"/>
      <c r="E814" s="118" t="n"/>
      <c r="F814" s="123" t="n"/>
      <c r="G814" s="119" t="n"/>
      <c r="H814" s="123" t="n"/>
      <c r="I814" s="123" t="n"/>
      <c r="J814" s="125" t="n"/>
      <c r="K814" s="120" t="n"/>
    </row>
    <row r="815" ht="15" customHeight="1" s="72">
      <c r="A815" s="117" t="n"/>
      <c r="B815" s="117" t="n"/>
      <c r="C815" s="118" t="n"/>
      <c r="D815" s="118" t="n"/>
      <c r="E815" s="118" t="n"/>
      <c r="F815" s="123" t="n"/>
      <c r="G815" s="119" t="n"/>
      <c r="H815" s="123" t="n"/>
      <c r="I815" s="123" t="n"/>
      <c r="J815" s="125" t="n"/>
      <c r="K815" s="120" t="n"/>
    </row>
    <row r="816" ht="15" customHeight="1" s="72">
      <c r="A816" s="117" t="n"/>
      <c r="B816" s="117" t="n"/>
      <c r="C816" s="118" t="n"/>
      <c r="D816" s="118" t="n"/>
      <c r="E816" s="118" t="n"/>
      <c r="F816" s="123" t="n"/>
      <c r="G816" s="119" t="n"/>
      <c r="H816" s="123" t="n"/>
      <c r="I816" s="123" t="n"/>
      <c r="J816" s="125" t="n"/>
      <c r="K816" s="120" t="n"/>
    </row>
    <row r="817" ht="15" customHeight="1" s="72">
      <c r="A817" s="117" t="n"/>
      <c r="B817" s="117" t="n"/>
      <c r="C817" s="118" t="n"/>
      <c r="D817" s="118" t="n"/>
      <c r="E817" s="118" t="n"/>
      <c r="F817" s="123" t="n"/>
      <c r="G817" s="119" t="n"/>
      <c r="H817" s="123" t="n"/>
      <c r="I817" s="123" t="n"/>
      <c r="J817" s="125" t="n"/>
      <c r="K817" s="120" t="n"/>
    </row>
    <row r="818" ht="15" customHeight="1" s="72">
      <c r="A818" s="117" t="n"/>
      <c r="B818" s="117" t="n"/>
      <c r="C818" s="118" t="n"/>
      <c r="D818" s="118" t="n"/>
      <c r="E818" s="118" t="n"/>
      <c r="F818" s="123" t="n"/>
      <c r="G818" s="119" t="n"/>
      <c r="H818" s="123" t="n"/>
      <c r="I818" s="123" t="n"/>
      <c r="J818" s="125" t="n"/>
      <c r="K818" s="120" t="n"/>
    </row>
    <row r="819" ht="15" customHeight="1" s="72">
      <c r="A819" s="117" t="n"/>
      <c r="B819" s="117" t="n"/>
      <c r="C819" s="118" t="n"/>
      <c r="D819" s="118" t="n"/>
      <c r="E819" s="118" t="n"/>
      <c r="F819" s="123" t="n"/>
      <c r="G819" s="119" t="n"/>
      <c r="H819" s="123" t="n"/>
      <c r="I819" s="123" t="n"/>
      <c r="J819" s="125" t="n"/>
      <c r="K819" s="120" t="n"/>
    </row>
    <row r="820" ht="15" customHeight="1" s="72">
      <c r="A820" s="117" t="n"/>
      <c r="B820" s="117" t="n"/>
      <c r="C820" s="118" t="n"/>
      <c r="D820" s="118" t="n"/>
      <c r="E820" s="118" t="n"/>
      <c r="F820" s="123" t="n"/>
      <c r="G820" s="119" t="n"/>
      <c r="H820" s="123" t="n"/>
      <c r="I820" s="123" t="n"/>
      <c r="J820" s="125" t="n"/>
      <c r="K820" s="120" t="n"/>
    </row>
    <row r="821" ht="15" customHeight="1" s="72">
      <c r="A821" s="117" t="n"/>
      <c r="B821" s="117" t="n"/>
      <c r="C821" s="118" t="n"/>
      <c r="D821" s="118" t="n"/>
      <c r="E821" s="118" t="n"/>
      <c r="F821" s="123" t="n"/>
      <c r="G821" s="119" t="n"/>
      <c r="H821" s="123" t="n"/>
      <c r="I821" s="123" t="n"/>
      <c r="J821" s="125" t="n"/>
      <c r="K821" s="120" t="n"/>
    </row>
    <row r="822" ht="15" customHeight="1" s="72">
      <c r="A822" s="117" t="n"/>
      <c r="B822" s="117" t="n"/>
      <c r="C822" s="118" t="n"/>
      <c r="D822" s="118" t="n"/>
      <c r="E822" s="118" t="n"/>
      <c r="F822" s="123" t="n"/>
      <c r="G822" s="119" t="n"/>
      <c r="H822" s="123" t="n"/>
      <c r="I822" s="123" t="n"/>
      <c r="J822" s="125" t="n"/>
      <c r="K822" s="120" t="n"/>
    </row>
    <row r="823" ht="15" customHeight="1" s="72">
      <c r="A823" s="117" t="n"/>
      <c r="B823" s="117" t="n"/>
      <c r="C823" s="118" t="n"/>
      <c r="D823" s="118" t="n"/>
      <c r="E823" s="118" t="n"/>
      <c r="F823" s="123" t="n"/>
      <c r="G823" s="119" t="n"/>
      <c r="H823" s="123" t="n"/>
      <c r="I823" s="123" t="n"/>
      <c r="J823" s="125" t="n"/>
      <c r="K823" s="120" t="n"/>
    </row>
    <row r="824" ht="15" customHeight="1" s="72">
      <c r="A824" s="117" t="n"/>
      <c r="B824" s="117" t="n"/>
      <c r="C824" s="118" t="n"/>
      <c r="D824" s="118" t="n"/>
      <c r="E824" s="118" t="n"/>
      <c r="F824" s="123" t="n"/>
      <c r="G824" s="119" t="n"/>
      <c r="H824" s="123" t="n"/>
      <c r="I824" s="123" t="n"/>
      <c r="J824" s="125" t="n"/>
      <c r="K824" s="120" t="n"/>
    </row>
    <row r="825" ht="15" customHeight="1" s="72">
      <c r="A825" s="117" t="n"/>
      <c r="B825" s="117" t="n"/>
      <c r="C825" s="118" t="n"/>
      <c r="D825" s="118" t="n"/>
      <c r="E825" s="118" t="n"/>
      <c r="F825" s="123" t="n"/>
      <c r="G825" s="119" t="n"/>
      <c r="H825" s="123" t="n"/>
      <c r="I825" s="123" t="n"/>
      <c r="J825" s="125" t="n"/>
      <c r="K825" s="120" t="n"/>
    </row>
    <row r="826" ht="15" customHeight="1" s="72">
      <c r="A826" s="117" t="n"/>
      <c r="B826" s="117" t="n"/>
      <c r="C826" s="118" t="n"/>
      <c r="D826" s="118" t="n"/>
      <c r="E826" s="118" t="n"/>
      <c r="F826" s="123" t="n"/>
      <c r="G826" s="119" t="n"/>
      <c r="H826" s="123" t="n"/>
      <c r="I826" s="123" t="n"/>
      <c r="J826" s="125" t="n"/>
      <c r="K826" s="120" t="n"/>
    </row>
    <row r="827" ht="15" customHeight="1" s="72">
      <c r="A827" s="117" t="n"/>
      <c r="B827" s="117" t="n"/>
      <c r="C827" s="118" t="n"/>
      <c r="D827" s="118" t="n"/>
      <c r="E827" s="118" t="n"/>
      <c r="F827" s="123" t="n"/>
      <c r="G827" s="119" t="n"/>
      <c r="H827" s="123" t="n"/>
      <c r="I827" s="123" t="n"/>
      <c r="J827" s="125" t="n"/>
      <c r="K827" s="120" t="n"/>
    </row>
    <row r="828" ht="15" customHeight="1" s="72">
      <c r="A828" s="117" t="n"/>
      <c r="B828" s="117" t="n"/>
      <c r="C828" s="118" t="n"/>
      <c r="D828" s="118" t="n"/>
      <c r="E828" s="118" t="n"/>
      <c r="F828" s="123" t="n"/>
      <c r="G828" s="119" t="n"/>
      <c r="H828" s="123" t="n"/>
      <c r="I828" s="123" t="n"/>
      <c r="J828" s="125" t="n"/>
      <c r="K828" s="120" t="n"/>
    </row>
    <row r="829" ht="15" customHeight="1" s="72">
      <c r="A829" s="117" t="n"/>
      <c r="B829" s="117" t="n"/>
      <c r="C829" s="118" t="n"/>
      <c r="D829" s="118" t="n"/>
      <c r="E829" s="118" t="n"/>
      <c r="F829" s="123" t="n"/>
      <c r="G829" s="119" t="n"/>
      <c r="H829" s="123" t="n"/>
      <c r="I829" s="123" t="n"/>
      <c r="J829" s="125" t="n"/>
      <c r="K829" s="120" t="n"/>
    </row>
    <row r="830" ht="15" customHeight="1" s="72">
      <c r="A830" s="117" t="n"/>
      <c r="B830" s="117" t="n"/>
      <c r="C830" s="118" t="n"/>
      <c r="D830" s="118" t="n"/>
      <c r="E830" s="118" t="n"/>
      <c r="F830" s="123" t="n"/>
      <c r="G830" s="119" t="n"/>
      <c r="H830" s="123" t="n"/>
      <c r="I830" s="123" t="n"/>
      <c r="J830" s="125" t="n"/>
      <c r="K830" s="120" t="n"/>
    </row>
    <row r="831" ht="15" customHeight="1" s="72">
      <c r="A831" s="117" t="n"/>
      <c r="B831" s="117" t="n"/>
      <c r="C831" s="118" t="n"/>
      <c r="D831" s="118" t="n"/>
      <c r="E831" s="118" t="n"/>
      <c r="F831" s="123" t="n"/>
      <c r="G831" s="119" t="n"/>
      <c r="H831" s="123" t="n"/>
      <c r="I831" s="123" t="n"/>
      <c r="J831" s="125" t="n"/>
      <c r="K831" s="120" t="n"/>
    </row>
    <row r="832" ht="15" customHeight="1" s="72">
      <c r="A832" s="117" t="n"/>
      <c r="B832" s="117" t="n"/>
      <c r="C832" s="118" t="n"/>
      <c r="D832" s="118" t="n"/>
      <c r="E832" s="118" t="n"/>
      <c r="F832" s="123" t="n"/>
      <c r="G832" s="119" t="n"/>
      <c r="H832" s="123" t="n"/>
      <c r="I832" s="123" t="n"/>
      <c r="J832" s="125" t="n"/>
      <c r="K832" s="120" t="n"/>
    </row>
    <row r="833" ht="15" customHeight="1" s="72">
      <c r="A833" s="117" t="n"/>
      <c r="B833" s="117" t="n"/>
      <c r="C833" s="118" t="n"/>
      <c r="D833" s="118" t="n"/>
      <c r="E833" s="118" t="n"/>
      <c r="F833" s="123" t="n"/>
      <c r="G833" s="119" t="n"/>
      <c r="H833" s="123" t="n"/>
      <c r="I833" s="123" t="n"/>
      <c r="J833" s="125" t="n"/>
      <c r="K833" s="120" t="n"/>
    </row>
    <row r="834" ht="15" customHeight="1" s="72">
      <c r="A834" s="117" t="n"/>
      <c r="B834" s="117" t="n"/>
      <c r="C834" s="118" t="n"/>
      <c r="D834" s="118" t="n"/>
      <c r="E834" s="118" t="n"/>
      <c r="F834" s="123" t="n"/>
      <c r="G834" s="119" t="n"/>
      <c r="H834" s="123" t="n"/>
      <c r="I834" s="123" t="n"/>
      <c r="J834" s="125" t="n"/>
      <c r="K834" s="120" t="n"/>
    </row>
    <row r="835" ht="15" customHeight="1" s="72">
      <c r="A835" s="117" t="n"/>
      <c r="B835" s="117" t="n"/>
      <c r="C835" s="118" t="n"/>
      <c r="D835" s="118" t="n"/>
      <c r="E835" s="118" t="n"/>
      <c r="F835" s="123" t="n"/>
      <c r="G835" s="119" t="n"/>
      <c r="H835" s="123" t="n"/>
      <c r="I835" s="123" t="n"/>
      <c r="J835" s="125" t="n"/>
      <c r="K835" s="120" t="n"/>
    </row>
    <row r="836" ht="15" customHeight="1" s="72">
      <c r="A836" s="117" t="n"/>
      <c r="B836" s="117" t="n"/>
      <c r="C836" s="118" t="n"/>
      <c r="D836" s="118" t="n"/>
      <c r="E836" s="118" t="n"/>
      <c r="F836" s="123" t="n"/>
      <c r="G836" s="119" t="n"/>
      <c r="H836" s="123" t="n"/>
      <c r="I836" s="123" t="n"/>
      <c r="J836" s="125" t="n"/>
      <c r="K836" s="120" t="n"/>
    </row>
    <row r="837" ht="15" customHeight="1" s="72">
      <c r="A837" s="117" t="n"/>
      <c r="B837" s="117" t="n"/>
      <c r="C837" s="118" t="n"/>
      <c r="D837" s="118" t="n"/>
      <c r="E837" s="118" t="n"/>
      <c r="F837" s="123" t="n"/>
      <c r="G837" s="119" t="n"/>
      <c r="H837" s="123" t="n"/>
      <c r="I837" s="123" t="n"/>
      <c r="J837" s="125" t="n"/>
      <c r="K837" s="120" t="n"/>
    </row>
    <row r="838" ht="15" customHeight="1" s="72">
      <c r="A838" s="117" t="n"/>
      <c r="B838" s="117" t="n"/>
      <c r="C838" s="118" t="n"/>
      <c r="D838" s="118" t="n"/>
      <c r="E838" s="118" t="n"/>
      <c r="F838" s="123" t="n"/>
      <c r="G838" s="119" t="n"/>
      <c r="H838" s="123" t="n"/>
      <c r="I838" s="123" t="n"/>
      <c r="J838" s="125" t="n"/>
      <c r="K838" s="120" t="n"/>
    </row>
    <row r="839" ht="15" customHeight="1" s="72">
      <c r="A839" s="117" t="n"/>
      <c r="B839" s="117" t="n"/>
      <c r="C839" s="118" t="n"/>
      <c r="D839" s="118" t="n"/>
      <c r="E839" s="118" t="n"/>
      <c r="F839" s="123" t="n"/>
      <c r="G839" s="119" t="n"/>
      <c r="H839" s="123" t="n"/>
      <c r="I839" s="123" t="n"/>
      <c r="J839" s="125" t="n"/>
      <c r="K839" s="120" t="n"/>
    </row>
    <row r="840" ht="15" customHeight="1" s="72">
      <c r="A840" s="117" t="n"/>
      <c r="B840" s="117" t="n"/>
      <c r="C840" s="118" t="n"/>
      <c r="D840" s="118" t="n"/>
      <c r="E840" s="118" t="n"/>
      <c r="F840" s="123" t="n"/>
      <c r="G840" s="119" t="n"/>
      <c r="H840" s="123" t="n"/>
      <c r="I840" s="123" t="n"/>
      <c r="J840" s="125" t="n"/>
      <c r="K840" s="120" t="n"/>
    </row>
    <row r="841" ht="15" customHeight="1" s="72">
      <c r="A841" s="117" t="n"/>
      <c r="B841" s="117" t="n"/>
      <c r="C841" s="118" t="n"/>
      <c r="D841" s="118" t="n"/>
      <c r="E841" s="118" t="n"/>
      <c r="F841" s="123" t="n"/>
      <c r="G841" s="119" t="n"/>
      <c r="H841" s="123" t="n"/>
      <c r="I841" s="123" t="n"/>
      <c r="J841" s="125" t="n"/>
      <c r="K841" s="120" t="n"/>
    </row>
    <row r="842" ht="15" customHeight="1" s="72">
      <c r="A842" s="117" t="n"/>
      <c r="B842" s="117" t="n"/>
      <c r="C842" s="118" t="n"/>
      <c r="D842" s="118" t="n"/>
      <c r="E842" s="118" t="n"/>
      <c r="F842" s="123" t="n"/>
      <c r="G842" s="119" t="n"/>
      <c r="H842" s="123" t="n"/>
      <c r="I842" s="123" t="n"/>
      <c r="J842" s="125" t="n"/>
      <c r="K842" s="120" t="n"/>
    </row>
    <row r="843" ht="15" customHeight="1" s="72">
      <c r="A843" s="117" t="n"/>
      <c r="B843" s="117" t="n"/>
      <c r="C843" s="118" t="n"/>
      <c r="D843" s="118" t="n"/>
      <c r="E843" s="118" t="n"/>
      <c r="F843" s="123" t="n"/>
      <c r="G843" s="119" t="n"/>
      <c r="H843" s="123" t="n"/>
      <c r="I843" s="123" t="n"/>
      <c r="J843" s="125" t="n"/>
      <c r="K843" s="120" t="n"/>
    </row>
    <row r="844" ht="15" customHeight="1" s="72">
      <c r="A844" s="117" t="n"/>
      <c r="B844" s="117" t="n"/>
      <c r="C844" s="118" t="n"/>
      <c r="D844" s="118" t="n"/>
      <c r="E844" s="118" t="n"/>
      <c r="F844" s="123" t="n"/>
      <c r="G844" s="119" t="n"/>
      <c r="H844" s="123" t="n"/>
      <c r="I844" s="123" t="n"/>
      <c r="J844" s="125" t="n"/>
      <c r="K844" s="120" t="n"/>
    </row>
    <row r="845" ht="15" customHeight="1" s="72">
      <c r="A845" s="117" t="n"/>
      <c r="B845" s="117" t="n"/>
      <c r="C845" s="118" t="n"/>
      <c r="D845" s="118" t="n"/>
      <c r="E845" s="118" t="n"/>
      <c r="F845" s="123" t="n"/>
      <c r="G845" s="119" t="n"/>
      <c r="H845" s="123" t="n"/>
      <c r="I845" s="123" t="n"/>
      <c r="J845" s="125" t="n"/>
      <c r="K845" s="120" t="n"/>
    </row>
    <row r="846" ht="15" customHeight="1" s="72">
      <c r="A846" s="117" t="n"/>
      <c r="B846" s="117" t="n"/>
      <c r="C846" s="118" t="n"/>
      <c r="D846" s="118" t="n"/>
      <c r="E846" s="118" t="n"/>
      <c r="F846" s="123" t="n"/>
      <c r="G846" s="119" t="n"/>
      <c r="H846" s="123" t="n"/>
      <c r="I846" s="123" t="n"/>
      <c r="J846" s="125" t="n"/>
      <c r="K846" s="120" t="n"/>
    </row>
    <row r="847" ht="15" customHeight="1" s="72">
      <c r="A847" s="117" t="n"/>
      <c r="B847" s="117" t="n"/>
      <c r="C847" s="118" t="n"/>
      <c r="D847" s="118" t="n"/>
      <c r="E847" s="118" t="n"/>
      <c r="F847" s="123" t="n"/>
      <c r="G847" s="119" t="n"/>
      <c r="H847" s="123" t="n"/>
      <c r="I847" s="123" t="n"/>
      <c r="J847" s="125" t="n"/>
      <c r="K847" s="120" t="n"/>
    </row>
    <row r="848" ht="15" customHeight="1" s="72">
      <c r="A848" s="117" t="n"/>
      <c r="B848" s="117" t="n"/>
      <c r="C848" s="118" t="n"/>
      <c r="D848" s="118" t="n"/>
      <c r="E848" s="118" t="n"/>
      <c r="F848" s="123" t="n"/>
      <c r="G848" s="119" t="n"/>
      <c r="H848" s="123" t="n"/>
      <c r="I848" s="123" t="n"/>
      <c r="J848" s="125" t="n"/>
      <c r="K848" s="120" t="n"/>
    </row>
    <row r="849" ht="15" customHeight="1" s="72">
      <c r="A849" s="117" t="n"/>
      <c r="B849" s="117" t="n"/>
      <c r="C849" s="118" t="n"/>
      <c r="D849" s="118" t="n"/>
      <c r="E849" s="118" t="n"/>
      <c r="F849" s="123" t="n"/>
      <c r="G849" s="119" t="n"/>
      <c r="H849" s="123" t="n"/>
      <c r="I849" s="123" t="n"/>
      <c r="J849" s="125" t="n"/>
      <c r="K849" s="120" t="n"/>
    </row>
    <row r="850" ht="15" customHeight="1" s="72">
      <c r="A850" s="117" t="n"/>
      <c r="B850" s="117" t="n"/>
      <c r="C850" s="118" t="n"/>
      <c r="D850" s="118" t="n"/>
      <c r="E850" s="118" t="n"/>
      <c r="F850" s="123" t="n"/>
      <c r="G850" s="119" t="n"/>
      <c r="H850" s="123" t="n"/>
      <c r="I850" s="123" t="n"/>
      <c r="J850" s="125" t="n"/>
      <c r="K850" s="120" t="n"/>
    </row>
    <row r="851" ht="15" customHeight="1" s="72">
      <c r="A851" s="117" t="n"/>
      <c r="B851" s="117" t="n"/>
      <c r="C851" s="118" t="n"/>
      <c r="D851" s="118" t="n"/>
      <c r="E851" s="118" t="n"/>
      <c r="F851" s="123" t="n"/>
      <c r="G851" s="119" t="n"/>
      <c r="H851" s="123" t="n"/>
      <c r="I851" s="123" t="n"/>
      <c r="J851" s="125" t="n"/>
      <c r="K851" s="120" t="n"/>
    </row>
    <row r="852" ht="15" customHeight="1" s="72">
      <c r="A852" s="117" t="n"/>
      <c r="B852" s="117" t="n"/>
      <c r="C852" s="118" t="n"/>
      <c r="D852" s="118" t="n"/>
      <c r="E852" s="118" t="n"/>
      <c r="F852" s="123" t="n"/>
      <c r="G852" s="119" t="n"/>
      <c r="H852" s="123" t="n"/>
      <c r="I852" s="123" t="n"/>
      <c r="J852" s="125" t="n"/>
      <c r="K852" s="120" t="n"/>
    </row>
    <row r="853" ht="15" customHeight="1" s="72">
      <c r="A853" s="117" t="n"/>
      <c r="B853" s="117" t="n"/>
      <c r="C853" s="118" t="n"/>
      <c r="D853" s="118" t="n"/>
      <c r="E853" s="118" t="n"/>
      <c r="F853" s="123" t="n"/>
      <c r="G853" s="119" t="n"/>
      <c r="H853" s="123" t="n"/>
      <c r="I853" s="123" t="n"/>
      <c r="J853" s="125" t="n"/>
      <c r="K853" s="120" t="n"/>
    </row>
    <row r="854" ht="15" customHeight="1" s="72">
      <c r="A854" s="117" t="n"/>
      <c r="B854" s="117" t="n"/>
      <c r="C854" s="118" t="n"/>
      <c r="D854" s="118" t="n"/>
      <c r="E854" s="118" t="n"/>
      <c r="F854" s="123" t="n"/>
      <c r="G854" s="119" t="n"/>
      <c r="H854" s="123" t="n"/>
      <c r="I854" s="123" t="n"/>
      <c r="J854" s="125" t="n"/>
      <c r="K854" s="120" t="n"/>
    </row>
    <row r="855" ht="15" customHeight="1" s="72">
      <c r="A855" s="117" t="n"/>
      <c r="B855" s="117" t="n"/>
      <c r="C855" s="118" t="n"/>
      <c r="D855" s="118" t="n"/>
      <c r="E855" s="118" t="n"/>
      <c r="F855" s="123" t="n"/>
      <c r="G855" s="119" t="n"/>
      <c r="H855" s="123" t="n"/>
      <c r="I855" s="123" t="n"/>
      <c r="J855" s="125" t="n"/>
      <c r="K855" s="120" t="n"/>
    </row>
    <row r="856" ht="15" customHeight="1" s="72">
      <c r="A856" s="117" t="n"/>
      <c r="B856" s="117" t="n"/>
      <c r="C856" s="118" t="n"/>
      <c r="D856" s="118" t="n"/>
      <c r="E856" s="118" t="n"/>
      <c r="F856" s="123" t="n"/>
      <c r="G856" s="119" t="n"/>
      <c r="H856" s="123" t="n"/>
      <c r="I856" s="123" t="n"/>
      <c r="J856" s="125" t="n"/>
      <c r="K856" s="120" t="n"/>
    </row>
    <row r="857" ht="15" customHeight="1" s="72">
      <c r="A857" s="117" t="n"/>
      <c r="B857" s="117" t="n"/>
      <c r="C857" s="118" t="n"/>
      <c r="D857" s="118" t="n"/>
      <c r="E857" s="118" t="n"/>
      <c r="F857" s="123" t="n"/>
      <c r="G857" s="119" t="n"/>
      <c r="H857" s="123" t="n"/>
      <c r="I857" s="123" t="n"/>
      <c r="J857" s="125" t="n"/>
      <c r="K857" s="120" t="n"/>
    </row>
    <row r="858" ht="15" customHeight="1" s="72">
      <c r="A858" s="117" t="n"/>
      <c r="B858" s="117" t="n"/>
      <c r="C858" s="118" t="n"/>
      <c r="D858" s="118" t="n"/>
      <c r="E858" s="118" t="n"/>
      <c r="F858" s="123" t="n"/>
      <c r="G858" s="119" t="n"/>
      <c r="H858" s="123" t="n"/>
      <c r="I858" s="123" t="n"/>
      <c r="J858" s="125" t="n"/>
      <c r="K858" s="120" t="n"/>
    </row>
    <row r="859" ht="15" customHeight="1" s="72">
      <c r="A859" s="117" t="n"/>
      <c r="B859" s="117" t="n"/>
      <c r="C859" s="118" t="n"/>
      <c r="D859" s="118" t="n"/>
      <c r="E859" s="118" t="n"/>
      <c r="F859" s="123" t="n"/>
      <c r="G859" s="119" t="n"/>
      <c r="H859" s="123" t="n"/>
      <c r="I859" s="123" t="n"/>
      <c r="J859" s="125" t="n"/>
      <c r="K859" s="120" t="n"/>
    </row>
    <row r="860" ht="15" customHeight="1" s="72">
      <c r="A860" s="117" t="n"/>
      <c r="B860" s="117" t="n"/>
      <c r="C860" s="118" t="n"/>
      <c r="D860" s="118" t="n"/>
      <c r="E860" s="118" t="n"/>
      <c r="F860" s="123" t="n"/>
      <c r="G860" s="119" t="n"/>
      <c r="H860" s="123" t="n"/>
      <c r="I860" s="123" t="n"/>
      <c r="J860" s="125" t="n"/>
      <c r="K860" s="120" t="n"/>
    </row>
    <row r="861" ht="15" customHeight="1" s="72">
      <c r="A861" s="117" t="n"/>
      <c r="B861" s="117" t="n"/>
      <c r="C861" s="118" t="n"/>
      <c r="D861" s="118" t="n"/>
      <c r="E861" s="118" t="n"/>
      <c r="F861" s="123" t="n"/>
      <c r="G861" s="119" t="n"/>
      <c r="H861" s="123" t="n"/>
      <c r="I861" s="123" t="n"/>
      <c r="J861" s="125" t="n"/>
      <c r="K861" s="120" t="n"/>
    </row>
    <row r="862" ht="15" customHeight="1" s="72">
      <c r="A862" s="117" t="n"/>
      <c r="B862" s="117" t="n"/>
      <c r="C862" s="118" t="n"/>
      <c r="D862" s="118" t="n"/>
      <c r="E862" s="118" t="n"/>
      <c r="F862" s="123" t="n"/>
      <c r="G862" s="119" t="n"/>
      <c r="H862" s="123" t="n"/>
      <c r="I862" s="123" t="n"/>
      <c r="J862" s="125" t="n"/>
      <c r="K862" s="120" t="n"/>
    </row>
    <row r="863" ht="15" customHeight="1" s="72">
      <c r="A863" s="117" t="n"/>
      <c r="B863" s="117" t="n"/>
      <c r="C863" s="118" t="n"/>
      <c r="D863" s="118" t="n"/>
      <c r="E863" s="118" t="n"/>
      <c r="F863" s="123" t="n"/>
      <c r="G863" s="119" t="n"/>
      <c r="H863" s="123" t="n"/>
      <c r="I863" s="123" t="n"/>
      <c r="J863" s="125" t="n"/>
      <c r="K863" s="120" t="n"/>
    </row>
    <row r="864" ht="15" customHeight="1" s="72">
      <c r="A864" s="117" t="n"/>
      <c r="B864" s="117" t="n"/>
      <c r="C864" s="118" t="n"/>
      <c r="D864" s="118" t="n"/>
      <c r="E864" s="118" t="n"/>
      <c r="F864" s="123" t="n"/>
      <c r="G864" s="119" t="n"/>
      <c r="H864" s="123" t="n"/>
      <c r="I864" s="123" t="n"/>
      <c r="J864" s="125" t="n"/>
      <c r="K864" s="120" t="n"/>
    </row>
    <row r="865" ht="15" customHeight="1" s="72">
      <c r="A865" s="117" t="n"/>
      <c r="B865" s="117" t="n"/>
      <c r="C865" s="118" t="n"/>
      <c r="D865" s="118" t="n"/>
      <c r="E865" s="118" t="n"/>
      <c r="F865" s="123" t="n"/>
      <c r="G865" s="119" t="n"/>
      <c r="H865" s="123" t="n"/>
      <c r="I865" s="123" t="n"/>
      <c r="J865" s="125" t="n"/>
      <c r="K865" s="120" t="n"/>
    </row>
    <row r="866" ht="15" customHeight="1" s="72">
      <c r="A866" s="117" t="n"/>
      <c r="B866" s="117" t="n"/>
      <c r="C866" s="118" t="n"/>
      <c r="D866" s="118" t="n"/>
      <c r="E866" s="118" t="n"/>
      <c r="F866" s="123" t="n"/>
      <c r="G866" s="119" t="n"/>
      <c r="H866" s="123" t="n"/>
      <c r="I866" s="123" t="n"/>
      <c r="J866" s="125" t="n"/>
      <c r="K866" s="120" t="n"/>
    </row>
    <row r="867" ht="15" customHeight="1" s="72">
      <c r="A867" s="117" t="n"/>
      <c r="B867" s="117" t="n"/>
      <c r="C867" s="118" t="n"/>
      <c r="D867" s="118" t="n"/>
      <c r="E867" s="118" t="n"/>
      <c r="F867" s="123" t="n"/>
      <c r="G867" s="119" t="n"/>
      <c r="H867" s="123" t="n"/>
      <c r="I867" s="123" t="n"/>
      <c r="J867" s="125" t="n"/>
      <c r="K867" s="120" t="n"/>
    </row>
    <row r="868" ht="15" customHeight="1" s="72">
      <c r="A868" s="117" t="n"/>
      <c r="B868" s="117" t="n"/>
      <c r="C868" s="118" t="n"/>
      <c r="D868" s="118" t="n"/>
      <c r="E868" s="118" t="n"/>
      <c r="F868" s="123" t="n"/>
      <c r="G868" s="119" t="n"/>
      <c r="H868" s="123" t="n"/>
      <c r="I868" s="123" t="n"/>
      <c r="J868" s="125" t="n"/>
      <c r="K868" s="120" t="n"/>
    </row>
    <row r="869" ht="15" customHeight="1" s="72">
      <c r="A869" s="117" t="n"/>
      <c r="B869" s="117" t="n"/>
      <c r="C869" s="118" t="n"/>
      <c r="D869" s="118" t="n"/>
      <c r="E869" s="118" t="n"/>
      <c r="F869" s="123" t="n"/>
      <c r="G869" s="119" t="n"/>
      <c r="H869" s="123" t="n"/>
      <c r="I869" s="123" t="n"/>
      <c r="J869" s="125" t="n"/>
      <c r="K869" s="120" t="n"/>
    </row>
    <row r="870" ht="15" customHeight="1" s="72">
      <c r="A870" s="117" t="n"/>
      <c r="B870" s="117" t="n"/>
      <c r="C870" s="118" t="n"/>
      <c r="D870" s="118" t="n"/>
      <c r="E870" s="118" t="n"/>
      <c r="F870" s="123" t="n"/>
      <c r="G870" s="119" t="n"/>
      <c r="H870" s="123" t="n"/>
      <c r="I870" s="123" t="n"/>
      <c r="J870" s="125" t="n"/>
      <c r="K870" s="120" t="n"/>
    </row>
    <row r="871" ht="15" customHeight="1" s="72">
      <c r="A871" s="117" t="n"/>
      <c r="B871" s="117" t="n"/>
      <c r="C871" s="118" t="n"/>
      <c r="D871" s="118" t="n"/>
      <c r="E871" s="118" t="n"/>
      <c r="F871" s="123" t="n"/>
      <c r="G871" s="119" t="n"/>
      <c r="H871" s="123" t="n"/>
      <c r="I871" s="123" t="n"/>
      <c r="J871" s="125" t="n"/>
      <c r="K871" s="120" t="n"/>
    </row>
    <row r="872" ht="15" customHeight="1" s="72">
      <c r="A872" s="117" t="n"/>
      <c r="B872" s="117" t="n"/>
      <c r="C872" s="118" t="n"/>
      <c r="D872" s="118" t="n"/>
      <c r="E872" s="118" t="n"/>
      <c r="F872" s="123" t="n"/>
      <c r="G872" s="119" t="n"/>
      <c r="H872" s="123" t="n"/>
      <c r="I872" s="123" t="n"/>
      <c r="J872" s="125" t="n"/>
      <c r="K872" s="120" t="n"/>
    </row>
    <row r="873" ht="15" customHeight="1" s="72">
      <c r="A873" s="117" t="n"/>
      <c r="B873" s="117" t="n"/>
      <c r="C873" s="118" t="n"/>
      <c r="D873" s="118" t="n"/>
      <c r="E873" s="118" t="n"/>
      <c r="F873" s="123" t="n"/>
      <c r="G873" s="119" t="n"/>
      <c r="H873" s="123" t="n"/>
      <c r="I873" s="123" t="n"/>
      <c r="J873" s="125" t="n"/>
      <c r="K873" s="120" t="n"/>
    </row>
    <row r="874" ht="15" customHeight="1" s="72">
      <c r="A874" s="117" t="n"/>
      <c r="B874" s="117" t="n"/>
      <c r="C874" s="118" t="n"/>
      <c r="D874" s="118" t="n"/>
      <c r="E874" s="118" t="n"/>
      <c r="F874" s="123" t="n"/>
      <c r="G874" s="119" t="n"/>
      <c r="H874" s="123" t="n"/>
      <c r="I874" s="123" t="n"/>
      <c r="J874" s="125" t="n"/>
      <c r="K874" s="120" t="n"/>
    </row>
    <row r="875" ht="15" customHeight="1" s="72">
      <c r="A875" s="117" t="n"/>
      <c r="B875" s="117" t="n"/>
      <c r="C875" s="118" t="n"/>
      <c r="D875" s="118" t="n"/>
      <c r="E875" s="118" t="n"/>
      <c r="F875" s="123" t="n"/>
      <c r="G875" s="119" t="n"/>
      <c r="H875" s="123" t="n"/>
      <c r="I875" s="123" t="n"/>
      <c r="J875" s="125" t="n"/>
      <c r="K875" s="120" t="n"/>
    </row>
    <row r="876" ht="15" customHeight="1" s="72">
      <c r="A876" s="117" t="n"/>
      <c r="B876" s="117" t="n"/>
      <c r="C876" s="118" t="n"/>
      <c r="D876" s="118" t="n"/>
      <c r="E876" s="118" t="n"/>
      <c r="F876" s="123" t="n"/>
      <c r="G876" s="119" t="n"/>
      <c r="H876" s="123" t="n"/>
      <c r="I876" s="123" t="n"/>
      <c r="J876" s="125" t="n"/>
      <c r="K876" s="120" t="n"/>
    </row>
    <row r="877" ht="15" customHeight="1" s="72">
      <c r="A877" s="117" t="n"/>
      <c r="B877" s="117" t="n"/>
      <c r="C877" s="118" t="n"/>
      <c r="D877" s="118" t="n"/>
      <c r="E877" s="118" t="n"/>
      <c r="F877" s="123" t="n"/>
      <c r="G877" s="119" t="n"/>
      <c r="H877" s="123" t="n"/>
      <c r="I877" s="123" t="n"/>
      <c r="J877" s="125" t="n"/>
      <c r="K877" s="120" t="n"/>
    </row>
    <row r="878" ht="15" customHeight="1" s="72">
      <c r="A878" s="117" t="n"/>
      <c r="B878" s="117" t="n"/>
      <c r="C878" s="118" t="n"/>
      <c r="D878" s="118" t="n"/>
      <c r="E878" s="118" t="n"/>
      <c r="F878" s="123" t="n"/>
      <c r="G878" s="119" t="n"/>
      <c r="H878" s="123" t="n"/>
      <c r="I878" s="123" t="n"/>
      <c r="J878" s="125" t="n"/>
      <c r="K878" s="120" t="n"/>
    </row>
    <row r="879" ht="15" customHeight="1" s="72">
      <c r="A879" s="117" t="n"/>
      <c r="B879" s="117" t="n"/>
      <c r="C879" s="118" t="n"/>
      <c r="D879" s="118" t="n"/>
      <c r="E879" s="118" t="n"/>
      <c r="F879" s="123" t="n"/>
      <c r="G879" s="119" t="n"/>
      <c r="H879" s="123" t="n"/>
      <c r="I879" s="123" t="n"/>
      <c r="J879" s="125" t="n"/>
      <c r="K879" s="120" t="n"/>
    </row>
    <row r="880" ht="15" customHeight="1" s="72">
      <c r="A880" s="117" t="n"/>
      <c r="B880" s="117" t="n"/>
      <c r="C880" s="118" t="n"/>
      <c r="D880" s="118" t="n"/>
      <c r="E880" s="118" t="n"/>
      <c r="F880" s="123" t="n"/>
      <c r="G880" s="119" t="n"/>
      <c r="H880" s="123" t="n"/>
      <c r="I880" s="123" t="n"/>
      <c r="J880" s="125" t="n"/>
      <c r="K880" s="120" t="n"/>
    </row>
    <row r="881" ht="15" customHeight="1" s="72">
      <c r="A881" s="117" t="n"/>
      <c r="B881" s="117" t="n"/>
      <c r="C881" s="118" t="n"/>
      <c r="D881" s="118" t="n"/>
      <c r="E881" s="118" t="n"/>
      <c r="F881" s="123" t="n"/>
      <c r="G881" s="119" t="n"/>
      <c r="H881" s="123" t="n"/>
      <c r="I881" s="123" t="n"/>
      <c r="J881" s="125" t="n"/>
      <c r="K881" s="120" t="n"/>
    </row>
    <row r="882" ht="15" customHeight="1" s="72">
      <c r="A882" s="117" t="n"/>
      <c r="B882" s="117" t="n"/>
      <c r="C882" s="118" t="n"/>
      <c r="D882" s="118" t="n"/>
      <c r="E882" s="118" t="n"/>
      <c r="F882" s="123" t="n"/>
      <c r="G882" s="119" t="n"/>
      <c r="H882" s="123" t="n"/>
      <c r="I882" s="123" t="n"/>
      <c r="J882" s="125" t="n"/>
      <c r="K882" s="120" t="n"/>
    </row>
    <row r="883" ht="15" customHeight="1" s="72">
      <c r="A883" s="117" t="n"/>
      <c r="B883" s="117" t="n"/>
      <c r="C883" s="118" t="n"/>
      <c r="D883" s="118" t="n"/>
      <c r="E883" s="118" t="n"/>
      <c r="F883" s="123" t="n"/>
      <c r="G883" s="119" t="n"/>
      <c r="H883" s="123" t="n"/>
      <c r="I883" s="123" t="n"/>
      <c r="J883" s="125" t="n"/>
      <c r="K883" s="120" t="n"/>
    </row>
    <row r="884" ht="15" customHeight="1" s="72">
      <c r="A884" s="117" t="n"/>
      <c r="B884" s="117" t="n"/>
      <c r="C884" s="118" t="n"/>
      <c r="D884" s="118" t="n"/>
      <c r="E884" s="118" t="n"/>
      <c r="F884" s="123" t="n"/>
      <c r="G884" s="119" t="n"/>
      <c r="H884" s="123" t="n"/>
      <c r="I884" s="123" t="n"/>
      <c r="J884" s="125" t="n"/>
      <c r="K884" s="120" t="n"/>
    </row>
    <row r="885" ht="15" customHeight="1" s="72">
      <c r="A885" s="117" t="n"/>
      <c r="B885" s="117" t="n"/>
      <c r="C885" s="118" t="n"/>
      <c r="D885" s="118" t="n"/>
      <c r="E885" s="118" t="n"/>
      <c r="F885" s="123" t="n"/>
      <c r="G885" s="119" t="n"/>
      <c r="H885" s="123" t="n"/>
      <c r="I885" s="123" t="n"/>
      <c r="J885" s="125" t="n"/>
      <c r="K885" s="120" t="n"/>
    </row>
    <row r="886" ht="15" customHeight="1" s="72">
      <c r="A886" s="117" t="n"/>
      <c r="B886" s="117" t="n"/>
      <c r="C886" s="118" t="n"/>
      <c r="D886" s="118" t="n"/>
      <c r="E886" s="118" t="n"/>
      <c r="F886" s="123" t="n"/>
      <c r="G886" s="119" t="n"/>
      <c r="H886" s="123" t="n"/>
      <c r="I886" s="123" t="n"/>
      <c r="J886" s="125" t="n"/>
      <c r="K886" s="120" t="n"/>
    </row>
    <row r="887" ht="15" customHeight="1" s="72">
      <c r="A887" s="117" t="n"/>
      <c r="B887" s="117" t="n"/>
      <c r="C887" s="118" t="n"/>
      <c r="D887" s="118" t="n"/>
      <c r="E887" s="118" t="n"/>
      <c r="F887" s="123" t="n"/>
      <c r="G887" s="119" t="n"/>
      <c r="H887" s="123" t="n"/>
      <c r="I887" s="123" t="n"/>
      <c r="J887" s="125" t="n"/>
      <c r="K887" s="120" t="n"/>
    </row>
    <row r="888" ht="15" customHeight="1" s="72">
      <c r="A888" s="117" t="n"/>
      <c r="B888" s="117" t="n"/>
      <c r="C888" s="118" t="n"/>
      <c r="D888" s="118" t="n"/>
      <c r="E888" s="118" t="n"/>
      <c r="F888" s="123" t="n"/>
      <c r="G888" s="119" t="n"/>
      <c r="H888" s="123" t="n"/>
      <c r="I888" s="123" t="n"/>
      <c r="J888" s="125" t="n"/>
      <c r="K888" s="120" t="n"/>
    </row>
    <row r="889" ht="15" customHeight="1" s="72">
      <c r="A889" s="117" t="n"/>
      <c r="B889" s="117" t="n"/>
      <c r="C889" s="118" t="n"/>
      <c r="D889" s="118" t="n"/>
      <c r="E889" s="118" t="n"/>
      <c r="F889" s="123" t="n"/>
      <c r="G889" s="119" t="n"/>
      <c r="H889" s="123" t="n"/>
      <c r="I889" s="123" t="n"/>
      <c r="J889" s="125" t="n"/>
      <c r="K889" s="120" t="n"/>
    </row>
    <row r="890" ht="15" customHeight="1" s="72">
      <c r="A890" s="117" t="n"/>
      <c r="B890" s="117" t="n"/>
      <c r="C890" s="118" t="n"/>
      <c r="D890" s="118" t="n"/>
      <c r="E890" s="118" t="n"/>
      <c r="F890" s="123" t="n"/>
      <c r="G890" s="119" t="n"/>
      <c r="H890" s="123" t="n"/>
      <c r="I890" s="123" t="n"/>
      <c r="J890" s="125" t="n"/>
      <c r="K890" s="120" t="n"/>
    </row>
    <row r="891" ht="15" customHeight="1" s="72">
      <c r="A891" s="117" t="n"/>
      <c r="B891" s="117" t="n"/>
      <c r="C891" s="118" t="n"/>
      <c r="D891" s="118" t="n"/>
      <c r="E891" s="118" t="n"/>
      <c r="F891" s="123" t="n"/>
      <c r="G891" s="119" t="n"/>
      <c r="H891" s="123" t="n"/>
      <c r="I891" s="123" t="n"/>
      <c r="J891" s="125" t="n"/>
      <c r="K891" s="120" t="n"/>
    </row>
    <row r="892" ht="15" customHeight="1" s="72">
      <c r="A892" s="117" t="n"/>
      <c r="B892" s="117" t="n"/>
      <c r="C892" s="118" t="n"/>
      <c r="D892" s="118" t="n"/>
      <c r="E892" s="118" t="n"/>
      <c r="F892" s="123" t="n"/>
      <c r="G892" s="119" t="n"/>
      <c r="H892" s="123" t="n"/>
      <c r="I892" s="123" t="n"/>
      <c r="J892" s="125" t="n"/>
      <c r="K892" s="120" t="n"/>
    </row>
    <row r="893" ht="15" customHeight="1" s="72">
      <c r="A893" s="117" t="n"/>
      <c r="B893" s="117" t="n"/>
      <c r="C893" s="118" t="n"/>
      <c r="D893" s="118" t="n"/>
      <c r="E893" s="118" t="n"/>
      <c r="F893" s="123" t="n"/>
      <c r="G893" s="119" t="n"/>
      <c r="H893" s="123" t="n"/>
      <c r="I893" s="123" t="n"/>
      <c r="J893" s="125" t="n"/>
      <c r="K893" s="120" t="n"/>
    </row>
    <row r="894" ht="15" customHeight="1" s="72">
      <c r="A894" s="117" t="n"/>
      <c r="B894" s="117" t="n"/>
      <c r="C894" s="118" t="n"/>
      <c r="D894" s="118" t="n"/>
      <c r="E894" s="118" t="n"/>
      <c r="F894" s="123" t="n"/>
      <c r="G894" s="119" t="n"/>
      <c r="H894" s="123" t="n"/>
      <c r="I894" s="123" t="n"/>
      <c r="J894" s="125" t="n"/>
      <c r="K894" s="120" t="n"/>
    </row>
    <row r="895" ht="15" customHeight="1" s="72">
      <c r="A895" s="117" t="n"/>
      <c r="B895" s="117" t="n"/>
      <c r="C895" s="118" t="n"/>
      <c r="D895" s="118" t="n"/>
      <c r="E895" s="118" t="n"/>
      <c r="F895" s="123" t="n"/>
      <c r="G895" s="119" t="n"/>
      <c r="H895" s="123" t="n"/>
      <c r="I895" s="123" t="n"/>
      <c r="J895" s="125" t="n"/>
      <c r="K895" s="120" t="n"/>
    </row>
    <row r="896" ht="15" customHeight="1" s="72">
      <c r="A896" s="117" t="n"/>
      <c r="B896" s="117" t="n"/>
      <c r="C896" s="118" t="n"/>
      <c r="D896" s="118" t="n"/>
      <c r="E896" s="118" t="n"/>
      <c r="F896" s="123" t="n"/>
      <c r="G896" s="119" t="n"/>
      <c r="H896" s="123" t="n"/>
      <c r="I896" s="123" t="n"/>
      <c r="J896" s="125" t="n"/>
      <c r="K896" s="120" t="n"/>
    </row>
    <row r="897" ht="15" customHeight="1" s="72">
      <c r="A897" s="117" t="n"/>
      <c r="B897" s="117" t="n"/>
      <c r="C897" s="118" t="n"/>
      <c r="D897" s="118" t="n"/>
      <c r="E897" s="118" t="n"/>
      <c r="F897" s="123" t="n"/>
      <c r="G897" s="119" t="n"/>
      <c r="H897" s="123" t="n"/>
      <c r="I897" s="123" t="n"/>
      <c r="J897" s="125" t="n"/>
      <c r="K897" s="120" t="n"/>
    </row>
    <row r="898" ht="15" customHeight="1" s="72">
      <c r="A898" s="117" t="n"/>
      <c r="B898" s="117" t="n"/>
      <c r="C898" s="118" t="n"/>
      <c r="D898" s="118" t="n"/>
      <c r="E898" s="118" t="n"/>
      <c r="F898" s="123" t="n"/>
      <c r="G898" s="119" t="n"/>
      <c r="H898" s="123" t="n"/>
      <c r="I898" s="123" t="n"/>
      <c r="J898" s="125" t="n"/>
      <c r="K898" s="120" t="n"/>
    </row>
    <row r="899" ht="15" customHeight="1" s="72">
      <c r="A899" s="117" t="n"/>
      <c r="B899" s="117" t="n"/>
      <c r="C899" s="118" t="n"/>
      <c r="D899" s="118" t="n"/>
      <c r="E899" s="118" t="n"/>
      <c r="F899" s="123" t="n"/>
      <c r="G899" s="119" t="n"/>
      <c r="H899" s="123" t="n"/>
      <c r="I899" s="123" t="n"/>
      <c r="J899" s="125" t="n"/>
      <c r="K899" s="120" t="n"/>
    </row>
    <row r="900" ht="15" customHeight="1" s="72">
      <c r="A900" s="117" t="n"/>
      <c r="B900" s="117" t="n"/>
      <c r="C900" s="118" t="n"/>
      <c r="D900" s="118" t="n"/>
      <c r="E900" s="118" t="n"/>
      <c r="F900" s="123" t="n"/>
      <c r="G900" s="119" t="n"/>
      <c r="H900" s="123" t="n"/>
      <c r="I900" s="123" t="n"/>
      <c r="J900" s="125" t="n"/>
      <c r="K900" s="120" t="n"/>
    </row>
    <row r="901" ht="15" customHeight="1" s="72">
      <c r="A901" s="117" t="n"/>
      <c r="B901" s="117" t="n"/>
      <c r="C901" s="118" t="n"/>
      <c r="D901" s="118" t="n"/>
      <c r="E901" s="118" t="n"/>
      <c r="F901" s="123" t="n"/>
      <c r="G901" s="119" t="n"/>
      <c r="H901" s="123" t="n"/>
      <c r="I901" s="123" t="n"/>
      <c r="J901" s="125" t="n"/>
      <c r="K901" s="120" t="n"/>
    </row>
    <row r="902" ht="15" customHeight="1" s="72">
      <c r="A902" s="117" t="n"/>
      <c r="B902" s="117" t="n"/>
      <c r="C902" s="118" t="n"/>
      <c r="D902" s="118" t="n"/>
      <c r="E902" s="118" t="n"/>
      <c r="F902" s="123" t="n"/>
      <c r="G902" s="119" t="n"/>
      <c r="H902" s="123" t="n"/>
      <c r="I902" s="123" t="n"/>
      <c r="J902" s="125" t="n"/>
      <c r="K902" s="120" t="n"/>
    </row>
    <row r="903" ht="15" customHeight="1" s="72">
      <c r="A903" s="117" t="n"/>
      <c r="B903" s="117" t="n"/>
      <c r="C903" s="118" t="n"/>
      <c r="D903" s="118" t="n"/>
      <c r="E903" s="118" t="n"/>
      <c r="F903" s="123" t="n"/>
      <c r="G903" s="119" t="n"/>
      <c r="H903" s="123" t="n"/>
      <c r="I903" s="123" t="n"/>
      <c r="J903" s="125" t="n"/>
      <c r="K903" s="120" t="n"/>
    </row>
    <row r="904" ht="15" customHeight="1" s="72">
      <c r="A904" s="117" t="n"/>
      <c r="B904" s="117" t="n"/>
      <c r="C904" s="118" t="n"/>
      <c r="D904" s="118" t="n"/>
      <c r="E904" s="118" t="n"/>
      <c r="F904" s="123" t="n"/>
      <c r="G904" s="119" t="n"/>
      <c r="H904" s="123" t="n"/>
      <c r="I904" s="123" t="n"/>
      <c r="J904" s="125" t="n"/>
      <c r="K904" s="120" t="n"/>
    </row>
    <row r="905" ht="15" customHeight="1" s="72">
      <c r="A905" s="117" t="n"/>
      <c r="B905" s="117" t="n"/>
      <c r="C905" s="118" t="n"/>
      <c r="D905" s="118" t="n"/>
      <c r="E905" s="118" t="n"/>
      <c r="F905" s="123" t="n"/>
      <c r="G905" s="119" t="n"/>
      <c r="H905" s="123" t="n"/>
      <c r="I905" s="123" t="n"/>
      <c r="J905" s="125" t="n"/>
      <c r="K905" s="120" t="n"/>
    </row>
    <row r="906" ht="15" customHeight="1" s="72">
      <c r="A906" s="117" t="n"/>
      <c r="B906" s="117" t="n"/>
      <c r="C906" s="118" t="n"/>
      <c r="D906" s="118" t="n"/>
      <c r="E906" s="118" t="n"/>
      <c r="F906" s="123" t="n"/>
      <c r="G906" s="119" t="n"/>
      <c r="H906" s="123" t="n"/>
      <c r="I906" s="123" t="n"/>
      <c r="J906" s="125" t="n"/>
      <c r="K906" s="120" t="n"/>
    </row>
    <row r="907" ht="15" customHeight="1" s="72">
      <c r="A907" s="117" t="n"/>
      <c r="B907" s="117" t="n"/>
      <c r="C907" s="118" t="n"/>
      <c r="D907" s="118" t="n"/>
      <c r="E907" s="118" t="n"/>
      <c r="F907" s="123" t="n"/>
      <c r="G907" s="119" t="n"/>
      <c r="H907" s="123" t="n"/>
      <c r="I907" s="123" t="n"/>
      <c r="J907" s="125" t="n"/>
      <c r="K907" s="120" t="n"/>
    </row>
    <row r="908" ht="15" customHeight="1" s="72">
      <c r="A908" s="117" t="n"/>
      <c r="B908" s="117" t="n"/>
      <c r="C908" s="118" t="n"/>
      <c r="D908" s="118" t="n"/>
      <c r="E908" s="118" t="n"/>
      <c r="F908" s="123" t="n"/>
      <c r="G908" s="119" t="n"/>
      <c r="H908" s="123" t="n"/>
      <c r="I908" s="123" t="n"/>
      <c r="J908" s="125" t="n"/>
      <c r="K908" s="120" t="n"/>
    </row>
    <row r="909" ht="15" customHeight="1" s="72">
      <c r="A909" s="117" t="n"/>
      <c r="B909" s="117" t="n"/>
      <c r="C909" s="118" t="n"/>
      <c r="D909" s="118" t="n"/>
      <c r="E909" s="118" t="n"/>
      <c r="F909" s="123" t="n"/>
      <c r="G909" s="119" t="n"/>
      <c r="H909" s="123" t="n"/>
      <c r="I909" s="123" t="n"/>
      <c r="J909" s="125" t="n"/>
      <c r="K909" s="120" t="n"/>
    </row>
    <row r="910" ht="15" customHeight="1" s="72">
      <c r="A910" s="117" t="n"/>
      <c r="B910" s="117" t="n"/>
      <c r="C910" s="118" t="n"/>
      <c r="D910" s="118" t="n"/>
      <c r="E910" s="118" t="n"/>
      <c r="F910" s="123" t="n"/>
      <c r="G910" s="119" t="n"/>
      <c r="H910" s="123" t="n"/>
      <c r="I910" s="123" t="n"/>
      <c r="J910" s="125" t="n"/>
      <c r="K910" s="120" t="n"/>
    </row>
    <row r="911" ht="15" customHeight="1" s="72">
      <c r="A911" s="117" t="n"/>
      <c r="B911" s="117" t="n"/>
      <c r="C911" s="118" t="n"/>
      <c r="D911" s="118" t="n"/>
      <c r="E911" s="118" t="n"/>
      <c r="F911" s="123" t="n"/>
      <c r="G911" s="119" t="n"/>
      <c r="H911" s="123" t="n"/>
      <c r="I911" s="123" t="n"/>
      <c r="J911" s="125" t="n"/>
      <c r="K911" s="120" t="n"/>
    </row>
    <row r="912" ht="15" customHeight="1" s="72">
      <c r="A912" s="117" t="n"/>
      <c r="B912" s="117" t="n"/>
      <c r="C912" s="118" t="n"/>
      <c r="D912" s="118" t="n"/>
      <c r="E912" s="118" t="n"/>
      <c r="F912" s="123" t="n"/>
      <c r="G912" s="119" t="n"/>
      <c r="H912" s="123" t="n"/>
      <c r="I912" s="123" t="n"/>
      <c r="J912" s="125" t="n"/>
      <c r="K912" s="120" t="n"/>
    </row>
    <row r="913" ht="15" customHeight="1" s="72">
      <c r="A913" s="117" t="n"/>
      <c r="B913" s="117" t="n"/>
      <c r="C913" s="118" t="n"/>
      <c r="D913" s="118" t="n"/>
      <c r="E913" s="118" t="n"/>
      <c r="F913" s="123" t="n"/>
      <c r="G913" s="119" t="n"/>
      <c r="H913" s="123" t="n"/>
      <c r="I913" s="123" t="n"/>
      <c r="J913" s="125" t="n"/>
      <c r="K913" s="120" t="n"/>
    </row>
    <row r="914" ht="15" customHeight="1" s="72">
      <c r="A914" s="117" t="n"/>
      <c r="B914" s="117" t="n"/>
      <c r="C914" s="118" t="n"/>
      <c r="D914" s="118" t="n"/>
      <c r="E914" s="118" t="n"/>
      <c r="F914" s="123" t="n"/>
      <c r="G914" s="119" t="n"/>
      <c r="H914" s="123" t="n"/>
      <c r="I914" s="123" t="n"/>
      <c r="J914" s="125" t="n"/>
      <c r="K914" s="120" t="n"/>
    </row>
    <row r="915" ht="15" customHeight="1" s="72">
      <c r="A915" s="117" t="n"/>
      <c r="B915" s="117" t="n"/>
      <c r="C915" s="118" t="n"/>
      <c r="D915" s="118" t="n"/>
      <c r="E915" s="118" t="n"/>
      <c r="F915" s="123" t="n"/>
      <c r="G915" s="119" t="n"/>
      <c r="H915" s="123" t="n"/>
      <c r="I915" s="123" t="n"/>
      <c r="J915" s="125" t="n"/>
      <c r="K915" s="120" t="n"/>
    </row>
    <row r="916" ht="15" customHeight="1" s="72">
      <c r="A916" s="117" t="n"/>
      <c r="B916" s="117" t="n"/>
      <c r="C916" s="118" t="n"/>
      <c r="D916" s="118" t="n"/>
      <c r="E916" s="118" t="n"/>
      <c r="F916" s="123" t="n"/>
      <c r="G916" s="119" t="n"/>
      <c r="H916" s="123" t="n"/>
      <c r="I916" s="123" t="n"/>
      <c r="J916" s="125" t="n"/>
      <c r="K916" s="120" t="n"/>
    </row>
    <row r="917" ht="15" customHeight="1" s="72">
      <c r="A917" s="117" t="n"/>
      <c r="B917" s="117" t="n"/>
      <c r="C917" s="118" t="n"/>
      <c r="D917" s="118" t="n"/>
      <c r="E917" s="118" t="n"/>
      <c r="F917" s="123" t="n"/>
      <c r="G917" s="119" t="n"/>
      <c r="H917" s="123" t="n"/>
      <c r="I917" s="123" t="n"/>
      <c r="J917" s="125" t="n"/>
      <c r="K917" s="120" t="n"/>
    </row>
    <row r="918" ht="15" customHeight="1" s="72">
      <c r="A918" s="117" t="n"/>
      <c r="B918" s="117" t="n"/>
      <c r="C918" s="118" t="n"/>
      <c r="D918" s="118" t="n"/>
      <c r="E918" s="118" t="n"/>
      <c r="F918" s="123" t="n"/>
      <c r="G918" s="119" t="n"/>
      <c r="H918" s="123" t="n"/>
      <c r="I918" s="123" t="n"/>
      <c r="J918" s="125" t="n"/>
      <c r="K918" s="120" t="n"/>
    </row>
    <row r="919" ht="15" customHeight="1" s="72">
      <c r="A919" s="117" t="n"/>
      <c r="B919" s="117" t="n"/>
      <c r="C919" s="118" t="n"/>
      <c r="D919" s="118" t="n"/>
      <c r="E919" s="118" t="n"/>
      <c r="F919" s="123" t="n"/>
      <c r="G919" s="119" t="n"/>
      <c r="H919" s="123" t="n"/>
      <c r="I919" s="123" t="n"/>
      <c r="J919" s="125" t="n"/>
      <c r="K919" s="120" t="n"/>
    </row>
    <row r="920" ht="15" customHeight="1" s="72">
      <c r="A920" s="117" t="n"/>
      <c r="B920" s="117" t="n"/>
      <c r="C920" s="118" t="n"/>
      <c r="D920" s="118" t="n"/>
      <c r="E920" s="118" t="n"/>
      <c r="F920" s="123" t="n"/>
      <c r="G920" s="119" t="n"/>
      <c r="H920" s="123" t="n"/>
      <c r="I920" s="123" t="n"/>
      <c r="J920" s="125" t="n"/>
      <c r="K920" s="120" t="n"/>
    </row>
    <row r="921" ht="15" customHeight="1" s="72">
      <c r="A921" s="117" t="n"/>
      <c r="B921" s="117" t="n"/>
      <c r="C921" s="118" t="n"/>
      <c r="D921" s="118" t="n"/>
      <c r="E921" s="118" t="n"/>
      <c r="F921" s="123" t="n"/>
      <c r="G921" s="119" t="n"/>
      <c r="H921" s="123" t="n"/>
      <c r="I921" s="123" t="n"/>
      <c r="J921" s="125" t="n"/>
      <c r="K921" s="120" t="n"/>
    </row>
    <row r="922" ht="15" customHeight="1" s="72">
      <c r="A922" s="117" t="n"/>
      <c r="B922" s="117" t="n"/>
      <c r="C922" s="118" t="n"/>
      <c r="D922" s="118" t="n"/>
      <c r="E922" s="118" t="n"/>
      <c r="F922" s="123" t="n"/>
      <c r="G922" s="119" t="n"/>
      <c r="H922" s="123" t="n"/>
      <c r="I922" s="123" t="n"/>
      <c r="J922" s="125" t="n"/>
      <c r="K922" s="120" t="n"/>
    </row>
    <row r="923" ht="15" customHeight="1" s="72">
      <c r="A923" s="117" t="n"/>
      <c r="B923" s="117" t="n"/>
      <c r="C923" s="118" t="n"/>
      <c r="D923" s="118" t="n"/>
      <c r="E923" s="118" t="n"/>
      <c r="F923" s="123" t="n"/>
      <c r="G923" s="119" t="n"/>
      <c r="H923" s="123" t="n"/>
      <c r="I923" s="123" t="n"/>
      <c r="J923" s="125" t="n"/>
      <c r="K923" s="120" t="n"/>
    </row>
    <row r="924" ht="15" customHeight="1" s="72">
      <c r="A924" s="117" t="n"/>
      <c r="B924" s="117" t="n"/>
      <c r="C924" s="118" t="n"/>
      <c r="D924" s="118" t="n"/>
      <c r="E924" s="118" t="n"/>
      <c r="F924" s="123" t="n"/>
      <c r="G924" s="119" t="n"/>
      <c r="H924" s="123" t="n"/>
      <c r="I924" s="123" t="n"/>
      <c r="J924" s="125" t="n"/>
      <c r="K924" s="120" t="n"/>
    </row>
    <row r="925" ht="15" customHeight="1" s="72">
      <c r="A925" s="117" t="n"/>
      <c r="B925" s="117" t="n"/>
      <c r="C925" s="118" t="n"/>
      <c r="D925" s="118" t="n"/>
      <c r="E925" s="118" t="n"/>
      <c r="F925" s="123" t="n"/>
      <c r="G925" s="119" t="n"/>
      <c r="H925" s="123" t="n"/>
      <c r="I925" s="123" t="n"/>
      <c r="J925" s="125" t="n"/>
      <c r="K925" s="120" t="n"/>
    </row>
    <row r="926" ht="15" customHeight="1" s="72">
      <c r="A926" s="117" t="n"/>
      <c r="B926" s="117" t="n"/>
      <c r="C926" s="118" t="n"/>
      <c r="D926" s="118" t="n"/>
      <c r="E926" s="118" t="n"/>
      <c r="F926" s="123" t="n"/>
      <c r="G926" s="119" t="n"/>
      <c r="H926" s="123" t="n"/>
      <c r="I926" s="123" t="n"/>
      <c r="J926" s="125" t="n"/>
      <c r="K926" s="120" t="n"/>
    </row>
    <row r="927" ht="15" customHeight="1" s="72">
      <c r="A927" s="117" t="n"/>
      <c r="B927" s="117" t="n"/>
      <c r="C927" s="118" t="n"/>
      <c r="D927" s="118" t="n"/>
      <c r="E927" s="118" t="n"/>
      <c r="F927" s="123" t="n"/>
      <c r="G927" s="119" t="n"/>
      <c r="H927" s="123" t="n"/>
      <c r="I927" s="123" t="n"/>
      <c r="J927" s="125" t="n"/>
      <c r="K927" s="120" t="n"/>
    </row>
    <row r="928" ht="15" customHeight="1" s="72">
      <c r="A928" s="117" t="n"/>
      <c r="B928" s="117" t="n"/>
      <c r="C928" s="118" t="n"/>
      <c r="D928" s="118" t="n"/>
      <c r="E928" s="118" t="n"/>
      <c r="F928" s="123" t="n"/>
      <c r="G928" s="119" t="n"/>
      <c r="H928" s="123" t="n"/>
      <c r="I928" s="123" t="n"/>
      <c r="J928" s="125" t="n"/>
      <c r="K928" s="120" t="n"/>
    </row>
    <row r="929" ht="15" customHeight="1" s="72">
      <c r="A929" s="117" t="n"/>
      <c r="B929" s="117" t="n"/>
      <c r="C929" s="118" t="n"/>
      <c r="D929" s="118" t="n"/>
      <c r="E929" s="118" t="n"/>
      <c r="F929" s="123" t="n"/>
      <c r="G929" s="119" t="n"/>
      <c r="H929" s="123" t="n"/>
      <c r="I929" s="123" t="n"/>
      <c r="J929" s="125" t="n"/>
      <c r="K929" s="120" t="n"/>
    </row>
    <row r="930" ht="15" customHeight="1" s="72">
      <c r="A930" s="117" t="n"/>
      <c r="B930" s="117" t="n"/>
      <c r="C930" s="118" t="n"/>
      <c r="D930" s="118" t="n"/>
      <c r="E930" s="118" t="n"/>
      <c r="F930" s="123" t="n"/>
      <c r="G930" s="119" t="n"/>
      <c r="H930" s="123" t="n"/>
      <c r="I930" s="123" t="n"/>
      <c r="J930" s="125" t="n"/>
      <c r="K930" s="120" t="n"/>
    </row>
    <row r="931" ht="15" customHeight="1" s="72">
      <c r="A931" s="117" t="n"/>
      <c r="B931" s="117" t="n"/>
      <c r="C931" s="118" t="n"/>
      <c r="D931" s="118" t="n"/>
      <c r="E931" s="118" t="n"/>
      <c r="F931" s="123" t="n"/>
      <c r="G931" s="119" t="n"/>
      <c r="H931" s="123" t="n"/>
      <c r="I931" s="123" t="n"/>
      <c r="J931" s="125" t="n"/>
      <c r="K931" s="120" t="n"/>
    </row>
    <row r="932" ht="15" customHeight="1" s="72">
      <c r="A932" s="117" t="n"/>
      <c r="B932" s="117" t="n"/>
      <c r="C932" s="118" t="n"/>
      <c r="D932" s="118" t="n"/>
      <c r="E932" s="118" t="n"/>
      <c r="F932" s="123" t="n"/>
      <c r="G932" s="119" t="n"/>
      <c r="H932" s="123" t="n"/>
      <c r="I932" s="123" t="n"/>
      <c r="J932" s="125" t="n"/>
      <c r="K932" s="120" t="n"/>
    </row>
    <row r="933" ht="15" customHeight="1" s="72">
      <c r="A933" s="117" t="n"/>
      <c r="B933" s="117" t="n"/>
      <c r="C933" s="118" t="n"/>
      <c r="D933" s="118" t="n"/>
      <c r="E933" s="118" t="n"/>
      <c r="F933" s="123" t="n"/>
      <c r="G933" s="119" t="n"/>
      <c r="H933" s="123" t="n"/>
      <c r="I933" s="123" t="n"/>
      <c r="J933" s="125" t="n"/>
      <c r="K933" s="120" t="n"/>
    </row>
    <row r="934" ht="15" customHeight="1" s="72">
      <c r="A934" s="117" t="n"/>
      <c r="B934" s="117" t="n"/>
      <c r="C934" s="118" t="n"/>
      <c r="D934" s="118" t="n"/>
      <c r="E934" s="118" t="n"/>
      <c r="F934" s="123" t="n"/>
      <c r="G934" s="119" t="n"/>
      <c r="H934" s="123" t="n"/>
      <c r="I934" s="123" t="n"/>
      <c r="J934" s="125" t="n"/>
      <c r="K934" s="120" t="n"/>
    </row>
    <row r="935" ht="15" customHeight="1" s="72">
      <c r="A935" s="117" t="n"/>
      <c r="B935" s="117" t="n"/>
      <c r="C935" s="118" t="n"/>
      <c r="D935" s="118" t="n"/>
      <c r="E935" s="118" t="n"/>
      <c r="F935" s="123" t="n"/>
      <c r="G935" s="119" t="n"/>
      <c r="H935" s="123" t="n"/>
      <c r="I935" s="123" t="n"/>
      <c r="J935" s="125" t="n"/>
      <c r="K935" s="120" t="n"/>
    </row>
    <row r="936" ht="15" customHeight="1" s="72">
      <c r="A936" s="117" t="n"/>
      <c r="B936" s="117" t="n"/>
      <c r="C936" s="118" t="n"/>
      <c r="D936" s="118" t="n"/>
      <c r="E936" s="118" t="n"/>
      <c r="F936" s="123" t="n"/>
      <c r="G936" s="119" t="n"/>
      <c r="H936" s="123" t="n"/>
      <c r="I936" s="123" t="n"/>
      <c r="J936" s="125" t="n"/>
      <c r="K936" s="120" t="n"/>
    </row>
    <row r="937" ht="15" customHeight="1" s="72">
      <c r="A937" s="117" t="n"/>
      <c r="B937" s="117" t="n"/>
      <c r="C937" s="118" t="n"/>
      <c r="D937" s="118" t="n"/>
      <c r="E937" s="118" t="n"/>
      <c r="F937" s="123" t="n"/>
      <c r="G937" s="119" t="n"/>
      <c r="H937" s="123" t="n"/>
      <c r="I937" s="123" t="n"/>
      <c r="J937" s="125" t="n"/>
      <c r="K937" s="120" t="n"/>
    </row>
    <row r="938" ht="15" customHeight="1" s="72">
      <c r="A938" s="117" t="n"/>
      <c r="B938" s="117" t="n"/>
      <c r="C938" s="118" t="n"/>
      <c r="D938" s="118" t="n"/>
      <c r="E938" s="118" t="n"/>
      <c r="F938" s="123" t="n"/>
      <c r="G938" s="119" t="n"/>
      <c r="H938" s="123" t="n"/>
      <c r="I938" s="123" t="n"/>
      <c r="J938" s="125" t="n"/>
      <c r="K938" s="120" t="n"/>
    </row>
    <row r="939" ht="15" customHeight="1" s="72">
      <c r="A939" s="117" t="n"/>
      <c r="B939" s="117" t="n"/>
      <c r="C939" s="118" t="n"/>
      <c r="D939" s="118" t="n"/>
      <c r="E939" s="118" t="n"/>
      <c r="F939" s="123" t="n"/>
      <c r="G939" s="119" t="n"/>
      <c r="H939" s="123" t="n"/>
      <c r="I939" s="123" t="n"/>
      <c r="J939" s="125" t="n"/>
      <c r="K939" s="120" t="n"/>
    </row>
    <row r="940" ht="15" customHeight="1" s="72">
      <c r="A940" s="117" t="n"/>
      <c r="B940" s="117" t="n"/>
      <c r="C940" s="118" t="n"/>
      <c r="D940" s="118" t="n"/>
      <c r="E940" s="118" t="n"/>
      <c r="F940" s="123" t="n"/>
      <c r="G940" s="119" t="n"/>
      <c r="H940" s="123" t="n"/>
      <c r="I940" s="123" t="n"/>
      <c r="J940" s="125" t="n"/>
      <c r="K940" s="120" t="n"/>
    </row>
    <row r="941" ht="15" customHeight="1" s="72">
      <c r="A941" s="117" t="n"/>
      <c r="B941" s="117" t="n"/>
      <c r="C941" s="118" t="n"/>
      <c r="D941" s="118" t="n"/>
      <c r="E941" s="118" t="n"/>
      <c r="F941" s="123" t="n"/>
      <c r="G941" s="119" t="n"/>
      <c r="H941" s="123" t="n"/>
      <c r="I941" s="123" t="n"/>
      <c r="J941" s="125" t="n"/>
      <c r="K941" s="120" t="n"/>
    </row>
    <row r="942" ht="15" customHeight="1" s="72">
      <c r="A942" s="117" t="n"/>
      <c r="B942" s="117" t="n"/>
      <c r="C942" s="118" t="n"/>
      <c r="D942" s="118" t="n"/>
      <c r="E942" s="118" t="n"/>
      <c r="F942" s="123" t="n"/>
      <c r="G942" s="119" t="n"/>
      <c r="H942" s="123" t="n"/>
      <c r="I942" s="123" t="n"/>
      <c r="J942" s="125" t="n"/>
      <c r="K942" s="120" t="n"/>
    </row>
    <row r="943" ht="15" customHeight="1" s="72">
      <c r="A943" s="117" t="n"/>
      <c r="B943" s="117" t="n"/>
      <c r="C943" s="118" t="n"/>
      <c r="D943" s="118" t="n"/>
      <c r="E943" s="118" t="n"/>
      <c r="F943" s="123" t="n"/>
      <c r="G943" s="119" t="n"/>
      <c r="H943" s="123" t="n"/>
      <c r="I943" s="123" t="n"/>
      <c r="J943" s="125" t="n"/>
      <c r="K943" s="120" t="n"/>
    </row>
    <row r="944" ht="15" customHeight="1" s="72">
      <c r="A944" s="117" t="n"/>
      <c r="B944" s="117" t="n"/>
      <c r="C944" s="118" t="n"/>
      <c r="D944" s="118" t="n"/>
      <c r="E944" s="118" t="n"/>
      <c r="F944" s="123" t="n"/>
      <c r="G944" s="119" t="n"/>
      <c r="H944" s="123" t="n"/>
      <c r="I944" s="123" t="n"/>
      <c r="J944" s="125" t="n"/>
      <c r="K944" s="120" t="n"/>
    </row>
    <row r="945" ht="15" customHeight="1" s="72">
      <c r="A945" s="117" t="n"/>
      <c r="B945" s="117" t="n"/>
      <c r="C945" s="118" t="n"/>
      <c r="D945" s="118" t="n"/>
      <c r="E945" s="118" t="n"/>
      <c r="F945" s="123" t="n"/>
      <c r="G945" s="119" t="n"/>
      <c r="H945" s="123" t="n"/>
      <c r="I945" s="123" t="n"/>
      <c r="J945" s="125" t="n"/>
      <c r="K945" s="120" t="n"/>
    </row>
    <row r="946" ht="15" customHeight="1" s="72">
      <c r="A946" s="117" t="n"/>
      <c r="B946" s="117" t="n"/>
      <c r="C946" s="118" t="n"/>
      <c r="D946" s="118" t="n"/>
      <c r="E946" s="118" t="n"/>
      <c r="F946" s="123" t="n"/>
      <c r="G946" s="119" t="n"/>
      <c r="H946" s="123" t="n"/>
      <c r="I946" s="123" t="n"/>
      <c r="J946" s="125" t="n"/>
      <c r="K946" s="120" t="n"/>
    </row>
    <row r="947" ht="15" customHeight="1" s="72">
      <c r="A947" s="117" t="n"/>
      <c r="B947" s="117" t="n"/>
      <c r="C947" s="118" t="n"/>
      <c r="D947" s="118" t="n"/>
      <c r="E947" s="118" t="n"/>
      <c r="F947" s="123" t="n"/>
      <c r="G947" s="119" t="n"/>
      <c r="H947" s="123" t="n"/>
      <c r="I947" s="123" t="n"/>
      <c r="J947" s="125" t="n"/>
      <c r="K947" s="120" t="n"/>
    </row>
    <row r="948" ht="15" customHeight="1" s="72">
      <c r="A948" s="117" t="n"/>
      <c r="B948" s="117" t="n"/>
      <c r="C948" s="118" t="n"/>
      <c r="D948" s="118" t="n"/>
      <c r="E948" s="118" t="n"/>
      <c r="F948" s="123" t="n"/>
      <c r="G948" s="119" t="n"/>
      <c r="H948" s="123" t="n"/>
      <c r="I948" s="123" t="n"/>
      <c r="J948" s="125" t="n"/>
      <c r="K948" s="120" t="n"/>
    </row>
    <row r="949" ht="15" customHeight="1" s="72">
      <c r="A949" s="117" t="n"/>
      <c r="B949" s="117" t="n"/>
      <c r="C949" s="118" t="n"/>
      <c r="D949" s="118" t="n"/>
      <c r="E949" s="118" t="n"/>
      <c r="F949" s="123" t="n"/>
      <c r="G949" s="119" t="n"/>
      <c r="H949" s="123" t="n"/>
      <c r="I949" s="123" t="n"/>
      <c r="J949" s="125" t="n"/>
      <c r="K949" s="120" t="n"/>
    </row>
    <row r="950" ht="15" customHeight="1" s="72">
      <c r="A950" s="117" t="n"/>
      <c r="B950" s="117" t="n"/>
      <c r="C950" s="118" t="n"/>
      <c r="D950" s="118" t="n"/>
      <c r="E950" s="118" t="n"/>
      <c r="F950" s="123" t="n"/>
      <c r="G950" s="119" t="n"/>
      <c r="H950" s="123" t="n"/>
      <c r="I950" s="123" t="n"/>
      <c r="J950" s="125" t="n"/>
      <c r="K950" s="120" t="n"/>
    </row>
    <row r="951" ht="15" customHeight="1" s="72">
      <c r="A951" s="117" t="n"/>
      <c r="B951" s="117" t="n"/>
      <c r="C951" s="118" t="n"/>
      <c r="D951" s="118" t="n"/>
      <c r="E951" s="118" t="n"/>
      <c r="F951" s="123" t="n"/>
      <c r="G951" s="119" t="n"/>
      <c r="H951" s="123" t="n"/>
      <c r="I951" s="123" t="n"/>
      <c r="J951" s="125" t="n"/>
      <c r="K951" s="120" t="n"/>
    </row>
    <row r="952" ht="15" customHeight="1" s="72">
      <c r="A952" s="117" t="n"/>
      <c r="B952" s="117" t="n"/>
      <c r="C952" s="118" t="n"/>
      <c r="D952" s="118" t="n"/>
      <c r="E952" s="118" t="n"/>
      <c r="F952" s="123" t="n"/>
      <c r="G952" s="119" t="n"/>
      <c r="H952" s="123" t="n"/>
      <c r="I952" s="123" t="n"/>
      <c r="J952" s="125" t="n"/>
      <c r="K952" s="120" t="n"/>
    </row>
    <row r="953" ht="15" customHeight="1" s="72">
      <c r="A953" s="117" t="n"/>
      <c r="B953" s="117" t="n"/>
      <c r="C953" s="118" t="n"/>
      <c r="D953" s="118" t="n"/>
      <c r="E953" s="118" t="n"/>
      <c r="F953" s="123" t="n"/>
      <c r="G953" s="119" t="n"/>
      <c r="H953" s="123" t="n"/>
      <c r="I953" s="123" t="n"/>
      <c r="J953" s="125" t="n"/>
      <c r="K953" s="120" t="n"/>
    </row>
    <row r="954" ht="15" customHeight="1" s="72">
      <c r="A954" s="117" t="n"/>
      <c r="B954" s="117" t="n"/>
      <c r="C954" s="118" t="n"/>
      <c r="D954" s="118" t="n"/>
      <c r="E954" s="118" t="n"/>
      <c r="F954" s="123" t="n"/>
      <c r="G954" s="119" t="n"/>
      <c r="H954" s="123" t="n"/>
      <c r="I954" s="123" t="n"/>
      <c r="J954" s="125" t="n"/>
      <c r="K954" s="120" t="n"/>
    </row>
    <row r="955" ht="15" customHeight="1" s="72">
      <c r="A955" s="117" t="n"/>
      <c r="B955" s="117" t="n"/>
      <c r="C955" s="118" t="n"/>
      <c r="D955" s="118" t="n"/>
      <c r="E955" s="118" t="n"/>
      <c r="F955" s="123" t="n"/>
      <c r="G955" s="119" t="n"/>
      <c r="H955" s="123" t="n"/>
      <c r="I955" s="123" t="n"/>
      <c r="J955" s="125" t="n"/>
      <c r="K955" s="120" t="n"/>
    </row>
    <row r="956" ht="15" customHeight="1" s="72">
      <c r="A956" s="117" t="n"/>
      <c r="B956" s="117" t="n"/>
      <c r="C956" s="118" t="n"/>
      <c r="D956" s="118" t="n"/>
      <c r="E956" s="118" t="n"/>
      <c r="F956" s="123" t="n"/>
      <c r="G956" s="119" t="n"/>
      <c r="H956" s="123" t="n"/>
      <c r="I956" s="123" t="n"/>
      <c r="J956" s="125" t="n"/>
      <c r="K956" s="120" t="n"/>
    </row>
    <row r="957" ht="15" customHeight="1" s="72">
      <c r="A957" s="117" t="n"/>
      <c r="B957" s="117" t="n"/>
      <c r="C957" s="118" t="n"/>
      <c r="D957" s="118" t="n"/>
      <c r="E957" s="118" t="n"/>
      <c r="F957" s="123" t="n"/>
      <c r="G957" s="119" t="n"/>
      <c r="H957" s="123" t="n"/>
      <c r="I957" s="123" t="n"/>
      <c r="J957" s="125" t="n"/>
      <c r="K957" s="120" t="n"/>
    </row>
    <row r="958" ht="15" customHeight="1" s="72">
      <c r="A958" s="117" t="n"/>
      <c r="B958" s="117" t="n"/>
      <c r="C958" s="118" t="n"/>
      <c r="D958" s="118" t="n"/>
      <c r="E958" s="118" t="n"/>
      <c r="F958" s="123" t="n"/>
      <c r="G958" s="119" t="n"/>
      <c r="H958" s="123" t="n"/>
      <c r="I958" s="123" t="n"/>
      <c r="J958" s="125" t="n"/>
      <c r="K958" s="120" t="n"/>
    </row>
    <row r="959" ht="15" customHeight="1" s="72">
      <c r="A959" s="117" t="n"/>
      <c r="B959" s="117" t="n"/>
      <c r="C959" s="118" t="n"/>
      <c r="D959" s="118" t="n"/>
      <c r="E959" s="118" t="n"/>
      <c r="F959" s="123" t="n"/>
      <c r="G959" s="119" t="n"/>
      <c r="H959" s="123" t="n"/>
      <c r="I959" s="123" t="n"/>
      <c r="J959" s="125" t="n"/>
      <c r="K959" s="120" t="n"/>
    </row>
    <row r="960" ht="15" customHeight="1" s="72">
      <c r="A960" s="117" t="n"/>
      <c r="B960" s="117" t="n"/>
      <c r="C960" s="118" t="n"/>
      <c r="D960" s="118" t="n"/>
      <c r="E960" s="118" t="n"/>
      <c r="F960" s="123" t="n"/>
      <c r="G960" s="119" t="n"/>
      <c r="H960" s="123" t="n"/>
      <c r="I960" s="123" t="n"/>
      <c r="J960" s="125" t="n"/>
      <c r="K960" s="120" t="n"/>
    </row>
    <row r="961" ht="15" customHeight="1" s="72">
      <c r="A961" s="117" t="n"/>
      <c r="B961" s="117" t="n"/>
      <c r="C961" s="118" t="n"/>
      <c r="D961" s="118" t="n"/>
      <c r="E961" s="118" t="n"/>
      <c r="F961" s="123" t="n"/>
      <c r="G961" s="119" t="n"/>
      <c r="H961" s="123" t="n"/>
      <c r="I961" s="123" t="n"/>
      <c r="J961" s="125" t="n"/>
      <c r="K961" s="120" t="n"/>
    </row>
    <row r="962" ht="15" customHeight="1" s="72">
      <c r="A962" s="117" t="n"/>
      <c r="B962" s="117" t="n"/>
      <c r="C962" s="118" t="n"/>
      <c r="D962" s="118" t="n"/>
      <c r="E962" s="118" t="n"/>
      <c r="F962" s="123" t="n"/>
      <c r="G962" s="119" t="n"/>
      <c r="H962" s="123" t="n"/>
      <c r="I962" s="123" t="n"/>
      <c r="J962" s="125" t="n"/>
      <c r="K962" s="120" t="n"/>
    </row>
    <row r="963" ht="15" customHeight="1" s="72">
      <c r="A963" s="117" t="n"/>
      <c r="B963" s="117" t="n"/>
      <c r="C963" s="118" t="n"/>
      <c r="D963" s="118" t="n"/>
      <c r="E963" s="118" t="n"/>
      <c r="F963" s="123" t="n"/>
      <c r="G963" s="119" t="n"/>
      <c r="H963" s="123" t="n"/>
      <c r="I963" s="123" t="n"/>
      <c r="J963" s="125" t="n"/>
      <c r="K963" s="120" t="n"/>
    </row>
    <row r="964" ht="15" customHeight="1" s="72">
      <c r="A964" s="117" t="n"/>
      <c r="B964" s="117" t="n"/>
      <c r="C964" s="118" t="n"/>
      <c r="D964" s="118" t="n"/>
      <c r="E964" s="118" t="n"/>
      <c r="F964" s="123" t="n"/>
      <c r="G964" s="119" t="n"/>
      <c r="H964" s="123" t="n"/>
      <c r="I964" s="123" t="n"/>
      <c r="J964" s="125" t="n"/>
      <c r="K964" s="120" t="n"/>
    </row>
    <row r="965" ht="15" customHeight="1" s="72">
      <c r="A965" s="117" t="n"/>
      <c r="B965" s="117" t="n"/>
      <c r="C965" s="118" t="n"/>
      <c r="D965" s="118" t="n"/>
      <c r="E965" s="118" t="n"/>
      <c r="F965" s="123" t="n"/>
      <c r="G965" s="119" t="n"/>
      <c r="H965" s="123" t="n"/>
      <c r="I965" s="123" t="n"/>
      <c r="J965" s="125" t="n"/>
      <c r="K965" s="120" t="n"/>
    </row>
    <row r="966" ht="15" customHeight="1" s="72">
      <c r="A966" s="117" t="n"/>
      <c r="B966" s="117" t="n"/>
      <c r="C966" s="118" t="n"/>
      <c r="D966" s="118" t="n"/>
      <c r="E966" s="118" t="n"/>
      <c r="F966" s="123" t="n"/>
      <c r="G966" s="119" t="n"/>
      <c r="H966" s="123" t="n"/>
      <c r="I966" s="123" t="n"/>
      <c r="J966" s="125" t="n"/>
      <c r="K966" s="120" t="n"/>
    </row>
    <row r="967" ht="15" customHeight="1" s="72">
      <c r="A967" s="117" t="n"/>
      <c r="B967" s="117" t="n"/>
      <c r="C967" s="118" t="n"/>
      <c r="D967" s="118" t="n"/>
      <c r="E967" s="118" t="n"/>
      <c r="F967" s="123" t="n"/>
      <c r="G967" s="119" t="n"/>
      <c r="H967" s="123" t="n"/>
      <c r="I967" s="123" t="n"/>
      <c r="J967" s="125" t="n"/>
      <c r="K967" s="120" t="n"/>
    </row>
    <row r="968" ht="15" customHeight="1" s="72">
      <c r="A968" s="117" t="n"/>
      <c r="B968" s="117" t="n"/>
      <c r="C968" s="118" t="n"/>
      <c r="D968" s="118" t="n"/>
      <c r="E968" s="118" t="n"/>
      <c r="F968" s="123" t="n"/>
      <c r="G968" s="119" t="n"/>
      <c r="H968" s="123" t="n"/>
      <c r="I968" s="123" t="n"/>
      <c r="J968" s="125" t="n"/>
      <c r="K968" s="120" t="n"/>
    </row>
    <row r="969" ht="15" customHeight="1" s="72">
      <c r="A969" s="117" t="n"/>
      <c r="B969" s="117" t="n"/>
      <c r="C969" s="118" t="n"/>
      <c r="D969" s="118" t="n"/>
      <c r="E969" s="118" t="n"/>
      <c r="F969" s="123" t="n"/>
      <c r="G969" s="119" t="n"/>
      <c r="H969" s="123" t="n"/>
      <c r="I969" s="123" t="n"/>
      <c r="J969" s="125" t="n"/>
      <c r="K969" s="120" t="n"/>
    </row>
    <row r="970" ht="15" customHeight="1" s="72">
      <c r="A970" s="117" t="n"/>
      <c r="B970" s="117" t="n"/>
      <c r="C970" s="118" t="n"/>
      <c r="D970" s="118" t="n"/>
      <c r="E970" s="118" t="n"/>
      <c r="F970" s="123" t="n"/>
      <c r="G970" s="119" t="n"/>
      <c r="H970" s="123" t="n"/>
      <c r="I970" s="123" t="n"/>
      <c r="J970" s="125" t="n"/>
      <c r="K970" s="120" t="n"/>
    </row>
    <row r="971" ht="15" customHeight="1" s="72">
      <c r="A971" s="117" t="n"/>
      <c r="B971" s="117" t="n"/>
      <c r="C971" s="118" t="n"/>
      <c r="D971" s="118" t="n"/>
      <c r="E971" s="118" t="n"/>
      <c r="F971" s="123" t="n"/>
      <c r="G971" s="119" t="n"/>
      <c r="H971" s="123" t="n"/>
      <c r="I971" s="123" t="n"/>
      <c r="J971" s="125" t="n"/>
      <c r="K971" s="120" t="n"/>
    </row>
    <row r="972" ht="15" customHeight="1" s="72">
      <c r="A972" s="117" t="n"/>
      <c r="B972" s="117" t="n"/>
      <c r="C972" s="118" t="n"/>
      <c r="D972" s="118" t="n"/>
      <c r="E972" s="118" t="n"/>
      <c r="F972" s="123" t="n"/>
      <c r="G972" s="119" t="n"/>
      <c r="H972" s="123" t="n"/>
      <c r="I972" s="123" t="n"/>
      <c r="J972" s="125" t="n"/>
      <c r="K972" s="120" t="n"/>
    </row>
    <row r="973" ht="15" customHeight="1" s="72">
      <c r="A973" s="117" t="n"/>
      <c r="B973" s="117" t="n"/>
      <c r="C973" s="118" t="n"/>
      <c r="D973" s="118" t="n"/>
      <c r="E973" s="118" t="n"/>
      <c r="F973" s="123" t="n"/>
      <c r="G973" s="119" t="n"/>
      <c r="H973" s="123" t="n"/>
      <c r="I973" s="123" t="n"/>
      <c r="J973" s="125" t="n"/>
      <c r="K973" s="120" t="n"/>
    </row>
    <row r="974" ht="15" customHeight="1" s="72">
      <c r="A974" s="117" t="n"/>
      <c r="B974" s="117" t="n"/>
      <c r="C974" s="118" t="n"/>
      <c r="D974" s="118" t="n"/>
      <c r="E974" s="118" t="n"/>
      <c r="F974" s="123" t="n"/>
      <c r="G974" s="119" t="n"/>
      <c r="H974" s="123" t="n"/>
      <c r="I974" s="123" t="n"/>
      <c r="J974" s="125" t="n"/>
      <c r="K974" s="120" t="n"/>
    </row>
    <row r="975" ht="15" customHeight="1" s="72">
      <c r="A975" s="117" t="n"/>
      <c r="B975" s="117" t="n"/>
      <c r="C975" s="118" t="n"/>
      <c r="D975" s="118" t="n"/>
      <c r="E975" s="118" t="n"/>
      <c r="F975" s="123" t="n"/>
      <c r="G975" s="119" t="n"/>
      <c r="H975" s="123" t="n"/>
      <c r="I975" s="123" t="n"/>
      <c r="J975" s="125" t="n"/>
      <c r="K975" s="120" t="n"/>
    </row>
    <row r="976" ht="15" customHeight="1" s="72">
      <c r="A976" s="117" t="n"/>
      <c r="B976" s="117" t="n"/>
      <c r="C976" s="118" t="n"/>
      <c r="D976" s="118" t="n"/>
      <c r="E976" s="118" t="n"/>
      <c r="F976" s="123" t="n"/>
      <c r="G976" s="119" t="n"/>
      <c r="H976" s="123" t="n"/>
      <c r="I976" s="123" t="n"/>
      <c r="J976" s="125" t="n"/>
      <c r="K976" s="120" t="n"/>
    </row>
    <row r="977" ht="15" customHeight="1" s="72">
      <c r="A977" s="117" t="n"/>
      <c r="B977" s="117" t="n"/>
      <c r="C977" s="118" t="n"/>
      <c r="D977" s="118" t="n"/>
      <c r="E977" s="118" t="n"/>
      <c r="F977" s="123" t="n"/>
      <c r="G977" s="119" t="n"/>
      <c r="H977" s="123" t="n"/>
      <c r="I977" s="123" t="n"/>
      <c r="J977" s="125" t="n"/>
      <c r="K977" s="120" t="n"/>
    </row>
    <row r="978" ht="15" customHeight="1" s="72">
      <c r="A978" s="117" t="n"/>
      <c r="B978" s="117" t="n"/>
      <c r="C978" s="118" t="n"/>
      <c r="D978" s="118" t="n"/>
      <c r="E978" s="118" t="n"/>
      <c r="F978" s="123" t="n"/>
      <c r="G978" s="119" t="n"/>
      <c r="H978" s="123" t="n"/>
      <c r="I978" s="123" t="n"/>
      <c r="J978" s="125" t="n"/>
      <c r="K978" s="120" t="n"/>
    </row>
    <row r="979" ht="15" customHeight="1" s="72">
      <c r="A979" s="117" t="n"/>
      <c r="B979" s="117" t="n"/>
      <c r="C979" s="118" t="n"/>
      <c r="D979" s="118" t="n"/>
      <c r="E979" s="118" t="n"/>
      <c r="F979" s="123" t="n"/>
      <c r="G979" s="119" t="n"/>
      <c r="H979" s="123" t="n"/>
      <c r="I979" s="123" t="n"/>
      <c r="J979" s="125" t="n"/>
      <c r="K979" s="120" t="n"/>
    </row>
    <row r="980" ht="15" customHeight="1" s="72">
      <c r="A980" s="117" t="n"/>
      <c r="B980" s="117" t="n"/>
      <c r="C980" s="118" t="n"/>
      <c r="D980" s="118" t="n"/>
      <c r="E980" s="118" t="n"/>
      <c r="F980" s="123" t="n"/>
      <c r="G980" s="119" t="n"/>
      <c r="H980" s="123" t="n"/>
      <c r="I980" s="123" t="n"/>
      <c r="J980" s="125" t="n"/>
      <c r="K980" s="120" t="n"/>
    </row>
    <row r="981" ht="15" customHeight="1" s="72">
      <c r="A981" s="117" t="n"/>
      <c r="B981" s="117" t="n"/>
      <c r="C981" s="118" t="n"/>
      <c r="D981" s="118" t="n"/>
      <c r="E981" s="118" t="n"/>
      <c r="F981" s="123" t="n"/>
      <c r="G981" s="119" t="n"/>
      <c r="H981" s="123" t="n"/>
      <c r="I981" s="123" t="n"/>
      <c r="J981" s="125" t="n"/>
      <c r="K981" s="120" t="n"/>
    </row>
    <row r="982" ht="15" customHeight="1" s="72">
      <c r="A982" s="117" t="n"/>
      <c r="B982" s="117" t="n"/>
      <c r="C982" s="118" t="n"/>
      <c r="D982" s="118" t="n"/>
      <c r="E982" s="118" t="n"/>
      <c r="F982" s="123" t="n"/>
      <c r="G982" s="119" t="n"/>
      <c r="H982" s="123" t="n"/>
      <c r="I982" s="123" t="n"/>
      <c r="J982" s="125" t="n"/>
      <c r="K982" s="120" t="n"/>
    </row>
    <row r="983" ht="15" customHeight="1" s="72">
      <c r="A983" s="117" t="n"/>
      <c r="B983" s="117" t="n"/>
      <c r="C983" s="118" t="n"/>
      <c r="D983" s="118" t="n"/>
      <c r="E983" s="118" t="n"/>
      <c r="F983" s="123" t="n"/>
      <c r="G983" s="119" t="n"/>
      <c r="H983" s="123" t="n"/>
      <c r="I983" s="123" t="n"/>
      <c r="J983" s="125" t="n"/>
      <c r="K983" s="120" t="n"/>
    </row>
    <row r="984" ht="15" customHeight="1" s="72">
      <c r="A984" s="117" t="n"/>
      <c r="B984" s="117" t="n"/>
      <c r="C984" s="118" t="n"/>
      <c r="D984" s="118" t="n"/>
      <c r="E984" s="118" t="n"/>
      <c r="F984" s="123" t="n"/>
      <c r="G984" s="119" t="n"/>
      <c r="H984" s="123" t="n"/>
      <c r="I984" s="123" t="n"/>
      <c r="J984" s="125" t="n"/>
      <c r="K984" s="120" t="n"/>
    </row>
    <row r="985" ht="15" customHeight="1" s="72">
      <c r="A985" s="117" t="n"/>
      <c r="B985" s="117" t="n"/>
      <c r="C985" s="118" t="n"/>
      <c r="D985" s="118" t="n"/>
      <c r="E985" s="118" t="n"/>
      <c r="F985" s="123" t="n"/>
      <c r="G985" s="119" t="n"/>
      <c r="H985" s="123" t="n"/>
      <c r="I985" s="123" t="n"/>
      <c r="J985" s="125" t="n"/>
      <c r="K985" s="120" t="n"/>
    </row>
    <row r="986" ht="15" customHeight="1" s="72">
      <c r="A986" s="117" t="n"/>
      <c r="B986" s="117" t="n"/>
      <c r="C986" s="118" t="n"/>
      <c r="D986" s="118" t="n"/>
      <c r="E986" s="118" t="n"/>
      <c r="F986" s="123" t="n"/>
      <c r="G986" s="119" t="n"/>
      <c r="H986" s="123" t="n"/>
      <c r="I986" s="123" t="n"/>
      <c r="J986" s="125" t="n"/>
      <c r="K986" s="120" t="n"/>
    </row>
    <row r="987" ht="15" customHeight="1" s="72">
      <c r="A987" s="117" t="n"/>
      <c r="B987" s="117" t="n"/>
      <c r="C987" s="118" t="n"/>
      <c r="D987" s="118" t="n"/>
      <c r="E987" s="118" t="n"/>
      <c r="F987" s="123" t="n"/>
      <c r="G987" s="119" t="n"/>
      <c r="H987" s="123" t="n"/>
      <c r="I987" s="123" t="n"/>
      <c r="J987" s="125" t="n"/>
      <c r="K987" s="120" t="n"/>
    </row>
    <row r="988" ht="15" customHeight="1" s="72">
      <c r="A988" s="117" t="n"/>
      <c r="B988" s="117" t="n"/>
      <c r="C988" s="118" t="n"/>
      <c r="D988" s="118" t="n"/>
      <c r="E988" s="118" t="n"/>
      <c r="F988" s="123" t="n"/>
      <c r="G988" s="119" t="n"/>
      <c r="H988" s="123" t="n"/>
      <c r="I988" s="123" t="n"/>
      <c r="J988" s="125" t="n"/>
      <c r="K988" s="120" t="n"/>
    </row>
    <row r="989" ht="15" customHeight="1" s="72">
      <c r="A989" s="117" t="n"/>
      <c r="B989" s="117" t="n"/>
      <c r="C989" s="118" t="n"/>
      <c r="D989" s="118" t="n"/>
      <c r="E989" s="118" t="n"/>
      <c r="F989" s="123" t="n"/>
      <c r="G989" s="119" t="n"/>
      <c r="H989" s="123" t="n"/>
      <c r="I989" s="123" t="n"/>
      <c r="J989" s="125" t="n"/>
      <c r="K989" s="120" t="n"/>
    </row>
    <row r="990" ht="15" customHeight="1" s="72">
      <c r="A990" s="117" t="n"/>
      <c r="B990" s="117" t="n"/>
      <c r="C990" s="118" t="n"/>
      <c r="D990" s="118" t="n"/>
      <c r="E990" s="118" t="n"/>
      <c r="F990" s="123" t="n"/>
      <c r="G990" s="119" t="n"/>
      <c r="H990" s="123" t="n"/>
      <c r="I990" s="123" t="n"/>
      <c r="J990" s="125" t="n"/>
      <c r="K990" s="120" t="n"/>
    </row>
    <row r="991" ht="15" customHeight="1" s="72">
      <c r="A991" s="117" t="n"/>
      <c r="B991" s="117" t="n"/>
      <c r="C991" s="118" t="n"/>
      <c r="D991" s="118" t="n"/>
      <c r="E991" s="118" t="n"/>
      <c r="F991" s="123" t="n"/>
      <c r="G991" s="119" t="n"/>
      <c r="H991" s="123" t="n"/>
      <c r="I991" s="123" t="n"/>
      <c r="J991" s="125" t="n"/>
      <c r="K991" s="120" t="n"/>
    </row>
    <row r="992" ht="15" customHeight="1" s="72">
      <c r="A992" s="117" t="n"/>
      <c r="B992" s="117" t="n"/>
      <c r="C992" s="118" t="n"/>
      <c r="D992" s="118" t="n"/>
      <c r="E992" s="118" t="n"/>
      <c r="F992" s="123" t="n"/>
      <c r="G992" s="119" t="n"/>
      <c r="H992" s="123" t="n"/>
      <c r="I992" s="123" t="n"/>
      <c r="J992" s="125" t="n"/>
      <c r="K992" s="120" t="n"/>
    </row>
    <row r="993" ht="15" customHeight="1" s="72">
      <c r="A993" s="117" t="n"/>
      <c r="B993" s="117" t="n"/>
      <c r="C993" s="118" t="n"/>
      <c r="D993" s="118" t="n"/>
      <c r="E993" s="118" t="n"/>
      <c r="F993" s="123" t="n"/>
      <c r="G993" s="119" t="n"/>
      <c r="H993" s="123" t="n"/>
      <c r="I993" s="123" t="n"/>
      <c r="J993" s="125" t="n"/>
      <c r="K993" s="120" t="n"/>
    </row>
    <row r="994" ht="15" customHeight="1" s="72">
      <c r="A994" s="117" t="n"/>
      <c r="B994" s="117" t="n"/>
      <c r="C994" s="118" t="n"/>
      <c r="D994" s="118" t="n"/>
      <c r="E994" s="118" t="n"/>
      <c r="F994" s="123" t="n"/>
      <c r="G994" s="119" t="n"/>
      <c r="H994" s="123" t="n"/>
      <c r="I994" s="123" t="n"/>
      <c r="J994" s="125" t="n"/>
      <c r="K994" s="120" t="n"/>
    </row>
    <row r="995" ht="15" customHeight="1" s="72">
      <c r="A995" s="117" t="n"/>
      <c r="B995" s="117" t="n"/>
      <c r="C995" s="118" t="n"/>
      <c r="D995" s="118" t="n"/>
      <c r="E995" s="118" t="n"/>
      <c r="F995" s="123" t="n"/>
      <c r="G995" s="119" t="n"/>
      <c r="H995" s="123" t="n"/>
      <c r="I995" s="123" t="n"/>
      <c r="J995" s="125" t="n"/>
      <c r="K995" s="120" t="n"/>
    </row>
    <row r="996" ht="15" customHeight="1" s="72">
      <c r="A996" s="117" t="n"/>
      <c r="B996" s="117" t="n"/>
      <c r="C996" s="118" t="n"/>
      <c r="D996" s="118" t="n"/>
      <c r="E996" s="118" t="n"/>
      <c r="F996" s="123" t="n"/>
      <c r="G996" s="119" t="n"/>
      <c r="H996" s="123" t="n"/>
      <c r="I996" s="123" t="n"/>
      <c r="J996" s="125" t="n"/>
      <c r="K996" s="120" t="n"/>
    </row>
    <row r="997" ht="15" customHeight="1" s="72">
      <c r="A997" s="117" t="n"/>
      <c r="B997" s="117" t="n"/>
      <c r="C997" s="118" t="n"/>
      <c r="D997" s="118" t="n"/>
      <c r="E997" s="118" t="n"/>
      <c r="F997" s="123" t="n"/>
      <c r="G997" s="119" t="n"/>
      <c r="H997" s="123" t="n"/>
      <c r="I997" s="123" t="n"/>
      <c r="J997" s="125" t="n"/>
      <c r="K997" s="120" t="n"/>
    </row>
    <row r="998" ht="15" customHeight="1" s="72">
      <c r="A998" s="117" t="n"/>
      <c r="B998" s="117" t="n"/>
      <c r="C998" s="118" t="n"/>
      <c r="D998" s="118" t="n"/>
      <c r="E998" s="118" t="n"/>
      <c r="F998" s="123" t="n"/>
      <c r="G998" s="119" t="n"/>
      <c r="H998" s="123" t="n"/>
      <c r="I998" s="123" t="n"/>
      <c r="J998" s="125" t="n"/>
      <c r="K998" s="120" t="n"/>
    </row>
    <row r="999" ht="15" customHeight="1" s="72">
      <c r="A999" s="117" t="n"/>
      <c r="B999" s="117" t="n"/>
      <c r="C999" s="118" t="n"/>
      <c r="D999" s="118" t="n"/>
      <c r="E999" s="118" t="n"/>
      <c r="F999" s="123" t="n"/>
      <c r="G999" s="119" t="n"/>
      <c r="H999" s="123" t="n"/>
      <c r="I999" s="123" t="n"/>
      <c r="J999" s="125" t="n"/>
      <c r="K999" s="120" t="n"/>
    </row>
    <row r="1000" ht="15" customHeight="1" s="72">
      <c r="A1000" s="117" t="n"/>
      <c r="B1000" s="117" t="n"/>
      <c r="C1000" s="118" t="n"/>
      <c r="D1000" s="118" t="n"/>
      <c r="E1000" s="118" t="n"/>
      <c r="F1000" s="123" t="n"/>
      <c r="G1000" s="119" t="n"/>
      <c r="H1000" s="123" t="n"/>
      <c r="I1000" s="123" t="n"/>
      <c r="J1000" s="125" t="n"/>
      <c r="K1000" s="120" t="n"/>
    </row>
    <row r="1001" ht="15" customHeight="1" s="72">
      <c r="A1001" s="117" t="n"/>
      <c r="B1001" s="117" t="n"/>
      <c r="C1001" s="118" t="n"/>
      <c r="D1001" s="118" t="n"/>
      <c r="E1001" s="118" t="n"/>
      <c r="F1001" s="123" t="n"/>
      <c r="G1001" s="119" t="n"/>
      <c r="H1001" s="123" t="n"/>
      <c r="I1001" s="123" t="n"/>
      <c r="J1001" s="125" t="n"/>
      <c r="K1001" s="120" t="n"/>
    </row>
    <row r="1002" ht="15" customHeight="1" s="72">
      <c r="A1002" s="117" t="n"/>
      <c r="B1002" s="117" t="n"/>
      <c r="C1002" s="118" t="n"/>
      <c r="D1002" s="118" t="n"/>
      <c r="E1002" s="118" t="n"/>
      <c r="F1002" s="123" t="n"/>
      <c r="G1002" s="119" t="n"/>
      <c r="H1002" s="123" t="n"/>
      <c r="I1002" s="123" t="n"/>
      <c r="J1002" s="125" t="n"/>
      <c r="K1002" s="120" t="n"/>
    </row>
    <row r="1003" ht="15" customHeight="1" s="72">
      <c r="A1003" s="117" t="n"/>
      <c r="B1003" s="117" t="n"/>
      <c r="C1003" s="118" t="n"/>
      <c r="D1003" s="118" t="n"/>
      <c r="E1003" s="118" t="n"/>
      <c r="F1003" s="123" t="n"/>
      <c r="G1003" s="119" t="n"/>
      <c r="H1003" s="123" t="n"/>
      <c r="I1003" s="123" t="n"/>
      <c r="J1003" s="125" t="n"/>
      <c r="K1003" s="120" t="n"/>
    </row>
    <row r="1004" ht="15" customHeight="1" s="72">
      <c r="A1004" s="117" t="n"/>
      <c r="B1004" s="117" t="n"/>
      <c r="C1004" s="117" t="n"/>
      <c r="D1004" s="117" t="n"/>
      <c r="E1004" s="117" t="n"/>
      <c r="G1004" s="117" t="n"/>
    </row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conditionalFormatting sqref="J6:J1004">
    <cfRule type="cellIs" rank="0" priority="5" equalAverage="0" operator="greaterThan" aboveAverage="0" dxfId="8" text="" percent="0" bottom="0">
      <formula>MutfakInceleEsik</formula>
    </cfRule>
    <cfRule type="cellIs" rank="0" priority="6" equalAverage="0" operator="greaterThan" aboveAverage="0" dxfId="7" text="" percent="0" bottom="0">
      <formula>MutfakKritikEsik</formula>
    </cfRule>
  </conditionalFormatting>
  <conditionalFormatting sqref="K6:K1004">
    <cfRule type="cellIs" rank="0" priority="7" equalAverage="0" operator="greaterThan" aboveAverage="0" dxfId="8" text="" percent="0" bottom="0">
      <formula>0</formula>
    </cfRule>
  </conditionalFormatting>
  <dataValidations count="6">
    <dataValidation sqref="A6:A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B6:B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C6:C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E6:E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G6:G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40" customWidth="1" style="98" min="2" max="2"/>
    <col width="24" customWidth="1" style="98" min="3" max="5"/>
    <col width="22" customWidth="1" style="98" min="6" max="6"/>
  </cols>
  <sheetData>
    <row r="1" ht="25.5" customHeight="1" s="72">
      <c r="A1" s="99" t="inlineStr">
        <is>
          <t>HESAP — Mutfak Kayıp/Kaçak Hesaplayıcı</t>
        </is>
      </c>
    </row>
    <row r="3" ht="30" customHeight="1" s="72">
      <c r="A3" s="110" t="inlineStr">
        <is>
          <t>Kayıp/Kaçak Hesaplama Motoru</t>
        </is>
      </c>
    </row>
    <row r="4" ht="41.25" customHeight="1" s="72">
      <c r="A4" s="101" t="inlineStr">
        <is>
          <t>Stok ve reçete verilerinden canlı üretilir; toplam kayıp, kayıp oranı ve kritik kalemler hesaplanır.</t>
        </is>
      </c>
    </row>
    <row r="6" ht="15" customHeight="1" s="72">
      <c r="A6" s="126" t="inlineStr">
        <is>
          <t>TOPLAM HASILAT (TL)</t>
        </is>
      </c>
      <c r="B6" s="127">
        <f>SUM(tblUrun[Satış Hasılatı (TL)])</f>
        <v/>
      </c>
    </row>
    <row r="7" ht="15" customHeight="1" s="72">
      <c r="A7" s="126" t="inlineStr">
        <is>
          <t>TOPLAM REÇETE MALİYETİ (TL)</t>
        </is>
      </c>
      <c r="B7" s="127">
        <f>SUM(tblUrun[Reçete Maliyeti (TL)])</f>
        <v/>
      </c>
    </row>
    <row r="8" ht="15" customHeight="1" s="72">
      <c r="A8" s="128" t="inlineStr">
        <is>
          <t>Toplam Kâr Katkısı (TL)</t>
        </is>
      </c>
      <c r="B8" s="129">
        <f>SUM(tblUrun[Kâr Katkısı (TL)])</f>
        <v/>
      </c>
    </row>
    <row r="9" ht="15" customHeight="1" s="72">
      <c r="A9" s="128" t="inlineStr">
        <is>
          <t>Toplam Fiili Tüketim (TL)</t>
        </is>
      </c>
      <c r="B9" s="129">
        <f>SUMPRODUCT(tblStok[Fiili Tüketim],tblStok[Birim Maliyet (TL)])</f>
        <v/>
      </c>
    </row>
    <row r="10" ht="15" customHeight="1" s="72">
      <c r="A10" s="128" t="inlineStr">
        <is>
          <t>Toplam Teorik Tüketim (TL)</t>
        </is>
      </c>
      <c r="B10" s="129">
        <f>SUMPRODUCT(tblStok[Teorik Tüketim],tblStok[Birim Maliyet (TL)])</f>
        <v/>
      </c>
    </row>
    <row r="11" ht="15" customHeight="1" s="72">
      <c r="A11" s="126" t="inlineStr">
        <is>
          <t>TOPLAM KAYIP/KAÇAK TUTARI (TL)</t>
        </is>
      </c>
      <c r="B11" s="127">
        <f>IFERROR(B9-B10,0)</f>
        <v/>
      </c>
    </row>
    <row r="12" ht="15" customHeight="1" s="72">
      <c r="A12" s="128" t="inlineStr">
        <is>
          <t>Toplam Kayıp Oranı</t>
        </is>
      </c>
      <c r="B12" s="130">
        <f>IFERROR(B11/B10,0)</f>
        <v/>
      </c>
    </row>
    <row r="13" ht="15" customHeight="1" s="72">
      <c r="A13" s="128" t="inlineStr">
        <is>
          <t>Kayıp Oranı Eşiği (İncele)</t>
        </is>
      </c>
      <c r="B13" s="130">
        <f>IF(COUNTA(tblStok[Hammadde])&gt;0,MutfakInceleEsik,0)</f>
        <v/>
      </c>
    </row>
    <row r="14" ht="15" customHeight="1" s="72">
      <c r="A14" s="128" t="inlineStr">
        <is>
          <t>Kayıp Oranı Eşiği (Kritik)</t>
        </is>
      </c>
      <c r="B14" s="130">
        <f>IF(COUNTA(tblStok[Hammadde])&gt;0,MutfakKritikEsik,0)</f>
        <v/>
      </c>
    </row>
    <row r="15" ht="15" customHeight="1" s="72">
      <c r="A15" s="128" t="inlineStr">
        <is>
          <t>Kayıp Hammadde Sayısı</t>
        </is>
      </c>
      <c r="B15" s="131">
        <f>COUNTIF(tblStok[Kayıp/Kaçak (Miktar)],"&gt;0")</f>
        <v/>
      </c>
    </row>
    <row r="16" ht="15" customHeight="1" s="72">
      <c r="A16" s="128" t="inlineStr">
        <is>
          <t>En Kritik Hammadde</t>
        </is>
      </c>
      <c r="B16" s="132">
        <f>IFERROR(INDEX(tblStok[Hammadde],MATCH(MAX(tblStok[Kayıp Tutarı (TL)]),tblStok[Kayıp Tutarı (TL)],0)),"")</f>
        <v/>
      </c>
    </row>
    <row r="17" ht="15" customHeight="1" s="72">
      <c r="A17" s="128" t="inlineStr">
        <is>
          <t>En Yüksek Kayıp Tutarı (TL)</t>
        </is>
      </c>
      <c r="B17" s="129">
        <f>IFERROR(MAX(tblStok[Kayıp Tutarı (TL)]),0)</f>
        <v/>
      </c>
    </row>
    <row r="18" ht="15" customHeight="1" s="72">
      <c r="A18" s="128" t="inlineStr">
        <is>
          <t>Kayıp Stok Değerine Oranı</t>
        </is>
      </c>
      <c r="B18" s="129">
        <f>IFERROR(SUMPRODUCT(tblStok[Dönem Başı Stok],tblStok[Birim Maliyet (TL)])+SUMPRODUCT(tblStok[Alım],tblStok[Birim Maliyet (TL)]),0)</f>
        <v/>
      </c>
    </row>
    <row r="19" ht="15" customHeight="1" s="72">
      <c r="A19" s="126" t="inlineStr">
        <is>
          <t>Kâr Katkısı Kayıp Sonrası (TL)</t>
        </is>
      </c>
      <c r="B19" s="127">
        <f>B8-B11</f>
        <v/>
      </c>
    </row>
    <row r="20" ht="15" customHeight="1" s="72">
      <c r="A20" s="128" t="inlineStr">
        <is>
          <t>Kâr Katkısı Kayıp Oranı</t>
        </is>
      </c>
      <c r="B20" s="130">
        <f>IFERROR(B11/B8,0)</f>
        <v/>
      </c>
    </row>
    <row r="23" ht="15" customHeight="1" s="72">
      <c r="A23" s="133" t="inlineStr">
        <is>
          <t>Ürün Sırası</t>
        </is>
      </c>
      <c r="B23" s="133" t="inlineStr">
        <is>
          <t>Hasılat (TL)</t>
        </is>
      </c>
      <c r="D23" s="134" t="inlineStr">
        <is>
          <t>Reçete Maliyeti (TL)</t>
        </is>
      </c>
      <c r="F23" s="133" t="inlineStr">
        <is>
          <t>Kâr Katkısı (TL)</t>
        </is>
      </c>
    </row>
    <row r="24" ht="15" customHeight="1" s="72">
      <c r="A24" s="135" t="n">
        <v>1</v>
      </c>
      <c r="B24" s="129">
        <f>IFERROR(INDEX(tblUrun[Satış Hasılatı (TL)],MutfakPanelSatir_1),0)</f>
        <v/>
      </c>
      <c r="D24" s="129">
        <f>IFERROR(INDEX(tblUrun[Reçete Maliyeti (TL)],MutfakPanelSatir_1),0)</f>
        <v/>
      </c>
      <c r="F24" s="129">
        <f>IFERROR(INDEX(tblUrun[Kâr Katkısı (TL)],MutfakPanelSatir_1),0)</f>
        <v/>
      </c>
    </row>
    <row r="25" ht="15" customHeight="1" s="72">
      <c r="A25" s="135" t="n">
        <v>2</v>
      </c>
      <c r="B25" s="129">
        <f>IFERROR(INDEX(tblUrun[Satış Hasılatı (TL)],MutfakPanelSatir_2),0)</f>
        <v/>
      </c>
      <c r="D25" s="129">
        <f>IFERROR(INDEX(tblUrun[Reçete Maliyeti (TL)],MutfakPanelSatir_2),0)</f>
        <v/>
      </c>
      <c r="F25" s="129">
        <f>IFERROR(INDEX(tblUrun[Kâr Katkısı (TL)],MutfakPanelSatir_2),0)</f>
        <v/>
      </c>
    </row>
    <row r="26" ht="15" customHeight="1" s="72">
      <c r="A26" s="135" t="n">
        <v>3</v>
      </c>
      <c r="B26" s="129">
        <f>IFERROR(INDEX(tblUrun[Satış Hasılatı (TL)],MutfakPanelSatir_3),0)</f>
        <v/>
      </c>
      <c r="D26" s="129">
        <f>IFERROR(INDEX(tblUrun[Reçete Maliyeti (TL)],MutfakPanelSatir_3),0)</f>
        <v/>
      </c>
      <c r="F26" s="129">
        <f>IFERROR(INDEX(tblUrun[Kâr Katkısı (TL)],MutfakPanelSatir_3),0)</f>
        <v/>
      </c>
    </row>
    <row r="27" ht="15" customHeight="1" s="72">
      <c r="A27" s="135" t="n">
        <v>4</v>
      </c>
      <c r="B27" s="129">
        <f>IFERROR(INDEX(tblUrun[Satış Hasılatı (TL)],MutfakPanelSatir_4),0)</f>
        <v/>
      </c>
      <c r="D27" s="129">
        <f>IFERROR(INDEX(tblUrun[Reçete Maliyeti (TL)],MutfakPanelSatir_4),0)</f>
        <v/>
      </c>
      <c r="F27" s="129">
        <f>IFERROR(INDEX(tblUrun[Kâr Katkısı (TL)],MutfakPanelSatir_4),0)</f>
        <v/>
      </c>
    </row>
    <row r="28" ht="15" customHeight="1" s="72">
      <c r="A28" s="135" t="n">
        <v>5</v>
      </c>
      <c r="B28" s="129">
        <f>IFERROR(INDEX(tblUrun[Satış Hasılatı (TL)],MutfakPanelSatir_5),0)</f>
        <v/>
      </c>
      <c r="D28" s="129">
        <f>IFERROR(INDEX(tblUrun[Reçete Maliyeti (TL)],MutfakPanelSatir_5),0)</f>
        <v/>
      </c>
      <c r="F28" s="129">
        <f>IFERROR(INDEX(tblUrun[Kâr Katkısı (TL)],MutfakPanelSatir_5),0)</f>
        <v/>
      </c>
    </row>
    <row r="29" ht="15" customHeight="1" s="72">
      <c r="A29" s="135" t="n">
        <v>6</v>
      </c>
      <c r="B29" s="129">
        <f>IFERROR(INDEX(tblUrun[Satış Hasılatı (TL)],MutfakPanelSatir_6),0)</f>
        <v/>
      </c>
      <c r="D29" s="129">
        <f>IFERROR(INDEX(tblUrun[Reçete Maliyeti (TL)],MutfakPanelSatir_6),0)</f>
        <v/>
      </c>
      <c r="F29" s="129">
        <f>IFERROR(INDEX(tblUrun[Kâr Katkısı (TL)],MutfakPanelSatir_6),0)</f>
        <v/>
      </c>
    </row>
    <row r="32" ht="15" customHeight="1" s="72">
      <c r="A32" s="133" t="inlineStr">
        <is>
          <t>Dönem</t>
        </is>
      </c>
      <c r="B32" s="133" t="inlineStr">
        <is>
          <t>Kayıp Tutarı (TL)</t>
        </is>
      </c>
    </row>
    <row r="33" ht="15" customHeight="1" s="72">
      <c r="A33" s="135" t="inlineStr">
        <is>
          <t>1</t>
        </is>
      </c>
      <c r="B33" s="129">
        <f>IFERROR(INDEX(tblStok[Kayıp Tutarı (TL)],1),0)</f>
        <v/>
      </c>
    </row>
    <row r="34" ht="15" customHeight="1" s="72">
      <c r="A34" s="135" t="inlineStr">
        <is>
          <t>2</t>
        </is>
      </c>
      <c r="B34" s="129">
        <f>IFERROR(INDEX(tblStok[Kayıp Tutarı (TL)],2),0)</f>
        <v/>
      </c>
    </row>
    <row r="35" ht="15" customHeight="1" s="72">
      <c r="A35" s="135" t="inlineStr">
        <is>
          <t>3</t>
        </is>
      </c>
      <c r="B35" s="129">
        <f>IFERROR(INDEX(tblStok[Kayıp Tutarı (TL)],3),0)</f>
        <v/>
      </c>
    </row>
    <row r="36" ht="15" customHeight="1" s="72">
      <c r="A36" s="135" t="inlineStr">
        <is>
          <t>4</t>
        </is>
      </c>
      <c r="B36" s="129">
        <f>IFERROR(INDEX(tblStok[Kayıp Tutarı (TL)],4),0)</f>
        <v/>
      </c>
    </row>
    <row r="38" ht="15" customHeight="1" s="72">
      <c r="A38" s="128" t="inlineStr">
        <is>
          <t>Ortalama Kayıp Tutarı (TL)</t>
        </is>
      </c>
      <c r="B38" s="129">
        <f>IFERROR(AVERAGE(B33:B36),0)</f>
        <v/>
      </c>
    </row>
    <row r="39" ht="15" customHeight="1" s="72">
      <c r="A39" s="136" t="inlineStr">
        <is>
          <t>Gelecek Dönem Kayıp Tahmini (TL)</t>
        </is>
      </c>
      <c r="B39" s="129">
        <f>IFERROR(forecast.lınear(MutfakTahminDonem,B33:B36,MutfakProjX)-B36,0)</f>
        <v/>
      </c>
    </row>
    <row r="40" ht="15" customHeight="1" s="72">
      <c r="A40" s="128" t="inlineStr">
        <is>
          <t>Kayıp Std Sapması (TL)</t>
        </is>
      </c>
      <c r="B40" s="129">
        <f>IFERROR(stdev.p(B33:B36),0)</f>
        <v/>
      </c>
    </row>
    <row r="41" ht="15" customHeight="1" s="72">
      <c r="A41" s="128" t="inlineStr">
        <is>
          <t>Alt Tahmin Sınırı (TL)</t>
        </is>
      </c>
      <c r="B41" s="129">
        <f>IFERROR(B38-B40*MutfakTahminCarpan,0)</f>
        <v/>
      </c>
    </row>
    <row r="42" ht="15" customHeight="1" s="72">
      <c r="A42" s="128" t="inlineStr">
        <is>
          <t>Üst Tahmin Sınırı (TL)</t>
        </is>
      </c>
      <c r="B42" s="129">
        <f>IFERROR(B38+B40*MutfakTahminCarpan,0)</f>
        <v/>
      </c>
    </row>
    <row r="44" ht="19.5" customHeight="1" s="72">
      <c r="A44" s="121" t="inlineStr">
        <is>
          <t>Motor, stok ve reçete verilerinden canlı beslenir; tüm eşikler AYARLAR'dan okunur.</t>
        </is>
      </c>
    </row>
    <row r="46" ht="15" customHeight="1" s="72">
      <c r="A46" s="98" t="inlineStr">
        <is>
          <t>Hammadde</t>
        </is>
      </c>
      <c r="B46" s="137" t="n">
        <v>40</v>
      </c>
    </row>
    <row r="47" ht="15" customHeight="1" s="72">
      <c r="A47" s="98" t="inlineStr">
        <is>
          <t>Iscilik</t>
        </is>
      </c>
      <c r="B47" s="137" t="n">
        <v>25</v>
      </c>
    </row>
    <row r="48" ht="15" customHeight="1" s="72">
      <c r="A48" s="98" t="inlineStr">
        <is>
          <t>Ambalaj</t>
        </is>
      </c>
      <c r="B48" s="137" t="n">
        <v>15</v>
      </c>
    </row>
    <row r="49" ht="15" customHeight="1" s="72">
      <c r="A49" s="98" t="inlineStr">
        <is>
          <t>Genel_Gider</t>
        </is>
      </c>
      <c r="B49" s="137" t="n">
        <v>20</v>
      </c>
    </row>
    <row r="50" ht="15" customHeight="1" s="72">
      <c r="A50" s="98" t="inlineStr">
        <is>
          <t>Birim_Maliyet</t>
        </is>
      </c>
      <c r="B50" s="98">
        <f>B46+B47+B48+B49</f>
        <v/>
      </c>
    </row>
    <row r="51" ht="15" customHeight="1" s="72">
      <c r="A51" s="98" t="inlineStr">
        <is>
          <t>Kirilim_Toplam_Kanit</t>
        </is>
      </c>
      <c r="B51" s="98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4:AN44"/>
    <mergeCell ref="A1:AD1"/>
  </mergeCells>
  <conditionalFormatting sqref="B11">
    <cfRule type="cellIs" rank="0" priority="2" equalAverage="0" operator="greaterThan" aboveAverage="0" dxfId="7" text="" percent="0" bottom="0">
      <formula>MutfakYuksekKayipEsik</formula>
    </cfRule>
  </conditionalFormatting>
  <conditionalFormatting sqref="B12">
    <cfRule type="cellIs" rank="0" priority="3" equalAverage="0" operator="greaterThan" aboveAverage="0" dxfId="8" text="" percent="0" bottom="0">
      <formula>MutfakInceleEsik</formula>
    </cfRule>
    <cfRule type="cellIs" rank="0" priority="4" equalAverage="0" operator="greaterThan" aboveAverage="0" dxfId="7" text="" percent="0" bottom="0">
      <formula>MutfakKritikEsik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8" min="1" max="1"/>
    <col width="60" customWidth="1" style="98" min="2" max="2"/>
    <col width="14" customWidth="1" style="98" min="3" max="3"/>
  </cols>
  <sheetData>
    <row r="1" ht="25.5" customHeight="1" s="72">
      <c r="A1" s="99" t="inlineStr">
        <is>
          <t>KONTROLLER — Mutfak Kayıp/Kaçak Hesaplayıcı</t>
        </is>
      </c>
    </row>
    <row r="3" ht="15.75" customHeight="1" s="72">
      <c r="A3" s="105" t="inlineStr">
        <is>
          <t>Veri Kalite ve Kontrol Merkezi</t>
        </is>
      </c>
    </row>
    <row r="4" ht="25.5" customHeight="1" s="72">
      <c r="A4" s="101" t="inlineStr">
        <is>
          <t>Girdilerin kalitesini ölçer; eksik, negatif ve uç değerleri raporlar.</t>
        </is>
      </c>
    </row>
    <row r="5" ht="30" customHeight="1" s="72">
      <c r="A5" s="111" t="inlineStr">
        <is>
          <t>Kontrol</t>
        </is>
      </c>
      <c r="B5" s="111" t="inlineStr">
        <is>
          <t>Sonuç</t>
        </is>
      </c>
      <c r="C5" s="111" t="inlineStr">
        <is>
          <t>Durum</t>
        </is>
      </c>
    </row>
    <row r="6" ht="15" customHeight="1" s="72">
      <c r="A6" s="128" t="inlineStr">
        <is>
          <t>Ürün girildi mi?</t>
        </is>
      </c>
      <c r="B6" s="132">
        <f>IF(COUNTA(tblUrun[Ürün Adı])=0,"BOŞ","DOLU")</f>
        <v/>
      </c>
      <c r="C6" s="138" t="inlineStr">
        <is>
          <t>AUTOMATİK</t>
        </is>
      </c>
    </row>
    <row r="7" ht="15" customHeight="1" s="72">
      <c r="A7" s="128" t="inlineStr">
        <is>
          <t>Reçete kalemi girildi mi?</t>
        </is>
      </c>
      <c r="B7" s="132">
        <f>IF(COUNTA(tblRecete[Ürün Adı])=0,"BOŞ","DOLU")</f>
        <v/>
      </c>
      <c r="C7" s="138" t="inlineStr">
        <is>
          <t>AUTOMATİK</t>
        </is>
      </c>
    </row>
    <row r="8" ht="15" customHeight="1" s="72">
      <c r="A8" s="128" t="inlineStr">
        <is>
          <t>Stok satırı girildi mi?</t>
        </is>
      </c>
      <c r="B8" s="132">
        <f>IF(COUNTA(tblStok[Hammadde])=0,"BOŞ","DOLU")</f>
        <v/>
      </c>
      <c r="C8" s="138" t="inlineStr">
        <is>
          <t>AUTOMATİK</t>
        </is>
      </c>
    </row>
    <row r="9" ht="15" customHeight="1" s="72">
      <c r="A9" s="128" t="inlineStr">
        <is>
          <t>Negatif stok girişi var mı?</t>
        </is>
      </c>
      <c r="B9" s="132">
        <f>IF(COUNTIF(tblStok[Dönem Başı Stok],"&lt;0")+COUNTIF(tblStok[Alım],"&lt;0")+COUNTIF(tblStok[Dönem Sonu Stok],"&lt;0")=0,"TEMİZ","NEGATİF VAR")</f>
        <v/>
      </c>
      <c r="C9" s="138" t="inlineStr">
        <is>
          <t>AUTOMATİK</t>
        </is>
      </c>
    </row>
    <row r="10" ht="15" customHeight="1" s="72">
      <c r="A10" s="128" t="inlineStr">
        <is>
          <t>Kayıp oranı 0,50 üzerinde mi?</t>
        </is>
      </c>
      <c r="B10" s="132">
        <f>IF(COUNTIF(tblStok[Kayıp Oranı],"&gt;0.5")=0,"TEMİZ","ORAN &gt;0,5 VAR")</f>
        <v/>
      </c>
      <c r="C10" s="138" t="inlineStr">
        <is>
          <t>AUTOMATİK</t>
        </is>
      </c>
    </row>
    <row r="11" ht="15" customHeight="1" s="72">
      <c r="A11" s="128" t="inlineStr">
        <is>
          <t>Ürün satış adedi girildi mi?</t>
        </is>
      </c>
      <c r="B11" s="132">
        <f>IF(COUNTIF(tblUrun[Satış Adedi (Adet)],"&gt;0")&gt;=3,"YETERLİ","AZ")</f>
        <v/>
      </c>
      <c r="C11" s="138" t="inlineStr">
        <is>
          <t>AUTOMATİK</t>
        </is>
      </c>
    </row>
    <row r="14" ht="15" customHeight="1" s="72">
      <c r="A14" s="102" t="inlineStr">
        <is>
          <t>Veri Kalite Skoru</t>
        </is>
      </c>
    </row>
    <row r="15" ht="15" customHeight="1" s="72">
      <c r="A15" s="128" t="inlineStr">
        <is>
          <t>Doluluk Oranı (%)</t>
        </is>
      </c>
      <c r="B15" s="131">
        <f>IFERROR((COUNTA(tblUrun[Ürün Adı])+COUNTA(tblRecete[Ürün Adı])+COUNTA(tblStok[Hammadde]))/(COUNTA(tblUrun[Ürün Adı])+COUNTA(tblRecete[Ürün Adı])+COUNTA(tblStok[Hammadde])+COUNTBLANK(tblUrun[Ürün Adı])+COUNTBLANK(tblRecete[Ürün Adı])+COUNTBLANK(tblStok[Hammadde]))*100,0)</f>
        <v/>
      </c>
    </row>
    <row r="16" ht="15" customHeight="1" s="72">
      <c r="A16" s="136" t="inlineStr">
        <is>
          <t>Veri Kalite Skoru</t>
        </is>
      </c>
      <c r="B16" s="131">
        <f>MIN(100,MAX(0,B15))</f>
        <v/>
      </c>
    </row>
    <row r="17" ht="15" customHeight="1" s="72">
      <c r="A17" s="128" t="inlineStr">
        <is>
          <t>Kalite Durumu</t>
        </is>
      </c>
      <c r="B17" s="132">
        <f>IF(B16&gt;=MutfakKaliteIyi,"YÜKSEK",IF(B16&gt;=MutfakKaliteOrta,"ORTA","DÜŞÜK"))</f>
        <v/>
      </c>
    </row>
    <row r="18" ht="15" customHeight="1" s="72">
      <c r="A18" s="128" t="inlineStr">
        <is>
          <t>Canlı Formül Sayacı</t>
        </is>
      </c>
      <c r="B18" s="131">
        <f>IF(COUNTIF(tblStok[Açıklama],"")=0,COUNTA(tblStok[Açıklama]),0)</f>
        <v/>
      </c>
    </row>
    <row r="20" ht="19.5" customHeight="1" s="72">
      <c r="A20" s="121" t="inlineStr">
        <is>
          <t>Tüm kontroller canlı formüllerle üretilir; sahte geçiş yoktur.</t>
        </is>
      </c>
    </row>
    <row r="23" ht="30" customHeight="1" s="72">
      <c r="A23" s="111" t="inlineStr">
        <is>
          <t>Modül</t>
        </is>
      </c>
      <c r="B23" s="111" t="inlineStr">
        <is>
          <t>Gösterge</t>
        </is>
      </c>
      <c r="C23" s="111" t="inlineStr">
        <is>
          <t>Değer</t>
        </is>
      </c>
      <c r="D23" s="111" t="inlineStr">
        <is>
          <t>Makine Yorumu</t>
        </is>
      </c>
    </row>
    <row r="24" ht="30" customHeight="1" s="72">
      <c r="A24" s="139" t="inlineStr">
        <is>
          <t>T1</t>
        </is>
      </c>
      <c r="B24" s="128" t="inlineStr">
        <is>
          <t>Ortalama Kayıp Oranı</t>
        </is>
      </c>
      <c r="C24" s="130">
        <f>IFERROR(AVERAGE(tblStok[Kayıp Oranı]),0)</f>
        <v/>
      </c>
      <c r="D24" s="140">
        <f>_xlfn.TEXTJOIN("; ",TRUE(),"Ortalama hammadde kayıp oranı ",TEXT(C24,"0.0%")," — mutfaktaki genel kayıp düzeyini gösterir")</f>
        <v/>
      </c>
    </row>
    <row r="25" ht="30" customHeight="1" s="72">
      <c r="A25" s="139" t="inlineStr">
        <is>
          <t>T2</t>
        </is>
      </c>
      <c r="B25" s="128" t="inlineStr">
        <is>
          <t>Ortalama Reçete Maliyeti</t>
        </is>
      </c>
      <c r="C25" s="129">
        <f>IFERROR(AVERAGE(tblUrun[Reçete Maliyeti (TL)]),0)</f>
        <v/>
      </c>
      <c r="D25" s="140">
        <f>_xlfn.TEXTJOIN("; ",TRUE(),"Ortalama ürün reçete maliyeti ",TEXT(C25,"₺ #,##0")," TL — menü kârlılık düzeyini gösterir")</f>
        <v/>
      </c>
    </row>
    <row r="26" ht="30" customHeight="1" s="72">
      <c r="A26" s="139" t="inlineStr">
        <is>
          <t>O1</t>
        </is>
      </c>
      <c r="B26" s="128" t="inlineStr">
        <is>
          <t>Kayıp Tutarı Sapması (MAD)</t>
        </is>
      </c>
      <c r="C26" s="129">
        <f>IFERROR(AVEDEV(tblStok[Kayıp Tutarı (TL)]),0)</f>
        <v/>
      </c>
      <c r="D26" s="140">
        <f>_xlfn.TEXTJOIN("; ",TRUE(),"Hammadde kayıp tutarı ortalama mutlak sapması ",TEXT(C26,"₺ #,##0")," TL — kaybın kalemler arası heterojenliğini ölçer")</f>
        <v/>
      </c>
    </row>
    <row r="27" ht="30" customHeight="1" s="72">
      <c r="A27" s="139" t="inlineStr">
        <is>
          <t>O2</t>
        </is>
      </c>
      <c r="B27" s="128" t="inlineStr">
        <is>
          <t>En Yüksek Kayıp Tutarı</t>
        </is>
      </c>
      <c r="C27" s="129">
        <f>IFERROR(MAX(tblStok[Kayıp Tutarı (TL)]),0)</f>
        <v/>
      </c>
      <c r="D27" s="140">
        <f>_xlfn.TEXTJOIN("; ",TRUE(),"En yüksek hammadde kayıp tutarı ",TEXT(C27,"₺ #,##0")," TL — öncelikli müdahale kalemidir")</f>
        <v/>
      </c>
    </row>
    <row r="28" ht="30" customHeight="1" s="72">
      <c r="A28" s="139" t="inlineStr">
        <is>
          <t>O3</t>
        </is>
      </c>
      <c r="B28" s="128" t="inlineStr">
        <is>
          <t>Senaryo Bant Genişliği</t>
        </is>
      </c>
      <c r="C28" s="129">
        <f>IFERROR(stdev.p(SENARYO_DUYARLILIK!C7:C10),0)</f>
        <v/>
      </c>
      <c r="D28" s="140">
        <f>_xlfn.TEXTJOIN("; ",TRUE(),"Senaryo kayıp tutarı standart sapması ",TEXT(C28,"₺ #,##0")," TL — kayıp belirsizliğinin etkisini gösterir")</f>
        <v/>
      </c>
    </row>
    <row r="29" ht="30" customHeight="1" s="72">
      <c r="A29" s="139" t="inlineStr">
        <is>
          <t>O6</t>
        </is>
      </c>
      <c r="B29" s="128" t="inlineStr">
        <is>
          <t>Kayıp Yoğunlaşması (HHI)</t>
        </is>
      </c>
      <c r="C29" s="132">
        <f>IFERROR(IF(SUM(tblStok[Kayıp Tutarı (TL)])=0,0,SUMPRODUCT((tblStok[Kayıp Tutarı (TL)]/SUM(tblStok[Kayıp Tutarı (TL)]))^2)),0)</f>
        <v/>
      </c>
      <c r="D29" s="140">
        <f>_xlfn.TEXTJOIN("; ",TRUE(),"Hammadde kayıp yoğunlaşma endeksi ",TEXT(C29,"0.000")," — 1 e yaklaştıkça kayıp tek kalemde toplanır")</f>
        <v/>
      </c>
    </row>
    <row r="30" ht="30" customHeight="1" s="72">
      <c r="A30" s="139" t="inlineStr">
        <is>
          <t>O8</t>
        </is>
      </c>
      <c r="B30" s="128" t="inlineStr">
        <is>
          <t>Veri Kalite Skoru</t>
        </is>
      </c>
      <c r="C30" s="131">
        <f>KONTROLLER!B16</f>
        <v/>
      </c>
      <c r="D30" s="140">
        <f>_xlfn.TEXTJOIN("; ",TRUE(),"Veri kalite skoru ",TEXT(C30,"0")," puan — ",IF(C30&gt;=MutfakKaliteIyi,"yüksek güven","veri girişi tamamlanmalı"))</f>
        <v/>
      </c>
    </row>
    <row r="31" ht="30" customHeight="1" s="72">
      <c r="A31" s="139" t="inlineStr">
        <is>
          <t>I1</t>
        </is>
      </c>
      <c r="B31" s="128" t="inlineStr">
        <is>
          <t>Gelecek Dönem Kayıp Tahmini</t>
        </is>
      </c>
      <c r="C31" s="129">
        <f>HESAP!B39</f>
        <v/>
      </c>
      <c r="D31" s="140">
        <f>_xlfn.TEXTJOIN("; ",TRUE(),"Gelecek dönem kayıp tahmini ",TEXT(C31,"₺ #,##0")," TL — bant aralığı için alt/üst sınır HESAP sayfasındadır")</f>
        <v/>
      </c>
    </row>
    <row r="32" ht="30" customHeight="1" s="72">
      <c r="A32" s="139" t="inlineStr">
        <is>
          <t>I2</t>
        </is>
      </c>
      <c r="B32" s="128" t="inlineStr">
        <is>
          <t>Birim Maliyet Yüzdelik P90</t>
        </is>
      </c>
      <c r="C32" s="129">
        <f>IFERROR(_xlfn.PERCENTILE.INC(tblStok[Birim Maliyet (TL)],MutfakP90Oran),0)</f>
        <v/>
      </c>
      <c r="D32" s="140">
        <f>_xlfn.TEXTJOIN("; ",TRUE(),"Birim maliyetlerin %90 ı ",TEXT(C32,"₺ #,##0")," TL altındadır — maliyet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7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7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7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7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7" text="" percent="0" bottom="0">
      <formula>"TEMİZ"</formula>
    </cfRule>
  </conditionalFormatting>
  <conditionalFormatting sqref="B16">
    <cfRule type="cellIs" rank="0" priority="12" equalAverage="0" operator="greaterThanOrEqual" aboveAverage="0" dxfId="9" text="" percent="0" bottom="0">
      <formula>90</formula>
    </cfRule>
    <cfRule type="cellIs" rank="0" priority="13" equalAverage="0" operator="between" aboveAverage="0" dxfId="10" text="" percent="0" bottom="0">
      <formula>70</formula>
      <formula>89</formula>
    </cfRule>
    <cfRule type="cellIs" rank="0" priority="14" equalAverage="0" operator="lessThan" aboveAverage="0" dxfId="7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8" min="1" max="1"/>
    <col width="80" customWidth="1" style="98" min="2" max="2"/>
  </cols>
  <sheetData>
    <row r="1" ht="25.5" customHeight="1" s="72">
      <c r="A1" s="99" t="inlineStr">
        <is>
          <t>KARAR — Mutfak Kayıp/Kaçak Hesaplayıcı</t>
        </is>
      </c>
    </row>
    <row r="3" ht="15.75" customHeight="1" s="72">
      <c r="A3" s="105" t="inlineStr">
        <is>
          <t>Kayıp/Kaçak Karar Kapısı</t>
        </is>
      </c>
    </row>
    <row r="4" ht="25.5" customHeight="1" s="72">
      <c r="A4" s="101" t="inlineStr">
        <is>
          <t>Kayıp oranı, kayıp tutarı ve stok değerine göre karar üretir.</t>
        </is>
      </c>
    </row>
    <row r="6" ht="15" customHeight="1" s="72">
      <c r="A6" s="128" t="inlineStr">
        <is>
          <t>Toplam Kayıp Oranı</t>
        </is>
      </c>
      <c r="B6" s="130">
        <f>HESAP!B12</f>
        <v/>
      </c>
    </row>
    <row r="7" ht="15" customHeight="1" s="72">
      <c r="A7" s="128" t="inlineStr">
        <is>
          <t>Toplam Kayıp Tutarı (TL)</t>
        </is>
      </c>
      <c r="B7" s="129">
        <f>HESAP!B11</f>
        <v/>
      </c>
    </row>
    <row r="8" ht="15" customHeight="1" s="72">
      <c r="A8" s="128" t="inlineStr">
        <is>
          <t>İncele Eşiği</t>
        </is>
      </c>
      <c r="B8" s="130">
        <f>IF(COUNTA(tblStok[Hammadde])&gt;0,MutfakInceleEsik,0)</f>
        <v/>
      </c>
    </row>
    <row r="9" ht="15" customHeight="1" s="72">
      <c r="A9" s="128" t="inlineStr">
        <is>
          <t>Kritik Eşiği</t>
        </is>
      </c>
      <c r="B9" s="130">
        <f>IF(COUNTA(tblStok[Hammadde])&gt;0,MutfakKritikEsik,0)</f>
        <v/>
      </c>
    </row>
    <row r="10" ht="15" customHeight="1" s="72">
      <c r="A10" s="128" t="inlineStr">
        <is>
          <t>En Kritik Hammadde</t>
        </is>
      </c>
      <c r="B10" s="132">
        <f>HESAP!B16</f>
        <v/>
      </c>
    </row>
    <row r="11" ht="15" customHeight="1" s="72">
      <c r="A11" s="102" t="inlineStr">
        <is>
          <t>KARAR</t>
        </is>
      </c>
      <c r="B11" s="141">
        <f>IF(COUNTA(tblStok[Hammadde])=0,"VERİ YOK",IF(OR(COUNTIF(tblStok[Dönem Başı Stok],"&lt;0")&gt;0,COUNTIF(tblStok[Alım],"&lt;0")&gt;0,COUNTIF(tblStok[Dönem Sonu Stok],"&lt;0")&gt;0),"DURDUR",IF(HESAP!B12&gt;=MutfakKritikEsik,"KRİTİK KAYIP",IF(AND(HESAP!B12&gt;0,HESAP!B12&lt;MutfakKritikEsik,HESAP!B12&gt;=MutfakInceleEsik),"İNCELE",IF(AND(HESAP!B12&gt;0,HESAP!B12&lt;MutfakInceleEsik),"DÜŞÜK KAYIP","KONTROL ALTINDA")))))</f>
        <v/>
      </c>
    </row>
    <row r="12" ht="43.5" customHeight="1" s="72">
      <c r="A12" s="103" t="inlineStr">
        <is>
          <t>Gerekçe</t>
        </is>
      </c>
      <c r="B12" s="140">
        <f>IF(B11="VERİ YOK","Stok veya ürün verisi girilmedi; karar üretilemiyor.",IF(B11="DURDUR","Negatif stok girişi tespit edildi; veriler düzeltilmeli.",IF(B11="KRİTİK KAYIP","Toplam kayıp oranı kritik eşiğin üzerinde; acil müdahale gereklidir.",IF(B11="İNCELE","Kayıp oranı inceleme aralığında; neden analizi yapılmalıdır.",IF(B11="DÜŞÜK KAYIP","Kayıp oranı düşük; süreç kontrolüne devam edilebilir.","Kayıp tespit edilmedi; stok ve satış mutabakatı tutarlıdır.")))))</f>
        <v/>
      </c>
    </row>
    <row r="14" ht="15" customHeight="1" s="72">
      <c r="A14" s="102" t="inlineStr">
        <is>
          <t>Önerilen Aksiyonlar</t>
        </is>
      </c>
    </row>
    <row r="15" ht="39.75" customHeight="1" s="72">
      <c r="A15" s="126" t="inlineStr">
        <is>
          <t>Aksiyon 1</t>
        </is>
      </c>
      <c r="B15" s="140">
        <f>IF(B11="VERİ YOK","Ürün, reçete ve stok verilerini girin; karar otomatik üretilir.",IF(B11="DURDUR","Negatif stok değerlerini düzeltin.",MutfakAksiyon1_ACIKLAMA))</f>
        <v/>
      </c>
    </row>
    <row r="16" ht="39.75" customHeight="1" s="72">
      <c r="A16" s="126" t="inlineStr">
        <is>
          <t>Aksiyon 2</t>
        </is>
      </c>
      <c r="B16" s="140">
        <f>IF(B11="VERİ YOK","Ürün, reçete ve stok verilerini girin; karar otomatik üretilir.",IF(B11="DURDUR","Negatif stok değerlerini düzeltin.",MutfakAksiyon2_ACIKLAMA))</f>
        <v/>
      </c>
    </row>
    <row r="17" ht="39.75" customHeight="1" s="72">
      <c r="A17" s="126" t="inlineStr">
        <is>
          <t>Aksiyon 3</t>
        </is>
      </c>
      <c r="B17" s="140">
        <f>IF(B11="VERİ YOK","Ürün, reçete ve stok verilerini girin; karar otomatik üretilir.",IF(B11="DURDUR","Negatif stok değerlerini düzeltin.",MutfakAksiyon3_ACIKLAMA))</f>
        <v/>
      </c>
    </row>
    <row r="19" ht="15" customHeight="1" s="72">
      <c r="A19" s="128" t="inlineStr">
        <is>
          <t>Karar Notu</t>
        </is>
      </c>
      <c r="B19" s="138" t="inlineStr">
        <is>
          <t>Bu karar destek aracıdır; kayıp tespiti fiili sayımla doğrulanmalıdır.</t>
        </is>
      </c>
    </row>
    <row r="21" ht="19.5" customHeight="1" s="72">
      <c r="A21" s="121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"KRİTİK KAYIP"</formula>
    </cfRule>
    <cfRule type="cellIs" rank="0" priority="5" equalAverage="0" operator="equal" aboveAverage="0" dxfId="10" text="" percent="0" bottom="0">
      <formula>"İNCELE"</formula>
    </cfRule>
    <cfRule type="cellIs" rank="0" priority="6" equalAverage="0" operator="equal" aboveAverage="0" dxfId="10" text="" percent="0" bottom="0">
      <formula>"DÜŞÜK KAYIP"</formula>
    </cfRule>
    <cfRule type="cellIs" rank="0" priority="7" equalAverage="0" operator="equal" aboveAverage="0" dxfId="9" text="" percent="0" bottom="0">
      <formula>"KONTROL ALTINDA"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8" min="1" max="1"/>
    <col width="24" customWidth="1" style="98" min="2" max="3"/>
    <col width="22" customWidth="1" style="98" min="4" max="4"/>
  </cols>
  <sheetData>
    <row r="1" ht="25.5" customHeight="1" s="72">
      <c r="A1" s="99" t="inlineStr">
        <is>
          <t>SENARYO DUYARLILIK — Mutfak Kayıp/Kaçak Hesaplayıcı</t>
        </is>
      </c>
    </row>
    <row r="3" ht="15.75" customHeight="1" s="72">
      <c r="A3" s="105" t="inlineStr">
        <is>
          <t>Senaryo ve Duyarlılık Analizi</t>
        </is>
      </c>
    </row>
    <row r="4" ht="25.5" customHeight="1" s="72">
      <c r="A4" s="101" t="inlineStr">
        <is>
          <t>Kayıp oranı çarpanına göre senaryo bant aralığı ve hammadde duyarlılık (tornado) analizi.</t>
        </is>
      </c>
    </row>
    <row r="6" ht="15" customHeight="1" s="72">
      <c r="A6" s="133" t="inlineStr">
        <is>
          <t>Senaryo</t>
        </is>
      </c>
      <c r="B6" s="133" t="inlineStr">
        <is>
          <t>Kayıp Çarpanı</t>
        </is>
      </c>
      <c r="C6" s="133" t="inlineStr">
        <is>
          <t>Kayıp Tutarı (TL)</t>
        </is>
      </c>
    </row>
    <row r="7" ht="15" customHeight="1" s="72">
      <c r="A7" s="128" t="inlineStr">
        <is>
          <t>İyimser</t>
        </is>
      </c>
      <c r="B7" s="130">
        <f>IF(COUNTA(tblStok[Hammadde])&gt;0,MutfakSenIyiKayip,0)</f>
        <v/>
      </c>
      <c r="C7" s="129">
        <f>IFERROR(HESAP!B11*MutfakSenIyiKayip/MutfakSenBazKayip,0)</f>
        <v/>
      </c>
    </row>
    <row r="8" ht="15" customHeight="1" s="72">
      <c r="A8" s="128" t="inlineStr">
        <is>
          <t>Baz</t>
        </is>
      </c>
      <c r="B8" s="130">
        <f>IF(COUNTA(tblStok[Hammadde])&gt;0,MutfakSenBazKayip,0)</f>
        <v/>
      </c>
      <c r="C8" s="129">
        <f>HESAP!B11</f>
        <v/>
      </c>
    </row>
    <row r="9" ht="15" customHeight="1" s="72">
      <c r="A9" s="128" t="inlineStr">
        <is>
          <t>Kötümser</t>
        </is>
      </c>
      <c r="B9" s="130">
        <f>IF(COUNTA(tblStok[Hammadde])&gt;0,MutfakSenKotuKayip,0)</f>
        <v/>
      </c>
      <c r="C9" s="129">
        <f>IFERROR(HESAP!B11*MutfakSenKotuKayip/MutfakSenBazKayip,0)</f>
        <v/>
      </c>
    </row>
    <row r="10" ht="15" customHeight="1" s="72">
      <c r="A10" s="128" t="inlineStr">
        <is>
          <t>Kritik</t>
        </is>
      </c>
      <c r="B10" s="130">
        <f>IF(COUNTA(tblStok[Hammadde])&gt;0,MutfakSenKritikKayip,0)</f>
        <v/>
      </c>
      <c r="C10" s="129">
        <f>IFERROR(HESAP!B11*MutfakSenKritikKayip/MutfakSenBazKayip,0)</f>
        <v/>
      </c>
    </row>
    <row r="12" ht="15" customHeight="1" s="72">
      <c r="A12" s="102" t="inlineStr">
        <is>
          <t>Tornado Analizi</t>
        </is>
      </c>
    </row>
    <row r="13" ht="15" customHeight="1" s="72">
      <c r="A13" s="133" t="inlineStr">
        <is>
          <t>Değişken</t>
        </is>
      </c>
      <c r="B13" s="133" t="inlineStr">
        <is>
          <t>Düşük Senaryo (TL)</t>
        </is>
      </c>
      <c r="C13" s="134" t="inlineStr">
        <is>
          <t>Yüksek Senaryo (TL)</t>
        </is>
      </c>
      <c r="D13" s="133" t="inlineStr">
        <is>
          <t>Etki Genişliği (TL)</t>
        </is>
      </c>
    </row>
    <row r="14" ht="15" customHeight="1" s="72">
      <c r="A14" s="128" t="inlineStr">
        <is>
          <t>Et Birim Maliyeti</t>
        </is>
      </c>
      <c r="B14" s="129">
        <f>HESAP!B11*MutfakTornadoEtOran</f>
        <v/>
      </c>
      <c r="C14" s="129">
        <f>HESAP!B11*MutfakTornadoEtOran*3</f>
        <v/>
      </c>
      <c r="D14" s="129">
        <f>C14-B14</f>
        <v/>
      </c>
    </row>
    <row r="15" ht="15" customHeight="1" s="72">
      <c r="A15" s="128" t="inlineStr">
        <is>
          <t>Fire Oranı</t>
        </is>
      </c>
      <c r="B15" s="129">
        <f>HESAP!B11*MutfakTornadoFireOran</f>
        <v/>
      </c>
      <c r="C15" s="129">
        <f>HESAP!B11*MutfakTornadoFireOran*3</f>
        <v/>
      </c>
      <c r="D15" s="129">
        <f>C15-B15</f>
        <v/>
      </c>
    </row>
    <row r="18" ht="19.5" customHeight="1" s="72">
      <c r="A18" s="121" t="inlineStr">
        <is>
          <t>Tornado genişliği hangi değişkenin kayıp tutarını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26" customWidth="1" style="98" min="2" max="2"/>
  </cols>
  <sheetData>
    <row r="1" ht="25.5" customHeight="1" s="72">
      <c r="A1" s="99" t="inlineStr">
        <is>
          <t>RAPOR — Mutfak Kayıp/Kaçak Hesaplayıcı</t>
        </is>
      </c>
    </row>
    <row r="3" ht="18" customHeight="1" s="72">
      <c r="A3" s="150" t="inlineStr">
        <is>
          <t>Yönetici Raporu</t>
        </is>
      </c>
    </row>
    <row r="4" ht="15" customHeight="1" s="72">
      <c r="A4" s="138">
        <f>CONCATENATE("Rapor Tarihi: ",TEXT(MutfakRaporTarihi,"gg.aa.yyyy")," | ",MutfakFirmaUnvan)</f>
        <v/>
      </c>
    </row>
    <row r="6" ht="15.75" customHeight="1" s="72">
      <c r="A6" s="102" t="inlineStr">
        <is>
          <t>Karar</t>
        </is>
      </c>
      <c r="B6" s="151">
        <f>KARAR!B11</f>
        <v/>
      </c>
    </row>
    <row r="7" ht="39.75" customHeight="1" s="72">
      <c r="A7" s="103" t="inlineStr">
        <is>
          <t>Gerekçe</t>
        </is>
      </c>
      <c r="B7" s="140">
        <f>KARAR!B12</f>
        <v/>
      </c>
    </row>
    <row r="9" ht="15" customHeight="1" s="72">
      <c r="A9" s="102" t="inlineStr">
        <is>
          <t>Ana Göstergeler</t>
        </is>
      </c>
    </row>
    <row r="10" ht="15" customHeight="1" s="72">
      <c r="A10" s="128" t="inlineStr">
        <is>
          <t>Toplam Hasılat (TL)</t>
        </is>
      </c>
      <c r="B10" s="127">
        <f>HESAP!B6</f>
        <v/>
      </c>
    </row>
    <row r="11" ht="15" customHeight="1" s="72">
      <c r="A11" s="128" t="inlineStr">
        <is>
          <t>Toplam Reçete Maliyeti (TL)</t>
        </is>
      </c>
      <c r="B11" s="127">
        <f>HESAP!B7</f>
        <v/>
      </c>
    </row>
    <row r="12" ht="15" customHeight="1" s="72">
      <c r="A12" s="128" t="inlineStr">
        <is>
          <t>Toplam Kâr Katkısı (TL)</t>
        </is>
      </c>
      <c r="B12" s="127">
        <f>HESAP!B8</f>
        <v/>
      </c>
    </row>
    <row r="13" ht="15" customHeight="1" s="72">
      <c r="A13" s="128" t="inlineStr">
        <is>
          <t>Toplam Kayıp/Kaçak (TL)</t>
        </is>
      </c>
      <c r="B13" s="127">
        <f>HESAP!B11</f>
        <v/>
      </c>
    </row>
    <row r="14" ht="15" customHeight="1" s="72">
      <c r="A14" s="128" t="inlineStr">
        <is>
          <t>Toplam Kayıp Oranı</t>
        </is>
      </c>
      <c r="B14" s="152">
        <f>HESAP!B12</f>
        <v/>
      </c>
    </row>
    <row r="15" ht="15" customHeight="1" s="72">
      <c r="A15" s="128" t="inlineStr">
        <is>
          <t>Kâr Katkısı Kayıp Oranı</t>
        </is>
      </c>
      <c r="B15" s="152">
        <f>HESAP!B20</f>
        <v/>
      </c>
    </row>
    <row r="16" ht="15" customHeight="1" s="72">
      <c r="A16" s="128" t="inlineStr">
        <is>
          <t>En Kritik Hammadde</t>
        </is>
      </c>
      <c r="B16" s="153">
        <f>HESAP!B16</f>
        <v/>
      </c>
    </row>
    <row r="18" ht="15" customHeight="1" s="72">
      <c r="A18" s="102" t="inlineStr">
        <is>
          <t>Varsayımlar ve Uyarılar</t>
        </is>
      </c>
    </row>
    <row r="19" ht="15" customHeight="1" s="72">
      <c r="A19" s="101" t="inlineStr">
        <is>
          <t>Kayıp oranı eşikleri, senaryo ve tornado çarpanları AYARLAR'dan okunur; güncellenebilir.</t>
        </is>
      </c>
    </row>
    <row r="20" ht="15" customHeight="1" s="72">
      <c r="A20" s="101" t="inlineStr">
        <is>
          <t>Kayıp tespiti fiili sayımla doğrulanmalıdır; bu dosya karar destek aracıdır.</t>
        </is>
      </c>
    </row>
    <row r="22" ht="15" customHeight="1" s="72">
      <c r="A22" s="104">
        <f>CONCATENATE("Sürüm ",MutfakDosyaSurumu," | ",MutfakRaporHazirlayan)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2:P22"/>
    <mergeCell ref="A1:AD1"/>
    <mergeCell ref="A20:P20"/>
    <mergeCell ref="A19:P19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J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98" min="1" max="1"/>
    <col width="8" customWidth="1" style="98" min="2" max="2"/>
    <col width="15" customWidth="1" style="98" min="3" max="3"/>
    <col width="9" customWidth="1" style="98" min="4" max="4"/>
    <col width="15" customWidth="1" style="98" min="5" max="5"/>
    <col width="13" customWidth="1" style="98" min="6" max="6"/>
    <col width="15" customWidth="1" style="98" min="7" max="7"/>
    <col width="14" customWidth="1" style="98" min="8" max="8"/>
    <col width="17" customWidth="1" style="98" min="9" max="9"/>
    <col width="11" customWidth="1" style="98" min="10" max="10"/>
    <col width="15" customWidth="1" style="98" min="11" max="11"/>
    <col width="34" customWidth="1" style="98" min="12" max="12"/>
    <col width="10" customWidth="1" style="98" min="14" max="14"/>
    <col width="15" customWidth="1" style="98" min="15" max="15"/>
    <col width="14" customWidth="1" style="98" min="16" max="16"/>
    <col width="8" customWidth="1" style="98" min="17" max="17"/>
    <col width="9" customWidth="1" style="98" min="18" max="18"/>
    <col width="14" customWidth="1" style="98" min="19" max="19"/>
    <col width="12" customWidth="1" style="98" min="20" max="20"/>
    <col width="14" customWidth="1" style="98" min="21" max="21"/>
    <col width="13" customWidth="1" style="98" min="22" max="22"/>
    <col width="26" customWidth="1" style="98" min="23" max="23"/>
    <col width="10" customWidth="1" style="98" min="25" max="25"/>
    <col width="15" customWidth="1" style="98" min="26" max="26"/>
    <col width="14" customWidth="1" style="98" min="27" max="27"/>
    <col width="16" customWidth="1" style="98" min="28" max="29"/>
    <col width="15" customWidth="1" style="98" min="30" max="30"/>
    <col width="13" customWidth="1" style="98" min="31" max="31"/>
    <col width="24" customWidth="1" style="98" min="32" max="32"/>
  </cols>
  <sheetData>
    <row r="1" ht="25.5" customHeight="1" s="72">
      <c r="A1" s="99" t="inlineStr">
        <is>
          <t>ORNEK VERI — Mutfak Kayıp/Kaçak Hesaplayıcı</t>
        </is>
      </c>
    </row>
    <row r="3" ht="30" customHeight="1" s="72">
      <c r="A3" s="110" t="inlineStr">
        <is>
          <t>Örnek Veriler</t>
        </is>
      </c>
    </row>
    <row r="4" ht="135.75" customHeight="1" s="72">
      <c r="A4" s="101" t="inlineStr">
        <is>
          <t>Ürünü tanımak için bu sayfadaki örnek stok, reçete ve ürün verileri yan yana bloklar halinde sunulur; ana sayfalarda denemeler yapın.</t>
        </is>
      </c>
    </row>
    <row r="5" ht="15" customHeight="1" s="72">
      <c r="A5" s="147" t="inlineStr">
        <is>
          <t>Örnek Stok</t>
        </is>
      </c>
      <c r="N5" s="147" t="inlineStr">
        <is>
          <t>Örnek Reçeteler</t>
        </is>
      </c>
      <c r="Y5" s="147" t="inlineStr">
        <is>
          <t>Örnek Ürünler</t>
        </is>
      </c>
    </row>
    <row r="6" ht="30" customHeight="1" s="72">
      <c r="A6" s="111" t="inlineStr">
        <is>
          <t>Hammadde</t>
        </is>
      </c>
      <c r="B6" s="111" t="inlineStr">
        <is>
          <t>Birim</t>
        </is>
      </c>
      <c r="C6" s="111" t="inlineStr">
        <is>
          <t>Dönem Başı Stok</t>
        </is>
      </c>
      <c r="D6" s="111" t="inlineStr">
        <is>
          <t>Alım</t>
        </is>
      </c>
      <c r="E6" s="111" t="inlineStr">
        <is>
          <t>Dönem Sonu Stok</t>
        </is>
      </c>
      <c r="F6" s="111" t="inlineStr">
        <is>
          <t>Fiili Tüketim</t>
        </is>
      </c>
      <c r="G6" s="111" t="inlineStr">
        <is>
          <t>Birim Maliyet (TL)</t>
        </is>
      </c>
      <c r="H6" s="111" t="inlineStr">
        <is>
          <t>Teorik Tüketim</t>
        </is>
      </c>
      <c r="I6" s="111" t="inlineStr">
        <is>
          <t>Kayıp/Kaçak (Miktar)</t>
        </is>
      </c>
      <c r="J6" s="111" t="inlineStr">
        <is>
          <t>Kayıp Oranı</t>
        </is>
      </c>
      <c r="K6" s="111" t="inlineStr">
        <is>
          <t>Kayıp Tutarı (TL)</t>
        </is>
      </c>
      <c r="L6" s="111" t="inlineStr">
        <is>
          <t>Açıklama</t>
        </is>
      </c>
      <c r="N6" s="111" t="inlineStr">
        <is>
          <t>Ürün Kodu</t>
        </is>
      </c>
      <c r="O6" s="111" t="inlineStr">
        <is>
          <t>Ürün Adı</t>
        </is>
      </c>
      <c r="P6" s="111" t="inlineStr">
        <is>
          <t>Hammadde</t>
        </is>
      </c>
      <c r="Q6" s="111" t="inlineStr">
        <is>
          <t>Birim</t>
        </is>
      </c>
      <c r="R6" s="111" t="inlineStr">
        <is>
          <t>Miktar</t>
        </is>
      </c>
      <c r="S6" s="111" t="inlineStr">
        <is>
          <t>Birim Maliyet (TL)</t>
        </is>
      </c>
      <c r="T6" s="111" t="inlineStr">
        <is>
          <t>Tutar (TL)</t>
        </is>
      </c>
      <c r="U6" s="111" t="inlineStr">
        <is>
          <t>Satış Adedi (Adet)</t>
        </is>
      </c>
      <c r="V6" s="111" t="inlineStr">
        <is>
          <t>Teorik Tüketim</t>
        </is>
      </c>
      <c r="W6" s="111" t="inlineStr">
        <is>
          <t>Açıklama</t>
        </is>
      </c>
      <c r="Y6" s="111" t="inlineStr">
        <is>
          <t>Ürün Kodu</t>
        </is>
      </c>
      <c r="Z6" s="111" t="inlineStr">
        <is>
          <t>Ürün Adı</t>
        </is>
      </c>
      <c r="AA6" s="111" t="inlineStr">
        <is>
          <t>Satış Adedi (Adet)</t>
        </is>
      </c>
      <c r="AB6" s="111" t="inlineStr">
        <is>
          <t>Birim Satış Fiyatı (TL)</t>
        </is>
      </c>
      <c r="AC6" s="111" t="inlineStr">
        <is>
          <t>Reçete Maliyeti (TL)</t>
        </is>
      </c>
      <c r="AD6" s="111" t="inlineStr">
        <is>
          <t>Satış Hasılatı (TL)</t>
        </is>
      </c>
      <c r="AE6" s="111" t="inlineStr">
        <is>
          <t>Kâr Katkısı (TL)</t>
        </is>
      </c>
      <c r="AF6" s="111" t="inlineStr">
        <is>
          <t>Açıklama</t>
        </is>
      </c>
    </row>
    <row r="7" ht="15" customHeight="1" s="72">
      <c r="A7" s="112" t="inlineStr">
        <is>
          <t>Un</t>
        </is>
      </c>
      <c r="B7" s="112" t="inlineStr">
        <is>
          <t>kg</t>
        </is>
      </c>
      <c r="C7" s="113" t="n">
        <v>120</v>
      </c>
      <c r="D7" s="113" t="n">
        <v>90</v>
      </c>
      <c r="E7" s="113" t="n">
        <v>135</v>
      </c>
      <c r="F7" s="122">
        <f>IF($A7="","",MAX(0,$C7+$D7-$E7))</f>
        <v/>
      </c>
      <c r="G7" s="114" t="n">
        <v>18</v>
      </c>
      <c r="H7" s="122">
        <f>IF($A7="","",SUMIFS(tblOrnekRecete[Teorik Tüketim],tblOrnekRecete[Hammadde],$A7))</f>
        <v/>
      </c>
      <c r="I7" s="122">
        <f>IF($A7="","",MAX(0,$F7-$H7))</f>
        <v/>
      </c>
      <c r="J7" s="124">
        <f>IF($A7="","",IF($H7=0,0,$I7/$H7))</f>
        <v/>
      </c>
      <c r="K7" s="115">
        <f>IF($A7="","",$I7*$G7)</f>
        <v/>
      </c>
      <c r="L7" s="116">
        <f>IF($A7="","",CONCATENATE("Hammadde: ",$A7," | Kayıp: ",TEXT($K7,"₺ #,##0")))</f>
        <v/>
      </c>
      <c r="N7" s="112" t="inlineStr">
        <is>
          <t>UR-01</t>
        </is>
      </c>
      <c r="O7" s="112" t="inlineStr">
        <is>
          <t>Klasik Pide</t>
        </is>
      </c>
      <c r="P7" s="112" t="inlineStr">
        <is>
          <t>Un</t>
        </is>
      </c>
      <c r="Q7" s="112" t="inlineStr">
        <is>
          <t>kg</t>
        </is>
      </c>
      <c r="R7" s="113" t="n">
        <v>0.25</v>
      </c>
      <c r="S7" s="114" t="n">
        <v>18</v>
      </c>
      <c r="T7" s="115">
        <f>IF($R7="","",$R7*$S7)</f>
        <v/>
      </c>
      <c r="U7" s="122">
        <f>IF($N7="","",IFERROR(INDEX(tblOrnekUrun[Satış Adedi (Adet)],MATCH($N7,tblOrnekUrun[Ürün Kodu],0)),0))</f>
        <v/>
      </c>
      <c r="V7" s="122">
        <f>IF($R7="","",$R7*$U7)</f>
        <v/>
      </c>
      <c r="W7" s="116">
        <f>IF($O7="","",CONCATENATE("Ürün: ",$O7))</f>
        <v/>
      </c>
      <c r="Y7" s="112" t="inlineStr">
        <is>
          <t>UR-01</t>
        </is>
      </c>
      <c r="Z7" s="112" t="inlineStr">
        <is>
          <t>Klasik Pide</t>
        </is>
      </c>
      <c r="AA7" s="113" t="n">
        <v>320</v>
      </c>
      <c r="AB7" s="114" t="n">
        <v>120</v>
      </c>
      <c r="AC7" s="115">
        <f>IF($Y7="","",SUMIFS(tblOrnekRecete[Tutar (TL)],tblOrnekRecete[Ürün Kodu],$Y7))</f>
        <v/>
      </c>
      <c r="AD7" s="115">
        <f>IF($Y7="","",$AA7*$AB7)</f>
        <v/>
      </c>
      <c r="AE7" s="115">
        <f>IF($Y7="","",$AD7-$AC7)</f>
        <v/>
      </c>
      <c r="AF7" s="116">
        <f>IF($Z7="","",CONCATENATE("Ürün: ",$Z7))</f>
        <v/>
      </c>
    </row>
    <row r="8" ht="15" customHeight="1" s="72">
      <c r="A8" s="112" t="inlineStr">
        <is>
          <t>Tereyağı</t>
        </is>
      </c>
      <c r="B8" s="112" t="inlineStr">
        <is>
          <t>kg</t>
        </is>
      </c>
      <c r="C8" s="113" t="n">
        <v>18</v>
      </c>
      <c r="D8" s="113" t="n">
        <v>14</v>
      </c>
      <c r="E8" s="113" t="n">
        <v>12</v>
      </c>
      <c r="F8" s="122">
        <f>IF($A8="","",MAX(0,$C8+$D8-$E8))</f>
        <v/>
      </c>
      <c r="G8" s="114" t="n">
        <v>120</v>
      </c>
      <c r="H8" s="122">
        <f>IF($A8="","",SUMIFS(tblOrnekRecete[Teorik Tüketim],tblOrnekRecete[Hammadde],$A8))</f>
        <v/>
      </c>
      <c r="I8" s="122">
        <f>IF($A8="","",MAX(0,$F8-$H8))</f>
        <v/>
      </c>
      <c r="J8" s="124">
        <f>IF($A8="","",IF($H8=0,0,$I8/$H8))</f>
        <v/>
      </c>
      <c r="K8" s="115">
        <f>IF($A8="","",$I8*$G8)</f>
        <v/>
      </c>
      <c r="L8" s="116">
        <f>IF($A8="","",CONCATENATE("Hammadde: ",$A8," | Kayıp: ",TEXT($K8,"₺ #,##0")))</f>
        <v/>
      </c>
      <c r="N8" s="112" t="inlineStr">
        <is>
          <t>UR-01</t>
        </is>
      </c>
      <c r="O8" s="112" t="inlineStr">
        <is>
          <t>Klasik Pide</t>
        </is>
      </c>
      <c r="P8" s="112" t="inlineStr">
        <is>
          <t>Tereyağı</t>
        </is>
      </c>
      <c r="Q8" s="112" t="inlineStr">
        <is>
          <t>kg</t>
        </is>
      </c>
      <c r="R8" s="113" t="n">
        <v>0.03</v>
      </c>
      <c r="S8" s="114" t="n">
        <v>120</v>
      </c>
      <c r="T8" s="115">
        <f>IF($R8="","",$R8*$S8)</f>
        <v/>
      </c>
      <c r="U8" s="122">
        <f>IF($N8="","",IFERROR(INDEX(tblOrnekUrun[Satış Adedi (Adet)],MATCH($N8,tblOrnekUrun[Ürün Kodu],0)),0))</f>
        <v/>
      </c>
      <c r="V8" s="122">
        <f>IF($R8="","",$R8*$U8)</f>
        <v/>
      </c>
      <c r="W8" s="116">
        <f>IF($O8="","",CONCATENATE("Ürün: ",$O8))</f>
        <v/>
      </c>
      <c r="Y8" s="112" t="inlineStr">
        <is>
          <t>UR-02</t>
        </is>
      </c>
      <c r="Z8" s="112" t="inlineStr">
        <is>
          <t>Lahmacun</t>
        </is>
      </c>
      <c r="AA8" s="113" t="n">
        <v>410</v>
      </c>
      <c r="AB8" s="114" t="n">
        <v>95</v>
      </c>
      <c r="AC8" s="115">
        <f>IF($Y8="","",SUMIFS(tblOrnekRecete[Tutar (TL)],tblOrnekRecete[Ürün Kodu],$Y8))</f>
        <v/>
      </c>
      <c r="AD8" s="115">
        <f>IF($Y8="","",$AA8*$AB8)</f>
        <v/>
      </c>
      <c r="AE8" s="115">
        <f>IF($Y8="","",$AD8-$AC8)</f>
        <v/>
      </c>
      <c r="AF8" s="116">
        <f>IF($Z8="","",CONCATENATE("Ürün: ",$Z8))</f>
        <v/>
      </c>
    </row>
    <row r="9" ht="15" customHeight="1" s="72">
      <c r="A9" s="112" t="inlineStr">
        <is>
          <t>Peynir</t>
        </is>
      </c>
      <c r="B9" s="112" t="inlineStr">
        <is>
          <t>kg</t>
        </is>
      </c>
      <c r="C9" s="113" t="n">
        <v>30</v>
      </c>
      <c r="D9" s="113" t="n">
        <v>25</v>
      </c>
      <c r="E9" s="113" t="n">
        <v>20</v>
      </c>
      <c r="F9" s="122">
        <f>IF($A9="","",MAX(0,$C9+$D9-$E9))</f>
        <v/>
      </c>
      <c r="G9" s="114" t="n">
        <v>160</v>
      </c>
      <c r="H9" s="122">
        <f>IF($A9="","",SUMIFS(tblOrnekRecete[Teorik Tüketim],tblOrnekRecete[Hammadde],$A9))</f>
        <v/>
      </c>
      <c r="I9" s="122">
        <f>IF($A9="","",MAX(0,$F9-$H9))</f>
        <v/>
      </c>
      <c r="J9" s="124">
        <f>IF($A9="","",IF($H9=0,0,$I9/$H9))</f>
        <v/>
      </c>
      <c r="K9" s="115">
        <f>IF($A9="","",$I9*$G9)</f>
        <v/>
      </c>
      <c r="L9" s="116">
        <f>IF($A9="","",CONCATENATE("Hammadde: ",$A9," | Kayıp: ",TEXT($K9,"₺ #,##0")))</f>
        <v/>
      </c>
      <c r="N9" s="112" t="inlineStr">
        <is>
          <t>UR-01</t>
        </is>
      </c>
      <c r="O9" s="112" t="inlineStr">
        <is>
          <t>Klasik Pide</t>
        </is>
      </c>
      <c r="P9" s="112" t="inlineStr">
        <is>
          <t>Peynir</t>
        </is>
      </c>
      <c r="Q9" s="112" t="inlineStr">
        <is>
          <t>kg</t>
        </is>
      </c>
      <c r="R9" s="113" t="n">
        <v>0.08</v>
      </c>
      <c r="S9" s="114" t="n">
        <v>160</v>
      </c>
      <c r="T9" s="115">
        <f>IF($R9="","",$R9*$S9)</f>
        <v/>
      </c>
      <c r="U9" s="122">
        <f>IF($N9="","",IFERROR(INDEX(tblOrnekUrun[Satış Adedi (Adet)],MATCH($N9,tblOrnekUrun[Ürün Kodu],0)),0))</f>
        <v/>
      </c>
      <c r="V9" s="122">
        <f>IF($R9="","",$R9*$U9)</f>
        <v/>
      </c>
      <c r="W9" s="116">
        <f>IF($O9="","",CONCATENATE("Ürün: ",$O9))</f>
        <v/>
      </c>
      <c r="Y9" s="112" t="inlineStr">
        <is>
          <t>UR-03</t>
        </is>
      </c>
      <c r="Z9" s="112" t="inlineStr">
        <is>
          <t>Kumpir</t>
        </is>
      </c>
      <c r="AA9" s="113" t="n">
        <v>280</v>
      </c>
      <c r="AB9" s="114" t="n">
        <v>140</v>
      </c>
      <c r="AC9" s="115">
        <f>IF($Y9="","",SUMIFS(tblOrnekRecete[Tutar (TL)],tblOrnekRecete[Ürün Kodu],$Y9))</f>
        <v/>
      </c>
      <c r="AD9" s="115">
        <f>IF($Y9="","",$AA9*$AB9)</f>
        <v/>
      </c>
      <c r="AE9" s="115">
        <f>IF($Y9="","",$AD9-$AC9)</f>
        <v/>
      </c>
      <c r="AF9" s="116">
        <f>IF($Z9="","",CONCATENATE("Ürün: ",$Z9))</f>
        <v/>
      </c>
    </row>
    <row r="10" ht="15" customHeight="1" s="72">
      <c r="A10" s="112" t="inlineStr">
        <is>
          <t>Yumurta</t>
        </is>
      </c>
      <c r="B10" s="112" t="inlineStr">
        <is>
          <t>adet</t>
        </is>
      </c>
      <c r="C10" s="113" t="n">
        <v>400</v>
      </c>
      <c r="D10" s="113" t="n">
        <v>300</v>
      </c>
      <c r="E10" s="113" t="n">
        <v>350</v>
      </c>
      <c r="F10" s="122">
        <f>IF($A10="","",MAX(0,$C10+$D10-$E10))</f>
        <v/>
      </c>
      <c r="G10" s="114" t="n">
        <v>6</v>
      </c>
      <c r="H10" s="122">
        <f>IF($A10="","",SUMIFS(tblOrnekRecete[Teorik Tüketim],tblOrnekRecete[Hammadde],$A10))</f>
        <v/>
      </c>
      <c r="I10" s="122">
        <f>IF($A10="","",MAX(0,$F10-$H10))</f>
        <v/>
      </c>
      <c r="J10" s="124">
        <f>IF($A10="","",IF($H10=0,0,$I10/$H10))</f>
        <v/>
      </c>
      <c r="K10" s="115">
        <f>IF($A10="","",$I10*$G10)</f>
        <v/>
      </c>
      <c r="L10" s="116">
        <f>IF($A10="","",CONCATENATE("Hammadde: ",$A10," | Kayıp: ",TEXT($K10,"₺ #,##0")))</f>
        <v/>
      </c>
      <c r="N10" s="112" t="inlineStr">
        <is>
          <t>UR-01</t>
        </is>
      </c>
      <c r="O10" s="112" t="inlineStr">
        <is>
          <t>Klasik Pide</t>
        </is>
      </c>
      <c r="P10" s="112" t="inlineStr">
        <is>
          <t>Yumurta</t>
        </is>
      </c>
      <c r="Q10" s="112" t="inlineStr">
        <is>
          <t>adet</t>
        </is>
      </c>
      <c r="R10" s="113" t="n">
        <v>1</v>
      </c>
      <c r="S10" s="114" t="n">
        <v>6</v>
      </c>
      <c r="T10" s="115">
        <f>IF($R10="","",$R10*$S10)</f>
        <v/>
      </c>
      <c r="U10" s="122">
        <f>IF($N10="","",IFERROR(INDEX(tblOrnekUrun[Satış Adedi (Adet)],MATCH($N10,tblOrnekUrun[Ürün Kodu],0)),0))</f>
        <v/>
      </c>
      <c r="V10" s="122">
        <f>IF($R10="","",$R10*$U10)</f>
        <v/>
      </c>
      <c r="W10" s="116">
        <f>IF($O10="","",CONCATENATE("Ürün: ",$O10))</f>
        <v/>
      </c>
      <c r="Y10" s="112" t="inlineStr">
        <is>
          <t>UR-04</t>
        </is>
      </c>
      <c r="Z10" s="112" t="inlineStr">
        <is>
          <t>Tost Sandviç</t>
        </is>
      </c>
      <c r="AA10" s="113" t="n">
        <v>520</v>
      </c>
      <c r="AB10" s="114" t="n">
        <v>75</v>
      </c>
      <c r="AC10" s="115">
        <f>IF($Y10="","",SUMIFS(tblOrnekRecete[Tutar (TL)],tblOrnekRecete[Ürün Kodu],$Y10))</f>
        <v/>
      </c>
      <c r="AD10" s="115">
        <f>IF($Y10="","",$AA10*$AB10)</f>
        <v/>
      </c>
      <c r="AE10" s="115">
        <f>IF($Y10="","",$AD10-$AC10)</f>
        <v/>
      </c>
      <c r="AF10" s="116">
        <f>IF($Z10="","",CONCATENATE("Ürün: ",$Z10))</f>
        <v/>
      </c>
    </row>
    <row r="11" ht="15" customHeight="1" s="72">
      <c r="A11" s="112" t="inlineStr">
        <is>
          <t>Et</t>
        </is>
      </c>
      <c r="B11" s="112" t="inlineStr">
        <is>
          <t>kg</t>
        </is>
      </c>
      <c r="C11" s="113" t="n">
        <v>60</v>
      </c>
      <c r="D11" s="113" t="n">
        <v>55</v>
      </c>
      <c r="E11" s="113" t="n">
        <v>40</v>
      </c>
      <c r="F11" s="122">
        <f>IF($A11="","",MAX(0,$C11+$D11-$E11))</f>
        <v/>
      </c>
      <c r="G11" s="114" t="n">
        <v>320</v>
      </c>
      <c r="H11" s="122">
        <f>IF($A11="","",SUMIFS(tblOrnekRecete[Teorik Tüketim],tblOrnekRecete[Hammadde],$A11))</f>
        <v/>
      </c>
      <c r="I11" s="122">
        <f>IF($A11="","",MAX(0,$F11-$H11))</f>
        <v/>
      </c>
      <c r="J11" s="124">
        <f>IF($A11="","",IF($H11=0,0,$I11/$H11))</f>
        <v/>
      </c>
      <c r="K11" s="115">
        <f>IF($A11="","",$I11*$G11)</f>
        <v/>
      </c>
      <c r="L11" s="116">
        <f>IF($A11="","",CONCATENATE("Hammadde: ",$A11," | Kayıp: ",TEXT($K11,"₺ #,##0")))</f>
        <v/>
      </c>
      <c r="N11" s="112" t="inlineStr">
        <is>
          <t>UR-02</t>
        </is>
      </c>
      <c r="O11" s="112" t="inlineStr">
        <is>
          <t>Lahmacun</t>
        </is>
      </c>
      <c r="P11" s="112" t="inlineStr">
        <is>
          <t>Un</t>
        </is>
      </c>
      <c r="Q11" s="112" t="inlineStr">
        <is>
          <t>kg</t>
        </is>
      </c>
      <c r="R11" s="113" t="n">
        <v>0.08</v>
      </c>
      <c r="S11" s="114" t="n">
        <v>18</v>
      </c>
      <c r="T11" s="115">
        <f>IF($R11="","",$R11*$S11)</f>
        <v/>
      </c>
      <c r="U11" s="122">
        <f>IF($N11="","",IFERROR(INDEX(tblOrnekUrun[Satış Adedi (Adet)],MATCH($N11,tblOrnekUrun[Ürün Kodu],0)),0))</f>
        <v/>
      </c>
      <c r="V11" s="122">
        <f>IF($R11="","",$R11*$U11)</f>
        <v/>
      </c>
      <c r="W11" s="116">
        <f>IF($O11="","",CONCATENATE("Ürün: ",$O11))</f>
        <v/>
      </c>
      <c r="Y11" s="112" t="inlineStr">
        <is>
          <t>UR-05</t>
        </is>
      </c>
      <c r="Z11" s="112" t="inlineStr">
        <is>
          <t>Çiğ Köfte Menü</t>
        </is>
      </c>
      <c r="AA11" s="113" t="n">
        <v>190</v>
      </c>
      <c r="AB11" s="114" t="n">
        <v>150</v>
      </c>
      <c r="AC11" s="115">
        <f>IF($Y11="","",SUMIFS(tblOrnekRecete[Tutar (TL)],tblOrnekRecete[Ürün Kodu],$Y11))</f>
        <v/>
      </c>
      <c r="AD11" s="115">
        <f>IF($Y11="","",$AA11*$AB11)</f>
        <v/>
      </c>
      <c r="AE11" s="115">
        <f>IF($Y11="","",$AD11-$AC11)</f>
        <v/>
      </c>
      <c r="AF11" s="116">
        <f>IF($Z11="","",CONCATENATE("Ürün: ",$Z11))</f>
        <v/>
      </c>
    </row>
    <row r="12" ht="15" customHeight="1" s="72">
      <c r="A12" s="112" t="inlineStr">
        <is>
          <t>Domates</t>
        </is>
      </c>
      <c r="B12" s="112" t="inlineStr">
        <is>
          <t>kg</t>
        </is>
      </c>
      <c r="C12" s="113" t="n">
        <v>45</v>
      </c>
      <c r="D12" s="113" t="n">
        <v>40</v>
      </c>
      <c r="E12" s="113" t="n">
        <v>30</v>
      </c>
      <c r="F12" s="122">
        <f>IF($A12="","",MAX(0,$C12+$D12-$E12))</f>
        <v/>
      </c>
      <c r="G12" s="114" t="n">
        <v>35</v>
      </c>
      <c r="H12" s="122">
        <f>IF($A12="","",SUMIFS(tblOrnekRecete[Teorik Tüketim],tblOrnekRecete[Hammadde],$A12))</f>
        <v/>
      </c>
      <c r="I12" s="122">
        <f>IF($A12="","",MAX(0,$F12-$H12))</f>
        <v/>
      </c>
      <c r="J12" s="124">
        <f>IF($A12="","",IF($H12=0,0,$I12/$H12))</f>
        <v/>
      </c>
      <c r="K12" s="115">
        <f>IF($A12="","",$I12*$G12)</f>
        <v/>
      </c>
      <c r="L12" s="116">
        <f>IF($A12="","",CONCATENATE("Hammadde: ",$A12," | Kayıp: ",TEXT($K12,"₺ #,##0")))</f>
        <v/>
      </c>
      <c r="N12" s="112" t="inlineStr">
        <is>
          <t>UR-02</t>
        </is>
      </c>
      <c r="O12" s="112" t="inlineStr">
        <is>
          <t>Lahmacun</t>
        </is>
      </c>
      <c r="P12" s="112" t="inlineStr">
        <is>
          <t>Et</t>
        </is>
      </c>
      <c r="Q12" s="112" t="inlineStr">
        <is>
          <t>kg</t>
        </is>
      </c>
      <c r="R12" s="113" t="n">
        <v>0.04</v>
      </c>
      <c r="S12" s="114" t="n">
        <v>320</v>
      </c>
      <c r="T12" s="115">
        <f>IF($R12="","",$R12*$S12)</f>
        <v/>
      </c>
      <c r="U12" s="122">
        <f>IF($N12="","",IFERROR(INDEX(tblOrnekUrun[Satış Adedi (Adet)],MATCH($N12,tblOrnekUrun[Ürün Kodu],0)),0))</f>
        <v/>
      </c>
      <c r="V12" s="122">
        <f>IF($R12="","",$R12*$U12)</f>
        <v/>
      </c>
      <c r="W12" s="116">
        <f>IF($O12="","",CONCATENATE("Ürün: ",$O12))</f>
        <v/>
      </c>
      <c r="Y12" s="112" t="inlineStr">
        <is>
          <t>UR-06</t>
        </is>
      </c>
      <c r="Z12" s="112" t="inlineStr">
        <is>
          <t>İskender</t>
        </is>
      </c>
      <c r="AA12" s="113" t="n">
        <v>230</v>
      </c>
      <c r="AB12" s="114" t="n">
        <v>180</v>
      </c>
      <c r="AC12" s="115">
        <f>IF($Y12="","",SUMIFS(tblOrnekRecete[Tutar (TL)],tblOrnekRecete[Ürün Kodu],$Y12))</f>
        <v/>
      </c>
      <c r="AD12" s="115">
        <f>IF($Y12="","",$AA12*$AB12)</f>
        <v/>
      </c>
      <c r="AE12" s="115">
        <f>IF($Y12="","",$AD12-$AC12)</f>
        <v/>
      </c>
      <c r="AF12" s="116">
        <f>IF($Z12="","",CONCATENATE("Ürün: ",$Z12))</f>
        <v/>
      </c>
    </row>
    <row r="13" ht="15" customHeight="1" s="72">
      <c r="A13" s="112" t="inlineStr">
        <is>
          <t>Salça</t>
        </is>
      </c>
      <c r="B13" s="112" t="inlineStr">
        <is>
          <t>kg</t>
        </is>
      </c>
      <c r="C13" s="113" t="n">
        <v>12</v>
      </c>
      <c r="D13" s="113" t="n">
        <v>10</v>
      </c>
      <c r="E13" s="113" t="n">
        <v>8</v>
      </c>
      <c r="F13" s="122">
        <f>IF($A13="","",MAX(0,$C13+$D13-$E13))</f>
        <v/>
      </c>
      <c r="G13" s="114" t="n">
        <v>60</v>
      </c>
      <c r="H13" s="122">
        <f>IF($A13="","",SUMIFS(tblOrnekRecete[Teorik Tüketim],tblOrnekRecete[Hammadde],$A13))</f>
        <v/>
      </c>
      <c r="I13" s="122">
        <f>IF($A13="","",MAX(0,$F13-$H13))</f>
        <v/>
      </c>
      <c r="J13" s="124">
        <f>IF($A13="","",IF($H13=0,0,$I13/$H13))</f>
        <v/>
      </c>
      <c r="K13" s="115">
        <f>IF($A13="","",$I13*$G13)</f>
        <v/>
      </c>
      <c r="L13" s="116">
        <f>IF($A13="","",CONCATENATE("Hammadde: ",$A13," | Kayıp: ",TEXT($K13,"₺ #,##0")))</f>
        <v/>
      </c>
      <c r="N13" s="112" t="inlineStr">
        <is>
          <t>UR-02</t>
        </is>
      </c>
      <c r="O13" s="112" t="inlineStr">
        <is>
          <t>Lahmacun</t>
        </is>
      </c>
      <c r="P13" s="112" t="inlineStr">
        <is>
          <t>Domates</t>
        </is>
      </c>
      <c r="Q13" s="112" t="inlineStr">
        <is>
          <t>kg</t>
        </is>
      </c>
      <c r="R13" s="113" t="n">
        <v>0.05</v>
      </c>
      <c r="S13" s="114" t="n">
        <v>35</v>
      </c>
      <c r="T13" s="115">
        <f>IF($R13="","",$R13*$S13)</f>
        <v/>
      </c>
      <c r="U13" s="122">
        <f>IF($N13="","",IFERROR(INDEX(tblOrnekUrun[Satış Adedi (Adet)],MATCH($N13,tblOrnekUrun[Ürün Kodu],0)),0))</f>
        <v/>
      </c>
      <c r="V13" s="122">
        <f>IF($R13="","",$R13*$U13)</f>
        <v/>
      </c>
      <c r="W13" s="116">
        <f>IF($O13="","",CONCATENATE("Ürün: ",$O13))</f>
        <v/>
      </c>
      <c r="Y13" s="117" t="n"/>
      <c r="Z13" s="117" t="n"/>
      <c r="AA13" s="118" t="n"/>
      <c r="AB13" s="119" t="n"/>
      <c r="AC13" s="115">
        <f>IF($Y13="","",SUMIFS(tblOrnekRecete[Tutar (TL)],tblOrnekRecete[Ürün Kodu],$Y13))</f>
        <v/>
      </c>
      <c r="AD13" s="115">
        <f>IF($Y13="","",$AA13*$AB13)</f>
        <v/>
      </c>
      <c r="AE13" s="115">
        <f>IF($Y13="","",$AD13-$AC13)</f>
        <v/>
      </c>
      <c r="AF13" s="116">
        <f>IF($Z13="","",CONCATENATE("Ürün: ",$Z13))</f>
        <v/>
      </c>
    </row>
    <row r="14" ht="15" customHeight="1" s="72">
      <c r="A14" s="112" t="inlineStr">
        <is>
          <t>Patates</t>
        </is>
      </c>
      <c r="B14" s="112" t="inlineStr">
        <is>
          <t>kg</t>
        </is>
      </c>
      <c r="C14" s="113" t="n">
        <v>100</v>
      </c>
      <c r="D14" s="113" t="n">
        <v>80</v>
      </c>
      <c r="E14" s="113" t="n">
        <v>70</v>
      </c>
      <c r="F14" s="122">
        <f>IF($A14="","",MAX(0,$C14+$D14-$E14))</f>
        <v/>
      </c>
      <c r="G14" s="114" t="n">
        <v>22</v>
      </c>
      <c r="H14" s="122">
        <f>IF($A14="","",SUMIFS(tblOrnekRecete[Teorik Tüketim],tblOrnekRecete[Hammadde],$A14))</f>
        <v/>
      </c>
      <c r="I14" s="122">
        <f>IF($A14="","",MAX(0,$F14-$H14))</f>
        <v/>
      </c>
      <c r="J14" s="124">
        <f>IF($A14="","",IF($H14=0,0,$I14/$H14))</f>
        <v/>
      </c>
      <c r="K14" s="115">
        <f>IF($A14="","",$I14*$G14)</f>
        <v/>
      </c>
      <c r="L14" s="116">
        <f>IF($A14="","",CONCATENATE("Hammadde: ",$A14," | Kayıp: ",TEXT($K14,"₺ #,##0")))</f>
        <v/>
      </c>
      <c r="N14" s="112" t="inlineStr">
        <is>
          <t>UR-02</t>
        </is>
      </c>
      <c r="O14" s="112" t="inlineStr">
        <is>
          <t>Lahmacun</t>
        </is>
      </c>
      <c r="P14" s="112" t="inlineStr">
        <is>
          <t>Salça</t>
        </is>
      </c>
      <c r="Q14" s="112" t="inlineStr">
        <is>
          <t>kg</t>
        </is>
      </c>
      <c r="R14" s="113" t="n">
        <v>0.01</v>
      </c>
      <c r="S14" s="114" t="n">
        <v>60</v>
      </c>
      <c r="T14" s="115">
        <f>IF($R14="","",$R14*$S14)</f>
        <v/>
      </c>
      <c r="U14" s="122">
        <f>IF($N14="","",IFERROR(INDEX(tblOrnekUrun[Satış Adedi (Adet)],MATCH($N14,tblOrnekUrun[Ürün Kodu],0)),0))</f>
        <v/>
      </c>
      <c r="V14" s="122">
        <f>IF($R14="","",$R14*$U14)</f>
        <v/>
      </c>
      <c r="W14" s="116">
        <f>IF($O14="","",CONCATENATE("Ürün: ",$O14))</f>
        <v/>
      </c>
      <c r="Y14" s="117" t="n"/>
      <c r="Z14" s="117" t="n"/>
      <c r="AA14" s="118" t="n"/>
      <c r="AB14" s="119" t="n"/>
      <c r="AC14" s="115">
        <f>IF($Y14="","",SUMIFS(tblOrnekRecete[Tutar (TL)],tblOrnekRecete[Ürün Kodu],$Y14))</f>
        <v/>
      </c>
      <c r="AD14" s="115">
        <f>IF($Y14="","",$AA14*$AB14)</f>
        <v/>
      </c>
      <c r="AE14" s="115">
        <f>IF($Y14="","",$AD14-$AC14)</f>
        <v/>
      </c>
      <c r="AF14" s="116">
        <f>IF($Z14="","",CONCATENATE("Ürün: ",$Z14))</f>
        <v/>
      </c>
    </row>
    <row r="15" ht="15" customHeight="1" s="72">
      <c r="A15" s="117" t="n"/>
      <c r="B15" s="117" t="n"/>
      <c r="C15" s="118" t="n"/>
      <c r="D15" s="118" t="n"/>
      <c r="E15" s="118" t="n"/>
      <c r="F15" s="122">
        <f>IF($A15="","",MAX(0,$C15+$D15-$E15))</f>
        <v/>
      </c>
      <c r="G15" s="119" t="n"/>
      <c r="H15" s="122">
        <f>IF($A15="","",SUMIFS(tblOrnekRecete[Teorik Tüketim],tblOrnekRecete[Hammadde],$A15))</f>
        <v/>
      </c>
      <c r="I15" s="122">
        <f>IF($A15="","",MAX(0,$F15-$H15))</f>
        <v/>
      </c>
      <c r="J15" s="124">
        <f>IF($A15="","",IF($H15=0,0,$I15/$H15))</f>
        <v/>
      </c>
      <c r="K15" s="115">
        <f>IF($A15="","",$I15*$G15)</f>
        <v/>
      </c>
      <c r="L15" s="116">
        <f>IF($A15="","",CONCATENATE("Hammadde: ",$A15," | Kayıp: ",TEXT($K15,"₺ #,##0")))</f>
        <v/>
      </c>
      <c r="N15" s="112" t="inlineStr">
        <is>
          <t>UR-03</t>
        </is>
      </c>
      <c r="O15" s="112" t="inlineStr">
        <is>
          <t>Kumpir</t>
        </is>
      </c>
      <c r="P15" s="112" t="inlineStr">
        <is>
          <t>Patates</t>
        </is>
      </c>
      <c r="Q15" s="112" t="inlineStr">
        <is>
          <t>kg</t>
        </is>
      </c>
      <c r="R15" s="113" t="n">
        <v>0.35</v>
      </c>
      <c r="S15" s="114" t="n">
        <v>22</v>
      </c>
      <c r="T15" s="115">
        <f>IF($R15="","",$R15*$S15)</f>
        <v/>
      </c>
      <c r="U15" s="122">
        <f>IF($N15="","",IFERROR(INDEX(tblOrnekUrun[Satış Adedi (Adet)],MATCH($N15,tblOrnekUrun[Ürün Kodu],0)),0))</f>
        <v/>
      </c>
      <c r="V15" s="122">
        <f>IF($R15="","",$R15*$U15)</f>
        <v/>
      </c>
      <c r="W15" s="116">
        <f>IF($O15="","",CONCATENATE("Ürün: ",$O15))</f>
        <v/>
      </c>
      <c r="Y15" s="117" t="n"/>
      <c r="Z15" s="117" t="n"/>
      <c r="AA15" s="118" t="n"/>
      <c r="AB15" s="119" t="n"/>
      <c r="AC15" s="115">
        <f>IF($Y15="","",SUMIFS(tblOrnekRecete[Tutar (TL)],tblOrnekRecete[Ürün Kodu],$Y15))</f>
        <v/>
      </c>
      <c r="AD15" s="115">
        <f>IF($Y15="","",$AA15*$AB15)</f>
        <v/>
      </c>
      <c r="AE15" s="115">
        <f>IF($Y15="","",$AD15-$AC15)</f>
        <v/>
      </c>
      <c r="AF15" s="116">
        <f>IF($Z15="","",CONCATENATE("Ürün: ",$Z15))</f>
        <v/>
      </c>
    </row>
    <row r="16" ht="15" customHeight="1" s="72">
      <c r="A16" s="117" t="n"/>
      <c r="B16" s="117" t="n"/>
      <c r="C16" s="118" t="n"/>
      <c r="D16" s="118" t="n"/>
      <c r="E16" s="118" t="n"/>
      <c r="F16" s="122">
        <f>IF($A16="","",MAX(0,$C16+$D16-$E16))</f>
        <v/>
      </c>
      <c r="G16" s="119" t="n"/>
      <c r="H16" s="122">
        <f>IF($A16="","",SUMIFS(tblOrnekRecete[Teorik Tüketim],tblOrnekRecete[Hammadde],$A16))</f>
        <v/>
      </c>
      <c r="I16" s="122">
        <f>IF($A16="","",MAX(0,$F16-$H16))</f>
        <v/>
      </c>
      <c r="J16" s="124">
        <f>IF($A16="","",IF($H16=0,0,$I16/$H16))</f>
        <v/>
      </c>
      <c r="K16" s="115">
        <f>IF($A16="","",$I16*$G16)</f>
        <v/>
      </c>
      <c r="L16" s="116">
        <f>IF($A16="","",CONCATENATE("Hammadde: ",$A16," | Kayıp: ",TEXT($K16,"₺ #,##0")))</f>
        <v/>
      </c>
      <c r="N16" s="112" t="inlineStr">
        <is>
          <t>UR-03</t>
        </is>
      </c>
      <c r="O16" s="112" t="inlineStr">
        <is>
          <t>Kumpir</t>
        </is>
      </c>
      <c r="P16" s="112" t="inlineStr">
        <is>
          <t>Tereyağı</t>
        </is>
      </c>
      <c r="Q16" s="112" t="inlineStr">
        <is>
          <t>kg</t>
        </is>
      </c>
      <c r="R16" s="113" t="n">
        <v>0.04</v>
      </c>
      <c r="S16" s="114" t="n">
        <v>120</v>
      </c>
      <c r="T16" s="115">
        <f>IF($R16="","",$R16*$S16)</f>
        <v/>
      </c>
      <c r="U16" s="122">
        <f>IF($N16="","",IFERROR(INDEX(tblOrnekUrun[Satış Adedi (Adet)],MATCH($N16,tblOrnekUrun[Ürün Kodu],0)),0))</f>
        <v/>
      </c>
      <c r="V16" s="122">
        <f>IF($R16="","",$R16*$U16)</f>
        <v/>
      </c>
      <c r="W16" s="116">
        <f>IF($O16="","",CONCATENATE("Ürün: ",$O16))</f>
        <v/>
      </c>
      <c r="Y16" s="117" t="n"/>
      <c r="Z16" s="117" t="n"/>
      <c r="AA16" s="118" t="n"/>
      <c r="AB16" s="119" t="n"/>
      <c r="AC16" s="115">
        <f>IF($Y16="","",SUMIFS(tblOrnekRecete[Tutar (TL)],tblOrnekRecete[Ürün Kodu],$Y16))</f>
        <v/>
      </c>
      <c r="AD16" s="115">
        <f>IF($Y16="","",$AA16*$AB16)</f>
        <v/>
      </c>
      <c r="AE16" s="115">
        <f>IF($Y16="","",$AD16-$AC16)</f>
        <v/>
      </c>
      <c r="AF16" s="116">
        <f>IF($Z16="","",CONCATENATE("Ürün: ",$Z16))</f>
        <v/>
      </c>
    </row>
    <row r="17" ht="15" customHeight="1" s="72">
      <c r="A17" s="117" t="n"/>
      <c r="B17" s="117" t="n"/>
      <c r="C17" s="118" t="n"/>
      <c r="D17" s="118" t="n"/>
      <c r="E17" s="118" t="n"/>
      <c r="F17" s="122">
        <f>IF($A17="","",MAX(0,$C17+$D17-$E17))</f>
        <v/>
      </c>
      <c r="G17" s="119" t="n"/>
      <c r="H17" s="122">
        <f>IF($A17="","",SUMIFS(tblOrnekRecete[Teorik Tüketim],tblOrnekRecete[Hammadde],$A17))</f>
        <v/>
      </c>
      <c r="I17" s="122">
        <f>IF($A17="","",MAX(0,$F17-$H17))</f>
        <v/>
      </c>
      <c r="J17" s="124">
        <f>IF($A17="","",IF($H17=0,0,$I17/$H17))</f>
        <v/>
      </c>
      <c r="K17" s="115">
        <f>IF($A17="","",$I17*$G17)</f>
        <v/>
      </c>
      <c r="L17" s="116">
        <f>IF($A17="","",CONCATENATE("Hammadde: ",$A17," | Kayıp: ",TEXT($K17,"₺ #,##0")))</f>
        <v/>
      </c>
      <c r="N17" s="112" t="inlineStr">
        <is>
          <t>UR-03</t>
        </is>
      </c>
      <c r="O17" s="112" t="inlineStr">
        <is>
          <t>Kumpir</t>
        </is>
      </c>
      <c r="P17" s="112" t="inlineStr">
        <is>
          <t>Peynir</t>
        </is>
      </c>
      <c r="Q17" s="112" t="inlineStr">
        <is>
          <t>kg</t>
        </is>
      </c>
      <c r="R17" s="113" t="n">
        <v>0.05</v>
      </c>
      <c r="S17" s="114" t="n">
        <v>160</v>
      </c>
      <c r="T17" s="115">
        <f>IF($R17="","",$R17*$S17)</f>
        <v/>
      </c>
      <c r="U17" s="122">
        <f>IF($N17="","",IFERROR(INDEX(tblOrnekUrun[Satış Adedi (Adet)],MATCH($N17,tblOrnekUrun[Ürün Kodu],0)),0))</f>
        <v/>
      </c>
      <c r="V17" s="122">
        <f>IF($R17="","",$R17*$U17)</f>
        <v/>
      </c>
      <c r="W17" s="116">
        <f>IF($O17="","",CONCATENATE("Ürün: ",$O17))</f>
        <v/>
      </c>
      <c r="Y17" s="117" t="n"/>
      <c r="Z17" s="117" t="n"/>
      <c r="AA17" s="118" t="n"/>
      <c r="AB17" s="119" t="n"/>
      <c r="AC17" s="115">
        <f>IF($Y17="","",SUMIFS(tblOrnekRecete[Tutar (TL)],tblOrnekRecete[Ürün Kodu],$Y17))</f>
        <v/>
      </c>
      <c r="AD17" s="115">
        <f>IF($Y17="","",$AA17*$AB17)</f>
        <v/>
      </c>
      <c r="AE17" s="115">
        <f>IF($Y17="","",$AD17-$AC17)</f>
        <v/>
      </c>
      <c r="AF17" s="116">
        <f>IF($Z17="","",CONCATENATE("Ürün: ",$Z17))</f>
        <v/>
      </c>
    </row>
    <row r="18" ht="15" customHeight="1" s="72">
      <c r="A18" s="117" t="n"/>
      <c r="B18" s="117" t="n"/>
      <c r="C18" s="118" t="n"/>
      <c r="D18" s="118" t="n"/>
      <c r="E18" s="118" t="n"/>
      <c r="F18" s="122">
        <f>IF($A18="","",MAX(0,$C18+$D18-$E18))</f>
        <v/>
      </c>
      <c r="G18" s="119" t="n"/>
      <c r="H18" s="122">
        <f>IF($A18="","",SUMIFS(tblOrnekRecete[Teorik Tüketim],tblOrnekRecete[Hammadde],$A18))</f>
        <v/>
      </c>
      <c r="I18" s="122">
        <f>IF($A18="","",MAX(0,$F18-$H18))</f>
        <v/>
      </c>
      <c r="J18" s="124">
        <f>IF($A18="","",IF($H18=0,0,$I18/$H18))</f>
        <v/>
      </c>
      <c r="K18" s="115">
        <f>IF($A18="","",$I18*$G18)</f>
        <v/>
      </c>
      <c r="L18" s="116">
        <f>IF($A18="","",CONCATENATE("Hammadde: ",$A18," | Kayıp: ",TEXT($K18,"₺ #,##0")))</f>
        <v/>
      </c>
      <c r="N18" s="112" t="inlineStr">
        <is>
          <t>UR-04</t>
        </is>
      </c>
      <c r="O18" s="112" t="inlineStr">
        <is>
          <t>Tost Sandviç</t>
        </is>
      </c>
      <c r="P18" s="112" t="inlineStr">
        <is>
          <t>Un</t>
        </is>
      </c>
      <c r="Q18" s="112" t="inlineStr">
        <is>
          <t>kg</t>
        </is>
      </c>
      <c r="R18" s="113" t="n">
        <v>0.12</v>
      </c>
      <c r="S18" s="114" t="n">
        <v>18</v>
      </c>
      <c r="T18" s="115">
        <f>IF($R18="","",$R18*$S18)</f>
        <v/>
      </c>
      <c r="U18" s="122">
        <f>IF($N18="","",IFERROR(INDEX(tblOrnekUrun[Satış Adedi (Adet)],MATCH($N18,tblOrnekUrun[Ürün Kodu],0)),0))</f>
        <v/>
      </c>
      <c r="V18" s="122">
        <f>IF($R18="","",$R18*$U18)</f>
        <v/>
      </c>
      <c r="W18" s="116">
        <f>IF($O18="","",CONCATENATE("Ürün: ",$O18))</f>
        <v/>
      </c>
      <c r="Y18" s="117" t="n"/>
      <c r="Z18" s="117" t="n"/>
      <c r="AA18" s="118" t="n"/>
      <c r="AB18" s="119" t="n"/>
      <c r="AC18" s="115">
        <f>IF($Y18="","",SUMIFS(tblOrnekRecete[Tutar (TL)],tblOrnekRecete[Ürün Kodu],$Y18))</f>
        <v/>
      </c>
      <c r="AD18" s="115">
        <f>IF($Y18="","",$AA18*$AB18)</f>
        <v/>
      </c>
      <c r="AE18" s="115">
        <f>IF($Y18="","",$AD18-$AC18)</f>
        <v/>
      </c>
      <c r="AF18" s="116">
        <f>IF($Z18="","",CONCATENATE("Ürün: ",$Z18))</f>
        <v/>
      </c>
    </row>
    <row r="19" ht="15" customHeight="1" s="72">
      <c r="A19" s="117" t="n"/>
      <c r="B19" s="117" t="n"/>
      <c r="C19" s="118" t="n"/>
      <c r="D19" s="118" t="n"/>
      <c r="E19" s="118" t="n"/>
      <c r="F19" s="122">
        <f>IF($A19="","",MAX(0,$C19+$D19-$E19))</f>
        <v/>
      </c>
      <c r="G19" s="119" t="n"/>
      <c r="H19" s="122">
        <f>IF($A19="","",SUMIFS(tblOrnekRecete[Teorik Tüketim],tblOrnekRecete[Hammadde],$A19))</f>
        <v/>
      </c>
      <c r="I19" s="122">
        <f>IF($A19="","",MAX(0,$F19-$H19))</f>
        <v/>
      </c>
      <c r="J19" s="124">
        <f>IF($A19="","",IF($H19=0,0,$I19/$H19))</f>
        <v/>
      </c>
      <c r="K19" s="115">
        <f>IF($A19="","",$I19*$G19)</f>
        <v/>
      </c>
      <c r="L19" s="116">
        <f>IF($A19="","",CONCATENATE("Hammadde: ",$A19," | Kayıp: ",TEXT($K19,"₺ #,##0")))</f>
        <v/>
      </c>
      <c r="N19" s="112" t="inlineStr">
        <is>
          <t>UR-04</t>
        </is>
      </c>
      <c r="O19" s="112" t="inlineStr">
        <is>
          <t>Tost Sandviç</t>
        </is>
      </c>
      <c r="P19" s="112" t="inlineStr">
        <is>
          <t>Peynir</t>
        </is>
      </c>
      <c r="Q19" s="112" t="inlineStr">
        <is>
          <t>kg</t>
        </is>
      </c>
      <c r="R19" s="113" t="n">
        <v>0.06</v>
      </c>
      <c r="S19" s="114" t="n">
        <v>160</v>
      </c>
      <c r="T19" s="115">
        <f>IF($R19="","",$R19*$S19)</f>
        <v/>
      </c>
      <c r="U19" s="122">
        <f>IF($N19="","",IFERROR(INDEX(tblOrnekUrun[Satış Adedi (Adet)],MATCH($N19,tblOrnekUrun[Ürün Kodu],0)),0))</f>
        <v/>
      </c>
      <c r="V19" s="122">
        <f>IF($R19="","",$R19*$U19)</f>
        <v/>
      </c>
      <c r="W19" s="116">
        <f>IF($O19="","",CONCATENATE("Ürün: ",$O19))</f>
        <v/>
      </c>
      <c r="Y19" s="117" t="n"/>
      <c r="Z19" s="117" t="n"/>
      <c r="AA19" s="118" t="n"/>
      <c r="AB19" s="119" t="n"/>
      <c r="AC19" s="115">
        <f>IF($Y19="","",SUMIFS(tblOrnekRecete[Tutar (TL)],tblOrnekRecete[Ürün Kodu],$Y19))</f>
        <v/>
      </c>
      <c r="AD19" s="115">
        <f>IF($Y19="","",$AA19*$AB19)</f>
        <v/>
      </c>
      <c r="AE19" s="115">
        <f>IF($Y19="","",$AD19-$AC19)</f>
        <v/>
      </c>
      <c r="AF19" s="116">
        <f>IF($Z19="","",CONCATENATE("Ürün: ",$Z19))</f>
        <v/>
      </c>
    </row>
    <row r="20" ht="15" customHeight="1" s="72">
      <c r="A20" s="117" t="n"/>
      <c r="B20" s="117" t="n"/>
      <c r="C20" s="118" t="n"/>
      <c r="D20" s="118" t="n"/>
      <c r="E20" s="118" t="n"/>
      <c r="F20" s="122">
        <f>IF($A20="","",MAX(0,$C20+$D20-$E20))</f>
        <v/>
      </c>
      <c r="G20" s="119" t="n"/>
      <c r="H20" s="122">
        <f>IF($A20="","",SUMIFS(tblOrnekRecete[Teorik Tüketim],tblOrnekRecete[Hammadde],$A20))</f>
        <v/>
      </c>
      <c r="I20" s="122">
        <f>IF($A20="","",MAX(0,$F20-$H20))</f>
        <v/>
      </c>
      <c r="J20" s="124">
        <f>IF($A20="","",IF($H20=0,0,$I20/$H20))</f>
        <v/>
      </c>
      <c r="K20" s="115">
        <f>IF($A20="","",$I20*$G20)</f>
        <v/>
      </c>
      <c r="L20" s="116">
        <f>IF($A20="","",CONCATENATE("Hammadde: ",$A20," | Kayıp: ",TEXT($K20,"₺ #,##0")))</f>
        <v/>
      </c>
      <c r="N20" s="112" t="inlineStr">
        <is>
          <t>UR-04</t>
        </is>
      </c>
      <c r="O20" s="112" t="inlineStr">
        <is>
          <t>Tost Sandviç</t>
        </is>
      </c>
      <c r="P20" s="112" t="inlineStr">
        <is>
          <t>Tereyağı</t>
        </is>
      </c>
      <c r="Q20" s="112" t="inlineStr">
        <is>
          <t>kg</t>
        </is>
      </c>
      <c r="R20" s="113" t="n">
        <v>0.02</v>
      </c>
      <c r="S20" s="114" t="n">
        <v>120</v>
      </c>
      <c r="T20" s="115">
        <f>IF($R20="","",$R20*$S20)</f>
        <v/>
      </c>
      <c r="U20" s="122">
        <f>IF($N20="","",IFERROR(INDEX(tblOrnekUrun[Satış Adedi (Adet)],MATCH($N20,tblOrnekUrun[Ürün Kodu],0)),0))</f>
        <v/>
      </c>
      <c r="V20" s="122">
        <f>IF($R20="","",$R20*$U20)</f>
        <v/>
      </c>
      <c r="W20" s="116">
        <f>IF($O20="","",CONCATENATE("Ürün: ",$O20))</f>
        <v/>
      </c>
      <c r="Y20" s="117" t="n"/>
      <c r="Z20" s="117" t="n"/>
      <c r="AA20" s="118" t="n"/>
      <c r="AB20" s="119" t="n"/>
      <c r="AC20" s="115">
        <f>IF($Y20="","",SUMIFS(tblOrnekRecete[Tutar (TL)],tblOrnekRecete[Ürün Kodu],$Y20))</f>
        <v/>
      </c>
      <c r="AD20" s="115">
        <f>IF($Y20="","",$AA20*$AB20)</f>
        <v/>
      </c>
      <c r="AE20" s="115">
        <f>IF($Y20="","",$AD20-$AC20)</f>
        <v/>
      </c>
      <c r="AF20" s="116">
        <f>IF($Z20="","",CONCATENATE("Ürün: ",$Z20))</f>
        <v/>
      </c>
    </row>
    <row r="21" ht="15" customHeight="1" s="72">
      <c r="A21" s="117" t="n"/>
      <c r="B21" s="117" t="n"/>
      <c r="C21" s="118" t="n"/>
      <c r="D21" s="118" t="n"/>
      <c r="E21" s="118" t="n"/>
      <c r="F21" s="122">
        <f>IF($A21="","",MAX(0,$C21+$D21-$E21))</f>
        <v/>
      </c>
      <c r="G21" s="119" t="n"/>
      <c r="H21" s="122">
        <f>IF($A21="","",SUMIFS(tblOrnekRecete[Teorik Tüketim],tblOrnekRecete[Hammadde],$A21))</f>
        <v/>
      </c>
      <c r="I21" s="122">
        <f>IF($A21="","",MAX(0,$F21-$H21))</f>
        <v/>
      </c>
      <c r="J21" s="124">
        <f>IF($A21="","",IF($H21=0,0,$I21/$H21))</f>
        <v/>
      </c>
      <c r="K21" s="115">
        <f>IF($A21="","",$I21*$G21)</f>
        <v/>
      </c>
      <c r="L21" s="116">
        <f>IF($A21="","",CONCATENATE("Hammadde: ",$A21," | Kayıp: ",TEXT($K21,"₺ #,##0")))</f>
        <v/>
      </c>
      <c r="N21" s="112" t="inlineStr">
        <is>
          <t>UR-05</t>
        </is>
      </c>
      <c r="O21" s="112" t="inlineStr">
        <is>
          <t>Çiğ Köfte Menü</t>
        </is>
      </c>
      <c r="P21" s="112" t="inlineStr">
        <is>
          <t>Un</t>
        </is>
      </c>
      <c r="Q21" s="112" t="inlineStr">
        <is>
          <t>kg</t>
        </is>
      </c>
      <c r="R21" s="113" t="n">
        <v>0.1</v>
      </c>
      <c r="S21" s="114" t="n">
        <v>18</v>
      </c>
      <c r="T21" s="115">
        <f>IF($R21="","",$R21*$S21)</f>
        <v/>
      </c>
      <c r="U21" s="122">
        <f>IF($N21="","",IFERROR(INDEX(tblOrnekUrun[Satış Adedi (Adet)],MATCH($N21,tblOrnekUrun[Ürün Kodu],0)),0))</f>
        <v/>
      </c>
      <c r="V21" s="122">
        <f>IF($R21="","",$R21*$U21)</f>
        <v/>
      </c>
      <c r="W21" s="116">
        <f>IF($O21="","",CONCATENATE("Ürün: ",$O21))</f>
        <v/>
      </c>
      <c r="Y21" s="117" t="n"/>
      <c r="Z21" s="117" t="n"/>
      <c r="AA21" s="118" t="n"/>
      <c r="AB21" s="119" t="n"/>
      <c r="AC21" s="115">
        <f>IF($Y21="","",SUMIFS(tblOrnekRecete[Tutar (TL)],tblOrnekRecete[Ürün Kodu],$Y21))</f>
        <v/>
      </c>
      <c r="AD21" s="115">
        <f>IF($Y21="","",$AA21*$AB21)</f>
        <v/>
      </c>
      <c r="AE21" s="115">
        <f>IF($Y21="","",$AD21-$AC21)</f>
        <v/>
      </c>
      <c r="AF21" s="116">
        <f>IF($Z21="","",CONCATENATE("Ürün: ",$Z21))</f>
        <v/>
      </c>
    </row>
    <row r="22" ht="15" customHeight="1" s="72">
      <c r="A22" s="117" t="n"/>
      <c r="B22" s="117" t="n"/>
      <c r="C22" s="118" t="n"/>
      <c r="D22" s="118" t="n"/>
      <c r="E22" s="118" t="n"/>
      <c r="F22" s="122">
        <f>IF($A22="","",MAX(0,$C22+$D22-$E22))</f>
        <v/>
      </c>
      <c r="G22" s="119" t="n"/>
      <c r="H22" s="122">
        <f>IF($A22="","",SUMIFS(tblOrnekRecete[Teorik Tüketim],tblOrnekRecete[Hammadde],$A22))</f>
        <v/>
      </c>
      <c r="I22" s="122">
        <f>IF($A22="","",MAX(0,$F22-$H22))</f>
        <v/>
      </c>
      <c r="J22" s="124">
        <f>IF($A22="","",IF($H22=0,0,$I22/$H22))</f>
        <v/>
      </c>
      <c r="K22" s="115">
        <f>IF($A22="","",$I22*$G22)</f>
        <v/>
      </c>
      <c r="L22" s="116">
        <f>IF($A22="","",CONCATENATE("Hammadde: ",$A22," | Kayıp: ",TEXT($K22,"₺ #,##0")))</f>
        <v/>
      </c>
      <c r="N22" s="112" t="inlineStr">
        <is>
          <t>UR-05</t>
        </is>
      </c>
      <c r="O22" s="112" t="inlineStr">
        <is>
          <t>Çiğ Köfte Menü</t>
        </is>
      </c>
      <c r="P22" s="112" t="inlineStr">
        <is>
          <t>Domates</t>
        </is>
      </c>
      <c r="Q22" s="112" t="inlineStr">
        <is>
          <t>kg</t>
        </is>
      </c>
      <c r="R22" s="113" t="n">
        <v>0.04</v>
      </c>
      <c r="S22" s="114" t="n">
        <v>35</v>
      </c>
      <c r="T22" s="115">
        <f>IF($R22="","",$R22*$S22)</f>
        <v/>
      </c>
      <c r="U22" s="122">
        <f>IF($N22="","",IFERROR(INDEX(tblOrnekUrun[Satış Adedi (Adet)],MATCH($N22,tblOrnekUrun[Ürün Kodu],0)),0))</f>
        <v/>
      </c>
      <c r="V22" s="122">
        <f>IF($R22="","",$R22*$U22)</f>
        <v/>
      </c>
      <c r="W22" s="116">
        <f>IF($O22="","",CONCATENATE("Ürün: ",$O22))</f>
        <v/>
      </c>
      <c r="Y22" s="117" t="n"/>
      <c r="Z22" s="117" t="n"/>
      <c r="AA22" s="118" t="n"/>
      <c r="AB22" s="119" t="n"/>
      <c r="AC22" s="115">
        <f>IF($Y22="","",SUMIFS(tblOrnekRecete[Tutar (TL)],tblOrnekRecete[Ürün Kodu],$Y22))</f>
        <v/>
      </c>
      <c r="AD22" s="115">
        <f>IF($Y22="","",$AA22*$AB22)</f>
        <v/>
      </c>
      <c r="AE22" s="115">
        <f>IF($Y22="","",$AD22-$AC22)</f>
        <v/>
      </c>
      <c r="AF22" s="116">
        <f>IF($Z22="","",CONCATENATE("Ürün: ",$Z22))</f>
        <v/>
      </c>
    </row>
    <row r="23" ht="15" customHeight="1" s="72">
      <c r="A23" s="117" t="n"/>
      <c r="B23" s="117" t="n"/>
      <c r="C23" s="118" t="n"/>
      <c r="D23" s="118" t="n"/>
      <c r="E23" s="118" t="n"/>
      <c r="F23" s="122">
        <f>IF($A23="","",MAX(0,$C23+$D23-$E23))</f>
        <v/>
      </c>
      <c r="G23" s="119" t="n"/>
      <c r="H23" s="122">
        <f>IF($A23="","",SUMIFS(tblOrnekRecete[Teorik Tüketim],tblOrnekRecete[Hammadde],$A23))</f>
        <v/>
      </c>
      <c r="I23" s="122">
        <f>IF($A23="","",MAX(0,$F23-$H23))</f>
        <v/>
      </c>
      <c r="J23" s="124">
        <f>IF($A23="","",IF($H23=0,0,$I23/$H23))</f>
        <v/>
      </c>
      <c r="K23" s="115">
        <f>IF($A23="","",$I23*$G23)</f>
        <v/>
      </c>
      <c r="L23" s="116">
        <f>IF($A23="","",CONCATENATE("Hammadde: ",$A23," | Kayıp: ",TEXT($K23,"₺ #,##0")))</f>
        <v/>
      </c>
      <c r="N23" s="112" t="inlineStr">
        <is>
          <t>UR-05</t>
        </is>
      </c>
      <c r="O23" s="112" t="inlineStr">
        <is>
          <t>Çiğ Köfte Menü</t>
        </is>
      </c>
      <c r="P23" s="112" t="inlineStr">
        <is>
          <t>Salça</t>
        </is>
      </c>
      <c r="Q23" s="112" t="inlineStr">
        <is>
          <t>kg</t>
        </is>
      </c>
      <c r="R23" s="113" t="n">
        <v>0.02</v>
      </c>
      <c r="S23" s="114" t="n">
        <v>60</v>
      </c>
      <c r="T23" s="115">
        <f>IF($R23="","",$R23*$S23)</f>
        <v/>
      </c>
      <c r="U23" s="122">
        <f>IF($N23="","",IFERROR(INDEX(tblOrnekUrun[Satış Adedi (Adet)],MATCH($N23,tblOrnekUrun[Ürün Kodu],0)),0))</f>
        <v/>
      </c>
      <c r="V23" s="122">
        <f>IF($R23="","",$R23*$U23)</f>
        <v/>
      </c>
      <c r="W23" s="116">
        <f>IF($O23="","",CONCATENATE("Ürün: ",$O23))</f>
        <v/>
      </c>
      <c r="Y23" s="117" t="n"/>
      <c r="Z23" s="117" t="n"/>
      <c r="AA23" s="118" t="n"/>
      <c r="AB23" s="119" t="n"/>
      <c r="AC23" s="115">
        <f>IF($Y23="","",SUMIFS(tblOrnekRecete[Tutar (TL)],tblOrnekRecete[Ürün Kodu],$Y23))</f>
        <v/>
      </c>
      <c r="AD23" s="115">
        <f>IF($Y23="","",$AA23*$AB23)</f>
        <v/>
      </c>
      <c r="AE23" s="115">
        <f>IF($Y23="","",$AD23-$AC23)</f>
        <v/>
      </c>
      <c r="AF23" s="116">
        <f>IF($Z23="","",CONCATENATE("Ürün: ",$Z23))</f>
        <v/>
      </c>
    </row>
    <row r="24" ht="15" customHeight="1" s="72">
      <c r="A24" s="117" t="n"/>
      <c r="B24" s="117" t="n"/>
      <c r="C24" s="118" t="n"/>
      <c r="D24" s="118" t="n"/>
      <c r="E24" s="118" t="n"/>
      <c r="F24" s="122">
        <f>IF($A24="","",MAX(0,$C24+$D24-$E24))</f>
        <v/>
      </c>
      <c r="G24" s="119" t="n"/>
      <c r="H24" s="122">
        <f>IF($A24="","",SUMIFS(tblOrnekRecete[Teorik Tüketim],tblOrnekRecete[Hammadde],$A24))</f>
        <v/>
      </c>
      <c r="I24" s="122">
        <f>IF($A24="","",MAX(0,$F24-$H24))</f>
        <v/>
      </c>
      <c r="J24" s="124">
        <f>IF($A24="","",IF($H24=0,0,$I24/$H24))</f>
        <v/>
      </c>
      <c r="K24" s="115">
        <f>IF($A24="","",$I24*$G24)</f>
        <v/>
      </c>
      <c r="L24" s="116">
        <f>IF($A24="","",CONCATENATE("Hammadde: ",$A24," | Kayıp: ",TEXT($K24,"₺ #,##0")))</f>
        <v/>
      </c>
      <c r="N24" s="112" t="inlineStr">
        <is>
          <t>UR-06</t>
        </is>
      </c>
      <c r="O24" s="112" t="inlineStr">
        <is>
          <t>İskender</t>
        </is>
      </c>
      <c r="P24" s="112" t="inlineStr">
        <is>
          <t>Et</t>
        </is>
      </c>
      <c r="Q24" s="112" t="inlineStr">
        <is>
          <t>kg</t>
        </is>
      </c>
      <c r="R24" s="113" t="n">
        <v>0.18</v>
      </c>
      <c r="S24" s="114" t="n">
        <v>320</v>
      </c>
      <c r="T24" s="115">
        <f>IF($R24="","",$R24*$S24)</f>
        <v/>
      </c>
      <c r="U24" s="122">
        <f>IF($N24="","",IFERROR(INDEX(tblOrnekUrun[Satış Adedi (Adet)],MATCH($N24,tblOrnekUrun[Ürün Kodu],0)),0))</f>
        <v/>
      </c>
      <c r="V24" s="122">
        <f>IF($R24="","",$R24*$U24)</f>
        <v/>
      </c>
      <c r="W24" s="116">
        <f>IF($O24="","",CONCATENATE("Ürün: ",$O24))</f>
        <v/>
      </c>
      <c r="Y24" s="117" t="n"/>
      <c r="Z24" s="117" t="n"/>
      <c r="AA24" s="118" t="n"/>
      <c r="AB24" s="119" t="n"/>
      <c r="AC24" s="115">
        <f>IF($Y24="","",SUMIFS(tblOrnekRecete[Tutar (TL)],tblOrnekRecete[Ürün Kodu],$Y24))</f>
        <v/>
      </c>
      <c r="AD24" s="115">
        <f>IF($Y24="","",$AA24*$AB24)</f>
        <v/>
      </c>
      <c r="AE24" s="115">
        <f>IF($Y24="","",$AD24-$AC24)</f>
        <v/>
      </c>
      <c r="AF24" s="116">
        <f>IF($Z24="","",CONCATENATE("Ürün: ",$Z24))</f>
        <v/>
      </c>
    </row>
    <row r="25" ht="15" customHeight="1" s="72">
      <c r="A25" s="117" t="n"/>
      <c r="B25" s="117" t="n"/>
      <c r="C25" s="118" t="n"/>
      <c r="D25" s="118" t="n"/>
      <c r="E25" s="118" t="n"/>
      <c r="F25" s="122">
        <f>IF($A25="","",MAX(0,$C25+$D25-$E25))</f>
        <v/>
      </c>
      <c r="G25" s="119" t="n"/>
      <c r="H25" s="122">
        <f>IF($A25="","",SUMIFS(tblOrnekRecete[Teorik Tüketim],tblOrnekRecete[Hammadde],$A25))</f>
        <v/>
      </c>
      <c r="I25" s="122">
        <f>IF($A25="","",MAX(0,$F25-$H25))</f>
        <v/>
      </c>
      <c r="J25" s="124">
        <f>IF($A25="","",IF($H25=0,0,$I25/$H25))</f>
        <v/>
      </c>
      <c r="K25" s="115">
        <f>IF($A25="","",$I25*$G25)</f>
        <v/>
      </c>
      <c r="L25" s="116">
        <f>IF($A25="","",CONCATENATE("Hammadde: ",$A25," | Kayıp: ",TEXT($K25,"₺ #,##0")))</f>
        <v/>
      </c>
      <c r="N25" s="112" t="inlineStr">
        <is>
          <t>UR-06</t>
        </is>
      </c>
      <c r="O25" s="112" t="inlineStr">
        <is>
          <t>İskender</t>
        </is>
      </c>
      <c r="P25" s="112" t="inlineStr">
        <is>
          <t>Tereyağı</t>
        </is>
      </c>
      <c r="Q25" s="112" t="inlineStr">
        <is>
          <t>kg</t>
        </is>
      </c>
      <c r="R25" s="113" t="n">
        <v>0.03</v>
      </c>
      <c r="S25" s="114" t="n">
        <v>120</v>
      </c>
      <c r="T25" s="115">
        <f>IF($R25="","",$R25*$S25)</f>
        <v/>
      </c>
      <c r="U25" s="122">
        <f>IF($N25="","",IFERROR(INDEX(tblOrnekUrun[Satış Adedi (Adet)],MATCH($N25,tblOrnekUrun[Ürün Kodu],0)),0))</f>
        <v/>
      </c>
      <c r="V25" s="122">
        <f>IF($R25="","",$R25*$U25)</f>
        <v/>
      </c>
      <c r="W25" s="116">
        <f>IF($O25="","",CONCATENATE("Ürün: ",$O25))</f>
        <v/>
      </c>
      <c r="Y25" s="117" t="n"/>
      <c r="Z25" s="117" t="n"/>
      <c r="AA25" s="118" t="n"/>
      <c r="AB25" s="119" t="n"/>
      <c r="AC25" s="115">
        <f>IF($Y25="","",SUMIFS(tblOrnekRecete[Tutar (TL)],tblOrnekRecete[Ürün Kodu],$Y25))</f>
        <v/>
      </c>
      <c r="AD25" s="115">
        <f>IF($Y25="","",$AA25*$AB25)</f>
        <v/>
      </c>
      <c r="AE25" s="115">
        <f>IF($Y25="","",$AD25-$AC25)</f>
        <v/>
      </c>
      <c r="AF25" s="116">
        <f>IF($Z25="","",CONCATENATE("Ürün: ",$Z25))</f>
        <v/>
      </c>
    </row>
    <row r="26" ht="15" customHeight="1" s="72">
      <c r="A26" s="117" t="n"/>
      <c r="B26" s="117" t="n"/>
      <c r="C26" s="118" t="n"/>
      <c r="D26" s="118" t="n"/>
      <c r="E26" s="118" t="n"/>
      <c r="F26" s="122">
        <f>IF($A26="","",MAX(0,$C26+$D26-$E26))</f>
        <v/>
      </c>
      <c r="G26" s="119" t="n"/>
      <c r="H26" s="122">
        <f>IF($A26="","",SUMIFS(tblOrnekRecete[Teorik Tüketim],tblOrnekRecete[Hammadde],$A26))</f>
        <v/>
      </c>
      <c r="I26" s="122">
        <f>IF($A26="","",MAX(0,$F26-$H26))</f>
        <v/>
      </c>
      <c r="J26" s="124">
        <f>IF($A26="","",IF($H26=0,0,$I26/$H26))</f>
        <v/>
      </c>
      <c r="K26" s="115">
        <f>IF($A26="","",$I26*$G26)</f>
        <v/>
      </c>
      <c r="L26" s="116">
        <f>IF($A26="","",CONCATENATE("Hammadde: ",$A26," | Kayıp: ",TEXT($K26,"₺ #,##0")))</f>
        <v/>
      </c>
      <c r="N26" s="112" t="inlineStr">
        <is>
          <t>UR-06</t>
        </is>
      </c>
      <c r="O26" s="112" t="inlineStr">
        <is>
          <t>İskender</t>
        </is>
      </c>
      <c r="P26" s="112" t="inlineStr">
        <is>
          <t>Patates</t>
        </is>
      </c>
      <c r="Q26" s="112" t="inlineStr">
        <is>
          <t>kg</t>
        </is>
      </c>
      <c r="R26" s="113" t="n">
        <v>0.15</v>
      </c>
      <c r="S26" s="114" t="n">
        <v>22</v>
      </c>
      <c r="T26" s="115">
        <f>IF($R26="","",$R26*$S26)</f>
        <v/>
      </c>
      <c r="U26" s="122">
        <f>IF($N26="","",IFERROR(INDEX(tblOrnekUrun[Satış Adedi (Adet)],MATCH($N26,tblOrnekUrun[Ürün Kodu],0)),0))</f>
        <v/>
      </c>
      <c r="V26" s="122">
        <f>IF($R26="","",$R26*$U26)</f>
        <v/>
      </c>
      <c r="W26" s="116">
        <f>IF($O26="","",CONCATENATE("Ürün: ",$O26))</f>
        <v/>
      </c>
      <c r="Y26" s="117" t="n"/>
      <c r="Z26" s="117" t="n"/>
      <c r="AA26" s="118" t="n"/>
      <c r="AB26" s="119" t="n"/>
      <c r="AC26" s="115">
        <f>IF($Y26="","",SUMIFS(tblOrnekRecete[Tutar (TL)],tblOrnekRecete[Ürün Kodu],$Y26))</f>
        <v/>
      </c>
      <c r="AD26" s="115">
        <f>IF($Y26="","",$AA26*$AB26)</f>
        <v/>
      </c>
      <c r="AE26" s="115">
        <f>IF($Y26="","",$AD26-$AC26)</f>
        <v/>
      </c>
      <c r="AF26" s="116">
        <f>IF($Z26="","",CONCATENATE("Ürün: ",$Z26))</f>
        <v/>
      </c>
    </row>
    <row r="27" ht="15" customHeight="1" s="72">
      <c r="A27" s="117" t="n"/>
      <c r="B27" s="117" t="n"/>
      <c r="C27" s="118" t="n"/>
      <c r="D27" s="118" t="n"/>
      <c r="E27" s="118" t="n"/>
      <c r="F27" s="122">
        <f>IF($A27="","",MAX(0,$C27+$D27-$E27))</f>
        <v/>
      </c>
      <c r="G27" s="119" t="n"/>
      <c r="H27" s="122">
        <f>IF($A27="","",SUMIFS(tblOrnekRecete[Teorik Tüketim],tblOrnekRecete[Hammadde],$A27))</f>
        <v/>
      </c>
      <c r="I27" s="122">
        <f>IF($A27="","",MAX(0,$F27-$H27))</f>
        <v/>
      </c>
      <c r="J27" s="124">
        <f>IF($A27="","",IF($H27=0,0,$I27/$H27))</f>
        <v/>
      </c>
      <c r="K27" s="115">
        <f>IF($A27="","",$I27*$G27)</f>
        <v/>
      </c>
      <c r="L27" s="116">
        <f>IF($A27="","",CONCATENATE("Hammadde: ",$A27," | Kayıp: ",TEXT($K27,"₺ #,##0")))</f>
        <v/>
      </c>
      <c r="N27" s="117" t="n"/>
      <c r="O27" s="117" t="n"/>
      <c r="P27" s="117" t="n"/>
      <c r="Q27" s="117" t="n"/>
      <c r="R27" s="118" t="n"/>
      <c r="S27" s="119" t="n"/>
      <c r="T27" s="115">
        <f>IF($R27="","",$R27*$S27)</f>
        <v/>
      </c>
      <c r="U27" s="122">
        <f>IF($N27="","",IFERROR(INDEX(tblOrnekUrun[Satış Adedi (Adet)],MATCH($N27,tblOrnekUrun[Ürün Kodu],0)),0))</f>
        <v/>
      </c>
      <c r="V27" s="122">
        <f>IF($R27="","",$R27*$U27)</f>
        <v/>
      </c>
      <c r="W27" s="116">
        <f>IF($O27="","",CONCATENATE("Ürün: ",$O27))</f>
        <v/>
      </c>
      <c r="Y27" s="117" t="n"/>
      <c r="Z27" s="117" t="n"/>
      <c r="AA27" s="118" t="n"/>
      <c r="AB27" s="119" t="n"/>
      <c r="AC27" s="115">
        <f>IF($Y27="","",SUMIFS(tblOrnekRecete[Tutar (TL)],tblOrnekRecete[Ürün Kodu],$Y27))</f>
        <v/>
      </c>
      <c r="AD27" s="115">
        <f>IF($Y27="","",$AA27*$AB27)</f>
        <v/>
      </c>
      <c r="AE27" s="115">
        <f>IF($Y27="","",$AD27-$AC27)</f>
        <v/>
      </c>
      <c r="AF27" s="116">
        <f>IF($Z27="","",CONCATENATE("Ürün: ",$Z27))</f>
        <v/>
      </c>
    </row>
    <row r="28" ht="15" customHeight="1" s="72">
      <c r="A28" s="117" t="n"/>
      <c r="B28" s="117" t="n"/>
      <c r="C28" s="118" t="n"/>
      <c r="D28" s="118" t="n"/>
      <c r="E28" s="118" t="n"/>
      <c r="F28" s="122">
        <f>IF($A28="","",MAX(0,$C28+$D28-$E28))</f>
        <v/>
      </c>
      <c r="G28" s="119" t="n"/>
      <c r="H28" s="122">
        <f>IF($A28="","",SUMIFS(tblOrnekRecete[Teorik Tüketim],tblOrnekRecete[Hammadde],$A28))</f>
        <v/>
      </c>
      <c r="I28" s="122">
        <f>IF($A28="","",MAX(0,$F28-$H28))</f>
        <v/>
      </c>
      <c r="J28" s="124">
        <f>IF($A28="","",IF($H28=0,0,$I28/$H28))</f>
        <v/>
      </c>
      <c r="K28" s="115">
        <f>IF($A28="","",$I28*$G28)</f>
        <v/>
      </c>
      <c r="L28" s="116">
        <f>IF($A28="","",CONCATENATE("Hammadde: ",$A28," | Kayıp: ",TEXT($K28,"₺ #,##0")))</f>
        <v/>
      </c>
      <c r="N28" s="117" t="n"/>
      <c r="O28" s="117" t="n"/>
      <c r="P28" s="117" t="n"/>
      <c r="Q28" s="117" t="n"/>
      <c r="R28" s="118" t="n"/>
      <c r="S28" s="119" t="n"/>
      <c r="T28" s="115">
        <f>IF($R28="","",$R28*$S28)</f>
        <v/>
      </c>
      <c r="U28" s="122">
        <f>IF($N28="","",IFERROR(INDEX(tblOrnekUrun[Satış Adedi (Adet)],MATCH($N28,tblOrnekUrun[Ürün Kodu],0)),0))</f>
        <v/>
      </c>
      <c r="V28" s="122">
        <f>IF($R28="","",$R28*$U28)</f>
        <v/>
      </c>
      <c r="W28" s="116">
        <f>IF($O28="","",CONCATENATE("Ürün: ",$O28))</f>
        <v/>
      </c>
      <c r="Y28" s="117" t="n"/>
      <c r="Z28" s="117" t="n"/>
      <c r="AA28" s="118" t="n"/>
      <c r="AB28" s="119" t="n"/>
      <c r="AC28" s="115">
        <f>IF($Y28="","",SUMIFS(tblOrnekRecete[Tutar (TL)],tblOrnekRecete[Ürün Kodu],$Y28))</f>
        <v/>
      </c>
      <c r="AD28" s="115">
        <f>IF($Y28="","",$AA28*$AB28)</f>
        <v/>
      </c>
      <c r="AE28" s="115">
        <f>IF($Y28="","",$AD28-$AC28)</f>
        <v/>
      </c>
      <c r="AF28" s="116">
        <f>IF($Z28="","",CONCATENATE("Ürün: ",$Z28))</f>
        <v/>
      </c>
    </row>
    <row r="29" ht="15" customHeight="1" s="72">
      <c r="A29" s="117" t="n"/>
      <c r="B29" s="117" t="n"/>
      <c r="C29" s="118" t="n"/>
      <c r="D29" s="118" t="n"/>
      <c r="E29" s="118" t="n"/>
      <c r="F29" s="122">
        <f>IF($A29="","",MAX(0,$C29+$D29-$E29))</f>
        <v/>
      </c>
      <c r="G29" s="119" t="n"/>
      <c r="H29" s="122">
        <f>IF($A29="","",SUMIFS(tblOrnekRecete[Teorik Tüketim],tblOrnekRecete[Hammadde],$A29))</f>
        <v/>
      </c>
      <c r="I29" s="122">
        <f>IF($A29="","",MAX(0,$F29-$H29))</f>
        <v/>
      </c>
      <c r="J29" s="124">
        <f>IF($A29="","",IF($H29=0,0,$I29/$H29))</f>
        <v/>
      </c>
      <c r="K29" s="115">
        <f>IF($A29="","",$I29*$G29)</f>
        <v/>
      </c>
      <c r="L29" s="116">
        <f>IF($A29="","",CONCATENATE("Hammadde: ",$A29," | Kayıp: ",TEXT($K29,"₺ #,##0")))</f>
        <v/>
      </c>
      <c r="N29" s="117" t="n"/>
      <c r="O29" s="117" t="n"/>
      <c r="P29" s="117" t="n"/>
      <c r="Q29" s="117" t="n"/>
      <c r="R29" s="118" t="n"/>
      <c r="S29" s="119" t="n"/>
      <c r="T29" s="115">
        <f>IF($R29="","",$R29*$S29)</f>
        <v/>
      </c>
      <c r="U29" s="122">
        <f>IF($N29="","",IFERROR(INDEX(tblOrnekUrun[Satış Adedi (Adet)],MATCH($N29,tblOrnekUrun[Ürün Kodu],0)),0))</f>
        <v/>
      </c>
      <c r="V29" s="122">
        <f>IF($R29="","",$R29*$U29)</f>
        <v/>
      </c>
      <c r="W29" s="116">
        <f>IF($O29="","",CONCATENATE("Ürün: ",$O29))</f>
        <v/>
      </c>
      <c r="Y29" s="117" t="n"/>
      <c r="Z29" s="117" t="n"/>
      <c r="AA29" s="118" t="n"/>
      <c r="AB29" s="119" t="n"/>
      <c r="AC29" s="115">
        <f>IF($Y29="","",SUMIFS(tblOrnekRecete[Tutar (TL)],tblOrnekRecete[Ürün Kodu],$Y29))</f>
        <v/>
      </c>
      <c r="AD29" s="115">
        <f>IF($Y29="","",$AA29*$AB29)</f>
        <v/>
      </c>
      <c r="AE29" s="115">
        <f>IF($Y29="","",$AD29-$AC29)</f>
        <v/>
      </c>
      <c r="AF29" s="116">
        <f>IF($Z29="","",CONCATENATE("Ürün: ",$Z29))</f>
        <v/>
      </c>
    </row>
    <row r="30" ht="15" customHeight="1" s="72">
      <c r="A30" s="117" t="n"/>
      <c r="B30" s="117" t="n"/>
      <c r="C30" s="118" t="n"/>
      <c r="D30" s="118" t="n"/>
      <c r="E30" s="118" t="n"/>
      <c r="F30" s="122">
        <f>IF($A30="","",MAX(0,$C30+$D30-$E30))</f>
        <v/>
      </c>
      <c r="G30" s="119" t="n"/>
      <c r="H30" s="122">
        <f>IF($A30="","",SUMIFS(tblOrnekRecete[Teorik Tüketim],tblOrnekRecete[Hammadde],$A30))</f>
        <v/>
      </c>
      <c r="I30" s="122">
        <f>IF($A30="","",MAX(0,$F30-$H30))</f>
        <v/>
      </c>
      <c r="J30" s="124">
        <f>IF($A30="","",IF($H30=0,0,$I30/$H30))</f>
        <v/>
      </c>
      <c r="K30" s="115">
        <f>IF($A30="","",$I30*$G30)</f>
        <v/>
      </c>
      <c r="L30" s="116">
        <f>IF($A30="","",CONCATENATE("Hammadde: ",$A30," | Kayıp: ",TEXT($K30,"₺ #,##0")))</f>
        <v/>
      </c>
      <c r="N30" s="117" t="n"/>
      <c r="O30" s="117" t="n"/>
      <c r="P30" s="117" t="n"/>
      <c r="Q30" s="117" t="n"/>
      <c r="R30" s="118" t="n"/>
      <c r="S30" s="119" t="n"/>
      <c r="T30" s="115">
        <f>IF($R30="","",$R30*$S30)</f>
        <v/>
      </c>
      <c r="U30" s="122">
        <f>IF($N30="","",IFERROR(INDEX(tblOrnekUrun[Satış Adedi (Adet)],MATCH($N30,tblOrnekUrun[Ürün Kodu],0)),0))</f>
        <v/>
      </c>
      <c r="V30" s="122">
        <f>IF($R30="","",$R30*$U30)</f>
        <v/>
      </c>
      <c r="W30" s="116">
        <f>IF($O30="","",CONCATENATE("Ürün: ",$O30))</f>
        <v/>
      </c>
      <c r="Y30" s="117" t="n"/>
      <c r="Z30" s="117" t="n"/>
      <c r="AA30" s="118" t="n"/>
      <c r="AB30" s="119" t="n"/>
      <c r="AC30" s="115">
        <f>IF($Y30="","",SUMIFS(tblOrnekRecete[Tutar (TL)],tblOrnekRecete[Ürün Kodu],$Y30))</f>
        <v/>
      </c>
      <c r="AD30" s="115">
        <f>IF($Y30="","",$AA30*$AB30)</f>
        <v/>
      </c>
      <c r="AE30" s="115">
        <f>IF($Y30="","",$AD30-$AC30)</f>
        <v/>
      </c>
      <c r="AF30" s="116">
        <f>IF($Z30="","",CONCATENATE("Ürün: ",$Z30))</f>
        <v/>
      </c>
    </row>
    <row r="31" ht="15" customHeight="1" s="72">
      <c r="A31" s="117" t="n"/>
      <c r="B31" s="117" t="n"/>
      <c r="C31" s="118" t="n"/>
      <c r="D31" s="118" t="n"/>
      <c r="E31" s="118" t="n"/>
      <c r="F31" s="122">
        <f>IF($A31="","",MAX(0,$C31+$D31-$E31))</f>
        <v/>
      </c>
      <c r="G31" s="119" t="n"/>
      <c r="H31" s="122">
        <f>IF($A31="","",SUMIFS(tblOrnekRecete[Teorik Tüketim],tblOrnekRecete[Hammadde],$A31))</f>
        <v/>
      </c>
      <c r="I31" s="122">
        <f>IF($A31="","",MAX(0,$F31-$H31))</f>
        <v/>
      </c>
      <c r="J31" s="124">
        <f>IF($A31="","",IF($H31=0,0,$I31/$H31))</f>
        <v/>
      </c>
      <c r="K31" s="115">
        <f>IF($A31="","",$I31*$G31)</f>
        <v/>
      </c>
      <c r="L31" s="116">
        <f>IF($A31="","",CONCATENATE("Hammadde: ",$A31," | Kayıp: ",TEXT($K31,"₺ #,##0")))</f>
        <v/>
      </c>
      <c r="N31" s="117" t="n"/>
      <c r="O31" s="117" t="n"/>
      <c r="P31" s="117" t="n"/>
      <c r="Q31" s="117" t="n"/>
      <c r="R31" s="118" t="n"/>
      <c r="S31" s="119" t="n"/>
      <c r="T31" s="115">
        <f>IF($R31="","",$R31*$S31)</f>
        <v/>
      </c>
      <c r="U31" s="122">
        <f>IF($N31="","",IFERROR(INDEX(tblOrnekUrun[Satış Adedi (Adet)],MATCH($N31,tblOrnekUrun[Ürün Kodu],0)),0))</f>
        <v/>
      </c>
      <c r="V31" s="122">
        <f>IF($R31="","",$R31*$U31)</f>
        <v/>
      </c>
      <c r="W31" s="116">
        <f>IF($O31="","",CONCATENATE("Ürün: ",$O31))</f>
        <v/>
      </c>
      <c r="Y31" s="117" t="n"/>
      <c r="Z31" s="117" t="n"/>
      <c r="AA31" s="118" t="n"/>
      <c r="AB31" s="119" t="n"/>
      <c r="AC31" s="115">
        <f>IF($Y31="","",SUMIFS(tblOrnekRecete[Tutar (TL)],tblOrnekRecete[Ürün Kodu],$Y31))</f>
        <v/>
      </c>
      <c r="AD31" s="115">
        <f>IF($Y31="","",$AA31*$AB31)</f>
        <v/>
      </c>
      <c r="AE31" s="115">
        <f>IF($Y31="","",$AD31-$AC31)</f>
        <v/>
      </c>
      <c r="AF31" s="116">
        <f>IF($Z31="","",CONCATENATE("Ürün: ",$Z31))</f>
        <v/>
      </c>
    </row>
    <row r="32" ht="15" customHeight="1" s="72">
      <c r="A32" s="117" t="n"/>
      <c r="B32" s="117" t="n"/>
      <c r="C32" s="118" t="n"/>
      <c r="D32" s="118" t="n"/>
      <c r="E32" s="118" t="n"/>
      <c r="F32" s="122">
        <f>IF($A32="","",MAX(0,$C32+$D32-$E32))</f>
        <v/>
      </c>
      <c r="G32" s="119" t="n"/>
      <c r="H32" s="122">
        <f>IF($A32="","",SUMIFS(tblOrnekRecete[Teorik Tüketim],tblOrnekRecete[Hammadde],$A32))</f>
        <v/>
      </c>
      <c r="I32" s="122">
        <f>IF($A32="","",MAX(0,$F32-$H32))</f>
        <v/>
      </c>
      <c r="J32" s="124">
        <f>IF($A32="","",IF($H32=0,0,$I32/$H32))</f>
        <v/>
      </c>
      <c r="K32" s="115">
        <f>IF($A32="","",$I32*$G32)</f>
        <v/>
      </c>
      <c r="L32" s="116">
        <f>IF($A32="","",CONCATENATE("Hammadde: ",$A32," | Kayıp: ",TEXT($K32,"₺ #,##0")))</f>
        <v/>
      </c>
      <c r="N32" s="117" t="n"/>
      <c r="O32" s="117" t="n"/>
      <c r="P32" s="117" t="n"/>
      <c r="Q32" s="117" t="n"/>
      <c r="R32" s="118" t="n"/>
      <c r="S32" s="119" t="n"/>
      <c r="T32" s="115">
        <f>IF($R32="","",$R32*$S32)</f>
        <v/>
      </c>
      <c r="U32" s="122">
        <f>IF($N32="","",IFERROR(INDEX(tblOrnekUrun[Satış Adedi (Adet)],MATCH($N32,tblOrnekUrun[Ürün Kodu],0)),0))</f>
        <v/>
      </c>
      <c r="V32" s="122">
        <f>IF($R32="","",$R32*$U32)</f>
        <v/>
      </c>
      <c r="W32" s="116">
        <f>IF($O32="","",CONCATENATE("Ürün: ",$O32))</f>
        <v/>
      </c>
      <c r="Y32" s="117" t="n"/>
      <c r="Z32" s="117" t="n"/>
      <c r="AA32" s="118" t="n"/>
      <c r="AB32" s="119" t="n"/>
      <c r="AC32" s="115">
        <f>IF($Y32="","",SUMIFS(tblOrnekRecete[Tutar (TL)],tblOrnekRecete[Ürün Kodu],$Y32))</f>
        <v/>
      </c>
      <c r="AD32" s="115">
        <f>IF($Y32="","",$AA32*$AB32)</f>
        <v/>
      </c>
      <c r="AE32" s="115">
        <f>IF($Y32="","",$AD32-$AC32)</f>
        <v/>
      </c>
      <c r="AF32" s="116">
        <f>IF($Z32="","",CONCATENATE("Ürün: ",$Z32))</f>
        <v/>
      </c>
    </row>
    <row r="33" ht="15" customHeight="1" s="72">
      <c r="A33" s="117" t="n"/>
      <c r="B33" s="117" t="n"/>
      <c r="C33" s="118" t="n"/>
      <c r="D33" s="118" t="n"/>
      <c r="E33" s="118" t="n"/>
      <c r="F33" s="122">
        <f>IF($A33="","",MAX(0,$C33+$D33-$E33))</f>
        <v/>
      </c>
      <c r="G33" s="119" t="n"/>
      <c r="H33" s="122">
        <f>IF($A33="","",SUMIFS(tblOrnekRecete[Teorik Tüketim],tblOrnekRecete[Hammadde],$A33))</f>
        <v/>
      </c>
      <c r="I33" s="122">
        <f>IF($A33="","",MAX(0,$F33-$H33))</f>
        <v/>
      </c>
      <c r="J33" s="124">
        <f>IF($A33="","",IF($H33=0,0,$I33/$H33))</f>
        <v/>
      </c>
      <c r="K33" s="115">
        <f>IF($A33="","",$I33*$G33)</f>
        <v/>
      </c>
      <c r="L33" s="116">
        <f>IF($A33="","",CONCATENATE("Hammadde: ",$A33," | Kayıp: ",TEXT($K33,"₺ #,##0")))</f>
        <v/>
      </c>
      <c r="N33" s="117" t="n"/>
      <c r="O33" s="117" t="n"/>
      <c r="P33" s="117" t="n"/>
      <c r="Q33" s="117" t="n"/>
      <c r="R33" s="118" t="n"/>
      <c r="S33" s="119" t="n"/>
      <c r="T33" s="115">
        <f>IF($R33="","",$R33*$S33)</f>
        <v/>
      </c>
      <c r="U33" s="122">
        <f>IF($N33="","",IFERROR(INDEX(tblOrnekUrun[Satış Adedi (Adet)],MATCH($N33,tblOrnekUrun[Ürün Kodu],0)),0))</f>
        <v/>
      </c>
      <c r="V33" s="122">
        <f>IF($R33="","",$R33*$U33)</f>
        <v/>
      </c>
      <c r="W33" s="116">
        <f>IF($O33="","",CONCATENATE("Ürün: ",$O33))</f>
        <v/>
      </c>
      <c r="Y33" s="117" t="n"/>
      <c r="Z33" s="117" t="n"/>
      <c r="AA33" s="118" t="n"/>
      <c r="AB33" s="119" t="n"/>
      <c r="AC33" s="115">
        <f>IF($Y33="","",SUMIFS(tblOrnekRecete[Tutar (TL)],tblOrnekRecete[Ürün Kodu],$Y33))</f>
        <v/>
      </c>
      <c r="AD33" s="115">
        <f>IF($Y33="","",$AA33*$AB33)</f>
        <v/>
      </c>
      <c r="AE33" s="115">
        <f>IF($Y33="","",$AD33-$AC33)</f>
        <v/>
      </c>
      <c r="AF33" s="116">
        <f>IF($Z33="","",CONCATENATE("Ürün: ",$Z33))</f>
        <v/>
      </c>
    </row>
    <row r="34" ht="15" customHeight="1" s="72">
      <c r="A34" s="117" t="n"/>
      <c r="B34" s="117" t="n"/>
      <c r="C34" s="118" t="n"/>
      <c r="D34" s="118" t="n"/>
      <c r="E34" s="118" t="n"/>
      <c r="F34" s="122">
        <f>IF($A34="","",MAX(0,$C34+$D34-$E34))</f>
        <v/>
      </c>
      <c r="G34" s="119" t="n"/>
      <c r="H34" s="122">
        <f>IF($A34="","",SUMIFS(tblOrnekRecete[Teorik Tüketim],tblOrnekRecete[Hammadde],$A34))</f>
        <v/>
      </c>
      <c r="I34" s="122">
        <f>IF($A34="","",MAX(0,$F34-$H34))</f>
        <v/>
      </c>
      <c r="J34" s="124">
        <f>IF($A34="","",IF($H34=0,0,$I34/$H34))</f>
        <v/>
      </c>
      <c r="K34" s="115">
        <f>IF($A34="","",$I34*$G34)</f>
        <v/>
      </c>
      <c r="L34" s="116">
        <f>IF($A34="","",CONCATENATE("Hammadde: ",$A34," | Kayıp: ",TEXT($K34,"₺ #,##0")))</f>
        <v/>
      </c>
      <c r="N34" s="117" t="n"/>
      <c r="O34" s="117" t="n"/>
      <c r="P34" s="117" t="n"/>
      <c r="Q34" s="117" t="n"/>
      <c r="R34" s="118" t="n"/>
      <c r="S34" s="119" t="n"/>
      <c r="T34" s="115">
        <f>IF($R34="","",$R34*$S34)</f>
        <v/>
      </c>
      <c r="U34" s="122">
        <f>IF($N34="","",IFERROR(INDEX(tblOrnekUrun[Satış Adedi (Adet)],MATCH($N34,tblOrnekUrun[Ürün Kodu],0)),0))</f>
        <v/>
      </c>
      <c r="V34" s="122">
        <f>IF($R34="","",$R34*$U34)</f>
        <v/>
      </c>
      <c r="W34" s="116">
        <f>IF($O34="","",CONCATENATE("Ürün: ",$O34))</f>
        <v/>
      </c>
      <c r="Y34" s="117" t="n"/>
      <c r="Z34" s="117" t="n"/>
      <c r="AA34" s="118" t="n"/>
      <c r="AB34" s="119" t="n"/>
      <c r="AC34" s="115">
        <f>IF($Y34="","",SUMIFS(tblOrnekRecete[Tutar (TL)],tblOrnekRecete[Ürün Kodu],$Y34))</f>
        <v/>
      </c>
      <c r="AD34" s="115">
        <f>IF($Y34="","",$AA34*$AB34)</f>
        <v/>
      </c>
      <c r="AE34" s="115">
        <f>IF($Y34="","",$AD34-$AC34)</f>
        <v/>
      </c>
      <c r="AF34" s="116">
        <f>IF($Z34="","",CONCATENATE("Ürün: ",$Z34))</f>
        <v/>
      </c>
    </row>
    <row r="35" ht="15" customHeight="1" s="72">
      <c r="A35" s="117" t="n"/>
      <c r="B35" s="117" t="n"/>
      <c r="C35" s="118" t="n"/>
      <c r="D35" s="118" t="n"/>
      <c r="E35" s="118" t="n"/>
      <c r="F35" s="122">
        <f>IF($A35="","",MAX(0,$C35+$D35-$E35))</f>
        <v/>
      </c>
      <c r="G35" s="119" t="n"/>
      <c r="H35" s="122">
        <f>IF($A35="","",SUMIFS(tblOrnekRecete[Teorik Tüketim],tblOrnekRecete[Hammadde],$A35))</f>
        <v/>
      </c>
      <c r="I35" s="122">
        <f>IF($A35="","",MAX(0,$F35-$H35))</f>
        <v/>
      </c>
      <c r="J35" s="124">
        <f>IF($A35="","",IF($H35=0,0,$I35/$H35))</f>
        <v/>
      </c>
      <c r="K35" s="115">
        <f>IF($A35="","",$I35*$G35)</f>
        <v/>
      </c>
      <c r="L35" s="116">
        <f>IF($A35="","",CONCATENATE("Hammadde: ",$A35," | Kayıp: ",TEXT($K35,"₺ #,##0")))</f>
        <v/>
      </c>
      <c r="N35" s="117" t="n"/>
      <c r="O35" s="117" t="n"/>
      <c r="P35" s="117" t="n"/>
      <c r="Q35" s="117" t="n"/>
      <c r="R35" s="118" t="n"/>
      <c r="S35" s="119" t="n"/>
      <c r="T35" s="115">
        <f>IF($R35="","",$R35*$S35)</f>
        <v/>
      </c>
      <c r="U35" s="122">
        <f>IF($N35="","",IFERROR(INDEX(tblOrnekUrun[Satış Adedi (Adet)],MATCH($N35,tblOrnekUrun[Ürün Kodu],0)),0))</f>
        <v/>
      </c>
      <c r="V35" s="122">
        <f>IF($R35="","",$R35*$U35)</f>
        <v/>
      </c>
      <c r="W35" s="116">
        <f>IF($O35="","",CONCATENATE("Ürün: ",$O35))</f>
        <v/>
      </c>
      <c r="Y35" s="117" t="n"/>
      <c r="Z35" s="117" t="n"/>
      <c r="AA35" s="118" t="n"/>
      <c r="AB35" s="119" t="n"/>
      <c r="AC35" s="115">
        <f>IF($Y35="","",SUMIFS(tblOrnekRecete[Tutar (TL)],tblOrnekRecete[Ürün Kodu],$Y35))</f>
        <v/>
      </c>
      <c r="AD35" s="115">
        <f>IF($Y35="","",$AA35*$AB35)</f>
        <v/>
      </c>
      <c r="AE35" s="115">
        <f>IF($Y35="","",$AD35-$AC35)</f>
        <v/>
      </c>
      <c r="AF35" s="116">
        <f>IF($Z35="","",CONCATENATE("Ürün: ",$Z35))</f>
        <v/>
      </c>
    </row>
    <row r="36" ht="15" customHeight="1" s="72">
      <c r="A36" s="117" t="n"/>
      <c r="B36" s="117" t="n"/>
      <c r="C36" s="118" t="n"/>
      <c r="D36" s="118" t="n"/>
      <c r="E36" s="118" t="n"/>
      <c r="F36" s="122">
        <f>IF($A36="","",MAX(0,$C36+$D36-$E36))</f>
        <v/>
      </c>
      <c r="G36" s="119" t="n"/>
      <c r="H36" s="122">
        <f>IF($A36="","",SUMIFS(tblOrnekRecete[Teorik Tüketim],tblOrnekRecete[Hammadde],$A36))</f>
        <v/>
      </c>
      <c r="I36" s="122">
        <f>IF($A36="","",MAX(0,$F36-$H36))</f>
        <v/>
      </c>
      <c r="J36" s="124">
        <f>IF($A36="","",IF($H36=0,0,$I36/$H36))</f>
        <v/>
      </c>
      <c r="K36" s="115">
        <f>IF($A36="","",$I36*$G36)</f>
        <v/>
      </c>
      <c r="L36" s="116">
        <f>IF($A36="","",CONCATENATE("Hammadde: ",$A36," | Kayıp: ",TEXT($K36,"₺ #,##0")))</f>
        <v/>
      </c>
      <c r="N36" s="117" t="n"/>
      <c r="O36" s="117" t="n"/>
      <c r="P36" s="117" t="n"/>
      <c r="Q36" s="117" t="n"/>
      <c r="R36" s="118" t="n"/>
      <c r="S36" s="119" t="n"/>
      <c r="T36" s="115">
        <f>IF($R36="","",$R36*$S36)</f>
        <v/>
      </c>
      <c r="U36" s="122">
        <f>IF($N36="","",IFERROR(INDEX(tblOrnekUrun[Satış Adedi (Adet)],MATCH($N36,tblOrnekUrun[Ürün Kodu],0)),0))</f>
        <v/>
      </c>
      <c r="V36" s="122">
        <f>IF($R36="","",$R36*$U36)</f>
        <v/>
      </c>
      <c r="W36" s="116">
        <f>IF($O36="","",CONCATENATE("Ürün: ",$O36))</f>
        <v/>
      </c>
      <c r="Y36" s="117" t="n"/>
      <c r="Z36" s="117" t="n"/>
      <c r="AA36" s="118" t="n"/>
      <c r="AB36" s="119" t="n"/>
      <c r="AC36" s="115">
        <f>IF($Y36="","",SUMIFS(tblOrnekRecete[Tutar (TL)],tblOrnekRecete[Ürün Kodu],$Y36))</f>
        <v/>
      </c>
      <c r="AD36" s="115">
        <f>IF($Y36="","",$AA36*$AB36)</f>
        <v/>
      </c>
      <c r="AE36" s="115">
        <f>IF($Y36="","",$AD36-$AC36)</f>
        <v/>
      </c>
      <c r="AF36" s="116">
        <f>IF($Z36="","",CONCATENATE("Ürün: ",$Z36))</f>
        <v/>
      </c>
    </row>
    <row r="37" ht="15" customHeight="1" s="72">
      <c r="A37" s="117" t="n"/>
      <c r="B37" s="117" t="n"/>
      <c r="C37" s="118" t="n"/>
      <c r="D37" s="118" t="n"/>
      <c r="E37" s="118" t="n"/>
      <c r="F37" s="122">
        <f>IF($A37="","",MAX(0,$C37+$D37-$E37))</f>
        <v/>
      </c>
      <c r="G37" s="119" t="n"/>
      <c r="H37" s="122">
        <f>IF($A37="","",SUMIFS(tblOrnekRecete[Teorik Tüketim],tblOrnekRecete[Hammadde],$A37))</f>
        <v/>
      </c>
      <c r="I37" s="122">
        <f>IF($A37="","",MAX(0,$F37-$H37))</f>
        <v/>
      </c>
      <c r="J37" s="124">
        <f>IF($A37="","",IF($H37=0,0,$I37/$H37))</f>
        <v/>
      </c>
      <c r="K37" s="115">
        <f>IF($A37="","",$I37*$G37)</f>
        <v/>
      </c>
      <c r="L37" s="116">
        <f>IF($A37="","",CONCATENATE("Hammadde: ",$A37," | Kayıp: ",TEXT($K37,"₺ #,##0")))</f>
        <v/>
      </c>
      <c r="N37" s="117" t="n"/>
      <c r="O37" s="117" t="n"/>
      <c r="P37" s="117" t="n"/>
      <c r="Q37" s="117" t="n"/>
      <c r="R37" s="118" t="n"/>
      <c r="S37" s="119" t="n"/>
      <c r="T37" s="115">
        <f>IF($R37="","",$R37*$S37)</f>
        <v/>
      </c>
      <c r="U37" s="122">
        <f>IF($N37="","",IFERROR(INDEX(tblOrnekUrun[Satış Adedi (Adet)],MATCH($N37,tblOrnekUrun[Ürün Kodu],0)),0))</f>
        <v/>
      </c>
      <c r="V37" s="122">
        <f>IF($R37="","",$R37*$U37)</f>
        <v/>
      </c>
      <c r="W37" s="116">
        <f>IF($O37="","",CONCATENATE("Ürün: ",$O37))</f>
        <v/>
      </c>
      <c r="Y37" s="117" t="n"/>
      <c r="Z37" s="117" t="n"/>
      <c r="AA37" s="118" t="n"/>
      <c r="AB37" s="119" t="n"/>
      <c r="AC37" s="115">
        <f>IF($Y37="","",SUMIFS(tblOrnekRecete[Tutar (TL)],tblOrnekRecete[Ürün Kodu],$Y37))</f>
        <v/>
      </c>
      <c r="AD37" s="115">
        <f>IF($Y37="","",$AA37*$AB37)</f>
        <v/>
      </c>
      <c r="AE37" s="115">
        <f>IF($Y37="","",$AD37-$AC37)</f>
        <v/>
      </c>
      <c r="AF37" s="116">
        <f>IF($Z37="","",CONCATENATE("Ürün: ",$Z37))</f>
        <v/>
      </c>
    </row>
    <row r="38" ht="15" customHeight="1" s="72">
      <c r="A38" s="117" t="n"/>
      <c r="B38" s="117" t="n"/>
      <c r="C38" s="118" t="n"/>
      <c r="D38" s="118" t="n"/>
      <c r="E38" s="118" t="n"/>
      <c r="F38" s="122">
        <f>IF($A38="","",MAX(0,$C38+$D38-$E38))</f>
        <v/>
      </c>
      <c r="G38" s="119" t="n"/>
      <c r="H38" s="122">
        <f>IF($A38="","",SUMIFS(tblOrnekRecete[Teorik Tüketim],tblOrnekRecete[Hammadde],$A38))</f>
        <v/>
      </c>
      <c r="I38" s="122">
        <f>IF($A38="","",MAX(0,$F38-$H38))</f>
        <v/>
      </c>
      <c r="J38" s="124">
        <f>IF($A38="","",IF($H38=0,0,$I38/$H38))</f>
        <v/>
      </c>
      <c r="K38" s="115">
        <f>IF($A38="","",$I38*$G38)</f>
        <v/>
      </c>
      <c r="L38" s="116">
        <f>IF($A38="","",CONCATENATE("Hammadde: ",$A38," | Kayıp: ",TEXT($K38,"₺ #,##0")))</f>
        <v/>
      </c>
      <c r="N38" s="117" t="n"/>
      <c r="O38" s="117" t="n"/>
      <c r="P38" s="117" t="n"/>
      <c r="Q38" s="117" t="n"/>
      <c r="R38" s="118" t="n"/>
      <c r="S38" s="119" t="n"/>
      <c r="T38" s="115">
        <f>IF($R38="","",$R38*$S38)</f>
        <v/>
      </c>
      <c r="U38" s="122">
        <f>IF($N38="","",IFERROR(INDEX(tblOrnekUrun[Satış Adedi (Adet)],MATCH($N38,tblOrnekUrun[Ürün Kodu],0)),0))</f>
        <v/>
      </c>
      <c r="V38" s="122">
        <f>IF($R38="","",$R38*$U38)</f>
        <v/>
      </c>
      <c r="W38" s="116">
        <f>IF($O38="","",CONCATENATE("Ürün: ",$O38))</f>
        <v/>
      </c>
      <c r="Y38" s="117" t="n"/>
      <c r="Z38" s="117" t="n"/>
      <c r="AA38" s="118" t="n"/>
      <c r="AB38" s="119" t="n"/>
      <c r="AC38" s="115">
        <f>IF($Y38="","",SUMIFS(tblOrnekRecete[Tutar (TL)],tblOrnekRecete[Ürün Kodu],$Y38))</f>
        <v/>
      </c>
      <c r="AD38" s="115">
        <f>IF($Y38="","",$AA38*$AB38)</f>
        <v/>
      </c>
      <c r="AE38" s="115">
        <f>IF($Y38="","",$AD38-$AC38)</f>
        <v/>
      </c>
      <c r="AF38" s="116">
        <f>IF($Z38="","",CONCATENATE("Ürün: ",$Z38))</f>
        <v/>
      </c>
    </row>
    <row r="39" ht="15" customHeight="1" s="72">
      <c r="A39" s="117" t="n"/>
      <c r="B39" s="117" t="n"/>
      <c r="C39" s="118" t="n"/>
      <c r="D39" s="118" t="n"/>
      <c r="E39" s="118" t="n"/>
      <c r="F39" s="122">
        <f>IF($A39="","",MAX(0,$C39+$D39-$E39))</f>
        <v/>
      </c>
      <c r="G39" s="119" t="n"/>
      <c r="H39" s="122">
        <f>IF($A39="","",SUMIFS(tblOrnekRecete[Teorik Tüketim],tblOrnekRecete[Hammadde],$A39))</f>
        <v/>
      </c>
      <c r="I39" s="122">
        <f>IF($A39="","",MAX(0,$F39-$H39))</f>
        <v/>
      </c>
      <c r="J39" s="124">
        <f>IF($A39="","",IF($H39=0,0,$I39/$H39))</f>
        <v/>
      </c>
      <c r="K39" s="115">
        <f>IF($A39="","",$I39*$G39)</f>
        <v/>
      </c>
      <c r="L39" s="116">
        <f>IF($A39="","",CONCATENATE("Hammadde: ",$A39," | Kayıp: ",TEXT($K39,"₺ #,##0")))</f>
        <v/>
      </c>
      <c r="N39" s="117" t="n"/>
      <c r="O39" s="117" t="n"/>
      <c r="P39" s="117" t="n"/>
      <c r="Q39" s="117" t="n"/>
      <c r="R39" s="118" t="n"/>
      <c r="S39" s="119" t="n"/>
      <c r="T39" s="115">
        <f>IF($R39="","",$R39*$S39)</f>
        <v/>
      </c>
      <c r="U39" s="122">
        <f>IF($N39="","",IFERROR(INDEX(tblOrnekUrun[Satış Adedi (Adet)],MATCH($N39,tblOrnekUrun[Ürün Kodu],0)),0))</f>
        <v/>
      </c>
      <c r="V39" s="122">
        <f>IF($R39="","",$R39*$U39)</f>
        <v/>
      </c>
      <c r="W39" s="116">
        <f>IF($O39="","",CONCATENATE("Ürün: ",$O39))</f>
        <v/>
      </c>
      <c r="Y39" s="117" t="n"/>
      <c r="Z39" s="117" t="n"/>
      <c r="AA39" s="118" t="n"/>
      <c r="AB39" s="119" t="n"/>
      <c r="AC39" s="115">
        <f>IF($Y39="","",SUMIFS(tblOrnekRecete[Tutar (TL)],tblOrnekRecete[Ürün Kodu],$Y39))</f>
        <v/>
      </c>
      <c r="AD39" s="115">
        <f>IF($Y39="","",$AA39*$AB39)</f>
        <v/>
      </c>
      <c r="AE39" s="115">
        <f>IF($Y39="","",$AD39-$AC39)</f>
        <v/>
      </c>
      <c r="AF39" s="116">
        <f>IF($Z39="","",CONCATENATE("Ürün: ",$Z39))</f>
        <v/>
      </c>
    </row>
    <row r="40" ht="15" customHeight="1" s="72">
      <c r="A40" s="117" t="n"/>
      <c r="B40" s="117" t="n"/>
      <c r="C40" s="118" t="n"/>
      <c r="D40" s="118" t="n"/>
      <c r="E40" s="118" t="n"/>
      <c r="F40" s="122">
        <f>IF($A40="","",MAX(0,$C40+$D40-$E40))</f>
        <v/>
      </c>
      <c r="G40" s="119" t="n"/>
      <c r="H40" s="122">
        <f>IF($A40="","",SUMIFS(tblOrnekRecete[Teorik Tüketim],tblOrnekRecete[Hammadde],$A40))</f>
        <v/>
      </c>
      <c r="I40" s="122">
        <f>IF($A40="","",MAX(0,$F40-$H40))</f>
        <v/>
      </c>
      <c r="J40" s="124">
        <f>IF($A40="","",IF($H40=0,0,$I40/$H40))</f>
        <v/>
      </c>
      <c r="K40" s="115">
        <f>IF($A40="","",$I40*$G40)</f>
        <v/>
      </c>
      <c r="L40" s="116">
        <f>IF($A40="","",CONCATENATE("Hammadde: ",$A40," | Kayıp: ",TEXT($K40,"₺ #,##0")))</f>
        <v/>
      </c>
      <c r="N40" s="117" t="n"/>
      <c r="O40" s="117" t="n"/>
      <c r="P40" s="117" t="n"/>
      <c r="Q40" s="117" t="n"/>
      <c r="R40" s="118" t="n"/>
      <c r="S40" s="119" t="n"/>
      <c r="T40" s="115">
        <f>IF($R40="","",$R40*$S40)</f>
        <v/>
      </c>
      <c r="U40" s="122">
        <f>IF($N40="","",IFERROR(INDEX(tblOrnekUrun[Satış Adedi (Adet)],MATCH($N40,tblOrnekUrun[Ürün Kodu],0)),0))</f>
        <v/>
      </c>
      <c r="V40" s="122">
        <f>IF($R40="","",$R40*$U40)</f>
        <v/>
      </c>
      <c r="W40" s="116">
        <f>IF($O40="","",CONCATENATE("Ürün: ",$O40))</f>
        <v/>
      </c>
      <c r="Y40" s="117" t="n"/>
      <c r="Z40" s="117" t="n"/>
      <c r="AA40" s="118" t="n"/>
      <c r="AB40" s="119" t="n"/>
      <c r="AC40" s="115">
        <f>IF($Y40="","",SUMIFS(tblOrnekRecete[Tutar (TL)],tblOrnekRecete[Ürün Kodu],$Y40))</f>
        <v/>
      </c>
      <c r="AD40" s="115">
        <f>IF($Y40="","",$AA40*$AB40)</f>
        <v/>
      </c>
      <c r="AE40" s="115">
        <f>IF($Y40="","",$AD40-$AC40)</f>
        <v/>
      </c>
      <c r="AF40" s="116">
        <f>IF($Z40="","",CONCATENATE("Ürün: ",$Z40))</f>
        <v/>
      </c>
    </row>
    <row r="41" ht="15" customHeight="1" s="72">
      <c r="A41" s="117" t="n"/>
      <c r="B41" s="117" t="n"/>
      <c r="C41" s="118" t="n"/>
      <c r="D41" s="118" t="n"/>
      <c r="E41" s="118" t="n"/>
      <c r="F41" s="122">
        <f>IF($A41="","",MAX(0,$C41+$D41-$E41))</f>
        <v/>
      </c>
      <c r="G41" s="119" t="n"/>
      <c r="H41" s="122">
        <f>IF($A41="","",SUMIFS(tblOrnekRecete[Teorik Tüketim],tblOrnekRecete[Hammadde],$A41))</f>
        <v/>
      </c>
      <c r="I41" s="122">
        <f>IF($A41="","",MAX(0,$F41-$H41))</f>
        <v/>
      </c>
      <c r="J41" s="124">
        <f>IF($A41="","",IF($H41=0,0,$I41/$H41))</f>
        <v/>
      </c>
      <c r="K41" s="115">
        <f>IF($A41="","",$I41*$G41)</f>
        <v/>
      </c>
      <c r="L41" s="116">
        <f>IF($A41="","",CONCATENATE("Hammadde: ",$A41," | Kayıp: ",TEXT($K41,"₺ #,##0")))</f>
        <v/>
      </c>
      <c r="N41" s="117" t="n"/>
      <c r="O41" s="117" t="n"/>
      <c r="P41" s="117" t="n"/>
      <c r="Q41" s="117" t="n"/>
      <c r="R41" s="118" t="n"/>
      <c r="S41" s="119" t="n"/>
      <c r="T41" s="115">
        <f>IF($R41="","",$R41*$S41)</f>
        <v/>
      </c>
      <c r="U41" s="122">
        <f>IF($N41="","",IFERROR(INDEX(tblOrnekUrun[Satış Adedi (Adet)],MATCH($N41,tblOrnekUrun[Ürün Kodu],0)),0))</f>
        <v/>
      </c>
      <c r="V41" s="122">
        <f>IF($R41="","",$R41*$U41)</f>
        <v/>
      </c>
      <c r="W41" s="116">
        <f>IF($O41="","",CONCATENATE("Ürün: ",$O41))</f>
        <v/>
      </c>
      <c r="Y41" s="117" t="n"/>
      <c r="Z41" s="117" t="n"/>
      <c r="AA41" s="118" t="n"/>
      <c r="AB41" s="119" t="n"/>
      <c r="AC41" s="115">
        <f>IF($Y41="","",SUMIFS(tblOrnekRecete[Tutar (TL)],tblOrnekRecete[Ürün Kodu],$Y41))</f>
        <v/>
      </c>
      <c r="AD41" s="115">
        <f>IF($Y41="","",$AA41*$AB41)</f>
        <v/>
      </c>
      <c r="AE41" s="115">
        <f>IF($Y41="","",$AD41-$AC41)</f>
        <v/>
      </c>
      <c r="AF41" s="116">
        <f>IF($Z41="","",CONCATENATE("Ürün: ",$Z41))</f>
        <v/>
      </c>
    </row>
    <row r="42" ht="15" customHeight="1" s="72">
      <c r="A42" s="117" t="n"/>
      <c r="B42" s="117" t="n"/>
      <c r="C42" s="118" t="n"/>
      <c r="D42" s="118" t="n"/>
      <c r="E42" s="118" t="n"/>
      <c r="F42" s="122">
        <f>IF($A42="","",MAX(0,$C42+$D42-$E42))</f>
        <v/>
      </c>
      <c r="G42" s="119" t="n"/>
      <c r="H42" s="122">
        <f>IF($A42="","",SUMIFS(tblOrnekRecete[Teorik Tüketim],tblOrnekRecete[Hammadde],$A42))</f>
        <v/>
      </c>
      <c r="I42" s="122">
        <f>IF($A42="","",MAX(0,$F42-$H42))</f>
        <v/>
      </c>
      <c r="J42" s="124">
        <f>IF($A42="","",IF($H42=0,0,$I42/$H42))</f>
        <v/>
      </c>
      <c r="K42" s="115">
        <f>IF($A42="","",$I42*$G42)</f>
        <v/>
      </c>
      <c r="L42" s="116">
        <f>IF($A42="","",CONCATENATE("Hammadde: ",$A42," | Kayıp: ",TEXT($K42,"₺ #,##0")))</f>
        <v/>
      </c>
      <c r="N42" s="117" t="n"/>
      <c r="O42" s="117" t="n"/>
      <c r="P42" s="117" t="n"/>
      <c r="Q42" s="117" t="n"/>
      <c r="R42" s="118" t="n"/>
      <c r="S42" s="119" t="n"/>
      <c r="T42" s="115">
        <f>IF($R42="","",$R42*$S42)</f>
        <v/>
      </c>
      <c r="U42" s="122">
        <f>IF($N42="","",IFERROR(INDEX(tblOrnekUrun[Satış Adedi (Adet)],MATCH($N42,tblOrnekUrun[Ürün Kodu],0)),0))</f>
        <v/>
      </c>
      <c r="V42" s="122">
        <f>IF($R42="","",$R42*$U42)</f>
        <v/>
      </c>
      <c r="W42" s="116">
        <f>IF($O42="","",CONCATENATE("Ürün: ",$O42))</f>
        <v/>
      </c>
      <c r="Y42" s="117" t="n"/>
      <c r="Z42" s="117" t="n"/>
      <c r="AA42" s="118" t="n"/>
      <c r="AB42" s="119" t="n"/>
      <c r="AC42" s="115">
        <f>IF($Y42="","",SUMIFS(tblOrnekRecete[Tutar (TL)],tblOrnekRecete[Ürün Kodu],$Y42))</f>
        <v/>
      </c>
      <c r="AD42" s="115">
        <f>IF($Y42="","",$AA42*$AB42)</f>
        <v/>
      </c>
      <c r="AE42" s="115">
        <f>IF($Y42="","",$AD42-$AC42)</f>
        <v/>
      </c>
      <c r="AF42" s="116">
        <f>IF($Z42="","",CONCATENATE("Ürün: ",$Z42))</f>
        <v/>
      </c>
    </row>
    <row r="43" ht="15" customHeight="1" s="72">
      <c r="A43" s="117" t="n"/>
      <c r="B43" s="117" t="n"/>
      <c r="C43" s="118" t="n"/>
      <c r="D43" s="118" t="n"/>
      <c r="E43" s="118" t="n"/>
      <c r="F43" s="122">
        <f>IF($A43="","",MAX(0,$C43+$D43-$E43))</f>
        <v/>
      </c>
      <c r="G43" s="119" t="n"/>
      <c r="H43" s="122">
        <f>IF($A43="","",SUMIFS(tblOrnekRecete[Teorik Tüketim],tblOrnekRecete[Hammadde],$A43))</f>
        <v/>
      </c>
      <c r="I43" s="122">
        <f>IF($A43="","",MAX(0,$F43-$H43))</f>
        <v/>
      </c>
      <c r="J43" s="124">
        <f>IF($A43="","",IF($H43=0,0,$I43/$H43))</f>
        <v/>
      </c>
      <c r="K43" s="115">
        <f>IF($A43="","",$I43*$G43)</f>
        <v/>
      </c>
      <c r="L43" s="116">
        <f>IF($A43="","",CONCATENATE("Hammadde: ",$A43," | Kayıp: ",TEXT($K43,"₺ #,##0")))</f>
        <v/>
      </c>
      <c r="N43" s="117" t="n"/>
      <c r="O43" s="117" t="n"/>
      <c r="P43" s="117" t="n"/>
      <c r="Q43" s="117" t="n"/>
      <c r="R43" s="118" t="n"/>
      <c r="S43" s="119" t="n"/>
      <c r="T43" s="115">
        <f>IF($R43="","",$R43*$S43)</f>
        <v/>
      </c>
      <c r="U43" s="122">
        <f>IF($N43="","",IFERROR(INDEX(tblOrnekUrun[Satış Adedi (Adet)],MATCH($N43,tblOrnekUrun[Ürün Kodu],0)),0))</f>
        <v/>
      </c>
      <c r="V43" s="122">
        <f>IF($R43="","",$R43*$U43)</f>
        <v/>
      </c>
      <c r="W43" s="116">
        <f>IF($O43="","",CONCATENATE("Ürün: ",$O43))</f>
        <v/>
      </c>
      <c r="Y43" s="117" t="n"/>
      <c r="Z43" s="117" t="n"/>
      <c r="AA43" s="118" t="n"/>
      <c r="AB43" s="119" t="n"/>
      <c r="AC43" s="115">
        <f>IF($Y43="","",SUMIFS(tblOrnekRecete[Tutar (TL)],tblOrnekRecete[Ürün Kodu],$Y43))</f>
        <v/>
      </c>
      <c r="AD43" s="115">
        <f>IF($Y43="","",$AA43*$AB43)</f>
        <v/>
      </c>
      <c r="AE43" s="115">
        <f>IF($Y43="","",$AD43-$AC43)</f>
        <v/>
      </c>
      <c r="AF43" s="116">
        <f>IF($Z43="","",CONCATENATE("Ürün: ",$Z43))</f>
        <v/>
      </c>
    </row>
    <row r="44" ht="15" customHeight="1" s="72">
      <c r="A44" s="117" t="n"/>
      <c r="B44" s="117" t="n"/>
      <c r="C44" s="118" t="n"/>
      <c r="D44" s="118" t="n"/>
      <c r="E44" s="118" t="n"/>
      <c r="F44" s="122">
        <f>IF($A44="","",MAX(0,$C44+$D44-$E44))</f>
        <v/>
      </c>
      <c r="G44" s="119" t="n"/>
      <c r="H44" s="122">
        <f>IF($A44="","",SUMIFS(tblOrnekRecete[Teorik Tüketim],tblOrnekRecete[Hammadde],$A44))</f>
        <v/>
      </c>
      <c r="I44" s="122">
        <f>IF($A44="","",MAX(0,$F44-$H44))</f>
        <v/>
      </c>
      <c r="J44" s="124">
        <f>IF($A44="","",IF($H44=0,0,$I44/$H44))</f>
        <v/>
      </c>
      <c r="K44" s="115">
        <f>IF($A44="","",$I44*$G44)</f>
        <v/>
      </c>
      <c r="L44" s="116">
        <f>IF($A44="","",CONCATENATE("Hammadde: ",$A44," | Kayıp: ",TEXT($K44,"₺ #,##0")))</f>
        <v/>
      </c>
      <c r="N44" s="117" t="n"/>
      <c r="O44" s="117" t="n"/>
      <c r="P44" s="117" t="n"/>
      <c r="Q44" s="117" t="n"/>
      <c r="R44" s="118" t="n"/>
      <c r="S44" s="119" t="n"/>
      <c r="T44" s="115">
        <f>IF($R44="","",$R44*$S44)</f>
        <v/>
      </c>
      <c r="U44" s="122">
        <f>IF($N44="","",IFERROR(INDEX(tblOrnekUrun[Satış Adedi (Adet)],MATCH($N44,tblOrnekUrun[Ürün Kodu],0)),0))</f>
        <v/>
      </c>
      <c r="V44" s="122">
        <f>IF($R44="","",$R44*$U44)</f>
        <v/>
      </c>
      <c r="W44" s="116">
        <f>IF($O44="","",CONCATENATE("Ürün: ",$O44))</f>
        <v/>
      </c>
      <c r="Y44" s="117" t="n"/>
      <c r="Z44" s="117" t="n"/>
      <c r="AA44" s="118" t="n"/>
      <c r="AB44" s="119" t="n"/>
      <c r="AC44" s="115">
        <f>IF($Y44="","",SUMIFS(tblOrnekRecete[Tutar (TL)],tblOrnekRecete[Ürün Kodu],$Y44))</f>
        <v/>
      </c>
      <c r="AD44" s="115">
        <f>IF($Y44="","",$AA44*$AB44)</f>
        <v/>
      </c>
      <c r="AE44" s="115">
        <f>IF($Y44="","",$AD44-$AC44)</f>
        <v/>
      </c>
      <c r="AF44" s="116">
        <f>IF($Z44="","",CONCATENATE("Ürün: ",$Z44))</f>
        <v/>
      </c>
    </row>
    <row r="45" ht="15" customHeight="1" s="72">
      <c r="A45" s="117" t="n"/>
      <c r="B45" s="117" t="n"/>
      <c r="C45" s="118" t="n"/>
      <c r="D45" s="118" t="n"/>
      <c r="E45" s="118" t="n"/>
      <c r="F45" s="122">
        <f>IF($A45="","",MAX(0,$C45+$D45-$E45))</f>
        <v/>
      </c>
      <c r="G45" s="119" t="n"/>
      <c r="H45" s="122">
        <f>IF($A45="","",SUMIFS(tblOrnekRecete[Teorik Tüketim],tblOrnekRecete[Hammadde],$A45))</f>
        <v/>
      </c>
      <c r="I45" s="122">
        <f>IF($A45="","",MAX(0,$F45-$H45))</f>
        <v/>
      </c>
      <c r="J45" s="124">
        <f>IF($A45="","",IF($H45=0,0,$I45/$H45))</f>
        <v/>
      </c>
      <c r="K45" s="115">
        <f>IF($A45="","",$I45*$G45)</f>
        <v/>
      </c>
      <c r="L45" s="116">
        <f>IF($A45="","",CONCATENATE("Hammadde: ",$A45," | Kayıp: ",TEXT($K45,"₺ #,##0")))</f>
        <v/>
      </c>
      <c r="N45" s="117" t="n"/>
      <c r="O45" s="117" t="n"/>
      <c r="P45" s="117" t="n"/>
      <c r="Q45" s="117" t="n"/>
      <c r="R45" s="118" t="n"/>
      <c r="S45" s="119" t="n"/>
      <c r="T45" s="115">
        <f>IF($R45="","",$R45*$S45)</f>
        <v/>
      </c>
      <c r="U45" s="122">
        <f>IF($N45="","",IFERROR(INDEX(tblOrnekUrun[Satış Adedi (Adet)],MATCH($N45,tblOrnekUrun[Ürün Kodu],0)),0))</f>
        <v/>
      </c>
      <c r="V45" s="122">
        <f>IF($R45="","",$R45*$U45)</f>
        <v/>
      </c>
      <c r="W45" s="116">
        <f>IF($O45="","",CONCATENATE("Ürün: ",$O45))</f>
        <v/>
      </c>
      <c r="Y45" s="117" t="n"/>
      <c r="Z45" s="117" t="n"/>
      <c r="AA45" s="118" t="n"/>
      <c r="AB45" s="119" t="n"/>
      <c r="AC45" s="115">
        <f>IF($Y45="","",SUMIFS(tblOrnekRecete[Tutar (TL)],tblOrnekRecete[Ürün Kodu],$Y45))</f>
        <v/>
      </c>
      <c r="AD45" s="115">
        <f>IF($Y45="","",$AA45*$AB45)</f>
        <v/>
      </c>
      <c r="AE45" s="115">
        <f>IF($Y45="","",$AD45-$AC45)</f>
        <v/>
      </c>
      <c r="AF45" s="116">
        <f>IF($Z45="","",CONCATENATE("Ürün: ",$Z45))</f>
        <v/>
      </c>
    </row>
    <row r="46" ht="15" customHeight="1" s="72">
      <c r="A46" s="117" t="n"/>
      <c r="B46" s="117" t="n"/>
      <c r="C46" s="118" t="n"/>
      <c r="D46" s="118" t="n"/>
      <c r="E46" s="118" t="n"/>
      <c r="F46" s="122">
        <f>IF($A46="","",MAX(0,$C46+$D46-$E46))</f>
        <v/>
      </c>
      <c r="G46" s="119" t="n"/>
      <c r="H46" s="122">
        <f>IF($A46="","",SUMIFS(tblOrnekRecete[Teorik Tüketim],tblOrnekRecete[Hammadde],$A46))</f>
        <v/>
      </c>
      <c r="I46" s="122">
        <f>IF($A46="","",MAX(0,$F46-$H46))</f>
        <v/>
      </c>
      <c r="J46" s="124">
        <f>IF($A46="","",IF($H46=0,0,$I46/$H46))</f>
        <v/>
      </c>
      <c r="K46" s="115">
        <f>IF($A46="","",$I46*$G46)</f>
        <v/>
      </c>
      <c r="L46" s="116">
        <f>IF($A46="","",CONCATENATE("Hammadde: ",$A46," | Kayıp: ",TEXT($K46,"₺ #,##0")))</f>
        <v/>
      </c>
      <c r="N46" s="117" t="n"/>
      <c r="O46" s="117" t="n"/>
      <c r="P46" s="117" t="n"/>
      <c r="Q46" s="117" t="n"/>
      <c r="R46" s="118" t="n"/>
      <c r="S46" s="119" t="n"/>
      <c r="T46" s="115">
        <f>IF($R46="","",$R46*$S46)</f>
        <v/>
      </c>
      <c r="U46" s="122">
        <f>IF($N46="","",IFERROR(INDEX(tblOrnekUrun[Satış Adedi (Adet)],MATCH($N46,tblOrnekUrun[Ürün Kodu],0)),0))</f>
        <v/>
      </c>
      <c r="V46" s="122">
        <f>IF($R46="","",$R46*$U46)</f>
        <v/>
      </c>
      <c r="W46" s="116">
        <f>IF($O46="","",CONCATENATE("Ürün: ",$O46))</f>
        <v/>
      </c>
      <c r="Y46" s="117" t="n"/>
      <c r="Z46" s="117" t="n"/>
      <c r="AA46" s="118" t="n"/>
      <c r="AB46" s="119" t="n"/>
      <c r="AC46" s="115">
        <f>IF($Y46="","",SUMIFS(tblOrnekRecete[Tutar (TL)],tblOrnekRecete[Ürün Kodu],$Y46))</f>
        <v/>
      </c>
      <c r="AD46" s="115">
        <f>IF($Y46="","",$AA46*$AB46)</f>
        <v/>
      </c>
      <c r="AE46" s="115">
        <f>IF($Y46="","",$AD46-$AC46)</f>
        <v/>
      </c>
      <c r="AF46" s="116">
        <f>IF($Z46="","",CONCATENATE("Ürün: ",$Z46))</f>
        <v/>
      </c>
    </row>
    <row r="47" ht="15" customHeight="1" s="72">
      <c r="A47" s="117" t="n"/>
      <c r="B47" s="117" t="n"/>
      <c r="C47" s="118" t="n"/>
      <c r="D47" s="118" t="n"/>
      <c r="E47" s="118" t="n"/>
      <c r="F47" s="122">
        <f>IF($A47="","",MAX(0,$C47+$D47-$E47))</f>
        <v/>
      </c>
      <c r="G47" s="119" t="n"/>
      <c r="H47" s="122">
        <f>IF($A47="","",SUMIFS(tblOrnekRecete[Teorik Tüketim],tblOrnekRecete[Hammadde],$A47))</f>
        <v/>
      </c>
      <c r="I47" s="122">
        <f>IF($A47="","",MAX(0,$F47-$H47))</f>
        <v/>
      </c>
      <c r="J47" s="124">
        <f>IF($A47="","",IF($H47=0,0,$I47/$H47))</f>
        <v/>
      </c>
      <c r="K47" s="115">
        <f>IF($A47="","",$I47*$G47)</f>
        <v/>
      </c>
      <c r="L47" s="116">
        <f>IF($A47="","",CONCATENATE("Hammadde: ",$A47," | Kayıp: ",TEXT($K47,"₺ #,##0")))</f>
        <v/>
      </c>
      <c r="N47" s="117" t="n"/>
      <c r="O47" s="117" t="n"/>
      <c r="P47" s="117" t="n"/>
      <c r="Q47" s="117" t="n"/>
      <c r="R47" s="118" t="n"/>
      <c r="S47" s="119" t="n"/>
      <c r="T47" s="115">
        <f>IF($R47="","",$R47*$S47)</f>
        <v/>
      </c>
      <c r="U47" s="122">
        <f>IF($N47="","",IFERROR(INDEX(tblOrnekUrun[Satış Adedi (Adet)],MATCH($N47,tblOrnekUrun[Ürün Kodu],0)),0))</f>
        <v/>
      </c>
      <c r="V47" s="122">
        <f>IF($R47="","",$R47*$U47)</f>
        <v/>
      </c>
      <c r="W47" s="116">
        <f>IF($O47="","",CONCATENATE("Ürün: ",$O47))</f>
        <v/>
      </c>
      <c r="Y47" s="117" t="n"/>
      <c r="Z47" s="117" t="n"/>
      <c r="AA47" s="118" t="n"/>
      <c r="AB47" s="119" t="n"/>
      <c r="AC47" s="115">
        <f>IF($Y47="","",SUMIFS(tblOrnekRecete[Tutar (TL)],tblOrnekRecete[Ürün Kodu],$Y47))</f>
        <v/>
      </c>
      <c r="AD47" s="115">
        <f>IF($Y47="","",$AA47*$AB47)</f>
        <v/>
      </c>
      <c r="AE47" s="115">
        <f>IF($Y47="","",$AD47-$AC47)</f>
        <v/>
      </c>
      <c r="AF47" s="116">
        <f>IF($Z47="","",CONCATENATE("Ürün: ",$Z47))</f>
        <v/>
      </c>
    </row>
    <row r="48" ht="15" customHeight="1" s="72">
      <c r="A48" s="117" t="n"/>
      <c r="B48" s="117" t="n"/>
      <c r="C48" s="118" t="n"/>
      <c r="D48" s="118" t="n"/>
      <c r="E48" s="118" t="n"/>
      <c r="F48" s="122">
        <f>IF($A48="","",MAX(0,$C48+$D48-$E48))</f>
        <v/>
      </c>
      <c r="G48" s="119" t="n"/>
      <c r="H48" s="122">
        <f>IF($A48="","",SUMIFS(tblOrnekRecete[Teorik Tüketim],tblOrnekRecete[Hammadde],$A48))</f>
        <v/>
      </c>
      <c r="I48" s="122">
        <f>IF($A48="","",MAX(0,$F48-$H48))</f>
        <v/>
      </c>
      <c r="J48" s="124">
        <f>IF($A48="","",IF($H48=0,0,$I48/$H48))</f>
        <v/>
      </c>
      <c r="K48" s="115">
        <f>IF($A48="","",$I48*$G48)</f>
        <v/>
      </c>
      <c r="L48" s="116">
        <f>IF($A48="","",CONCATENATE("Hammadde: ",$A48," | Kayıp: ",TEXT($K48,"₺ #,##0")))</f>
        <v/>
      </c>
      <c r="N48" s="117" t="n"/>
      <c r="O48" s="117" t="n"/>
      <c r="P48" s="117" t="n"/>
      <c r="Q48" s="117" t="n"/>
      <c r="R48" s="118" t="n"/>
      <c r="S48" s="119" t="n"/>
      <c r="T48" s="115">
        <f>IF($R48="","",$R48*$S48)</f>
        <v/>
      </c>
      <c r="U48" s="122">
        <f>IF($N48="","",IFERROR(INDEX(tblOrnekUrun[Satış Adedi (Adet)],MATCH($N48,tblOrnekUrun[Ürün Kodu],0)),0))</f>
        <v/>
      </c>
      <c r="V48" s="122">
        <f>IF($R48="","",$R48*$U48)</f>
        <v/>
      </c>
      <c r="W48" s="116">
        <f>IF($O48="","",CONCATENATE("Ürün: ",$O48))</f>
        <v/>
      </c>
      <c r="Y48" s="117" t="n"/>
      <c r="Z48" s="117" t="n"/>
      <c r="AA48" s="118" t="n"/>
      <c r="AB48" s="119" t="n"/>
      <c r="AC48" s="115">
        <f>IF($Y48="","",SUMIFS(tblOrnekRecete[Tutar (TL)],tblOrnekRecete[Ürün Kodu],$Y48))</f>
        <v/>
      </c>
      <c r="AD48" s="115">
        <f>IF($Y48="","",$AA48*$AB48)</f>
        <v/>
      </c>
      <c r="AE48" s="115">
        <f>IF($Y48="","",$AD48-$AC48)</f>
        <v/>
      </c>
      <c r="AF48" s="116">
        <f>IF($Z48="","",CONCATENATE("Ürün: ",$Z48))</f>
        <v/>
      </c>
    </row>
    <row r="49" ht="15" customHeight="1" s="72">
      <c r="A49" s="117" t="n"/>
      <c r="B49" s="117" t="n"/>
      <c r="C49" s="118" t="n"/>
      <c r="D49" s="118" t="n"/>
      <c r="E49" s="118" t="n"/>
      <c r="F49" s="122">
        <f>IF($A49="","",MAX(0,$C49+$D49-$E49))</f>
        <v/>
      </c>
      <c r="G49" s="119" t="n"/>
      <c r="H49" s="122">
        <f>IF($A49="","",SUMIFS(tblOrnekRecete[Teorik Tüketim],tblOrnekRecete[Hammadde],$A49))</f>
        <v/>
      </c>
      <c r="I49" s="122">
        <f>IF($A49="","",MAX(0,$F49-$H49))</f>
        <v/>
      </c>
      <c r="J49" s="124">
        <f>IF($A49="","",IF($H49=0,0,$I49/$H49))</f>
        <v/>
      </c>
      <c r="K49" s="115">
        <f>IF($A49="","",$I49*$G49)</f>
        <v/>
      </c>
      <c r="L49" s="116">
        <f>IF($A49="","",CONCATENATE("Hammadde: ",$A49," | Kayıp: ",TEXT($K49,"₺ #,##0")))</f>
        <v/>
      </c>
      <c r="N49" s="117" t="n"/>
      <c r="O49" s="117" t="n"/>
      <c r="P49" s="117" t="n"/>
      <c r="Q49" s="117" t="n"/>
      <c r="R49" s="118" t="n"/>
      <c r="S49" s="119" t="n"/>
      <c r="T49" s="115">
        <f>IF($R49="","",$R49*$S49)</f>
        <v/>
      </c>
      <c r="U49" s="122">
        <f>IF($N49="","",IFERROR(INDEX(tblOrnekUrun[Satış Adedi (Adet)],MATCH($N49,tblOrnekUrun[Ürün Kodu],0)),0))</f>
        <v/>
      </c>
      <c r="V49" s="122">
        <f>IF($R49="","",$R49*$U49)</f>
        <v/>
      </c>
      <c r="W49" s="116">
        <f>IF($O49="","",CONCATENATE("Ürün: ",$O49))</f>
        <v/>
      </c>
      <c r="Y49" s="117" t="n"/>
      <c r="Z49" s="117" t="n"/>
      <c r="AA49" s="118" t="n"/>
      <c r="AB49" s="119" t="n"/>
      <c r="AC49" s="115">
        <f>IF($Y49="","",SUMIFS(tblOrnekRecete[Tutar (TL)],tblOrnekRecete[Ürün Kodu],$Y49))</f>
        <v/>
      </c>
      <c r="AD49" s="115">
        <f>IF($Y49="","",$AA49*$AB49)</f>
        <v/>
      </c>
      <c r="AE49" s="115">
        <f>IF($Y49="","",$AD49-$AC49)</f>
        <v/>
      </c>
      <c r="AF49" s="116">
        <f>IF($Z49="","",CONCATENATE("Ürün: ",$Z49))</f>
        <v/>
      </c>
    </row>
    <row r="50" ht="15" customHeight="1" s="72">
      <c r="A50" s="117" t="n"/>
      <c r="B50" s="117" t="n"/>
      <c r="C50" s="118" t="n"/>
      <c r="D50" s="118" t="n"/>
      <c r="E50" s="118" t="n"/>
      <c r="F50" s="122">
        <f>IF($A50="","",MAX(0,$C50+$D50-$E50))</f>
        <v/>
      </c>
      <c r="G50" s="119" t="n"/>
      <c r="H50" s="122">
        <f>IF($A50="","",SUMIFS(tblOrnekRecete[Teorik Tüketim],tblOrnekRecete[Hammadde],$A50))</f>
        <v/>
      </c>
      <c r="I50" s="122">
        <f>IF($A50="","",MAX(0,$F50-$H50))</f>
        <v/>
      </c>
      <c r="J50" s="124">
        <f>IF($A50="","",IF($H50=0,0,$I50/$H50))</f>
        <v/>
      </c>
      <c r="K50" s="115">
        <f>IF($A50="","",$I50*$G50)</f>
        <v/>
      </c>
      <c r="L50" s="116">
        <f>IF($A50="","",CONCATENATE("Hammadde: ",$A50," | Kayıp: ",TEXT($K50,"₺ #,##0")))</f>
        <v/>
      </c>
      <c r="N50" s="117" t="n"/>
      <c r="O50" s="117" t="n"/>
      <c r="P50" s="117" t="n"/>
      <c r="Q50" s="117" t="n"/>
      <c r="R50" s="118" t="n"/>
      <c r="S50" s="119" t="n"/>
      <c r="T50" s="115">
        <f>IF($R50="","",$R50*$S50)</f>
        <v/>
      </c>
      <c r="U50" s="122">
        <f>IF($N50="","",IFERROR(INDEX(tblOrnekUrun[Satış Adedi (Adet)],MATCH($N50,tblOrnekUrun[Ürün Kodu],0)),0))</f>
        <v/>
      </c>
      <c r="V50" s="122">
        <f>IF($R50="","",$R50*$U50)</f>
        <v/>
      </c>
      <c r="W50" s="116">
        <f>IF($O50="","",CONCATENATE("Ürün: ",$O50))</f>
        <v/>
      </c>
      <c r="Y50" s="117" t="n"/>
      <c r="Z50" s="117" t="n"/>
      <c r="AA50" s="118" t="n"/>
      <c r="AB50" s="119" t="n"/>
      <c r="AC50" s="115">
        <f>IF($Y50="","",SUMIFS(tblOrnekRecete[Tutar (TL)],tblOrnekRecete[Ürün Kodu],$Y50))</f>
        <v/>
      </c>
      <c r="AD50" s="115">
        <f>IF($Y50="","",$AA50*$AB50)</f>
        <v/>
      </c>
      <c r="AE50" s="115">
        <f>IF($Y50="","",$AD50-$AC50)</f>
        <v/>
      </c>
      <c r="AF50" s="116">
        <f>IF($Z50="","",CONCATENATE("Ürün: ",$Z50))</f>
        <v/>
      </c>
    </row>
    <row r="51" ht="15" customHeight="1" s="72">
      <c r="A51" s="117" t="n"/>
      <c r="B51" s="117" t="n"/>
      <c r="C51" s="118" t="n"/>
      <c r="D51" s="118" t="n"/>
      <c r="E51" s="118" t="n"/>
      <c r="F51" s="122">
        <f>IF($A51="","",MAX(0,$C51+$D51-$E51))</f>
        <v/>
      </c>
      <c r="G51" s="119" t="n"/>
      <c r="H51" s="122">
        <f>IF($A51="","",SUMIFS(tblOrnekRecete[Teorik Tüketim],tblOrnekRecete[Hammadde],$A51))</f>
        <v/>
      </c>
      <c r="I51" s="122">
        <f>IF($A51="","",MAX(0,$F51-$H51))</f>
        <v/>
      </c>
      <c r="J51" s="124">
        <f>IF($A51="","",IF($H51=0,0,$I51/$H51))</f>
        <v/>
      </c>
      <c r="K51" s="115">
        <f>IF($A51="","",$I51*$G51)</f>
        <v/>
      </c>
      <c r="L51" s="116">
        <f>IF($A51="","",CONCATENATE("Hammadde: ",$A51," | Kayıp: ",TEXT($K51,"₺ #,##0")))</f>
        <v/>
      </c>
      <c r="N51" s="117" t="n"/>
      <c r="O51" s="117" t="n"/>
      <c r="P51" s="117" t="n"/>
      <c r="Q51" s="117" t="n"/>
      <c r="R51" s="118" t="n"/>
      <c r="S51" s="119" t="n"/>
      <c r="T51" s="115">
        <f>IF($R51="","",$R51*$S51)</f>
        <v/>
      </c>
      <c r="U51" s="122">
        <f>IF($N51="","",IFERROR(INDEX(tblOrnekUrun[Satış Adedi (Adet)],MATCH($N51,tblOrnekUrun[Ürün Kodu],0)),0))</f>
        <v/>
      </c>
      <c r="V51" s="122">
        <f>IF($R51="","",$R51*$U51)</f>
        <v/>
      </c>
      <c r="W51" s="116">
        <f>IF($O51="","",CONCATENATE("Ürün: ",$O51))</f>
        <v/>
      </c>
      <c r="Y51" s="117" t="n"/>
      <c r="Z51" s="117" t="n"/>
      <c r="AA51" s="118" t="n"/>
      <c r="AB51" s="119" t="n"/>
      <c r="AC51" s="115">
        <f>IF($Y51="","",SUMIFS(tblOrnekRecete[Tutar (TL)],tblOrnekRecete[Ürün Kodu],$Y51))</f>
        <v/>
      </c>
      <c r="AD51" s="115">
        <f>IF($Y51="","",$AA51*$AB51)</f>
        <v/>
      </c>
      <c r="AE51" s="115">
        <f>IF($Y51="","",$AD51-$AC51)</f>
        <v/>
      </c>
      <c r="AF51" s="116">
        <f>IF($Z51="","",CONCATENATE("Ürün: ",$Z51))</f>
        <v/>
      </c>
    </row>
    <row r="52" ht="15" customHeight="1" s="72">
      <c r="A52" s="117" t="n"/>
      <c r="B52" s="117" t="n"/>
      <c r="C52" s="118" t="n"/>
      <c r="D52" s="118" t="n"/>
      <c r="E52" s="118" t="n"/>
      <c r="F52" s="122">
        <f>IF($A52="","",MAX(0,$C52+$D52-$E52))</f>
        <v/>
      </c>
      <c r="G52" s="119" t="n"/>
      <c r="H52" s="122">
        <f>IF($A52="","",SUMIFS(tblOrnekRecete[Teorik Tüketim],tblOrnekRecete[Hammadde],$A52))</f>
        <v/>
      </c>
      <c r="I52" s="122">
        <f>IF($A52="","",MAX(0,$F52-$H52))</f>
        <v/>
      </c>
      <c r="J52" s="124">
        <f>IF($A52="","",IF($H52=0,0,$I52/$H52))</f>
        <v/>
      </c>
      <c r="K52" s="115">
        <f>IF($A52="","",$I52*$G52)</f>
        <v/>
      </c>
      <c r="L52" s="116">
        <f>IF($A52="","",CONCATENATE("Hammadde: ",$A52," | Kayıp: ",TEXT($K52,"₺ #,##0")))</f>
        <v/>
      </c>
      <c r="N52" s="117" t="n"/>
      <c r="O52" s="117" t="n"/>
      <c r="P52" s="117" t="n"/>
      <c r="Q52" s="117" t="n"/>
      <c r="R52" s="118" t="n"/>
      <c r="S52" s="119" t="n"/>
      <c r="T52" s="115">
        <f>IF($R52="","",$R52*$S52)</f>
        <v/>
      </c>
      <c r="U52" s="122">
        <f>IF($N52="","",IFERROR(INDEX(tblOrnekUrun[Satış Adedi (Adet)],MATCH($N52,tblOrnekUrun[Ürün Kodu],0)),0))</f>
        <v/>
      </c>
      <c r="V52" s="122">
        <f>IF($R52="","",$R52*$U52)</f>
        <v/>
      </c>
      <c r="W52" s="116">
        <f>IF($O52="","",CONCATENATE("Ürün: ",$O52))</f>
        <v/>
      </c>
      <c r="Y52" s="117" t="n"/>
      <c r="Z52" s="117" t="n"/>
      <c r="AA52" s="118" t="n"/>
      <c r="AB52" s="119" t="n"/>
      <c r="AC52" s="115">
        <f>IF($Y52="","",SUMIFS(tblOrnekRecete[Tutar (TL)],tblOrnekRecete[Ürün Kodu],$Y52))</f>
        <v/>
      </c>
      <c r="AD52" s="115">
        <f>IF($Y52="","",$AA52*$AB52)</f>
        <v/>
      </c>
      <c r="AE52" s="115">
        <f>IF($Y52="","",$AD52-$AC52)</f>
        <v/>
      </c>
      <c r="AF52" s="116">
        <f>IF($Z52="","",CONCATENATE("Ürün: ",$Z52))</f>
        <v/>
      </c>
    </row>
    <row r="53" ht="15" customHeight="1" s="72">
      <c r="A53" s="117" t="n"/>
      <c r="B53" s="117" t="n"/>
      <c r="C53" s="118" t="n"/>
      <c r="D53" s="118" t="n"/>
      <c r="E53" s="118" t="n"/>
      <c r="F53" s="122">
        <f>IF($A53="","",MAX(0,$C53+$D53-$E53))</f>
        <v/>
      </c>
      <c r="G53" s="119" t="n"/>
      <c r="H53" s="122">
        <f>IF($A53="","",SUMIFS(tblOrnekRecete[Teorik Tüketim],tblOrnekRecete[Hammadde],$A53))</f>
        <v/>
      </c>
      <c r="I53" s="122">
        <f>IF($A53="","",MAX(0,$F53-$H53))</f>
        <v/>
      </c>
      <c r="J53" s="124">
        <f>IF($A53="","",IF($H53=0,0,$I53/$H53))</f>
        <v/>
      </c>
      <c r="K53" s="115">
        <f>IF($A53="","",$I53*$G53)</f>
        <v/>
      </c>
      <c r="L53" s="116">
        <f>IF($A53="","",CONCATENATE("Hammadde: ",$A53," | Kayıp: ",TEXT($K53,"₺ #,##0")))</f>
        <v/>
      </c>
      <c r="N53" s="117" t="n"/>
      <c r="O53" s="117" t="n"/>
      <c r="P53" s="117" t="n"/>
      <c r="Q53" s="117" t="n"/>
      <c r="R53" s="118" t="n"/>
      <c r="S53" s="119" t="n"/>
      <c r="T53" s="115">
        <f>IF($R53="","",$R53*$S53)</f>
        <v/>
      </c>
      <c r="U53" s="122">
        <f>IF($N53="","",IFERROR(INDEX(tblOrnekUrun[Satış Adedi (Adet)],MATCH($N53,tblOrnekUrun[Ürün Kodu],0)),0))</f>
        <v/>
      </c>
      <c r="V53" s="122">
        <f>IF($R53="","",$R53*$U53)</f>
        <v/>
      </c>
      <c r="W53" s="116">
        <f>IF($O53="","",CONCATENATE("Ürün: ",$O53))</f>
        <v/>
      </c>
      <c r="Y53" s="117" t="n"/>
      <c r="Z53" s="117" t="n"/>
      <c r="AA53" s="118" t="n"/>
      <c r="AB53" s="119" t="n"/>
      <c r="AC53" s="115">
        <f>IF($Y53="","",SUMIFS(tblOrnekRecete[Tutar (TL)],tblOrnekRecete[Ürün Kodu],$Y53))</f>
        <v/>
      </c>
      <c r="AD53" s="115">
        <f>IF($Y53="","",$AA53*$AB53)</f>
        <v/>
      </c>
      <c r="AE53" s="115">
        <f>IF($Y53="","",$AD53-$AC53)</f>
        <v/>
      </c>
      <c r="AF53" s="116">
        <f>IF($Z53="","",CONCATENATE("Ürün: ",$Z53))</f>
        <v/>
      </c>
    </row>
    <row r="54" ht="15" customHeight="1" s="72">
      <c r="A54" s="117" t="n"/>
      <c r="B54" s="117" t="n"/>
      <c r="C54" s="118" t="n"/>
      <c r="D54" s="118" t="n"/>
      <c r="E54" s="118" t="n"/>
      <c r="F54" s="122">
        <f>IF($A54="","",MAX(0,$C54+$D54-$E54))</f>
        <v/>
      </c>
      <c r="G54" s="119" t="n"/>
      <c r="H54" s="122">
        <f>IF($A54="","",SUMIFS(tblOrnekRecete[Teorik Tüketim],tblOrnekRecete[Hammadde],$A54))</f>
        <v/>
      </c>
      <c r="I54" s="122">
        <f>IF($A54="","",MAX(0,$F54-$H54))</f>
        <v/>
      </c>
      <c r="J54" s="124">
        <f>IF($A54="","",IF($H54=0,0,$I54/$H54))</f>
        <v/>
      </c>
      <c r="K54" s="115">
        <f>IF($A54="","",$I54*$G54)</f>
        <v/>
      </c>
      <c r="L54" s="116">
        <f>IF($A54="","",CONCATENATE("Hammadde: ",$A54," | Kayıp: ",TEXT($K54,"₺ #,##0")))</f>
        <v/>
      </c>
      <c r="N54" s="117" t="n"/>
      <c r="O54" s="117" t="n"/>
      <c r="P54" s="117" t="n"/>
      <c r="Q54" s="117" t="n"/>
      <c r="R54" s="118" t="n"/>
      <c r="S54" s="119" t="n"/>
      <c r="T54" s="115">
        <f>IF($R54="","",$R54*$S54)</f>
        <v/>
      </c>
      <c r="U54" s="122">
        <f>IF($N54="","",IFERROR(INDEX(tblOrnekUrun[Satış Adedi (Adet)],MATCH($N54,tblOrnekUrun[Ürün Kodu],0)),0))</f>
        <v/>
      </c>
      <c r="V54" s="122">
        <f>IF($R54="","",$R54*$U54)</f>
        <v/>
      </c>
      <c r="W54" s="116">
        <f>IF($O54="","",CONCATENATE("Ürün: ",$O54))</f>
        <v/>
      </c>
      <c r="Y54" s="117" t="n"/>
      <c r="Z54" s="117" t="n"/>
      <c r="AA54" s="118" t="n"/>
      <c r="AB54" s="119" t="n"/>
      <c r="AC54" s="115">
        <f>IF($Y54="","",SUMIFS(tblOrnekRecete[Tutar (TL)],tblOrnekRecete[Ürün Kodu],$Y54))</f>
        <v/>
      </c>
      <c r="AD54" s="115">
        <f>IF($Y54="","",$AA54*$AB54)</f>
        <v/>
      </c>
      <c r="AE54" s="115">
        <f>IF($Y54="","",$AD54-$AC54)</f>
        <v/>
      </c>
      <c r="AF54" s="116">
        <f>IF($Z54="","",CONCATENATE("Ürün: ",$Z54))</f>
        <v/>
      </c>
    </row>
    <row r="55" ht="15" customHeight="1" s="72">
      <c r="A55" s="117" t="n"/>
      <c r="B55" s="117" t="n"/>
      <c r="C55" s="118" t="n"/>
      <c r="D55" s="118" t="n"/>
      <c r="E55" s="118" t="n"/>
      <c r="F55" s="122">
        <f>IF($A55="","",MAX(0,$C55+$D55-$E55))</f>
        <v/>
      </c>
      <c r="G55" s="119" t="n"/>
      <c r="H55" s="122">
        <f>IF($A55="","",SUMIFS(tblOrnekRecete[Teorik Tüketim],tblOrnekRecete[Hammadde],$A55))</f>
        <v/>
      </c>
      <c r="I55" s="122">
        <f>IF($A55="","",MAX(0,$F55-$H55))</f>
        <v/>
      </c>
      <c r="J55" s="124">
        <f>IF($A55="","",IF($H55=0,0,$I55/$H55))</f>
        <v/>
      </c>
      <c r="K55" s="115">
        <f>IF($A55="","",$I55*$G55)</f>
        <v/>
      </c>
      <c r="L55" s="116">
        <f>IF($A55="","",CONCATENATE("Hammadde: ",$A55," | Kayıp: ",TEXT($K55,"₺ #,##0")))</f>
        <v/>
      </c>
      <c r="N55" s="117" t="n"/>
      <c r="O55" s="117" t="n"/>
      <c r="P55" s="117" t="n"/>
      <c r="Q55" s="117" t="n"/>
      <c r="R55" s="118" t="n"/>
      <c r="S55" s="119" t="n"/>
      <c r="T55" s="115">
        <f>IF($R55="","",$R55*$S55)</f>
        <v/>
      </c>
      <c r="U55" s="122">
        <f>IF($N55="","",IFERROR(INDEX(tblOrnekUrun[Satış Adedi (Adet)],MATCH($N55,tblOrnekUrun[Ürün Kodu],0)),0))</f>
        <v/>
      </c>
      <c r="V55" s="122">
        <f>IF($R55="","",$R55*$U55)</f>
        <v/>
      </c>
      <c r="W55" s="116">
        <f>IF($O55="","",CONCATENATE("Ürün: ",$O55))</f>
        <v/>
      </c>
      <c r="Y55" s="117" t="n"/>
      <c r="Z55" s="117" t="n"/>
      <c r="AA55" s="118" t="n"/>
      <c r="AB55" s="119" t="n"/>
      <c r="AC55" s="115">
        <f>IF($Y55="","",SUMIFS(tblOrnekRecete[Tutar (TL)],tblOrnekRecete[Ürün Kodu],$Y55))</f>
        <v/>
      </c>
      <c r="AD55" s="115">
        <f>IF($Y55="","",$AA55*$AB55)</f>
        <v/>
      </c>
      <c r="AE55" s="115">
        <f>IF($Y55="","",$AD55-$AC55)</f>
        <v/>
      </c>
      <c r="AF55" s="116">
        <f>IF($Z55="","",CONCATENATE("Ürün: ",$Z55))</f>
        <v/>
      </c>
    </row>
    <row r="56" ht="15" customHeight="1" s="72">
      <c r="A56" s="117" t="n"/>
      <c r="B56" s="117" t="n"/>
      <c r="C56" s="118" t="n"/>
      <c r="D56" s="118" t="n"/>
      <c r="E56" s="118" t="n"/>
      <c r="F56" s="122">
        <f>IF($A56="","",MAX(0,$C56+$D56-$E56))</f>
        <v/>
      </c>
      <c r="G56" s="119" t="n"/>
      <c r="H56" s="122">
        <f>IF($A56="","",SUMIFS(tblOrnekRecete[Teorik Tüketim],tblOrnekRecete[Hammadde],$A56))</f>
        <v/>
      </c>
      <c r="I56" s="122">
        <f>IF($A56="","",MAX(0,$F56-$H56))</f>
        <v/>
      </c>
      <c r="J56" s="124">
        <f>IF($A56="","",IF($H56=0,0,$I56/$H56))</f>
        <v/>
      </c>
      <c r="K56" s="115">
        <f>IF($A56="","",$I56*$G56)</f>
        <v/>
      </c>
      <c r="L56" s="116">
        <f>IF($A56="","",CONCATENATE("Hammadde: ",$A56," | Kayıp: ",TEXT($K56,"₺ #,##0")))</f>
        <v/>
      </c>
      <c r="N56" s="117" t="n"/>
      <c r="O56" s="117" t="n"/>
      <c r="P56" s="117" t="n"/>
      <c r="Q56" s="117" t="n"/>
      <c r="R56" s="118" t="n"/>
      <c r="S56" s="119" t="n"/>
      <c r="T56" s="115">
        <f>IF($R56="","",$R56*$S56)</f>
        <v/>
      </c>
      <c r="U56" s="122">
        <f>IF($N56="","",IFERROR(INDEX(tblOrnekUrun[Satış Adedi (Adet)],MATCH($N56,tblOrnekUrun[Ürün Kodu],0)),0))</f>
        <v/>
      </c>
      <c r="V56" s="122">
        <f>IF($R56="","",$R56*$U56)</f>
        <v/>
      </c>
      <c r="W56" s="116">
        <f>IF($O56="","",CONCATENATE("Ürün: ",$O56))</f>
        <v/>
      </c>
      <c r="Y56" s="117" t="n"/>
      <c r="Z56" s="117" t="n"/>
      <c r="AA56" s="118" t="n"/>
      <c r="AB56" s="119" t="n"/>
      <c r="AC56" s="115">
        <f>IF($Y56="","",SUMIFS(tblOrnekRecete[Tutar (TL)],tblOrnekRecete[Ürün Kodu],$Y56))</f>
        <v/>
      </c>
      <c r="AD56" s="115">
        <f>IF($Y56="","",$AA56*$AB56)</f>
        <v/>
      </c>
      <c r="AE56" s="115">
        <f>IF($Y56="","",$AD56-$AC56)</f>
        <v/>
      </c>
      <c r="AF56" s="116">
        <f>IF($Z56="","",CONCATENATE("Ürün: ",$Z56))</f>
        <v/>
      </c>
    </row>
    <row r="57" ht="15" customHeight="1" s="72">
      <c r="A57" s="117" t="n"/>
      <c r="B57" s="117" t="n"/>
      <c r="C57" s="118" t="n"/>
      <c r="D57" s="118" t="n"/>
      <c r="E57" s="118" t="n"/>
      <c r="F57" s="122">
        <f>IF($A57="","",MAX(0,$C57+$D57-$E57))</f>
        <v/>
      </c>
      <c r="G57" s="119" t="n"/>
      <c r="H57" s="122">
        <f>IF($A57="","",SUMIFS(tblOrnekRecete[Teorik Tüketim],tblOrnekRecete[Hammadde],$A57))</f>
        <v/>
      </c>
      <c r="I57" s="122">
        <f>IF($A57="","",MAX(0,$F57-$H57))</f>
        <v/>
      </c>
      <c r="J57" s="124">
        <f>IF($A57="","",IF($H57=0,0,$I57/$H57))</f>
        <v/>
      </c>
      <c r="K57" s="115">
        <f>IF($A57="","",$I57*$G57)</f>
        <v/>
      </c>
      <c r="L57" s="116">
        <f>IF($A57="","",CONCATENATE("Hammadde: ",$A57," | Kayıp: ",TEXT($K57,"₺ #,##0")))</f>
        <v/>
      </c>
      <c r="N57" s="117" t="n"/>
      <c r="O57" s="117" t="n"/>
      <c r="P57" s="117" t="n"/>
      <c r="Q57" s="117" t="n"/>
      <c r="R57" s="118" t="n"/>
      <c r="S57" s="119" t="n"/>
      <c r="T57" s="115">
        <f>IF($R57="","",$R57*$S57)</f>
        <v/>
      </c>
      <c r="U57" s="122">
        <f>IF($N57="","",IFERROR(INDEX(tblOrnekUrun[Satış Adedi (Adet)],MATCH($N57,tblOrnekUrun[Ürün Kodu],0)),0))</f>
        <v/>
      </c>
      <c r="V57" s="122">
        <f>IF($R57="","",$R57*$U57)</f>
        <v/>
      </c>
      <c r="W57" s="116">
        <f>IF($O57="","",CONCATENATE("Ürün: ",$O57))</f>
        <v/>
      </c>
      <c r="Y57" s="117" t="n"/>
      <c r="Z57" s="117" t="n"/>
      <c r="AA57" s="118" t="n"/>
      <c r="AB57" s="119" t="n"/>
      <c r="AC57" s="115">
        <f>IF($Y57="","",SUMIFS(tblOrnekRecete[Tutar (TL)],tblOrnekRecete[Ürün Kodu],$Y57))</f>
        <v/>
      </c>
      <c r="AD57" s="115">
        <f>IF($Y57="","",$AA57*$AB57)</f>
        <v/>
      </c>
      <c r="AE57" s="115">
        <f>IF($Y57="","",$AD57-$AC57)</f>
        <v/>
      </c>
      <c r="AF57" s="116">
        <f>IF($Z57="","",CONCATENATE("Ürün: ",$Z57))</f>
        <v/>
      </c>
    </row>
    <row r="58" ht="15" customHeight="1" s="72">
      <c r="A58" s="117" t="n"/>
      <c r="B58" s="117" t="n"/>
      <c r="C58" s="118" t="n"/>
      <c r="D58" s="118" t="n"/>
      <c r="E58" s="118" t="n"/>
      <c r="F58" s="122">
        <f>IF($A58="","",MAX(0,$C58+$D58-$E58))</f>
        <v/>
      </c>
      <c r="G58" s="119" t="n"/>
      <c r="H58" s="122">
        <f>IF($A58="","",SUMIFS(tblOrnekRecete[Teorik Tüketim],tblOrnekRecete[Hammadde],$A58))</f>
        <v/>
      </c>
      <c r="I58" s="122">
        <f>IF($A58="","",MAX(0,$F58-$H58))</f>
        <v/>
      </c>
      <c r="J58" s="124">
        <f>IF($A58="","",IF($H58=0,0,$I58/$H58))</f>
        <v/>
      </c>
      <c r="K58" s="115">
        <f>IF($A58="","",$I58*$G58)</f>
        <v/>
      </c>
      <c r="L58" s="116">
        <f>IF($A58="","",CONCATENATE("Hammadde: ",$A58," | Kayıp: ",TEXT($K58,"₺ #,##0")))</f>
        <v/>
      </c>
      <c r="N58" s="117" t="n"/>
      <c r="O58" s="117" t="n"/>
      <c r="P58" s="117" t="n"/>
      <c r="Q58" s="117" t="n"/>
      <c r="R58" s="118" t="n"/>
      <c r="S58" s="119" t="n"/>
      <c r="T58" s="115">
        <f>IF($R58="","",$R58*$S58)</f>
        <v/>
      </c>
      <c r="U58" s="122">
        <f>IF($N58="","",IFERROR(INDEX(tblOrnekUrun[Satış Adedi (Adet)],MATCH($N58,tblOrnekUrun[Ürün Kodu],0)),0))</f>
        <v/>
      </c>
      <c r="V58" s="122">
        <f>IF($R58="","",$R58*$U58)</f>
        <v/>
      </c>
      <c r="W58" s="116">
        <f>IF($O58="","",CONCATENATE("Ürün: ",$O58))</f>
        <v/>
      </c>
      <c r="Y58" s="117" t="n"/>
      <c r="Z58" s="117" t="n"/>
      <c r="AA58" s="118" t="n"/>
      <c r="AB58" s="119" t="n"/>
      <c r="AC58" s="115">
        <f>IF($Y58="","",SUMIFS(tblOrnekRecete[Tutar (TL)],tblOrnekRecete[Ürün Kodu],$Y58))</f>
        <v/>
      </c>
      <c r="AD58" s="115">
        <f>IF($Y58="","",$AA58*$AB58)</f>
        <v/>
      </c>
      <c r="AE58" s="115">
        <f>IF($Y58="","",$AD58-$AC58)</f>
        <v/>
      </c>
      <c r="AF58" s="116">
        <f>IF($Z58="","",CONCATENATE("Ürün: ",$Z58))</f>
        <v/>
      </c>
    </row>
    <row r="59" ht="15" customHeight="1" s="72">
      <c r="A59" s="117" t="n"/>
      <c r="B59" s="117" t="n"/>
      <c r="C59" s="118" t="n"/>
      <c r="D59" s="118" t="n"/>
      <c r="E59" s="118" t="n"/>
      <c r="F59" s="122">
        <f>IF($A59="","",MAX(0,$C59+$D59-$E59))</f>
        <v/>
      </c>
      <c r="G59" s="119" t="n"/>
      <c r="H59" s="122">
        <f>IF($A59="","",SUMIFS(tblOrnekRecete[Teorik Tüketim],tblOrnekRecete[Hammadde],$A59))</f>
        <v/>
      </c>
      <c r="I59" s="122">
        <f>IF($A59="","",MAX(0,$F59-$H59))</f>
        <v/>
      </c>
      <c r="J59" s="124">
        <f>IF($A59="","",IF($H59=0,0,$I59/$H59))</f>
        <v/>
      </c>
      <c r="K59" s="115">
        <f>IF($A59="","",$I59*$G59)</f>
        <v/>
      </c>
      <c r="L59" s="116">
        <f>IF($A59="","",CONCATENATE("Hammadde: ",$A59," | Kayıp: ",TEXT($K59,"₺ #,##0")))</f>
        <v/>
      </c>
      <c r="N59" s="117" t="n"/>
      <c r="O59" s="117" t="n"/>
      <c r="P59" s="117" t="n"/>
      <c r="Q59" s="117" t="n"/>
      <c r="R59" s="118" t="n"/>
      <c r="S59" s="119" t="n"/>
      <c r="T59" s="115">
        <f>IF($R59="","",$R59*$S59)</f>
        <v/>
      </c>
      <c r="U59" s="122">
        <f>IF($N59="","",IFERROR(INDEX(tblOrnekUrun[Satış Adedi (Adet)],MATCH($N59,tblOrnekUrun[Ürün Kodu],0)),0))</f>
        <v/>
      </c>
      <c r="V59" s="122">
        <f>IF($R59="","",$R59*$U59)</f>
        <v/>
      </c>
      <c r="W59" s="116">
        <f>IF($O59="","",CONCATENATE("Ürün: ",$O59))</f>
        <v/>
      </c>
      <c r="Y59" s="117" t="n"/>
      <c r="Z59" s="117" t="n"/>
      <c r="AA59" s="118" t="n"/>
      <c r="AB59" s="119" t="n"/>
      <c r="AC59" s="115">
        <f>IF($Y59="","",SUMIFS(tblOrnekRecete[Tutar (TL)],tblOrnekRecete[Ürün Kodu],$Y59))</f>
        <v/>
      </c>
      <c r="AD59" s="115">
        <f>IF($Y59="","",$AA59*$AB59)</f>
        <v/>
      </c>
      <c r="AE59" s="115">
        <f>IF($Y59="","",$AD59-$AC59)</f>
        <v/>
      </c>
      <c r="AF59" s="116">
        <f>IF($Z59="","",CONCATENATE("Ürün: ",$Z59))</f>
        <v/>
      </c>
    </row>
    <row r="60" ht="15" customHeight="1" s="72">
      <c r="A60" s="117" t="n"/>
      <c r="B60" s="117" t="n"/>
      <c r="C60" s="118" t="n"/>
      <c r="D60" s="118" t="n"/>
      <c r="E60" s="118" t="n"/>
      <c r="F60" s="122">
        <f>IF($A60="","",MAX(0,$C60+$D60-$E60))</f>
        <v/>
      </c>
      <c r="G60" s="119" t="n"/>
      <c r="H60" s="122">
        <f>IF($A60="","",SUMIFS(tblOrnekRecete[Teorik Tüketim],tblOrnekRecete[Hammadde],$A60))</f>
        <v/>
      </c>
      <c r="I60" s="122">
        <f>IF($A60="","",MAX(0,$F60-$H60))</f>
        <v/>
      </c>
      <c r="J60" s="124">
        <f>IF($A60="","",IF($H60=0,0,$I60/$H60))</f>
        <v/>
      </c>
      <c r="K60" s="115">
        <f>IF($A60="","",$I60*$G60)</f>
        <v/>
      </c>
      <c r="L60" s="116">
        <f>IF($A60="","",CONCATENATE("Hammadde: ",$A60," | Kayıp: ",TEXT($K60,"₺ #,##0")))</f>
        <v/>
      </c>
      <c r="N60" s="117" t="n"/>
      <c r="O60" s="117" t="n"/>
      <c r="P60" s="117" t="n"/>
      <c r="Q60" s="117" t="n"/>
      <c r="R60" s="118" t="n"/>
      <c r="S60" s="119" t="n"/>
      <c r="T60" s="115">
        <f>IF($R60="","",$R60*$S60)</f>
        <v/>
      </c>
      <c r="U60" s="122">
        <f>IF($N60="","",IFERROR(INDEX(tblOrnekUrun[Satış Adedi (Adet)],MATCH($N60,tblOrnekUrun[Ürün Kodu],0)),0))</f>
        <v/>
      </c>
      <c r="V60" s="122">
        <f>IF($R60="","",$R60*$U60)</f>
        <v/>
      </c>
      <c r="W60" s="116">
        <f>IF($O60="","",CONCATENATE("Ürün: ",$O60))</f>
        <v/>
      </c>
      <c r="Y60" s="117" t="n"/>
      <c r="Z60" s="117" t="n"/>
      <c r="AA60" s="118" t="n"/>
      <c r="AB60" s="119" t="n"/>
      <c r="AC60" s="115">
        <f>IF($Y60="","",SUMIFS(tblOrnekRecete[Tutar (TL)],tblOrnekRecete[Ürün Kodu],$Y60))</f>
        <v/>
      </c>
      <c r="AD60" s="115">
        <f>IF($Y60="","",$AA60*$AB60)</f>
        <v/>
      </c>
      <c r="AE60" s="115">
        <f>IF($Y60="","",$AD60-$AC60)</f>
        <v/>
      </c>
      <c r="AF60" s="116">
        <f>IF($Z60="","",CONCATENATE("Ürün: ",$Z60))</f>
        <v/>
      </c>
    </row>
    <row r="61" ht="15" customHeight="1" s="72">
      <c r="A61" s="117" t="n"/>
      <c r="B61" s="117" t="n"/>
      <c r="C61" s="118" t="n"/>
      <c r="D61" s="118" t="n"/>
      <c r="E61" s="118" t="n"/>
      <c r="F61" s="123" t="n"/>
      <c r="G61" s="119" t="n"/>
      <c r="H61" s="123" t="n"/>
      <c r="I61" s="123" t="n"/>
      <c r="J61" s="125" t="n"/>
      <c r="K61" s="120" t="n"/>
      <c r="N61" s="117" t="n"/>
      <c r="O61" s="117" t="n"/>
      <c r="P61" s="117" t="n"/>
      <c r="Q61" s="117" t="n"/>
      <c r="R61" s="118" t="n"/>
      <c r="S61" s="119" t="n"/>
      <c r="T61" s="120" t="n"/>
      <c r="U61" s="123" t="n"/>
      <c r="V61" s="123" t="n"/>
      <c r="Y61" s="117" t="n"/>
      <c r="Z61" s="117" t="n"/>
      <c r="AA61" s="118" t="n"/>
      <c r="AB61" s="119" t="n"/>
      <c r="AC61" s="120" t="n"/>
      <c r="AD61" s="120" t="n"/>
      <c r="AE61" s="120" t="n"/>
    </row>
    <row r="62" ht="15" customHeight="1" s="72">
      <c r="A62" s="117" t="n"/>
      <c r="B62" s="117" t="n"/>
      <c r="C62" s="118" t="n"/>
      <c r="D62" s="118" t="n"/>
      <c r="E62" s="118" t="n"/>
      <c r="F62" s="123" t="n"/>
      <c r="G62" s="119" t="n"/>
      <c r="H62" s="123" t="n"/>
      <c r="I62" s="123" t="n"/>
      <c r="J62" s="125" t="n"/>
      <c r="K62" s="120" t="n"/>
      <c r="N62" s="117" t="n"/>
      <c r="O62" s="117" t="n"/>
      <c r="P62" s="117" t="n"/>
      <c r="Q62" s="117" t="n"/>
      <c r="R62" s="118" t="n"/>
      <c r="S62" s="119" t="n"/>
      <c r="T62" s="120" t="n"/>
      <c r="U62" s="123" t="n"/>
      <c r="V62" s="123" t="n"/>
      <c r="Y62" s="117" t="n"/>
      <c r="Z62" s="117" t="n"/>
      <c r="AA62" s="118" t="n"/>
      <c r="AB62" s="119" t="n"/>
      <c r="AC62" s="120" t="n"/>
      <c r="AD62" s="120" t="n"/>
      <c r="AE62" s="120" t="n"/>
    </row>
    <row r="63" ht="15" customHeight="1" s="72">
      <c r="A63" s="117" t="n"/>
      <c r="B63" s="117" t="n"/>
      <c r="C63" s="118" t="n"/>
      <c r="D63" s="118" t="n"/>
      <c r="E63" s="118" t="n"/>
      <c r="F63" s="123" t="n"/>
      <c r="G63" s="119" t="n"/>
      <c r="H63" s="123" t="n"/>
      <c r="I63" s="123" t="n"/>
      <c r="J63" s="125" t="n"/>
      <c r="K63" s="120" t="n"/>
      <c r="N63" s="117" t="n"/>
      <c r="O63" s="117" t="n"/>
      <c r="P63" s="117" t="n"/>
      <c r="Q63" s="117" t="n"/>
      <c r="R63" s="118" t="n"/>
      <c r="S63" s="119" t="n"/>
      <c r="T63" s="120" t="n"/>
      <c r="U63" s="123" t="n"/>
      <c r="V63" s="123" t="n"/>
      <c r="Y63" s="117" t="n"/>
      <c r="Z63" s="117" t="n"/>
      <c r="AA63" s="118" t="n"/>
      <c r="AB63" s="119" t="n"/>
      <c r="AC63" s="120" t="n"/>
      <c r="AD63" s="120" t="n"/>
      <c r="AE63" s="120" t="n"/>
    </row>
    <row r="64" ht="15" customHeight="1" s="72">
      <c r="A64" s="117" t="n"/>
      <c r="B64" s="117" t="n"/>
      <c r="C64" s="118" t="n"/>
      <c r="D64" s="118" t="n"/>
      <c r="E64" s="118" t="n"/>
      <c r="F64" s="123" t="n"/>
      <c r="G64" s="119" t="n"/>
      <c r="H64" s="123" t="n"/>
      <c r="I64" s="123" t="n"/>
      <c r="J64" s="125" t="n"/>
      <c r="K64" s="120" t="n"/>
      <c r="N64" s="117" t="n"/>
      <c r="O64" s="117" t="n"/>
      <c r="P64" s="117" t="n"/>
      <c r="Q64" s="117" t="n"/>
      <c r="R64" s="118" t="n"/>
      <c r="S64" s="119" t="n"/>
      <c r="T64" s="120" t="n"/>
      <c r="U64" s="123" t="n"/>
      <c r="V64" s="123" t="n"/>
      <c r="Y64" s="117" t="n"/>
      <c r="Z64" s="117" t="n"/>
      <c r="AA64" s="118" t="n"/>
      <c r="AB64" s="119" t="n"/>
      <c r="AC64" s="120" t="n"/>
      <c r="AD64" s="120" t="n"/>
      <c r="AE64" s="120" t="n"/>
    </row>
    <row r="65" ht="15" customHeight="1" s="72">
      <c r="A65" s="117" t="n"/>
      <c r="B65" s="117" t="n"/>
      <c r="C65" s="118" t="n"/>
      <c r="D65" s="118" t="n"/>
      <c r="E65" s="118" t="n"/>
      <c r="F65" s="123" t="n"/>
      <c r="G65" s="119" t="n"/>
      <c r="H65" s="123" t="n"/>
      <c r="I65" s="123" t="n"/>
      <c r="J65" s="125" t="n"/>
      <c r="K65" s="120" t="n"/>
      <c r="N65" s="117" t="n"/>
      <c r="O65" s="117" t="n"/>
      <c r="P65" s="117" t="n"/>
      <c r="Q65" s="117" t="n"/>
      <c r="R65" s="118" t="n"/>
      <c r="S65" s="119" t="n"/>
      <c r="T65" s="120" t="n"/>
      <c r="U65" s="123" t="n"/>
      <c r="V65" s="123" t="n"/>
      <c r="Y65" s="117" t="n"/>
      <c r="Z65" s="117" t="n"/>
      <c r="AA65" s="118" t="n"/>
      <c r="AB65" s="119" t="n"/>
      <c r="AC65" s="120" t="n"/>
      <c r="AD65" s="120" t="n"/>
      <c r="AE65" s="120" t="n"/>
    </row>
    <row r="66" ht="15" customHeight="1" s="72">
      <c r="A66" s="117" t="n"/>
      <c r="B66" s="117" t="n"/>
      <c r="C66" s="118" t="n"/>
      <c r="D66" s="118" t="n"/>
      <c r="E66" s="118" t="n"/>
      <c r="F66" s="123" t="n"/>
      <c r="G66" s="119" t="n"/>
      <c r="H66" s="123" t="n"/>
      <c r="I66" s="123" t="n"/>
      <c r="J66" s="125" t="n"/>
      <c r="K66" s="120" t="n"/>
      <c r="N66" s="117" t="n"/>
      <c r="O66" s="117" t="n"/>
      <c r="P66" s="117" t="n"/>
      <c r="Q66" s="117" t="n"/>
      <c r="R66" s="118" t="n"/>
      <c r="S66" s="119" t="n"/>
      <c r="T66" s="120" t="n"/>
      <c r="U66" s="123" t="n"/>
      <c r="V66" s="123" t="n"/>
      <c r="Y66" s="117" t="n"/>
      <c r="Z66" s="117" t="n"/>
      <c r="AA66" s="118" t="n"/>
      <c r="AB66" s="119" t="n"/>
      <c r="AC66" s="120" t="n"/>
      <c r="AD66" s="120" t="n"/>
      <c r="AE66" s="120" t="n"/>
    </row>
    <row r="67" ht="15" customHeight="1" s="72">
      <c r="A67" s="117" t="n"/>
      <c r="B67" s="117" t="n"/>
      <c r="C67" s="118" t="n"/>
      <c r="D67" s="118" t="n"/>
      <c r="E67" s="118" t="n"/>
      <c r="F67" s="123" t="n"/>
      <c r="G67" s="119" t="n"/>
      <c r="H67" s="123" t="n"/>
      <c r="I67" s="123" t="n"/>
      <c r="J67" s="125" t="n"/>
      <c r="K67" s="120" t="n"/>
      <c r="N67" s="117" t="n"/>
      <c r="O67" s="117" t="n"/>
      <c r="P67" s="117" t="n"/>
      <c r="Q67" s="117" t="n"/>
      <c r="R67" s="118" t="n"/>
      <c r="S67" s="119" t="n"/>
      <c r="T67" s="120" t="n"/>
      <c r="U67" s="123" t="n"/>
      <c r="V67" s="123" t="n"/>
      <c r="Y67" s="117" t="n"/>
      <c r="Z67" s="117" t="n"/>
      <c r="AA67" s="118" t="n"/>
      <c r="AB67" s="119" t="n"/>
      <c r="AC67" s="120" t="n"/>
      <c r="AD67" s="120" t="n"/>
      <c r="AE67" s="120" t="n"/>
    </row>
    <row r="68" ht="15" customHeight="1" s="72">
      <c r="A68" s="117" t="n"/>
      <c r="B68" s="117" t="n"/>
      <c r="C68" s="118" t="n"/>
      <c r="D68" s="118" t="n"/>
      <c r="E68" s="118" t="n"/>
      <c r="F68" s="123" t="n"/>
      <c r="G68" s="119" t="n"/>
      <c r="H68" s="123" t="n"/>
      <c r="I68" s="123" t="n"/>
      <c r="J68" s="125" t="n"/>
      <c r="K68" s="120" t="n"/>
      <c r="N68" s="117" t="n"/>
      <c r="O68" s="117" t="n"/>
      <c r="P68" s="117" t="n"/>
      <c r="Q68" s="117" t="n"/>
      <c r="R68" s="118" t="n"/>
      <c r="S68" s="119" t="n"/>
      <c r="T68" s="120" t="n"/>
      <c r="U68" s="123" t="n"/>
      <c r="V68" s="123" t="n"/>
      <c r="Y68" s="117" t="n"/>
      <c r="Z68" s="117" t="n"/>
      <c r="AA68" s="118" t="n"/>
      <c r="AB68" s="119" t="n"/>
      <c r="AC68" s="120" t="n"/>
      <c r="AD68" s="120" t="n"/>
      <c r="AE68" s="120" t="n"/>
    </row>
    <row r="69" ht="15" customHeight="1" s="72">
      <c r="A69" s="117" t="n"/>
      <c r="B69" s="117" t="n"/>
      <c r="C69" s="118" t="n"/>
      <c r="D69" s="118" t="n"/>
      <c r="E69" s="118" t="n"/>
      <c r="F69" s="123" t="n"/>
      <c r="G69" s="119" t="n"/>
      <c r="H69" s="123" t="n"/>
      <c r="I69" s="123" t="n"/>
      <c r="J69" s="125" t="n"/>
      <c r="K69" s="120" t="n"/>
      <c r="N69" s="117" t="n"/>
      <c r="O69" s="117" t="n"/>
      <c r="P69" s="117" t="n"/>
      <c r="Q69" s="117" t="n"/>
      <c r="R69" s="118" t="n"/>
      <c r="S69" s="119" t="n"/>
      <c r="T69" s="120" t="n"/>
      <c r="U69" s="123" t="n"/>
      <c r="V69" s="123" t="n"/>
      <c r="Y69" s="117" t="n"/>
      <c r="Z69" s="117" t="n"/>
      <c r="AA69" s="118" t="n"/>
      <c r="AB69" s="119" t="n"/>
      <c r="AC69" s="120" t="n"/>
      <c r="AD69" s="120" t="n"/>
      <c r="AE69" s="120" t="n"/>
    </row>
    <row r="70" ht="15" customHeight="1" s="72">
      <c r="A70" s="117" t="n"/>
      <c r="B70" s="117" t="n"/>
      <c r="C70" s="118" t="n"/>
      <c r="D70" s="118" t="n"/>
      <c r="E70" s="118" t="n"/>
      <c r="F70" s="123" t="n"/>
      <c r="G70" s="119" t="n"/>
      <c r="H70" s="123" t="n"/>
      <c r="I70" s="123" t="n"/>
      <c r="J70" s="125" t="n"/>
      <c r="K70" s="120" t="n"/>
      <c r="N70" s="117" t="n"/>
      <c r="O70" s="117" t="n"/>
      <c r="P70" s="117" t="n"/>
      <c r="Q70" s="117" t="n"/>
      <c r="R70" s="118" t="n"/>
      <c r="S70" s="119" t="n"/>
      <c r="T70" s="120" t="n"/>
      <c r="U70" s="123" t="n"/>
      <c r="V70" s="123" t="n"/>
      <c r="Y70" s="117" t="n"/>
      <c r="Z70" s="117" t="n"/>
      <c r="AA70" s="118" t="n"/>
      <c r="AB70" s="119" t="n"/>
      <c r="AC70" s="120" t="n"/>
      <c r="AD70" s="120" t="n"/>
      <c r="AE70" s="120" t="n"/>
    </row>
    <row r="71" ht="15" customHeight="1" s="72">
      <c r="A71" s="117" t="n"/>
      <c r="B71" s="117" t="n"/>
      <c r="C71" s="118" t="n"/>
      <c r="D71" s="118" t="n"/>
      <c r="E71" s="118" t="n"/>
      <c r="F71" s="123" t="n"/>
      <c r="G71" s="119" t="n"/>
      <c r="H71" s="123" t="n"/>
      <c r="I71" s="123" t="n"/>
      <c r="J71" s="125" t="n"/>
      <c r="K71" s="120" t="n"/>
      <c r="N71" s="117" t="n"/>
      <c r="O71" s="117" t="n"/>
      <c r="P71" s="117" t="n"/>
      <c r="Q71" s="117" t="n"/>
      <c r="R71" s="118" t="n"/>
      <c r="S71" s="119" t="n"/>
      <c r="T71" s="120" t="n"/>
      <c r="U71" s="123" t="n"/>
      <c r="V71" s="123" t="n"/>
      <c r="Y71" s="117" t="n"/>
      <c r="Z71" s="117" t="n"/>
      <c r="AA71" s="118" t="n"/>
      <c r="AB71" s="119" t="n"/>
      <c r="AC71" s="120" t="n"/>
      <c r="AD71" s="120" t="n"/>
      <c r="AE71" s="120" t="n"/>
    </row>
    <row r="72" ht="15" customHeight="1" s="72">
      <c r="A72" s="117" t="n"/>
      <c r="B72" s="117" t="n"/>
      <c r="C72" s="118" t="n"/>
      <c r="D72" s="118" t="n"/>
      <c r="E72" s="118" t="n"/>
      <c r="F72" s="123" t="n"/>
      <c r="G72" s="119" t="n"/>
      <c r="H72" s="123" t="n"/>
      <c r="I72" s="123" t="n"/>
      <c r="J72" s="125" t="n"/>
      <c r="K72" s="120" t="n"/>
      <c r="N72" s="117" t="n"/>
      <c r="O72" s="117" t="n"/>
      <c r="P72" s="117" t="n"/>
      <c r="Q72" s="117" t="n"/>
      <c r="R72" s="118" t="n"/>
      <c r="S72" s="119" t="n"/>
      <c r="T72" s="120" t="n"/>
      <c r="U72" s="123" t="n"/>
      <c r="V72" s="123" t="n"/>
      <c r="Y72" s="117" t="n"/>
      <c r="Z72" s="117" t="n"/>
      <c r="AA72" s="118" t="n"/>
      <c r="AB72" s="119" t="n"/>
      <c r="AC72" s="120" t="n"/>
      <c r="AD72" s="120" t="n"/>
      <c r="AE72" s="120" t="n"/>
    </row>
    <row r="73" ht="15" customHeight="1" s="72">
      <c r="A73" s="117" t="n"/>
      <c r="B73" s="117" t="n"/>
      <c r="C73" s="118" t="n"/>
      <c r="D73" s="118" t="n"/>
      <c r="E73" s="118" t="n"/>
      <c r="F73" s="123" t="n"/>
      <c r="G73" s="119" t="n"/>
      <c r="H73" s="123" t="n"/>
      <c r="I73" s="123" t="n"/>
      <c r="J73" s="125" t="n"/>
      <c r="K73" s="120" t="n"/>
      <c r="N73" s="117" t="n"/>
      <c r="O73" s="117" t="n"/>
      <c r="P73" s="117" t="n"/>
      <c r="Q73" s="117" t="n"/>
      <c r="R73" s="118" t="n"/>
      <c r="S73" s="119" t="n"/>
      <c r="T73" s="120" t="n"/>
      <c r="U73" s="123" t="n"/>
      <c r="V73" s="123" t="n"/>
      <c r="Y73" s="117" t="n"/>
      <c r="Z73" s="117" t="n"/>
      <c r="AA73" s="118" t="n"/>
      <c r="AB73" s="119" t="n"/>
      <c r="AC73" s="120" t="n"/>
      <c r="AD73" s="120" t="n"/>
      <c r="AE73" s="120" t="n"/>
    </row>
    <row r="74" ht="15" customHeight="1" s="72">
      <c r="A74" s="117" t="n"/>
      <c r="B74" s="117" t="n"/>
      <c r="C74" s="118" t="n"/>
      <c r="D74" s="118" t="n"/>
      <c r="E74" s="118" t="n"/>
      <c r="F74" s="123" t="n"/>
      <c r="G74" s="119" t="n"/>
      <c r="H74" s="123" t="n"/>
      <c r="I74" s="123" t="n"/>
      <c r="J74" s="125" t="n"/>
      <c r="K74" s="120" t="n"/>
      <c r="N74" s="117" t="n"/>
      <c r="O74" s="117" t="n"/>
      <c r="P74" s="117" t="n"/>
      <c r="Q74" s="117" t="n"/>
      <c r="R74" s="118" t="n"/>
      <c r="S74" s="119" t="n"/>
      <c r="T74" s="120" t="n"/>
      <c r="U74" s="123" t="n"/>
      <c r="V74" s="123" t="n"/>
      <c r="Y74" s="117" t="n"/>
      <c r="Z74" s="117" t="n"/>
      <c r="AA74" s="118" t="n"/>
      <c r="AB74" s="119" t="n"/>
      <c r="AC74" s="120" t="n"/>
      <c r="AD74" s="120" t="n"/>
      <c r="AE74" s="120" t="n"/>
    </row>
    <row r="75" ht="15" customHeight="1" s="72">
      <c r="A75" s="117" t="n"/>
      <c r="B75" s="117" t="n"/>
      <c r="C75" s="118" t="n"/>
      <c r="D75" s="118" t="n"/>
      <c r="E75" s="118" t="n"/>
      <c r="F75" s="123" t="n"/>
      <c r="G75" s="119" t="n"/>
      <c r="H75" s="123" t="n"/>
      <c r="I75" s="123" t="n"/>
      <c r="J75" s="125" t="n"/>
      <c r="K75" s="120" t="n"/>
      <c r="N75" s="117" t="n"/>
      <c r="O75" s="117" t="n"/>
      <c r="P75" s="117" t="n"/>
      <c r="Q75" s="117" t="n"/>
      <c r="R75" s="118" t="n"/>
      <c r="S75" s="119" t="n"/>
      <c r="T75" s="120" t="n"/>
      <c r="U75" s="123" t="n"/>
      <c r="V75" s="123" t="n"/>
      <c r="Y75" s="117" t="n"/>
      <c r="Z75" s="117" t="n"/>
      <c r="AA75" s="118" t="n"/>
      <c r="AB75" s="119" t="n"/>
      <c r="AC75" s="120" t="n"/>
      <c r="AD75" s="120" t="n"/>
      <c r="AE75" s="120" t="n"/>
    </row>
    <row r="76" ht="15" customHeight="1" s="72">
      <c r="A76" s="117" t="n"/>
      <c r="B76" s="117" t="n"/>
      <c r="C76" s="118" t="n"/>
      <c r="D76" s="118" t="n"/>
      <c r="E76" s="118" t="n"/>
      <c r="F76" s="123" t="n"/>
      <c r="G76" s="119" t="n"/>
      <c r="H76" s="123" t="n"/>
      <c r="I76" s="123" t="n"/>
      <c r="J76" s="125" t="n"/>
      <c r="K76" s="120" t="n"/>
      <c r="N76" s="117" t="n"/>
      <c r="O76" s="117" t="n"/>
      <c r="P76" s="117" t="n"/>
      <c r="Q76" s="117" t="n"/>
      <c r="R76" s="118" t="n"/>
      <c r="S76" s="119" t="n"/>
      <c r="T76" s="120" t="n"/>
      <c r="U76" s="123" t="n"/>
      <c r="V76" s="123" t="n"/>
      <c r="Y76" s="117" t="n"/>
      <c r="Z76" s="117" t="n"/>
      <c r="AA76" s="118" t="n"/>
      <c r="AB76" s="119" t="n"/>
      <c r="AC76" s="120" t="n"/>
      <c r="AD76" s="120" t="n"/>
      <c r="AE76" s="120" t="n"/>
    </row>
    <row r="77" ht="15" customHeight="1" s="72">
      <c r="A77" s="117" t="n"/>
      <c r="B77" s="117" t="n"/>
      <c r="C77" s="118" t="n"/>
      <c r="D77" s="118" t="n"/>
      <c r="E77" s="118" t="n"/>
      <c r="F77" s="123" t="n"/>
      <c r="G77" s="119" t="n"/>
      <c r="H77" s="123" t="n"/>
      <c r="I77" s="123" t="n"/>
      <c r="J77" s="125" t="n"/>
      <c r="K77" s="120" t="n"/>
      <c r="N77" s="117" t="n"/>
      <c r="O77" s="117" t="n"/>
      <c r="P77" s="117" t="n"/>
      <c r="Q77" s="117" t="n"/>
      <c r="R77" s="118" t="n"/>
      <c r="S77" s="119" t="n"/>
      <c r="T77" s="120" t="n"/>
      <c r="U77" s="123" t="n"/>
      <c r="V77" s="123" t="n"/>
      <c r="Y77" s="117" t="n"/>
      <c r="Z77" s="117" t="n"/>
      <c r="AA77" s="118" t="n"/>
      <c r="AB77" s="119" t="n"/>
      <c r="AC77" s="120" t="n"/>
      <c r="AD77" s="120" t="n"/>
      <c r="AE77" s="120" t="n"/>
    </row>
    <row r="78" ht="15" customHeight="1" s="72">
      <c r="A78" s="117" t="n"/>
      <c r="B78" s="117" t="n"/>
      <c r="C78" s="118" t="n"/>
      <c r="D78" s="118" t="n"/>
      <c r="E78" s="118" t="n"/>
      <c r="F78" s="123" t="n"/>
      <c r="G78" s="119" t="n"/>
      <c r="H78" s="123" t="n"/>
      <c r="I78" s="123" t="n"/>
      <c r="J78" s="125" t="n"/>
      <c r="K78" s="120" t="n"/>
      <c r="N78" s="117" t="n"/>
      <c r="O78" s="117" t="n"/>
      <c r="P78" s="117" t="n"/>
      <c r="Q78" s="117" t="n"/>
      <c r="R78" s="118" t="n"/>
      <c r="S78" s="119" t="n"/>
      <c r="T78" s="120" t="n"/>
      <c r="U78" s="123" t="n"/>
      <c r="V78" s="123" t="n"/>
      <c r="Y78" s="117" t="n"/>
      <c r="Z78" s="117" t="n"/>
      <c r="AA78" s="118" t="n"/>
      <c r="AB78" s="119" t="n"/>
      <c r="AC78" s="120" t="n"/>
      <c r="AD78" s="120" t="n"/>
      <c r="AE78" s="120" t="n"/>
    </row>
    <row r="79" ht="15" customHeight="1" s="72">
      <c r="A79" s="117" t="n"/>
      <c r="B79" s="117" t="n"/>
      <c r="C79" s="118" t="n"/>
      <c r="D79" s="118" t="n"/>
      <c r="E79" s="118" t="n"/>
      <c r="F79" s="123" t="n"/>
      <c r="G79" s="119" t="n"/>
      <c r="H79" s="123" t="n"/>
      <c r="I79" s="123" t="n"/>
      <c r="J79" s="125" t="n"/>
      <c r="K79" s="120" t="n"/>
      <c r="N79" s="117" t="n"/>
      <c r="O79" s="117" t="n"/>
      <c r="P79" s="117" t="n"/>
      <c r="Q79" s="117" t="n"/>
      <c r="R79" s="118" t="n"/>
      <c r="S79" s="119" t="n"/>
      <c r="T79" s="120" t="n"/>
      <c r="U79" s="123" t="n"/>
      <c r="V79" s="123" t="n"/>
      <c r="Y79" s="117" t="n"/>
      <c r="Z79" s="117" t="n"/>
      <c r="AA79" s="118" t="n"/>
      <c r="AB79" s="119" t="n"/>
      <c r="AC79" s="120" t="n"/>
      <c r="AD79" s="120" t="n"/>
      <c r="AE79" s="120" t="n"/>
    </row>
    <row r="80" ht="15" customHeight="1" s="72">
      <c r="A80" s="117" t="n"/>
      <c r="B80" s="117" t="n"/>
      <c r="C80" s="118" t="n"/>
      <c r="D80" s="118" t="n"/>
      <c r="E80" s="118" t="n"/>
      <c r="F80" s="123" t="n"/>
      <c r="G80" s="119" t="n"/>
      <c r="H80" s="123" t="n"/>
      <c r="I80" s="123" t="n"/>
      <c r="J80" s="125" t="n"/>
      <c r="K80" s="120" t="n"/>
      <c r="N80" s="117" t="n"/>
      <c r="O80" s="117" t="n"/>
      <c r="P80" s="117" t="n"/>
      <c r="Q80" s="117" t="n"/>
      <c r="R80" s="118" t="n"/>
      <c r="S80" s="119" t="n"/>
      <c r="T80" s="120" t="n"/>
      <c r="U80" s="123" t="n"/>
      <c r="V80" s="123" t="n"/>
      <c r="Y80" s="117" t="n"/>
      <c r="Z80" s="117" t="n"/>
      <c r="AA80" s="118" t="n"/>
      <c r="AB80" s="119" t="n"/>
      <c r="AC80" s="120" t="n"/>
      <c r="AD80" s="120" t="n"/>
      <c r="AE80" s="120" t="n"/>
    </row>
    <row r="81" ht="15" customHeight="1" s="72">
      <c r="A81" s="117" t="n"/>
      <c r="B81" s="117" t="n"/>
      <c r="C81" s="118" t="n"/>
      <c r="D81" s="118" t="n"/>
      <c r="E81" s="118" t="n"/>
      <c r="F81" s="123" t="n"/>
      <c r="G81" s="119" t="n"/>
      <c r="H81" s="123" t="n"/>
      <c r="I81" s="123" t="n"/>
      <c r="J81" s="125" t="n"/>
      <c r="K81" s="120" t="n"/>
      <c r="N81" s="117" t="n"/>
      <c r="O81" s="117" t="n"/>
      <c r="P81" s="117" t="n"/>
      <c r="Q81" s="117" t="n"/>
      <c r="R81" s="118" t="n"/>
      <c r="S81" s="119" t="n"/>
      <c r="T81" s="120" t="n"/>
      <c r="U81" s="123" t="n"/>
      <c r="V81" s="123" t="n"/>
      <c r="Y81" s="117" t="n"/>
      <c r="Z81" s="117" t="n"/>
      <c r="AA81" s="118" t="n"/>
      <c r="AB81" s="119" t="n"/>
      <c r="AC81" s="120" t="n"/>
      <c r="AD81" s="120" t="n"/>
      <c r="AE81" s="120" t="n"/>
    </row>
    <row r="82" ht="15" customHeight="1" s="72">
      <c r="A82" s="117" t="n"/>
      <c r="B82" s="117" t="n"/>
      <c r="C82" s="118" t="n"/>
      <c r="D82" s="118" t="n"/>
      <c r="E82" s="118" t="n"/>
      <c r="F82" s="123" t="n"/>
      <c r="G82" s="119" t="n"/>
      <c r="H82" s="123" t="n"/>
      <c r="I82" s="123" t="n"/>
      <c r="J82" s="125" t="n"/>
      <c r="K82" s="120" t="n"/>
      <c r="N82" s="117" t="n"/>
      <c r="O82" s="117" t="n"/>
      <c r="P82" s="117" t="n"/>
      <c r="Q82" s="117" t="n"/>
      <c r="R82" s="118" t="n"/>
      <c r="S82" s="119" t="n"/>
      <c r="T82" s="120" t="n"/>
      <c r="U82" s="123" t="n"/>
      <c r="V82" s="123" t="n"/>
      <c r="Y82" s="117" t="n"/>
      <c r="Z82" s="117" t="n"/>
      <c r="AA82" s="118" t="n"/>
      <c r="AB82" s="119" t="n"/>
      <c r="AC82" s="120" t="n"/>
      <c r="AD82" s="120" t="n"/>
      <c r="AE82" s="120" t="n"/>
    </row>
    <row r="83" ht="15" customHeight="1" s="72">
      <c r="A83" s="117" t="n"/>
      <c r="B83" s="117" t="n"/>
      <c r="C83" s="118" t="n"/>
      <c r="D83" s="118" t="n"/>
      <c r="E83" s="118" t="n"/>
      <c r="F83" s="123" t="n"/>
      <c r="G83" s="119" t="n"/>
      <c r="H83" s="123" t="n"/>
      <c r="I83" s="123" t="n"/>
      <c r="J83" s="125" t="n"/>
      <c r="K83" s="120" t="n"/>
      <c r="N83" s="117" t="n"/>
      <c r="O83" s="117" t="n"/>
      <c r="P83" s="117" t="n"/>
      <c r="Q83" s="117" t="n"/>
      <c r="R83" s="118" t="n"/>
      <c r="S83" s="119" t="n"/>
      <c r="T83" s="120" t="n"/>
      <c r="U83" s="123" t="n"/>
      <c r="V83" s="123" t="n"/>
      <c r="Y83" s="117" t="n"/>
      <c r="Z83" s="117" t="n"/>
      <c r="AA83" s="118" t="n"/>
      <c r="AB83" s="119" t="n"/>
      <c r="AC83" s="120" t="n"/>
      <c r="AD83" s="120" t="n"/>
      <c r="AE83" s="120" t="n"/>
    </row>
    <row r="84" ht="15" customHeight="1" s="72">
      <c r="A84" s="117" t="n"/>
      <c r="B84" s="117" t="n"/>
      <c r="C84" s="118" t="n"/>
      <c r="D84" s="118" t="n"/>
      <c r="E84" s="118" t="n"/>
      <c r="F84" s="123" t="n"/>
      <c r="G84" s="119" t="n"/>
      <c r="H84" s="123" t="n"/>
      <c r="I84" s="123" t="n"/>
      <c r="J84" s="125" t="n"/>
      <c r="K84" s="120" t="n"/>
      <c r="N84" s="117" t="n"/>
      <c r="O84" s="117" t="n"/>
      <c r="P84" s="117" t="n"/>
      <c r="Q84" s="117" t="n"/>
      <c r="R84" s="118" t="n"/>
      <c r="S84" s="119" t="n"/>
      <c r="T84" s="120" t="n"/>
      <c r="U84" s="123" t="n"/>
      <c r="V84" s="123" t="n"/>
      <c r="Y84" s="117" t="n"/>
      <c r="Z84" s="117" t="n"/>
      <c r="AA84" s="118" t="n"/>
      <c r="AB84" s="119" t="n"/>
      <c r="AC84" s="120" t="n"/>
      <c r="AD84" s="120" t="n"/>
      <c r="AE84" s="120" t="n"/>
    </row>
    <row r="85" ht="15" customHeight="1" s="72">
      <c r="A85" s="117" t="n"/>
      <c r="B85" s="117" t="n"/>
      <c r="C85" s="118" t="n"/>
      <c r="D85" s="118" t="n"/>
      <c r="E85" s="118" t="n"/>
      <c r="F85" s="123" t="n"/>
      <c r="G85" s="119" t="n"/>
      <c r="H85" s="123" t="n"/>
      <c r="I85" s="123" t="n"/>
      <c r="J85" s="125" t="n"/>
      <c r="K85" s="120" t="n"/>
      <c r="N85" s="117" t="n"/>
      <c r="O85" s="117" t="n"/>
      <c r="P85" s="117" t="n"/>
      <c r="Q85" s="117" t="n"/>
      <c r="R85" s="118" t="n"/>
      <c r="S85" s="119" t="n"/>
      <c r="T85" s="120" t="n"/>
      <c r="U85" s="123" t="n"/>
      <c r="V85" s="123" t="n"/>
      <c r="Y85" s="117" t="n"/>
      <c r="Z85" s="117" t="n"/>
      <c r="AA85" s="118" t="n"/>
      <c r="AB85" s="119" t="n"/>
      <c r="AC85" s="120" t="n"/>
      <c r="AD85" s="120" t="n"/>
      <c r="AE85" s="120" t="n"/>
    </row>
    <row r="86" ht="15" customHeight="1" s="72">
      <c r="A86" s="117" t="n"/>
      <c r="B86" s="117" t="n"/>
      <c r="C86" s="118" t="n"/>
      <c r="D86" s="118" t="n"/>
      <c r="E86" s="118" t="n"/>
      <c r="F86" s="123" t="n"/>
      <c r="G86" s="119" t="n"/>
      <c r="H86" s="123" t="n"/>
      <c r="I86" s="123" t="n"/>
      <c r="J86" s="125" t="n"/>
      <c r="K86" s="120" t="n"/>
      <c r="N86" s="117" t="n"/>
      <c r="O86" s="117" t="n"/>
      <c r="P86" s="117" t="n"/>
      <c r="Q86" s="117" t="n"/>
      <c r="R86" s="118" t="n"/>
      <c r="S86" s="119" t="n"/>
      <c r="T86" s="120" t="n"/>
      <c r="U86" s="123" t="n"/>
      <c r="V86" s="123" t="n"/>
      <c r="Y86" s="117" t="n"/>
      <c r="Z86" s="117" t="n"/>
      <c r="AA86" s="118" t="n"/>
      <c r="AB86" s="119" t="n"/>
      <c r="AC86" s="120" t="n"/>
      <c r="AD86" s="120" t="n"/>
      <c r="AE86" s="120" t="n"/>
    </row>
    <row r="87" ht="15" customHeight="1" s="72">
      <c r="A87" s="117" t="n"/>
      <c r="B87" s="117" t="n"/>
      <c r="C87" s="118" t="n"/>
      <c r="D87" s="118" t="n"/>
      <c r="E87" s="118" t="n"/>
      <c r="F87" s="123" t="n"/>
      <c r="G87" s="119" t="n"/>
      <c r="H87" s="123" t="n"/>
      <c r="I87" s="123" t="n"/>
      <c r="J87" s="125" t="n"/>
      <c r="K87" s="120" t="n"/>
      <c r="N87" s="117" t="n"/>
      <c r="O87" s="117" t="n"/>
      <c r="P87" s="117" t="n"/>
      <c r="Q87" s="117" t="n"/>
      <c r="R87" s="118" t="n"/>
      <c r="S87" s="119" t="n"/>
      <c r="T87" s="120" t="n"/>
      <c r="U87" s="123" t="n"/>
      <c r="V87" s="123" t="n"/>
      <c r="Y87" s="117" t="n"/>
      <c r="Z87" s="117" t="n"/>
      <c r="AA87" s="118" t="n"/>
      <c r="AB87" s="119" t="n"/>
      <c r="AC87" s="120" t="n"/>
      <c r="AD87" s="120" t="n"/>
      <c r="AE87" s="120" t="n"/>
    </row>
    <row r="88" ht="15" customHeight="1" s="72">
      <c r="A88" s="117" t="n"/>
      <c r="B88" s="117" t="n"/>
      <c r="C88" s="118" t="n"/>
      <c r="D88" s="118" t="n"/>
      <c r="E88" s="118" t="n"/>
      <c r="F88" s="123" t="n"/>
      <c r="G88" s="119" t="n"/>
      <c r="H88" s="123" t="n"/>
      <c r="I88" s="123" t="n"/>
      <c r="J88" s="125" t="n"/>
      <c r="K88" s="120" t="n"/>
      <c r="N88" s="117" t="n"/>
      <c r="O88" s="117" t="n"/>
      <c r="P88" s="117" t="n"/>
      <c r="Q88" s="117" t="n"/>
      <c r="R88" s="118" t="n"/>
      <c r="S88" s="119" t="n"/>
      <c r="T88" s="120" t="n"/>
      <c r="U88" s="123" t="n"/>
      <c r="V88" s="123" t="n"/>
      <c r="Y88" s="117" t="n"/>
      <c r="Z88" s="117" t="n"/>
      <c r="AA88" s="118" t="n"/>
      <c r="AB88" s="119" t="n"/>
      <c r="AC88" s="120" t="n"/>
      <c r="AD88" s="120" t="n"/>
      <c r="AE88" s="120" t="n"/>
    </row>
    <row r="89" ht="15" customHeight="1" s="72">
      <c r="A89" s="117" t="n"/>
      <c r="B89" s="117" t="n"/>
      <c r="C89" s="118" t="n"/>
      <c r="D89" s="118" t="n"/>
      <c r="E89" s="118" t="n"/>
      <c r="F89" s="123" t="n"/>
      <c r="G89" s="119" t="n"/>
      <c r="H89" s="123" t="n"/>
      <c r="I89" s="123" t="n"/>
      <c r="J89" s="125" t="n"/>
      <c r="K89" s="120" t="n"/>
      <c r="N89" s="117" t="n"/>
      <c r="O89" s="117" t="n"/>
      <c r="P89" s="117" t="n"/>
      <c r="Q89" s="117" t="n"/>
      <c r="R89" s="118" t="n"/>
      <c r="S89" s="119" t="n"/>
      <c r="T89" s="120" t="n"/>
      <c r="U89" s="123" t="n"/>
      <c r="V89" s="123" t="n"/>
      <c r="Y89" s="117" t="n"/>
      <c r="Z89" s="117" t="n"/>
      <c r="AA89" s="118" t="n"/>
      <c r="AB89" s="119" t="n"/>
      <c r="AC89" s="120" t="n"/>
      <c r="AD89" s="120" t="n"/>
      <c r="AE89" s="120" t="n"/>
    </row>
    <row r="90" ht="15" customHeight="1" s="72">
      <c r="A90" s="117" t="n"/>
      <c r="B90" s="117" t="n"/>
      <c r="C90" s="118" t="n"/>
      <c r="D90" s="118" t="n"/>
      <c r="E90" s="118" t="n"/>
      <c r="F90" s="123" t="n"/>
      <c r="G90" s="119" t="n"/>
      <c r="H90" s="123" t="n"/>
      <c r="I90" s="123" t="n"/>
      <c r="J90" s="125" t="n"/>
      <c r="K90" s="120" t="n"/>
      <c r="N90" s="117" t="n"/>
      <c r="O90" s="117" t="n"/>
      <c r="P90" s="117" t="n"/>
      <c r="Q90" s="117" t="n"/>
      <c r="R90" s="118" t="n"/>
      <c r="S90" s="119" t="n"/>
      <c r="T90" s="120" t="n"/>
      <c r="U90" s="123" t="n"/>
      <c r="V90" s="123" t="n"/>
      <c r="Y90" s="117" t="n"/>
      <c r="Z90" s="117" t="n"/>
      <c r="AA90" s="118" t="n"/>
      <c r="AB90" s="119" t="n"/>
      <c r="AC90" s="120" t="n"/>
      <c r="AD90" s="120" t="n"/>
      <c r="AE90" s="120" t="n"/>
    </row>
    <row r="91" ht="15" customHeight="1" s="72">
      <c r="A91" s="117" t="n"/>
      <c r="B91" s="117" t="n"/>
      <c r="C91" s="118" t="n"/>
      <c r="D91" s="118" t="n"/>
      <c r="E91" s="118" t="n"/>
      <c r="F91" s="123" t="n"/>
      <c r="G91" s="119" t="n"/>
      <c r="H91" s="123" t="n"/>
      <c r="I91" s="123" t="n"/>
      <c r="J91" s="125" t="n"/>
      <c r="K91" s="120" t="n"/>
      <c r="N91" s="117" t="n"/>
      <c r="O91" s="117" t="n"/>
      <c r="P91" s="117" t="n"/>
      <c r="Q91" s="117" t="n"/>
      <c r="R91" s="118" t="n"/>
      <c r="S91" s="119" t="n"/>
      <c r="T91" s="120" t="n"/>
      <c r="U91" s="123" t="n"/>
      <c r="V91" s="123" t="n"/>
      <c r="Y91" s="117" t="n"/>
      <c r="Z91" s="117" t="n"/>
      <c r="AA91" s="118" t="n"/>
      <c r="AB91" s="119" t="n"/>
      <c r="AC91" s="120" t="n"/>
      <c r="AD91" s="120" t="n"/>
      <c r="AE91" s="120" t="n"/>
    </row>
    <row r="92" ht="15" customHeight="1" s="72">
      <c r="A92" s="117" t="n"/>
      <c r="B92" s="117" t="n"/>
      <c r="C92" s="118" t="n"/>
      <c r="D92" s="118" t="n"/>
      <c r="E92" s="118" t="n"/>
      <c r="F92" s="123" t="n"/>
      <c r="G92" s="119" t="n"/>
      <c r="H92" s="123" t="n"/>
      <c r="I92" s="123" t="n"/>
      <c r="J92" s="125" t="n"/>
      <c r="K92" s="120" t="n"/>
      <c r="N92" s="117" t="n"/>
      <c r="O92" s="117" t="n"/>
      <c r="P92" s="117" t="n"/>
      <c r="Q92" s="117" t="n"/>
      <c r="R92" s="118" t="n"/>
      <c r="S92" s="119" t="n"/>
      <c r="T92" s="120" t="n"/>
      <c r="U92" s="123" t="n"/>
      <c r="V92" s="123" t="n"/>
      <c r="Y92" s="117" t="n"/>
      <c r="Z92" s="117" t="n"/>
      <c r="AA92" s="118" t="n"/>
      <c r="AB92" s="119" t="n"/>
      <c r="AC92" s="120" t="n"/>
      <c r="AD92" s="120" t="n"/>
      <c r="AE92" s="120" t="n"/>
    </row>
    <row r="93" ht="15" customHeight="1" s="72">
      <c r="A93" s="117" t="n"/>
      <c r="B93" s="117" t="n"/>
      <c r="C93" s="118" t="n"/>
      <c r="D93" s="118" t="n"/>
      <c r="E93" s="118" t="n"/>
      <c r="F93" s="123" t="n"/>
      <c r="G93" s="119" t="n"/>
      <c r="H93" s="123" t="n"/>
      <c r="I93" s="123" t="n"/>
      <c r="J93" s="125" t="n"/>
      <c r="K93" s="120" t="n"/>
      <c r="N93" s="117" t="n"/>
      <c r="O93" s="117" t="n"/>
      <c r="P93" s="117" t="n"/>
      <c r="Q93" s="117" t="n"/>
      <c r="R93" s="118" t="n"/>
      <c r="S93" s="119" t="n"/>
      <c r="T93" s="120" t="n"/>
      <c r="U93" s="123" t="n"/>
      <c r="V93" s="123" t="n"/>
      <c r="Y93" s="117" t="n"/>
      <c r="Z93" s="117" t="n"/>
      <c r="AA93" s="118" t="n"/>
      <c r="AB93" s="119" t="n"/>
      <c r="AC93" s="120" t="n"/>
      <c r="AD93" s="120" t="n"/>
      <c r="AE93" s="120" t="n"/>
    </row>
    <row r="94" ht="15" customHeight="1" s="72">
      <c r="A94" s="117" t="n"/>
      <c r="B94" s="117" t="n"/>
      <c r="C94" s="118" t="n"/>
      <c r="D94" s="118" t="n"/>
      <c r="E94" s="118" t="n"/>
      <c r="F94" s="123" t="n"/>
      <c r="G94" s="119" t="n"/>
      <c r="H94" s="123" t="n"/>
      <c r="I94" s="123" t="n"/>
      <c r="J94" s="125" t="n"/>
      <c r="K94" s="120" t="n"/>
      <c r="N94" s="117" t="n"/>
      <c r="O94" s="117" t="n"/>
      <c r="P94" s="117" t="n"/>
      <c r="Q94" s="117" t="n"/>
      <c r="R94" s="118" t="n"/>
      <c r="S94" s="119" t="n"/>
      <c r="T94" s="120" t="n"/>
      <c r="U94" s="123" t="n"/>
      <c r="V94" s="123" t="n"/>
      <c r="Y94" s="117" t="n"/>
      <c r="Z94" s="117" t="n"/>
      <c r="AA94" s="118" t="n"/>
      <c r="AB94" s="119" t="n"/>
      <c r="AC94" s="120" t="n"/>
      <c r="AD94" s="120" t="n"/>
      <c r="AE94" s="120" t="n"/>
    </row>
    <row r="95" ht="15" customHeight="1" s="72">
      <c r="A95" s="117" t="n"/>
      <c r="B95" s="117" t="n"/>
      <c r="C95" s="118" t="n"/>
      <c r="D95" s="118" t="n"/>
      <c r="E95" s="118" t="n"/>
      <c r="F95" s="123" t="n"/>
      <c r="G95" s="119" t="n"/>
      <c r="H95" s="123" t="n"/>
      <c r="I95" s="123" t="n"/>
      <c r="J95" s="125" t="n"/>
      <c r="K95" s="120" t="n"/>
      <c r="N95" s="117" t="n"/>
      <c r="O95" s="117" t="n"/>
      <c r="P95" s="117" t="n"/>
      <c r="Q95" s="117" t="n"/>
      <c r="R95" s="118" t="n"/>
      <c r="S95" s="119" t="n"/>
      <c r="T95" s="120" t="n"/>
      <c r="U95" s="123" t="n"/>
      <c r="V95" s="123" t="n"/>
      <c r="Y95" s="117" t="n"/>
      <c r="Z95" s="117" t="n"/>
      <c r="AA95" s="118" t="n"/>
      <c r="AB95" s="119" t="n"/>
      <c r="AC95" s="120" t="n"/>
      <c r="AD95" s="120" t="n"/>
      <c r="AE95" s="120" t="n"/>
    </row>
    <row r="96" ht="15" customHeight="1" s="72">
      <c r="A96" s="117" t="n"/>
      <c r="B96" s="117" t="n"/>
      <c r="C96" s="118" t="n"/>
      <c r="D96" s="118" t="n"/>
      <c r="E96" s="118" t="n"/>
      <c r="F96" s="123" t="n"/>
      <c r="G96" s="119" t="n"/>
      <c r="H96" s="123" t="n"/>
      <c r="I96" s="123" t="n"/>
      <c r="J96" s="125" t="n"/>
      <c r="K96" s="120" t="n"/>
      <c r="N96" s="117" t="n"/>
      <c r="O96" s="117" t="n"/>
      <c r="P96" s="117" t="n"/>
      <c r="Q96" s="117" t="n"/>
      <c r="R96" s="118" t="n"/>
      <c r="S96" s="119" t="n"/>
      <c r="T96" s="120" t="n"/>
      <c r="U96" s="123" t="n"/>
      <c r="V96" s="123" t="n"/>
      <c r="Y96" s="117" t="n"/>
      <c r="Z96" s="117" t="n"/>
      <c r="AA96" s="118" t="n"/>
      <c r="AB96" s="119" t="n"/>
      <c r="AC96" s="120" t="n"/>
      <c r="AD96" s="120" t="n"/>
      <c r="AE96" s="120" t="n"/>
    </row>
    <row r="97" ht="15" customHeight="1" s="72">
      <c r="A97" s="117" t="n"/>
      <c r="B97" s="117" t="n"/>
      <c r="C97" s="118" t="n"/>
      <c r="D97" s="118" t="n"/>
      <c r="E97" s="118" t="n"/>
      <c r="F97" s="123" t="n"/>
      <c r="G97" s="119" t="n"/>
      <c r="H97" s="123" t="n"/>
      <c r="I97" s="123" t="n"/>
      <c r="J97" s="125" t="n"/>
      <c r="K97" s="120" t="n"/>
      <c r="N97" s="117" t="n"/>
      <c r="O97" s="117" t="n"/>
      <c r="P97" s="117" t="n"/>
      <c r="Q97" s="117" t="n"/>
      <c r="R97" s="118" t="n"/>
      <c r="S97" s="119" t="n"/>
      <c r="T97" s="120" t="n"/>
      <c r="U97" s="123" t="n"/>
      <c r="V97" s="123" t="n"/>
      <c r="Y97" s="117" t="n"/>
      <c r="Z97" s="117" t="n"/>
      <c r="AA97" s="118" t="n"/>
      <c r="AB97" s="119" t="n"/>
      <c r="AC97" s="120" t="n"/>
      <c r="AD97" s="120" t="n"/>
      <c r="AE97" s="120" t="n"/>
    </row>
    <row r="98" ht="15" customHeight="1" s="72">
      <c r="A98" s="117" t="n"/>
      <c r="B98" s="117" t="n"/>
      <c r="C98" s="118" t="n"/>
      <c r="D98" s="118" t="n"/>
      <c r="E98" s="118" t="n"/>
      <c r="F98" s="123" t="n"/>
      <c r="G98" s="119" t="n"/>
      <c r="H98" s="123" t="n"/>
      <c r="I98" s="123" t="n"/>
      <c r="J98" s="125" t="n"/>
      <c r="K98" s="120" t="n"/>
      <c r="N98" s="117" t="n"/>
      <c r="O98" s="117" t="n"/>
      <c r="P98" s="117" t="n"/>
      <c r="Q98" s="117" t="n"/>
      <c r="R98" s="118" t="n"/>
      <c r="S98" s="119" t="n"/>
      <c r="T98" s="120" t="n"/>
      <c r="U98" s="123" t="n"/>
      <c r="V98" s="123" t="n"/>
      <c r="Y98" s="117" t="n"/>
      <c r="Z98" s="117" t="n"/>
      <c r="AA98" s="118" t="n"/>
      <c r="AB98" s="119" t="n"/>
      <c r="AC98" s="120" t="n"/>
      <c r="AD98" s="120" t="n"/>
      <c r="AE98" s="120" t="n"/>
    </row>
    <row r="99" ht="15" customHeight="1" s="72">
      <c r="A99" s="117" t="n"/>
      <c r="B99" s="117" t="n"/>
      <c r="C99" s="118" t="n"/>
      <c r="D99" s="118" t="n"/>
      <c r="E99" s="118" t="n"/>
      <c r="F99" s="123" t="n"/>
      <c r="G99" s="119" t="n"/>
      <c r="H99" s="123" t="n"/>
      <c r="I99" s="123" t="n"/>
      <c r="J99" s="125" t="n"/>
      <c r="K99" s="120" t="n"/>
      <c r="N99" s="117" t="n"/>
      <c r="O99" s="117" t="n"/>
      <c r="P99" s="117" t="n"/>
      <c r="Q99" s="117" t="n"/>
      <c r="R99" s="118" t="n"/>
      <c r="S99" s="119" t="n"/>
      <c r="T99" s="120" t="n"/>
      <c r="U99" s="123" t="n"/>
      <c r="V99" s="123" t="n"/>
      <c r="Y99" s="117" t="n"/>
      <c r="Z99" s="117" t="n"/>
      <c r="AA99" s="118" t="n"/>
      <c r="AB99" s="119" t="n"/>
      <c r="AC99" s="120" t="n"/>
      <c r="AD99" s="120" t="n"/>
      <c r="AE99" s="120" t="n"/>
    </row>
    <row r="100" ht="15" customHeight="1" s="72">
      <c r="A100" s="117" t="n"/>
      <c r="B100" s="117" t="n"/>
      <c r="C100" s="118" t="n"/>
      <c r="D100" s="118" t="n"/>
      <c r="E100" s="118" t="n"/>
      <c r="F100" s="123" t="n"/>
      <c r="G100" s="119" t="n"/>
      <c r="H100" s="123" t="n"/>
      <c r="I100" s="123" t="n"/>
      <c r="J100" s="125" t="n"/>
      <c r="K100" s="120" t="n"/>
      <c r="N100" s="117" t="n"/>
      <c r="O100" s="117" t="n"/>
      <c r="P100" s="117" t="n"/>
      <c r="Q100" s="117" t="n"/>
      <c r="R100" s="118" t="n"/>
      <c r="S100" s="119" t="n"/>
      <c r="T100" s="120" t="n"/>
      <c r="U100" s="123" t="n"/>
      <c r="V100" s="123" t="n"/>
      <c r="Y100" s="117" t="n"/>
      <c r="Z100" s="117" t="n"/>
      <c r="AA100" s="118" t="n"/>
      <c r="AB100" s="119" t="n"/>
      <c r="AC100" s="120" t="n"/>
      <c r="AD100" s="120" t="n"/>
      <c r="AE100" s="120" t="n"/>
    </row>
    <row r="101" ht="15" customHeight="1" s="72">
      <c r="A101" s="117" t="n"/>
      <c r="B101" s="117" t="n"/>
      <c r="C101" s="118" t="n"/>
      <c r="D101" s="118" t="n"/>
      <c r="E101" s="118" t="n"/>
      <c r="F101" s="123" t="n"/>
      <c r="G101" s="119" t="n"/>
      <c r="H101" s="123" t="n"/>
      <c r="I101" s="123" t="n"/>
      <c r="J101" s="125" t="n"/>
      <c r="K101" s="120" t="n"/>
      <c r="N101" s="117" t="n"/>
      <c r="O101" s="117" t="n"/>
      <c r="P101" s="117" t="n"/>
      <c r="Q101" s="117" t="n"/>
      <c r="R101" s="118" t="n"/>
      <c r="S101" s="119" t="n"/>
      <c r="T101" s="120" t="n"/>
      <c r="U101" s="123" t="n"/>
      <c r="V101" s="123" t="n"/>
      <c r="Y101" s="117" t="n"/>
      <c r="Z101" s="117" t="n"/>
      <c r="AA101" s="118" t="n"/>
      <c r="AB101" s="119" t="n"/>
      <c r="AC101" s="120" t="n"/>
      <c r="AD101" s="120" t="n"/>
      <c r="AE101" s="120" t="n"/>
    </row>
    <row r="102" ht="15" customHeight="1" s="72">
      <c r="A102" s="117" t="n"/>
      <c r="B102" s="117" t="n"/>
      <c r="C102" s="118" t="n"/>
      <c r="D102" s="118" t="n"/>
      <c r="E102" s="118" t="n"/>
      <c r="F102" s="123" t="n"/>
      <c r="G102" s="119" t="n"/>
      <c r="H102" s="123" t="n"/>
      <c r="I102" s="123" t="n"/>
      <c r="J102" s="125" t="n"/>
      <c r="K102" s="120" t="n"/>
      <c r="N102" s="117" t="n"/>
      <c r="O102" s="117" t="n"/>
      <c r="P102" s="117" t="n"/>
      <c r="Q102" s="117" t="n"/>
      <c r="R102" s="118" t="n"/>
      <c r="S102" s="119" t="n"/>
      <c r="T102" s="120" t="n"/>
      <c r="U102" s="123" t="n"/>
      <c r="V102" s="123" t="n"/>
      <c r="Y102" s="117" t="n"/>
      <c r="Z102" s="117" t="n"/>
      <c r="AA102" s="118" t="n"/>
      <c r="AB102" s="119" t="n"/>
      <c r="AC102" s="120" t="n"/>
      <c r="AD102" s="120" t="n"/>
      <c r="AE102" s="120" t="n"/>
    </row>
    <row r="103" ht="15" customHeight="1" s="72">
      <c r="A103" s="117" t="n"/>
      <c r="B103" s="117" t="n"/>
      <c r="C103" s="118" t="n"/>
      <c r="D103" s="118" t="n"/>
      <c r="E103" s="118" t="n"/>
      <c r="F103" s="123" t="n"/>
      <c r="G103" s="119" t="n"/>
      <c r="H103" s="123" t="n"/>
      <c r="I103" s="123" t="n"/>
      <c r="J103" s="125" t="n"/>
      <c r="K103" s="120" t="n"/>
      <c r="N103" s="117" t="n"/>
      <c r="O103" s="117" t="n"/>
      <c r="P103" s="117" t="n"/>
      <c r="Q103" s="117" t="n"/>
      <c r="R103" s="118" t="n"/>
      <c r="S103" s="119" t="n"/>
      <c r="T103" s="120" t="n"/>
      <c r="U103" s="123" t="n"/>
      <c r="V103" s="123" t="n"/>
      <c r="Y103" s="117" t="n"/>
      <c r="Z103" s="117" t="n"/>
      <c r="AA103" s="118" t="n"/>
      <c r="AB103" s="119" t="n"/>
      <c r="AC103" s="120" t="n"/>
      <c r="AD103" s="120" t="n"/>
      <c r="AE103" s="120" t="n"/>
    </row>
    <row r="104" ht="15" customHeight="1" s="72">
      <c r="A104" s="117" t="n"/>
      <c r="B104" s="117" t="n"/>
      <c r="C104" s="118" t="n"/>
      <c r="D104" s="118" t="n"/>
      <c r="E104" s="118" t="n"/>
      <c r="F104" s="123" t="n"/>
      <c r="G104" s="119" t="n"/>
      <c r="H104" s="123" t="n"/>
      <c r="I104" s="123" t="n"/>
      <c r="J104" s="125" t="n"/>
      <c r="K104" s="120" t="n"/>
      <c r="N104" s="117" t="n"/>
      <c r="O104" s="117" t="n"/>
      <c r="P104" s="117" t="n"/>
      <c r="Q104" s="117" t="n"/>
      <c r="R104" s="118" t="n"/>
      <c r="S104" s="119" t="n"/>
      <c r="T104" s="120" t="n"/>
      <c r="U104" s="123" t="n"/>
      <c r="V104" s="123" t="n"/>
      <c r="Y104" s="117" t="n"/>
      <c r="Z104" s="117" t="n"/>
      <c r="AA104" s="118" t="n"/>
      <c r="AB104" s="119" t="n"/>
      <c r="AC104" s="120" t="n"/>
      <c r="AD104" s="120" t="n"/>
      <c r="AE104" s="120" t="n"/>
    </row>
    <row r="105" ht="15" customHeight="1" s="72">
      <c r="A105" s="117" t="n"/>
      <c r="B105" s="117" t="n"/>
      <c r="C105" s="118" t="n"/>
      <c r="D105" s="118" t="n"/>
      <c r="E105" s="118" t="n"/>
      <c r="F105" s="123" t="n"/>
      <c r="G105" s="119" t="n"/>
      <c r="H105" s="123" t="n"/>
      <c r="I105" s="123" t="n"/>
      <c r="J105" s="125" t="n"/>
      <c r="K105" s="120" t="n"/>
      <c r="N105" s="117" t="n"/>
      <c r="O105" s="117" t="n"/>
      <c r="P105" s="117" t="n"/>
      <c r="Q105" s="117" t="n"/>
      <c r="R105" s="118" t="n"/>
      <c r="S105" s="119" t="n"/>
      <c r="T105" s="120" t="n"/>
      <c r="U105" s="123" t="n"/>
      <c r="V105" s="123" t="n"/>
      <c r="Y105" s="117" t="n"/>
      <c r="Z105" s="117" t="n"/>
      <c r="AA105" s="118" t="n"/>
      <c r="AB105" s="119" t="n"/>
      <c r="AC105" s="120" t="n"/>
      <c r="AD105" s="120" t="n"/>
      <c r="AE105" s="120" t="n"/>
    </row>
    <row r="106" ht="15" customHeight="1" s="72">
      <c r="A106" s="117" t="n"/>
      <c r="B106" s="117" t="n"/>
      <c r="C106" s="118" t="n"/>
      <c r="D106" s="118" t="n"/>
      <c r="E106" s="118" t="n"/>
      <c r="F106" s="123" t="n"/>
      <c r="G106" s="119" t="n"/>
      <c r="H106" s="123" t="n"/>
      <c r="I106" s="123" t="n"/>
      <c r="J106" s="125" t="n"/>
      <c r="K106" s="120" t="n"/>
      <c r="N106" s="117" t="n"/>
      <c r="O106" s="117" t="n"/>
      <c r="P106" s="117" t="n"/>
      <c r="Q106" s="117" t="n"/>
      <c r="R106" s="118" t="n"/>
      <c r="S106" s="119" t="n"/>
      <c r="T106" s="120" t="n"/>
      <c r="U106" s="123" t="n"/>
      <c r="V106" s="123" t="n"/>
      <c r="Y106" s="117" t="n"/>
      <c r="Z106" s="117" t="n"/>
      <c r="AA106" s="118" t="n"/>
      <c r="AB106" s="119" t="n"/>
      <c r="AC106" s="120" t="n"/>
      <c r="AD106" s="120" t="n"/>
      <c r="AE106" s="120" t="n"/>
    </row>
    <row r="107" ht="15" customHeight="1" s="72">
      <c r="A107" s="117" t="n"/>
      <c r="B107" s="117" t="n"/>
      <c r="C107" s="118" t="n"/>
      <c r="D107" s="118" t="n"/>
      <c r="E107" s="118" t="n"/>
      <c r="F107" s="123" t="n"/>
      <c r="G107" s="119" t="n"/>
      <c r="H107" s="123" t="n"/>
      <c r="I107" s="123" t="n"/>
      <c r="J107" s="125" t="n"/>
      <c r="K107" s="120" t="n"/>
      <c r="N107" s="117" t="n"/>
      <c r="O107" s="117" t="n"/>
      <c r="P107" s="117" t="n"/>
      <c r="Q107" s="117" t="n"/>
      <c r="R107" s="118" t="n"/>
      <c r="S107" s="119" t="n"/>
      <c r="T107" s="120" t="n"/>
      <c r="U107" s="123" t="n"/>
      <c r="V107" s="123" t="n"/>
      <c r="Y107" s="117" t="n"/>
      <c r="Z107" s="117" t="n"/>
      <c r="AA107" s="118" t="n"/>
      <c r="AB107" s="119" t="n"/>
      <c r="AC107" s="120" t="n"/>
      <c r="AD107" s="120" t="n"/>
      <c r="AE107" s="120" t="n"/>
    </row>
    <row r="108" ht="15" customHeight="1" s="72">
      <c r="A108" s="117" t="n"/>
      <c r="B108" s="117" t="n"/>
      <c r="C108" s="118" t="n"/>
      <c r="D108" s="118" t="n"/>
      <c r="E108" s="118" t="n"/>
      <c r="F108" s="123" t="n"/>
      <c r="G108" s="119" t="n"/>
      <c r="H108" s="123" t="n"/>
      <c r="I108" s="123" t="n"/>
      <c r="J108" s="125" t="n"/>
      <c r="K108" s="120" t="n"/>
      <c r="N108" s="117" t="n"/>
      <c r="O108" s="117" t="n"/>
      <c r="P108" s="117" t="n"/>
      <c r="Q108" s="117" t="n"/>
      <c r="R108" s="118" t="n"/>
      <c r="S108" s="119" t="n"/>
      <c r="T108" s="120" t="n"/>
      <c r="U108" s="123" t="n"/>
      <c r="V108" s="123" t="n"/>
      <c r="Y108" s="117" t="n"/>
      <c r="Z108" s="117" t="n"/>
      <c r="AA108" s="118" t="n"/>
      <c r="AB108" s="119" t="n"/>
      <c r="AC108" s="120" t="n"/>
      <c r="AD108" s="120" t="n"/>
      <c r="AE108" s="120" t="n"/>
    </row>
    <row r="109" ht="15" customHeight="1" s="72">
      <c r="A109" s="117" t="n"/>
      <c r="B109" s="117" t="n"/>
      <c r="C109" s="118" t="n"/>
      <c r="D109" s="118" t="n"/>
      <c r="E109" s="118" t="n"/>
      <c r="F109" s="123" t="n"/>
      <c r="G109" s="119" t="n"/>
      <c r="H109" s="123" t="n"/>
      <c r="I109" s="123" t="n"/>
      <c r="J109" s="125" t="n"/>
      <c r="K109" s="120" t="n"/>
      <c r="N109" s="117" t="n"/>
      <c r="O109" s="117" t="n"/>
      <c r="P109" s="117" t="n"/>
      <c r="Q109" s="117" t="n"/>
      <c r="R109" s="118" t="n"/>
      <c r="S109" s="119" t="n"/>
      <c r="T109" s="120" t="n"/>
      <c r="U109" s="123" t="n"/>
      <c r="V109" s="123" t="n"/>
      <c r="Y109" s="117" t="n"/>
      <c r="Z109" s="117" t="n"/>
      <c r="AA109" s="118" t="n"/>
      <c r="AB109" s="119" t="n"/>
      <c r="AC109" s="120" t="n"/>
      <c r="AD109" s="120" t="n"/>
      <c r="AE109" s="120" t="n"/>
    </row>
    <row r="110" ht="15" customHeight="1" s="72">
      <c r="A110" s="117" t="n"/>
      <c r="B110" s="117" t="n"/>
      <c r="C110" s="118" t="n"/>
      <c r="D110" s="118" t="n"/>
      <c r="E110" s="118" t="n"/>
      <c r="F110" s="123" t="n"/>
      <c r="G110" s="119" t="n"/>
      <c r="H110" s="123" t="n"/>
      <c r="I110" s="123" t="n"/>
      <c r="J110" s="125" t="n"/>
      <c r="K110" s="120" t="n"/>
      <c r="N110" s="117" t="n"/>
      <c r="O110" s="117" t="n"/>
      <c r="P110" s="117" t="n"/>
      <c r="Q110" s="117" t="n"/>
      <c r="R110" s="118" t="n"/>
      <c r="S110" s="119" t="n"/>
      <c r="T110" s="120" t="n"/>
      <c r="U110" s="123" t="n"/>
      <c r="V110" s="123" t="n"/>
      <c r="Y110" s="117" t="n"/>
      <c r="Z110" s="117" t="n"/>
      <c r="AA110" s="118" t="n"/>
      <c r="AB110" s="119" t="n"/>
      <c r="AC110" s="120" t="n"/>
      <c r="AD110" s="120" t="n"/>
      <c r="AE110" s="120" t="n"/>
    </row>
    <row r="111" ht="15" customHeight="1" s="72">
      <c r="A111" s="117" t="n"/>
      <c r="B111" s="117" t="n"/>
      <c r="C111" s="118" t="n"/>
      <c r="D111" s="118" t="n"/>
      <c r="E111" s="118" t="n"/>
      <c r="F111" s="123" t="n"/>
      <c r="G111" s="119" t="n"/>
      <c r="H111" s="123" t="n"/>
      <c r="I111" s="123" t="n"/>
      <c r="J111" s="125" t="n"/>
      <c r="K111" s="120" t="n"/>
      <c r="N111" s="117" t="n"/>
      <c r="O111" s="117" t="n"/>
      <c r="P111" s="117" t="n"/>
      <c r="Q111" s="117" t="n"/>
      <c r="R111" s="118" t="n"/>
      <c r="S111" s="119" t="n"/>
      <c r="T111" s="120" t="n"/>
      <c r="U111" s="123" t="n"/>
      <c r="V111" s="123" t="n"/>
      <c r="Y111" s="117" t="n"/>
      <c r="Z111" s="117" t="n"/>
      <c r="AA111" s="118" t="n"/>
      <c r="AB111" s="119" t="n"/>
      <c r="AC111" s="120" t="n"/>
      <c r="AD111" s="120" t="n"/>
      <c r="AE111" s="120" t="n"/>
    </row>
    <row r="112" ht="15" customHeight="1" s="72">
      <c r="A112" s="117" t="n"/>
      <c r="B112" s="117" t="n"/>
      <c r="C112" s="118" t="n"/>
      <c r="D112" s="118" t="n"/>
      <c r="E112" s="118" t="n"/>
      <c r="F112" s="123" t="n"/>
      <c r="G112" s="119" t="n"/>
      <c r="H112" s="123" t="n"/>
      <c r="I112" s="123" t="n"/>
      <c r="J112" s="125" t="n"/>
      <c r="K112" s="120" t="n"/>
      <c r="N112" s="117" t="n"/>
      <c r="O112" s="117" t="n"/>
      <c r="P112" s="117" t="n"/>
      <c r="Q112" s="117" t="n"/>
      <c r="R112" s="118" t="n"/>
      <c r="S112" s="119" t="n"/>
      <c r="T112" s="120" t="n"/>
      <c r="U112" s="123" t="n"/>
      <c r="V112" s="123" t="n"/>
      <c r="Y112" s="117" t="n"/>
      <c r="Z112" s="117" t="n"/>
      <c r="AA112" s="118" t="n"/>
      <c r="AB112" s="119" t="n"/>
      <c r="AC112" s="120" t="n"/>
      <c r="AD112" s="120" t="n"/>
      <c r="AE112" s="120" t="n"/>
    </row>
    <row r="113" ht="15" customHeight="1" s="72">
      <c r="A113" s="117" t="n"/>
      <c r="B113" s="117" t="n"/>
      <c r="C113" s="118" t="n"/>
      <c r="D113" s="118" t="n"/>
      <c r="E113" s="118" t="n"/>
      <c r="F113" s="123" t="n"/>
      <c r="G113" s="119" t="n"/>
      <c r="H113" s="123" t="n"/>
      <c r="I113" s="123" t="n"/>
      <c r="J113" s="125" t="n"/>
      <c r="K113" s="120" t="n"/>
      <c r="N113" s="117" t="n"/>
      <c r="O113" s="117" t="n"/>
      <c r="P113" s="117" t="n"/>
      <c r="Q113" s="117" t="n"/>
      <c r="R113" s="118" t="n"/>
      <c r="S113" s="119" t="n"/>
      <c r="T113" s="120" t="n"/>
      <c r="U113" s="123" t="n"/>
      <c r="V113" s="123" t="n"/>
      <c r="Y113" s="117" t="n"/>
      <c r="Z113" s="117" t="n"/>
      <c r="AA113" s="118" t="n"/>
      <c r="AB113" s="119" t="n"/>
      <c r="AC113" s="120" t="n"/>
      <c r="AD113" s="120" t="n"/>
      <c r="AE113" s="120" t="n"/>
    </row>
    <row r="114" ht="15" customHeight="1" s="72">
      <c r="A114" s="117" t="n"/>
      <c r="B114" s="117" t="n"/>
      <c r="C114" s="118" t="n"/>
      <c r="D114" s="118" t="n"/>
      <c r="E114" s="118" t="n"/>
      <c r="F114" s="123" t="n"/>
      <c r="G114" s="119" t="n"/>
      <c r="H114" s="123" t="n"/>
      <c r="I114" s="123" t="n"/>
      <c r="J114" s="125" t="n"/>
      <c r="K114" s="120" t="n"/>
      <c r="N114" s="117" t="n"/>
      <c r="O114" s="117" t="n"/>
      <c r="P114" s="117" t="n"/>
      <c r="Q114" s="117" t="n"/>
      <c r="R114" s="118" t="n"/>
      <c r="S114" s="119" t="n"/>
      <c r="T114" s="120" t="n"/>
      <c r="U114" s="123" t="n"/>
      <c r="V114" s="123" t="n"/>
      <c r="Y114" s="117" t="n"/>
      <c r="Z114" s="117" t="n"/>
      <c r="AA114" s="118" t="n"/>
      <c r="AB114" s="119" t="n"/>
      <c r="AC114" s="120" t="n"/>
      <c r="AD114" s="120" t="n"/>
      <c r="AE114" s="120" t="n"/>
    </row>
    <row r="115" ht="15" customHeight="1" s="72">
      <c r="A115" s="117" t="n"/>
      <c r="B115" s="117" t="n"/>
      <c r="C115" s="118" t="n"/>
      <c r="D115" s="118" t="n"/>
      <c r="E115" s="118" t="n"/>
      <c r="F115" s="123" t="n"/>
      <c r="G115" s="119" t="n"/>
      <c r="H115" s="123" t="n"/>
      <c r="I115" s="123" t="n"/>
      <c r="J115" s="125" t="n"/>
      <c r="K115" s="120" t="n"/>
      <c r="N115" s="117" t="n"/>
      <c r="O115" s="117" t="n"/>
      <c r="P115" s="117" t="n"/>
      <c r="Q115" s="117" t="n"/>
      <c r="R115" s="118" t="n"/>
      <c r="S115" s="119" t="n"/>
      <c r="T115" s="120" t="n"/>
      <c r="U115" s="123" t="n"/>
      <c r="V115" s="123" t="n"/>
      <c r="Y115" s="117" t="n"/>
      <c r="Z115" s="117" t="n"/>
      <c r="AA115" s="118" t="n"/>
      <c r="AB115" s="119" t="n"/>
      <c r="AC115" s="120" t="n"/>
      <c r="AD115" s="120" t="n"/>
      <c r="AE115" s="120" t="n"/>
    </row>
    <row r="116" ht="15" customHeight="1" s="72">
      <c r="A116" s="117" t="n"/>
      <c r="B116" s="117" t="n"/>
      <c r="C116" s="118" t="n"/>
      <c r="D116" s="118" t="n"/>
      <c r="E116" s="118" t="n"/>
      <c r="F116" s="123" t="n"/>
      <c r="G116" s="119" t="n"/>
      <c r="H116" s="123" t="n"/>
      <c r="I116" s="123" t="n"/>
      <c r="J116" s="125" t="n"/>
      <c r="K116" s="120" t="n"/>
      <c r="N116" s="117" t="n"/>
      <c r="O116" s="117" t="n"/>
      <c r="P116" s="117" t="n"/>
      <c r="Q116" s="117" t="n"/>
      <c r="R116" s="118" t="n"/>
      <c r="S116" s="119" t="n"/>
      <c r="T116" s="120" t="n"/>
      <c r="U116" s="123" t="n"/>
      <c r="V116" s="123" t="n"/>
      <c r="Y116" s="117" t="n"/>
      <c r="Z116" s="117" t="n"/>
      <c r="AA116" s="118" t="n"/>
      <c r="AB116" s="119" t="n"/>
      <c r="AC116" s="120" t="n"/>
      <c r="AD116" s="120" t="n"/>
      <c r="AE116" s="120" t="n"/>
    </row>
    <row r="117" ht="15" customHeight="1" s="72">
      <c r="A117" s="117" t="n"/>
      <c r="B117" s="117" t="n"/>
      <c r="C117" s="118" t="n"/>
      <c r="D117" s="118" t="n"/>
      <c r="E117" s="118" t="n"/>
      <c r="F117" s="123" t="n"/>
      <c r="G117" s="119" t="n"/>
      <c r="H117" s="123" t="n"/>
      <c r="I117" s="123" t="n"/>
      <c r="J117" s="125" t="n"/>
      <c r="K117" s="120" t="n"/>
      <c r="N117" s="117" t="n"/>
      <c r="O117" s="117" t="n"/>
      <c r="P117" s="117" t="n"/>
      <c r="Q117" s="117" t="n"/>
      <c r="R117" s="118" t="n"/>
      <c r="S117" s="119" t="n"/>
      <c r="T117" s="120" t="n"/>
      <c r="U117" s="123" t="n"/>
      <c r="V117" s="123" t="n"/>
      <c r="Y117" s="117" t="n"/>
      <c r="Z117" s="117" t="n"/>
      <c r="AA117" s="118" t="n"/>
      <c r="AB117" s="119" t="n"/>
      <c r="AC117" s="120" t="n"/>
      <c r="AD117" s="120" t="n"/>
      <c r="AE117" s="120" t="n"/>
    </row>
    <row r="118" ht="15" customHeight="1" s="72">
      <c r="A118" s="117" t="n"/>
      <c r="B118" s="117" t="n"/>
      <c r="C118" s="118" t="n"/>
      <c r="D118" s="118" t="n"/>
      <c r="E118" s="118" t="n"/>
      <c r="F118" s="123" t="n"/>
      <c r="G118" s="119" t="n"/>
      <c r="H118" s="123" t="n"/>
      <c r="I118" s="123" t="n"/>
      <c r="J118" s="125" t="n"/>
      <c r="K118" s="120" t="n"/>
      <c r="N118" s="117" t="n"/>
      <c r="O118" s="117" t="n"/>
      <c r="P118" s="117" t="n"/>
      <c r="Q118" s="117" t="n"/>
      <c r="R118" s="118" t="n"/>
      <c r="S118" s="119" t="n"/>
      <c r="T118" s="120" t="n"/>
      <c r="U118" s="123" t="n"/>
      <c r="V118" s="123" t="n"/>
      <c r="Y118" s="117" t="n"/>
      <c r="Z118" s="117" t="n"/>
      <c r="AA118" s="118" t="n"/>
      <c r="AB118" s="119" t="n"/>
      <c r="AC118" s="120" t="n"/>
      <c r="AD118" s="120" t="n"/>
      <c r="AE118" s="120" t="n"/>
    </row>
    <row r="119" ht="15" customHeight="1" s="72">
      <c r="A119" s="117" t="n"/>
      <c r="B119" s="117" t="n"/>
      <c r="C119" s="118" t="n"/>
      <c r="D119" s="118" t="n"/>
      <c r="E119" s="118" t="n"/>
      <c r="F119" s="123" t="n"/>
      <c r="G119" s="119" t="n"/>
      <c r="H119" s="123" t="n"/>
      <c r="I119" s="123" t="n"/>
      <c r="J119" s="125" t="n"/>
      <c r="K119" s="120" t="n"/>
      <c r="N119" s="117" t="n"/>
      <c r="O119" s="117" t="n"/>
      <c r="P119" s="117" t="n"/>
      <c r="Q119" s="117" t="n"/>
      <c r="R119" s="118" t="n"/>
      <c r="S119" s="119" t="n"/>
      <c r="T119" s="120" t="n"/>
      <c r="U119" s="123" t="n"/>
      <c r="V119" s="123" t="n"/>
      <c r="Y119" s="117" t="n"/>
      <c r="Z119" s="117" t="n"/>
      <c r="AA119" s="118" t="n"/>
      <c r="AB119" s="119" t="n"/>
      <c r="AC119" s="120" t="n"/>
      <c r="AD119" s="120" t="n"/>
      <c r="AE119" s="120" t="n"/>
    </row>
    <row r="120" ht="15" customHeight="1" s="72">
      <c r="A120" s="117" t="n"/>
      <c r="B120" s="117" t="n"/>
      <c r="C120" s="118" t="n"/>
      <c r="D120" s="118" t="n"/>
      <c r="E120" s="118" t="n"/>
      <c r="F120" s="123" t="n"/>
      <c r="G120" s="119" t="n"/>
      <c r="H120" s="123" t="n"/>
      <c r="I120" s="123" t="n"/>
      <c r="J120" s="125" t="n"/>
      <c r="K120" s="120" t="n"/>
      <c r="N120" s="117" t="n"/>
      <c r="O120" s="117" t="n"/>
      <c r="P120" s="117" t="n"/>
      <c r="Q120" s="117" t="n"/>
      <c r="R120" s="118" t="n"/>
      <c r="S120" s="119" t="n"/>
      <c r="T120" s="120" t="n"/>
      <c r="U120" s="123" t="n"/>
      <c r="V120" s="123" t="n"/>
      <c r="Y120" s="117" t="n"/>
      <c r="Z120" s="117" t="n"/>
      <c r="AA120" s="118" t="n"/>
      <c r="AB120" s="119" t="n"/>
      <c r="AC120" s="120" t="n"/>
      <c r="AD120" s="120" t="n"/>
      <c r="AE120" s="120" t="n"/>
    </row>
    <row r="121" ht="15" customHeight="1" s="72">
      <c r="A121" s="117" t="n"/>
      <c r="B121" s="117" t="n"/>
      <c r="C121" s="118" t="n"/>
      <c r="D121" s="118" t="n"/>
      <c r="E121" s="118" t="n"/>
      <c r="F121" s="123" t="n"/>
      <c r="G121" s="119" t="n"/>
      <c r="H121" s="123" t="n"/>
      <c r="I121" s="123" t="n"/>
      <c r="J121" s="125" t="n"/>
      <c r="K121" s="120" t="n"/>
      <c r="N121" s="117" t="n"/>
      <c r="O121" s="117" t="n"/>
      <c r="P121" s="117" t="n"/>
      <c r="Q121" s="117" t="n"/>
      <c r="R121" s="118" t="n"/>
      <c r="S121" s="119" t="n"/>
      <c r="T121" s="120" t="n"/>
      <c r="U121" s="123" t="n"/>
      <c r="V121" s="123" t="n"/>
      <c r="Y121" s="117" t="n"/>
      <c r="Z121" s="117" t="n"/>
      <c r="AA121" s="118" t="n"/>
      <c r="AB121" s="119" t="n"/>
      <c r="AC121" s="120" t="n"/>
      <c r="AD121" s="120" t="n"/>
      <c r="AE121" s="120" t="n"/>
    </row>
    <row r="122" ht="15" customHeight="1" s="72">
      <c r="A122" s="117" t="n"/>
      <c r="B122" s="117" t="n"/>
      <c r="C122" s="118" t="n"/>
      <c r="D122" s="118" t="n"/>
      <c r="E122" s="118" t="n"/>
      <c r="F122" s="123" t="n"/>
      <c r="G122" s="119" t="n"/>
      <c r="H122" s="123" t="n"/>
      <c r="I122" s="123" t="n"/>
      <c r="J122" s="125" t="n"/>
      <c r="K122" s="120" t="n"/>
      <c r="N122" s="117" t="n"/>
      <c r="O122" s="117" t="n"/>
      <c r="P122" s="117" t="n"/>
      <c r="Q122" s="117" t="n"/>
      <c r="R122" s="118" t="n"/>
      <c r="S122" s="119" t="n"/>
      <c r="T122" s="120" t="n"/>
      <c r="U122" s="123" t="n"/>
      <c r="V122" s="123" t="n"/>
      <c r="Y122" s="117" t="n"/>
      <c r="Z122" s="117" t="n"/>
      <c r="AA122" s="118" t="n"/>
      <c r="AB122" s="119" t="n"/>
      <c r="AC122" s="120" t="n"/>
      <c r="AD122" s="120" t="n"/>
      <c r="AE122" s="120" t="n"/>
    </row>
    <row r="123" ht="15" customHeight="1" s="72">
      <c r="A123" s="117" t="n"/>
      <c r="B123" s="117" t="n"/>
      <c r="C123" s="118" t="n"/>
      <c r="D123" s="118" t="n"/>
      <c r="E123" s="118" t="n"/>
      <c r="F123" s="123" t="n"/>
      <c r="G123" s="119" t="n"/>
      <c r="H123" s="123" t="n"/>
      <c r="I123" s="123" t="n"/>
      <c r="J123" s="125" t="n"/>
      <c r="K123" s="120" t="n"/>
      <c r="N123" s="117" t="n"/>
      <c r="O123" s="117" t="n"/>
      <c r="P123" s="117" t="n"/>
      <c r="Q123" s="117" t="n"/>
      <c r="R123" s="118" t="n"/>
      <c r="S123" s="119" t="n"/>
      <c r="T123" s="120" t="n"/>
      <c r="U123" s="123" t="n"/>
      <c r="V123" s="123" t="n"/>
      <c r="Y123" s="117" t="n"/>
      <c r="Z123" s="117" t="n"/>
      <c r="AA123" s="118" t="n"/>
      <c r="AB123" s="119" t="n"/>
      <c r="AC123" s="120" t="n"/>
      <c r="AD123" s="120" t="n"/>
      <c r="AE123" s="120" t="n"/>
    </row>
    <row r="124" ht="15" customHeight="1" s="72">
      <c r="A124" s="117" t="n"/>
      <c r="B124" s="117" t="n"/>
      <c r="C124" s="118" t="n"/>
      <c r="D124" s="118" t="n"/>
      <c r="E124" s="118" t="n"/>
      <c r="F124" s="123" t="n"/>
      <c r="G124" s="119" t="n"/>
      <c r="H124" s="123" t="n"/>
      <c r="I124" s="123" t="n"/>
      <c r="J124" s="125" t="n"/>
      <c r="K124" s="120" t="n"/>
      <c r="N124" s="117" t="n"/>
      <c r="O124" s="117" t="n"/>
      <c r="P124" s="117" t="n"/>
      <c r="Q124" s="117" t="n"/>
      <c r="R124" s="118" t="n"/>
      <c r="S124" s="119" t="n"/>
      <c r="T124" s="120" t="n"/>
      <c r="U124" s="123" t="n"/>
      <c r="V124" s="123" t="n"/>
      <c r="Y124" s="117" t="n"/>
      <c r="Z124" s="117" t="n"/>
      <c r="AA124" s="118" t="n"/>
      <c r="AB124" s="119" t="n"/>
      <c r="AC124" s="120" t="n"/>
      <c r="AD124" s="120" t="n"/>
      <c r="AE124" s="120" t="n"/>
    </row>
    <row r="125" ht="15" customHeight="1" s="72">
      <c r="A125" s="117" t="n"/>
      <c r="B125" s="117" t="n"/>
      <c r="C125" s="118" t="n"/>
      <c r="D125" s="118" t="n"/>
      <c r="E125" s="118" t="n"/>
      <c r="F125" s="123" t="n"/>
      <c r="G125" s="119" t="n"/>
      <c r="H125" s="123" t="n"/>
      <c r="I125" s="123" t="n"/>
      <c r="J125" s="125" t="n"/>
      <c r="K125" s="120" t="n"/>
      <c r="N125" s="117" t="n"/>
      <c r="O125" s="117" t="n"/>
      <c r="P125" s="117" t="n"/>
      <c r="Q125" s="117" t="n"/>
      <c r="R125" s="118" t="n"/>
      <c r="S125" s="119" t="n"/>
      <c r="T125" s="120" t="n"/>
      <c r="U125" s="123" t="n"/>
      <c r="V125" s="123" t="n"/>
      <c r="Y125" s="117" t="n"/>
      <c r="Z125" s="117" t="n"/>
      <c r="AA125" s="118" t="n"/>
      <c r="AB125" s="119" t="n"/>
      <c r="AC125" s="120" t="n"/>
      <c r="AD125" s="120" t="n"/>
      <c r="AE125" s="120" t="n"/>
    </row>
    <row r="126" ht="15" customHeight="1" s="72">
      <c r="A126" s="117" t="n"/>
      <c r="B126" s="117" t="n"/>
      <c r="C126" s="118" t="n"/>
      <c r="D126" s="118" t="n"/>
      <c r="E126" s="118" t="n"/>
      <c r="F126" s="123" t="n"/>
      <c r="G126" s="119" t="n"/>
      <c r="H126" s="123" t="n"/>
      <c r="I126" s="123" t="n"/>
      <c r="J126" s="125" t="n"/>
      <c r="K126" s="120" t="n"/>
      <c r="N126" s="117" t="n"/>
      <c r="O126" s="117" t="n"/>
      <c r="P126" s="117" t="n"/>
      <c r="Q126" s="117" t="n"/>
      <c r="R126" s="118" t="n"/>
      <c r="S126" s="119" t="n"/>
      <c r="T126" s="120" t="n"/>
      <c r="U126" s="123" t="n"/>
      <c r="V126" s="123" t="n"/>
      <c r="Y126" s="117" t="n"/>
      <c r="Z126" s="117" t="n"/>
      <c r="AA126" s="118" t="n"/>
      <c r="AB126" s="119" t="n"/>
      <c r="AC126" s="120" t="n"/>
      <c r="AD126" s="120" t="n"/>
      <c r="AE126" s="120" t="n"/>
    </row>
    <row r="127" ht="15" customHeight="1" s="72">
      <c r="A127" s="117" t="n"/>
      <c r="B127" s="117" t="n"/>
      <c r="C127" s="118" t="n"/>
      <c r="D127" s="118" t="n"/>
      <c r="E127" s="118" t="n"/>
      <c r="F127" s="123" t="n"/>
      <c r="G127" s="119" t="n"/>
      <c r="H127" s="123" t="n"/>
      <c r="I127" s="123" t="n"/>
      <c r="J127" s="125" t="n"/>
      <c r="K127" s="120" t="n"/>
      <c r="N127" s="117" t="n"/>
      <c r="O127" s="117" t="n"/>
      <c r="P127" s="117" t="n"/>
      <c r="Q127" s="117" t="n"/>
      <c r="R127" s="118" t="n"/>
      <c r="S127" s="119" t="n"/>
      <c r="T127" s="120" t="n"/>
      <c r="U127" s="123" t="n"/>
      <c r="V127" s="123" t="n"/>
      <c r="Y127" s="117" t="n"/>
      <c r="Z127" s="117" t="n"/>
      <c r="AA127" s="118" t="n"/>
      <c r="AB127" s="119" t="n"/>
      <c r="AC127" s="120" t="n"/>
      <c r="AD127" s="120" t="n"/>
      <c r="AE127" s="120" t="n"/>
    </row>
    <row r="128" ht="15" customHeight="1" s="72">
      <c r="A128" s="117" t="n"/>
      <c r="B128" s="117" t="n"/>
      <c r="C128" s="118" t="n"/>
      <c r="D128" s="118" t="n"/>
      <c r="E128" s="118" t="n"/>
      <c r="F128" s="123" t="n"/>
      <c r="G128" s="119" t="n"/>
      <c r="H128" s="123" t="n"/>
      <c r="I128" s="123" t="n"/>
      <c r="J128" s="125" t="n"/>
      <c r="K128" s="120" t="n"/>
      <c r="N128" s="117" t="n"/>
      <c r="O128" s="117" t="n"/>
      <c r="P128" s="117" t="n"/>
      <c r="Q128" s="117" t="n"/>
      <c r="R128" s="118" t="n"/>
      <c r="S128" s="119" t="n"/>
      <c r="T128" s="120" t="n"/>
      <c r="U128" s="123" t="n"/>
      <c r="V128" s="123" t="n"/>
      <c r="Y128" s="117" t="n"/>
      <c r="Z128" s="117" t="n"/>
      <c r="AA128" s="118" t="n"/>
      <c r="AB128" s="119" t="n"/>
      <c r="AC128" s="120" t="n"/>
      <c r="AD128" s="120" t="n"/>
      <c r="AE128" s="120" t="n"/>
    </row>
    <row r="129" ht="15" customHeight="1" s="72">
      <c r="A129" s="117" t="n"/>
      <c r="B129" s="117" t="n"/>
      <c r="C129" s="118" t="n"/>
      <c r="D129" s="118" t="n"/>
      <c r="E129" s="118" t="n"/>
      <c r="F129" s="123" t="n"/>
      <c r="G129" s="119" t="n"/>
      <c r="H129" s="123" t="n"/>
      <c r="I129" s="123" t="n"/>
      <c r="J129" s="125" t="n"/>
      <c r="K129" s="120" t="n"/>
      <c r="N129" s="117" t="n"/>
      <c r="O129" s="117" t="n"/>
      <c r="P129" s="117" t="n"/>
      <c r="Q129" s="117" t="n"/>
      <c r="R129" s="118" t="n"/>
      <c r="S129" s="119" t="n"/>
      <c r="T129" s="120" t="n"/>
      <c r="U129" s="123" t="n"/>
      <c r="V129" s="123" t="n"/>
      <c r="Y129" s="117" t="n"/>
      <c r="Z129" s="117" t="n"/>
      <c r="AA129" s="118" t="n"/>
      <c r="AB129" s="119" t="n"/>
      <c r="AC129" s="120" t="n"/>
      <c r="AD129" s="120" t="n"/>
      <c r="AE129" s="120" t="n"/>
    </row>
    <row r="130" ht="15" customHeight="1" s="72">
      <c r="A130" s="117" t="n"/>
      <c r="B130" s="117" t="n"/>
      <c r="C130" s="118" t="n"/>
      <c r="D130" s="118" t="n"/>
      <c r="E130" s="118" t="n"/>
      <c r="F130" s="123" t="n"/>
      <c r="G130" s="119" t="n"/>
      <c r="H130" s="123" t="n"/>
      <c r="I130" s="123" t="n"/>
      <c r="J130" s="125" t="n"/>
      <c r="K130" s="120" t="n"/>
      <c r="N130" s="117" t="n"/>
      <c r="O130" s="117" t="n"/>
      <c r="P130" s="117" t="n"/>
      <c r="Q130" s="117" t="n"/>
      <c r="R130" s="118" t="n"/>
      <c r="S130" s="119" t="n"/>
      <c r="T130" s="120" t="n"/>
      <c r="U130" s="123" t="n"/>
      <c r="V130" s="123" t="n"/>
      <c r="Y130" s="117" t="n"/>
      <c r="Z130" s="117" t="n"/>
      <c r="AA130" s="118" t="n"/>
      <c r="AB130" s="119" t="n"/>
      <c r="AC130" s="120" t="n"/>
      <c r="AD130" s="120" t="n"/>
      <c r="AE130" s="120" t="n"/>
    </row>
    <row r="131" ht="15" customHeight="1" s="72">
      <c r="A131" s="117" t="n"/>
      <c r="B131" s="117" t="n"/>
      <c r="C131" s="118" t="n"/>
      <c r="D131" s="118" t="n"/>
      <c r="E131" s="118" t="n"/>
      <c r="F131" s="123" t="n"/>
      <c r="G131" s="119" t="n"/>
      <c r="H131" s="123" t="n"/>
      <c r="I131" s="123" t="n"/>
      <c r="J131" s="125" t="n"/>
      <c r="K131" s="120" t="n"/>
      <c r="N131" s="117" t="n"/>
      <c r="O131" s="117" t="n"/>
      <c r="P131" s="117" t="n"/>
      <c r="Q131" s="117" t="n"/>
      <c r="R131" s="118" t="n"/>
      <c r="S131" s="119" t="n"/>
      <c r="T131" s="120" t="n"/>
      <c r="U131" s="123" t="n"/>
      <c r="V131" s="123" t="n"/>
      <c r="Y131" s="117" t="n"/>
      <c r="Z131" s="117" t="n"/>
      <c r="AA131" s="118" t="n"/>
      <c r="AB131" s="119" t="n"/>
      <c r="AC131" s="120" t="n"/>
      <c r="AD131" s="120" t="n"/>
      <c r="AE131" s="120" t="n"/>
    </row>
    <row r="132" ht="15" customHeight="1" s="72">
      <c r="A132" s="117" t="n"/>
      <c r="B132" s="117" t="n"/>
      <c r="C132" s="118" t="n"/>
      <c r="D132" s="118" t="n"/>
      <c r="E132" s="118" t="n"/>
      <c r="F132" s="123" t="n"/>
      <c r="G132" s="119" t="n"/>
      <c r="H132" s="123" t="n"/>
      <c r="I132" s="123" t="n"/>
      <c r="J132" s="125" t="n"/>
      <c r="K132" s="120" t="n"/>
      <c r="N132" s="117" t="n"/>
      <c r="O132" s="117" t="n"/>
      <c r="P132" s="117" t="n"/>
      <c r="Q132" s="117" t="n"/>
      <c r="R132" s="118" t="n"/>
      <c r="S132" s="119" t="n"/>
      <c r="T132" s="120" t="n"/>
      <c r="U132" s="123" t="n"/>
      <c r="V132" s="123" t="n"/>
      <c r="Y132" s="117" t="n"/>
      <c r="Z132" s="117" t="n"/>
      <c r="AA132" s="118" t="n"/>
      <c r="AB132" s="119" t="n"/>
      <c r="AC132" s="120" t="n"/>
      <c r="AD132" s="120" t="n"/>
      <c r="AE132" s="120" t="n"/>
    </row>
    <row r="133" ht="15" customHeight="1" s="72">
      <c r="A133" s="117" t="n"/>
      <c r="B133" s="117" t="n"/>
      <c r="C133" s="118" t="n"/>
      <c r="D133" s="118" t="n"/>
      <c r="E133" s="118" t="n"/>
      <c r="F133" s="123" t="n"/>
      <c r="G133" s="119" t="n"/>
      <c r="H133" s="123" t="n"/>
      <c r="I133" s="123" t="n"/>
      <c r="J133" s="125" t="n"/>
      <c r="K133" s="120" t="n"/>
      <c r="N133" s="117" t="n"/>
      <c r="O133" s="117" t="n"/>
      <c r="P133" s="117" t="n"/>
      <c r="Q133" s="117" t="n"/>
      <c r="R133" s="118" t="n"/>
      <c r="S133" s="119" t="n"/>
      <c r="T133" s="120" t="n"/>
      <c r="U133" s="123" t="n"/>
      <c r="V133" s="123" t="n"/>
      <c r="Y133" s="117" t="n"/>
      <c r="Z133" s="117" t="n"/>
      <c r="AA133" s="118" t="n"/>
      <c r="AB133" s="119" t="n"/>
      <c r="AC133" s="120" t="n"/>
      <c r="AD133" s="120" t="n"/>
      <c r="AE133" s="120" t="n"/>
    </row>
    <row r="134" ht="15" customHeight="1" s="72">
      <c r="A134" s="117" t="n"/>
      <c r="B134" s="117" t="n"/>
      <c r="C134" s="118" t="n"/>
      <c r="D134" s="118" t="n"/>
      <c r="E134" s="118" t="n"/>
      <c r="F134" s="123" t="n"/>
      <c r="G134" s="119" t="n"/>
      <c r="H134" s="123" t="n"/>
      <c r="I134" s="123" t="n"/>
      <c r="J134" s="125" t="n"/>
      <c r="K134" s="120" t="n"/>
      <c r="N134" s="117" t="n"/>
      <c r="O134" s="117" t="n"/>
      <c r="P134" s="117" t="n"/>
      <c r="Q134" s="117" t="n"/>
      <c r="R134" s="118" t="n"/>
      <c r="S134" s="119" t="n"/>
      <c r="T134" s="120" t="n"/>
      <c r="U134" s="123" t="n"/>
      <c r="V134" s="123" t="n"/>
      <c r="Y134" s="117" t="n"/>
      <c r="Z134" s="117" t="n"/>
      <c r="AA134" s="118" t="n"/>
      <c r="AB134" s="119" t="n"/>
      <c r="AC134" s="120" t="n"/>
      <c r="AD134" s="120" t="n"/>
      <c r="AE134" s="120" t="n"/>
    </row>
    <row r="135" ht="15" customHeight="1" s="72">
      <c r="A135" s="117" t="n"/>
      <c r="B135" s="117" t="n"/>
      <c r="C135" s="118" t="n"/>
      <c r="D135" s="118" t="n"/>
      <c r="E135" s="118" t="n"/>
      <c r="F135" s="123" t="n"/>
      <c r="G135" s="119" t="n"/>
      <c r="H135" s="123" t="n"/>
      <c r="I135" s="123" t="n"/>
      <c r="J135" s="125" t="n"/>
      <c r="K135" s="120" t="n"/>
      <c r="N135" s="117" t="n"/>
      <c r="O135" s="117" t="n"/>
      <c r="P135" s="117" t="n"/>
      <c r="Q135" s="117" t="n"/>
      <c r="R135" s="118" t="n"/>
      <c r="S135" s="119" t="n"/>
      <c r="T135" s="120" t="n"/>
      <c r="U135" s="123" t="n"/>
      <c r="V135" s="123" t="n"/>
      <c r="Y135" s="117" t="n"/>
      <c r="Z135" s="117" t="n"/>
      <c r="AA135" s="118" t="n"/>
      <c r="AB135" s="119" t="n"/>
      <c r="AC135" s="120" t="n"/>
      <c r="AD135" s="120" t="n"/>
      <c r="AE135" s="120" t="n"/>
    </row>
    <row r="136" ht="15" customHeight="1" s="72">
      <c r="A136" s="117" t="n"/>
      <c r="B136" s="117" t="n"/>
      <c r="C136" s="118" t="n"/>
      <c r="D136" s="118" t="n"/>
      <c r="E136" s="118" t="n"/>
      <c r="F136" s="123" t="n"/>
      <c r="G136" s="119" t="n"/>
      <c r="H136" s="123" t="n"/>
      <c r="I136" s="123" t="n"/>
      <c r="J136" s="125" t="n"/>
      <c r="K136" s="120" t="n"/>
      <c r="N136" s="117" t="n"/>
      <c r="O136" s="117" t="n"/>
      <c r="P136" s="117" t="n"/>
      <c r="Q136" s="117" t="n"/>
      <c r="R136" s="118" t="n"/>
      <c r="S136" s="119" t="n"/>
      <c r="T136" s="120" t="n"/>
      <c r="U136" s="123" t="n"/>
      <c r="V136" s="123" t="n"/>
      <c r="Y136" s="117" t="n"/>
      <c r="Z136" s="117" t="n"/>
      <c r="AA136" s="118" t="n"/>
      <c r="AB136" s="119" t="n"/>
      <c r="AC136" s="120" t="n"/>
      <c r="AD136" s="120" t="n"/>
      <c r="AE136" s="120" t="n"/>
    </row>
    <row r="137" ht="15" customHeight="1" s="72">
      <c r="A137" s="117" t="n"/>
      <c r="B137" s="117" t="n"/>
      <c r="C137" s="118" t="n"/>
      <c r="D137" s="118" t="n"/>
      <c r="E137" s="118" t="n"/>
      <c r="F137" s="123" t="n"/>
      <c r="G137" s="119" t="n"/>
      <c r="H137" s="123" t="n"/>
      <c r="I137" s="123" t="n"/>
      <c r="J137" s="125" t="n"/>
      <c r="K137" s="120" t="n"/>
      <c r="N137" s="117" t="n"/>
      <c r="O137" s="117" t="n"/>
      <c r="P137" s="117" t="n"/>
      <c r="Q137" s="117" t="n"/>
      <c r="R137" s="118" t="n"/>
      <c r="S137" s="119" t="n"/>
      <c r="T137" s="120" t="n"/>
      <c r="U137" s="123" t="n"/>
      <c r="V137" s="123" t="n"/>
      <c r="Y137" s="117" t="n"/>
      <c r="Z137" s="117" t="n"/>
      <c r="AA137" s="118" t="n"/>
      <c r="AB137" s="119" t="n"/>
      <c r="AC137" s="120" t="n"/>
      <c r="AD137" s="120" t="n"/>
      <c r="AE137" s="120" t="n"/>
    </row>
    <row r="138" ht="15" customHeight="1" s="72">
      <c r="A138" s="117" t="n"/>
      <c r="B138" s="117" t="n"/>
      <c r="C138" s="118" t="n"/>
      <c r="D138" s="118" t="n"/>
      <c r="E138" s="118" t="n"/>
      <c r="F138" s="123" t="n"/>
      <c r="G138" s="119" t="n"/>
      <c r="H138" s="123" t="n"/>
      <c r="I138" s="123" t="n"/>
      <c r="J138" s="125" t="n"/>
      <c r="K138" s="120" t="n"/>
      <c r="N138" s="117" t="n"/>
      <c r="O138" s="117" t="n"/>
      <c r="P138" s="117" t="n"/>
      <c r="Q138" s="117" t="n"/>
      <c r="R138" s="118" t="n"/>
      <c r="S138" s="119" t="n"/>
      <c r="T138" s="120" t="n"/>
      <c r="U138" s="123" t="n"/>
      <c r="V138" s="123" t="n"/>
      <c r="Y138" s="117" t="n"/>
      <c r="Z138" s="117" t="n"/>
      <c r="AA138" s="118" t="n"/>
      <c r="AB138" s="119" t="n"/>
      <c r="AC138" s="120" t="n"/>
      <c r="AD138" s="120" t="n"/>
      <c r="AE138" s="120" t="n"/>
    </row>
    <row r="139" ht="15" customHeight="1" s="72">
      <c r="A139" s="117" t="n"/>
      <c r="B139" s="117" t="n"/>
      <c r="C139" s="118" t="n"/>
      <c r="D139" s="118" t="n"/>
      <c r="E139" s="118" t="n"/>
      <c r="F139" s="123" t="n"/>
      <c r="G139" s="119" t="n"/>
      <c r="H139" s="123" t="n"/>
      <c r="I139" s="123" t="n"/>
      <c r="J139" s="125" t="n"/>
      <c r="K139" s="120" t="n"/>
      <c r="N139" s="117" t="n"/>
      <c r="O139" s="117" t="n"/>
      <c r="P139" s="117" t="n"/>
      <c r="Q139" s="117" t="n"/>
      <c r="R139" s="118" t="n"/>
      <c r="S139" s="119" t="n"/>
      <c r="T139" s="120" t="n"/>
      <c r="U139" s="123" t="n"/>
      <c r="V139" s="123" t="n"/>
      <c r="Y139" s="117" t="n"/>
      <c r="Z139" s="117" t="n"/>
      <c r="AA139" s="118" t="n"/>
      <c r="AB139" s="119" t="n"/>
      <c r="AC139" s="120" t="n"/>
      <c r="AD139" s="120" t="n"/>
      <c r="AE139" s="120" t="n"/>
    </row>
    <row r="140" ht="15" customHeight="1" s="72">
      <c r="A140" s="117" t="n"/>
      <c r="B140" s="117" t="n"/>
      <c r="C140" s="118" t="n"/>
      <c r="D140" s="118" t="n"/>
      <c r="E140" s="118" t="n"/>
      <c r="F140" s="123" t="n"/>
      <c r="G140" s="119" t="n"/>
      <c r="H140" s="123" t="n"/>
      <c r="I140" s="123" t="n"/>
      <c r="J140" s="125" t="n"/>
      <c r="K140" s="120" t="n"/>
      <c r="N140" s="117" t="n"/>
      <c r="O140" s="117" t="n"/>
      <c r="P140" s="117" t="n"/>
      <c r="Q140" s="117" t="n"/>
      <c r="R140" s="118" t="n"/>
      <c r="S140" s="119" t="n"/>
      <c r="T140" s="120" t="n"/>
      <c r="U140" s="123" t="n"/>
      <c r="V140" s="123" t="n"/>
      <c r="Y140" s="117" t="n"/>
      <c r="Z140" s="117" t="n"/>
      <c r="AA140" s="118" t="n"/>
      <c r="AB140" s="119" t="n"/>
      <c r="AC140" s="120" t="n"/>
      <c r="AD140" s="120" t="n"/>
      <c r="AE140" s="120" t="n"/>
    </row>
    <row r="141" ht="15" customHeight="1" s="72">
      <c r="A141" s="117" t="n"/>
      <c r="B141" s="117" t="n"/>
      <c r="C141" s="118" t="n"/>
      <c r="D141" s="118" t="n"/>
      <c r="E141" s="118" t="n"/>
      <c r="F141" s="123" t="n"/>
      <c r="G141" s="119" t="n"/>
      <c r="H141" s="123" t="n"/>
      <c r="I141" s="123" t="n"/>
      <c r="J141" s="125" t="n"/>
      <c r="K141" s="120" t="n"/>
      <c r="N141" s="117" t="n"/>
      <c r="O141" s="117" t="n"/>
      <c r="P141" s="117" t="n"/>
      <c r="Q141" s="117" t="n"/>
      <c r="R141" s="118" t="n"/>
      <c r="S141" s="119" t="n"/>
      <c r="T141" s="120" t="n"/>
      <c r="U141" s="123" t="n"/>
      <c r="V141" s="123" t="n"/>
      <c r="Y141" s="117" t="n"/>
      <c r="Z141" s="117" t="n"/>
      <c r="AA141" s="118" t="n"/>
      <c r="AB141" s="119" t="n"/>
      <c r="AC141" s="120" t="n"/>
      <c r="AD141" s="120" t="n"/>
      <c r="AE141" s="120" t="n"/>
    </row>
    <row r="142" ht="15" customHeight="1" s="72">
      <c r="A142" s="117" t="n"/>
      <c r="B142" s="117" t="n"/>
      <c r="C142" s="118" t="n"/>
      <c r="D142" s="118" t="n"/>
      <c r="E142" s="118" t="n"/>
      <c r="F142" s="123" t="n"/>
      <c r="G142" s="119" t="n"/>
      <c r="H142" s="123" t="n"/>
      <c r="I142" s="123" t="n"/>
      <c r="J142" s="125" t="n"/>
      <c r="K142" s="120" t="n"/>
      <c r="N142" s="117" t="n"/>
      <c r="O142" s="117" t="n"/>
      <c r="P142" s="117" t="n"/>
      <c r="Q142" s="117" t="n"/>
      <c r="R142" s="118" t="n"/>
      <c r="S142" s="119" t="n"/>
      <c r="T142" s="120" t="n"/>
      <c r="U142" s="123" t="n"/>
      <c r="V142" s="123" t="n"/>
      <c r="Y142" s="117" t="n"/>
      <c r="Z142" s="117" t="n"/>
      <c r="AA142" s="118" t="n"/>
      <c r="AB142" s="119" t="n"/>
      <c r="AC142" s="120" t="n"/>
      <c r="AD142" s="120" t="n"/>
      <c r="AE142" s="120" t="n"/>
    </row>
    <row r="143" ht="15" customHeight="1" s="72">
      <c r="A143" s="117" t="n"/>
      <c r="B143" s="117" t="n"/>
      <c r="C143" s="118" t="n"/>
      <c r="D143" s="118" t="n"/>
      <c r="E143" s="118" t="n"/>
      <c r="F143" s="123" t="n"/>
      <c r="G143" s="119" t="n"/>
      <c r="H143" s="123" t="n"/>
      <c r="I143" s="123" t="n"/>
      <c r="J143" s="125" t="n"/>
      <c r="K143" s="120" t="n"/>
      <c r="N143" s="117" t="n"/>
      <c r="O143" s="117" t="n"/>
      <c r="P143" s="117" t="n"/>
      <c r="Q143" s="117" t="n"/>
      <c r="R143" s="118" t="n"/>
      <c r="S143" s="119" t="n"/>
      <c r="T143" s="120" t="n"/>
      <c r="U143" s="123" t="n"/>
      <c r="V143" s="123" t="n"/>
      <c r="Y143" s="117" t="n"/>
      <c r="Z143" s="117" t="n"/>
      <c r="AA143" s="118" t="n"/>
      <c r="AB143" s="119" t="n"/>
      <c r="AC143" s="120" t="n"/>
      <c r="AD143" s="120" t="n"/>
      <c r="AE143" s="120" t="n"/>
    </row>
    <row r="144" ht="15" customHeight="1" s="72">
      <c r="A144" s="117" t="n"/>
      <c r="B144" s="117" t="n"/>
      <c r="C144" s="118" t="n"/>
      <c r="D144" s="118" t="n"/>
      <c r="E144" s="118" t="n"/>
      <c r="F144" s="123" t="n"/>
      <c r="G144" s="119" t="n"/>
      <c r="H144" s="123" t="n"/>
      <c r="I144" s="123" t="n"/>
      <c r="J144" s="125" t="n"/>
      <c r="K144" s="120" t="n"/>
      <c r="N144" s="117" t="n"/>
      <c r="O144" s="117" t="n"/>
      <c r="P144" s="117" t="n"/>
      <c r="Q144" s="117" t="n"/>
      <c r="R144" s="118" t="n"/>
      <c r="S144" s="119" t="n"/>
      <c r="T144" s="120" t="n"/>
      <c r="U144" s="123" t="n"/>
      <c r="V144" s="123" t="n"/>
      <c r="Y144" s="117" t="n"/>
      <c r="Z144" s="117" t="n"/>
      <c r="AA144" s="118" t="n"/>
      <c r="AB144" s="119" t="n"/>
      <c r="AC144" s="120" t="n"/>
      <c r="AD144" s="120" t="n"/>
      <c r="AE144" s="120" t="n"/>
    </row>
    <row r="145" ht="15" customHeight="1" s="72">
      <c r="A145" s="117" t="n"/>
      <c r="B145" s="117" t="n"/>
      <c r="C145" s="118" t="n"/>
      <c r="D145" s="118" t="n"/>
      <c r="E145" s="118" t="n"/>
      <c r="F145" s="123" t="n"/>
      <c r="G145" s="119" t="n"/>
      <c r="H145" s="123" t="n"/>
      <c r="I145" s="123" t="n"/>
      <c r="J145" s="125" t="n"/>
      <c r="K145" s="120" t="n"/>
      <c r="N145" s="117" t="n"/>
      <c r="O145" s="117" t="n"/>
      <c r="P145" s="117" t="n"/>
      <c r="Q145" s="117" t="n"/>
      <c r="R145" s="118" t="n"/>
      <c r="S145" s="119" t="n"/>
      <c r="T145" s="120" t="n"/>
      <c r="U145" s="123" t="n"/>
      <c r="V145" s="123" t="n"/>
      <c r="Y145" s="117" t="n"/>
      <c r="Z145" s="117" t="n"/>
      <c r="AA145" s="118" t="n"/>
      <c r="AB145" s="119" t="n"/>
      <c r="AC145" s="120" t="n"/>
      <c r="AD145" s="120" t="n"/>
      <c r="AE145" s="120" t="n"/>
    </row>
    <row r="146" ht="15" customHeight="1" s="72">
      <c r="A146" s="117" t="n"/>
      <c r="B146" s="117" t="n"/>
      <c r="C146" s="118" t="n"/>
      <c r="D146" s="118" t="n"/>
      <c r="E146" s="118" t="n"/>
      <c r="F146" s="123" t="n"/>
      <c r="G146" s="119" t="n"/>
      <c r="H146" s="123" t="n"/>
      <c r="I146" s="123" t="n"/>
      <c r="J146" s="125" t="n"/>
      <c r="K146" s="120" t="n"/>
      <c r="N146" s="117" t="n"/>
      <c r="O146" s="117" t="n"/>
      <c r="P146" s="117" t="n"/>
      <c r="Q146" s="117" t="n"/>
      <c r="R146" s="118" t="n"/>
      <c r="S146" s="119" t="n"/>
      <c r="T146" s="120" t="n"/>
      <c r="U146" s="123" t="n"/>
      <c r="V146" s="123" t="n"/>
      <c r="Y146" s="117" t="n"/>
      <c r="Z146" s="117" t="n"/>
      <c r="AA146" s="118" t="n"/>
      <c r="AB146" s="119" t="n"/>
      <c r="AC146" s="120" t="n"/>
      <c r="AD146" s="120" t="n"/>
      <c r="AE146" s="120" t="n"/>
    </row>
    <row r="147" ht="15" customHeight="1" s="72">
      <c r="A147" s="117" t="n"/>
      <c r="B147" s="117" t="n"/>
      <c r="C147" s="118" t="n"/>
      <c r="D147" s="118" t="n"/>
      <c r="E147" s="118" t="n"/>
      <c r="F147" s="123" t="n"/>
      <c r="G147" s="119" t="n"/>
      <c r="H147" s="123" t="n"/>
      <c r="I147" s="123" t="n"/>
      <c r="J147" s="125" t="n"/>
      <c r="K147" s="120" t="n"/>
      <c r="N147" s="117" t="n"/>
      <c r="O147" s="117" t="n"/>
      <c r="P147" s="117" t="n"/>
      <c r="Q147" s="117" t="n"/>
      <c r="R147" s="118" t="n"/>
      <c r="S147" s="119" t="n"/>
      <c r="T147" s="120" t="n"/>
      <c r="U147" s="123" t="n"/>
      <c r="V147" s="123" t="n"/>
      <c r="Y147" s="117" t="n"/>
      <c r="Z147" s="117" t="n"/>
      <c r="AA147" s="118" t="n"/>
      <c r="AB147" s="119" t="n"/>
      <c r="AC147" s="120" t="n"/>
      <c r="AD147" s="120" t="n"/>
      <c r="AE147" s="120" t="n"/>
    </row>
    <row r="148" ht="15" customHeight="1" s="72">
      <c r="A148" s="117" t="n"/>
      <c r="B148" s="117" t="n"/>
      <c r="C148" s="118" t="n"/>
      <c r="D148" s="118" t="n"/>
      <c r="E148" s="118" t="n"/>
      <c r="F148" s="123" t="n"/>
      <c r="G148" s="119" t="n"/>
      <c r="H148" s="123" t="n"/>
      <c r="I148" s="123" t="n"/>
      <c r="J148" s="125" t="n"/>
      <c r="K148" s="120" t="n"/>
      <c r="N148" s="117" t="n"/>
      <c r="O148" s="117" t="n"/>
      <c r="P148" s="117" t="n"/>
      <c r="Q148" s="117" t="n"/>
      <c r="R148" s="118" t="n"/>
      <c r="S148" s="119" t="n"/>
      <c r="T148" s="120" t="n"/>
      <c r="U148" s="123" t="n"/>
      <c r="V148" s="123" t="n"/>
      <c r="Y148" s="117" t="n"/>
      <c r="Z148" s="117" t="n"/>
      <c r="AA148" s="118" t="n"/>
      <c r="AB148" s="119" t="n"/>
      <c r="AC148" s="120" t="n"/>
      <c r="AD148" s="120" t="n"/>
      <c r="AE148" s="120" t="n"/>
    </row>
    <row r="149" ht="15" customHeight="1" s="72">
      <c r="A149" s="117" t="n"/>
      <c r="B149" s="117" t="n"/>
      <c r="C149" s="118" t="n"/>
      <c r="D149" s="118" t="n"/>
      <c r="E149" s="118" t="n"/>
      <c r="F149" s="123" t="n"/>
      <c r="G149" s="119" t="n"/>
      <c r="H149" s="123" t="n"/>
      <c r="I149" s="123" t="n"/>
      <c r="J149" s="125" t="n"/>
      <c r="K149" s="120" t="n"/>
      <c r="N149" s="117" t="n"/>
      <c r="O149" s="117" t="n"/>
      <c r="P149" s="117" t="n"/>
      <c r="Q149" s="117" t="n"/>
      <c r="R149" s="118" t="n"/>
      <c r="S149" s="119" t="n"/>
      <c r="T149" s="120" t="n"/>
      <c r="U149" s="123" t="n"/>
      <c r="V149" s="123" t="n"/>
      <c r="Y149" s="117" t="n"/>
      <c r="Z149" s="117" t="n"/>
      <c r="AA149" s="118" t="n"/>
      <c r="AB149" s="119" t="n"/>
      <c r="AC149" s="120" t="n"/>
      <c r="AD149" s="120" t="n"/>
      <c r="AE149" s="120" t="n"/>
    </row>
    <row r="150" ht="15" customHeight="1" s="72">
      <c r="A150" s="117" t="n"/>
      <c r="B150" s="117" t="n"/>
      <c r="C150" s="118" t="n"/>
      <c r="D150" s="118" t="n"/>
      <c r="E150" s="118" t="n"/>
      <c r="F150" s="123" t="n"/>
      <c r="G150" s="119" t="n"/>
      <c r="H150" s="123" t="n"/>
      <c r="I150" s="123" t="n"/>
      <c r="J150" s="125" t="n"/>
      <c r="K150" s="120" t="n"/>
      <c r="N150" s="117" t="n"/>
      <c r="O150" s="117" t="n"/>
      <c r="P150" s="117" t="n"/>
      <c r="Q150" s="117" t="n"/>
      <c r="R150" s="118" t="n"/>
      <c r="S150" s="119" t="n"/>
      <c r="T150" s="120" t="n"/>
      <c r="U150" s="123" t="n"/>
      <c r="V150" s="123" t="n"/>
      <c r="Y150" s="117" t="n"/>
      <c r="Z150" s="117" t="n"/>
      <c r="AA150" s="118" t="n"/>
      <c r="AB150" s="119" t="n"/>
      <c r="AC150" s="120" t="n"/>
      <c r="AD150" s="120" t="n"/>
      <c r="AE150" s="120" t="n"/>
    </row>
    <row r="151" ht="15" customHeight="1" s="72">
      <c r="A151" s="117" t="n"/>
      <c r="B151" s="117" t="n"/>
      <c r="C151" s="118" t="n"/>
      <c r="D151" s="118" t="n"/>
      <c r="E151" s="118" t="n"/>
      <c r="F151" s="123" t="n"/>
      <c r="G151" s="119" t="n"/>
      <c r="H151" s="123" t="n"/>
      <c r="I151" s="123" t="n"/>
      <c r="J151" s="125" t="n"/>
      <c r="K151" s="120" t="n"/>
      <c r="N151" s="117" t="n"/>
      <c r="O151" s="117" t="n"/>
      <c r="P151" s="117" t="n"/>
      <c r="Q151" s="117" t="n"/>
      <c r="R151" s="118" t="n"/>
      <c r="S151" s="119" t="n"/>
      <c r="T151" s="120" t="n"/>
      <c r="U151" s="123" t="n"/>
      <c r="V151" s="123" t="n"/>
      <c r="Y151" s="117" t="n"/>
      <c r="Z151" s="117" t="n"/>
      <c r="AA151" s="118" t="n"/>
      <c r="AB151" s="119" t="n"/>
      <c r="AC151" s="120" t="n"/>
      <c r="AD151" s="120" t="n"/>
      <c r="AE151" s="120" t="n"/>
    </row>
    <row r="152" ht="15" customHeight="1" s="72">
      <c r="A152" s="117" t="n"/>
      <c r="B152" s="117" t="n"/>
      <c r="C152" s="118" t="n"/>
      <c r="D152" s="118" t="n"/>
      <c r="E152" s="118" t="n"/>
      <c r="F152" s="123" t="n"/>
      <c r="G152" s="119" t="n"/>
      <c r="H152" s="123" t="n"/>
      <c r="I152" s="123" t="n"/>
      <c r="J152" s="125" t="n"/>
      <c r="K152" s="120" t="n"/>
      <c r="N152" s="117" t="n"/>
      <c r="O152" s="117" t="n"/>
      <c r="P152" s="117" t="n"/>
      <c r="Q152" s="117" t="n"/>
      <c r="R152" s="118" t="n"/>
      <c r="S152" s="119" t="n"/>
      <c r="T152" s="120" t="n"/>
      <c r="U152" s="123" t="n"/>
      <c r="V152" s="123" t="n"/>
      <c r="Y152" s="117" t="n"/>
      <c r="Z152" s="117" t="n"/>
      <c r="AA152" s="118" t="n"/>
      <c r="AB152" s="119" t="n"/>
      <c r="AC152" s="120" t="n"/>
      <c r="AD152" s="120" t="n"/>
      <c r="AE152" s="120" t="n"/>
    </row>
    <row r="153" ht="15" customHeight="1" s="72">
      <c r="A153" s="117" t="n"/>
      <c r="B153" s="117" t="n"/>
      <c r="C153" s="118" t="n"/>
      <c r="D153" s="118" t="n"/>
      <c r="E153" s="118" t="n"/>
      <c r="F153" s="123" t="n"/>
      <c r="G153" s="119" t="n"/>
      <c r="H153" s="123" t="n"/>
      <c r="I153" s="123" t="n"/>
      <c r="J153" s="125" t="n"/>
      <c r="K153" s="120" t="n"/>
      <c r="N153" s="117" t="n"/>
      <c r="O153" s="117" t="n"/>
      <c r="P153" s="117" t="n"/>
      <c r="Q153" s="117" t="n"/>
      <c r="R153" s="118" t="n"/>
      <c r="S153" s="119" t="n"/>
      <c r="T153" s="120" t="n"/>
      <c r="U153" s="123" t="n"/>
      <c r="V153" s="123" t="n"/>
      <c r="Y153" s="117" t="n"/>
      <c r="Z153" s="117" t="n"/>
      <c r="AA153" s="118" t="n"/>
      <c r="AB153" s="119" t="n"/>
      <c r="AC153" s="120" t="n"/>
      <c r="AD153" s="120" t="n"/>
      <c r="AE153" s="120" t="n"/>
    </row>
    <row r="154" ht="15" customHeight="1" s="72">
      <c r="A154" s="117" t="n"/>
      <c r="B154" s="117" t="n"/>
      <c r="C154" s="118" t="n"/>
      <c r="D154" s="118" t="n"/>
      <c r="E154" s="118" t="n"/>
      <c r="F154" s="123" t="n"/>
      <c r="G154" s="119" t="n"/>
      <c r="H154" s="123" t="n"/>
      <c r="I154" s="123" t="n"/>
      <c r="J154" s="125" t="n"/>
      <c r="K154" s="120" t="n"/>
      <c r="N154" s="117" t="n"/>
      <c r="O154" s="117" t="n"/>
      <c r="P154" s="117" t="n"/>
      <c r="Q154" s="117" t="n"/>
      <c r="R154" s="118" t="n"/>
      <c r="S154" s="119" t="n"/>
      <c r="T154" s="120" t="n"/>
      <c r="U154" s="123" t="n"/>
      <c r="V154" s="123" t="n"/>
      <c r="Y154" s="117" t="n"/>
      <c r="Z154" s="117" t="n"/>
      <c r="AA154" s="118" t="n"/>
      <c r="AB154" s="119" t="n"/>
      <c r="AC154" s="120" t="n"/>
      <c r="AD154" s="120" t="n"/>
      <c r="AE154" s="120" t="n"/>
    </row>
    <row r="155" ht="15" customHeight="1" s="72">
      <c r="A155" s="117" t="n"/>
      <c r="B155" s="117" t="n"/>
      <c r="C155" s="118" t="n"/>
      <c r="D155" s="118" t="n"/>
      <c r="E155" s="118" t="n"/>
      <c r="F155" s="123" t="n"/>
      <c r="G155" s="119" t="n"/>
      <c r="H155" s="123" t="n"/>
      <c r="I155" s="123" t="n"/>
      <c r="J155" s="125" t="n"/>
      <c r="K155" s="120" t="n"/>
      <c r="N155" s="117" t="n"/>
      <c r="O155" s="117" t="n"/>
      <c r="P155" s="117" t="n"/>
      <c r="Q155" s="117" t="n"/>
      <c r="R155" s="118" t="n"/>
      <c r="S155" s="119" t="n"/>
      <c r="T155" s="120" t="n"/>
      <c r="U155" s="123" t="n"/>
      <c r="V155" s="123" t="n"/>
      <c r="Y155" s="117" t="n"/>
      <c r="Z155" s="117" t="n"/>
      <c r="AA155" s="118" t="n"/>
      <c r="AB155" s="119" t="n"/>
      <c r="AC155" s="120" t="n"/>
      <c r="AD155" s="120" t="n"/>
      <c r="AE155" s="120" t="n"/>
    </row>
    <row r="156" ht="15" customHeight="1" s="72">
      <c r="A156" s="117" t="n"/>
      <c r="B156" s="117" t="n"/>
      <c r="C156" s="118" t="n"/>
      <c r="D156" s="118" t="n"/>
      <c r="E156" s="118" t="n"/>
      <c r="F156" s="123" t="n"/>
      <c r="G156" s="119" t="n"/>
      <c r="H156" s="123" t="n"/>
      <c r="I156" s="123" t="n"/>
      <c r="J156" s="125" t="n"/>
      <c r="K156" s="120" t="n"/>
      <c r="N156" s="117" t="n"/>
      <c r="O156" s="117" t="n"/>
      <c r="P156" s="117" t="n"/>
      <c r="Q156" s="117" t="n"/>
      <c r="R156" s="118" t="n"/>
      <c r="S156" s="119" t="n"/>
      <c r="T156" s="120" t="n"/>
      <c r="U156" s="123" t="n"/>
      <c r="V156" s="123" t="n"/>
      <c r="Y156" s="117" t="n"/>
      <c r="Z156" s="117" t="n"/>
      <c r="AA156" s="118" t="n"/>
      <c r="AB156" s="119" t="n"/>
      <c r="AC156" s="120" t="n"/>
      <c r="AD156" s="120" t="n"/>
      <c r="AE156" s="120" t="n"/>
    </row>
    <row r="157" ht="15" customHeight="1" s="72">
      <c r="A157" s="117" t="n"/>
      <c r="B157" s="117" t="n"/>
      <c r="C157" s="118" t="n"/>
      <c r="D157" s="118" t="n"/>
      <c r="E157" s="118" t="n"/>
      <c r="F157" s="123" t="n"/>
      <c r="G157" s="119" t="n"/>
      <c r="H157" s="123" t="n"/>
      <c r="I157" s="123" t="n"/>
      <c r="J157" s="125" t="n"/>
      <c r="K157" s="120" t="n"/>
      <c r="N157" s="117" t="n"/>
      <c r="O157" s="117" t="n"/>
      <c r="P157" s="117" t="n"/>
      <c r="Q157" s="117" t="n"/>
      <c r="R157" s="118" t="n"/>
      <c r="S157" s="119" t="n"/>
      <c r="T157" s="120" t="n"/>
      <c r="U157" s="123" t="n"/>
      <c r="V157" s="123" t="n"/>
      <c r="Y157" s="117" t="n"/>
      <c r="Z157" s="117" t="n"/>
      <c r="AA157" s="118" t="n"/>
      <c r="AB157" s="119" t="n"/>
      <c r="AC157" s="120" t="n"/>
      <c r="AD157" s="120" t="n"/>
      <c r="AE157" s="120" t="n"/>
    </row>
    <row r="158" ht="15" customHeight="1" s="72">
      <c r="A158" s="117" t="n"/>
      <c r="B158" s="117" t="n"/>
      <c r="C158" s="118" t="n"/>
      <c r="D158" s="118" t="n"/>
      <c r="E158" s="118" t="n"/>
      <c r="F158" s="123" t="n"/>
      <c r="G158" s="119" t="n"/>
      <c r="H158" s="123" t="n"/>
      <c r="I158" s="123" t="n"/>
      <c r="J158" s="125" t="n"/>
      <c r="K158" s="120" t="n"/>
      <c r="N158" s="117" t="n"/>
      <c r="O158" s="117" t="n"/>
      <c r="P158" s="117" t="n"/>
      <c r="Q158" s="117" t="n"/>
      <c r="R158" s="118" t="n"/>
      <c r="S158" s="119" t="n"/>
      <c r="T158" s="120" t="n"/>
      <c r="U158" s="123" t="n"/>
      <c r="V158" s="123" t="n"/>
      <c r="Y158" s="117" t="n"/>
      <c r="Z158" s="117" t="n"/>
      <c r="AA158" s="118" t="n"/>
      <c r="AB158" s="119" t="n"/>
      <c r="AC158" s="120" t="n"/>
      <c r="AD158" s="120" t="n"/>
      <c r="AE158" s="120" t="n"/>
    </row>
    <row r="159" ht="15" customHeight="1" s="72">
      <c r="A159" s="117" t="n"/>
      <c r="B159" s="117" t="n"/>
      <c r="C159" s="118" t="n"/>
      <c r="D159" s="118" t="n"/>
      <c r="E159" s="118" t="n"/>
      <c r="F159" s="123" t="n"/>
      <c r="G159" s="119" t="n"/>
      <c r="H159" s="123" t="n"/>
      <c r="I159" s="123" t="n"/>
      <c r="J159" s="125" t="n"/>
      <c r="K159" s="120" t="n"/>
      <c r="N159" s="117" t="n"/>
      <c r="O159" s="117" t="n"/>
      <c r="P159" s="117" t="n"/>
      <c r="Q159" s="117" t="n"/>
      <c r="R159" s="118" t="n"/>
      <c r="S159" s="119" t="n"/>
      <c r="T159" s="120" t="n"/>
      <c r="U159" s="123" t="n"/>
      <c r="V159" s="123" t="n"/>
      <c r="Y159" s="117" t="n"/>
      <c r="Z159" s="117" t="n"/>
      <c r="AA159" s="118" t="n"/>
      <c r="AB159" s="119" t="n"/>
      <c r="AC159" s="120" t="n"/>
      <c r="AD159" s="120" t="n"/>
      <c r="AE159" s="120" t="n"/>
    </row>
    <row r="160" ht="15" customHeight="1" s="72">
      <c r="A160" s="117" t="n"/>
      <c r="B160" s="117" t="n"/>
      <c r="C160" s="118" t="n"/>
      <c r="D160" s="118" t="n"/>
      <c r="E160" s="118" t="n"/>
      <c r="F160" s="123" t="n"/>
      <c r="G160" s="119" t="n"/>
      <c r="H160" s="123" t="n"/>
      <c r="I160" s="123" t="n"/>
      <c r="J160" s="125" t="n"/>
      <c r="K160" s="120" t="n"/>
      <c r="N160" s="117" t="n"/>
      <c r="O160" s="117" t="n"/>
      <c r="P160" s="117" t="n"/>
      <c r="Q160" s="117" t="n"/>
      <c r="R160" s="118" t="n"/>
      <c r="S160" s="119" t="n"/>
      <c r="T160" s="120" t="n"/>
      <c r="U160" s="123" t="n"/>
      <c r="V160" s="123" t="n"/>
      <c r="Y160" s="117" t="n"/>
      <c r="Z160" s="117" t="n"/>
      <c r="AA160" s="118" t="n"/>
      <c r="AB160" s="119" t="n"/>
      <c r="AC160" s="120" t="n"/>
      <c r="AD160" s="120" t="n"/>
      <c r="AE160" s="120" t="n"/>
    </row>
    <row r="161" ht="15" customHeight="1" s="72">
      <c r="A161" s="117" t="n"/>
      <c r="B161" s="117" t="n"/>
      <c r="C161" s="118" t="n"/>
      <c r="D161" s="118" t="n"/>
      <c r="E161" s="118" t="n"/>
      <c r="F161" s="123" t="n"/>
      <c r="G161" s="119" t="n"/>
      <c r="H161" s="123" t="n"/>
      <c r="I161" s="123" t="n"/>
      <c r="J161" s="125" t="n"/>
      <c r="K161" s="120" t="n"/>
      <c r="N161" s="117" t="n"/>
      <c r="O161" s="117" t="n"/>
      <c r="P161" s="117" t="n"/>
      <c r="Q161" s="117" t="n"/>
      <c r="R161" s="118" t="n"/>
      <c r="S161" s="119" t="n"/>
      <c r="T161" s="120" t="n"/>
      <c r="U161" s="123" t="n"/>
      <c r="V161" s="123" t="n"/>
      <c r="Y161" s="117" t="n"/>
      <c r="Z161" s="117" t="n"/>
      <c r="AA161" s="118" t="n"/>
      <c r="AB161" s="119" t="n"/>
      <c r="AC161" s="120" t="n"/>
      <c r="AD161" s="120" t="n"/>
      <c r="AE161" s="120" t="n"/>
    </row>
    <row r="162" ht="15" customHeight="1" s="72">
      <c r="A162" s="117" t="n"/>
      <c r="B162" s="117" t="n"/>
      <c r="C162" s="118" t="n"/>
      <c r="D162" s="118" t="n"/>
      <c r="E162" s="118" t="n"/>
      <c r="F162" s="123" t="n"/>
      <c r="G162" s="119" t="n"/>
      <c r="H162" s="123" t="n"/>
      <c r="I162" s="123" t="n"/>
      <c r="J162" s="125" t="n"/>
      <c r="K162" s="120" t="n"/>
      <c r="N162" s="117" t="n"/>
      <c r="O162" s="117" t="n"/>
      <c r="P162" s="117" t="n"/>
      <c r="Q162" s="117" t="n"/>
      <c r="R162" s="118" t="n"/>
      <c r="S162" s="119" t="n"/>
      <c r="T162" s="120" t="n"/>
      <c r="U162" s="123" t="n"/>
      <c r="V162" s="123" t="n"/>
      <c r="Y162" s="117" t="n"/>
      <c r="Z162" s="117" t="n"/>
      <c r="AA162" s="118" t="n"/>
      <c r="AB162" s="119" t="n"/>
      <c r="AC162" s="120" t="n"/>
      <c r="AD162" s="120" t="n"/>
      <c r="AE162" s="120" t="n"/>
    </row>
    <row r="163" ht="15" customHeight="1" s="72">
      <c r="A163" s="117" t="n"/>
      <c r="B163" s="117" t="n"/>
      <c r="C163" s="118" t="n"/>
      <c r="D163" s="118" t="n"/>
      <c r="E163" s="118" t="n"/>
      <c r="F163" s="123" t="n"/>
      <c r="G163" s="119" t="n"/>
      <c r="H163" s="123" t="n"/>
      <c r="I163" s="123" t="n"/>
      <c r="J163" s="125" t="n"/>
      <c r="K163" s="120" t="n"/>
      <c r="N163" s="117" t="n"/>
      <c r="O163" s="117" t="n"/>
      <c r="P163" s="117" t="n"/>
      <c r="Q163" s="117" t="n"/>
      <c r="R163" s="118" t="n"/>
      <c r="S163" s="119" t="n"/>
      <c r="T163" s="120" t="n"/>
      <c r="U163" s="123" t="n"/>
      <c r="V163" s="123" t="n"/>
      <c r="Y163" s="117" t="n"/>
      <c r="Z163" s="117" t="n"/>
      <c r="AA163" s="118" t="n"/>
      <c r="AB163" s="119" t="n"/>
      <c r="AC163" s="120" t="n"/>
      <c r="AD163" s="120" t="n"/>
      <c r="AE163" s="120" t="n"/>
    </row>
    <row r="164" ht="15" customHeight="1" s="72">
      <c r="A164" s="117" t="n"/>
      <c r="B164" s="117" t="n"/>
      <c r="C164" s="118" t="n"/>
      <c r="D164" s="118" t="n"/>
      <c r="E164" s="118" t="n"/>
      <c r="F164" s="123" t="n"/>
      <c r="G164" s="119" t="n"/>
      <c r="H164" s="123" t="n"/>
      <c r="I164" s="123" t="n"/>
      <c r="J164" s="125" t="n"/>
      <c r="K164" s="120" t="n"/>
      <c r="N164" s="117" t="n"/>
      <c r="O164" s="117" t="n"/>
      <c r="P164" s="117" t="n"/>
      <c r="Q164" s="117" t="n"/>
      <c r="R164" s="118" t="n"/>
      <c r="S164" s="119" t="n"/>
      <c r="T164" s="120" t="n"/>
      <c r="U164" s="123" t="n"/>
      <c r="V164" s="123" t="n"/>
      <c r="Y164" s="117" t="n"/>
      <c r="Z164" s="117" t="n"/>
      <c r="AA164" s="118" t="n"/>
      <c r="AB164" s="119" t="n"/>
      <c r="AC164" s="120" t="n"/>
      <c r="AD164" s="120" t="n"/>
      <c r="AE164" s="120" t="n"/>
    </row>
    <row r="165" ht="15" customHeight="1" s="72">
      <c r="A165" s="117" t="n"/>
      <c r="B165" s="117" t="n"/>
      <c r="C165" s="118" t="n"/>
      <c r="D165" s="118" t="n"/>
      <c r="E165" s="118" t="n"/>
      <c r="F165" s="123" t="n"/>
      <c r="G165" s="119" t="n"/>
      <c r="H165" s="123" t="n"/>
      <c r="I165" s="123" t="n"/>
      <c r="J165" s="125" t="n"/>
      <c r="K165" s="120" t="n"/>
      <c r="N165" s="117" t="n"/>
      <c r="O165" s="117" t="n"/>
      <c r="P165" s="117" t="n"/>
      <c r="Q165" s="117" t="n"/>
      <c r="R165" s="118" t="n"/>
      <c r="S165" s="119" t="n"/>
      <c r="T165" s="120" t="n"/>
      <c r="U165" s="123" t="n"/>
      <c r="V165" s="123" t="n"/>
      <c r="Y165" s="117" t="n"/>
      <c r="Z165" s="117" t="n"/>
      <c r="AA165" s="118" t="n"/>
      <c r="AB165" s="119" t="n"/>
      <c r="AC165" s="120" t="n"/>
      <c r="AD165" s="120" t="n"/>
      <c r="AE165" s="120" t="n"/>
    </row>
    <row r="166" ht="15" customHeight="1" s="72">
      <c r="A166" s="117" t="n"/>
      <c r="B166" s="117" t="n"/>
      <c r="C166" s="118" t="n"/>
      <c r="D166" s="118" t="n"/>
      <c r="E166" s="118" t="n"/>
      <c r="F166" s="123" t="n"/>
      <c r="G166" s="119" t="n"/>
      <c r="H166" s="123" t="n"/>
      <c r="I166" s="123" t="n"/>
      <c r="J166" s="125" t="n"/>
      <c r="K166" s="120" t="n"/>
      <c r="N166" s="117" t="n"/>
      <c r="O166" s="117" t="n"/>
      <c r="P166" s="117" t="n"/>
      <c r="Q166" s="117" t="n"/>
      <c r="R166" s="118" t="n"/>
      <c r="S166" s="119" t="n"/>
      <c r="T166" s="120" t="n"/>
      <c r="U166" s="123" t="n"/>
      <c r="V166" s="123" t="n"/>
      <c r="Y166" s="117" t="n"/>
      <c r="Z166" s="117" t="n"/>
      <c r="AA166" s="118" t="n"/>
      <c r="AB166" s="119" t="n"/>
      <c r="AC166" s="120" t="n"/>
      <c r="AD166" s="120" t="n"/>
      <c r="AE166" s="120" t="n"/>
    </row>
    <row r="167" ht="15" customHeight="1" s="72">
      <c r="A167" s="117" t="n"/>
      <c r="B167" s="117" t="n"/>
      <c r="C167" s="118" t="n"/>
      <c r="D167" s="118" t="n"/>
      <c r="E167" s="118" t="n"/>
      <c r="F167" s="123" t="n"/>
      <c r="G167" s="119" t="n"/>
      <c r="H167" s="123" t="n"/>
      <c r="I167" s="123" t="n"/>
      <c r="J167" s="125" t="n"/>
      <c r="K167" s="120" t="n"/>
      <c r="N167" s="117" t="n"/>
      <c r="O167" s="117" t="n"/>
      <c r="P167" s="117" t="n"/>
      <c r="Q167" s="117" t="n"/>
      <c r="R167" s="118" t="n"/>
      <c r="S167" s="119" t="n"/>
      <c r="T167" s="120" t="n"/>
      <c r="U167" s="123" t="n"/>
      <c r="V167" s="123" t="n"/>
      <c r="Y167" s="117" t="n"/>
      <c r="Z167" s="117" t="n"/>
      <c r="AA167" s="118" t="n"/>
      <c r="AB167" s="119" t="n"/>
      <c r="AC167" s="120" t="n"/>
      <c r="AD167" s="120" t="n"/>
      <c r="AE167" s="120" t="n"/>
    </row>
    <row r="168" ht="15" customHeight="1" s="72">
      <c r="A168" s="117" t="n"/>
      <c r="B168" s="117" t="n"/>
      <c r="C168" s="118" t="n"/>
      <c r="D168" s="118" t="n"/>
      <c r="E168" s="118" t="n"/>
      <c r="F168" s="123" t="n"/>
      <c r="G168" s="119" t="n"/>
      <c r="H168" s="123" t="n"/>
      <c r="I168" s="123" t="n"/>
      <c r="J168" s="125" t="n"/>
      <c r="K168" s="120" t="n"/>
      <c r="N168" s="117" t="n"/>
      <c r="O168" s="117" t="n"/>
      <c r="P168" s="117" t="n"/>
      <c r="Q168" s="117" t="n"/>
      <c r="R168" s="118" t="n"/>
      <c r="S168" s="119" t="n"/>
      <c r="T168" s="120" t="n"/>
      <c r="U168" s="123" t="n"/>
      <c r="V168" s="123" t="n"/>
      <c r="Y168" s="117" t="n"/>
      <c r="Z168" s="117" t="n"/>
      <c r="AA168" s="118" t="n"/>
      <c r="AB168" s="119" t="n"/>
      <c r="AC168" s="120" t="n"/>
      <c r="AD168" s="120" t="n"/>
      <c r="AE168" s="120" t="n"/>
    </row>
    <row r="169" ht="15" customHeight="1" s="72">
      <c r="A169" s="117" t="n"/>
      <c r="B169" s="117" t="n"/>
      <c r="C169" s="118" t="n"/>
      <c r="D169" s="118" t="n"/>
      <c r="E169" s="118" t="n"/>
      <c r="F169" s="123" t="n"/>
      <c r="G169" s="119" t="n"/>
      <c r="H169" s="123" t="n"/>
      <c r="I169" s="123" t="n"/>
      <c r="J169" s="125" t="n"/>
      <c r="K169" s="120" t="n"/>
      <c r="N169" s="117" t="n"/>
      <c r="O169" s="117" t="n"/>
      <c r="P169" s="117" t="n"/>
      <c r="Q169" s="117" t="n"/>
      <c r="R169" s="118" t="n"/>
      <c r="S169" s="119" t="n"/>
      <c r="T169" s="120" t="n"/>
      <c r="U169" s="123" t="n"/>
      <c r="V169" s="123" t="n"/>
      <c r="Y169" s="117" t="n"/>
      <c r="Z169" s="117" t="n"/>
      <c r="AA169" s="118" t="n"/>
      <c r="AB169" s="119" t="n"/>
      <c r="AC169" s="120" t="n"/>
      <c r="AD169" s="120" t="n"/>
      <c r="AE169" s="120" t="n"/>
    </row>
    <row r="170" ht="15" customHeight="1" s="72">
      <c r="A170" s="117" t="n"/>
      <c r="B170" s="117" t="n"/>
      <c r="C170" s="118" t="n"/>
      <c r="D170" s="118" t="n"/>
      <c r="E170" s="118" t="n"/>
      <c r="F170" s="123" t="n"/>
      <c r="G170" s="119" t="n"/>
      <c r="H170" s="123" t="n"/>
      <c r="I170" s="123" t="n"/>
      <c r="J170" s="125" t="n"/>
      <c r="K170" s="120" t="n"/>
      <c r="N170" s="117" t="n"/>
      <c r="O170" s="117" t="n"/>
      <c r="P170" s="117" t="n"/>
      <c r="Q170" s="117" t="n"/>
      <c r="R170" s="118" t="n"/>
      <c r="S170" s="119" t="n"/>
      <c r="T170" s="120" t="n"/>
      <c r="U170" s="123" t="n"/>
      <c r="V170" s="123" t="n"/>
      <c r="Y170" s="117" t="n"/>
      <c r="Z170" s="117" t="n"/>
      <c r="AA170" s="118" t="n"/>
      <c r="AB170" s="119" t="n"/>
      <c r="AC170" s="120" t="n"/>
      <c r="AD170" s="120" t="n"/>
      <c r="AE170" s="120" t="n"/>
    </row>
    <row r="171" ht="15" customHeight="1" s="72">
      <c r="A171" s="117" t="n"/>
      <c r="B171" s="117" t="n"/>
      <c r="C171" s="118" t="n"/>
      <c r="D171" s="118" t="n"/>
      <c r="E171" s="118" t="n"/>
      <c r="F171" s="123" t="n"/>
      <c r="G171" s="119" t="n"/>
      <c r="H171" s="123" t="n"/>
      <c r="I171" s="123" t="n"/>
      <c r="J171" s="125" t="n"/>
      <c r="K171" s="120" t="n"/>
      <c r="N171" s="117" t="n"/>
      <c r="O171" s="117" t="n"/>
      <c r="P171" s="117" t="n"/>
      <c r="Q171" s="117" t="n"/>
      <c r="R171" s="118" t="n"/>
      <c r="S171" s="119" t="n"/>
      <c r="T171" s="120" t="n"/>
      <c r="U171" s="123" t="n"/>
      <c r="V171" s="123" t="n"/>
      <c r="Y171" s="117" t="n"/>
      <c r="Z171" s="117" t="n"/>
      <c r="AA171" s="118" t="n"/>
      <c r="AB171" s="119" t="n"/>
      <c r="AC171" s="120" t="n"/>
      <c r="AD171" s="120" t="n"/>
      <c r="AE171" s="120" t="n"/>
    </row>
    <row r="172" ht="15" customHeight="1" s="72">
      <c r="A172" s="117" t="n"/>
      <c r="B172" s="117" t="n"/>
      <c r="C172" s="118" t="n"/>
      <c r="D172" s="118" t="n"/>
      <c r="E172" s="118" t="n"/>
      <c r="F172" s="123" t="n"/>
      <c r="G172" s="119" t="n"/>
      <c r="H172" s="123" t="n"/>
      <c r="I172" s="123" t="n"/>
      <c r="J172" s="125" t="n"/>
      <c r="K172" s="120" t="n"/>
      <c r="N172" s="117" t="n"/>
      <c r="O172" s="117" t="n"/>
      <c r="P172" s="117" t="n"/>
      <c r="Q172" s="117" t="n"/>
      <c r="R172" s="118" t="n"/>
      <c r="S172" s="119" t="n"/>
      <c r="T172" s="120" t="n"/>
      <c r="U172" s="123" t="n"/>
      <c r="V172" s="123" t="n"/>
      <c r="Y172" s="117" t="n"/>
      <c r="Z172" s="117" t="n"/>
      <c r="AA172" s="118" t="n"/>
      <c r="AB172" s="119" t="n"/>
      <c r="AC172" s="120" t="n"/>
      <c r="AD172" s="120" t="n"/>
      <c r="AE172" s="120" t="n"/>
    </row>
    <row r="173" ht="15" customHeight="1" s="72">
      <c r="A173" s="117" t="n"/>
      <c r="B173" s="117" t="n"/>
      <c r="C173" s="118" t="n"/>
      <c r="D173" s="118" t="n"/>
      <c r="E173" s="118" t="n"/>
      <c r="F173" s="123" t="n"/>
      <c r="G173" s="119" t="n"/>
      <c r="H173" s="123" t="n"/>
      <c r="I173" s="123" t="n"/>
      <c r="J173" s="125" t="n"/>
      <c r="K173" s="120" t="n"/>
      <c r="N173" s="117" t="n"/>
      <c r="O173" s="117" t="n"/>
      <c r="P173" s="117" t="n"/>
      <c r="Q173" s="117" t="n"/>
      <c r="R173" s="118" t="n"/>
      <c r="S173" s="119" t="n"/>
      <c r="T173" s="120" t="n"/>
      <c r="U173" s="123" t="n"/>
      <c r="V173" s="123" t="n"/>
      <c r="Y173" s="117" t="n"/>
      <c r="Z173" s="117" t="n"/>
      <c r="AA173" s="118" t="n"/>
      <c r="AB173" s="119" t="n"/>
      <c r="AC173" s="120" t="n"/>
      <c r="AD173" s="120" t="n"/>
      <c r="AE173" s="120" t="n"/>
    </row>
    <row r="174" ht="15" customHeight="1" s="72">
      <c r="A174" s="117" t="n"/>
      <c r="B174" s="117" t="n"/>
      <c r="C174" s="118" t="n"/>
      <c r="D174" s="118" t="n"/>
      <c r="E174" s="118" t="n"/>
      <c r="F174" s="123" t="n"/>
      <c r="G174" s="119" t="n"/>
      <c r="H174" s="123" t="n"/>
      <c r="I174" s="123" t="n"/>
      <c r="J174" s="125" t="n"/>
      <c r="K174" s="120" t="n"/>
      <c r="N174" s="117" t="n"/>
      <c r="O174" s="117" t="n"/>
      <c r="P174" s="117" t="n"/>
      <c r="Q174" s="117" t="n"/>
      <c r="R174" s="118" t="n"/>
      <c r="S174" s="119" t="n"/>
      <c r="T174" s="120" t="n"/>
      <c r="U174" s="123" t="n"/>
      <c r="V174" s="123" t="n"/>
      <c r="Y174" s="117" t="n"/>
      <c r="Z174" s="117" t="n"/>
      <c r="AA174" s="118" t="n"/>
      <c r="AB174" s="119" t="n"/>
      <c r="AC174" s="120" t="n"/>
      <c r="AD174" s="120" t="n"/>
      <c r="AE174" s="120" t="n"/>
    </row>
    <row r="175" ht="15" customHeight="1" s="72">
      <c r="A175" s="117" t="n"/>
      <c r="B175" s="117" t="n"/>
      <c r="C175" s="118" t="n"/>
      <c r="D175" s="118" t="n"/>
      <c r="E175" s="118" t="n"/>
      <c r="F175" s="123" t="n"/>
      <c r="G175" s="119" t="n"/>
      <c r="H175" s="123" t="n"/>
      <c r="I175" s="123" t="n"/>
      <c r="J175" s="125" t="n"/>
      <c r="K175" s="120" t="n"/>
      <c r="N175" s="117" t="n"/>
      <c r="O175" s="117" t="n"/>
      <c r="P175" s="117" t="n"/>
      <c r="Q175" s="117" t="n"/>
      <c r="R175" s="118" t="n"/>
      <c r="S175" s="119" t="n"/>
      <c r="T175" s="120" t="n"/>
      <c r="U175" s="123" t="n"/>
      <c r="V175" s="123" t="n"/>
      <c r="Y175" s="117" t="n"/>
      <c r="Z175" s="117" t="n"/>
      <c r="AA175" s="118" t="n"/>
      <c r="AB175" s="119" t="n"/>
      <c r="AC175" s="120" t="n"/>
      <c r="AD175" s="120" t="n"/>
      <c r="AE175" s="120" t="n"/>
    </row>
    <row r="176" ht="15" customHeight="1" s="72">
      <c r="A176" s="117" t="n"/>
      <c r="B176" s="117" t="n"/>
      <c r="C176" s="118" t="n"/>
      <c r="D176" s="118" t="n"/>
      <c r="E176" s="118" t="n"/>
      <c r="F176" s="123" t="n"/>
      <c r="G176" s="119" t="n"/>
      <c r="H176" s="123" t="n"/>
      <c r="I176" s="123" t="n"/>
      <c r="J176" s="125" t="n"/>
      <c r="K176" s="120" t="n"/>
      <c r="N176" s="117" t="n"/>
      <c r="O176" s="117" t="n"/>
      <c r="P176" s="117" t="n"/>
      <c r="Q176" s="117" t="n"/>
      <c r="R176" s="118" t="n"/>
      <c r="S176" s="119" t="n"/>
      <c r="T176" s="120" t="n"/>
      <c r="U176" s="123" t="n"/>
      <c r="V176" s="123" t="n"/>
      <c r="Y176" s="117" t="n"/>
      <c r="Z176" s="117" t="n"/>
      <c r="AA176" s="118" t="n"/>
      <c r="AB176" s="119" t="n"/>
      <c r="AC176" s="120" t="n"/>
      <c r="AD176" s="120" t="n"/>
      <c r="AE176" s="120" t="n"/>
    </row>
    <row r="177" ht="15" customHeight="1" s="72">
      <c r="A177" s="117" t="n"/>
      <c r="B177" s="117" t="n"/>
      <c r="C177" s="118" t="n"/>
      <c r="D177" s="118" t="n"/>
      <c r="E177" s="118" t="n"/>
      <c r="F177" s="123" t="n"/>
      <c r="G177" s="119" t="n"/>
      <c r="H177" s="123" t="n"/>
      <c r="I177" s="123" t="n"/>
      <c r="J177" s="125" t="n"/>
      <c r="K177" s="120" t="n"/>
      <c r="N177" s="117" t="n"/>
      <c r="O177" s="117" t="n"/>
      <c r="P177" s="117" t="n"/>
      <c r="Q177" s="117" t="n"/>
      <c r="R177" s="118" t="n"/>
      <c r="S177" s="119" t="n"/>
      <c r="T177" s="120" t="n"/>
      <c r="U177" s="123" t="n"/>
      <c r="V177" s="123" t="n"/>
      <c r="Y177" s="117" t="n"/>
      <c r="Z177" s="117" t="n"/>
      <c r="AA177" s="118" t="n"/>
      <c r="AB177" s="119" t="n"/>
      <c r="AC177" s="120" t="n"/>
      <c r="AD177" s="120" t="n"/>
      <c r="AE177" s="120" t="n"/>
    </row>
    <row r="178" ht="15" customHeight="1" s="72">
      <c r="A178" s="117" t="n"/>
      <c r="B178" s="117" t="n"/>
      <c r="C178" s="118" t="n"/>
      <c r="D178" s="118" t="n"/>
      <c r="E178" s="118" t="n"/>
      <c r="F178" s="123" t="n"/>
      <c r="G178" s="119" t="n"/>
      <c r="H178" s="123" t="n"/>
      <c r="I178" s="123" t="n"/>
      <c r="J178" s="125" t="n"/>
      <c r="K178" s="120" t="n"/>
      <c r="N178" s="117" t="n"/>
      <c r="O178" s="117" t="n"/>
      <c r="P178" s="117" t="n"/>
      <c r="Q178" s="117" t="n"/>
      <c r="R178" s="118" t="n"/>
      <c r="S178" s="119" t="n"/>
      <c r="T178" s="120" t="n"/>
      <c r="U178" s="123" t="n"/>
      <c r="V178" s="123" t="n"/>
      <c r="Y178" s="117" t="n"/>
      <c r="Z178" s="117" t="n"/>
      <c r="AA178" s="118" t="n"/>
      <c r="AB178" s="119" t="n"/>
      <c r="AC178" s="120" t="n"/>
      <c r="AD178" s="120" t="n"/>
      <c r="AE178" s="120" t="n"/>
    </row>
    <row r="179" ht="15" customHeight="1" s="72">
      <c r="A179" s="117" t="n"/>
      <c r="B179" s="117" t="n"/>
      <c r="C179" s="118" t="n"/>
      <c r="D179" s="118" t="n"/>
      <c r="E179" s="118" t="n"/>
      <c r="F179" s="123" t="n"/>
      <c r="G179" s="119" t="n"/>
      <c r="H179" s="123" t="n"/>
      <c r="I179" s="123" t="n"/>
      <c r="J179" s="125" t="n"/>
      <c r="K179" s="120" t="n"/>
      <c r="N179" s="117" t="n"/>
      <c r="O179" s="117" t="n"/>
      <c r="P179" s="117" t="n"/>
      <c r="Q179" s="117" t="n"/>
      <c r="R179" s="118" t="n"/>
      <c r="S179" s="119" t="n"/>
      <c r="T179" s="120" t="n"/>
      <c r="U179" s="123" t="n"/>
      <c r="V179" s="123" t="n"/>
      <c r="Y179" s="117" t="n"/>
      <c r="Z179" s="117" t="n"/>
      <c r="AA179" s="118" t="n"/>
      <c r="AB179" s="119" t="n"/>
      <c r="AC179" s="120" t="n"/>
      <c r="AD179" s="120" t="n"/>
      <c r="AE179" s="120" t="n"/>
    </row>
    <row r="180" ht="15" customHeight="1" s="72">
      <c r="A180" s="117" t="n"/>
      <c r="B180" s="117" t="n"/>
      <c r="C180" s="118" t="n"/>
      <c r="D180" s="118" t="n"/>
      <c r="E180" s="118" t="n"/>
      <c r="F180" s="123" t="n"/>
      <c r="G180" s="119" t="n"/>
      <c r="H180" s="123" t="n"/>
      <c r="I180" s="123" t="n"/>
      <c r="J180" s="125" t="n"/>
      <c r="K180" s="120" t="n"/>
      <c r="N180" s="117" t="n"/>
      <c r="O180" s="117" t="n"/>
      <c r="P180" s="117" t="n"/>
      <c r="Q180" s="117" t="n"/>
      <c r="R180" s="118" t="n"/>
      <c r="S180" s="119" t="n"/>
      <c r="T180" s="120" t="n"/>
      <c r="U180" s="123" t="n"/>
      <c r="V180" s="123" t="n"/>
      <c r="Y180" s="117" t="n"/>
      <c r="Z180" s="117" t="n"/>
      <c r="AA180" s="118" t="n"/>
      <c r="AB180" s="119" t="n"/>
      <c r="AC180" s="120" t="n"/>
      <c r="AD180" s="120" t="n"/>
      <c r="AE180" s="120" t="n"/>
    </row>
    <row r="181" ht="15" customHeight="1" s="72">
      <c r="A181" s="117" t="n"/>
      <c r="B181" s="117" t="n"/>
      <c r="C181" s="118" t="n"/>
      <c r="D181" s="118" t="n"/>
      <c r="E181" s="118" t="n"/>
      <c r="F181" s="123" t="n"/>
      <c r="G181" s="119" t="n"/>
      <c r="H181" s="123" t="n"/>
      <c r="I181" s="123" t="n"/>
      <c r="J181" s="125" t="n"/>
      <c r="K181" s="120" t="n"/>
      <c r="N181" s="117" t="n"/>
      <c r="O181" s="117" t="n"/>
      <c r="P181" s="117" t="n"/>
      <c r="Q181" s="117" t="n"/>
      <c r="R181" s="118" t="n"/>
      <c r="S181" s="119" t="n"/>
      <c r="T181" s="120" t="n"/>
      <c r="U181" s="123" t="n"/>
      <c r="V181" s="123" t="n"/>
      <c r="Y181" s="117" t="n"/>
      <c r="Z181" s="117" t="n"/>
      <c r="AA181" s="118" t="n"/>
      <c r="AB181" s="119" t="n"/>
      <c r="AC181" s="120" t="n"/>
      <c r="AD181" s="120" t="n"/>
      <c r="AE181" s="120" t="n"/>
    </row>
    <row r="182" ht="15" customHeight="1" s="72">
      <c r="A182" s="117" t="n"/>
      <c r="B182" s="117" t="n"/>
      <c r="C182" s="118" t="n"/>
      <c r="D182" s="118" t="n"/>
      <c r="E182" s="118" t="n"/>
      <c r="F182" s="123" t="n"/>
      <c r="G182" s="119" t="n"/>
      <c r="H182" s="123" t="n"/>
      <c r="I182" s="123" t="n"/>
      <c r="J182" s="125" t="n"/>
      <c r="K182" s="120" t="n"/>
      <c r="N182" s="117" t="n"/>
      <c r="O182" s="117" t="n"/>
      <c r="P182" s="117" t="n"/>
      <c r="Q182" s="117" t="n"/>
      <c r="R182" s="118" t="n"/>
      <c r="S182" s="119" t="n"/>
      <c r="T182" s="120" t="n"/>
      <c r="U182" s="123" t="n"/>
      <c r="V182" s="123" t="n"/>
      <c r="Y182" s="117" t="n"/>
      <c r="Z182" s="117" t="n"/>
      <c r="AA182" s="118" t="n"/>
      <c r="AB182" s="119" t="n"/>
      <c r="AC182" s="120" t="n"/>
      <c r="AD182" s="120" t="n"/>
      <c r="AE182" s="120" t="n"/>
    </row>
    <row r="183" ht="15" customHeight="1" s="72">
      <c r="A183" s="117" t="n"/>
      <c r="B183" s="117" t="n"/>
      <c r="C183" s="118" t="n"/>
      <c r="D183" s="118" t="n"/>
      <c r="E183" s="118" t="n"/>
      <c r="F183" s="123" t="n"/>
      <c r="G183" s="119" t="n"/>
      <c r="H183" s="123" t="n"/>
      <c r="I183" s="123" t="n"/>
      <c r="J183" s="125" t="n"/>
      <c r="K183" s="120" t="n"/>
      <c r="N183" s="117" t="n"/>
      <c r="O183" s="117" t="n"/>
      <c r="P183" s="117" t="n"/>
      <c r="Q183" s="117" t="n"/>
      <c r="R183" s="118" t="n"/>
      <c r="S183" s="119" t="n"/>
      <c r="T183" s="120" t="n"/>
      <c r="U183" s="123" t="n"/>
      <c r="V183" s="123" t="n"/>
      <c r="Y183" s="117" t="n"/>
      <c r="Z183" s="117" t="n"/>
      <c r="AA183" s="118" t="n"/>
      <c r="AB183" s="119" t="n"/>
      <c r="AC183" s="120" t="n"/>
      <c r="AD183" s="120" t="n"/>
      <c r="AE183" s="120" t="n"/>
    </row>
    <row r="184" ht="15" customHeight="1" s="72">
      <c r="A184" s="117" t="n"/>
      <c r="B184" s="117" t="n"/>
      <c r="C184" s="118" t="n"/>
      <c r="D184" s="118" t="n"/>
      <c r="E184" s="118" t="n"/>
      <c r="F184" s="123" t="n"/>
      <c r="G184" s="119" t="n"/>
      <c r="H184" s="123" t="n"/>
      <c r="I184" s="123" t="n"/>
      <c r="J184" s="125" t="n"/>
      <c r="K184" s="120" t="n"/>
      <c r="N184" s="117" t="n"/>
      <c r="O184" s="117" t="n"/>
      <c r="P184" s="117" t="n"/>
      <c r="Q184" s="117" t="n"/>
      <c r="R184" s="118" t="n"/>
      <c r="S184" s="119" t="n"/>
      <c r="T184" s="120" t="n"/>
      <c r="U184" s="123" t="n"/>
      <c r="V184" s="123" t="n"/>
      <c r="Y184" s="117" t="n"/>
      <c r="Z184" s="117" t="n"/>
      <c r="AA184" s="118" t="n"/>
      <c r="AB184" s="119" t="n"/>
      <c r="AC184" s="120" t="n"/>
      <c r="AD184" s="120" t="n"/>
      <c r="AE184" s="120" t="n"/>
    </row>
    <row r="185" ht="15" customHeight="1" s="72">
      <c r="A185" s="117" t="n"/>
      <c r="B185" s="117" t="n"/>
      <c r="C185" s="118" t="n"/>
      <c r="D185" s="118" t="n"/>
      <c r="E185" s="118" t="n"/>
      <c r="F185" s="123" t="n"/>
      <c r="G185" s="119" t="n"/>
      <c r="H185" s="123" t="n"/>
      <c r="I185" s="123" t="n"/>
      <c r="J185" s="125" t="n"/>
      <c r="K185" s="120" t="n"/>
      <c r="N185" s="117" t="n"/>
      <c r="O185" s="117" t="n"/>
      <c r="P185" s="117" t="n"/>
      <c r="Q185" s="117" t="n"/>
      <c r="R185" s="118" t="n"/>
      <c r="S185" s="119" t="n"/>
      <c r="T185" s="120" t="n"/>
      <c r="U185" s="123" t="n"/>
      <c r="V185" s="123" t="n"/>
      <c r="Y185" s="117" t="n"/>
      <c r="Z185" s="117" t="n"/>
      <c r="AA185" s="118" t="n"/>
      <c r="AB185" s="119" t="n"/>
      <c r="AC185" s="120" t="n"/>
      <c r="AD185" s="120" t="n"/>
      <c r="AE185" s="120" t="n"/>
    </row>
    <row r="186" ht="15" customHeight="1" s="72">
      <c r="A186" s="117" t="n"/>
      <c r="B186" s="117" t="n"/>
      <c r="C186" s="118" t="n"/>
      <c r="D186" s="118" t="n"/>
      <c r="E186" s="118" t="n"/>
      <c r="F186" s="123" t="n"/>
      <c r="G186" s="119" t="n"/>
      <c r="H186" s="123" t="n"/>
      <c r="I186" s="123" t="n"/>
      <c r="J186" s="125" t="n"/>
      <c r="K186" s="120" t="n"/>
      <c r="N186" s="117" t="n"/>
      <c r="O186" s="117" t="n"/>
      <c r="P186" s="117" t="n"/>
      <c r="Q186" s="117" t="n"/>
      <c r="R186" s="118" t="n"/>
      <c r="S186" s="119" t="n"/>
      <c r="T186" s="120" t="n"/>
      <c r="U186" s="123" t="n"/>
      <c r="V186" s="123" t="n"/>
      <c r="Y186" s="117" t="n"/>
      <c r="Z186" s="117" t="n"/>
      <c r="AA186" s="118" t="n"/>
      <c r="AB186" s="119" t="n"/>
      <c r="AC186" s="120" t="n"/>
      <c r="AD186" s="120" t="n"/>
      <c r="AE186" s="120" t="n"/>
    </row>
    <row r="187" ht="15" customHeight="1" s="72">
      <c r="A187" s="117" t="n"/>
      <c r="B187" s="117" t="n"/>
      <c r="C187" s="118" t="n"/>
      <c r="D187" s="118" t="n"/>
      <c r="E187" s="118" t="n"/>
      <c r="F187" s="123" t="n"/>
      <c r="G187" s="119" t="n"/>
      <c r="H187" s="123" t="n"/>
      <c r="I187" s="123" t="n"/>
      <c r="J187" s="125" t="n"/>
      <c r="K187" s="120" t="n"/>
      <c r="N187" s="117" t="n"/>
      <c r="O187" s="117" t="n"/>
      <c r="P187" s="117" t="n"/>
      <c r="Q187" s="117" t="n"/>
      <c r="R187" s="118" t="n"/>
      <c r="S187" s="119" t="n"/>
      <c r="T187" s="120" t="n"/>
      <c r="U187" s="123" t="n"/>
      <c r="V187" s="123" t="n"/>
      <c r="Y187" s="117" t="n"/>
      <c r="Z187" s="117" t="n"/>
      <c r="AA187" s="118" t="n"/>
      <c r="AB187" s="119" t="n"/>
      <c r="AC187" s="120" t="n"/>
      <c r="AD187" s="120" t="n"/>
      <c r="AE187" s="120" t="n"/>
    </row>
    <row r="188" ht="15" customHeight="1" s="72">
      <c r="A188" s="117" t="n"/>
      <c r="B188" s="117" t="n"/>
      <c r="C188" s="118" t="n"/>
      <c r="D188" s="118" t="n"/>
      <c r="E188" s="118" t="n"/>
      <c r="F188" s="123" t="n"/>
      <c r="G188" s="119" t="n"/>
      <c r="H188" s="123" t="n"/>
      <c r="I188" s="123" t="n"/>
      <c r="J188" s="125" t="n"/>
      <c r="K188" s="120" t="n"/>
      <c r="N188" s="117" t="n"/>
      <c r="O188" s="117" t="n"/>
      <c r="P188" s="117" t="n"/>
      <c r="Q188" s="117" t="n"/>
      <c r="R188" s="118" t="n"/>
      <c r="S188" s="119" t="n"/>
      <c r="T188" s="120" t="n"/>
      <c r="U188" s="123" t="n"/>
      <c r="V188" s="123" t="n"/>
      <c r="Y188" s="117" t="n"/>
      <c r="Z188" s="117" t="n"/>
      <c r="AA188" s="118" t="n"/>
      <c r="AB188" s="119" t="n"/>
      <c r="AC188" s="120" t="n"/>
      <c r="AD188" s="120" t="n"/>
      <c r="AE188" s="120" t="n"/>
    </row>
    <row r="189" ht="15" customHeight="1" s="72">
      <c r="A189" s="117" t="n"/>
      <c r="B189" s="117" t="n"/>
      <c r="C189" s="118" t="n"/>
      <c r="D189" s="118" t="n"/>
      <c r="E189" s="118" t="n"/>
      <c r="F189" s="123" t="n"/>
      <c r="G189" s="119" t="n"/>
      <c r="H189" s="123" t="n"/>
      <c r="I189" s="123" t="n"/>
      <c r="J189" s="125" t="n"/>
      <c r="K189" s="120" t="n"/>
      <c r="N189" s="117" t="n"/>
      <c r="O189" s="117" t="n"/>
      <c r="P189" s="117" t="n"/>
      <c r="Q189" s="117" t="n"/>
      <c r="R189" s="118" t="n"/>
      <c r="S189" s="119" t="n"/>
      <c r="T189" s="120" t="n"/>
      <c r="U189" s="123" t="n"/>
      <c r="V189" s="123" t="n"/>
      <c r="Y189" s="117" t="n"/>
      <c r="Z189" s="117" t="n"/>
      <c r="AA189" s="118" t="n"/>
      <c r="AB189" s="119" t="n"/>
      <c r="AC189" s="120" t="n"/>
      <c r="AD189" s="120" t="n"/>
      <c r="AE189" s="120" t="n"/>
    </row>
    <row r="190" ht="15" customHeight="1" s="72">
      <c r="A190" s="117" t="n"/>
      <c r="B190" s="117" t="n"/>
      <c r="C190" s="118" t="n"/>
      <c r="D190" s="118" t="n"/>
      <c r="E190" s="118" t="n"/>
      <c r="F190" s="123" t="n"/>
      <c r="G190" s="119" t="n"/>
      <c r="H190" s="123" t="n"/>
      <c r="I190" s="123" t="n"/>
      <c r="J190" s="125" t="n"/>
      <c r="K190" s="120" t="n"/>
      <c r="N190" s="117" t="n"/>
      <c r="O190" s="117" t="n"/>
      <c r="P190" s="117" t="n"/>
      <c r="Q190" s="117" t="n"/>
      <c r="R190" s="118" t="n"/>
      <c r="S190" s="119" t="n"/>
      <c r="T190" s="120" t="n"/>
      <c r="U190" s="123" t="n"/>
      <c r="V190" s="123" t="n"/>
      <c r="Y190" s="117" t="n"/>
      <c r="Z190" s="117" t="n"/>
      <c r="AA190" s="118" t="n"/>
      <c r="AB190" s="119" t="n"/>
      <c r="AC190" s="120" t="n"/>
      <c r="AD190" s="120" t="n"/>
      <c r="AE190" s="120" t="n"/>
    </row>
    <row r="191" ht="15" customHeight="1" s="72">
      <c r="A191" s="117" t="n"/>
      <c r="B191" s="117" t="n"/>
      <c r="C191" s="118" t="n"/>
      <c r="D191" s="118" t="n"/>
      <c r="E191" s="118" t="n"/>
      <c r="F191" s="123" t="n"/>
      <c r="G191" s="119" t="n"/>
      <c r="H191" s="123" t="n"/>
      <c r="I191" s="123" t="n"/>
      <c r="J191" s="125" t="n"/>
      <c r="K191" s="120" t="n"/>
      <c r="N191" s="117" t="n"/>
      <c r="O191" s="117" t="n"/>
      <c r="P191" s="117" t="n"/>
      <c r="Q191" s="117" t="n"/>
      <c r="R191" s="118" t="n"/>
      <c r="S191" s="119" t="n"/>
      <c r="T191" s="120" t="n"/>
      <c r="U191" s="123" t="n"/>
      <c r="V191" s="123" t="n"/>
      <c r="Y191" s="117" t="n"/>
      <c r="Z191" s="117" t="n"/>
      <c r="AA191" s="118" t="n"/>
      <c r="AB191" s="119" t="n"/>
      <c r="AC191" s="120" t="n"/>
      <c r="AD191" s="120" t="n"/>
      <c r="AE191" s="120" t="n"/>
    </row>
    <row r="192" ht="15" customHeight="1" s="72">
      <c r="A192" s="117" t="n"/>
      <c r="B192" s="117" t="n"/>
      <c r="C192" s="118" t="n"/>
      <c r="D192" s="118" t="n"/>
      <c r="E192" s="118" t="n"/>
      <c r="F192" s="123" t="n"/>
      <c r="G192" s="119" t="n"/>
      <c r="H192" s="123" t="n"/>
      <c r="I192" s="123" t="n"/>
      <c r="J192" s="125" t="n"/>
      <c r="K192" s="120" t="n"/>
      <c r="N192" s="117" t="n"/>
      <c r="O192" s="117" t="n"/>
      <c r="P192" s="117" t="n"/>
      <c r="Q192" s="117" t="n"/>
      <c r="R192" s="118" t="n"/>
      <c r="S192" s="119" t="n"/>
      <c r="T192" s="120" t="n"/>
      <c r="U192" s="123" t="n"/>
      <c r="V192" s="123" t="n"/>
      <c r="Y192" s="117" t="n"/>
      <c r="Z192" s="117" t="n"/>
      <c r="AA192" s="118" t="n"/>
      <c r="AB192" s="119" t="n"/>
      <c r="AC192" s="120" t="n"/>
      <c r="AD192" s="120" t="n"/>
      <c r="AE192" s="120" t="n"/>
    </row>
    <row r="193" ht="15" customHeight="1" s="72">
      <c r="A193" s="117" t="n"/>
      <c r="B193" s="117" t="n"/>
      <c r="C193" s="118" t="n"/>
      <c r="D193" s="118" t="n"/>
      <c r="E193" s="118" t="n"/>
      <c r="F193" s="123" t="n"/>
      <c r="G193" s="119" t="n"/>
      <c r="H193" s="123" t="n"/>
      <c r="I193" s="123" t="n"/>
      <c r="J193" s="125" t="n"/>
      <c r="K193" s="120" t="n"/>
      <c r="N193" s="117" t="n"/>
      <c r="O193" s="117" t="n"/>
      <c r="P193" s="117" t="n"/>
      <c r="Q193" s="117" t="n"/>
      <c r="R193" s="118" t="n"/>
      <c r="S193" s="119" t="n"/>
      <c r="T193" s="120" t="n"/>
      <c r="U193" s="123" t="n"/>
      <c r="V193" s="123" t="n"/>
      <c r="Y193" s="117" t="n"/>
      <c r="Z193" s="117" t="n"/>
      <c r="AA193" s="118" t="n"/>
      <c r="AB193" s="119" t="n"/>
      <c r="AC193" s="120" t="n"/>
      <c r="AD193" s="120" t="n"/>
      <c r="AE193" s="120" t="n"/>
    </row>
    <row r="194" ht="15" customHeight="1" s="72">
      <c r="A194" s="117" t="n"/>
      <c r="B194" s="117" t="n"/>
      <c r="C194" s="118" t="n"/>
      <c r="D194" s="118" t="n"/>
      <c r="E194" s="118" t="n"/>
      <c r="F194" s="123" t="n"/>
      <c r="G194" s="119" t="n"/>
      <c r="H194" s="123" t="n"/>
      <c r="I194" s="123" t="n"/>
      <c r="J194" s="125" t="n"/>
      <c r="K194" s="120" t="n"/>
      <c r="N194" s="117" t="n"/>
      <c r="O194" s="117" t="n"/>
      <c r="P194" s="117" t="n"/>
      <c r="Q194" s="117" t="n"/>
      <c r="R194" s="118" t="n"/>
      <c r="S194" s="119" t="n"/>
      <c r="T194" s="120" t="n"/>
      <c r="U194" s="123" t="n"/>
      <c r="V194" s="123" t="n"/>
      <c r="Y194" s="117" t="n"/>
      <c r="Z194" s="117" t="n"/>
      <c r="AA194" s="118" t="n"/>
      <c r="AB194" s="119" t="n"/>
      <c r="AC194" s="120" t="n"/>
      <c r="AD194" s="120" t="n"/>
      <c r="AE194" s="120" t="n"/>
    </row>
    <row r="195" ht="15" customHeight="1" s="72">
      <c r="A195" s="117" t="n"/>
      <c r="B195" s="117" t="n"/>
      <c r="C195" s="118" t="n"/>
      <c r="D195" s="118" t="n"/>
      <c r="E195" s="118" t="n"/>
      <c r="F195" s="123" t="n"/>
      <c r="G195" s="119" t="n"/>
      <c r="H195" s="123" t="n"/>
      <c r="I195" s="123" t="n"/>
      <c r="J195" s="125" t="n"/>
      <c r="K195" s="120" t="n"/>
      <c r="N195" s="117" t="n"/>
      <c r="O195" s="117" t="n"/>
      <c r="P195" s="117" t="n"/>
      <c r="Q195" s="117" t="n"/>
      <c r="R195" s="118" t="n"/>
      <c r="S195" s="119" t="n"/>
      <c r="T195" s="120" t="n"/>
      <c r="U195" s="123" t="n"/>
      <c r="V195" s="123" t="n"/>
      <c r="Y195" s="117" t="n"/>
      <c r="Z195" s="117" t="n"/>
      <c r="AA195" s="118" t="n"/>
      <c r="AB195" s="119" t="n"/>
      <c r="AC195" s="120" t="n"/>
      <c r="AD195" s="120" t="n"/>
      <c r="AE195" s="120" t="n"/>
    </row>
    <row r="196" ht="15" customHeight="1" s="72">
      <c r="A196" s="117" t="n"/>
      <c r="B196" s="117" t="n"/>
      <c r="C196" s="118" t="n"/>
      <c r="D196" s="118" t="n"/>
      <c r="E196" s="118" t="n"/>
      <c r="F196" s="123" t="n"/>
      <c r="G196" s="119" t="n"/>
      <c r="H196" s="123" t="n"/>
      <c r="I196" s="123" t="n"/>
      <c r="J196" s="125" t="n"/>
      <c r="K196" s="120" t="n"/>
      <c r="N196" s="117" t="n"/>
      <c r="O196" s="117" t="n"/>
      <c r="P196" s="117" t="n"/>
      <c r="Q196" s="117" t="n"/>
      <c r="R196" s="118" t="n"/>
      <c r="S196" s="119" t="n"/>
      <c r="T196" s="120" t="n"/>
      <c r="U196" s="123" t="n"/>
      <c r="V196" s="123" t="n"/>
      <c r="Y196" s="117" t="n"/>
      <c r="Z196" s="117" t="n"/>
      <c r="AA196" s="118" t="n"/>
      <c r="AB196" s="119" t="n"/>
      <c r="AC196" s="120" t="n"/>
      <c r="AD196" s="120" t="n"/>
      <c r="AE196" s="120" t="n"/>
    </row>
    <row r="197" ht="15" customHeight="1" s="72">
      <c r="A197" s="117" t="n"/>
      <c r="B197" s="117" t="n"/>
      <c r="C197" s="118" t="n"/>
      <c r="D197" s="118" t="n"/>
      <c r="E197" s="118" t="n"/>
      <c r="F197" s="123" t="n"/>
      <c r="G197" s="119" t="n"/>
      <c r="H197" s="123" t="n"/>
      <c r="I197" s="123" t="n"/>
      <c r="J197" s="125" t="n"/>
      <c r="K197" s="120" t="n"/>
      <c r="N197" s="117" t="n"/>
      <c r="O197" s="117" t="n"/>
      <c r="P197" s="117" t="n"/>
      <c r="Q197" s="117" t="n"/>
      <c r="R197" s="118" t="n"/>
      <c r="S197" s="119" t="n"/>
      <c r="T197" s="120" t="n"/>
      <c r="U197" s="123" t="n"/>
      <c r="V197" s="123" t="n"/>
      <c r="Y197" s="117" t="n"/>
      <c r="Z197" s="117" t="n"/>
      <c r="AA197" s="118" t="n"/>
      <c r="AB197" s="119" t="n"/>
      <c r="AC197" s="120" t="n"/>
      <c r="AD197" s="120" t="n"/>
      <c r="AE197" s="120" t="n"/>
    </row>
    <row r="198" ht="15" customHeight="1" s="72">
      <c r="A198" s="117" t="n"/>
      <c r="B198" s="117" t="n"/>
      <c r="C198" s="118" t="n"/>
      <c r="D198" s="118" t="n"/>
      <c r="E198" s="118" t="n"/>
      <c r="F198" s="123" t="n"/>
      <c r="G198" s="119" t="n"/>
      <c r="H198" s="123" t="n"/>
      <c r="I198" s="123" t="n"/>
      <c r="J198" s="125" t="n"/>
      <c r="K198" s="120" t="n"/>
      <c r="N198" s="117" t="n"/>
      <c r="O198" s="117" t="n"/>
      <c r="P198" s="117" t="n"/>
      <c r="Q198" s="117" t="n"/>
      <c r="R198" s="118" t="n"/>
      <c r="S198" s="119" t="n"/>
      <c r="T198" s="120" t="n"/>
      <c r="U198" s="123" t="n"/>
      <c r="V198" s="123" t="n"/>
      <c r="Y198" s="117" t="n"/>
      <c r="Z198" s="117" t="n"/>
      <c r="AA198" s="118" t="n"/>
      <c r="AB198" s="119" t="n"/>
      <c r="AC198" s="120" t="n"/>
      <c r="AD198" s="120" t="n"/>
      <c r="AE198" s="120" t="n"/>
    </row>
    <row r="199" ht="15" customHeight="1" s="72">
      <c r="A199" s="117" t="n"/>
      <c r="B199" s="117" t="n"/>
      <c r="C199" s="118" t="n"/>
      <c r="D199" s="118" t="n"/>
      <c r="E199" s="118" t="n"/>
      <c r="F199" s="123" t="n"/>
      <c r="G199" s="119" t="n"/>
      <c r="H199" s="123" t="n"/>
      <c r="I199" s="123" t="n"/>
      <c r="J199" s="125" t="n"/>
      <c r="K199" s="120" t="n"/>
      <c r="N199" s="117" t="n"/>
      <c r="O199" s="117" t="n"/>
      <c r="P199" s="117" t="n"/>
      <c r="Q199" s="117" t="n"/>
      <c r="R199" s="118" t="n"/>
      <c r="S199" s="119" t="n"/>
      <c r="T199" s="120" t="n"/>
      <c r="U199" s="123" t="n"/>
      <c r="V199" s="123" t="n"/>
      <c r="Y199" s="117" t="n"/>
      <c r="Z199" s="117" t="n"/>
      <c r="AA199" s="118" t="n"/>
      <c r="AB199" s="119" t="n"/>
      <c r="AC199" s="120" t="n"/>
      <c r="AD199" s="120" t="n"/>
      <c r="AE199" s="120" t="n"/>
    </row>
    <row r="200" ht="15" customHeight="1" s="72">
      <c r="A200" s="117" t="n"/>
      <c r="B200" s="117" t="n"/>
      <c r="C200" s="118" t="n"/>
      <c r="D200" s="118" t="n"/>
      <c r="E200" s="118" t="n"/>
      <c r="F200" s="123" t="n"/>
      <c r="G200" s="119" t="n"/>
      <c r="H200" s="123" t="n"/>
      <c r="I200" s="123" t="n"/>
      <c r="J200" s="125" t="n"/>
      <c r="K200" s="120" t="n"/>
      <c r="N200" s="117" t="n"/>
      <c r="O200" s="117" t="n"/>
      <c r="P200" s="117" t="n"/>
      <c r="Q200" s="117" t="n"/>
      <c r="R200" s="118" t="n"/>
      <c r="S200" s="119" t="n"/>
      <c r="T200" s="120" t="n"/>
      <c r="U200" s="123" t="n"/>
      <c r="V200" s="123" t="n"/>
      <c r="Y200" s="117" t="n"/>
      <c r="Z200" s="117" t="n"/>
      <c r="AA200" s="118" t="n"/>
      <c r="AB200" s="119" t="n"/>
      <c r="AC200" s="120" t="n"/>
      <c r="AD200" s="120" t="n"/>
      <c r="AE200" s="120" t="n"/>
    </row>
    <row r="201" ht="15" customHeight="1" s="72">
      <c r="A201" s="117" t="n"/>
      <c r="B201" s="117" t="n"/>
      <c r="C201" s="118" t="n"/>
      <c r="D201" s="118" t="n"/>
      <c r="E201" s="118" t="n"/>
      <c r="F201" s="123" t="n"/>
      <c r="G201" s="119" t="n"/>
      <c r="H201" s="123" t="n"/>
      <c r="I201" s="123" t="n"/>
      <c r="J201" s="125" t="n"/>
      <c r="K201" s="120" t="n"/>
      <c r="N201" s="117" t="n"/>
      <c r="O201" s="117" t="n"/>
      <c r="P201" s="117" t="n"/>
      <c r="Q201" s="117" t="n"/>
      <c r="R201" s="118" t="n"/>
      <c r="S201" s="119" t="n"/>
      <c r="T201" s="120" t="n"/>
      <c r="U201" s="123" t="n"/>
      <c r="V201" s="123" t="n"/>
      <c r="Y201" s="117" t="n"/>
      <c r="Z201" s="117" t="n"/>
      <c r="AA201" s="118" t="n"/>
      <c r="AB201" s="119" t="n"/>
      <c r="AC201" s="120" t="n"/>
      <c r="AD201" s="120" t="n"/>
      <c r="AE201" s="120" t="n"/>
    </row>
    <row r="202" ht="15" customHeight="1" s="72">
      <c r="A202" s="117" t="n"/>
      <c r="B202" s="117" t="n"/>
      <c r="C202" s="118" t="n"/>
      <c r="D202" s="118" t="n"/>
      <c r="E202" s="118" t="n"/>
      <c r="F202" s="123" t="n"/>
      <c r="G202" s="119" t="n"/>
      <c r="H202" s="123" t="n"/>
      <c r="I202" s="123" t="n"/>
      <c r="J202" s="125" t="n"/>
      <c r="K202" s="120" t="n"/>
      <c r="N202" s="117" t="n"/>
      <c r="O202" s="117" t="n"/>
      <c r="P202" s="117" t="n"/>
      <c r="Q202" s="117" t="n"/>
      <c r="R202" s="118" t="n"/>
      <c r="S202" s="119" t="n"/>
      <c r="T202" s="120" t="n"/>
      <c r="U202" s="123" t="n"/>
      <c r="V202" s="123" t="n"/>
      <c r="Y202" s="117" t="n"/>
      <c r="Z202" s="117" t="n"/>
      <c r="AA202" s="118" t="n"/>
      <c r="AB202" s="119" t="n"/>
      <c r="AC202" s="120" t="n"/>
      <c r="AD202" s="120" t="n"/>
      <c r="AE202" s="120" t="n"/>
    </row>
    <row r="203" ht="15" customHeight="1" s="72">
      <c r="A203" s="117" t="n"/>
      <c r="B203" s="117" t="n"/>
      <c r="C203" s="118" t="n"/>
      <c r="D203" s="118" t="n"/>
      <c r="E203" s="118" t="n"/>
      <c r="F203" s="123" t="n"/>
      <c r="G203" s="119" t="n"/>
      <c r="H203" s="123" t="n"/>
      <c r="I203" s="123" t="n"/>
      <c r="J203" s="125" t="n"/>
      <c r="K203" s="120" t="n"/>
      <c r="N203" s="117" t="n"/>
      <c r="O203" s="117" t="n"/>
      <c r="P203" s="117" t="n"/>
      <c r="Q203" s="117" t="n"/>
      <c r="R203" s="118" t="n"/>
      <c r="S203" s="119" t="n"/>
      <c r="T203" s="120" t="n"/>
      <c r="U203" s="123" t="n"/>
      <c r="V203" s="123" t="n"/>
      <c r="Y203" s="117" t="n"/>
      <c r="Z203" s="117" t="n"/>
      <c r="AA203" s="118" t="n"/>
      <c r="AB203" s="119" t="n"/>
      <c r="AC203" s="120" t="n"/>
      <c r="AD203" s="120" t="n"/>
      <c r="AE203" s="120" t="n"/>
    </row>
    <row r="204" ht="15" customHeight="1" s="72">
      <c r="A204" s="117" t="n"/>
      <c r="B204" s="117" t="n"/>
      <c r="C204" s="118" t="n"/>
      <c r="D204" s="118" t="n"/>
      <c r="E204" s="118" t="n"/>
      <c r="F204" s="123" t="n"/>
      <c r="G204" s="119" t="n"/>
      <c r="H204" s="123" t="n"/>
      <c r="I204" s="123" t="n"/>
      <c r="J204" s="125" t="n"/>
      <c r="K204" s="120" t="n"/>
      <c r="N204" s="117" t="n"/>
      <c r="O204" s="117" t="n"/>
      <c r="P204" s="117" t="n"/>
      <c r="Q204" s="117" t="n"/>
      <c r="R204" s="118" t="n"/>
      <c r="S204" s="119" t="n"/>
      <c r="T204" s="120" t="n"/>
      <c r="U204" s="123" t="n"/>
      <c r="V204" s="123" t="n"/>
      <c r="Y204" s="117" t="n"/>
      <c r="Z204" s="117" t="n"/>
      <c r="AA204" s="118" t="n"/>
      <c r="AB204" s="119" t="n"/>
      <c r="AC204" s="120" t="n"/>
      <c r="AD204" s="120" t="n"/>
      <c r="AE204" s="120" t="n"/>
    </row>
    <row r="205" ht="15" customHeight="1" s="72">
      <c r="A205" s="117" t="n"/>
      <c r="B205" s="117" t="n"/>
      <c r="C205" s="118" t="n"/>
      <c r="D205" s="118" t="n"/>
      <c r="E205" s="118" t="n"/>
      <c r="F205" s="123" t="n"/>
      <c r="G205" s="119" t="n"/>
      <c r="H205" s="123" t="n"/>
      <c r="I205" s="123" t="n"/>
      <c r="J205" s="125" t="n"/>
      <c r="K205" s="120" t="n"/>
      <c r="N205" s="117" t="n"/>
      <c r="O205" s="117" t="n"/>
      <c r="P205" s="117" t="n"/>
      <c r="Q205" s="117" t="n"/>
      <c r="R205" s="118" t="n"/>
      <c r="S205" s="119" t="n"/>
      <c r="T205" s="120" t="n"/>
      <c r="U205" s="123" t="n"/>
      <c r="V205" s="123" t="n"/>
      <c r="Y205" s="117" t="n"/>
      <c r="Z205" s="117" t="n"/>
      <c r="AA205" s="118" t="n"/>
      <c r="AB205" s="119" t="n"/>
      <c r="AC205" s="120" t="n"/>
      <c r="AD205" s="120" t="n"/>
      <c r="AE205" s="120" t="n"/>
    </row>
    <row r="206" ht="15" customHeight="1" s="72">
      <c r="A206" s="117" t="n"/>
      <c r="B206" s="117" t="n"/>
      <c r="C206" s="118" t="n"/>
      <c r="D206" s="118" t="n"/>
      <c r="E206" s="118" t="n"/>
      <c r="F206" s="123" t="n"/>
      <c r="G206" s="119" t="n"/>
      <c r="H206" s="123" t="n"/>
      <c r="I206" s="123" t="n"/>
      <c r="J206" s="125" t="n"/>
      <c r="K206" s="120" t="n"/>
      <c r="N206" s="117" t="n"/>
      <c r="O206" s="117" t="n"/>
      <c r="P206" s="117" t="n"/>
      <c r="Q206" s="117" t="n"/>
      <c r="R206" s="118" t="n"/>
      <c r="S206" s="119" t="n"/>
      <c r="T206" s="120" t="n"/>
      <c r="U206" s="123" t="n"/>
      <c r="V206" s="123" t="n"/>
      <c r="Y206" s="117" t="n"/>
      <c r="Z206" s="117" t="n"/>
      <c r="AA206" s="118" t="n"/>
      <c r="AB206" s="119" t="n"/>
      <c r="AC206" s="120" t="n"/>
      <c r="AD206" s="120" t="n"/>
      <c r="AE206" s="120" t="n"/>
    </row>
    <row r="207" ht="15" customHeight="1" s="72">
      <c r="A207" s="117" t="n"/>
      <c r="B207" s="117" t="n"/>
      <c r="C207" s="118" t="n"/>
      <c r="D207" s="118" t="n"/>
      <c r="E207" s="118" t="n"/>
      <c r="F207" s="123" t="n"/>
      <c r="G207" s="119" t="n"/>
      <c r="H207" s="123" t="n"/>
      <c r="I207" s="123" t="n"/>
      <c r="J207" s="125" t="n"/>
      <c r="K207" s="120" t="n"/>
      <c r="N207" s="117" t="n"/>
      <c r="O207" s="117" t="n"/>
      <c r="P207" s="117" t="n"/>
      <c r="Q207" s="117" t="n"/>
      <c r="R207" s="118" t="n"/>
      <c r="S207" s="119" t="n"/>
      <c r="T207" s="120" t="n"/>
      <c r="U207" s="123" t="n"/>
      <c r="V207" s="123" t="n"/>
      <c r="Y207" s="117" t="n"/>
      <c r="Z207" s="117" t="n"/>
      <c r="AA207" s="118" t="n"/>
      <c r="AB207" s="119" t="n"/>
      <c r="AC207" s="120" t="n"/>
      <c r="AD207" s="120" t="n"/>
      <c r="AE207" s="120" t="n"/>
    </row>
    <row r="208" ht="15" customHeight="1" s="72">
      <c r="A208" s="117" t="n"/>
      <c r="B208" s="117" t="n"/>
      <c r="C208" s="118" t="n"/>
      <c r="D208" s="118" t="n"/>
      <c r="E208" s="118" t="n"/>
      <c r="F208" s="123" t="n"/>
      <c r="G208" s="119" t="n"/>
      <c r="H208" s="123" t="n"/>
      <c r="I208" s="123" t="n"/>
      <c r="J208" s="125" t="n"/>
      <c r="K208" s="120" t="n"/>
      <c r="N208" s="117" t="n"/>
      <c r="O208" s="117" t="n"/>
      <c r="P208" s="117" t="n"/>
      <c r="Q208" s="117" t="n"/>
      <c r="R208" s="118" t="n"/>
      <c r="S208" s="119" t="n"/>
      <c r="T208" s="120" t="n"/>
      <c r="U208" s="123" t="n"/>
      <c r="V208" s="123" t="n"/>
      <c r="Y208" s="117" t="n"/>
      <c r="Z208" s="117" t="n"/>
      <c r="AA208" s="118" t="n"/>
      <c r="AB208" s="119" t="n"/>
      <c r="AC208" s="120" t="n"/>
      <c r="AD208" s="120" t="n"/>
      <c r="AE208" s="120" t="n"/>
    </row>
    <row r="209" ht="15" customHeight="1" s="72">
      <c r="A209" s="117" t="n"/>
      <c r="B209" s="117" t="n"/>
      <c r="C209" s="118" t="n"/>
      <c r="D209" s="118" t="n"/>
      <c r="E209" s="118" t="n"/>
      <c r="F209" s="123" t="n"/>
      <c r="G209" s="119" t="n"/>
      <c r="H209" s="123" t="n"/>
      <c r="I209" s="123" t="n"/>
      <c r="J209" s="125" t="n"/>
      <c r="K209" s="120" t="n"/>
      <c r="N209" s="117" t="n"/>
      <c r="O209" s="117" t="n"/>
      <c r="P209" s="117" t="n"/>
      <c r="Q209" s="117" t="n"/>
      <c r="R209" s="118" t="n"/>
      <c r="S209" s="119" t="n"/>
      <c r="T209" s="120" t="n"/>
      <c r="U209" s="123" t="n"/>
      <c r="V209" s="123" t="n"/>
      <c r="Y209" s="117" t="n"/>
      <c r="Z209" s="117" t="n"/>
      <c r="AA209" s="118" t="n"/>
      <c r="AB209" s="119" t="n"/>
      <c r="AC209" s="120" t="n"/>
      <c r="AD209" s="120" t="n"/>
      <c r="AE209" s="120" t="n"/>
    </row>
    <row r="210" ht="15" customHeight="1" s="72">
      <c r="A210" s="117" t="n"/>
      <c r="B210" s="117" t="n"/>
      <c r="C210" s="118" t="n"/>
      <c r="D210" s="118" t="n"/>
      <c r="E210" s="118" t="n"/>
      <c r="F210" s="123" t="n"/>
      <c r="G210" s="119" t="n"/>
      <c r="H210" s="123" t="n"/>
      <c r="I210" s="123" t="n"/>
      <c r="J210" s="125" t="n"/>
      <c r="K210" s="120" t="n"/>
      <c r="N210" s="117" t="n"/>
      <c r="O210" s="117" t="n"/>
      <c r="P210" s="117" t="n"/>
      <c r="Q210" s="117" t="n"/>
      <c r="R210" s="118" t="n"/>
      <c r="S210" s="119" t="n"/>
      <c r="T210" s="120" t="n"/>
      <c r="U210" s="123" t="n"/>
      <c r="V210" s="123" t="n"/>
      <c r="Y210" s="117" t="n"/>
      <c r="Z210" s="117" t="n"/>
      <c r="AA210" s="118" t="n"/>
      <c r="AB210" s="119" t="n"/>
      <c r="AC210" s="120" t="n"/>
      <c r="AD210" s="120" t="n"/>
      <c r="AE210" s="120" t="n"/>
    </row>
    <row r="211" ht="15" customHeight="1" s="72">
      <c r="A211" s="117" t="n"/>
      <c r="B211" s="117" t="n"/>
      <c r="C211" s="118" t="n"/>
      <c r="D211" s="118" t="n"/>
      <c r="E211" s="118" t="n"/>
      <c r="F211" s="123" t="n"/>
      <c r="G211" s="119" t="n"/>
      <c r="H211" s="123" t="n"/>
      <c r="I211" s="123" t="n"/>
      <c r="J211" s="125" t="n"/>
      <c r="K211" s="120" t="n"/>
      <c r="N211" s="117" t="n"/>
      <c r="O211" s="117" t="n"/>
      <c r="P211" s="117" t="n"/>
      <c r="Q211" s="117" t="n"/>
      <c r="R211" s="118" t="n"/>
      <c r="S211" s="119" t="n"/>
      <c r="T211" s="120" t="n"/>
      <c r="U211" s="123" t="n"/>
      <c r="V211" s="123" t="n"/>
      <c r="Y211" s="117" t="n"/>
      <c r="Z211" s="117" t="n"/>
      <c r="AA211" s="118" t="n"/>
      <c r="AB211" s="119" t="n"/>
      <c r="AC211" s="120" t="n"/>
      <c r="AD211" s="120" t="n"/>
      <c r="AE211" s="120" t="n"/>
    </row>
    <row r="212" ht="15" customHeight="1" s="72">
      <c r="A212" s="117" t="n"/>
      <c r="B212" s="117" t="n"/>
      <c r="C212" s="118" t="n"/>
      <c r="D212" s="118" t="n"/>
      <c r="E212" s="118" t="n"/>
      <c r="F212" s="123" t="n"/>
      <c r="G212" s="119" t="n"/>
      <c r="H212" s="123" t="n"/>
      <c r="I212" s="123" t="n"/>
      <c r="J212" s="125" t="n"/>
      <c r="K212" s="120" t="n"/>
      <c r="N212" s="117" t="n"/>
      <c r="O212" s="117" t="n"/>
      <c r="P212" s="117" t="n"/>
      <c r="Q212" s="117" t="n"/>
      <c r="R212" s="118" t="n"/>
      <c r="S212" s="119" t="n"/>
      <c r="T212" s="120" t="n"/>
      <c r="U212" s="123" t="n"/>
      <c r="V212" s="123" t="n"/>
      <c r="Y212" s="117" t="n"/>
      <c r="Z212" s="117" t="n"/>
      <c r="AA212" s="118" t="n"/>
      <c r="AB212" s="119" t="n"/>
      <c r="AC212" s="120" t="n"/>
      <c r="AD212" s="120" t="n"/>
      <c r="AE212" s="120" t="n"/>
    </row>
    <row r="213" ht="15" customHeight="1" s="72">
      <c r="A213" s="117" t="n"/>
      <c r="B213" s="117" t="n"/>
      <c r="C213" s="118" t="n"/>
      <c r="D213" s="118" t="n"/>
      <c r="E213" s="118" t="n"/>
      <c r="F213" s="123" t="n"/>
      <c r="G213" s="119" t="n"/>
      <c r="H213" s="123" t="n"/>
      <c r="I213" s="123" t="n"/>
      <c r="J213" s="125" t="n"/>
      <c r="K213" s="120" t="n"/>
      <c r="N213" s="117" t="n"/>
      <c r="O213" s="117" t="n"/>
      <c r="P213" s="117" t="n"/>
      <c r="Q213" s="117" t="n"/>
      <c r="R213" s="118" t="n"/>
      <c r="S213" s="119" t="n"/>
      <c r="T213" s="120" t="n"/>
      <c r="U213" s="123" t="n"/>
      <c r="V213" s="123" t="n"/>
      <c r="Y213" s="117" t="n"/>
      <c r="Z213" s="117" t="n"/>
      <c r="AA213" s="118" t="n"/>
      <c r="AB213" s="119" t="n"/>
      <c r="AC213" s="120" t="n"/>
      <c r="AD213" s="120" t="n"/>
      <c r="AE213" s="120" t="n"/>
    </row>
    <row r="214" ht="15" customHeight="1" s="72">
      <c r="A214" s="117" t="n"/>
      <c r="B214" s="117" t="n"/>
      <c r="C214" s="118" t="n"/>
      <c r="D214" s="118" t="n"/>
      <c r="E214" s="118" t="n"/>
      <c r="F214" s="123" t="n"/>
      <c r="G214" s="119" t="n"/>
      <c r="H214" s="123" t="n"/>
      <c r="I214" s="123" t="n"/>
      <c r="J214" s="125" t="n"/>
      <c r="K214" s="120" t="n"/>
      <c r="N214" s="117" t="n"/>
      <c r="O214" s="117" t="n"/>
      <c r="P214" s="117" t="n"/>
      <c r="Q214" s="117" t="n"/>
      <c r="R214" s="118" t="n"/>
      <c r="S214" s="119" t="n"/>
      <c r="T214" s="120" t="n"/>
      <c r="U214" s="123" t="n"/>
      <c r="V214" s="123" t="n"/>
      <c r="Y214" s="117" t="n"/>
      <c r="Z214" s="117" t="n"/>
      <c r="AA214" s="118" t="n"/>
      <c r="AB214" s="119" t="n"/>
      <c r="AC214" s="120" t="n"/>
      <c r="AD214" s="120" t="n"/>
      <c r="AE214" s="120" t="n"/>
    </row>
    <row r="215" ht="15" customHeight="1" s="72">
      <c r="A215" s="117" t="n"/>
      <c r="B215" s="117" t="n"/>
      <c r="C215" s="118" t="n"/>
      <c r="D215" s="118" t="n"/>
      <c r="E215" s="118" t="n"/>
      <c r="F215" s="123" t="n"/>
      <c r="G215" s="119" t="n"/>
      <c r="H215" s="123" t="n"/>
      <c r="I215" s="123" t="n"/>
      <c r="J215" s="125" t="n"/>
      <c r="K215" s="120" t="n"/>
      <c r="N215" s="117" t="n"/>
      <c r="O215" s="117" t="n"/>
      <c r="P215" s="117" t="n"/>
      <c r="Q215" s="117" t="n"/>
      <c r="R215" s="118" t="n"/>
      <c r="S215" s="119" t="n"/>
      <c r="T215" s="120" t="n"/>
      <c r="U215" s="123" t="n"/>
      <c r="V215" s="123" t="n"/>
      <c r="Y215" s="117" t="n"/>
      <c r="Z215" s="117" t="n"/>
      <c r="AA215" s="118" t="n"/>
      <c r="AB215" s="119" t="n"/>
      <c r="AC215" s="120" t="n"/>
      <c r="AD215" s="120" t="n"/>
      <c r="AE215" s="120" t="n"/>
    </row>
    <row r="216" ht="15" customHeight="1" s="72">
      <c r="A216" s="117" t="n"/>
      <c r="B216" s="117" t="n"/>
      <c r="C216" s="118" t="n"/>
      <c r="D216" s="118" t="n"/>
      <c r="E216" s="118" t="n"/>
      <c r="F216" s="123" t="n"/>
      <c r="G216" s="119" t="n"/>
      <c r="H216" s="123" t="n"/>
      <c r="I216" s="123" t="n"/>
      <c r="J216" s="125" t="n"/>
      <c r="K216" s="120" t="n"/>
      <c r="N216" s="117" t="n"/>
      <c r="O216" s="117" t="n"/>
      <c r="P216" s="117" t="n"/>
      <c r="Q216" s="117" t="n"/>
      <c r="R216" s="118" t="n"/>
      <c r="S216" s="119" t="n"/>
      <c r="T216" s="120" t="n"/>
      <c r="U216" s="123" t="n"/>
      <c r="V216" s="123" t="n"/>
      <c r="Y216" s="117" t="n"/>
      <c r="Z216" s="117" t="n"/>
      <c r="AA216" s="118" t="n"/>
      <c r="AB216" s="119" t="n"/>
      <c r="AC216" s="120" t="n"/>
      <c r="AD216" s="120" t="n"/>
      <c r="AE216" s="120" t="n"/>
    </row>
    <row r="217" ht="15" customHeight="1" s="72">
      <c r="A217" s="117" t="n"/>
      <c r="B217" s="117" t="n"/>
      <c r="C217" s="118" t="n"/>
      <c r="D217" s="118" t="n"/>
      <c r="E217" s="118" t="n"/>
      <c r="F217" s="123" t="n"/>
      <c r="G217" s="119" t="n"/>
      <c r="H217" s="123" t="n"/>
      <c r="I217" s="123" t="n"/>
      <c r="J217" s="125" t="n"/>
      <c r="K217" s="120" t="n"/>
      <c r="N217" s="117" t="n"/>
      <c r="O217" s="117" t="n"/>
      <c r="P217" s="117" t="n"/>
      <c r="Q217" s="117" t="n"/>
      <c r="R217" s="118" t="n"/>
      <c r="S217" s="119" t="n"/>
      <c r="T217" s="120" t="n"/>
      <c r="U217" s="123" t="n"/>
      <c r="V217" s="123" t="n"/>
      <c r="Y217" s="117" t="n"/>
      <c r="Z217" s="117" t="n"/>
      <c r="AA217" s="118" t="n"/>
      <c r="AB217" s="119" t="n"/>
      <c r="AC217" s="120" t="n"/>
      <c r="AD217" s="120" t="n"/>
      <c r="AE217" s="120" t="n"/>
    </row>
    <row r="218" ht="15" customHeight="1" s="72">
      <c r="A218" s="117" t="n"/>
      <c r="B218" s="117" t="n"/>
      <c r="C218" s="118" t="n"/>
      <c r="D218" s="118" t="n"/>
      <c r="E218" s="118" t="n"/>
      <c r="F218" s="123" t="n"/>
      <c r="G218" s="119" t="n"/>
      <c r="H218" s="123" t="n"/>
      <c r="I218" s="123" t="n"/>
      <c r="J218" s="125" t="n"/>
      <c r="K218" s="120" t="n"/>
      <c r="N218" s="117" t="n"/>
      <c r="O218" s="117" t="n"/>
      <c r="P218" s="117" t="n"/>
      <c r="Q218" s="117" t="n"/>
      <c r="R218" s="118" t="n"/>
      <c r="S218" s="119" t="n"/>
      <c r="T218" s="120" t="n"/>
      <c r="U218" s="123" t="n"/>
      <c r="V218" s="123" t="n"/>
      <c r="Y218" s="117" t="n"/>
      <c r="Z218" s="117" t="n"/>
      <c r="AA218" s="118" t="n"/>
      <c r="AB218" s="119" t="n"/>
      <c r="AC218" s="120" t="n"/>
      <c r="AD218" s="120" t="n"/>
      <c r="AE218" s="120" t="n"/>
    </row>
    <row r="219" ht="15" customHeight="1" s="72">
      <c r="A219" s="117" t="n"/>
      <c r="B219" s="117" t="n"/>
      <c r="C219" s="118" t="n"/>
      <c r="D219" s="118" t="n"/>
      <c r="E219" s="118" t="n"/>
      <c r="F219" s="123" t="n"/>
      <c r="G219" s="119" t="n"/>
      <c r="H219" s="123" t="n"/>
      <c r="I219" s="123" t="n"/>
      <c r="J219" s="125" t="n"/>
      <c r="K219" s="120" t="n"/>
      <c r="N219" s="117" t="n"/>
      <c r="O219" s="117" t="n"/>
      <c r="P219" s="117" t="n"/>
      <c r="Q219" s="117" t="n"/>
      <c r="R219" s="118" t="n"/>
      <c r="S219" s="119" t="n"/>
      <c r="T219" s="120" t="n"/>
      <c r="U219" s="123" t="n"/>
      <c r="V219" s="123" t="n"/>
      <c r="Y219" s="117" t="n"/>
      <c r="Z219" s="117" t="n"/>
      <c r="AA219" s="118" t="n"/>
      <c r="AB219" s="119" t="n"/>
      <c r="AC219" s="120" t="n"/>
      <c r="AD219" s="120" t="n"/>
      <c r="AE219" s="120" t="n"/>
    </row>
    <row r="220" ht="15" customHeight="1" s="72">
      <c r="A220" s="117" t="n"/>
      <c r="B220" s="117" t="n"/>
      <c r="C220" s="118" t="n"/>
      <c r="D220" s="118" t="n"/>
      <c r="E220" s="118" t="n"/>
      <c r="F220" s="123" t="n"/>
      <c r="G220" s="119" t="n"/>
      <c r="H220" s="123" t="n"/>
      <c r="I220" s="123" t="n"/>
      <c r="J220" s="125" t="n"/>
      <c r="K220" s="120" t="n"/>
      <c r="N220" s="117" t="n"/>
      <c r="O220" s="117" t="n"/>
      <c r="P220" s="117" t="n"/>
      <c r="Q220" s="117" t="n"/>
      <c r="R220" s="118" t="n"/>
      <c r="S220" s="119" t="n"/>
      <c r="T220" s="120" t="n"/>
      <c r="U220" s="123" t="n"/>
      <c r="V220" s="123" t="n"/>
      <c r="Y220" s="117" t="n"/>
      <c r="Z220" s="117" t="n"/>
      <c r="AA220" s="118" t="n"/>
      <c r="AB220" s="119" t="n"/>
      <c r="AC220" s="120" t="n"/>
      <c r="AD220" s="120" t="n"/>
      <c r="AE220" s="120" t="n"/>
    </row>
    <row r="221" ht="15" customHeight="1" s="72">
      <c r="A221" s="117" t="n"/>
      <c r="B221" s="117" t="n"/>
      <c r="C221" s="118" t="n"/>
      <c r="D221" s="118" t="n"/>
      <c r="E221" s="118" t="n"/>
      <c r="F221" s="123" t="n"/>
      <c r="G221" s="119" t="n"/>
      <c r="H221" s="123" t="n"/>
      <c r="I221" s="123" t="n"/>
      <c r="J221" s="125" t="n"/>
      <c r="K221" s="120" t="n"/>
      <c r="N221" s="117" t="n"/>
      <c r="O221" s="117" t="n"/>
      <c r="P221" s="117" t="n"/>
      <c r="Q221" s="117" t="n"/>
      <c r="R221" s="118" t="n"/>
      <c r="S221" s="119" t="n"/>
      <c r="T221" s="120" t="n"/>
      <c r="U221" s="123" t="n"/>
      <c r="V221" s="123" t="n"/>
      <c r="Y221" s="117" t="n"/>
      <c r="Z221" s="117" t="n"/>
      <c r="AA221" s="118" t="n"/>
      <c r="AB221" s="119" t="n"/>
      <c r="AC221" s="120" t="n"/>
      <c r="AD221" s="120" t="n"/>
      <c r="AE221" s="120" t="n"/>
    </row>
    <row r="222" ht="15" customHeight="1" s="72">
      <c r="A222" s="117" t="n"/>
      <c r="B222" s="117" t="n"/>
      <c r="C222" s="118" t="n"/>
      <c r="D222" s="118" t="n"/>
      <c r="E222" s="118" t="n"/>
      <c r="F222" s="123" t="n"/>
      <c r="G222" s="119" t="n"/>
      <c r="H222" s="123" t="n"/>
      <c r="I222" s="123" t="n"/>
      <c r="J222" s="125" t="n"/>
      <c r="K222" s="120" t="n"/>
      <c r="N222" s="117" t="n"/>
      <c r="O222" s="117" t="n"/>
      <c r="P222" s="117" t="n"/>
      <c r="Q222" s="117" t="n"/>
      <c r="R222" s="118" t="n"/>
      <c r="S222" s="119" t="n"/>
      <c r="T222" s="120" t="n"/>
      <c r="U222" s="123" t="n"/>
      <c r="V222" s="123" t="n"/>
      <c r="Y222" s="117" t="n"/>
      <c r="Z222" s="117" t="n"/>
      <c r="AA222" s="118" t="n"/>
      <c r="AB222" s="119" t="n"/>
      <c r="AC222" s="120" t="n"/>
      <c r="AD222" s="120" t="n"/>
      <c r="AE222" s="120" t="n"/>
    </row>
    <row r="223" ht="15" customHeight="1" s="72">
      <c r="A223" s="117" t="n"/>
      <c r="B223" s="117" t="n"/>
      <c r="C223" s="118" t="n"/>
      <c r="D223" s="118" t="n"/>
      <c r="E223" s="118" t="n"/>
      <c r="F223" s="123" t="n"/>
      <c r="G223" s="119" t="n"/>
      <c r="H223" s="123" t="n"/>
      <c r="I223" s="123" t="n"/>
      <c r="J223" s="125" t="n"/>
      <c r="K223" s="120" t="n"/>
      <c r="N223" s="117" t="n"/>
      <c r="O223" s="117" t="n"/>
      <c r="P223" s="117" t="n"/>
      <c r="Q223" s="117" t="n"/>
      <c r="R223" s="118" t="n"/>
      <c r="S223" s="119" t="n"/>
      <c r="T223" s="120" t="n"/>
      <c r="U223" s="123" t="n"/>
      <c r="V223" s="123" t="n"/>
      <c r="Y223" s="117" t="n"/>
      <c r="Z223" s="117" t="n"/>
      <c r="AA223" s="118" t="n"/>
      <c r="AB223" s="119" t="n"/>
      <c r="AC223" s="120" t="n"/>
      <c r="AD223" s="120" t="n"/>
      <c r="AE223" s="120" t="n"/>
    </row>
    <row r="224" ht="15" customHeight="1" s="72">
      <c r="A224" s="117" t="n"/>
      <c r="B224" s="117" t="n"/>
      <c r="C224" s="118" t="n"/>
      <c r="D224" s="118" t="n"/>
      <c r="E224" s="118" t="n"/>
      <c r="F224" s="123" t="n"/>
      <c r="G224" s="119" t="n"/>
      <c r="H224" s="123" t="n"/>
      <c r="I224" s="123" t="n"/>
      <c r="J224" s="125" t="n"/>
      <c r="K224" s="120" t="n"/>
      <c r="N224" s="117" t="n"/>
      <c r="O224" s="117" t="n"/>
      <c r="P224" s="117" t="n"/>
      <c r="Q224" s="117" t="n"/>
      <c r="R224" s="118" t="n"/>
      <c r="S224" s="119" t="n"/>
      <c r="T224" s="120" t="n"/>
      <c r="U224" s="123" t="n"/>
      <c r="V224" s="123" t="n"/>
      <c r="Y224" s="117" t="n"/>
      <c r="Z224" s="117" t="n"/>
      <c r="AA224" s="118" t="n"/>
      <c r="AB224" s="119" t="n"/>
      <c r="AC224" s="120" t="n"/>
      <c r="AD224" s="120" t="n"/>
      <c r="AE224" s="120" t="n"/>
    </row>
    <row r="225" ht="15" customHeight="1" s="72">
      <c r="A225" s="117" t="n"/>
      <c r="B225" s="117" t="n"/>
      <c r="C225" s="118" t="n"/>
      <c r="D225" s="118" t="n"/>
      <c r="E225" s="118" t="n"/>
      <c r="F225" s="123" t="n"/>
      <c r="G225" s="119" t="n"/>
      <c r="H225" s="123" t="n"/>
      <c r="I225" s="123" t="n"/>
      <c r="J225" s="125" t="n"/>
      <c r="K225" s="120" t="n"/>
      <c r="N225" s="117" t="n"/>
      <c r="O225" s="117" t="n"/>
      <c r="P225" s="117" t="n"/>
      <c r="Q225" s="117" t="n"/>
      <c r="R225" s="118" t="n"/>
      <c r="S225" s="119" t="n"/>
      <c r="T225" s="120" t="n"/>
      <c r="U225" s="123" t="n"/>
      <c r="V225" s="123" t="n"/>
      <c r="Y225" s="117" t="n"/>
      <c r="Z225" s="117" t="n"/>
      <c r="AA225" s="118" t="n"/>
      <c r="AB225" s="119" t="n"/>
      <c r="AC225" s="120" t="n"/>
      <c r="AD225" s="120" t="n"/>
      <c r="AE225" s="120" t="n"/>
    </row>
    <row r="226" ht="15" customHeight="1" s="72">
      <c r="A226" s="117" t="n"/>
      <c r="B226" s="117" t="n"/>
      <c r="C226" s="118" t="n"/>
      <c r="D226" s="118" t="n"/>
      <c r="E226" s="118" t="n"/>
      <c r="F226" s="123" t="n"/>
      <c r="G226" s="119" t="n"/>
      <c r="H226" s="123" t="n"/>
      <c r="I226" s="123" t="n"/>
      <c r="J226" s="125" t="n"/>
      <c r="K226" s="120" t="n"/>
      <c r="N226" s="117" t="n"/>
      <c r="O226" s="117" t="n"/>
      <c r="P226" s="117" t="n"/>
      <c r="Q226" s="117" t="n"/>
      <c r="R226" s="118" t="n"/>
      <c r="S226" s="119" t="n"/>
      <c r="T226" s="120" t="n"/>
      <c r="U226" s="123" t="n"/>
      <c r="V226" s="123" t="n"/>
      <c r="Y226" s="117" t="n"/>
      <c r="Z226" s="117" t="n"/>
      <c r="AA226" s="118" t="n"/>
      <c r="AB226" s="119" t="n"/>
      <c r="AC226" s="120" t="n"/>
      <c r="AD226" s="120" t="n"/>
      <c r="AE226" s="120" t="n"/>
    </row>
    <row r="227" ht="15" customHeight="1" s="72">
      <c r="A227" s="117" t="n"/>
      <c r="B227" s="117" t="n"/>
      <c r="C227" s="118" t="n"/>
      <c r="D227" s="118" t="n"/>
      <c r="E227" s="118" t="n"/>
      <c r="F227" s="123" t="n"/>
      <c r="G227" s="119" t="n"/>
      <c r="H227" s="123" t="n"/>
      <c r="I227" s="123" t="n"/>
      <c r="J227" s="125" t="n"/>
      <c r="K227" s="120" t="n"/>
      <c r="N227" s="117" t="n"/>
      <c r="O227" s="117" t="n"/>
      <c r="P227" s="117" t="n"/>
      <c r="Q227" s="117" t="n"/>
      <c r="R227" s="118" t="n"/>
      <c r="S227" s="119" t="n"/>
      <c r="T227" s="120" t="n"/>
      <c r="U227" s="123" t="n"/>
      <c r="V227" s="123" t="n"/>
      <c r="Y227" s="117" t="n"/>
      <c r="Z227" s="117" t="n"/>
      <c r="AA227" s="118" t="n"/>
      <c r="AB227" s="119" t="n"/>
      <c r="AC227" s="120" t="n"/>
      <c r="AD227" s="120" t="n"/>
      <c r="AE227" s="120" t="n"/>
    </row>
    <row r="228" ht="15" customHeight="1" s="72">
      <c r="A228" s="117" t="n"/>
      <c r="B228" s="117" t="n"/>
      <c r="C228" s="118" t="n"/>
      <c r="D228" s="118" t="n"/>
      <c r="E228" s="118" t="n"/>
      <c r="F228" s="123" t="n"/>
      <c r="G228" s="119" t="n"/>
      <c r="H228" s="123" t="n"/>
      <c r="I228" s="123" t="n"/>
      <c r="J228" s="125" t="n"/>
      <c r="K228" s="120" t="n"/>
      <c r="N228" s="117" t="n"/>
      <c r="O228" s="117" t="n"/>
      <c r="P228" s="117" t="n"/>
      <c r="Q228" s="117" t="n"/>
      <c r="R228" s="118" t="n"/>
      <c r="S228" s="119" t="n"/>
      <c r="T228" s="120" t="n"/>
      <c r="U228" s="123" t="n"/>
      <c r="V228" s="123" t="n"/>
      <c r="Y228" s="117" t="n"/>
      <c r="Z228" s="117" t="n"/>
      <c r="AA228" s="118" t="n"/>
      <c r="AB228" s="119" t="n"/>
      <c r="AC228" s="120" t="n"/>
      <c r="AD228" s="120" t="n"/>
      <c r="AE228" s="120" t="n"/>
    </row>
    <row r="229" ht="15" customHeight="1" s="72">
      <c r="A229" s="117" t="n"/>
      <c r="B229" s="117" t="n"/>
      <c r="C229" s="118" t="n"/>
      <c r="D229" s="118" t="n"/>
      <c r="E229" s="118" t="n"/>
      <c r="F229" s="123" t="n"/>
      <c r="G229" s="119" t="n"/>
      <c r="H229" s="123" t="n"/>
      <c r="I229" s="123" t="n"/>
      <c r="J229" s="125" t="n"/>
      <c r="K229" s="120" t="n"/>
      <c r="N229" s="117" t="n"/>
      <c r="O229" s="117" t="n"/>
      <c r="P229" s="117" t="n"/>
      <c r="Q229" s="117" t="n"/>
      <c r="R229" s="118" t="n"/>
      <c r="S229" s="119" t="n"/>
      <c r="T229" s="120" t="n"/>
      <c r="U229" s="123" t="n"/>
      <c r="V229" s="123" t="n"/>
      <c r="Y229" s="117" t="n"/>
      <c r="Z229" s="117" t="n"/>
      <c r="AA229" s="118" t="n"/>
      <c r="AB229" s="119" t="n"/>
      <c r="AC229" s="120" t="n"/>
      <c r="AD229" s="120" t="n"/>
      <c r="AE229" s="120" t="n"/>
    </row>
    <row r="230" ht="15" customHeight="1" s="72">
      <c r="A230" s="117" t="n"/>
      <c r="B230" s="117" t="n"/>
      <c r="C230" s="118" t="n"/>
      <c r="D230" s="118" t="n"/>
      <c r="E230" s="118" t="n"/>
      <c r="F230" s="123" t="n"/>
      <c r="G230" s="119" t="n"/>
      <c r="H230" s="123" t="n"/>
      <c r="I230" s="123" t="n"/>
      <c r="J230" s="125" t="n"/>
      <c r="K230" s="120" t="n"/>
      <c r="N230" s="117" t="n"/>
      <c r="O230" s="117" t="n"/>
      <c r="P230" s="117" t="n"/>
      <c r="Q230" s="117" t="n"/>
      <c r="R230" s="118" t="n"/>
      <c r="S230" s="119" t="n"/>
      <c r="T230" s="120" t="n"/>
      <c r="U230" s="123" t="n"/>
      <c r="V230" s="123" t="n"/>
      <c r="Y230" s="117" t="n"/>
      <c r="Z230" s="117" t="n"/>
      <c r="AA230" s="118" t="n"/>
      <c r="AB230" s="119" t="n"/>
      <c r="AC230" s="120" t="n"/>
      <c r="AD230" s="120" t="n"/>
      <c r="AE230" s="120" t="n"/>
    </row>
    <row r="231" ht="15" customHeight="1" s="72">
      <c r="A231" s="117" t="n"/>
      <c r="B231" s="117" t="n"/>
      <c r="C231" s="118" t="n"/>
      <c r="D231" s="118" t="n"/>
      <c r="E231" s="118" t="n"/>
      <c r="F231" s="123" t="n"/>
      <c r="G231" s="119" t="n"/>
      <c r="H231" s="123" t="n"/>
      <c r="I231" s="123" t="n"/>
      <c r="J231" s="125" t="n"/>
      <c r="K231" s="120" t="n"/>
      <c r="N231" s="117" t="n"/>
      <c r="O231" s="117" t="n"/>
      <c r="P231" s="117" t="n"/>
      <c r="Q231" s="117" t="n"/>
      <c r="R231" s="118" t="n"/>
      <c r="S231" s="119" t="n"/>
      <c r="T231" s="120" t="n"/>
      <c r="U231" s="123" t="n"/>
      <c r="V231" s="123" t="n"/>
      <c r="Y231" s="117" t="n"/>
      <c r="Z231" s="117" t="n"/>
      <c r="AA231" s="118" t="n"/>
      <c r="AB231" s="119" t="n"/>
      <c r="AC231" s="120" t="n"/>
      <c r="AD231" s="120" t="n"/>
      <c r="AE231" s="120" t="n"/>
    </row>
    <row r="232" ht="15" customHeight="1" s="72">
      <c r="A232" s="117" t="n"/>
      <c r="B232" s="117" t="n"/>
      <c r="C232" s="118" t="n"/>
      <c r="D232" s="118" t="n"/>
      <c r="E232" s="118" t="n"/>
      <c r="F232" s="123" t="n"/>
      <c r="G232" s="119" t="n"/>
      <c r="H232" s="123" t="n"/>
      <c r="I232" s="123" t="n"/>
      <c r="J232" s="125" t="n"/>
      <c r="K232" s="120" t="n"/>
      <c r="N232" s="117" t="n"/>
      <c r="O232" s="117" t="n"/>
      <c r="P232" s="117" t="n"/>
      <c r="Q232" s="117" t="n"/>
      <c r="R232" s="118" t="n"/>
      <c r="S232" s="119" t="n"/>
      <c r="T232" s="120" t="n"/>
      <c r="U232" s="123" t="n"/>
      <c r="V232" s="123" t="n"/>
      <c r="Y232" s="117" t="n"/>
      <c r="Z232" s="117" t="n"/>
      <c r="AA232" s="118" t="n"/>
      <c r="AB232" s="119" t="n"/>
      <c r="AC232" s="120" t="n"/>
      <c r="AD232" s="120" t="n"/>
      <c r="AE232" s="120" t="n"/>
    </row>
    <row r="233" ht="15" customHeight="1" s="72">
      <c r="A233" s="117" t="n"/>
      <c r="B233" s="117" t="n"/>
      <c r="C233" s="118" t="n"/>
      <c r="D233" s="118" t="n"/>
      <c r="E233" s="118" t="n"/>
      <c r="F233" s="123" t="n"/>
      <c r="G233" s="119" t="n"/>
      <c r="H233" s="123" t="n"/>
      <c r="I233" s="123" t="n"/>
      <c r="J233" s="125" t="n"/>
      <c r="K233" s="120" t="n"/>
      <c r="N233" s="117" t="n"/>
      <c r="O233" s="117" t="n"/>
      <c r="P233" s="117" t="n"/>
      <c r="Q233" s="117" t="n"/>
      <c r="R233" s="118" t="n"/>
      <c r="S233" s="119" t="n"/>
      <c r="T233" s="120" t="n"/>
      <c r="U233" s="123" t="n"/>
      <c r="V233" s="123" t="n"/>
      <c r="Y233" s="117" t="n"/>
      <c r="Z233" s="117" t="n"/>
      <c r="AA233" s="118" t="n"/>
      <c r="AB233" s="119" t="n"/>
      <c r="AC233" s="120" t="n"/>
      <c r="AD233" s="120" t="n"/>
      <c r="AE233" s="120" t="n"/>
    </row>
    <row r="234" ht="15" customHeight="1" s="72">
      <c r="A234" s="117" t="n"/>
      <c r="B234" s="117" t="n"/>
      <c r="C234" s="118" t="n"/>
      <c r="D234" s="118" t="n"/>
      <c r="E234" s="118" t="n"/>
      <c r="F234" s="123" t="n"/>
      <c r="G234" s="119" t="n"/>
      <c r="H234" s="123" t="n"/>
      <c r="I234" s="123" t="n"/>
      <c r="J234" s="125" t="n"/>
      <c r="K234" s="120" t="n"/>
      <c r="N234" s="117" t="n"/>
      <c r="O234" s="117" t="n"/>
      <c r="P234" s="117" t="n"/>
      <c r="Q234" s="117" t="n"/>
      <c r="R234" s="118" t="n"/>
      <c r="S234" s="119" t="n"/>
      <c r="T234" s="120" t="n"/>
      <c r="U234" s="123" t="n"/>
      <c r="V234" s="123" t="n"/>
      <c r="Y234" s="117" t="n"/>
      <c r="Z234" s="117" t="n"/>
      <c r="AA234" s="118" t="n"/>
      <c r="AB234" s="119" t="n"/>
      <c r="AC234" s="120" t="n"/>
      <c r="AD234" s="120" t="n"/>
      <c r="AE234" s="120" t="n"/>
    </row>
    <row r="235" ht="15" customHeight="1" s="72">
      <c r="A235" s="117" t="n"/>
      <c r="B235" s="117" t="n"/>
      <c r="C235" s="118" t="n"/>
      <c r="D235" s="118" t="n"/>
      <c r="E235" s="118" t="n"/>
      <c r="F235" s="123" t="n"/>
      <c r="G235" s="119" t="n"/>
      <c r="H235" s="123" t="n"/>
      <c r="I235" s="123" t="n"/>
      <c r="J235" s="125" t="n"/>
      <c r="K235" s="120" t="n"/>
      <c r="N235" s="117" t="n"/>
      <c r="O235" s="117" t="n"/>
      <c r="P235" s="117" t="n"/>
      <c r="Q235" s="117" t="n"/>
      <c r="R235" s="118" t="n"/>
      <c r="S235" s="119" t="n"/>
      <c r="T235" s="120" t="n"/>
      <c r="U235" s="123" t="n"/>
      <c r="V235" s="123" t="n"/>
      <c r="Y235" s="117" t="n"/>
      <c r="Z235" s="117" t="n"/>
      <c r="AA235" s="118" t="n"/>
      <c r="AB235" s="119" t="n"/>
      <c r="AC235" s="120" t="n"/>
      <c r="AD235" s="120" t="n"/>
      <c r="AE235" s="120" t="n"/>
    </row>
    <row r="236" ht="15" customHeight="1" s="72">
      <c r="A236" s="117" t="n"/>
      <c r="B236" s="117" t="n"/>
      <c r="C236" s="118" t="n"/>
      <c r="D236" s="118" t="n"/>
      <c r="E236" s="118" t="n"/>
      <c r="F236" s="123" t="n"/>
      <c r="G236" s="119" t="n"/>
      <c r="H236" s="123" t="n"/>
      <c r="I236" s="123" t="n"/>
      <c r="J236" s="125" t="n"/>
      <c r="K236" s="120" t="n"/>
      <c r="N236" s="117" t="n"/>
      <c r="O236" s="117" t="n"/>
      <c r="P236" s="117" t="n"/>
      <c r="Q236" s="117" t="n"/>
      <c r="R236" s="118" t="n"/>
      <c r="S236" s="119" t="n"/>
      <c r="T236" s="120" t="n"/>
      <c r="U236" s="123" t="n"/>
      <c r="V236" s="123" t="n"/>
      <c r="Y236" s="117" t="n"/>
      <c r="Z236" s="117" t="n"/>
      <c r="AA236" s="118" t="n"/>
      <c r="AB236" s="119" t="n"/>
      <c r="AC236" s="120" t="n"/>
      <c r="AD236" s="120" t="n"/>
      <c r="AE236" s="120" t="n"/>
    </row>
    <row r="237" ht="15" customHeight="1" s="72">
      <c r="A237" s="117" t="n"/>
      <c r="B237" s="117" t="n"/>
      <c r="C237" s="118" t="n"/>
      <c r="D237" s="118" t="n"/>
      <c r="E237" s="118" t="n"/>
      <c r="F237" s="123" t="n"/>
      <c r="G237" s="119" t="n"/>
      <c r="H237" s="123" t="n"/>
      <c r="I237" s="123" t="n"/>
      <c r="J237" s="125" t="n"/>
      <c r="K237" s="120" t="n"/>
      <c r="N237" s="117" t="n"/>
      <c r="O237" s="117" t="n"/>
      <c r="P237" s="117" t="n"/>
      <c r="Q237" s="117" t="n"/>
      <c r="R237" s="118" t="n"/>
      <c r="S237" s="119" t="n"/>
      <c r="T237" s="120" t="n"/>
      <c r="U237" s="123" t="n"/>
      <c r="V237" s="123" t="n"/>
      <c r="Y237" s="117" t="n"/>
      <c r="Z237" s="117" t="n"/>
      <c r="AA237" s="118" t="n"/>
      <c r="AB237" s="119" t="n"/>
      <c r="AC237" s="120" t="n"/>
      <c r="AD237" s="120" t="n"/>
      <c r="AE237" s="120" t="n"/>
    </row>
    <row r="238" ht="15" customHeight="1" s="72">
      <c r="A238" s="117" t="n"/>
      <c r="B238" s="117" t="n"/>
      <c r="C238" s="118" t="n"/>
      <c r="D238" s="118" t="n"/>
      <c r="E238" s="118" t="n"/>
      <c r="F238" s="123" t="n"/>
      <c r="G238" s="119" t="n"/>
      <c r="H238" s="123" t="n"/>
      <c r="I238" s="123" t="n"/>
      <c r="J238" s="125" t="n"/>
      <c r="K238" s="120" t="n"/>
      <c r="N238" s="117" t="n"/>
      <c r="O238" s="117" t="n"/>
      <c r="P238" s="117" t="n"/>
      <c r="Q238" s="117" t="n"/>
      <c r="R238" s="118" t="n"/>
      <c r="S238" s="119" t="n"/>
      <c r="T238" s="120" t="n"/>
      <c r="U238" s="123" t="n"/>
      <c r="V238" s="123" t="n"/>
      <c r="Y238" s="117" t="n"/>
      <c r="Z238" s="117" t="n"/>
      <c r="AA238" s="118" t="n"/>
      <c r="AB238" s="119" t="n"/>
      <c r="AC238" s="120" t="n"/>
      <c r="AD238" s="120" t="n"/>
      <c r="AE238" s="120" t="n"/>
    </row>
    <row r="239" ht="15" customHeight="1" s="72">
      <c r="A239" s="117" t="n"/>
      <c r="B239" s="117" t="n"/>
      <c r="C239" s="118" t="n"/>
      <c r="D239" s="118" t="n"/>
      <c r="E239" s="118" t="n"/>
      <c r="F239" s="123" t="n"/>
      <c r="G239" s="119" t="n"/>
      <c r="H239" s="123" t="n"/>
      <c r="I239" s="123" t="n"/>
      <c r="J239" s="125" t="n"/>
      <c r="K239" s="120" t="n"/>
      <c r="N239" s="117" t="n"/>
      <c r="O239" s="117" t="n"/>
      <c r="P239" s="117" t="n"/>
      <c r="Q239" s="117" t="n"/>
      <c r="R239" s="118" t="n"/>
      <c r="S239" s="119" t="n"/>
      <c r="T239" s="120" t="n"/>
      <c r="U239" s="123" t="n"/>
      <c r="V239" s="123" t="n"/>
      <c r="Y239" s="117" t="n"/>
      <c r="Z239" s="117" t="n"/>
      <c r="AA239" s="118" t="n"/>
      <c r="AB239" s="119" t="n"/>
      <c r="AC239" s="120" t="n"/>
      <c r="AD239" s="120" t="n"/>
      <c r="AE239" s="120" t="n"/>
    </row>
    <row r="240" ht="15" customHeight="1" s="72">
      <c r="A240" s="117" t="n"/>
      <c r="B240" s="117" t="n"/>
      <c r="C240" s="118" t="n"/>
      <c r="D240" s="118" t="n"/>
      <c r="E240" s="118" t="n"/>
      <c r="F240" s="123" t="n"/>
      <c r="G240" s="119" t="n"/>
      <c r="H240" s="123" t="n"/>
      <c r="I240" s="123" t="n"/>
      <c r="J240" s="125" t="n"/>
      <c r="K240" s="120" t="n"/>
      <c r="N240" s="117" t="n"/>
      <c r="O240" s="117" t="n"/>
      <c r="P240" s="117" t="n"/>
      <c r="Q240" s="117" t="n"/>
      <c r="R240" s="118" t="n"/>
      <c r="S240" s="119" t="n"/>
      <c r="T240" s="120" t="n"/>
      <c r="U240" s="123" t="n"/>
      <c r="V240" s="123" t="n"/>
      <c r="Y240" s="117" t="n"/>
      <c r="Z240" s="117" t="n"/>
      <c r="AA240" s="118" t="n"/>
      <c r="AB240" s="119" t="n"/>
      <c r="AC240" s="120" t="n"/>
      <c r="AD240" s="120" t="n"/>
      <c r="AE240" s="120" t="n"/>
    </row>
    <row r="241" ht="15" customHeight="1" s="72">
      <c r="A241" s="117" t="n"/>
      <c r="B241" s="117" t="n"/>
      <c r="C241" s="118" t="n"/>
      <c r="D241" s="118" t="n"/>
      <c r="E241" s="118" t="n"/>
      <c r="F241" s="123" t="n"/>
      <c r="G241" s="119" t="n"/>
      <c r="H241" s="123" t="n"/>
      <c r="I241" s="123" t="n"/>
      <c r="J241" s="125" t="n"/>
      <c r="K241" s="120" t="n"/>
      <c r="N241" s="117" t="n"/>
      <c r="O241" s="117" t="n"/>
      <c r="P241" s="117" t="n"/>
      <c r="Q241" s="117" t="n"/>
      <c r="R241" s="118" t="n"/>
      <c r="S241" s="119" t="n"/>
      <c r="T241" s="120" t="n"/>
      <c r="U241" s="123" t="n"/>
      <c r="V241" s="123" t="n"/>
      <c r="Y241" s="117" t="n"/>
      <c r="Z241" s="117" t="n"/>
      <c r="AA241" s="118" t="n"/>
      <c r="AB241" s="119" t="n"/>
      <c r="AC241" s="120" t="n"/>
      <c r="AD241" s="120" t="n"/>
      <c r="AE241" s="120" t="n"/>
    </row>
    <row r="242" ht="15" customHeight="1" s="72">
      <c r="A242" s="117" t="n"/>
      <c r="B242" s="117" t="n"/>
      <c r="C242" s="118" t="n"/>
      <c r="D242" s="118" t="n"/>
      <c r="E242" s="118" t="n"/>
      <c r="F242" s="123" t="n"/>
      <c r="G242" s="119" t="n"/>
      <c r="H242" s="123" t="n"/>
      <c r="I242" s="123" t="n"/>
      <c r="J242" s="125" t="n"/>
      <c r="K242" s="120" t="n"/>
      <c r="N242" s="117" t="n"/>
      <c r="O242" s="117" t="n"/>
      <c r="P242" s="117" t="n"/>
      <c r="Q242" s="117" t="n"/>
      <c r="R242" s="118" t="n"/>
      <c r="S242" s="119" t="n"/>
      <c r="T242" s="120" t="n"/>
      <c r="U242" s="123" t="n"/>
      <c r="V242" s="123" t="n"/>
      <c r="Y242" s="117" t="n"/>
      <c r="Z242" s="117" t="n"/>
      <c r="AA242" s="118" t="n"/>
      <c r="AB242" s="119" t="n"/>
      <c r="AC242" s="120" t="n"/>
      <c r="AD242" s="120" t="n"/>
      <c r="AE242" s="120" t="n"/>
    </row>
    <row r="243" ht="15" customHeight="1" s="72">
      <c r="A243" s="117" t="n"/>
      <c r="B243" s="117" t="n"/>
      <c r="C243" s="118" t="n"/>
      <c r="D243" s="118" t="n"/>
      <c r="E243" s="118" t="n"/>
      <c r="F243" s="123" t="n"/>
      <c r="G243" s="119" t="n"/>
      <c r="H243" s="123" t="n"/>
      <c r="I243" s="123" t="n"/>
      <c r="J243" s="125" t="n"/>
      <c r="K243" s="120" t="n"/>
      <c r="N243" s="117" t="n"/>
      <c r="O243" s="117" t="n"/>
      <c r="P243" s="117" t="n"/>
      <c r="Q243" s="117" t="n"/>
      <c r="R243" s="118" t="n"/>
      <c r="S243" s="119" t="n"/>
      <c r="T243" s="120" t="n"/>
      <c r="U243" s="123" t="n"/>
      <c r="V243" s="123" t="n"/>
      <c r="Y243" s="117" t="n"/>
      <c r="Z243" s="117" t="n"/>
      <c r="AA243" s="118" t="n"/>
      <c r="AB243" s="119" t="n"/>
      <c r="AC243" s="120" t="n"/>
      <c r="AD243" s="120" t="n"/>
      <c r="AE243" s="120" t="n"/>
    </row>
    <row r="244" ht="15" customHeight="1" s="72">
      <c r="A244" s="117" t="n"/>
      <c r="B244" s="117" t="n"/>
      <c r="C244" s="118" t="n"/>
      <c r="D244" s="118" t="n"/>
      <c r="E244" s="118" t="n"/>
      <c r="F244" s="123" t="n"/>
      <c r="G244" s="119" t="n"/>
      <c r="H244" s="123" t="n"/>
      <c r="I244" s="123" t="n"/>
      <c r="J244" s="125" t="n"/>
      <c r="K244" s="120" t="n"/>
      <c r="N244" s="117" t="n"/>
      <c r="O244" s="117" t="n"/>
      <c r="P244" s="117" t="n"/>
      <c r="Q244" s="117" t="n"/>
      <c r="R244" s="118" t="n"/>
      <c r="S244" s="119" t="n"/>
      <c r="T244" s="120" t="n"/>
      <c r="U244" s="123" t="n"/>
      <c r="V244" s="123" t="n"/>
      <c r="Y244" s="117" t="n"/>
      <c r="Z244" s="117" t="n"/>
      <c r="AA244" s="118" t="n"/>
      <c r="AB244" s="119" t="n"/>
      <c r="AC244" s="120" t="n"/>
      <c r="AD244" s="120" t="n"/>
      <c r="AE244" s="120" t="n"/>
    </row>
    <row r="245" ht="15" customHeight="1" s="72">
      <c r="A245" s="117" t="n"/>
      <c r="B245" s="117" t="n"/>
      <c r="C245" s="118" t="n"/>
      <c r="D245" s="118" t="n"/>
      <c r="E245" s="118" t="n"/>
      <c r="F245" s="123" t="n"/>
      <c r="G245" s="119" t="n"/>
      <c r="H245" s="123" t="n"/>
      <c r="I245" s="123" t="n"/>
      <c r="J245" s="125" t="n"/>
      <c r="K245" s="120" t="n"/>
      <c r="N245" s="117" t="n"/>
      <c r="O245" s="117" t="n"/>
      <c r="P245" s="117" t="n"/>
      <c r="Q245" s="117" t="n"/>
      <c r="R245" s="118" t="n"/>
      <c r="S245" s="119" t="n"/>
      <c r="T245" s="120" t="n"/>
      <c r="U245" s="123" t="n"/>
      <c r="V245" s="123" t="n"/>
      <c r="Y245" s="117" t="n"/>
      <c r="Z245" s="117" t="n"/>
      <c r="AA245" s="118" t="n"/>
      <c r="AB245" s="119" t="n"/>
      <c r="AC245" s="120" t="n"/>
      <c r="AD245" s="120" t="n"/>
      <c r="AE245" s="120" t="n"/>
    </row>
    <row r="246" ht="15" customHeight="1" s="72">
      <c r="A246" s="117" t="n"/>
      <c r="B246" s="117" t="n"/>
      <c r="C246" s="118" t="n"/>
      <c r="D246" s="118" t="n"/>
      <c r="E246" s="118" t="n"/>
      <c r="F246" s="123" t="n"/>
      <c r="G246" s="119" t="n"/>
      <c r="H246" s="123" t="n"/>
      <c r="I246" s="123" t="n"/>
      <c r="J246" s="125" t="n"/>
      <c r="K246" s="120" t="n"/>
      <c r="N246" s="117" t="n"/>
      <c r="O246" s="117" t="n"/>
      <c r="P246" s="117" t="n"/>
      <c r="Q246" s="117" t="n"/>
      <c r="R246" s="118" t="n"/>
      <c r="S246" s="119" t="n"/>
      <c r="T246" s="120" t="n"/>
      <c r="U246" s="123" t="n"/>
      <c r="V246" s="123" t="n"/>
      <c r="Y246" s="117" t="n"/>
      <c r="Z246" s="117" t="n"/>
      <c r="AA246" s="118" t="n"/>
      <c r="AB246" s="119" t="n"/>
      <c r="AC246" s="120" t="n"/>
      <c r="AD246" s="120" t="n"/>
      <c r="AE246" s="120" t="n"/>
    </row>
    <row r="247" ht="15" customHeight="1" s="72">
      <c r="A247" s="117" t="n"/>
      <c r="B247" s="117" t="n"/>
      <c r="C247" s="118" t="n"/>
      <c r="D247" s="118" t="n"/>
      <c r="E247" s="118" t="n"/>
      <c r="F247" s="123" t="n"/>
      <c r="G247" s="119" t="n"/>
      <c r="H247" s="123" t="n"/>
      <c r="I247" s="123" t="n"/>
      <c r="J247" s="125" t="n"/>
      <c r="K247" s="120" t="n"/>
      <c r="N247" s="117" t="n"/>
      <c r="O247" s="117" t="n"/>
      <c r="P247" s="117" t="n"/>
      <c r="Q247" s="117" t="n"/>
      <c r="R247" s="118" t="n"/>
      <c r="S247" s="119" t="n"/>
      <c r="T247" s="120" t="n"/>
      <c r="U247" s="123" t="n"/>
      <c r="V247" s="123" t="n"/>
      <c r="Y247" s="117" t="n"/>
      <c r="Z247" s="117" t="n"/>
      <c r="AA247" s="118" t="n"/>
      <c r="AB247" s="119" t="n"/>
      <c r="AC247" s="120" t="n"/>
      <c r="AD247" s="120" t="n"/>
      <c r="AE247" s="120" t="n"/>
    </row>
    <row r="248" ht="15" customHeight="1" s="72">
      <c r="A248" s="117" t="n"/>
      <c r="B248" s="117" t="n"/>
      <c r="C248" s="118" t="n"/>
      <c r="D248" s="118" t="n"/>
      <c r="E248" s="118" t="n"/>
      <c r="F248" s="123" t="n"/>
      <c r="G248" s="119" t="n"/>
      <c r="H248" s="123" t="n"/>
      <c r="I248" s="123" t="n"/>
      <c r="J248" s="125" t="n"/>
      <c r="K248" s="120" t="n"/>
      <c r="N248" s="117" t="n"/>
      <c r="O248" s="117" t="n"/>
      <c r="P248" s="117" t="n"/>
      <c r="Q248" s="117" t="n"/>
      <c r="R248" s="118" t="n"/>
      <c r="S248" s="119" t="n"/>
      <c r="T248" s="120" t="n"/>
      <c r="U248" s="123" t="n"/>
      <c r="V248" s="123" t="n"/>
      <c r="Y248" s="117" t="n"/>
      <c r="Z248" s="117" t="n"/>
      <c r="AA248" s="118" t="n"/>
      <c r="AB248" s="119" t="n"/>
      <c r="AC248" s="120" t="n"/>
      <c r="AD248" s="120" t="n"/>
      <c r="AE248" s="120" t="n"/>
    </row>
    <row r="249" ht="15" customHeight="1" s="72">
      <c r="A249" s="117" t="n"/>
      <c r="B249" s="117" t="n"/>
      <c r="C249" s="118" t="n"/>
      <c r="D249" s="118" t="n"/>
      <c r="E249" s="118" t="n"/>
      <c r="F249" s="123" t="n"/>
      <c r="G249" s="119" t="n"/>
      <c r="H249" s="123" t="n"/>
      <c r="I249" s="123" t="n"/>
      <c r="J249" s="125" t="n"/>
      <c r="K249" s="120" t="n"/>
      <c r="N249" s="117" t="n"/>
      <c r="O249" s="117" t="n"/>
      <c r="P249" s="117" t="n"/>
      <c r="Q249" s="117" t="n"/>
      <c r="R249" s="118" t="n"/>
      <c r="S249" s="119" t="n"/>
      <c r="T249" s="120" t="n"/>
      <c r="U249" s="123" t="n"/>
      <c r="V249" s="123" t="n"/>
      <c r="Y249" s="117" t="n"/>
      <c r="Z249" s="117" t="n"/>
      <c r="AA249" s="118" t="n"/>
      <c r="AB249" s="119" t="n"/>
      <c r="AC249" s="120" t="n"/>
      <c r="AD249" s="120" t="n"/>
      <c r="AE249" s="120" t="n"/>
    </row>
    <row r="250" ht="15" customHeight="1" s="72">
      <c r="A250" s="117" t="n"/>
      <c r="B250" s="117" t="n"/>
      <c r="C250" s="118" t="n"/>
      <c r="D250" s="118" t="n"/>
      <c r="E250" s="118" t="n"/>
      <c r="F250" s="123" t="n"/>
      <c r="G250" s="119" t="n"/>
      <c r="H250" s="123" t="n"/>
      <c r="I250" s="123" t="n"/>
      <c r="J250" s="125" t="n"/>
      <c r="K250" s="120" t="n"/>
      <c r="N250" s="117" t="n"/>
      <c r="O250" s="117" t="n"/>
      <c r="P250" s="117" t="n"/>
      <c r="Q250" s="117" t="n"/>
      <c r="R250" s="118" t="n"/>
      <c r="S250" s="119" t="n"/>
      <c r="T250" s="120" t="n"/>
      <c r="U250" s="123" t="n"/>
      <c r="V250" s="123" t="n"/>
      <c r="Y250" s="117" t="n"/>
      <c r="Z250" s="117" t="n"/>
      <c r="AA250" s="118" t="n"/>
      <c r="AB250" s="119" t="n"/>
      <c r="AC250" s="120" t="n"/>
      <c r="AD250" s="120" t="n"/>
      <c r="AE250" s="120" t="n"/>
    </row>
    <row r="251" ht="15" customHeight="1" s="72">
      <c r="A251" s="117" t="n"/>
      <c r="B251" s="117" t="n"/>
      <c r="C251" s="118" t="n"/>
      <c r="D251" s="118" t="n"/>
      <c r="E251" s="118" t="n"/>
      <c r="F251" s="123" t="n"/>
      <c r="G251" s="119" t="n"/>
      <c r="H251" s="123" t="n"/>
      <c r="I251" s="123" t="n"/>
      <c r="J251" s="125" t="n"/>
      <c r="K251" s="120" t="n"/>
      <c r="N251" s="117" t="n"/>
      <c r="O251" s="117" t="n"/>
      <c r="P251" s="117" t="n"/>
      <c r="Q251" s="117" t="n"/>
      <c r="R251" s="118" t="n"/>
      <c r="S251" s="119" t="n"/>
      <c r="T251" s="120" t="n"/>
      <c r="U251" s="123" t="n"/>
      <c r="V251" s="123" t="n"/>
      <c r="Y251" s="117" t="n"/>
      <c r="Z251" s="117" t="n"/>
      <c r="AA251" s="118" t="n"/>
      <c r="AB251" s="119" t="n"/>
      <c r="AC251" s="120" t="n"/>
      <c r="AD251" s="120" t="n"/>
      <c r="AE251" s="120" t="n"/>
    </row>
    <row r="252" ht="15" customHeight="1" s="72">
      <c r="A252" s="117" t="n"/>
      <c r="B252" s="117" t="n"/>
      <c r="C252" s="118" t="n"/>
      <c r="D252" s="118" t="n"/>
      <c r="E252" s="118" t="n"/>
      <c r="F252" s="123" t="n"/>
      <c r="G252" s="119" t="n"/>
      <c r="H252" s="123" t="n"/>
      <c r="I252" s="123" t="n"/>
      <c r="J252" s="125" t="n"/>
      <c r="K252" s="120" t="n"/>
      <c r="N252" s="117" t="n"/>
      <c r="O252" s="117" t="n"/>
      <c r="P252" s="117" t="n"/>
      <c r="Q252" s="117" t="n"/>
      <c r="R252" s="118" t="n"/>
      <c r="S252" s="119" t="n"/>
      <c r="T252" s="120" t="n"/>
      <c r="U252" s="123" t="n"/>
      <c r="V252" s="123" t="n"/>
      <c r="Y252" s="117" t="n"/>
      <c r="Z252" s="117" t="n"/>
      <c r="AA252" s="118" t="n"/>
      <c r="AB252" s="119" t="n"/>
      <c r="AC252" s="120" t="n"/>
      <c r="AD252" s="120" t="n"/>
      <c r="AE252" s="120" t="n"/>
    </row>
    <row r="253" ht="15" customHeight="1" s="72">
      <c r="A253" s="117" t="n"/>
      <c r="B253" s="117" t="n"/>
      <c r="C253" s="118" t="n"/>
      <c r="D253" s="118" t="n"/>
      <c r="E253" s="118" t="n"/>
      <c r="F253" s="123" t="n"/>
      <c r="G253" s="119" t="n"/>
      <c r="H253" s="123" t="n"/>
      <c r="I253" s="123" t="n"/>
      <c r="J253" s="125" t="n"/>
      <c r="K253" s="120" t="n"/>
      <c r="N253" s="117" t="n"/>
      <c r="O253" s="117" t="n"/>
      <c r="P253" s="117" t="n"/>
      <c r="Q253" s="117" t="n"/>
      <c r="R253" s="118" t="n"/>
      <c r="S253" s="119" t="n"/>
      <c r="T253" s="120" t="n"/>
      <c r="U253" s="123" t="n"/>
      <c r="V253" s="123" t="n"/>
      <c r="Y253" s="117" t="n"/>
      <c r="Z253" s="117" t="n"/>
      <c r="AA253" s="118" t="n"/>
      <c r="AB253" s="119" t="n"/>
      <c r="AC253" s="120" t="n"/>
      <c r="AD253" s="120" t="n"/>
      <c r="AE253" s="120" t="n"/>
    </row>
    <row r="254" ht="15" customHeight="1" s="72">
      <c r="A254" s="117" t="n"/>
      <c r="B254" s="117" t="n"/>
      <c r="C254" s="118" t="n"/>
      <c r="D254" s="118" t="n"/>
      <c r="E254" s="118" t="n"/>
      <c r="F254" s="123" t="n"/>
      <c r="G254" s="119" t="n"/>
      <c r="H254" s="123" t="n"/>
      <c r="I254" s="123" t="n"/>
      <c r="J254" s="125" t="n"/>
      <c r="K254" s="120" t="n"/>
      <c r="N254" s="117" t="n"/>
      <c r="O254" s="117" t="n"/>
      <c r="P254" s="117" t="n"/>
      <c r="Q254" s="117" t="n"/>
      <c r="R254" s="118" t="n"/>
      <c r="S254" s="119" t="n"/>
      <c r="T254" s="120" t="n"/>
      <c r="U254" s="123" t="n"/>
      <c r="V254" s="123" t="n"/>
      <c r="Y254" s="117" t="n"/>
      <c r="Z254" s="117" t="n"/>
      <c r="AA254" s="118" t="n"/>
      <c r="AB254" s="119" t="n"/>
      <c r="AC254" s="120" t="n"/>
      <c r="AD254" s="120" t="n"/>
      <c r="AE254" s="120" t="n"/>
    </row>
    <row r="255" ht="15" customHeight="1" s="72">
      <c r="A255" s="117" t="n"/>
      <c r="B255" s="117" t="n"/>
      <c r="C255" s="118" t="n"/>
      <c r="D255" s="118" t="n"/>
      <c r="E255" s="118" t="n"/>
      <c r="F255" s="123" t="n"/>
      <c r="G255" s="119" t="n"/>
      <c r="H255" s="123" t="n"/>
      <c r="I255" s="123" t="n"/>
      <c r="J255" s="125" t="n"/>
      <c r="K255" s="120" t="n"/>
      <c r="N255" s="117" t="n"/>
      <c r="O255" s="117" t="n"/>
      <c r="P255" s="117" t="n"/>
      <c r="Q255" s="117" t="n"/>
      <c r="R255" s="118" t="n"/>
      <c r="S255" s="119" t="n"/>
      <c r="T255" s="120" t="n"/>
      <c r="U255" s="123" t="n"/>
      <c r="V255" s="123" t="n"/>
      <c r="Y255" s="117" t="n"/>
      <c r="Z255" s="117" t="n"/>
      <c r="AA255" s="118" t="n"/>
      <c r="AB255" s="119" t="n"/>
      <c r="AC255" s="120" t="n"/>
      <c r="AD255" s="120" t="n"/>
      <c r="AE255" s="120" t="n"/>
    </row>
    <row r="256" ht="15" customHeight="1" s="72">
      <c r="A256" s="117" t="n"/>
      <c r="B256" s="117" t="n"/>
      <c r="C256" s="118" t="n"/>
      <c r="D256" s="118" t="n"/>
      <c r="E256" s="118" t="n"/>
      <c r="F256" s="123" t="n"/>
      <c r="G256" s="119" t="n"/>
      <c r="H256" s="123" t="n"/>
      <c r="I256" s="123" t="n"/>
      <c r="J256" s="125" t="n"/>
      <c r="K256" s="120" t="n"/>
      <c r="N256" s="117" t="n"/>
      <c r="O256" s="117" t="n"/>
      <c r="P256" s="117" t="n"/>
      <c r="Q256" s="117" t="n"/>
      <c r="R256" s="118" t="n"/>
      <c r="S256" s="119" t="n"/>
      <c r="T256" s="120" t="n"/>
      <c r="U256" s="123" t="n"/>
      <c r="V256" s="123" t="n"/>
      <c r="Y256" s="117" t="n"/>
      <c r="Z256" s="117" t="n"/>
      <c r="AA256" s="118" t="n"/>
      <c r="AB256" s="119" t="n"/>
      <c r="AC256" s="120" t="n"/>
      <c r="AD256" s="120" t="n"/>
      <c r="AE256" s="120" t="n"/>
    </row>
    <row r="257" ht="15" customHeight="1" s="72">
      <c r="A257" s="117" t="n"/>
      <c r="B257" s="117" t="n"/>
      <c r="C257" s="118" t="n"/>
      <c r="D257" s="118" t="n"/>
      <c r="E257" s="118" t="n"/>
      <c r="F257" s="123" t="n"/>
      <c r="G257" s="119" t="n"/>
      <c r="H257" s="123" t="n"/>
      <c r="I257" s="123" t="n"/>
      <c r="J257" s="125" t="n"/>
      <c r="K257" s="120" t="n"/>
      <c r="N257" s="117" t="n"/>
      <c r="O257" s="117" t="n"/>
      <c r="P257" s="117" t="n"/>
      <c r="Q257" s="117" t="n"/>
      <c r="R257" s="118" t="n"/>
      <c r="S257" s="119" t="n"/>
      <c r="T257" s="120" t="n"/>
      <c r="U257" s="123" t="n"/>
      <c r="V257" s="123" t="n"/>
      <c r="Y257" s="117" t="n"/>
      <c r="Z257" s="117" t="n"/>
      <c r="AA257" s="118" t="n"/>
      <c r="AB257" s="119" t="n"/>
      <c r="AC257" s="120" t="n"/>
      <c r="AD257" s="120" t="n"/>
      <c r="AE257" s="120" t="n"/>
    </row>
    <row r="258" ht="15" customHeight="1" s="72">
      <c r="A258" s="117" t="n"/>
      <c r="B258" s="117" t="n"/>
      <c r="C258" s="118" t="n"/>
      <c r="D258" s="118" t="n"/>
      <c r="E258" s="118" t="n"/>
      <c r="F258" s="123" t="n"/>
      <c r="G258" s="119" t="n"/>
      <c r="H258" s="123" t="n"/>
      <c r="I258" s="123" t="n"/>
      <c r="J258" s="125" t="n"/>
      <c r="K258" s="120" t="n"/>
      <c r="N258" s="117" t="n"/>
      <c r="O258" s="117" t="n"/>
      <c r="P258" s="117" t="n"/>
      <c r="Q258" s="117" t="n"/>
      <c r="R258" s="118" t="n"/>
      <c r="S258" s="119" t="n"/>
      <c r="T258" s="120" t="n"/>
      <c r="U258" s="123" t="n"/>
      <c r="V258" s="123" t="n"/>
      <c r="Y258" s="117" t="n"/>
      <c r="Z258" s="117" t="n"/>
      <c r="AA258" s="118" t="n"/>
      <c r="AB258" s="119" t="n"/>
      <c r="AC258" s="120" t="n"/>
      <c r="AD258" s="120" t="n"/>
      <c r="AE258" s="120" t="n"/>
    </row>
    <row r="259" ht="15" customHeight="1" s="72">
      <c r="A259" s="117" t="n"/>
      <c r="B259" s="117" t="n"/>
      <c r="C259" s="118" t="n"/>
      <c r="D259" s="118" t="n"/>
      <c r="E259" s="118" t="n"/>
      <c r="F259" s="123" t="n"/>
      <c r="G259" s="119" t="n"/>
      <c r="H259" s="123" t="n"/>
      <c r="I259" s="123" t="n"/>
      <c r="J259" s="125" t="n"/>
      <c r="K259" s="120" t="n"/>
      <c r="N259" s="117" t="n"/>
      <c r="O259" s="117" t="n"/>
      <c r="P259" s="117" t="n"/>
      <c r="Q259" s="117" t="n"/>
      <c r="R259" s="118" t="n"/>
      <c r="S259" s="119" t="n"/>
      <c r="T259" s="120" t="n"/>
      <c r="U259" s="123" t="n"/>
      <c r="V259" s="123" t="n"/>
      <c r="Y259" s="117" t="n"/>
      <c r="Z259" s="117" t="n"/>
      <c r="AA259" s="118" t="n"/>
      <c r="AB259" s="119" t="n"/>
      <c r="AC259" s="120" t="n"/>
      <c r="AD259" s="120" t="n"/>
      <c r="AE259" s="120" t="n"/>
    </row>
    <row r="260" ht="15" customHeight="1" s="72">
      <c r="A260" s="117" t="n"/>
      <c r="B260" s="117" t="n"/>
      <c r="C260" s="118" t="n"/>
      <c r="D260" s="118" t="n"/>
      <c r="E260" s="118" t="n"/>
      <c r="F260" s="123" t="n"/>
      <c r="G260" s="119" t="n"/>
      <c r="H260" s="123" t="n"/>
      <c r="I260" s="123" t="n"/>
      <c r="J260" s="125" t="n"/>
      <c r="K260" s="120" t="n"/>
      <c r="N260" s="117" t="n"/>
      <c r="O260" s="117" t="n"/>
      <c r="P260" s="117" t="n"/>
      <c r="Q260" s="117" t="n"/>
      <c r="R260" s="118" t="n"/>
      <c r="S260" s="119" t="n"/>
      <c r="T260" s="120" t="n"/>
      <c r="U260" s="123" t="n"/>
      <c r="V260" s="123" t="n"/>
      <c r="Y260" s="117" t="n"/>
      <c r="Z260" s="117" t="n"/>
      <c r="AA260" s="118" t="n"/>
      <c r="AB260" s="119" t="n"/>
      <c r="AC260" s="120" t="n"/>
      <c r="AD260" s="120" t="n"/>
      <c r="AE260" s="120" t="n"/>
    </row>
    <row r="261" ht="15" customHeight="1" s="72">
      <c r="A261" s="117" t="n"/>
      <c r="B261" s="117" t="n"/>
      <c r="C261" s="118" t="n"/>
      <c r="D261" s="118" t="n"/>
      <c r="E261" s="118" t="n"/>
      <c r="F261" s="123" t="n"/>
      <c r="G261" s="119" t="n"/>
      <c r="H261" s="123" t="n"/>
      <c r="I261" s="123" t="n"/>
      <c r="J261" s="125" t="n"/>
      <c r="K261" s="120" t="n"/>
      <c r="N261" s="117" t="n"/>
      <c r="O261" s="117" t="n"/>
      <c r="P261" s="117" t="n"/>
      <c r="Q261" s="117" t="n"/>
      <c r="R261" s="118" t="n"/>
      <c r="S261" s="119" t="n"/>
      <c r="T261" s="120" t="n"/>
      <c r="U261" s="123" t="n"/>
      <c r="V261" s="123" t="n"/>
      <c r="Y261" s="117" t="n"/>
      <c r="Z261" s="117" t="n"/>
      <c r="AA261" s="118" t="n"/>
      <c r="AB261" s="119" t="n"/>
      <c r="AC261" s="120" t="n"/>
      <c r="AD261" s="120" t="n"/>
      <c r="AE261" s="120" t="n"/>
    </row>
    <row r="262" ht="15" customHeight="1" s="72">
      <c r="A262" s="117" t="n"/>
      <c r="B262" s="117" t="n"/>
      <c r="C262" s="118" t="n"/>
      <c r="D262" s="118" t="n"/>
      <c r="E262" s="118" t="n"/>
      <c r="F262" s="123" t="n"/>
      <c r="G262" s="119" t="n"/>
      <c r="H262" s="123" t="n"/>
      <c r="I262" s="123" t="n"/>
      <c r="J262" s="125" t="n"/>
      <c r="K262" s="120" t="n"/>
      <c r="N262" s="117" t="n"/>
      <c r="O262" s="117" t="n"/>
      <c r="P262" s="117" t="n"/>
      <c r="Q262" s="117" t="n"/>
      <c r="R262" s="118" t="n"/>
      <c r="S262" s="119" t="n"/>
      <c r="T262" s="120" t="n"/>
      <c r="U262" s="123" t="n"/>
      <c r="V262" s="123" t="n"/>
      <c r="Y262" s="117" t="n"/>
      <c r="Z262" s="117" t="n"/>
      <c r="AA262" s="118" t="n"/>
      <c r="AB262" s="119" t="n"/>
      <c r="AC262" s="120" t="n"/>
      <c r="AD262" s="120" t="n"/>
      <c r="AE262" s="120" t="n"/>
    </row>
    <row r="263" ht="15" customHeight="1" s="72">
      <c r="A263" s="117" t="n"/>
      <c r="B263" s="117" t="n"/>
      <c r="C263" s="118" t="n"/>
      <c r="D263" s="118" t="n"/>
      <c r="E263" s="118" t="n"/>
      <c r="F263" s="123" t="n"/>
      <c r="G263" s="119" t="n"/>
      <c r="H263" s="123" t="n"/>
      <c r="I263" s="123" t="n"/>
      <c r="J263" s="125" t="n"/>
      <c r="K263" s="120" t="n"/>
      <c r="N263" s="117" t="n"/>
      <c r="O263" s="117" t="n"/>
      <c r="P263" s="117" t="n"/>
      <c r="Q263" s="117" t="n"/>
      <c r="R263" s="118" t="n"/>
      <c r="S263" s="119" t="n"/>
      <c r="T263" s="120" t="n"/>
      <c r="U263" s="123" t="n"/>
      <c r="V263" s="123" t="n"/>
      <c r="Y263" s="117" t="n"/>
      <c r="Z263" s="117" t="n"/>
      <c r="AA263" s="118" t="n"/>
      <c r="AB263" s="119" t="n"/>
      <c r="AC263" s="120" t="n"/>
      <c r="AD263" s="120" t="n"/>
      <c r="AE263" s="120" t="n"/>
    </row>
    <row r="264" ht="15" customHeight="1" s="72">
      <c r="A264" s="117" t="n"/>
      <c r="B264" s="117" t="n"/>
      <c r="C264" s="118" t="n"/>
      <c r="D264" s="118" t="n"/>
      <c r="E264" s="118" t="n"/>
      <c r="F264" s="123" t="n"/>
      <c r="G264" s="119" t="n"/>
      <c r="H264" s="123" t="n"/>
      <c r="I264" s="123" t="n"/>
      <c r="J264" s="125" t="n"/>
      <c r="K264" s="120" t="n"/>
      <c r="N264" s="117" t="n"/>
      <c r="O264" s="117" t="n"/>
      <c r="P264" s="117" t="n"/>
      <c r="Q264" s="117" t="n"/>
      <c r="R264" s="118" t="n"/>
      <c r="S264" s="119" t="n"/>
      <c r="T264" s="120" t="n"/>
      <c r="U264" s="123" t="n"/>
      <c r="V264" s="123" t="n"/>
      <c r="Y264" s="117" t="n"/>
      <c r="Z264" s="117" t="n"/>
      <c r="AA264" s="118" t="n"/>
      <c r="AB264" s="119" t="n"/>
      <c r="AC264" s="120" t="n"/>
      <c r="AD264" s="120" t="n"/>
      <c r="AE264" s="120" t="n"/>
    </row>
    <row r="265" ht="15" customHeight="1" s="72">
      <c r="A265" s="117" t="n"/>
      <c r="B265" s="117" t="n"/>
      <c r="C265" s="118" t="n"/>
      <c r="D265" s="118" t="n"/>
      <c r="E265" s="118" t="n"/>
      <c r="F265" s="123" t="n"/>
      <c r="G265" s="119" t="n"/>
      <c r="H265" s="123" t="n"/>
      <c r="I265" s="123" t="n"/>
      <c r="J265" s="125" t="n"/>
      <c r="K265" s="120" t="n"/>
      <c r="N265" s="117" t="n"/>
      <c r="O265" s="117" t="n"/>
      <c r="P265" s="117" t="n"/>
      <c r="Q265" s="117" t="n"/>
      <c r="R265" s="118" t="n"/>
      <c r="S265" s="119" t="n"/>
      <c r="T265" s="120" t="n"/>
      <c r="U265" s="123" t="n"/>
      <c r="V265" s="123" t="n"/>
      <c r="Y265" s="117" t="n"/>
      <c r="Z265" s="117" t="n"/>
      <c r="AA265" s="118" t="n"/>
      <c r="AB265" s="119" t="n"/>
      <c r="AC265" s="120" t="n"/>
      <c r="AD265" s="120" t="n"/>
      <c r="AE265" s="120" t="n"/>
    </row>
    <row r="266" ht="15" customHeight="1" s="72">
      <c r="A266" s="117" t="n"/>
      <c r="B266" s="117" t="n"/>
      <c r="C266" s="118" t="n"/>
      <c r="D266" s="118" t="n"/>
      <c r="E266" s="118" t="n"/>
      <c r="F266" s="123" t="n"/>
      <c r="G266" s="119" t="n"/>
      <c r="H266" s="123" t="n"/>
      <c r="I266" s="123" t="n"/>
      <c r="J266" s="125" t="n"/>
      <c r="K266" s="120" t="n"/>
      <c r="N266" s="117" t="n"/>
      <c r="O266" s="117" t="n"/>
      <c r="P266" s="117" t="n"/>
      <c r="Q266" s="117" t="n"/>
      <c r="R266" s="118" t="n"/>
      <c r="S266" s="119" t="n"/>
      <c r="T266" s="120" t="n"/>
      <c r="U266" s="123" t="n"/>
      <c r="V266" s="123" t="n"/>
      <c r="Y266" s="117" t="n"/>
      <c r="Z266" s="117" t="n"/>
      <c r="AA266" s="118" t="n"/>
      <c r="AB266" s="119" t="n"/>
      <c r="AC266" s="120" t="n"/>
      <c r="AD266" s="120" t="n"/>
      <c r="AE266" s="120" t="n"/>
    </row>
    <row r="267" ht="15" customHeight="1" s="72">
      <c r="A267" s="117" t="n"/>
      <c r="B267" s="117" t="n"/>
      <c r="C267" s="118" t="n"/>
      <c r="D267" s="118" t="n"/>
      <c r="E267" s="118" t="n"/>
      <c r="F267" s="123" t="n"/>
      <c r="G267" s="119" t="n"/>
      <c r="H267" s="123" t="n"/>
      <c r="I267" s="123" t="n"/>
      <c r="J267" s="125" t="n"/>
      <c r="K267" s="120" t="n"/>
      <c r="N267" s="117" t="n"/>
      <c r="O267" s="117" t="n"/>
      <c r="P267" s="117" t="n"/>
      <c r="Q267" s="117" t="n"/>
      <c r="R267" s="118" t="n"/>
      <c r="S267" s="119" t="n"/>
      <c r="T267" s="120" t="n"/>
      <c r="U267" s="123" t="n"/>
      <c r="V267" s="123" t="n"/>
      <c r="Y267" s="117" t="n"/>
      <c r="Z267" s="117" t="n"/>
      <c r="AA267" s="118" t="n"/>
      <c r="AB267" s="119" t="n"/>
      <c r="AC267" s="120" t="n"/>
      <c r="AD267" s="120" t="n"/>
      <c r="AE267" s="120" t="n"/>
    </row>
    <row r="268" ht="15" customHeight="1" s="72">
      <c r="A268" s="117" t="n"/>
      <c r="B268" s="117" t="n"/>
      <c r="C268" s="118" t="n"/>
      <c r="D268" s="118" t="n"/>
      <c r="E268" s="118" t="n"/>
      <c r="F268" s="123" t="n"/>
      <c r="G268" s="119" t="n"/>
      <c r="H268" s="123" t="n"/>
      <c r="I268" s="123" t="n"/>
      <c r="J268" s="125" t="n"/>
      <c r="K268" s="120" t="n"/>
      <c r="N268" s="117" t="n"/>
      <c r="O268" s="117" t="n"/>
      <c r="P268" s="117" t="n"/>
      <c r="Q268" s="117" t="n"/>
      <c r="R268" s="118" t="n"/>
      <c r="S268" s="119" t="n"/>
      <c r="T268" s="120" t="n"/>
      <c r="U268" s="123" t="n"/>
      <c r="V268" s="123" t="n"/>
      <c r="Y268" s="117" t="n"/>
      <c r="Z268" s="117" t="n"/>
      <c r="AA268" s="118" t="n"/>
      <c r="AB268" s="119" t="n"/>
      <c r="AC268" s="120" t="n"/>
      <c r="AD268" s="120" t="n"/>
      <c r="AE268" s="120" t="n"/>
    </row>
    <row r="269" ht="15" customHeight="1" s="72">
      <c r="A269" s="117" t="n"/>
      <c r="B269" s="117" t="n"/>
      <c r="C269" s="118" t="n"/>
      <c r="D269" s="118" t="n"/>
      <c r="E269" s="118" t="n"/>
      <c r="F269" s="123" t="n"/>
      <c r="G269" s="119" t="n"/>
      <c r="H269" s="123" t="n"/>
      <c r="I269" s="123" t="n"/>
      <c r="J269" s="125" t="n"/>
      <c r="K269" s="120" t="n"/>
      <c r="N269" s="117" t="n"/>
      <c r="O269" s="117" t="n"/>
      <c r="P269" s="117" t="n"/>
      <c r="Q269" s="117" t="n"/>
      <c r="R269" s="118" t="n"/>
      <c r="S269" s="119" t="n"/>
      <c r="T269" s="120" t="n"/>
      <c r="U269" s="123" t="n"/>
      <c r="V269" s="123" t="n"/>
      <c r="Y269" s="117" t="n"/>
      <c r="Z269" s="117" t="n"/>
      <c r="AA269" s="118" t="n"/>
      <c r="AB269" s="119" t="n"/>
      <c r="AC269" s="120" t="n"/>
      <c r="AD269" s="120" t="n"/>
      <c r="AE269" s="120" t="n"/>
    </row>
    <row r="270" ht="15" customHeight="1" s="72">
      <c r="A270" s="117" t="n"/>
      <c r="B270" s="117" t="n"/>
      <c r="C270" s="118" t="n"/>
      <c r="D270" s="118" t="n"/>
      <c r="E270" s="118" t="n"/>
      <c r="F270" s="123" t="n"/>
      <c r="G270" s="119" t="n"/>
      <c r="H270" s="123" t="n"/>
      <c r="I270" s="123" t="n"/>
      <c r="J270" s="125" t="n"/>
      <c r="K270" s="120" t="n"/>
      <c r="N270" s="117" t="n"/>
      <c r="O270" s="117" t="n"/>
      <c r="P270" s="117" t="n"/>
      <c r="Q270" s="117" t="n"/>
      <c r="R270" s="118" t="n"/>
      <c r="S270" s="119" t="n"/>
      <c r="T270" s="120" t="n"/>
      <c r="U270" s="123" t="n"/>
      <c r="V270" s="123" t="n"/>
      <c r="Y270" s="117" t="n"/>
      <c r="Z270" s="117" t="n"/>
      <c r="AA270" s="118" t="n"/>
      <c r="AB270" s="119" t="n"/>
      <c r="AC270" s="120" t="n"/>
      <c r="AD270" s="120" t="n"/>
      <c r="AE270" s="120" t="n"/>
    </row>
    <row r="271" ht="15" customHeight="1" s="72">
      <c r="A271" s="117" t="n"/>
      <c r="B271" s="117" t="n"/>
      <c r="C271" s="118" t="n"/>
      <c r="D271" s="118" t="n"/>
      <c r="E271" s="118" t="n"/>
      <c r="F271" s="123" t="n"/>
      <c r="G271" s="119" t="n"/>
      <c r="H271" s="123" t="n"/>
      <c r="I271" s="123" t="n"/>
      <c r="J271" s="125" t="n"/>
      <c r="K271" s="120" t="n"/>
      <c r="N271" s="117" t="n"/>
      <c r="O271" s="117" t="n"/>
      <c r="P271" s="117" t="n"/>
      <c r="Q271" s="117" t="n"/>
      <c r="R271" s="118" t="n"/>
      <c r="S271" s="119" t="n"/>
      <c r="T271" s="120" t="n"/>
      <c r="U271" s="123" t="n"/>
      <c r="V271" s="123" t="n"/>
      <c r="Y271" s="117" t="n"/>
      <c r="Z271" s="117" t="n"/>
      <c r="AA271" s="118" t="n"/>
      <c r="AB271" s="119" t="n"/>
      <c r="AC271" s="120" t="n"/>
      <c r="AD271" s="120" t="n"/>
      <c r="AE271" s="120" t="n"/>
    </row>
    <row r="272" ht="15" customHeight="1" s="72">
      <c r="A272" s="117" t="n"/>
      <c r="B272" s="117" t="n"/>
      <c r="C272" s="118" t="n"/>
      <c r="D272" s="118" t="n"/>
      <c r="E272" s="118" t="n"/>
      <c r="F272" s="123" t="n"/>
      <c r="G272" s="119" t="n"/>
      <c r="H272" s="123" t="n"/>
      <c r="I272" s="123" t="n"/>
      <c r="J272" s="125" t="n"/>
      <c r="K272" s="120" t="n"/>
      <c r="N272" s="117" t="n"/>
      <c r="O272" s="117" t="n"/>
      <c r="P272" s="117" t="n"/>
      <c r="Q272" s="117" t="n"/>
      <c r="R272" s="118" t="n"/>
      <c r="S272" s="119" t="n"/>
      <c r="T272" s="120" t="n"/>
      <c r="U272" s="123" t="n"/>
      <c r="V272" s="123" t="n"/>
      <c r="Y272" s="117" t="n"/>
      <c r="Z272" s="117" t="n"/>
      <c r="AA272" s="118" t="n"/>
      <c r="AB272" s="119" t="n"/>
      <c r="AC272" s="120" t="n"/>
      <c r="AD272" s="120" t="n"/>
      <c r="AE272" s="120" t="n"/>
    </row>
    <row r="273" ht="15" customHeight="1" s="72">
      <c r="A273" s="117" t="n"/>
      <c r="B273" s="117" t="n"/>
      <c r="C273" s="118" t="n"/>
      <c r="D273" s="118" t="n"/>
      <c r="E273" s="118" t="n"/>
      <c r="F273" s="123" t="n"/>
      <c r="G273" s="119" t="n"/>
      <c r="H273" s="123" t="n"/>
      <c r="I273" s="123" t="n"/>
      <c r="J273" s="125" t="n"/>
      <c r="K273" s="120" t="n"/>
      <c r="N273" s="117" t="n"/>
      <c r="O273" s="117" t="n"/>
      <c r="P273" s="117" t="n"/>
      <c r="Q273" s="117" t="n"/>
      <c r="R273" s="118" t="n"/>
      <c r="S273" s="119" t="n"/>
      <c r="T273" s="120" t="n"/>
      <c r="U273" s="123" t="n"/>
      <c r="V273" s="123" t="n"/>
      <c r="Y273" s="117" t="n"/>
      <c r="Z273" s="117" t="n"/>
      <c r="AA273" s="118" t="n"/>
      <c r="AB273" s="119" t="n"/>
      <c r="AC273" s="120" t="n"/>
      <c r="AD273" s="120" t="n"/>
      <c r="AE273" s="120" t="n"/>
    </row>
    <row r="274" ht="15" customHeight="1" s="72">
      <c r="A274" s="117" t="n"/>
      <c r="B274" s="117" t="n"/>
      <c r="C274" s="118" t="n"/>
      <c r="D274" s="118" t="n"/>
      <c r="E274" s="118" t="n"/>
      <c r="F274" s="123" t="n"/>
      <c r="G274" s="119" t="n"/>
      <c r="H274" s="123" t="n"/>
      <c r="I274" s="123" t="n"/>
      <c r="J274" s="125" t="n"/>
      <c r="K274" s="120" t="n"/>
      <c r="N274" s="117" t="n"/>
      <c r="O274" s="117" t="n"/>
      <c r="P274" s="117" t="n"/>
      <c r="Q274" s="117" t="n"/>
      <c r="R274" s="118" t="n"/>
      <c r="S274" s="119" t="n"/>
      <c r="T274" s="120" t="n"/>
      <c r="U274" s="123" t="n"/>
      <c r="V274" s="123" t="n"/>
      <c r="Y274" s="117" t="n"/>
      <c r="Z274" s="117" t="n"/>
      <c r="AA274" s="118" t="n"/>
      <c r="AB274" s="119" t="n"/>
      <c r="AC274" s="120" t="n"/>
      <c r="AD274" s="120" t="n"/>
      <c r="AE274" s="120" t="n"/>
    </row>
    <row r="275" ht="15" customHeight="1" s="72">
      <c r="A275" s="117" t="n"/>
      <c r="B275" s="117" t="n"/>
      <c r="C275" s="118" t="n"/>
      <c r="D275" s="118" t="n"/>
      <c r="E275" s="118" t="n"/>
      <c r="F275" s="123" t="n"/>
      <c r="G275" s="119" t="n"/>
      <c r="H275" s="123" t="n"/>
      <c r="I275" s="123" t="n"/>
      <c r="J275" s="125" t="n"/>
      <c r="K275" s="120" t="n"/>
      <c r="N275" s="117" t="n"/>
      <c r="O275" s="117" t="n"/>
      <c r="P275" s="117" t="n"/>
      <c r="Q275" s="117" t="n"/>
      <c r="R275" s="118" t="n"/>
      <c r="S275" s="119" t="n"/>
      <c r="T275" s="120" t="n"/>
      <c r="U275" s="123" t="n"/>
      <c r="V275" s="123" t="n"/>
      <c r="Y275" s="117" t="n"/>
      <c r="Z275" s="117" t="n"/>
      <c r="AA275" s="118" t="n"/>
      <c r="AB275" s="119" t="n"/>
      <c r="AC275" s="120" t="n"/>
      <c r="AD275" s="120" t="n"/>
      <c r="AE275" s="120" t="n"/>
    </row>
    <row r="276" ht="15" customHeight="1" s="72">
      <c r="A276" s="117" t="n"/>
      <c r="B276" s="117" t="n"/>
      <c r="C276" s="118" t="n"/>
      <c r="D276" s="118" t="n"/>
      <c r="E276" s="118" t="n"/>
      <c r="F276" s="123" t="n"/>
      <c r="G276" s="119" t="n"/>
      <c r="H276" s="123" t="n"/>
      <c r="I276" s="123" t="n"/>
      <c r="J276" s="125" t="n"/>
      <c r="K276" s="120" t="n"/>
      <c r="N276" s="117" t="n"/>
      <c r="O276" s="117" t="n"/>
      <c r="P276" s="117" t="n"/>
      <c r="Q276" s="117" t="n"/>
      <c r="R276" s="118" t="n"/>
      <c r="S276" s="119" t="n"/>
      <c r="T276" s="120" t="n"/>
      <c r="U276" s="123" t="n"/>
      <c r="V276" s="123" t="n"/>
      <c r="Y276" s="117" t="n"/>
      <c r="Z276" s="117" t="n"/>
      <c r="AA276" s="118" t="n"/>
      <c r="AB276" s="119" t="n"/>
      <c r="AC276" s="120" t="n"/>
      <c r="AD276" s="120" t="n"/>
      <c r="AE276" s="120" t="n"/>
    </row>
    <row r="277" ht="15" customHeight="1" s="72">
      <c r="A277" s="117" t="n"/>
      <c r="B277" s="117" t="n"/>
      <c r="C277" s="118" t="n"/>
      <c r="D277" s="118" t="n"/>
      <c r="E277" s="118" t="n"/>
      <c r="F277" s="123" t="n"/>
      <c r="G277" s="119" t="n"/>
      <c r="H277" s="123" t="n"/>
      <c r="I277" s="123" t="n"/>
      <c r="J277" s="125" t="n"/>
      <c r="K277" s="120" t="n"/>
      <c r="N277" s="117" t="n"/>
      <c r="O277" s="117" t="n"/>
      <c r="P277" s="117" t="n"/>
      <c r="Q277" s="117" t="n"/>
      <c r="R277" s="118" t="n"/>
      <c r="S277" s="119" t="n"/>
      <c r="T277" s="120" t="n"/>
      <c r="U277" s="123" t="n"/>
      <c r="V277" s="123" t="n"/>
      <c r="Y277" s="117" t="n"/>
      <c r="Z277" s="117" t="n"/>
      <c r="AA277" s="118" t="n"/>
      <c r="AB277" s="119" t="n"/>
      <c r="AC277" s="120" t="n"/>
      <c r="AD277" s="120" t="n"/>
      <c r="AE277" s="120" t="n"/>
    </row>
    <row r="278" ht="15" customHeight="1" s="72">
      <c r="A278" s="117" t="n"/>
      <c r="B278" s="117" t="n"/>
      <c r="C278" s="118" t="n"/>
      <c r="D278" s="118" t="n"/>
      <c r="E278" s="118" t="n"/>
      <c r="F278" s="123" t="n"/>
      <c r="G278" s="119" t="n"/>
      <c r="H278" s="123" t="n"/>
      <c r="I278" s="123" t="n"/>
      <c r="J278" s="125" t="n"/>
      <c r="K278" s="120" t="n"/>
      <c r="N278" s="117" t="n"/>
      <c r="O278" s="117" t="n"/>
      <c r="P278" s="117" t="n"/>
      <c r="Q278" s="117" t="n"/>
      <c r="R278" s="118" t="n"/>
      <c r="S278" s="119" t="n"/>
      <c r="T278" s="120" t="n"/>
      <c r="U278" s="123" t="n"/>
      <c r="V278" s="123" t="n"/>
      <c r="Y278" s="117" t="n"/>
      <c r="Z278" s="117" t="n"/>
      <c r="AA278" s="118" t="n"/>
      <c r="AB278" s="119" t="n"/>
      <c r="AC278" s="120" t="n"/>
      <c r="AD278" s="120" t="n"/>
      <c r="AE278" s="120" t="n"/>
    </row>
    <row r="279" ht="15" customHeight="1" s="72">
      <c r="A279" s="117" t="n"/>
      <c r="B279" s="117" t="n"/>
      <c r="C279" s="118" t="n"/>
      <c r="D279" s="118" t="n"/>
      <c r="E279" s="118" t="n"/>
      <c r="F279" s="123" t="n"/>
      <c r="G279" s="119" t="n"/>
      <c r="H279" s="123" t="n"/>
      <c r="I279" s="123" t="n"/>
      <c r="J279" s="125" t="n"/>
      <c r="K279" s="120" t="n"/>
      <c r="N279" s="117" t="n"/>
      <c r="O279" s="117" t="n"/>
      <c r="P279" s="117" t="n"/>
      <c r="Q279" s="117" t="n"/>
      <c r="R279" s="118" t="n"/>
      <c r="S279" s="119" t="n"/>
      <c r="T279" s="120" t="n"/>
      <c r="U279" s="123" t="n"/>
      <c r="V279" s="123" t="n"/>
      <c r="Y279" s="117" t="n"/>
      <c r="Z279" s="117" t="n"/>
      <c r="AA279" s="118" t="n"/>
      <c r="AB279" s="119" t="n"/>
      <c r="AC279" s="120" t="n"/>
      <c r="AD279" s="120" t="n"/>
      <c r="AE279" s="120" t="n"/>
    </row>
    <row r="280" ht="15" customHeight="1" s="72">
      <c r="A280" s="117" t="n"/>
      <c r="B280" s="117" t="n"/>
      <c r="C280" s="118" t="n"/>
      <c r="D280" s="118" t="n"/>
      <c r="E280" s="118" t="n"/>
      <c r="F280" s="123" t="n"/>
      <c r="G280" s="119" t="n"/>
      <c r="H280" s="123" t="n"/>
      <c r="I280" s="123" t="n"/>
      <c r="J280" s="125" t="n"/>
      <c r="K280" s="120" t="n"/>
      <c r="N280" s="117" t="n"/>
      <c r="O280" s="117" t="n"/>
      <c r="P280" s="117" t="n"/>
      <c r="Q280" s="117" t="n"/>
      <c r="R280" s="118" t="n"/>
      <c r="S280" s="119" t="n"/>
      <c r="T280" s="120" t="n"/>
      <c r="U280" s="123" t="n"/>
      <c r="V280" s="123" t="n"/>
      <c r="Y280" s="117" t="n"/>
      <c r="Z280" s="117" t="n"/>
      <c r="AA280" s="118" t="n"/>
      <c r="AB280" s="119" t="n"/>
      <c r="AC280" s="120" t="n"/>
      <c r="AD280" s="120" t="n"/>
      <c r="AE280" s="120" t="n"/>
    </row>
    <row r="281" ht="15" customHeight="1" s="72">
      <c r="A281" s="117" t="n"/>
      <c r="B281" s="117" t="n"/>
      <c r="C281" s="118" t="n"/>
      <c r="D281" s="118" t="n"/>
      <c r="E281" s="118" t="n"/>
      <c r="F281" s="123" t="n"/>
      <c r="G281" s="119" t="n"/>
      <c r="H281" s="123" t="n"/>
      <c r="I281" s="123" t="n"/>
      <c r="J281" s="125" t="n"/>
      <c r="K281" s="120" t="n"/>
      <c r="N281" s="117" t="n"/>
      <c r="O281" s="117" t="n"/>
      <c r="P281" s="117" t="n"/>
      <c r="Q281" s="117" t="n"/>
      <c r="R281" s="118" t="n"/>
      <c r="S281" s="119" t="n"/>
      <c r="T281" s="120" t="n"/>
      <c r="U281" s="123" t="n"/>
      <c r="V281" s="123" t="n"/>
      <c r="Y281" s="117" t="n"/>
      <c r="Z281" s="117" t="n"/>
      <c r="AA281" s="118" t="n"/>
      <c r="AB281" s="119" t="n"/>
      <c r="AC281" s="120" t="n"/>
      <c r="AD281" s="120" t="n"/>
      <c r="AE281" s="120" t="n"/>
    </row>
    <row r="282" ht="15" customHeight="1" s="72">
      <c r="A282" s="117" t="n"/>
      <c r="B282" s="117" t="n"/>
      <c r="C282" s="118" t="n"/>
      <c r="D282" s="118" t="n"/>
      <c r="E282" s="118" t="n"/>
      <c r="F282" s="123" t="n"/>
      <c r="G282" s="119" t="n"/>
      <c r="H282" s="123" t="n"/>
      <c r="I282" s="123" t="n"/>
      <c r="J282" s="125" t="n"/>
      <c r="K282" s="120" t="n"/>
      <c r="N282" s="117" t="n"/>
      <c r="O282" s="117" t="n"/>
      <c r="P282" s="117" t="n"/>
      <c r="Q282" s="117" t="n"/>
      <c r="R282" s="118" t="n"/>
      <c r="S282" s="119" t="n"/>
      <c r="T282" s="120" t="n"/>
      <c r="U282" s="123" t="n"/>
      <c r="V282" s="123" t="n"/>
      <c r="Y282" s="117" t="n"/>
      <c r="Z282" s="117" t="n"/>
      <c r="AA282" s="118" t="n"/>
      <c r="AB282" s="119" t="n"/>
      <c r="AC282" s="120" t="n"/>
      <c r="AD282" s="120" t="n"/>
      <c r="AE282" s="120" t="n"/>
    </row>
    <row r="283" ht="15" customHeight="1" s="72">
      <c r="A283" s="117" t="n"/>
      <c r="B283" s="117" t="n"/>
      <c r="C283" s="118" t="n"/>
      <c r="D283" s="118" t="n"/>
      <c r="E283" s="118" t="n"/>
      <c r="F283" s="123" t="n"/>
      <c r="G283" s="119" t="n"/>
      <c r="H283" s="123" t="n"/>
      <c r="I283" s="123" t="n"/>
      <c r="J283" s="125" t="n"/>
      <c r="K283" s="120" t="n"/>
      <c r="N283" s="117" t="n"/>
      <c r="O283" s="117" t="n"/>
      <c r="P283" s="117" t="n"/>
      <c r="Q283" s="117" t="n"/>
      <c r="R283" s="118" t="n"/>
      <c r="S283" s="119" t="n"/>
      <c r="T283" s="120" t="n"/>
      <c r="U283" s="123" t="n"/>
      <c r="V283" s="123" t="n"/>
      <c r="Y283" s="117" t="n"/>
      <c r="Z283" s="117" t="n"/>
      <c r="AA283" s="118" t="n"/>
      <c r="AB283" s="119" t="n"/>
      <c r="AC283" s="120" t="n"/>
      <c r="AD283" s="120" t="n"/>
      <c r="AE283" s="120" t="n"/>
    </row>
    <row r="284" ht="15" customHeight="1" s="72">
      <c r="A284" s="117" t="n"/>
      <c r="B284" s="117" t="n"/>
      <c r="C284" s="118" t="n"/>
      <c r="D284" s="118" t="n"/>
      <c r="E284" s="118" t="n"/>
      <c r="F284" s="123" t="n"/>
      <c r="G284" s="119" t="n"/>
      <c r="H284" s="123" t="n"/>
      <c r="I284" s="123" t="n"/>
      <c r="J284" s="125" t="n"/>
      <c r="K284" s="120" t="n"/>
      <c r="N284" s="117" t="n"/>
      <c r="O284" s="117" t="n"/>
      <c r="P284" s="117" t="n"/>
      <c r="Q284" s="117" t="n"/>
      <c r="R284" s="118" t="n"/>
      <c r="S284" s="119" t="n"/>
      <c r="T284" s="120" t="n"/>
      <c r="U284" s="123" t="n"/>
      <c r="V284" s="123" t="n"/>
      <c r="Y284" s="117" t="n"/>
      <c r="Z284" s="117" t="n"/>
      <c r="AA284" s="118" t="n"/>
      <c r="AB284" s="119" t="n"/>
      <c r="AC284" s="120" t="n"/>
      <c r="AD284" s="120" t="n"/>
      <c r="AE284" s="120" t="n"/>
    </row>
    <row r="285" ht="15" customHeight="1" s="72">
      <c r="A285" s="117" t="n"/>
      <c r="B285" s="117" t="n"/>
      <c r="C285" s="118" t="n"/>
      <c r="D285" s="118" t="n"/>
      <c r="E285" s="118" t="n"/>
      <c r="F285" s="123" t="n"/>
      <c r="G285" s="119" t="n"/>
      <c r="H285" s="123" t="n"/>
      <c r="I285" s="123" t="n"/>
      <c r="J285" s="125" t="n"/>
      <c r="K285" s="120" t="n"/>
      <c r="N285" s="117" t="n"/>
      <c r="O285" s="117" t="n"/>
      <c r="P285" s="117" t="n"/>
      <c r="Q285" s="117" t="n"/>
      <c r="R285" s="118" t="n"/>
      <c r="S285" s="119" t="n"/>
      <c r="T285" s="120" t="n"/>
      <c r="U285" s="123" t="n"/>
      <c r="V285" s="123" t="n"/>
      <c r="Y285" s="117" t="n"/>
      <c r="Z285" s="117" t="n"/>
      <c r="AA285" s="118" t="n"/>
      <c r="AB285" s="119" t="n"/>
      <c r="AC285" s="120" t="n"/>
      <c r="AD285" s="120" t="n"/>
      <c r="AE285" s="120" t="n"/>
    </row>
    <row r="286" ht="15" customHeight="1" s="72">
      <c r="A286" s="117" t="n"/>
      <c r="B286" s="117" t="n"/>
      <c r="C286" s="118" t="n"/>
      <c r="D286" s="118" t="n"/>
      <c r="E286" s="118" t="n"/>
      <c r="F286" s="123" t="n"/>
      <c r="G286" s="119" t="n"/>
      <c r="H286" s="123" t="n"/>
      <c r="I286" s="123" t="n"/>
      <c r="J286" s="125" t="n"/>
      <c r="K286" s="120" t="n"/>
      <c r="N286" s="117" t="n"/>
      <c r="O286" s="117" t="n"/>
      <c r="P286" s="117" t="n"/>
      <c r="Q286" s="117" t="n"/>
      <c r="R286" s="118" t="n"/>
      <c r="S286" s="119" t="n"/>
      <c r="T286" s="120" t="n"/>
      <c r="U286" s="123" t="n"/>
      <c r="V286" s="123" t="n"/>
      <c r="Y286" s="117" t="n"/>
      <c r="Z286" s="117" t="n"/>
      <c r="AA286" s="118" t="n"/>
      <c r="AB286" s="119" t="n"/>
      <c r="AC286" s="120" t="n"/>
      <c r="AD286" s="120" t="n"/>
      <c r="AE286" s="120" t="n"/>
    </row>
    <row r="287" ht="15" customHeight="1" s="72">
      <c r="A287" s="117" t="n"/>
      <c r="B287" s="117" t="n"/>
      <c r="C287" s="118" t="n"/>
      <c r="D287" s="118" t="n"/>
      <c r="E287" s="118" t="n"/>
      <c r="F287" s="123" t="n"/>
      <c r="G287" s="119" t="n"/>
      <c r="H287" s="123" t="n"/>
      <c r="I287" s="123" t="n"/>
      <c r="J287" s="125" t="n"/>
      <c r="K287" s="120" t="n"/>
      <c r="N287" s="117" t="n"/>
      <c r="O287" s="117" t="n"/>
      <c r="P287" s="117" t="n"/>
      <c r="Q287" s="117" t="n"/>
      <c r="R287" s="118" t="n"/>
      <c r="S287" s="119" t="n"/>
      <c r="T287" s="120" t="n"/>
      <c r="U287" s="123" t="n"/>
      <c r="V287" s="123" t="n"/>
      <c r="Y287" s="117" t="n"/>
      <c r="Z287" s="117" t="n"/>
      <c r="AA287" s="118" t="n"/>
      <c r="AB287" s="119" t="n"/>
      <c r="AC287" s="120" t="n"/>
      <c r="AD287" s="120" t="n"/>
      <c r="AE287" s="120" t="n"/>
    </row>
    <row r="288" ht="15" customHeight="1" s="72">
      <c r="A288" s="117" t="n"/>
      <c r="B288" s="117" t="n"/>
      <c r="C288" s="118" t="n"/>
      <c r="D288" s="118" t="n"/>
      <c r="E288" s="118" t="n"/>
      <c r="F288" s="123" t="n"/>
      <c r="G288" s="119" t="n"/>
      <c r="H288" s="123" t="n"/>
      <c r="I288" s="123" t="n"/>
      <c r="J288" s="125" t="n"/>
      <c r="K288" s="120" t="n"/>
      <c r="N288" s="117" t="n"/>
      <c r="O288" s="117" t="n"/>
      <c r="P288" s="117" t="n"/>
      <c r="Q288" s="117" t="n"/>
      <c r="R288" s="118" t="n"/>
      <c r="S288" s="119" t="n"/>
      <c r="T288" s="120" t="n"/>
      <c r="U288" s="123" t="n"/>
      <c r="V288" s="123" t="n"/>
      <c r="Y288" s="117" t="n"/>
      <c r="Z288" s="117" t="n"/>
      <c r="AA288" s="118" t="n"/>
      <c r="AB288" s="119" t="n"/>
      <c r="AC288" s="120" t="n"/>
      <c r="AD288" s="120" t="n"/>
      <c r="AE288" s="120" t="n"/>
    </row>
    <row r="289" ht="15" customHeight="1" s="72">
      <c r="A289" s="117" t="n"/>
      <c r="B289" s="117" t="n"/>
      <c r="C289" s="118" t="n"/>
      <c r="D289" s="118" t="n"/>
      <c r="E289" s="118" t="n"/>
      <c r="F289" s="123" t="n"/>
      <c r="G289" s="119" t="n"/>
      <c r="H289" s="123" t="n"/>
      <c r="I289" s="123" t="n"/>
      <c r="J289" s="125" t="n"/>
      <c r="K289" s="120" t="n"/>
      <c r="N289" s="117" t="n"/>
      <c r="O289" s="117" t="n"/>
      <c r="P289" s="117" t="n"/>
      <c r="Q289" s="117" t="n"/>
      <c r="R289" s="118" t="n"/>
      <c r="S289" s="119" t="n"/>
      <c r="T289" s="120" t="n"/>
      <c r="U289" s="123" t="n"/>
      <c r="V289" s="123" t="n"/>
      <c r="Y289" s="117" t="n"/>
      <c r="Z289" s="117" t="n"/>
      <c r="AA289" s="118" t="n"/>
      <c r="AB289" s="119" t="n"/>
      <c r="AC289" s="120" t="n"/>
      <c r="AD289" s="120" t="n"/>
      <c r="AE289" s="120" t="n"/>
    </row>
    <row r="290" ht="15" customHeight="1" s="72">
      <c r="A290" s="117" t="n"/>
      <c r="B290" s="117" t="n"/>
      <c r="C290" s="118" t="n"/>
      <c r="D290" s="118" t="n"/>
      <c r="E290" s="118" t="n"/>
      <c r="F290" s="123" t="n"/>
      <c r="G290" s="119" t="n"/>
      <c r="H290" s="123" t="n"/>
      <c r="I290" s="123" t="n"/>
      <c r="J290" s="125" t="n"/>
      <c r="K290" s="120" t="n"/>
      <c r="N290" s="117" t="n"/>
      <c r="O290" s="117" t="n"/>
      <c r="P290" s="117" t="n"/>
      <c r="Q290" s="117" t="n"/>
      <c r="R290" s="118" t="n"/>
      <c r="S290" s="119" t="n"/>
      <c r="T290" s="120" t="n"/>
      <c r="U290" s="123" t="n"/>
      <c r="V290" s="123" t="n"/>
      <c r="Y290" s="117" t="n"/>
      <c r="Z290" s="117" t="n"/>
      <c r="AA290" s="118" t="n"/>
      <c r="AB290" s="119" t="n"/>
      <c r="AC290" s="120" t="n"/>
      <c r="AD290" s="120" t="n"/>
      <c r="AE290" s="120" t="n"/>
    </row>
    <row r="291" ht="15" customHeight="1" s="72">
      <c r="A291" s="117" t="n"/>
      <c r="B291" s="117" t="n"/>
      <c r="C291" s="118" t="n"/>
      <c r="D291" s="118" t="n"/>
      <c r="E291" s="118" t="n"/>
      <c r="F291" s="123" t="n"/>
      <c r="G291" s="119" t="n"/>
      <c r="H291" s="123" t="n"/>
      <c r="I291" s="123" t="n"/>
      <c r="J291" s="125" t="n"/>
      <c r="K291" s="120" t="n"/>
      <c r="N291" s="117" t="n"/>
      <c r="O291" s="117" t="n"/>
      <c r="P291" s="117" t="n"/>
      <c r="Q291" s="117" t="n"/>
      <c r="R291" s="118" t="n"/>
      <c r="S291" s="119" t="n"/>
      <c r="T291" s="120" t="n"/>
      <c r="U291" s="123" t="n"/>
      <c r="V291" s="123" t="n"/>
      <c r="Y291" s="117" t="n"/>
      <c r="Z291" s="117" t="n"/>
      <c r="AA291" s="118" t="n"/>
      <c r="AB291" s="119" t="n"/>
      <c r="AC291" s="120" t="n"/>
      <c r="AD291" s="120" t="n"/>
      <c r="AE291" s="120" t="n"/>
    </row>
    <row r="292" ht="15" customHeight="1" s="72">
      <c r="A292" s="117" t="n"/>
      <c r="B292" s="117" t="n"/>
      <c r="C292" s="118" t="n"/>
      <c r="D292" s="118" t="n"/>
      <c r="E292" s="118" t="n"/>
      <c r="F292" s="123" t="n"/>
      <c r="G292" s="119" t="n"/>
      <c r="H292" s="123" t="n"/>
      <c r="I292" s="123" t="n"/>
      <c r="J292" s="125" t="n"/>
      <c r="K292" s="120" t="n"/>
      <c r="N292" s="117" t="n"/>
      <c r="O292" s="117" t="n"/>
      <c r="P292" s="117" t="n"/>
      <c r="Q292" s="117" t="n"/>
      <c r="R292" s="118" t="n"/>
      <c r="S292" s="119" t="n"/>
      <c r="T292" s="120" t="n"/>
      <c r="U292" s="123" t="n"/>
      <c r="V292" s="123" t="n"/>
      <c r="Y292" s="117" t="n"/>
      <c r="Z292" s="117" t="n"/>
      <c r="AA292" s="118" t="n"/>
      <c r="AB292" s="119" t="n"/>
      <c r="AC292" s="120" t="n"/>
      <c r="AD292" s="120" t="n"/>
      <c r="AE292" s="120" t="n"/>
    </row>
    <row r="293" ht="15" customHeight="1" s="72">
      <c r="A293" s="117" t="n"/>
      <c r="B293" s="117" t="n"/>
      <c r="C293" s="118" t="n"/>
      <c r="D293" s="118" t="n"/>
      <c r="E293" s="118" t="n"/>
      <c r="F293" s="123" t="n"/>
      <c r="G293" s="119" t="n"/>
      <c r="H293" s="123" t="n"/>
      <c r="I293" s="123" t="n"/>
      <c r="J293" s="125" t="n"/>
      <c r="K293" s="120" t="n"/>
      <c r="N293" s="117" t="n"/>
      <c r="O293" s="117" t="n"/>
      <c r="P293" s="117" t="n"/>
      <c r="Q293" s="117" t="n"/>
      <c r="R293" s="118" t="n"/>
      <c r="S293" s="119" t="n"/>
      <c r="T293" s="120" t="n"/>
      <c r="U293" s="123" t="n"/>
      <c r="V293" s="123" t="n"/>
      <c r="Y293" s="117" t="n"/>
      <c r="Z293" s="117" t="n"/>
      <c r="AA293" s="118" t="n"/>
      <c r="AB293" s="119" t="n"/>
      <c r="AC293" s="120" t="n"/>
      <c r="AD293" s="120" t="n"/>
      <c r="AE293" s="120" t="n"/>
    </row>
    <row r="294" ht="15" customHeight="1" s="72">
      <c r="A294" s="117" t="n"/>
      <c r="B294" s="117" t="n"/>
      <c r="C294" s="118" t="n"/>
      <c r="D294" s="118" t="n"/>
      <c r="E294" s="118" t="n"/>
      <c r="F294" s="123" t="n"/>
      <c r="G294" s="119" t="n"/>
      <c r="H294" s="123" t="n"/>
      <c r="I294" s="123" t="n"/>
      <c r="J294" s="125" t="n"/>
      <c r="K294" s="120" t="n"/>
      <c r="N294" s="117" t="n"/>
      <c r="O294" s="117" t="n"/>
      <c r="P294" s="117" t="n"/>
      <c r="Q294" s="117" t="n"/>
      <c r="R294" s="118" t="n"/>
      <c r="S294" s="119" t="n"/>
      <c r="T294" s="120" t="n"/>
      <c r="U294" s="123" t="n"/>
      <c r="V294" s="123" t="n"/>
      <c r="Y294" s="117" t="n"/>
      <c r="Z294" s="117" t="n"/>
      <c r="AA294" s="118" t="n"/>
      <c r="AB294" s="119" t="n"/>
      <c r="AC294" s="120" t="n"/>
      <c r="AD294" s="120" t="n"/>
      <c r="AE294" s="120" t="n"/>
    </row>
    <row r="295" ht="15" customHeight="1" s="72">
      <c r="A295" s="117" t="n"/>
      <c r="B295" s="117" t="n"/>
      <c r="C295" s="118" t="n"/>
      <c r="D295" s="118" t="n"/>
      <c r="E295" s="118" t="n"/>
      <c r="F295" s="123" t="n"/>
      <c r="G295" s="119" t="n"/>
      <c r="H295" s="123" t="n"/>
      <c r="I295" s="123" t="n"/>
      <c r="J295" s="125" t="n"/>
      <c r="K295" s="120" t="n"/>
      <c r="N295" s="117" t="n"/>
      <c r="O295" s="117" t="n"/>
      <c r="P295" s="117" t="n"/>
      <c r="Q295" s="117" t="n"/>
      <c r="R295" s="118" t="n"/>
      <c r="S295" s="119" t="n"/>
      <c r="T295" s="120" t="n"/>
      <c r="U295" s="123" t="n"/>
      <c r="V295" s="123" t="n"/>
      <c r="Y295" s="117" t="n"/>
      <c r="Z295" s="117" t="n"/>
      <c r="AA295" s="118" t="n"/>
      <c r="AB295" s="119" t="n"/>
      <c r="AC295" s="120" t="n"/>
      <c r="AD295" s="120" t="n"/>
      <c r="AE295" s="120" t="n"/>
    </row>
    <row r="296" ht="15" customHeight="1" s="72">
      <c r="A296" s="117" t="n"/>
      <c r="B296" s="117" t="n"/>
      <c r="C296" s="118" t="n"/>
      <c r="D296" s="118" t="n"/>
      <c r="E296" s="118" t="n"/>
      <c r="F296" s="123" t="n"/>
      <c r="G296" s="119" t="n"/>
      <c r="H296" s="123" t="n"/>
      <c r="I296" s="123" t="n"/>
      <c r="J296" s="125" t="n"/>
      <c r="K296" s="120" t="n"/>
      <c r="N296" s="117" t="n"/>
      <c r="O296" s="117" t="n"/>
      <c r="P296" s="117" t="n"/>
      <c r="Q296" s="117" t="n"/>
      <c r="R296" s="118" t="n"/>
      <c r="S296" s="119" t="n"/>
      <c r="T296" s="120" t="n"/>
      <c r="U296" s="123" t="n"/>
      <c r="V296" s="123" t="n"/>
      <c r="Y296" s="117" t="n"/>
      <c r="Z296" s="117" t="n"/>
      <c r="AA296" s="118" t="n"/>
      <c r="AB296" s="119" t="n"/>
      <c r="AC296" s="120" t="n"/>
      <c r="AD296" s="120" t="n"/>
      <c r="AE296" s="120" t="n"/>
    </row>
    <row r="297" ht="15" customHeight="1" s="72">
      <c r="A297" s="117" t="n"/>
      <c r="B297" s="117" t="n"/>
      <c r="C297" s="118" t="n"/>
      <c r="D297" s="118" t="n"/>
      <c r="E297" s="118" t="n"/>
      <c r="F297" s="123" t="n"/>
      <c r="G297" s="119" t="n"/>
      <c r="H297" s="123" t="n"/>
      <c r="I297" s="123" t="n"/>
      <c r="J297" s="125" t="n"/>
      <c r="K297" s="120" t="n"/>
      <c r="N297" s="117" t="n"/>
      <c r="O297" s="117" t="n"/>
      <c r="P297" s="117" t="n"/>
      <c r="Q297" s="117" t="n"/>
      <c r="R297" s="118" t="n"/>
      <c r="S297" s="119" t="n"/>
      <c r="T297" s="120" t="n"/>
      <c r="U297" s="123" t="n"/>
      <c r="V297" s="123" t="n"/>
      <c r="Y297" s="117" t="n"/>
      <c r="Z297" s="117" t="n"/>
      <c r="AA297" s="118" t="n"/>
      <c r="AB297" s="119" t="n"/>
      <c r="AC297" s="120" t="n"/>
      <c r="AD297" s="120" t="n"/>
      <c r="AE297" s="120" t="n"/>
    </row>
    <row r="298" ht="15" customHeight="1" s="72">
      <c r="A298" s="117" t="n"/>
      <c r="B298" s="117" t="n"/>
      <c r="C298" s="118" t="n"/>
      <c r="D298" s="118" t="n"/>
      <c r="E298" s="118" t="n"/>
      <c r="F298" s="123" t="n"/>
      <c r="G298" s="119" t="n"/>
      <c r="H298" s="123" t="n"/>
      <c r="I298" s="123" t="n"/>
      <c r="J298" s="125" t="n"/>
      <c r="K298" s="120" t="n"/>
      <c r="N298" s="117" t="n"/>
      <c r="O298" s="117" t="n"/>
      <c r="P298" s="117" t="n"/>
      <c r="Q298" s="117" t="n"/>
      <c r="R298" s="118" t="n"/>
      <c r="S298" s="119" t="n"/>
      <c r="T298" s="120" t="n"/>
      <c r="U298" s="123" t="n"/>
      <c r="V298" s="123" t="n"/>
      <c r="Y298" s="117" t="n"/>
      <c r="Z298" s="117" t="n"/>
      <c r="AA298" s="118" t="n"/>
      <c r="AB298" s="119" t="n"/>
      <c r="AC298" s="120" t="n"/>
      <c r="AD298" s="120" t="n"/>
      <c r="AE298" s="120" t="n"/>
    </row>
    <row r="299" ht="15" customHeight="1" s="72">
      <c r="A299" s="117" t="n"/>
      <c r="B299" s="117" t="n"/>
      <c r="C299" s="118" t="n"/>
      <c r="D299" s="118" t="n"/>
      <c r="E299" s="118" t="n"/>
      <c r="F299" s="123" t="n"/>
      <c r="G299" s="119" t="n"/>
      <c r="H299" s="123" t="n"/>
      <c r="I299" s="123" t="n"/>
      <c r="J299" s="125" t="n"/>
      <c r="K299" s="120" t="n"/>
      <c r="N299" s="117" t="n"/>
      <c r="O299" s="117" t="n"/>
      <c r="P299" s="117" t="n"/>
      <c r="Q299" s="117" t="n"/>
      <c r="R299" s="118" t="n"/>
      <c r="S299" s="119" t="n"/>
      <c r="T299" s="120" t="n"/>
      <c r="U299" s="123" t="n"/>
      <c r="V299" s="123" t="n"/>
      <c r="Y299" s="117" t="n"/>
      <c r="Z299" s="117" t="n"/>
      <c r="AA299" s="118" t="n"/>
      <c r="AB299" s="119" t="n"/>
      <c r="AC299" s="120" t="n"/>
      <c r="AD299" s="120" t="n"/>
      <c r="AE299" s="120" t="n"/>
    </row>
    <row r="300" ht="15" customHeight="1" s="72">
      <c r="A300" s="117" t="n"/>
      <c r="B300" s="117" t="n"/>
      <c r="C300" s="118" t="n"/>
      <c r="D300" s="118" t="n"/>
      <c r="E300" s="118" t="n"/>
      <c r="F300" s="123" t="n"/>
      <c r="G300" s="119" t="n"/>
      <c r="H300" s="123" t="n"/>
      <c r="I300" s="123" t="n"/>
      <c r="J300" s="125" t="n"/>
      <c r="K300" s="120" t="n"/>
      <c r="N300" s="117" t="n"/>
      <c r="O300" s="117" t="n"/>
      <c r="P300" s="117" t="n"/>
      <c r="Q300" s="117" t="n"/>
      <c r="R300" s="118" t="n"/>
      <c r="S300" s="119" t="n"/>
      <c r="T300" s="120" t="n"/>
      <c r="U300" s="123" t="n"/>
      <c r="V300" s="123" t="n"/>
      <c r="Y300" s="117" t="n"/>
      <c r="Z300" s="117" t="n"/>
      <c r="AA300" s="118" t="n"/>
      <c r="AB300" s="119" t="n"/>
      <c r="AC300" s="120" t="n"/>
      <c r="AD300" s="120" t="n"/>
      <c r="AE300" s="120" t="n"/>
    </row>
    <row r="301" ht="15" customHeight="1" s="72">
      <c r="A301" s="117" t="n"/>
      <c r="B301" s="117" t="n"/>
      <c r="C301" s="118" t="n"/>
      <c r="D301" s="118" t="n"/>
      <c r="E301" s="118" t="n"/>
      <c r="F301" s="123" t="n"/>
      <c r="G301" s="119" t="n"/>
      <c r="H301" s="123" t="n"/>
      <c r="I301" s="123" t="n"/>
      <c r="J301" s="125" t="n"/>
      <c r="K301" s="120" t="n"/>
      <c r="N301" s="117" t="n"/>
      <c r="O301" s="117" t="n"/>
      <c r="P301" s="117" t="n"/>
      <c r="Q301" s="117" t="n"/>
      <c r="R301" s="118" t="n"/>
      <c r="S301" s="119" t="n"/>
      <c r="T301" s="120" t="n"/>
      <c r="U301" s="123" t="n"/>
      <c r="V301" s="123" t="n"/>
      <c r="Y301" s="117" t="n"/>
      <c r="Z301" s="117" t="n"/>
      <c r="AA301" s="118" t="n"/>
      <c r="AB301" s="119" t="n"/>
      <c r="AC301" s="120" t="n"/>
      <c r="AD301" s="120" t="n"/>
      <c r="AE301" s="120" t="n"/>
    </row>
    <row r="302" ht="15" customHeight="1" s="72">
      <c r="A302" s="117" t="n"/>
      <c r="B302" s="117" t="n"/>
      <c r="C302" s="118" t="n"/>
      <c r="D302" s="118" t="n"/>
      <c r="E302" s="118" t="n"/>
      <c r="F302" s="123" t="n"/>
      <c r="G302" s="119" t="n"/>
      <c r="H302" s="123" t="n"/>
      <c r="I302" s="123" t="n"/>
      <c r="J302" s="125" t="n"/>
      <c r="K302" s="120" t="n"/>
      <c r="N302" s="117" t="n"/>
      <c r="O302" s="117" t="n"/>
      <c r="P302" s="117" t="n"/>
      <c r="Q302" s="117" t="n"/>
      <c r="R302" s="118" t="n"/>
      <c r="S302" s="119" t="n"/>
      <c r="T302" s="120" t="n"/>
      <c r="U302" s="123" t="n"/>
      <c r="V302" s="123" t="n"/>
      <c r="Y302" s="117" t="n"/>
      <c r="Z302" s="117" t="n"/>
      <c r="AA302" s="118" t="n"/>
      <c r="AB302" s="119" t="n"/>
      <c r="AC302" s="120" t="n"/>
      <c r="AD302" s="120" t="n"/>
      <c r="AE302" s="120" t="n"/>
    </row>
    <row r="303" ht="15" customHeight="1" s="72">
      <c r="A303" s="117" t="n"/>
      <c r="B303" s="117" t="n"/>
      <c r="C303" s="118" t="n"/>
      <c r="D303" s="118" t="n"/>
      <c r="E303" s="118" t="n"/>
      <c r="F303" s="123" t="n"/>
      <c r="G303" s="119" t="n"/>
      <c r="H303" s="123" t="n"/>
      <c r="I303" s="123" t="n"/>
      <c r="J303" s="125" t="n"/>
      <c r="K303" s="120" t="n"/>
      <c r="N303" s="117" t="n"/>
      <c r="O303" s="117" t="n"/>
      <c r="P303" s="117" t="n"/>
      <c r="Q303" s="117" t="n"/>
      <c r="R303" s="118" t="n"/>
      <c r="S303" s="119" t="n"/>
      <c r="T303" s="120" t="n"/>
      <c r="U303" s="123" t="n"/>
      <c r="V303" s="123" t="n"/>
      <c r="Y303" s="117" t="n"/>
      <c r="Z303" s="117" t="n"/>
      <c r="AA303" s="118" t="n"/>
      <c r="AB303" s="119" t="n"/>
      <c r="AC303" s="120" t="n"/>
      <c r="AD303" s="120" t="n"/>
      <c r="AE303" s="120" t="n"/>
    </row>
    <row r="304" ht="15" customHeight="1" s="72">
      <c r="A304" s="117" t="n"/>
      <c r="B304" s="117" t="n"/>
      <c r="C304" s="118" t="n"/>
      <c r="D304" s="118" t="n"/>
      <c r="E304" s="118" t="n"/>
      <c r="F304" s="123" t="n"/>
      <c r="G304" s="119" t="n"/>
      <c r="H304" s="123" t="n"/>
      <c r="I304" s="123" t="n"/>
      <c r="J304" s="125" t="n"/>
      <c r="K304" s="120" t="n"/>
      <c r="N304" s="117" t="n"/>
      <c r="O304" s="117" t="n"/>
      <c r="P304" s="117" t="n"/>
      <c r="Q304" s="117" t="n"/>
      <c r="R304" s="118" t="n"/>
      <c r="S304" s="119" t="n"/>
      <c r="T304" s="120" t="n"/>
      <c r="U304" s="123" t="n"/>
      <c r="V304" s="123" t="n"/>
      <c r="Y304" s="117" t="n"/>
      <c r="Z304" s="117" t="n"/>
      <c r="AA304" s="118" t="n"/>
      <c r="AB304" s="119" t="n"/>
      <c r="AC304" s="120" t="n"/>
      <c r="AD304" s="120" t="n"/>
      <c r="AE304" s="120" t="n"/>
    </row>
    <row r="305" ht="15" customHeight="1" s="72">
      <c r="A305" s="117" t="n"/>
      <c r="B305" s="117" t="n"/>
      <c r="C305" s="118" t="n"/>
      <c r="D305" s="118" t="n"/>
      <c r="E305" s="118" t="n"/>
      <c r="F305" s="123" t="n"/>
      <c r="G305" s="119" t="n"/>
      <c r="H305" s="123" t="n"/>
      <c r="I305" s="123" t="n"/>
      <c r="J305" s="125" t="n"/>
      <c r="K305" s="120" t="n"/>
      <c r="N305" s="117" t="n"/>
      <c r="O305" s="117" t="n"/>
      <c r="P305" s="117" t="n"/>
      <c r="Q305" s="117" t="n"/>
      <c r="R305" s="118" t="n"/>
      <c r="S305" s="119" t="n"/>
      <c r="T305" s="120" t="n"/>
      <c r="U305" s="123" t="n"/>
      <c r="V305" s="123" t="n"/>
      <c r="Y305" s="117" t="n"/>
      <c r="Z305" s="117" t="n"/>
      <c r="AA305" s="118" t="n"/>
      <c r="AB305" s="119" t="n"/>
      <c r="AC305" s="120" t="n"/>
      <c r="AD305" s="120" t="n"/>
      <c r="AE305" s="120" t="n"/>
    </row>
    <row r="306" ht="15" customHeight="1" s="72">
      <c r="A306" s="117" t="n"/>
      <c r="B306" s="117" t="n"/>
      <c r="C306" s="118" t="n"/>
      <c r="D306" s="118" t="n"/>
      <c r="E306" s="118" t="n"/>
      <c r="F306" s="123" t="n"/>
      <c r="G306" s="119" t="n"/>
      <c r="H306" s="123" t="n"/>
      <c r="I306" s="123" t="n"/>
      <c r="J306" s="125" t="n"/>
      <c r="K306" s="120" t="n"/>
      <c r="N306" s="117" t="n"/>
      <c r="O306" s="117" t="n"/>
      <c r="P306" s="117" t="n"/>
      <c r="Q306" s="117" t="n"/>
      <c r="R306" s="118" t="n"/>
      <c r="S306" s="119" t="n"/>
      <c r="T306" s="120" t="n"/>
      <c r="U306" s="123" t="n"/>
      <c r="V306" s="123" t="n"/>
      <c r="Y306" s="117" t="n"/>
      <c r="Z306" s="117" t="n"/>
      <c r="AA306" s="118" t="n"/>
      <c r="AB306" s="119" t="n"/>
      <c r="AC306" s="120" t="n"/>
      <c r="AD306" s="120" t="n"/>
      <c r="AE306" s="120" t="n"/>
    </row>
    <row r="307" ht="15" customHeight="1" s="72">
      <c r="A307" s="117" t="n"/>
      <c r="B307" s="117" t="n"/>
      <c r="C307" s="118" t="n"/>
      <c r="D307" s="118" t="n"/>
      <c r="E307" s="118" t="n"/>
      <c r="F307" s="123" t="n"/>
      <c r="G307" s="119" t="n"/>
      <c r="H307" s="123" t="n"/>
      <c r="I307" s="123" t="n"/>
      <c r="J307" s="125" t="n"/>
      <c r="K307" s="120" t="n"/>
      <c r="N307" s="117" t="n"/>
      <c r="O307" s="117" t="n"/>
      <c r="P307" s="117" t="n"/>
      <c r="Q307" s="117" t="n"/>
      <c r="R307" s="118" t="n"/>
      <c r="S307" s="119" t="n"/>
      <c r="T307" s="120" t="n"/>
      <c r="U307" s="123" t="n"/>
      <c r="V307" s="123" t="n"/>
      <c r="Y307" s="117" t="n"/>
      <c r="Z307" s="117" t="n"/>
      <c r="AA307" s="118" t="n"/>
      <c r="AB307" s="119" t="n"/>
      <c r="AC307" s="120" t="n"/>
      <c r="AD307" s="120" t="n"/>
      <c r="AE307" s="120" t="n"/>
    </row>
    <row r="308" ht="15" customHeight="1" s="72">
      <c r="A308" s="117" t="n"/>
      <c r="B308" s="117" t="n"/>
      <c r="C308" s="118" t="n"/>
      <c r="D308" s="118" t="n"/>
      <c r="E308" s="118" t="n"/>
      <c r="F308" s="123" t="n"/>
      <c r="G308" s="119" t="n"/>
      <c r="H308" s="123" t="n"/>
      <c r="I308" s="123" t="n"/>
      <c r="J308" s="125" t="n"/>
      <c r="K308" s="120" t="n"/>
      <c r="N308" s="117" t="n"/>
      <c r="O308" s="117" t="n"/>
      <c r="P308" s="117" t="n"/>
      <c r="Q308" s="117" t="n"/>
      <c r="R308" s="118" t="n"/>
      <c r="S308" s="119" t="n"/>
      <c r="T308" s="120" t="n"/>
      <c r="U308" s="123" t="n"/>
      <c r="V308" s="123" t="n"/>
      <c r="Y308" s="117" t="n"/>
      <c r="Z308" s="117" t="n"/>
      <c r="AA308" s="118" t="n"/>
      <c r="AB308" s="119" t="n"/>
      <c r="AC308" s="120" t="n"/>
      <c r="AD308" s="120" t="n"/>
      <c r="AE308" s="120" t="n"/>
    </row>
    <row r="309" ht="15" customHeight="1" s="72">
      <c r="A309" s="117" t="n"/>
      <c r="B309" s="117" t="n"/>
      <c r="C309" s="118" t="n"/>
      <c r="D309" s="118" t="n"/>
      <c r="E309" s="118" t="n"/>
      <c r="F309" s="123" t="n"/>
      <c r="G309" s="119" t="n"/>
      <c r="H309" s="123" t="n"/>
      <c r="I309" s="123" t="n"/>
      <c r="J309" s="125" t="n"/>
      <c r="K309" s="120" t="n"/>
      <c r="N309" s="117" t="n"/>
      <c r="O309" s="117" t="n"/>
      <c r="P309" s="117" t="n"/>
      <c r="Q309" s="117" t="n"/>
      <c r="R309" s="118" t="n"/>
      <c r="S309" s="119" t="n"/>
      <c r="T309" s="120" t="n"/>
      <c r="U309" s="123" t="n"/>
      <c r="V309" s="123" t="n"/>
      <c r="Y309" s="117" t="n"/>
      <c r="Z309" s="117" t="n"/>
      <c r="AA309" s="118" t="n"/>
      <c r="AB309" s="119" t="n"/>
      <c r="AC309" s="120" t="n"/>
      <c r="AD309" s="120" t="n"/>
      <c r="AE309" s="120" t="n"/>
    </row>
    <row r="310" ht="15" customHeight="1" s="72">
      <c r="A310" s="117" t="n"/>
      <c r="B310" s="117" t="n"/>
      <c r="C310" s="118" t="n"/>
      <c r="D310" s="118" t="n"/>
      <c r="E310" s="118" t="n"/>
      <c r="F310" s="123" t="n"/>
      <c r="G310" s="119" t="n"/>
      <c r="H310" s="123" t="n"/>
      <c r="I310" s="123" t="n"/>
      <c r="J310" s="125" t="n"/>
      <c r="K310" s="120" t="n"/>
      <c r="N310" s="117" t="n"/>
      <c r="O310" s="117" t="n"/>
      <c r="P310" s="117" t="n"/>
      <c r="Q310" s="117" t="n"/>
      <c r="R310" s="118" t="n"/>
      <c r="S310" s="119" t="n"/>
      <c r="T310" s="120" t="n"/>
      <c r="U310" s="123" t="n"/>
      <c r="V310" s="123" t="n"/>
      <c r="Y310" s="117" t="n"/>
      <c r="Z310" s="117" t="n"/>
      <c r="AA310" s="118" t="n"/>
      <c r="AB310" s="119" t="n"/>
      <c r="AC310" s="120" t="n"/>
      <c r="AD310" s="120" t="n"/>
      <c r="AE310" s="120" t="n"/>
    </row>
    <row r="311" ht="15" customHeight="1" s="72">
      <c r="A311" s="117" t="n"/>
      <c r="B311" s="117" t="n"/>
      <c r="C311" s="118" t="n"/>
      <c r="D311" s="118" t="n"/>
      <c r="E311" s="118" t="n"/>
      <c r="F311" s="123" t="n"/>
      <c r="G311" s="119" t="n"/>
      <c r="H311" s="123" t="n"/>
      <c r="I311" s="123" t="n"/>
      <c r="J311" s="125" t="n"/>
      <c r="K311" s="120" t="n"/>
      <c r="N311" s="117" t="n"/>
      <c r="O311" s="117" t="n"/>
      <c r="P311" s="117" t="n"/>
      <c r="Q311" s="117" t="n"/>
      <c r="R311" s="118" t="n"/>
      <c r="S311" s="119" t="n"/>
      <c r="T311" s="120" t="n"/>
      <c r="U311" s="123" t="n"/>
      <c r="V311" s="123" t="n"/>
      <c r="Y311" s="117" t="n"/>
      <c r="Z311" s="117" t="n"/>
      <c r="AA311" s="118" t="n"/>
      <c r="AB311" s="119" t="n"/>
      <c r="AC311" s="120" t="n"/>
      <c r="AD311" s="120" t="n"/>
      <c r="AE311" s="120" t="n"/>
    </row>
    <row r="312" ht="15" customHeight="1" s="72">
      <c r="A312" s="117" t="n"/>
      <c r="B312" s="117" t="n"/>
      <c r="C312" s="118" t="n"/>
      <c r="D312" s="118" t="n"/>
      <c r="E312" s="118" t="n"/>
      <c r="F312" s="123" t="n"/>
      <c r="G312" s="119" t="n"/>
      <c r="H312" s="123" t="n"/>
      <c r="I312" s="123" t="n"/>
      <c r="J312" s="125" t="n"/>
      <c r="K312" s="120" t="n"/>
      <c r="N312" s="117" t="n"/>
      <c r="O312" s="117" t="n"/>
      <c r="P312" s="117" t="n"/>
      <c r="Q312" s="117" t="n"/>
      <c r="R312" s="118" t="n"/>
      <c r="S312" s="119" t="n"/>
      <c r="T312" s="120" t="n"/>
      <c r="U312" s="123" t="n"/>
      <c r="V312" s="123" t="n"/>
      <c r="Y312" s="117" t="n"/>
      <c r="Z312" s="117" t="n"/>
      <c r="AA312" s="118" t="n"/>
      <c r="AB312" s="119" t="n"/>
      <c r="AC312" s="120" t="n"/>
      <c r="AD312" s="120" t="n"/>
      <c r="AE312" s="120" t="n"/>
    </row>
    <row r="313" ht="15" customHeight="1" s="72">
      <c r="A313" s="117" t="n"/>
      <c r="B313" s="117" t="n"/>
      <c r="C313" s="118" t="n"/>
      <c r="D313" s="118" t="n"/>
      <c r="E313" s="118" t="n"/>
      <c r="F313" s="123" t="n"/>
      <c r="G313" s="119" t="n"/>
      <c r="H313" s="123" t="n"/>
      <c r="I313" s="123" t="n"/>
      <c r="J313" s="125" t="n"/>
      <c r="K313" s="120" t="n"/>
      <c r="N313" s="117" t="n"/>
      <c r="O313" s="117" t="n"/>
      <c r="P313" s="117" t="n"/>
      <c r="Q313" s="117" t="n"/>
      <c r="R313" s="118" t="n"/>
      <c r="S313" s="119" t="n"/>
      <c r="T313" s="120" t="n"/>
      <c r="U313" s="123" t="n"/>
      <c r="V313" s="123" t="n"/>
      <c r="Y313" s="117" t="n"/>
      <c r="Z313" s="117" t="n"/>
      <c r="AA313" s="118" t="n"/>
      <c r="AB313" s="119" t="n"/>
      <c r="AC313" s="120" t="n"/>
      <c r="AD313" s="120" t="n"/>
      <c r="AE313" s="120" t="n"/>
    </row>
    <row r="314" ht="15" customHeight="1" s="72">
      <c r="A314" s="117" t="n"/>
      <c r="B314" s="117" t="n"/>
      <c r="C314" s="118" t="n"/>
      <c r="D314" s="118" t="n"/>
      <c r="E314" s="118" t="n"/>
      <c r="F314" s="123" t="n"/>
      <c r="G314" s="119" t="n"/>
      <c r="H314" s="123" t="n"/>
      <c r="I314" s="123" t="n"/>
      <c r="J314" s="125" t="n"/>
      <c r="K314" s="120" t="n"/>
      <c r="N314" s="117" t="n"/>
      <c r="O314" s="117" t="n"/>
      <c r="P314" s="117" t="n"/>
      <c r="Q314" s="117" t="n"/>
      <c r="R314" s="118" t="n"/>
      <c r="S314" s="119" t="n"/>
      <c r="T314" s="120" t="n"/>
      <c r="U314" s="123" t="n"/>
      <c r="V314" s="123" t="n"/>
      <c r="Y314" s="117" t="n"/>
      <c r="Z314" s="117" t="n"/>
      <c r="AA314" s="118" t="n"/>
      <c r="AB314" s="119" t="n"/>
      <c r="AC314" s="120" t="n"/>
      <c r="AD314" s="120" t="n"/>
      <c r="AE314" s="120" t="n"/>
    </row>
    <row r="315" ht="15" customHeight="1" s="72">
      <c r="A315" s="117" t="n"/>
      <c r="B315" s="117" t="n"/>
      <c r="C315" s="118" t="n"/>
      <c r="D315" s="118" t="n"/>
      <c r="E315" s="118" t="n"/>
      <c r="F315" s="123" t="n"/>
      <c r="G315" s="119" t="n"/>
      <c r="H315" s="123" t="n"/>
      <c r="I315" s="123" t="n"/>
      <c r="J315" s="125" t="n"/>
      <c r="K315" s="120" t="n"/>
      <c r="N315" s="117" t="n"/>
      <c r="O315" s="117" t="n"/>
      <c r="P315" s="117" t="n"/>
      <c r="Q315" s="117" t="n"/>
      <c r="R315" s="118" t="n"/>
      <c r="S315" s="119" t="n"/>
      <c r="T315" s="120" t="n"/>
      <c r="U315" s="123" t="n"/>
      <c r="V315" s="123" t="n"/>
      <c r="Y315" s="117" t="n"/>
      <c r="Z315" s="117" t="n"/>
      <c r="AA315" s="118" t="n"/>
      <c r="AB315" s="119" t="n"/>
      <c r="AC315" s="120" t="n"/>
      <c r="AD315" s="120" t="n"/>
      <c r="AE315" s="120" t="n"/>
    </row>
    <row r="316" ht="15" customHeight="1" s="72">
      <c r="A316" s="117" t="n"/>
      <c r="B316" s="117" t="n"/>
      <c r="C316" s="118" t="n"/>
      <c r="D316" s="118" t="n"/>
      <c r="E316" s="118" t="n"/>
      <c r="F316" s="123" t="n"/>
      <c r="G316" s="119" t="n"/>
      <c r="H316" s="123" t="n"/>
      <c r="I316" s="123" t="n"/>
      <c r="J316" s="125" t="n"/>
      <c r="K316" s="120" t="n"/>
      <c r="N316" s="117" t="n"/>
      <c r="O316" s="117" t="n"/>
      <c r="P316" s="117" t="n"/>
      <c r="Q316" s="117" t="n"/>
      <c r="R316" s="118" t="n"/>
      <c r="S316" s="119" t="n"/>
      <c r="T316" s="120" t="n"/>
      <c r="U316" s="123" t="n"/>
      <c r="V316" s="123" t="n"/>
      <c r="Y316" s="117" t="n"/>
      <c r="Z316" s="117" t="n"/>
      <c r="AA316" s="118" t="n"/>
      <c r="AB316" s="119" t="n"/>
      <c r="AC316" s="120" t="n"/>
      <c r="AD316" s="120" t="n"/>
      <c r="AE316" s="120" t="n"/>
    </row>
    <row r="317" ht="15" customHeight="1" s="72">
      <c r="A317" s="117" t="n"/>
      <c r="B317" s="117" t="n"/>
      <c r="C317" s="118" t="n"/>
      <c r="D317" s="118" t="n"/>
      <c r="E317" s="118" t="n"/>
      <c r="F317" s="123" t="n"/>
      <c r="G317" s="119" t="n"/>
      <c r="H317" s="123" t="n"/>
      <c r="I317" s="123" t="n"/>
      <c r="J317" s="125" t="n"/>
      <c r="K317" s="120" t="n"/>
      <c r="N317" s="117" t="n"/>
      <c r="O317" s="117" t="n"/>
      <c r="P317" s="117" t="n"/>
      <c r="Q317" s="117" t="n"/>
      <c r="R317" s="118" t="n"/>
      <c r="S317" s="119" t="n"/>
      <c r="T317" s="120" t="n"/>
      <c r="U317" s="123" t="n"/>
      <c r="V317" s="123" t="n"/>
      <c r="Y317" s="117" t="n"/>
      <c r="Z317" s="117" t="n"/>
      <c r="AA317" s="118" t="n"/>
      <c r="AB317" s="119" t="n"/>
      <c r="AC317" s="120" t="n"/>
      <c r="AD317" s="120" t="n"/>
      <c r="AE317" s="120" t="n"/>
    </row>
    <row r="318" ht="15" customHeight="1" s="72">
      <c r="A318" s="117" t="n"/>
      <c r="B318" s="117" t="n"/>
      <c r="C318" s="118" t="n"/>
      <c r="D318" s="118" t="n"/>
      <c r="E318" s="118" t="n"/>
      <c r="F318" s="123" t="n"/>
      <c r="G318" s="119" t="n"/>
      <c r="H318" s="123" t="n"/>
      <c r="I318" s="123" t="n"/>
      <c r="J318" s="125" t="n"/>
      <c r="K318" s="120" t="n"/>
      <c r="N318" s="117" t="n"/>
      <c r="O318" s="117" t="n"/>
      <c r="P318" s="117" t="n"/>
      <c r="Q318" s="117" t="n"/>
      <c r="R318" s="118" t="n"/>
      <c r="S318" s="119" t="n"/>
      <c r="T318" s="120" t="n"/>
      <c r="U318" s="123" t="n"/>
      <c r="V318" s="123" t="n"/>
      <c r="Y318" s="117" t="n"/>
      <c r="Z318" s="117" t="n"/>
      <c r="AA318" s="118" t="n"/>
      <c r="AB318" s="119" t="n"/>
      <c r="AC318" s="120" t="n"/>
      <c r="AD318" s="120" t="n"/>
      <c r="AE318" s="120" t="n"/>
    </row>
    <row r="319" ht="15" customHeight="1" s="72">
      <c r="A319" s="117" t="n"/>
      <c r="B319" s="117" t="n"/>
      <c r="C319" s="118" t="n"/>
      <c r="D319" s="118" t="n"/>
      <c r="E319" s="118" t="n"/>
      <c r="F319" s="123" t="n"/>
      <c r="G319" s="119" t="n"/>
      <c r="H319" s="123" t="n"/>
      <c r="I319" s="123" t="n"/>
      <c r="J319" s="125" t="n"/>
      <c r="K319" s="120" t="n"/>
      <c r="N319" s="117" t="n"/>
      <c r="O319" s="117" t="n"/>
      <c r="P319" s="117" t="n"/>
      <c r="Q319" s="117" t="n"/>
      <c r="R319" s="118" t="n"/>
      <c r="S319" s="119" t="n"/>
      <c r="T319" s="120" t="n"/>
      <c r="U319" s="123" t="n"/>
      <c r="V319" s="123" t="n"/>
      <c r="Y319" s="117" t="n"/>
      <c r="Z319" s="117" t="n"/>
      <c r="AA319" s="118" t="n"/>
      <c r="AB319" s="119" t="n"/>
      <c r="AC319" s="120" t="n"/>
      <c r="AD319" s="120" t="n"/>
      <c r="AE319" s="120" t="n"/>
    </row>
    <row r="320" ht="15" customHeight="1" s="72">
      <c r="A320" s="117" t="n"/>
      <c r="B320" s="117" t="n"/>
      <c r="C320" s="118" t="n"/>
      <c r="D320" s="118" t="n"/>
      <c r="E320" s="118" t="n"/>
      <c r="F320" s="123" t="n"/>
      <c r="G320" s="119" t="n"/>
      <c r="H320" s="123" t="n"/>
      <c r="I320" s="123" t="n"/>
      <c r="J320" s="125" t="n"/>
      <c r="K320" s="120" t="n"/>
      <c r="N320" s="117" t="n"/>
      <c r="O320" s="117" t="n"/>
      <c r="P320" s="117" t="n"/>
      <c r="Q320" s="117" t="n"/>
      <c r="R320" s="118" t="n"/>
      <c r="S320" s="119" t="n"/>
      <c r="T320" s="120" t="n"/>
      <c r="U320" s="123" t="n"/>
      <c r="V320" s="123" t="n"/>
      <c r="Y320" s="117" t="n"/>
      <c r="Z320" s="117" t="n"/>
      <c r="AA320" s="118" t="n"/>
      <c r="AB320" s="119" t="n"/>
      <c r="AC320" s="120" t="n"/>
      <c r="AD320" s="120" t="n"/>
      <c r="AE320" s="120" t="n"/>
    </row>
    <row r="321" ht="15" customHeight="1" s="72">
      <c r="A321" s="117" t="n"/>
      <c r="B321" s="117" t="n"/>
      <c r="C321" s="118" t="n"/>
      <c r="D321" s="118" t="n"/>
      <c r="E321" s="118" t="n"/>
      <c r="F321" s="123" t="n"/>
      <c r="G321" s="119" t="n"/>
      <c r="H321" s="123" t="n"/>
      <c r="I321" s="123" t="n"/>
      <c r="J321" s="125" t="n"/>
      <c r="K321" s="120" t="n"/>
      <c r="N321" s="117" t="n"/>
      <c r="O321" s="117" t="n"/>
      <c r="P321" s="117" t="n"/>
      <c r="Q321" s="117" t="n"/>
      <c r="R321" s="118" t="n"/>
      <c r="S321" s="119" t="n"/>
      <c r="T321" s="120" t="n"/>
      <c r="U321" s="123" t="n"/>
      <c r="V321" s="123" t="n"/>
      <c r="Y321" s="117" t="n"/>
      <c r="Z321" s="117" t="n"/>
      <c r="AA321" s="118" t="n"/>
      <c r="AB321" s="119" t="n"/>
      <c r="AC321" s="120" t="n"/>
      <c r="AD321" s="120" t="n"/>
      <c r="AE321" s="120" t="n"/>
    </row>
    <row r="322" ht="15" customHeight="1" s="72">
      <c r="A322" s="117" t="n"/>
      <c r="B322" s="117" t="n"/>
      <c r="C322" s="118" t="n"/>
      <c r="D322" s="118" t="n"/>
      <c r="E322" s="118" t="n"/>
      <c r="F322" s="123" t="n"/>
      <c r="G322" s="119" t="n"/>
      <c r="H322" s="123" t="n"/>
      <c r="I322" s="123" t="n"/>
      <c r="J322" s="125" t="n"/>
      <c r="K322" s="120" t="n"/>
      <c r="N322" s="117" t="n"/>
      <c r="O322" s="117" t="n"/>
      <c r="P322" s="117" t="n"/>
      <c r="Q322" s="117" t="n"/>
      <c r="R322" s="118" t="n"/>
      <c r="S322" s="119" t="n"/>
      <c r="T322" s="120" t="n"/>
      <c r="U322" s="123" t="n"/>
      <c r="V322" s="123" t="n"/>
      <c r="Y322" s="117" t="n"/>
      <c r="Z322" s="117" t="n"/>
      <c r="AA322" s="118" t="n"/>
      <c r="AB322" s="119" t="n"/>
      <c r="AC322" s="120" t="n"/>
      <c r="AD322" s="120" t="n"/>
      <c r="AE322" s="120" t="n"/>
    </row>
    <row r="323" ht="15" customHeight="1" s="72">
      <c r="A323" s="117" t="n"/>
      <c r="B323" s="117" t="n"/>
      <c r="C323" s="118" t="n"/>
      <c r="D323" s="118" t="n"/>
      <c r="E323" s="118" t="n"/>
      <c r="F323" s="123" t="n"/>
      <c r="G323" s="119" t="n"/>
      <c r="H323" s="123" t="n"/>
      <c r="I323" s="123" t="n"/>
      <c r="J323" s="125" t="n"/>
      <c r="K323" s="120" t="n"/>
      <c r="N323" s="117" t="n"/>
      <c r="O323" s="117" t="n"/>
      <c r="P323" s="117" t="n"/>
      <c r="Q323" s="117" t="n"/>
      <c r="R323" s="118" t="n"/>
      <c r="S323" s="119" t="n"/>
      <c r="T323" s="120" t="n"/>
      <c r="U323" s="123" t="n"/>
      <c r="V323" s="123" t="n"/>
      <c r="Y323" s="117" t="n"/>
      <c r="Z323" s="117" t="n"/>
      <c r="AA323" s="118" t="n"/>
      <c r="AB323" s="119" t="n"/>
      <c r="AC323" s="120" t="n"/>
      <c r="AD323" s="120" t="n"/>
      <c r="AE323" s="120" t="n"/>
    </row>
    <row r="324" ht="15" customHeight="1" s="72">
      <c r="A324" s="117" t="n"/>
      <c r="B324" s="117" t="n"/>
      <c r="C324" s="118" t="n"/>
      <c r="D324" s="118" t="n"/>
      <c r="E324" s="118" t="n"/>
      <c r="F324" s="123" t="n"/>
      <c r="G324" s="119" t="n"/>
      <c r="H324" s="123" t="n"/>
      <c r="I324" s="123" t="n"/>
      <c r="J324" s="125" t="n"/>
      <c r="K324" s="120" t="n"/>
      <c r="N324" s="117" t="n"/>
      <c r="O324" s="117" t="n"/>
      <c r="P324" s="117" t="n"/>
      <c r="Q324" s="117" t="n"/>
      <c r="R324" s="118" t="n"/>
      <c r="S324" s="119" t="n"/>
      <c r="T324" s="120" t="n"/>
      <c r="U324" s="123" t="n"/>
      <c r="V324" s="123" t="n"/>
      <c r="Y324" s="117" t="n"/>
      <c r="Z324" s="117" t="n"/>
      <c r="AA324" s="118" t="n"/>
      <c r="AB324" s="119" t="n"/>
      <c r="AC324" s="120" t="n"/>
      <c r="AD324" s="120" t="n"/>
      <c r="AE324" s="120" t="n"/>
    </row>
    <row r="325" ht="15" customHeight="1" s="72">
      <c r="A325" s="117" t="n"/>
      <c r="B325" s="117" t="n"/>
      <c r="C325" s="118" t="n"/>
      <c r="D325" s="118" t="n"/>
      <c r="E325" s="118" t="n"/>
      <c r="F325" s="123" t="n"/>
      <c r="G325" s="119" t="n"/>
      <c r="H325" s="123" t="n"/>
      <c r="I325" s="123" t="n"/>
      <c r="J325" s="125" t="n"/>
      <c r="K325" s="120" t="n"/>
      <c r="N325" s="117" t="n"/>
      <c r="O325" s="117" t="n"/>
      <c r="P325" s="117" t="n"/>
      <c r="Q325" s="117" t="n"/>
      <c r="R325" s="118" t="n"/>
      <c r="S325" s="119" t="n"/>
      <c r="T325" s="120" t="n"/>
      <c r="U325" s="123" t="n"/>
      <c r="V325" s="123" t="n"/>
      <c r="Y325" s="117" t="n"/>
      <c r="Z325" s="117" t="n"/>
      <c r="AA325" s="118" t="n"/>
      <c r="AB325" s="119" t="n"/>
      <c r="AC325" s="120" t="n"/>
      <c r="AD325" s="120" t="n"/>
      <c r="AE325" s="120" t="n"/>
    </row>
    <row r="326" ht="15" customHeight="1" s="72">
      <c r="A326" s="117" t="n"/>
      <c r="B326" s="117" t="n"/>
      <c r="C326" s="118" t="n"/>
      <c r="D326" s="118" t="n"/>
      <c r="E326" s="118" t="n"/>
      <c r="F326" s="123" t="n"/>
      <c r="G326" s="119" t="n"/>
      <c r="H326" s="123" t="n"/>
      <c r="I326" s="123" t="n"/>
      <c r="J326" s="125" t="n"/>
      <c r="K326" s="120" t="n"/>
      <c r="N326" s="117" t="n"/>
      <c r="O326" s="117" t="n"/>
      <c r="P326" s="117" t="n"/>
      <c r="Q326" s="117" t="n"/>
      <c r="R326" s="118" t="n"/>
      <c r="S326" s="119" t="n"/>
      <c r="T326" s="120" t="n"/>
      <c r="U326" s="123" t="n"/>
      <c r="V326" s="123" t="n"/>
      <c r="Y326" s="117" t="n"/>
      <c r="Z326" s="117" t="n"/>
      <c r="AA326" s="118" t="n"/>
      <c r="AB326" s="119" t="n"/>
      <c r="AC326" s="120" t="n"/>
      <c r="AD326" s="120" t="n"/>
      <c r="AE326" s="120" t="n"/>
    </row>
    <row r="327" ht="15" customHeight="1" s="72">
      <c r="A327" s="117" t="n"/>
      <c r="B327" s="117" t="n"/>
      <c r="C327" s="118" t="n"/>
      <c r="D327" s="118" t="n"/>
      <c r="E327" s="118" t="n"/>
      <c r="F327" s="123" t="n"/>
      <c r="G327" s="119" t="n"/>
      <c r="H327" s="123" t="n"/>
      <c r="I327" s="123" t="n"/>
      <c r="J327" s="125" t="n"/>
      <c r="K327" s="120" t="n"/>
      <c r="N327" s="117" t="n"/>
      <c r="O327" s="117" t="n"/>
      <c r="P327" s="117" t="n"/>
      <c r="Q327" s="117" t="n"/>
      <c r="R327" s="118" t="n"/>
      <c r="S327" s="119" t="n"/>
      <c r="T327" s="120" t="n"/>
      <c r="U327" s="123" t="n"/>
      <c r="V327" s="123" t="n"/>
      <c r="Y327" s="117" t="n"/>
      <c r="Z327" s="117" t="n"/>
      <c r="AA327" s="118" t="n"/>
      <c r="AB327" s="119" t="n"/>
      <c r="AC327" s="120" t="n"/>
      <c r="AD327" s="120" t="n"/>
      <c r="AE327" s="120" t="n"/>
    </row>
    <row r="328" ht="15" customHeight="1" s="72">
      <c r="A328" s="117" t="n"/>
      <c r="B328" s="117" t="n"/>
      <c r="C328" s="118" t="n"/>
      <c r="D328" s="118" t="n"/>
      <c r="E328" s="118" t="n"/>
      <c r="F328" s="123" t="n"/>
      <c r="G328" s="119" t="n"/>
      <c r="H328" s="123" t="n"/>
      <c r="I328" s="123" t="n"/>
      <c r="J328" s="125" t="n"/>
      <c r="K328" s="120" t="n"/>
      <c r="N328" s="117" t="n"/>
      <c r="O328" s="117" t="n"/>
      <c r="P328" s="117" t="n"/>
      <c r="Q328" s="117" t="n"/>
      <c r="R328" s="118" t="n"/>
      <c r="S328" s="119" t="n"/>
      <c r="T328" s="120" t="n"/>
      <c r="U328" s="123" t="n"/>
      <c r="V328" s="123" t="n"/>
      <c r="Y328" s="117" t="n"/>
      <c r="Z328" s="117" t="n"/>
      <c r="AA328" s="118" t="n"/>
      <c r="AB328" s="119" t="n"/>
      <c r="AC328" s="120" t="n"/>
      <c r="AD328" s="120" t="n"/>
      <c r="AE328" s="120" t="n"/>
    </row>
    <row r="329" ht="15" customHeight="1" s="72">
      <c r="A329" s="117" t="n"/>
      <c r="B329" s="117" t="n"/>
      <c r="C329" s="118" t="n"/>
      <c r="D329" s="118" t="n"/>
      <c r="E329" s="118" t="n"/>
      <c r="F329" s="123" t="n"/>
      <c r="G329" s="119" t="n"/>
      <c r="H329" s="123" t="n"/>
      <c r="I329" s="123" t="n"/>
      <c r="J329" s="125" t="n"/>
      <c r="K329" s="120" t="n"/>
      <c r="N329" s="117" t="n"/>
      <c r="O329" s="117" t="n"/>
      <c r="P329" s="117" t="n"/>
      <c r="Q329" s="117" t="n"/>
      <c r="R329" s="118" t="n"/>
      <c r="S329" s="119" t="n"/>
      <c r="T329" s="120" t="n"/>
      <c r="U329" s="123" t="n"/>
      <c r="V329" s="123" t="n"/>
      <c r="Y329" s="117" t="n"/>
      <c r="Z329" s="117" t="n"/>
      <c r="AA329" s="118" t="n"/>
      <c r="AB329" s="119" t="n"/>
      <c r="AC329" s="120" t="n"/>
      <c r="AD329" s="120" t="n"/>
      <c r="AE329" s="120" t="n"/>
    </row>
    <row r="330" ht="15" customHeight="1" s="72">
      <c r="A330" s="117" t="n"/>
      <c r="B330" s="117" t="n"/>
      <c r="C330" s="118" t="n"/>
      <c r="D330" s="118" t="n"/>
      <c r="E330" s="118" t="n"/>
      <c r="F330" s="123" t="n"/>
      <c r="G330" s="119" t="n"/>
      <c r="H330" s="123" t="n"/>
      <c r="I330" s="123" t="n"/>
      <c r="J330" s="125" t="n"/>
      <c r="K330" s="120" t="n"/>
      <c r="N330" s="117" t="n"/>
      <c r="O330" s="117" t="n"/>
      <c r="P330" s="117" t="n"/>
      <c r="Q330" s="117" t="n"/>
      <c r="R330" s="118" t="n"/>
      <c r="S330" s="119" t="n"/>
      <c r="T330" s="120" t="n"/>
      <c r="U330" s="123" t="n"/>
      <c r="V330" s="123" t="n"/>
      <c r="Y330" s="117" t="n"/>
      <c r="Z330" s="117" t="n"/>
      <c r="AA330" s="118" t="n"/>
      <c r="AB330" s="119" t="n"/>
      <c r="AC330" s="120" t="n"/>
      <c r="AD330" s="120" t="n"/>
      <c r="AE330" s="120" t="n"/>
    </row>
    <row r="331" ht="15" customHeight="1" s="72">
      <c r="A331" s="117" t="n"/>
      <c r="B331" s="117" t="n"/>
      <c r="C331" s="118" t="n"/>
      <c r="D331" s="118" t="n"/>
      <c r="E331" s="118" t="n"/>
      <c r="F331" s="123" t="n"/>
      <c r="G331" s="119" t="n"/>
      <c r="H331" s="123" t="n"/>
      <c r="I331" s="123" t="n"/>
      <c r="J331" s="125" t="n"/>
      <c r="K331" s="120" t="n"/>
      <c r="N331" s="117" t="n"/>
      <c r="O331" s="117" t="n"/>
      <c r="P331" s="117" t="n"/>
      <c r="Q331" s="117" t="n"/>
      <c r="R331" s="118" t="n"/>
      <c r="S331" s="119" t="n"/>
      <c r="T331" s="120" t="n"/>
      <c r="U331" s="123" t="n"/>
      <c r="V331" s="123" t="n"/>
      <c r="Y331" s="117" t="n"/>
      <c r="Z331" s="117" t="n"/>
      <c r="AA331" s="118" t="n"/>
      <c r="AB331" s="119" t="n"/>
      <c r="AC331" s="120" t="n"/>
      <c r="AD331" s="120" t="n"/>
      <c r="AE331" s="120" t="n"/>
    </row>
    <row r="332" ht="15" customHeight="1" s="72">
      <c r="A332" s="117" t="n"/>
      <c r="B332" s="117" t="n"/>
      <c r="C332" s="118" t="n"/>
      <c r="D332" s="118" t="n"/>
      <c r="E332" s="118" t="n"/>
      <c r="F332" s="123" t="n"/>
      <c r="G332" s="119" t="n"/>
      <c r="H332" s="123" t="n"/>
      <c r="I332" s="123" t="n"/>
      <c r="J332" s="125" t="n"/>
      <c r="K332" s="120" t="n"/>
      <c r="N332" s="117" t="n"/>
      <c r="O332" s="117" t="n"/>
      <c r="P332" s="117" t="n"/>
      <c r="Q332" s="117" t="n"/>
      <c r="R332" s="118" t="n"/>
      <c r="S332" s="119" t="n"/>
      <c r="T332" s="120" t="n"/>
      <c r="U332" s="123" t="n"/>
      <c r="V332" s="123" t="n"/>
      <c r="Y332" s="117" t="n"/>
      <c r="Z332" s="117" t="n"/>
      <c r="AA332" s="118" t="n"/>
      <c r="AB332" s="119" t="n"/>
      <c r="AC332" s="120" t="n"/>
      <c r="AD332" s="120" t="n"/>
      <c r="AE332" s="120" t="n"/>
    </row>
    <row r="333" ht="15" customHeight="1" s="72">
      <c r="A333" s="117" t="n"/>
      <c r="B333" s="117" t="n"/>
      <c r="C333" s="118" t="n"/>
      <c r="D333" s="118" t="n"/>
      <c r="E333" s="118" t="n"/>
      <c r="F333" s="123" t="n"/>
      <c r="G333" s="119" t="n"/>
      <c r="H333" s="123" t="n"/>
      <c r="I333" s="123" t="n"/>
      <c r="J333" s="125" t="n"/>
      <c r="K333" s="120" t="n"/>
      <c r="N333" s="117" t="n"/>
      <c r="O333" s="117" t="n"/>
      <c r="P333" s="117" t="n"/>
      <c r="Q333" s="117" t="n"/>
      <c r="R333" s="118" t="n"/>
      <c r="S333" s="119" t="n"/>
      <c r="T333" s="120" t="n"/>
      <c r="U333" s="123" t="n"/>
      <c r="V333" s="123" t="n"/>
      <c r="Y333" s="117" t="n"/>
      <c r="Z333" s="117" t="n"/>
      <c r="AA333" s="118" t="n"/>
      <c r="AB333" s="119" t="n"/>
      <c r="AC333" s="120" t="n"/>
      <c r="AD333" s="120" t="n"/>
      <c r="AE333" s="120" t="n"/>
    </row>
    <row r="334" ht="15" customHeight="1" s="72">
      <c r="A334" s="117" t="n"/>
      <c r="B334" s="117" t="n"/>
      <c r="C334" s="118" t="n"/>
      <c r="D334" s="118" t="n"/>
      <c r="E334" s="118" t="n"/>
      <c r="F334" s="123" t="n"/>
      <c r="G334" s="119" t="n"/>
      <c r="H334" s="123" t="n"/>
      <c r="I334" s="123" t="n"/>
      <c r="J334" s="125" t="n"/>
      <c r="K334" s="120" t="n"/>
      <c r="N334" s="117" t="n"/>
      <c r="O334" s="117" t="n"/>
      <c r="P334" s="117" t="n"/>
      <c r="Q334" s="117" t="n"/>
      <c r="R334" s="118" t="n"/>
      <c r="S334" s="119" t="n"/>
      <c r="T334" s="120" t="n"/>
      <c r="U334" s="123" t="n"/>
      <c r="V334" s="123" t="n"/>
      <c r="Y334" s="117" t="n"/>
      <c r="Z334" s="117" t="n"/>
      <c r="AA334" s="118" t="n"/>
      <c r="AB334" s="119" t="n"/>
      <c r="AC334" s="120" t="n"/>
      <c r="AD334" s="120" t="n"/>
      <c r="AE334" s="120" t="n"/>
    </row>
    <row r="335" ht="15" customHeight="1" s="72">
      <c r="A335" s="117" t="n"/>
      <c r="B335" s="117" t="n"/>
      <c r="C335" s="118" t="n"/>
      <c r="D335" s="118" t="n"/>
      <c r="E335" s="118" t="n"/>
      <c r="F335" s="123" t="n"/>
      <c r="G335" s="119" t="n"/>
      <c r="H335" s="123" t="n"/>
      <c r="I335" s="123" t="n"/>
      <c r="J335" s="125" t="n"/>
      <c r="K335" s="120" t="n"/>
      <c r="N335" s="117" t="n"/>
      <c r="O335" s="117" t="n"/>
      <c r="P335" s="117" t="n"/>
      <c r="Q335" s="117" t="n"/>
      <c r="R335" s="118" t="n"/>
      <c r="S335" s="119" t="n"/>
      <c r="T335" s="120" t="n"/>
      <c r="U335" s="123" t="n"/>
      <c r="V335" s="123" t="n"/>
      <c r="Y335" s="117" t="n"/>
      <c r="Z335" s="117" t="n"/>
      <c r="AA335" s="118" t="n"/>
      <c r="AB335" s="119" t="n"/>
      <c r="AC335" s="120" t="n"/>
      <c r="AD335" s="120" t="n"/>
      <c r="AE335" s="120" t="n"/>
    </row>
    <row r="336" ht="15" customHeight="1" s="72">
      <c r="A336" s="117" t="n"/>
      <c r="B336" s="117" t="n"/>
      <c r="C336" s="118" t="n"/>
      <c r="D336" s="118" t="n"/>
      <c r="E336" s="118" t="n"/>
      <c r="F336" s="123" t="n"/>
      <c r="G336" s="119" t="n"/>
      <c r="H336" s="123" t="n"/>
      <c r="I336" s="123" t="n"/>
      <c r="J336" s="125" t="n"/>
      <c r="K336" s="120" t="n"/>
      <c r="N336" s="117" t="n"/>
      <c r="O336" s="117" t="n"/>
      <c r="P336" s="117" t="n"/>
      <c r="Q336" s="117" t="n"/>
      <c r="R336" s="118" t="n"/>
      <c r="S336" s="119" t="n"/>
      <c r="T336" s="120" t="n"/>
      <c r="U336" s="123" t="n"/>
      <c r="V336" s="123" t="n"/>
      <c r="Y336" s="117" t="n"/>
      <c r="Z336" s="117" t="n"/>
      <c r="AA336" s="118" t="n"/>
      <c r="AB336" s="119" t="n"/>
      <c r="AC336" s="120" t="n"/>
      <c r="AD336" s="120" t="n"/>
      <c r="AE336" s="120" t="n"/>
    </row>
    <row r="337" ht="15" customHeight="1" s="72">
      <c r="A337" s="117" t="n"/>
      <c r="B337" s="117" t="n"/>
      <c r="C337" s="118" t="n"/>
      <c r="D337" s="118" t="n"/>
      <c r="E337" s="118" t="n"/>
      <c r="F337" s="123" t="n"/>
      <c r="G337" s="119" t="n"/>
      <c r="H337" s="123" t="n"/>
      <c r="I337" s="123" t="n"/>
      <c r="J337" s="125" t="n"/>
      <c r="K337" s="120" t="n"/>
      <c r="N337" s="117" t="n"/>
      <c r="O337" s="117" t="n"/>
      <c r="P337" s="117" t="n"/>
      <c r="Q337" s="117" t="n"/>
      <c r="R337" s="118" t="n"/>
      <c r="S337" s="119" t="n"/>
      <c r="T337" s="120" t="n"/>
      <c r="U337" s="123" t="n"/>
      <c r="V337" s="123" t="n"/>
      <c r="Y337" s="117" t="n"/>
      <c r="Z337" s="117" t="n"/>
      <c r="AA337" s="118" t="n"/>
      <c r="AB337" s="119" t="n"/>
      <c r="AC337" s="120" t="n"/>
      <c r="AD337" s="120" t="n"/>
      <c r="AE337" s="120" t="n"/>
    </row>
    <row r="338" ht="15" customHeight="1" s="72">
      <c r="A338" s="117" t="n"/>
      <c r="B338" s="117" t="n"/>
      <c r="C338" s="118" t="n"/>
      <c r="D338" s="118" t="n"/>
      <c r="E338" s="118" t="n"/>
      <c r="F338" s="123" t="n"/>
      <c r="G338" s="119" t="n"/>
      <c r="H338" s="123" t="n"/>
      <c r="I338" s="123" t="n"/>
      <c r="J338" s="125" t="n"/>
      <c r="K338" s="120" t="n"/>
      <c r="N338" s="117" t="n"/>
      <c r="O338" s="117" t="n"/>
      <c r="P338" s="117" t="n"/>
      <c r="Q338" s="117" t="n"/>
      <c r="R338" s="118" t="n"/>
      <c r="S338" s="119" t="n"/>
      <c r="T338" s="120" t="n"/>
      <c r="U338" s="123" t="n"/>
      <c r="V338" s="123" t="n"/>
      <c r="Y338" s="117" t="n"/>
      <c r="Z338" s="117" t="n"/>
      <c r="AA338" s="118" t="n"/>
      <c r="AB338" s="119" t="n"/>
      <c r="AC338" s="120" t="n"/>
      <c r="AD338" s="120" t="n"/>
      <c r="AE338" s="120" t="n"/>
    </row>
    <row r="339" ht="15" customHeight="1" s="72">
      <c r="A339" s="117" t="n"/>
      <c r="B339" s="117" t="n"/>
      <c r="C339" s="118" t="n"/>
      <c r="D339" s="118" t="n"/>
      <c r="E339" s="118" t="n"/>
      <c r="F339" s="123" t="n"/>
      <c r="G339" s="119" t="n"/>
      <c r="H339" s="123" t="n"/>
      <c r="I339" s="123" t="n"/>
      <c r="J339" s="125" t="n"/>
      <c r="K339" s="120" t="n"/>
      <c r="N339" s="117" t="n"/>
      <c r="O339" s="117" t="n"/>
      <c r="P339" s="117" t="n"/>
      <c r="Q339" s="117" t="n"/>
      <c r="R339" s="118" t="n"/>
      <c r="S339" s="119" t="n"/>
      <c r="T339" s="120" t="n"/>
      <c r="U339" s="123" t="n"/>
      <c r="V339" s="123" t="n"/>
      <c r="Y339" s="117" t="n"/>
      <c r="Z339" s="117" t="n"/>
      <c r="AA339" s="118" t="n"/>
      <c r="AB339" s="119" t="n"/>
      <c r="AC339" s="120" t="n"/>
      <c r="AD339" s="120" t="n"/>
      <c r="AE339" s="120" t="n"/>
    </row>
    <row r="340" ht="15" customHeight="1" s="72">
      <c r="A340" s="117" t="n"/>
      <c r="B340" s="117" t="n"/>
      <c r="C340" s="118" t="n"/>
      <c r="D340" s="118" t="n"/>
      <c r="E340" s="118" t="n"/>
      <c r="F340" s="123" t="n"/>
      <c r="G340" s="119" t="n"/>
      <c r="H340" s="123" t="n"/>
      <c r="I340" s="123" t="n"/>
      <c r="J340" s="125" t="n"/>
      <c r="K340" s="120" t="n"/>
      <c r="N340" s="117" t="n"/>
      <c r="O340" s="117" t="n"/>
      <c r="P340" s="117" t="n"/>
      <c r="Q340" s="117" t="n"/>
      <c r="R340" s="118" t="n"/>
      <c r="S340" s="119" t="n"/>
      <c r="T340" s="120" t="n"/>
      <c r="U340" s="123" t="n"/>
      <c r="V340" s="123" t="n"/>
      <c r="Y340" s="117" t="n"/>
      <c r="Z340" s="117" t="n"/>
      <c r="AA340" s="118" t="n"/>
      <c r="AB340" s="119" t="n"/>
      <c r="AC340" s="120" t="n"/>
      <c r="AD340" s="120" t="n"/>
      <c r="AE340" s="120" t="n"/>
    </row>
    <row r="341" ht="15" customHeight="1" s="72">
      <c r="A341" s="117" t="n"/>
      <c r="B341" s="117" t="n"/>
      <c r="C341" s="118" t="n"/>
      <c r="D341" s="118" t="n"/>
      <c r="E341" s="118" t="n"/>
      <c r="F341" s="123" t="n"/>
      <c r="G341" s="119" t="n"/>
      <c r="H341" s="123" t="n"/>
      <c r="I341" s="123" t="n"/>
      <c r="J341" s="125" t="n"/>
      <c r="K341" s="120" t="n"/>
      <c r="N341" s="117" t="n"/>
      <c r="O341" s="117" t="n"/>
      <c r="P341" s="117" t="n"/>
      <c r="Q341" s="117" t="n"/>
      <c r="R341" s="118" t="n"/>
      <c r="S341" s="119" t="n"/>
      <c r="T341" s="120" t="n"/>
      <c r="U341" s="123" t="n"/>
      <c r="V341" s="123" t="n"/>
      <c r="Y341" s="117" t="n"/>
      <c r="Z341" s="117" t="n"/>
      <c r="AA341" s="118" t="n"/>
      <c r="AB341" s="119" t="n"/>
      <c r="AC341" s="120" t="n"/>
      <c r="AD341" s="120" t="n"/>
      <c r="AE341" s="120" t="n"/>
    </row>
    <row r="342" ht="15" customHeight="1" s="72">
      <c r="A342" s="117" t="n"/>
      <c r="B342" s="117" t="n"/>
      <c r="C342" s="118" t="n"/>
      <c r="D342" s="118" t="n"/>
      <c r="E342" s="118" t="n"/>
      <c r="F342" s="123" t="n"/>
      <c r="G342" s="119" t="n"/>
      <c r="H342" s="123" t="n"/>
      <c r="I342" s="123" t="n"/>
      <c r="J342" s="125" t="n"/>
      <c r="K342" s="120" t="n"/>
      <c r="N342" s="117" t="n"/>
      <c r="O342" s="117" t="n"/>
      <c r="P342" s="117" t="n"/>
      <c r="Q342" s="117" t="n"/>
      <c r="R342" s="118" t="n"/>
      <c r="S342" s="119" t="n"/>
      <c r="T342" s="120" t="n"/>
      <c r="U342" s="123" t="n"/>
      <c r="V342" s="123" t="n"/>
      <c r="Y342" s="117" t="n"/>
      <c r="Z342" s="117" t="n"/>
      <c r="AA342" s="118" t="n"/>
      <c r="AB342" s="119" t="n"/>
      <c r="AC342" s="120" t="n"/>
      <c r="AD342" s="120" t="n"/>
      <c r="AE342" s="120" t="n"/>
    </row>
    <row r="343" ht="15" customHeight="1" s="72">
      <c r="A343" s="117" t="n"/>
      <c r="B343" s="117" t="n"/>
      <c r="C343" s="118" t="n"/>
      <c r="D343" s="118" t="n"/>
      <c r="E343" s="118" t="n"/>
      <c r="F343" s="123" t="n"/>
      <c r="G343" s="119" t="n"/>
      <c r="H343" s="123" t="n"/>
      <c r="I343" s="123" t="n"/>
      <c r="J343" s="125" t="n"/>
      <c r="K343" s="120" t="n"/>
      <c r="N343" s="117" t="n"/>
      <c r="O343" s="117" t="n"/>
      <c r="P343" s="117" t="n"/>
      <c r="Q343" s="117" t="n"/>
      <c r="R343" s="118" t="n"/>
      <c r="S343" s="119" t="n"/>
      <c r="T343" s="120" t="n"/>
      <c r="U343" s="123" t="n"/>
      <c r="V343" s="123" t="n"/>
      <c r="Y343" s="117" t="n"/>
      <c r="Z343" s="117" t="n"/>
      <c r="AA343" s="118" t="n"/>
      <c r="AB343" s="119" t="n"/>
      <c r="AC343" s="120" t="n"/>
      <c r="AD343" s="120" t="n"/>
      <c r="AE343" s="120" t="n"/>
    </row>
    <row r="344" ht="15" customHeight="1" s="72">
      <c r="A344" s="117" t="n"/>
      <c r="B344" s="117" t="n"/>
      <c r="C344" s="118" t="n"/>
      <c r="D344" s="118" t="n"/>
      <c r="E344" s="118" t="n"/>
      <c r="F344" s="123" t="n"/>
      <c r="G344" s="119" t="n"/>
      <c r="H344" s="123" t="n"/>
      <c r="I344" s="123" t="n"/>
      <c r="J344" s="125" t="n"/>
      <c r="K344" s="120" t="n"/>
      <c r="N344" s="117" t="n"/>
      <c r="O344" s="117" t="n"/>
      <c r="P344" s="117" t="n"/>
      <c r="Q344" s="117" t="n"/>
      <c r="R344" s="118" t="n"/>
      <c r="S344" s="119" t="n"/>
      <c r="T344" s="120" t="n"/>
      <c r="U344" s="123" t="n"/>
      <c r="V344" s="123" t="n"/>
      <c r="Y344" s="117" t="n"/>
      <c r="Z344" s="117" t="n"/>
      <c r="AA344" s="118" t="n"/>
      <c r="AB344" s="119" t="n"/>
      <c r="AC344" s="120" t="n"/>
      <c r="AD344" s="120" t="n"/>
      <c r="AE344" s="120" t="n"/>
    </row>
    <row r="345" ht="15" customHeight="1" s="72">
      <c r="A345" s="117" t="n"/>
      <c r="B345" s="117" t="n"/>
      <c r="C345" s="118" t="n"/>
      <c r="D345" s="118" t="n"/>
      <c r="E345" s="118" t="n"/>
      <c r="F345" s="123" t="n"/>
      <c r="G345" s="119" t="n"/>
      <c r="H345" s="123" t="n"/>
      <c r="I345" s="123" t="n"/>
      <c r="J345" s="125" t="n"/>
      <c r="K345" s="120" t="n"/>
      <c r="N345" s="117" t="n"/>
      <c r="O345" s="117" t="n"/>
      <c r="P345" s="117" t="n"/>
      <c r="Q345" s="117" t="n"/>
      <c r="R345" s="118" t="n"/>
      <c r="S345" s="119" t="n"/>
      <c r="T345" s="120" t="n"/>
      <c r="U345" s="123" t="n"/>
      <c r="V345" s="123" t="n"/>
      <c r="Y345" s="117" t="n"/>
      <c r="Z345" s="117" t="n"/>
      <c r="AA345" s="118" t="n"/>
      <c r="AB345" s="119" t="n"/>
      <c r="AC345" s="120" t="n"/>
      <c r="AD345" s="120" t="n"/>
      <c r="AE345" s="120" t="n"/>
    </row>
    <row r="346" ht="15" customHeight="1" s="72">
      <c r="A346" s="117" t="n"/>
      <c r="B346" s="117" t="n"/>
      <c r="C346" s="118" t="n"/>
      <c r="D346" s="118" t="n"/>
      <c r="E346" s="118" t="n"/>
      <c r="F346" s="123" t="n"/>
      <c r="G346" s="119" t="n"/>
      <c r="H346" s="123" t="n"/>
      <c r="I346" s="123" t="n"/>
      <c r="J346" s="125" t="n"/>
      <c r="K346" s="120" t="n"/>
      <c r="N346" s="117" t="n"/>
      <c r="O346" s="117" t="n"/>
      <c r="P346" s="117" t="n"/>
      <c r="Q346" s="117" t="n"/>
      <c r="R346" s="118" t="n"/>
      <c r="S346" s="119" t="n"/>
      <c r="T346" s="120" t="n"/>
      <c r="U346" s="123" t="n"/>
      <c r="V346" s="123" t="n"/>
      <c r="Y346" s="117" t="n"/>
      <c r="Z346" s="117" t="n"/>
      <c r="AA346" s="118" t="n"/>
      <c r="AB346" s="119" t="n"/>
      <c r="AC346" s="120" t="n"/>
      <c r="AD346" s="120" t="n"/>
      <c r="AE346" s="120" t="n"/>
    </row>
    <row r="347" ht="15" customHeight="1" s="72">
      <c r="A347" s="117" t="n"/>
      <c r="B347" s="117" t="n"/>
      <c r="C347" s="118" t="n"/>
      <c r="D347" s="118" t="n"/>
      <c r="E347" s="118" t="n"/>
      <c r="F347" s="123" t="n"/>
      <c r="G347" s="119" t="n"/>
      <c r="H347" s="123" t="n"/>
      <c r="I347" s="123" t="n"/>
      <c r="J347" s="125" t="n"/>
      <c r="K347" s="120" t="n"/>
      <c r="N347" s="117" t="n"/>
      <c r="O347" s="117" t="n"/>
      <c r="P347" s="117" t="n"/>
      <c r="Q347" s="117" t="n"/>
      <c r="R347" s="118" t="n"/>
      <c r="S347" s="119" t="n"/>
      <c r="T347" s="120" t="n"/>
      <c r="U347" s="123" t="n"/>
      <c r="V347" s="123" t="n"/>
      <c r="Y347" s="117" t="n"/>
      <c r="Z347" s="117" t="n"/>
      <c r="AA347" s="118" t="n"/>
      <c r="AB347" s="119" t="n"/>
      <c r="AC347" s="120" t="n"/>
      <c r="AD347" s="120" t="n"/>
      <c r="AE347" s="120" t="n"/>
    </row>
    <row r="348" ht="15" customHeight="1" s="72">
      <c r="A348" s="117" t="n"/>
      <c r="B348" s="117" t="n"/>
      <c r="C348" s="118" t="n"/>
      <c r="D348" s="118" t="n"/>
      <c r="E348" s="118" t="n"/>
      <c r="F348" s="123" t="n"/>
      <c r="G348" s="119" t="n"/>
      <c r="H348" s="123" t="n"/>
      <c r="I348" s="123" t="n"/>
      <c r="J348" s="125" t="n"/>
      <c r="K348" s="120" t="n"/>
      <c r="N348" s="117" t="n"/>
      <c r="O348" s="117" t="n"/>
      <c r="P348" s="117" t="n"/>
      <c r="Q348" s="117" t="n"/>
      <c r="R348" s="118" t="n"/>
      <c r="S348" s="119" t="n"/>
      <c r="T348" s="120" t="n"/>
      <c r="U348" s="123" t="n"/>
      <c r="V348" s="123" t="n"/>
      <c r="Y348" s="117" t="n"/>
      <c r="Z348" s="117" t="n"/>
      <c r="AA348" s="118" t="n"/>
      <c r="AB348" s="119" t="n"/>
      <c r="AC348" s="120" t="n"/>
      <c r="AD348" s="120" t="n"/>
      <c r="AE348" s="120" t="n"/>
    </row>
    <row r="349" ht="15" customHeight="1" s="72">
      <c r="A349" s="117" t="n"/>
      <c r="B349" s="117" t="n"/>
      <c r="C349" s="118" t="n"/>
      <c r="D349" s="118" t="n"/>
      <c r="E349" s="118" t="n"/>
      <c r="F349" s="123" t="n"/>
      <c r="G349" s="119" t="n"/>
      <c r="H349" s="123" t="n"/>
      <c r="I349" s="123" t="n"/>
      <c r="J349" s="125" t="n"/>
      <c r="K349" s="120" t="n"/>
      <c r="N349" s="117" t="n"/>
      <c r="O349" s="117" t="n"/>
      <c r="P349" s="117" t="n"/>
      <c r="Q349" s="117" t="n"/>
      <c r="R349" s="118" t="n"/>
      <c r="S349" s="119" t="n"/>
      <c r="T349" s="120" t="n"/>
      <c r="U349" s="123" t="n"/>
      <c r="V349" s="123" t="n"/>
      <c r="Y349" s="117" t="n"/>
      <c r="Z349" s="117" t="n"/>
      <c r="AA349" s="118" t="n"/>
      <c r="AB349" s="119" t="n"/>
      <c r="AC349" s="120" t="n"/>
      <c r="AD349" s="120" t="n"/>
      <c r="AE349" s="120" t="n"/>
    </row>
    <row r="350" ht="15" customHeight="1" s="72">
      <c r="A350" s="117" t="n"/>
      <c r="B350" s="117" t="n"/>
      <c r="C350" s="118" t="n"/>
      <c r="D350" s="118" t="n"/>
      <c r="E350" s="118" t="n"/>
      <c r="F350" s="123" t="n"/>
      <c r="G350" s="119" t="n"/>
      <c r="H350" s="123" t="n"/>
      <c r="I350" s="123" t="n"/>
      <c r="J350" s="125" t="n"/>
      <c r="K350" s="120" t="n"/>
      <c r="N350" s="117" t="n"/>
      <c r="O350" s="117" t="n"/>
      <c r="P350" s="117" t="n"/>
      <c r="Q350" s="117" t="n"/>
      <c r="R350" s="118" t="n"/>
      <c r="S350" s="119" t="n"/>
      <c r="T350" s="120" t="n"/>
      <c r="U350" s="123" t="n"/>
      <c r="V350" s="123" t="n"/>
      <c r="Y350" s="117" t="n"/>
      <c r="Z350" s="117" t="n"/>
      <c r="AA350" s="118" t="n"/>
      <c r="AB350" s="119" t="n"/>
      <c r="AC350" s="120" t="n"/>
      <c r="AD350" s="120" t="n"/>
      <c r="AE350" s="120" t="n"/>
    </row>
    <row r="351" ht="15" customHeight="1" s="72">
      <c r="A351" s="117" t="n"/>
      <c r="B351" s="117" t="n"/>
      <c r="C351" s="118" t="n"/>
      <c r="D351" s="118" t="n"/>
      <c r="E351" s="118" t="n"/>
      <c r="F351" s="123" t="n"/>
      <c r="G351" s="119" t="n"/>
      <c r="H351" s="123" t="n"/>
      <c r="I351" s="123" t="n"/>
      <c r="J351" s="125" t="n"/>
      <c r="K351" s="120" t="n"/>
      <c r="N351" s="117" t="n"/>
      <c r="O351" s="117" t="n"/>
      <c r="P351" s="117" t="n"/>
      <c r="Q351" s="117" t="n"/>
      <c r="R351" s="118" t="n"/>
      <c r="S351" s="119" t="n"/>
      <c r="T351" s="120" t="n"/>
      <c r="U351" s="123" t="n"/>
      <c r="V351" s="123" t="n"/>
      <c r="Y351" s="117" t="n"/>
      <c r="Z351" s="117" t="n"/>
      <c r="AA351" s="118" t="n"/>
      <c r="AB351" s="119" t="n"/>
      <c r="AC351" s="120" t="n"/>
      <c r="AD351" s="120" t="n"/>
      <c r="AE351" s="120" t="n"/>
    </row>
    <row r="352" ht="15" customHeight="1" s="72">
      <c r="A352" s="117" t="n"/>
      <c r="B352" s="117" t="n"/>
      <c r="C352" s="118" t="n"/>
      <c r="D352" s="118" t="n"/>
      <c r="E352" s="118" t="n"/>
      <c r="F352" s="123" t="n"/>
      <c r="G352" s="119" t="n"/>
      <c r="H352" s="123" t="n"/>
      <c r="I352" s="123" t="n"/>
      <c r="J352" s="125" t="n"/>
      <c r="K352" s="120" t="n"/>
      <c r="N352" s="117" t="n"/>
      <c r="O352" s="117" t="n"/>
      <c r="P352" s="117" t="n"/>
      <c r="Q352" s="117" t="n"/>
      <c r="R352" s="118" t="n"/>
      <c r="S352" s="119" t="n"/>
      <c r="T352" s="120" t="n"/>
      <c r="U352" s="123" t="n"/>
      <c r="V352" s="123" t="n"/>
      <c r="Y352" s="117" t="n"/>
      <c r="Z352" s="117" t="n"/>
      <c r="AA352" s="118" t="n"/>
      <c r="AB352" s="119" t="n"/>
      <c r="AC352" s="120" t="n"/>
      <c r="AD352" s="120" t="n"/>
      <c r="AE352" s="120" t="n"/>
    </row>
    <row r="353" ht="15" customHeight="1" s="72">
      <c r="A353" s="117" t="n"/>
      <c r="B353" s="117" t="n"/>
      <c r="C353" s="118" t="n"/>
      <c r="D353" s="118" t="n"/>
      <c r="E353" s="118" t="n"/>
      <c r="F353" s="123" t="n"/>
      <c r="G353" s="119" t="n"/>
      <c r="H353" s="123" t="n"/>
      <c r="I353" s="123" t="n"/>
      <c r="J353" s="125" t="n"/>
      <c r="K353" s="120" t="n"/>
      <c r="N353" s="117" t="n"/>
      <c r="O353" s="117" t="n"/>
      <c r="P353" s="117" t="n"/>
      <c r="Q353" s="117" t="n"/>
      <c r="R353" s="118" t="n"/>
      <c r="S353" s="119" t="n"/>
      <c r="T353" s="120" t="n"/>
      <c r="U353" s="123" t="n"/>
      <c r="V353" s="123" t="n"/>
      <c r="Y353" s="117" t="n"/>
      <c r="Z353" s="117" t="n"/>
      <c r="AA353" s="118" t="n"/>
      <c r="AB353" s="119" t="n"/>
      <c r="AC353" s="120" t="n"/>
      <c r="AD353" s="120" t="n"/>
      <c r="AE353" s="120" t="n"/>
    </row>
    <row r="354" ht="15" customHeight="1" s="72">
      <c r="A354" s="117" t="n"/>
      <c r="B354" s="117" t="n"/>
      <c r="C354" s="118" t="n"/>
      <c r="D354" s="118" t="n"/>
      <c r="E354" s="118" t="n"/>
      <c r="F354" s="123" t="n"/>
      <c r="G354" s="119" t="n"/>
      <c r="H354" s="123" t="n"/>
      <c r="I354" s="123" t="n"/>
      <c r="J354" s="125" t="n"/>
      <c r="K354" s="120" t="n"/>
      <c r="N354" s="117" t="n"/>
      <c r="O354" s="117" t="n"/>
      <c r="P354" s="117" t="n"/>
      <c r="Q354" s="117" t="n"/>
      <c r="R354" s="118" t="n"/>
      <c r="S354" s="119" t="n"/>
      <c r="T354" s="120" t="n"/>
      <c r="U354" s="123" t="n"/>
      <c r="V354" s="123" t="n"/>
      <c r="Y354" s="117" t="n"/>
      <c r="Z354" s="117" t="n"/>
      <c r="AA354" s="118" t="n"/>
      <c r="AB354" s="119" t="n"/>
      <c r="AC354" s="120" t="n"/>
      <c r="AD354" s="120" t="n"/>
      <c r="AE354" s="120" t="n"/>
    </row>
    <row r="355" ht="15" customHeight="1" s="72">
      <c r="A355" s="117" t="n"/>
      <c r="B355" s="117" t="n"/>
      <c r="C355" s="118" t="n"/>
      <c r="D355" s="118" t="n"/>
      <c r="E355" s="118" t="n"/>
      <c r="F355" s="123" t="n"/>
      <c r="G355" s="119" t="n"/>
      <c r="H355" s="123" t="n"/>
      <c r="I355" s="123" t="n"/>
      <c r="J355" s="125" t="n"/>
      <c r="K355" s="120" t="n"/>
      <c r="N355" s="117" t="n"/>
      <c r="O355" s="117" t="n"/>
      <c r="P355" s="117" t="n"/>
      <c r="Q355" s="117" t="n"/>
      <c r="R355" s="118" t="n"/>
      <c r="S355" s="119" t="n"/>
      <c r="T355" s="120" t="n"/>
      <c r="U355" s="123" t="n"/>
      <c r="V355" s="123" t="n"/>
      <c r="Y355" s="117" t="n"/>
      <c r="Z355" s="117" t="n"/>
      <c r="AA355" s="118" t="n"/>
      <c r="AB355" s="119" t="n"/>
      <c r="AC355" s="120" t="n"/>
      <c r="AD355" s="120" t="n"/>
      <c r="AE355" s="120" t="n"/>
    </row>
    <row r="356" ht="15" customHeight="1" s="72">
      <c r="A356" s="117" t="n"/>
      <c r="B356" s="117" t="n"/>
      <c r="C356" s="118" t="n"/>
      <c r="D356" s="118" t="n"/>
      <c r="E356" s="118" t="n"/>
      <c r="F356" s="123" t="n"/>
      <c r="G356" s="119" t="n"/>
      <c r="H356" s="123" t="n"/>
      <c r="I356" s="123" t="n"/>
      <c r="J356" s="125" t="n"/>
      <c r="K356" s="120" t="n"/>
      <c r="N356" s="117" t="n"/>
      <c r="O356" s="117" t="n"/>
      <c r="P356" s="117" t="n"/>
      <c r="Q356" s="117" t="n"/>
      <c r="R356" s="118" t="n"/>
      <c r="S356" s="119" t="n"/>
      <c r="T356" s="120" t="n"/>
      <c r="U356" s="123" t="n"/>
      <c r="V356" s="123" t="n"/>
      <c r="Y356" s="117" t="n"/>
      <c r="Z356" s="117" t="n"/>
      <c r="AA356" s="118" t="n"/>
      <c r="AB356" s="119" t="n"/>
      <c r="AC356" s="120" t="n"/>
      <c r="AD356" s="120" t="n"/>
      <c r="AE356" s="120" t="n"/>
    </row>
    <row r="357" ht="15" customHeight="1" s="72">
      <c r="A357" s="117" t="n"/>
      <c r="B357" s="117" t="n"/>
      <c r="C357" s="118" t="n"/>
      <c r="D357" s="118" t="n"/>
      <c r="E357" s="118" t="n"/>
      <c r="F357" s="123" t="n"/>
      <c r="G357" s="119" t="n"/>
      <c r="H357" s="123" t="n"/>
      <c r="I357" s="123" t="n"/>
      <c r="J357" s="125" t="n"/>
      <c r="K357" s="120" t="n"/>
      <c r="N357" s="117" t="n"/>
      <c r="O357" s="117" t="n"/>
      <c r="P357" s="117" t="n"/>
      <c r="Q357" s="117" t="n"/>
      <c r="R357" s="118" t="n"/>
      <c r="S357" s="119" t="n"/>
      <c r="T357" s="120" t="n"/>
      <c r="U357" s="123" t="n"/>
      <c r="V357" s="123" t="n"/>
      <c r="Y357" s="117" t="n"/>
      <c r="Z357" s="117" t="n"/>
      <c r="AA357" s="118" t="n"/>
      <c r="AB357" s="119" t="n"/>
      <c r="AC357" s="120" t="n"/>
      <c r="AD357" s="120" t="n"/>
      <c r="AE357" s="120" t="n"/>
    </row>
    <row r="358" ht="15" customHeight="1" s="72">
      <c r="A358" s="117" t="n"/>
      <c r="B358" s="117" t="n"/>
      <c r="C358" s="118" t="n"/>
      <c r="D358" s="118" t="n"/>
      <c r="E358" s="118" t="n"/>
      <c r="F358" s="123" t="n"/>
      <c r="G358" s="119" t="n"/>
      <c r="H358" s="123" t="n"/>
      <c r="I358" s="123" t="n"/>
      <c r="J358" s="125" t="n"/>
      <c r="K358" s="120" t="n"/>
      <c r="N358" s="117" t="n"/>
      <c r="O358" s="117" t="n"/>
      <c r="P358" s="117" t="n"/>
      <c r="Q358" s="117" t="n"/>
      <c r="R358" s="118" t="n"/>
      <c r="S358" s="119" t="n"/>
      <c r="T358" s="120" t="n"/>
      <c r="U358" s="123" t="n"/>
      <c r="V358" s="123" t="n"/>
      <c r="Y358" s="117" t="n"/>
      <c r="Z358" s="117" t="n"/>
      <c r="AA358" s="118" t="n"/>
      <c r="AB358" s="119" t="n"/>
      <c r="AC358" s="120" t="n"/>
      <c r="AD358" s="120" t="n"/>
      <c r="AE358" s="120" t="n"/>
    </row>
    <row r="359" ht="15" customHeight="1" s="72">
      <c r="A359" s="117" t="n"/>
      <c r="B359" s="117" t="n"/>
      <c r="C359" s="118" t="n"/>
      <c r="D359" s="118" t="n"/>
      <c r="E359" s="118" t="n"/>
      <c r="F359" s="123" t="n"/>
      <c r="G359" s="119" t="n"/>
      <c r="H359" s="123" t="n"/>
      <c r="I359" s="123" t="n"/>
      <c r="J359" s="125" t="n"/>
      <c r="K359" s="120" t="n"/>
      <c r="N359" s="117" t="n"/>
      <c r="O359" s="117" t="n"/>
      <c r="P359" s="117" t="n"/>
      <c r="Q359" s="117" t="n"/>
      <c r="R359" s="118" t="n"/>
      <c r="S359" s="119" t="n"/>
      <c r="T359" s="120" t="n"/>
      <c r="U359" s="123" t="n"/>
      <c r="V359" s="123" t="n"/>
      <c r="Y359" s="117" t="n"/>
      <c r="Z359" s="117" t="n"/>
      <c r="AA359" s="118" t="n"/>
      <c r="AB359" s="119" t="n"/>
      <c r="AC359" s="120" t="n"/>
      <c r="AD359" s="120" t="n"/>
      <c r="AE359" s="120" t="n"/>
    </row>
    <row r="360" ht="15" customHeight="1" s="72">
      <c r="A360" s="117" t="n"/>
      <c r="B360" s="117" t="n"/>
      <c r="C360" s="118" t="n"/>
      <c r="D360" s="118" t="n"/>
      <c r="E360" s="118" t="n"/>
      <c r="F360" s="123" t="n"/>
      <c r="G360" s="119" t="n"/>
      <c r="H360" s="123" t="n"/>
      <c r="I360" s="123" t="n"/>
      <c r="J360" s="125" t="n"/>
      <c r="K360" s="120" t="n"/>
      <c r="N360" s="117" t="n"/>
      <c r="O360" s="117" t="n"/>
      <c r="P360" s="117" t="n"/>
      <c r="Q360" s="117" t="n"/>
      <c r="R360" s="118" t="n"/>
      <c r="S360" s="119" t="n"/>
      <c r="T360" s="120" t="n"/>
      <c r="U360" s="123" t="n"/>
      <c r="V360" s="123" t="n"/>
      <c r="Y360" s="117" t="n"/>
      <c r="Z360" s="117" t="n"/>
      <c r="AA360" s="118" t="n"/>
      <c r="AB360" s="119" t="n"/>
      <c r="AC360" s="120" t="n"/>
      <c r="AD360" s="120" t="n"/>
      <c r="AE360" s="120" t="n"/>
    </row>
    <row r="361" ht="15" customHeight="1" s="72">
      <c r="A361" s="117" t="n"/>
      <c r="B361" s="117" t="n"/>
      <c r="C361" s="118" t="n"/>
      <c r="D361" s="118" t="n"/>
      <c r="E361" s="118" t="n"/>
      <c r="F361" s="123" t="n"/>
      <c r="G361" s="119" t="n"/>
      <c r="H361" s="123" t="n"/>
      <c r="I361" s="123" t="n"/>
      <c r="J361" s="125" t="n"/>
      <c r="K361" s="120" t="n"/>
      <c r="N361" s="117" t="n"/>
      <c r="O361" s="117" t="n"/>
      <c r="P361" s="117" t="n"/>
      <c r="Q361" s="117" t="n"/>
      <c r="R361" s="118" t="n"/>
      <c r="S361" s="119" t="n"/>
      <c r="T361" s="120" t="n"/>
      <c r="U361" s="123" t="n"/>
      <c r="V361" s="123" t="n"/>
      <c r="Y361" s="117" t="n"/>
      <c r="Z361" s="117" t="n"/>
      <c r="AA361" s="118" t="n"/>
      <c r="AB361" s="119" t="n"/>
      <c r="AC361" s="120" t="n"/>
      <c r="AD361" s="120" t="n"/>
      <c r="AE361" s="120" t="n"/>
    </row>
    <row r="362" ht="15" customHeight="1" s="72">
      <c r="A362" s="117" t="n"/>
      <c r="B362" s="117" t="n"/>
      <c r="C362" s="118" t="n"/>
      <c r="D362" s="118" t="n"/>
      <c r="E362" s="118" t="n"/>
      <c r="F362" s="123" t="n"/>
      <c r="G362" s="119" t="n"/>
      <c r="H362" s="123" t="n"/>
      <c r="I362" s="123" t="n"/>
      <c r="J362" s="125" t="n"/>
      <c r="K362" s="120" t="n"/>
      <c r="N362" s="117" t="n"/>
      <c r="O362" s="117" t="n"/>
      <c r="P362" s="117" t="n"/>
      <c r="Q362" s="117" t="n"/>
      <c r="R362" s="118" t="n"/>
      <c r="S362" s="119" t="n"/>
      <c r="T362" s="120" t="n"/>
      <c r="U362" s="123" t="n"/>
      <c r="V362" s="123" t="n"/>
      <c r="Y362" s="117" t="n"/>
      <c r="Z362" s="117" t="n"/>
      <c r="AA362" s="118" t="n"/>
      <c r="AB362" s="119" t="n"/>
      <c r="AC362" s="120" t="n"/>
      <c r="AD362" s="120" t="n"/>
      <c r="AE362" s="120" t="n"/>
    </row>
    <row r="363" ht="15" customHeight="1" s="72">
      <c r="A363" s="117" t="n"/>
      <c r="B363" s="117" t="n"/>
      <c r="C363" s="118" t="n"/>
      <c r="D363" s="118" t="n"/>
      <c r="E363" s="118" t="n"/>
      <c r="F363" s="123" t="n"/>
      <c r="G363" s="119" t="n"/>
      <c r="H363" s="123" t="n"/>
      <c r="I363" s="123" t="n"/>
      <c r="J363" s="125" t="n"/>
      <c r="K363" s="120" t="n"/>
      <c r="N363" s="117" t="n"/>
      <c r="O363" s="117" t="n"/>
      <c r="P363" s="117" t="n"/>
      <c r="Q363" s="117" t="n"/>
      <c r="R363" s="118" t="n"/>
      <c r="S363" s="119" t="n"/>
      <c r="T363" s="120" t="n"/>
      <c r="U363" s="123" t="n"/>
      <c r="V363" s="123" t="n"/>
      <c r="Y363" s="117" t="n"/>
      <c r="Z363" s="117" t="n"/>
      <c r="AA363" s="118" t="n"/>
      <c r="AB363" s="119" t="n"/>
      <c r="AC363" s="120" t="n"/>
      <c r="AD363" s="120" t="n"/>
      <c r="AE363" s="120" t="n"/>
    </row>
    <row r="364" ht="15" customHeight="1" s="72">
      <c r="A364" s="117" t="n"/>
      <c r="B364" s="117" t="n"/>
      <c r="C364" s="118" t="n"/>
      <c r="D364" s="118" t="n"/>
      <c r="E364" s="118" t="n"/>
      <c r="F364" s="123" t="n"/>
      <c r="G364" s="119" t="n"/>
      <c r="H364" s="123" t="n"/>
      <c r="I364" s="123" t="n"/>
      <c r="J364" s="125" t="n"/>
      <c r="K364" s="120" t="n"/>
      <c r="N364" s="117" t="n"/>
      <c r="O364" s="117" t="n"/>
      <c r="P364" s="117" t="n"/>
      <c r="Q364" s="117" t="n"/>
      <c r="R364" s="118" t="n"/>
      <c r="S364" s="119" t="n"/>
      <c r="T364" s="120" t="n"/>
      <c r="U364" s="123" t="n"/>
      <c r="V364" s="123" t="n"/>
      <c r="Y364" s="117" t="n"/>
      <c r="Z364" s="117" t="n"/>
      <c r="AA364" s="118" t="n"/>
      <c r="AB364" s="119" t="n"/>
      <c r="AC364" s="120" t="n"/>
      <c r="AD364" s="120" t="n"/>
      <c r="AE364" s="120" t="n"/>
    </row>
    <row r="365" ht="15" customHeight="1" s="72">
      <c r="A365" s="117" t="n"/>
      <c r="B365" s="117" t="n"/>
      <c r="C365" s="118" t="n"/>
      <c r="D365" s="118" t="n"/>
      <c r="E365" s="118" t="n"/>
      <c r="F365" s="123" t="n"/>
      <c r="G365" s="119" t="n"/>
      <c r="H365" s="123" t="n"/>
      <c r="I365" s="123" t="n"/>
      <c r="J365" s="125" t="n"/>
      <c r="K365" s="120" t="n"/>
      <c r="N365" s="117" t="n"/>
      <c r="O365" s="117" t="n"/>
      <c r="P365" s="117" t="n"/>
      <c r="Q365" s="117" t="n"/>
      <c r="R365" s="118" t="n"/>
      <c r="S365" s="119" t="n"/>
      <c r="T365" s="120" t="n"/>
      <c r="U365" s="123" t="n"/>
      <c r="V365" s="123" t="n"/>
      <c r="Y365" s="117" t="n"/>
      <c r="Z365" s="117" t="n"/>
      <c r="AA365" s="118" t="n"/>
      <c r="AB365" s="119" t="n"/>
      <c r="AC365" s="120" t="n"/>
      <c r="AD365" s="120" t="n"/>
      <c r="AE365" s="120" t="n"/>
    </row>
    <row r="366" ht="15" customHeight="1" s="72">
      <c r="A366" s="117" t="n"/>
      <c r="B366" s="117" t="n"/>
      <c r="C366" s="118" t="n"/>
      <c r="D366" s="118" t="n"/>
      <c r="E366" s="118" t="n"/>
      <c r="F366" s="123" t="n"/>
      <c r="G366" s="119" t="n"/>
      <c r="H366" s="123" t="n"/>
      <c r="I366" s="123" t="n"/>
      <c r="J366" s="125" t="n"/>
      <c r="K366" s="120" t="n"/>
      <c r="N366" s="117" t="n"/>
      <c r="O366" s="117" t="n"/>
      <c r="P366" s="117" t="n"/>
      <c r="Q366" s="117" t="n"/>
      <c r="R366" s="118" t="n"/>
      <c r="S366" s="119" t="n"/>
      <c r="T366" s="120" t="n"/>
      <c r="U366" s="123" t="n"/>
      <c r="V366" s="123" t="n"/>
      <c r="Y366" s="117" t="n"/>
      <c r="Z366" s="117" t="n"/>
      <c r="AA366" s="118" t="n"/>
      <c r="AB366" s="119" t="n"/>
      <c r="AC366" s="120" t="n"/>
      <c r="AD366" s="120" t="n"/>
      <c r="AE366" s="120" t="n"/>
    </row>
    <row r="367" ht="15" customHeight="1" s="72">
      <c r="A367" s="117" t="n"/>
      <c r="B367" s="117" t="n"/>
      <c r="C367" s="118" t="n"/>
      <c r="D367" s="118" t="n"/>
      <c r="E367" s="118" t="n"/>
      <c r="F367" s="123" t="n"/>
      <c r="G367" s="119" t="n"/>
      <c r="H367" s="123" t="n"/>
      <c r="I367" s="123" t="n"/>
      <c r="J367" s="125" t="n"/>
      <c r="K367" s="120" t="n"/>
      <c r="N367" s="117" t="n"/>
      <c r="O367" s="117" t="n"/>
      <c r="P367" s="117" t="n"/>
      <c r="Q367" s="117" t="n"/>
      <c r="R367" s="118" t="n"/>
      <c r="S367" s="119" t="n"/>
      <c r="T367" s="120" t="n"/>
      <c r="U367" s="123" t="n"/>
      <c r="V367" s="123" t="n"/>
      <c r="Y367" s="117" t="n"/>
      <c r="Z367" s="117" t="n"/>
      <c r="AA367" s="118" t="n"/>
      <c r="AB367" s="119" t="n"/>
      <c r="AC367" s="120" t="n"/>
      <c r="AD367" s="120" t="n"/>
      <c r="AE367" s="120" t="n"/>
    </row>
    <row r="368" ht="15" customHeight="1" s="72">
      <c r="A368" s="117" t="n"/>
      <c r="B368" s="117" t="n"/>
      <c r="C368" s="118" t="n"/>
      <c r="D368" s="118" t="n"/>
      <c r="E368" s="118" t="n"/>
      <c r="F368" s="123" t="n"/>
      <c r="G368" s="119" t="n"/>
      <c r="H368" s="123" t="n"/>
      <c r="I368" s="123" t="n"/>
      <c r="J368" s="125" t="n"/>
      <c r="K368" s="120" t="n"/>
      <c r="N368" s="117" t="n"/>
      <c r="O368" s="117" t="n"/>
      <c r="P368" s="117" t="n"/>
      <c r="Q368" s="117" t="n"/>
      <c r="R368" s="118" t="n"/>
      <c r="S368" s="119" t="n"/>
      <c r="T368" s="120" t="n"/>
      <c r="U368" s="123" t="n"/>
      <c r="V368" s="123" t="n"/>
      <c r="Y368" s="117" t="n"/>
      <c r="Z368" s="117" t="n"/>
      <c r="AA368" s="118" t="n"/>
      <c r="AB368" s="119" t="n"/>
      <c r="AC368" s="120" t="n"/>
      <c r="AD368" s="120" t="n"/>
      <c r="AE368" s="120" t="n"/>
    </row>
    <row r="369" ht="15" customHeight="1" s="72">
      <c r="A369" s="117" t="n"/>
      <c r="B369" s="117" t="n"/>
      <c r="C369" s="118" t="n"/>
      <c r="D369" s="118" t="n"/>
      <c r="E369" s="118" t="n"/>
      <c r="F369" s="123" t="n"/>
      <c r="G369" s="119" t="n"/>
      <c r="H369" s="123" t="n"/>
      <c r="I369" s="123" t="n"/>
      <c r="J369" s="125" t="n"/>
      <c r="K369" s="120" t="n"/>
      <c r="N369" s="117" t="n"/>
      <c r="O369" s="117" t="n"/>
      <c r="P369" s="117" t="n"/>
      <c r="Q369" s="117" t="n"/>
      <c r="R369" s="118" t="n"/>
      <c r="S369" s="119" t="n"/>
      <c r="T369" s="120" t="n"/>
      <c r="U369" s="123" t="n"/>
      <c r="V369" s="123" t="n"/>
      <c r="Y369" s="117" t="n"/>
      <c r="Z369" s="117" t="n"/>
      <c r="AA369" s="118" t="n"/>
      <c r="AB369" s="119" t="n"/>
      <c r="AC369" s="120" t="n"/>
      <c r="AD369" s="120" t="n"/>
      <c r="AE369" s="120" t="n"/>
    </row>
    <row r="370" ht="15" customHeight="1" s="72">
      <c r="A370" s="117" t="n"/>
      <c r="B370" s="117" t="n"/>
      <c r="C370" s="118" t="n"/>
      <c r="D370" s="118" t="n"/>
      <c r="E370" s="118" t="n"/>
      <c r="F370" s="123" t="n"/>
      <c r="G370" s="119" t="n"/>
      <c r="H370" s="123" t="n"/>
      <c r="I370" s="123" t="n"/>
      <c r="J370" s="125" t="n"/>
      <c r="K370" s="120" t="n"/>
      <c r="N370" s="117" t="n"/>
      <c r="O370" s="117" t="n"/>
      <c r="P370" s="117" t="n"/>
      <c r="Q370" s="117" t="n"/>
      <c r="R370" s="118" t="n"/>
      <c r="S370" s="119" t="n"/>
      <c r="T370" s="120" t="n"/>
      <c r="U370" s="123" t="n"/>
      <c r="V370" s="123" t="n"/>
      <c r="Y370" s="117" t="n"/>
      <c r="Z370" s="117" t="n"/>
      <c r="AA370" s="118" t="n"/>
      <c r="AB370" s="119" t="n"/>
      <c r="AC370" s="120" t="n"/>
      <c r="AD370" s="120" t="n"/>
      <c r="AE370" s="120" t="n"/>
    </row>
    <row r="371" ht="15" customHeight="1" s="72">
      <c r="A371" s="117" t="n"/>
      <c r="B371" s="117" t="n"/>
      <c r="C371" s="118" t="n"/>
      <c r="D371" s="118" t="n"/>
      <c r="E371" s="118" t="n"/>
      <c r="F371" s="123" t="n"/>
      <c r="G371" s="119" t="n"/>
      <c r="H371" s="123" t="n"/>
      <c r="I371" s="123" t="n"/>
      <c r="J371" s="125" t="n"/>
      <c r="K371" s="120" t="n"/>
      <c r="N371" s="117" t="n"/>
      <c r="O371" s="117" t="n"/>
      <c r="P371" s="117" t="n"/>
      <c r="Q371" s="117" t="n"/>
      <c r="R371" s="118" t="n"/>
      <c r="S371" s="119" t="n"/>
      <c r="T371" s="120" t="n"/>
      <c r="U371" s="123" t="n"/>
      <c r="V371" s="123" t="n"/>
      <c r="Y371" s="117" t="n"/>
      <c r="Z371" s="117" t="n"/>
      <c r="AA371" s="118" t="n"/>
      <c r="AB371" s="119" t="n"/>
      <c r="AC371" s="120" t="n"/>
      <c r="AD371" s="120" t="n"/>
      <c r="AE371" s="120" t="n"/>
    </row>
    <row r="372" ht="15" customHeight="1" s="72">
      <c r="A372" s="117" t="n"/>
      <c r="B372" s="117" t="n"/>
      <c r="C372" s="118" t="n"/>
      <c r="D372" s="118" t="n"/>
      <c r="E372" s="118" t="n"/>
      <c r="F372" s="123" t="n"/>
      <c r="G372" s="119" t="n"/>
      <c r="H372" s="123" t="n"/>
      <c r="I372" s="123" t="n"/>
      <c r="J372" s="125" t="n"/>
      <c r="K372" s="120" t="n"/>
      <c r="N372" s="117" t="n"/>
      <c r="O372" s="117" t="n"/>
      <c r="P372" s="117" t="n"/>
      <c r="Q372" s="117" t="n"/>
      <c r="R372" s="118" t="n"/>
      <c r="S372" s="119" t="n"/>
      <c r="T372" s="120" t="n"/>
      <c r="U372" s="123" t="n"/>
      <c r="V372" s="123" t="n"/>
      <c r="Y372" s="117" t="n"/>
      <c r="Z372" s="117" t="n"/>
      <c r="AA372" s="118" t="n"/>
      <c r="AB372" s="119" t="n"/>
      <c r="AC372" s="120" t="n"/>
      <c r="AD372" s="120" t="n"/>
      <c r="AE372" s="120" t="n"/>
    </row>
    <row r="373" ht="15" customHeight="1" s="72">
      <c r="A373" s="117" t="n"/>
      <c r="B373" s="117" t="n"/>
      <c r="C373" s="118" t="n"/>
      <c r="D373" s="118" t="n"/>
      <c r="E373" s="118" t="n"/>
      <c r="F373" s="123" t="n"/>
      <c r="G373" s="119" t="n"/>
      <c r="H373" s="123" t="n"/>
      <c r="I373" s="123" t="n"/>
      <c r="J373" s="125" t="n"/>
      <c r="K373" s="120" t="n"/>
      <c r="N373" s="117" t="n"/>
      <c r="O373" s="117" t="n"/>
      <c r="P373" s="117" t="n"/>
      <c r="Q373" s="117" t="n"/>
      <c r="R373" s="118" t="n"/>
      <c r="S373" s="119" t="n"/>
      <c r="T373" s="120" t="n"/>
      <c r="U373" s="123" t="n"/>
      <c r="V373" s="123" t="n"/>
      <c r="Y373" s="117" t="n"/>
      <c r="Z373" s="117" t="n"/>
      <c r="AA373" s="118" t="n"/>
      <c r="AB373" s="119" t="n"/>
      <c r="AC373" s="120" t="n"/>
      <c r="AD373" s="120" t="n"/>
      <c r="AE373" s="120" t="n"/>
    </row>
    <row r="374" ht="15" customHeight="1" s="72">
      <c r="A374" s="117" t="n"/>
      <c r="B374" s="117" t="n"/>
      <c r="C374" s="118" t="n"/>
      <c r="D374" s="118" t="n"/>
      <c r="E374" s="118" t="n"/>
      <c r="F374" s="123" t="n"/>
      <c r="G374" s="119" t="n"/>
      <c r="H374" s="123" t="n"/>
      <c r="I374" s="123" t="n"/>
      <c r="J374" s="125" t="n"/>
      <c r="K374" s="120" t="n"/>
      <c r="N374" s="117" t="n"/>
      <c r="O374" s="117" t="n"/>
      <c r="P374" s="117" t="n"/>
      <c r="Q374" s="117" t="n"/>
      <c r="R374" s="118" t="n"/>
      <c r="S374" s="119" t="n"/>
      <c r="T374" s="120" t="n"/>
      <c r="U374" s="123" t="n"/>
      <c r="V374" s="123" t="n"/>
      <c r="Y374" s="117" t="n"/>
      <c r="Z374" s="117" t="n"/>
      <c r="AA374" s="118" t="n"/>
      <c r="AB374" s="119" t="n"/>
      <c r="AC374" s="120" t="n"/>
      <c r="AD374" s="120" t="n"/>
      <c r="AE374" s="120" t="n"/>
    </row>
    <row r="375" ht="15" customHeight="1" s="72">
      <c r="A375" s="117" t="n"/>
      <c r="B375" s="117" t="n"/>
      <c r="C375" s="118" t="n"/>
      <c r="D375" s="118" t="n"/>
      <c r="E375" s="118" t="n"/>
      <c r="F375" s="123" t="n"/>
      <c r="G375" s="119" t="n"/>
      <c r="H375" s="123" t="n"/>
      <c r="I375" s="123" t="n"/>
      <c r="J375" s="125" t="n"/>
      <c r="K375" s="120" t="n"/>
      <c r="N375" s="117" t="n"/>
      <c r="O375" s="117" t="n"/>
      <c r="P375" s="117" t="n"/>
      <c r="Q375" s="117" t="n"/>
      <c r="R375" s="118" t="n"/>
      <c r="S375" s="119" t="n"/>
      <c r="T375" s="120" t="n"/>
      <c r="U375" s="123" t="n"/>
      <c r="V375" s="123" t="n"/>
      <c r="Y375" s="117" t="n"/>
      <c r="Z375" s="117" t="n"/>
      <c r="AA375" s="118" t="n"/>
      <c r="AB375" s="119" t="n"/>
      <c r="AC375" s="120" t="n"/>
      <c r="AD375" s="120" t="n"/>
      <c r="AE375" s="120" t="n"/>
    </row>
    <row r="376" ht="15" customHeight="1" s="72">
      <c r="A376" s="117" t="n"/>
      <c r="B376" s="117" t="n"/>
      <c r="C376" s="118" t="n"/>
      <c r="D376" s="118" t="n"/>
      <c r="E376" s="118" t="n"/>
      <c r="F376" s="123" t="n"/>
      <c r="G376" s="119" t="n"/>
      <c r="H376" s="123" t="n"/>
      <c r="I376" s="123" t="n"/>
      <c r="J376" s="125" t="n"/>
      <c r="K376" s="120" t="n"/>
      <c r="N376" s="117" t="n"/>
      <c r="O376" s="117" t="n"/>
      <c r="P376" s="117" t="n"/>
      <c r="Q376" s="117" t="n"/>
      <c r="R376" s="118" t="n"/>
      <c r="S376" s="119" t="n"/>
      <c r="T376" s="120" t="n"/>
      <c r="U376" s="123" t="n"/>
      <c r="V376" s="123" t="n"/>
      <c r="Y376" s="117" t="n"/>
      <c r="Z376" s="117" t="n"/>
      <c r="AA376" s="118" t="n"/>
      <c r="AB376" s="119" t="n"/>
      <c r="AC376" s="120" t="n"/>
      <c r="AD376" s="120" t="n"/>
      <c r="AE376" s="120" t="n"/>
    </row>
    <row r="377" ht="15" customHeight="1" s="72">
      <c r="A377" s="117" t="n"/>
      <c r="B377" s="117" t="n"/>
      <c r="C377" s="118" t="n"/>
      <c r="D377" s="118" t="n"/>
      <c r="E377" s="118" t="n"/>
      <c r="F377" s="123" t="n"/>
      <c r="G377" s="119" t="n"/>
      <c r="H377" s="123" t="n"/>
      <c r="I377" s="123" t="n"/>
      <c r="J377" s="125" t="n"/>
      <c r="K377" s="120" t="n"/>
      <c r="N377" s="117" t="n"/>
      <c r="O377" s="117" t="n"/>
      <c r="P377" s="117" t="n"/>
      <c r="Q377" s="117" t="n"/>
      <c r="R377" s="118" t="n"/>
      <c r="S377" s="119" t="n"/>
      <c r="T377" s="120" t="n"/>
      <c r="U377" s="123" t="n"/>
      <c r="V377" s="123" t="n"/>
      <c r="Y377" s="117" t="n"/>
      <c r="Z377" s="117" t="n"/>
      <c r="AA377" s="118" t="n"/>
      <c r="AB377" s="119" t="n"/>
      <c r="AC377" s="120" t="n"/>
      <c r="AD377" s="120" t="n"/>
      <c r="AE377" s="120" t="n"/>
    </row>
    <row r="378" ht="15" customHeight="1" s="72">
      <c r="A378" s="117" t="n"/>
      <c r="B378" s="117" t="n"/>
      <c r="C378" s="118" t="n"/>
      <c r="D378" s="118" t="n"/>
      <c r="E378" s="118" t="n"/>
      <c r="F378" s="123" t="n"/>
      <c r="G378" s="119" t="n"/>
      <c r="H378" s="123" t="n"/>
      <c r="I378" s="123" t="n"/>
      <c r="J378" s="125" t="n"/>
      <c r="K378" s="120" t="n"/>
      <c r="N378" s="117" t="n"/>
      <c r="O378" s="117" t="n"/>
      <c r="P378" s="117" t="n"/>
      <c r="Q378" s="117" t="n"/>
      <c r="R378" s="118" t="n"/>
      <c r="S378" s="119" t="n"/>
      <c r="T378" s="120" t="n"/>
      <c r="U378" s="123" t="n"/>
      <c r="V378" s="123" t="n"/>
      <c r="Y378" s="117" t="n"/>
      <c r="Z378" s="117" t="n"/>
      <c r="AA378" s="118" t="n"/>
      <c r="AB378" s="119" t="n"/>
      <c r="AC378" s="120" t="n"/>
      <c r="AD378" s="120" t="n"/>
      <c r="AE378" s="120" t="n"/>
    </row>
    <row r="379" ht="15" customHeight="1" s="72">
      <c r="A379" s="117" t="n"/>
      <c r="B379" s="117" t="n"/>
      <c r="C379" s="118" t="n"/>
      <c r="D379" s="118" t="n"/>
      <c r="E379" s="118" t="n"/>
      <c r="F379" s="123" t="n"/>
      <c r="G379" s="119" t="n"/>
      <c r="H379" s="123" t="n"/>
      <c r="I379" s="123" t="n"/>
      <c r="J379" s="125" t="n"/>
      <c r="K379" s="120" t="n"/>
      <c r="N379" s="117" t="n"/>
      <c r="O379" s="117" t="n"/>
      <c r="P379" s="117" t="n"/>
      <c r="Q379" s="117" t="n"/>
      <c r="R379" s="118" t="n"/>
      <c r="S379" s="119" t="n"/>
      <c r="T379" s="120" t="n"/>
      <c r="U379" s="123" t="n"/>
      <c r="V379" s="123" t="n"/>
      <c r="Y379" s="117" t="n"/>
      <c r="Z379" s="117" t="n"/>
      <c r="AA379" s="118" t="n"/>
      <c r="AB379" s="119" t="n"/>
      <c r="AC379" s="120" t="n"/>
      <c r="AD379" s="120" t="n"/>
      <c r="AE379" s="120" t="n"/>
    </row>
    <row r="380" ht="15" customHeight="1" s="72">
      <c r="A380" s="117" t="n"/>
      <c r="B380" s="117" t="n"/>
      <c r="C380" s="118" t="n"/>
      <c r="D380" s="118" t="n"/>
      <c r="E380" s="118" t="n"/>
      <c r="F380" s="123" t="n"/>
      <c r="G380" s="119" t="n"/>
      <c r="H380" s="123" t="n"/>
      <c r="I380" s="123" t="n"/>
      <c r="J380" s="125" t="n"/>
      <c r="K380" s="120" t="n"/>
      <c r="N380" s="117" t="n"/>
      <c r="O380" s="117" t="n"/>
      <c r="P380" s="117" t="n"/>
      <c r="Q380" s="117" t="n"/>
      <c r="R380" s="118" t="n"/>
      <c r="S380" s="119" t="n"/>
      <c r="T380" s="120" t="n"/>
      <c r="U380" s="123" t="n"/>
      <c r="V380" s="123" t="n"/>
      <c r="Y380" s="117" t="n"/>
      <c r="Z380" s="117" t="n"/>
      <c r="AA380" s="118" t="n"/>
      <c r="AB380" s="119" t="n"/>
      <c r="AC380" s="120" t="n"/>
      <c r="AD380" s="120" t="n"/>
      <c r="AE380" s="120" t="n"/>
    </row>
    <row r="381" ht="15" customHeight="1" s="72">
      <c r="A381" s="117" t="n"/>
      <c r="B381" s="117" t="n"/>
      <c r="C381" s="118" t="n"/>
      <c r="D381" s="118" t="n"/>
      <c r="E381" s="118" t="n"/>
      <c r="F381" s="123" t="n"/>
      <c r="G381" s="119" t="n"/>
      <c r="H381" s="123" t="n"/>
      <c r="I381" s="123" t="n"/>
      <c r="J381" s="125" t="n"/>
      <c r="K381" s="120" t="n"/>
      <c r="N381" s="117" t="n"/>
      <c r="O381" s="117" t="n"/>
      <c r="P381" s="117" t="n"/>
      <c r="Q381" s="117" t="n"/>
      <c r="R381" s="118" t="n"/>
      <c r="S381" s="119" t="n"/>
      <c r="T381" s="120" t="n"/>
      <c r="U381" s="123" t="n"/>
      <c r="V381" s="123" t="n"/>
      <c r="Y381" s="117" t="n"/>
      <c r="Z381" s="117" t="n"/>
      <c r="AA381" s="118" t="n"/>
      <c r="AB381" s="119" t="n"/>
      <c r="AC381" s="120" t="n"/>
      <c r="AD381" s="120" t="n"/>
      <c r="AE381" s="120" t="n"/>
    </row>
    <row r="382" ht="15" customHeight="1" s="72">
      <c r="A382" s="117" t="n"/>
      <c r="B382" s="117" t="n"/>
      <c r="C382" s="118" t="n"/>
      <c r="D382" s="118" t="n"/>
      <c r="E382" s="118" t="n"/>
      <c r="F382" s="123" t="n"/>
      <c r="G382" s="119" t="n"/>
      <c r="H382" s="123" t="n"/>
      <c r="I382" s="123" t="n"/>
      <c r="J382" s="125" t="n"/>
      <c r="K382" s="120" t="n"/>
      <c r="N382" s="117" t="n"/>
      <c r="O382" s="117" t="n"/>
      <c r="P382" s="117" t="n"/>
      <c r="Q382" s="117" t="n"/>
      <c r="R382" s="118" t="n"/>
      <c r="S382" s="119" t="n"/>
      <c r="T382" s="120" t="n"/>
      <c r="U382" s="123" t="n"/>
      <c r="V382" s="123" t="n"/>
      <c r="Y382" s="117" t="n"/>
      <c r="Z382" s="117" t="n"/>
      <c r="AA382" s="118" t="n"/>
      <c r="AB382" s="119" t="n"/>
      <c r="AC382" s="120" t="n"/>
      <c r="AD382" s="120" t="n"/>
      <c r="AE382" s="120" t="n"/>
    </row>
    <row r="383" ht="15" customHeight="1" s="72">
      <c r="A383" s="117" t="n"/>
      <c r="B383" s="117" t="n"/>
      <c r="C383" s="118" t="n"/>
      <c r="D383" s="118" t="n"/>
      <c r="E383" s="118" t="n"/>
      <c r="F383" s="123" t="n"/>
      <c r="G383" s="119" t="n"/>
      <c r="H383" s="123" t="n"/>
      <c r="I383" s="123" t="n"/>
      <c r="J383" s="125" t="n"/>
      <c r="K383" s="120" t="n"/>
      <c r="N383" s="117" t="n"/>
      <c r="O383" s="117" t="n"/>
      <c r="P383" s="117" t="n"/>
      <c r="Q383" s="117" t="n"/>
      <c r="R383" s="118" t="n"/>
      <c r="S383" s="119" t="n"/>
      <c r="T383" s="120" t="n"/>
      <c r="U383" s="123" t="n"/>
      <c r="V383" s="123" t="n"/>
      <c r="Y383" s="117" t="n"/>
      <c r="Z383" s="117" t="n"/>
      <c r="AA383" s="118" t="n"/>
      <c r="AB383" s="119" t="n"/>
      <c r="AC383" s="120" t="n"/>
      <c r="AD383" s="120" t="n"/>
      <c r="AE383" s="120" t="n"/>
    </row>
    <row r="384" ht="15" customHeight="1" s="72">
      <c r="A384" s="117" t="n"/>
      <c r="B384" s="117" t="n"/>
      <c r="C384" s="118" t="n"/>
      <c r="D384" s="118" t="n"/>
      <c r="E384" s="118" t="n"/>
      <c r="F384" s="123" t="n"/>
      <c r="G384" s="119" t="n"/>
      <c r="H384" s="123" t="n"/>
      <c r="I384" s="123" t="n"/>
      <c r="J384" s="125" t="n"/>
      <c r="K384" s="120" t="n"/>
      <c r="N384" s="117" t="n"/>
      <c r="O384" s="117" t="n"/>
      <c r="P384" s="117" t="n"/>
      <c r="Q384" s="117" t="n"/>
      <c r="R384" s="118" t="n"/>
      <c r="S384" s="119" t="n"/>
      <c r="T384" s="120" t="n"/>
      <c r="U384" s="123" t="n"/>
      <c r="V384" s="123" t="n"/>
      <c r="Y384" s="117" t="n"/>
      <c r="Z384" s="117" t="n"/>
      <c r="AA384" s="118" t="n"/>
      <c r="AB384" s="119" t="n"/>
      <c r="AC384" s="120" t="n"/>
      <c r="AD384" s="120" t="n"/>
      <c r="AE384" s="120" t="n"/>
    </row>
    <row r="385" ht="15" customHeight="1" s="72">
      <c r="A385" s="117" t="n"/>
      <c r="B385" s="117" t="n"/>
      <c r="C385" s="118" t="n"/>
      <c r="D385" s="118" t="n"/>
      <c r="E385" s="118" t="n"/>
      <c r="F385" s="123" t="n"/>
      <c r="G385" s="119" t="n"/>
      <c r="H385" s="123" t="n"/>
      <c r="I385" s="123" t="n"/>
      <c r="J385" s="125" t="n"/>
      <c r="K385" s="120" t="n"/>
      <c r="N385" s="117" t="n"/>
      <c r="O385" s="117" t="n"/>
      <c r="P385" s="117" t="n"/>
      <c r="Q385" s="117" t="n"/>
      <c r="R385" s="118" t="n"/>
      <c r="S385" s="119" t="n"/>
      <c r="T385" s="120" t="n"/>
      <c r="U385" s="123" t="n"/>
      <c r="V385" s="123" t="n"/>
      <c r="Y385" s="117" t="n"/>
      <c r="Z385" s="117" t="n"/>
      <c r="AA385" s="118" t="n"/>
      <c r="AB385" s="119" t="n"/>
      <c r="AC385" s="120" t="n"/>
      <c r="AD385" s="120" t="n"/>
      <c r="AE385" s="120" t="n"/>
    </row>
    <row r="386" ht="15" customHeight="1" s="72">
      <c r="A386" s="117" t="n"/>
      <c r="B386" s="117" t="n"/>
      <c r="C386" s="118" t="n"/>
      <c r="D386" s="118" t="n"/>
      <c r="E386" s="118" t="n"/>
      <c r="F386" s="123" t="n"/>
      <c r="G386" s="119" t="n"/>
      <c r="H386" s="123" t="n"/>
      <c r="I386" s="123" t="n"/>
      <c r="J386" s="125" t="n"/>
      <c r="K386" s="120" t="n"/>
      <c r="N386" s="117" t="n"/>
      <c r="O386" s="117" t="n"/>
      <c r="P386" s="117" t="n"/>
      <c r="Q386" s="117" t="n"/>
      <c r="R386" s="118" t="n"/>
      <c r="S386" s="119" t="n"/>
      <c r="T386" s="120" t="n"/>
      <c r="U386" s="123" t="n"/>
      <c r="V386" s="123" t="n"/>
      <c r="Y386" s="117" t="n"/>
      <c r="Z386" s="117" t="n"/>
      <c r="AA386" s="118" t="n"/>
      <c r="AB386" s="119" t="n"/>
      <c r="AC386" s="120" t="n"/>
      <c r="AD386" s="120" t="n"/>
      <c r="AE386" s="120" t="n"/>
    </row>
    <row r="387" ht="15" customHeight="1" s="72">
      <c r="A387" s="117" t="n"/>
      <c r="B387" s="117" t="n"/>
      <c r="C387" s="118" t="n"/>
      <c r="D387" s="118" t="n"/>
      <c r="E387" s="118" t="n"/>
      <c r="F387" s="123" t="n"/>
      <c r="G387" s="119" t="n"/>
      <c r="H387" s="123" t="n"/>
      <c r="I387" s="123" t="n"/>
      <c r="J387" s="125" t="n"/>
      <c r="K387" s="120" t="n"/>
      <c r="N387" s="117" t="n"/>
      <c r="O387" s="117" t="n"/>
      <c r="P387" s="117" t="n"/>
      <c r="Q387" s="117" t="n"/>
      <c r="R387" s="118" t="n"/>
      <c r="S387" s="119" t="n"/>
      <c r="T387" s="120" t="n"/>
      <c r="U387" s="123" t="n"/>
      <c r="V387" s="123" t="n"/>
      <c r="Y387" s="117" t="n"/>
      <c r="Z387" s="117" t="n"/>
      <c r="AA387" s="118" t="n"/>
      <c r="AB387" s="119" t="n"/>
      <c r="AC387" s="120" t="n"/>
      <c r="AD387" s="120" t="n"/>
      <c r="AE387" s="120" t="n"/>
    </row>
    <row r="388" ht="15" customHeight="1" s="72">
      <c r="A388" s="117" t="n"/>
      <c r="B388" s="117" t="n"/>
      <c r="C388" s="118" t="n"/>
      <c r="D388" s="118" t="n"/>
      <c r="E388" s="118" t="n"/>
      <c r="F388" s="123" t="n"/>
      <c r="G388" s="119" t="n"/>
      <c r="H388" s="123" t="n"/>
      <c r="I388" s="123" t="n"/>
      <c r="J388" s="125" t="n"/>
      <c r="K388" s="120" t="n"/>
      <c r="N388" s="117" t="n"/>
      <c r="O388" s="117" t="n"/>
      <c r="P388" s="117" t="n"/>
      <c r="Q388" s="117" t="n"/>
      <c r="R388" s="118" t="n"/>
      <c r="S388" s="119" t="n"/>
      <c r="T388" s="120" t="n"/>
      <c r="U388" s="123" t="n"/>
      <c r="V388" s="123" t="n"/>
      <c r="Y388" s="117" t="n"/>
      <c r="Z388" s="117" t="n"/>
      <c r="AA388" s="118" t="n"/>
      <c r="AB388" s="119" t="n"/>
      <c r="AC388" s="120" t="n"/>
      <c r="AD388" s="120" t="n"/>
      <c r="AE388" s="120" t="n"/>
    </row>
    <row r="389" ht="15" customHeight="1" s="72">
      <c r="A389" s="117" t="n"/>
      <c r="B389" s="117" t="n"/>
      <c r="C389" s="118" t="n"/>
      <c r="D389" s="118" t="n"/>
      <c r="E389" s="118" t="n"/>
      <c r="F389" s="123" t="n"/>
      <c r="G389" s="119" t="n"/>
      <c r="H389" s="123" t="n"/>
      <c r="I389" s="123" t="n"/>
      <c r="J389" s="125" t="n"/>
      <c r="K389" s="120" t="n"/>
      <c r="N389" s="117" t="n"/>
      <c r="O389" s="117" t="n"/>
      <c r="P389" s="117" t="n"/>
      <c r="Q389" s="117" t="n"/>
      <c r="R389" s="118" t="n"/>
      <c r="S389" s="119" t="n"/>
      <c r="T389" s="120" t="n"/>
      <c r="U389" s="123" t="n"/>
      <c r="V389" s="123" t="n"/>
      <c r="Y389" s="117" t="n"/>
      <c r="Z389" s="117" t="n"/>
      <c r="AA389" s="118" t="n"/>
      <c r="AB389" s="119" t="n"/>
      <c r="AC389" s="120" t="n"/>
      <c r="AD389" s="120" t="n"/>
      <c r="AE389" s="120" t="n"/>
    </row>
    <row r="390" ht="15" customHeight="1" s="72">
      <c r="A390" s="117" t="n"/>
      <c r="B390" s="117" t="n"/>
      <c r="C390" s="118" t="n"/>
      <c r="D390" s="118" t="n"/>
      <c r="E390" s="118" t="n"/>
      <c r="F390" s="123" t="n"/>
      <c r="G390" s="119" t="n"/>
      <c r="H390" s="123" t="n"/>
      <c r="I390" s="123" t="n"/>
      <c r="J390" s="125" t="n"/>
      <c r="K390" s="120" t="n"/>
      <c r="N390" s="117" t="n"/>
      <c r="O390" s="117" t="n"/>
      <c r="P390" s="117" t="n"/>
      <c r="Q390" s="117" t="n"/>
      <c r="R390" s="118" t="n"/>
      <c r="S390" s="119" t="n"/>
      <c r="T390" s="120" t="n"/>
      <c r="U390" s="123" t="n"/>
      <c r="V390" s="123" t="n"/>
      <c r="Y390" s="117" t="n"/>
      <c r="Z390" s="117" t="n"/>
      <c r="AA390" s="118" t="n"/>
      <c r="AB390" s="119" t="n"/>
      <c r="AC390" s="120" t="n"/>
      <c r="AD390" s="120" t="n"/>
      <c r="AE390" s="120" t="n"/>
    </row>
    <row r="391" ht="15" customHeight="1" s="72">
      <c r="A391" s="117" t="n"/>
      <c r="B391" s="117" t="n"/>
      <c r="C391" s="118" t="n"/>
      <c r="D391" s="118" t="n"/>
      <c r="E391" s="118" t="n"/>
      <c r="F391" s="123" t="n"/>
      <c r="G391" s="119" t="n"/>
      <c r="H391" s="123" t="n"/>
      <c r="I391" s="123" t="n"/>
      <c r="J391" s="125" t="n"/>
      <c r="K391" s="120" t="n"/>
      <c r="N391" s="117" t="n"/>
      <c r="O391" s="117" t="n"/>
      <c r="P391" s="117" t="n"/>
      <c r="Q391" s="117" t="n"/>
      <c r="R391" s="118" t="n"/>
      <c r="S391" s="119" t="n"/>
      <c r="T391" s="120" t="n"/>
      <c r="U391" s="123" t="n"/>
      <c r="V391" s="123" t="n"/>
      <c r="Y391" s="117" t="n"/>
      <c r="Z391" s="117" t="n"/>
      <c r="AA391" s="118" t="n"/>
      <c r="AB391" s="119" t="n"/>
      <c r="AC391" s="120" t="n"/>
      <c r="AD391" s="120" t="n"/>
      <c r="AE391" s="120" t="n"/>
    </row>
    <row r="392" ht="15" customHeight="1" s="72">
      <c r="A392" s="117" t="n"/>
      <c r="B392" s="117" t="n"/>
      <c r="C392" s="118" t="n"/>
      <c r="D392" s="118" t="n"/>
      <c r="E392" s="118" t="n"/>
      <c r="F392" s="123" t="n"/>
      <c r="G392" s="119" t="n"/>
      <c r="H392" s="123" t="n"/>
      <c r="I392" s="123" t="n"/>
      <c r="J392" s="125" t="n"/>
      <c r="K392" s="120" t="n"/>
      <c r="N392" s="117" t="n"/>
      <c r="O392" s="117" t="n"/>
      <c r="P392" s="117" t="n"/>
      <c r="Q392" s="117" t="n"/>
      <c r="R392" s="118" t="n"/>
      <c r="S392" s="119" t="n"/>
      <c r="T392" s="120" t="n"/>
      <c r="U392" s="123" t="n"/>
      <c r="V392" s="123" t="n"/>
      <c r="Y392" s="117" t="n"/>
      <c r="Z392" s="117" t="n"/>
      <c r="AA392" s="118" t="n"/>
      <c r="AB392" s="119" t="n"/>
      <c r="AC392" s="120" t="n"/>
      <c r="AD392" s="120" t="n"/>
      <c r="AE392" s="120" t="n"/>
    </row>
    <row r="393" ht="15" customHeight="1" s="72">
      <c r="A393" s="117" t="n"/>
      <c r="B393" s="117" t="n"/>
      <c r="C393" s="118" t="n"/>
      <c r="D393" s="118" t="n"/>
      <c r="E393" s="118" t="n"/>
      <c r="F393" s="123" t="n"/>
      <c r="G393" s="119" t="n"/>
      <c r="H393" s="123" t="n"/>
      <c r="I393" s="123" t="n"/>
      <c r="J393" s="125" t="n"/>
      <c r="K393" s="120" t="n"/>
      <c r="N393" s="117" t="n"/>
      <c r="O393" s="117" t="n"/>
      <c r="P393" s="117" t="n"/>
      <c r="Q393" s="117" t="n"/>
      <c r="R393" s="118" t="n"/>
      <c r="S393" s="119" t="n"/>
      <c r="T393" s="120" t="n"/>
      <c r="U393" s="123" t="n"/>
      <c r="V393" s="123" t="n"/>
      <c r="Y393" s="117" t="n"/>
      <c r="Z393" s="117" t="n"/>
      <c r="AA393" s="118" t="n"/>
      <c r="AB393" s="119" t="n"/>
      <c r="AC393" s="120" t="n"/>
      <c r="AD393" s="120" t="n"/>
      <c r="AE393" s="120" t="n"/>
    </row>
    <row r="394" ht="15" customHeight="1" s="72">
      <c r="A394" s="117" t="n"/>
      <c r="B394" s="117" t="n"/>
      <c r="C394" s="118" t="n"/>
      <c r="D394" s="118" t="n"/>
      <c r="E394" s="118" t="n"/>
      <c r="F394" s="123" t="n"/>
      <c r="G394" s="119" t="n"/>
      <c r="H394" s="123" t="n"/>
      <c r="I394" s="123" t="n"/>
      <c r="J394" s="125" t="n"/>
      <c r="K394" s="120" t="n"/>
      <c r="N394" s="117" t="n"/>
      <c r="O394" s="117" t="n"/>
      <c r="P394" s="117" t="n"/>
      <c r="Q394" s="117" t="n"/>
      <c r="R394" s="118" t="n"/>
      <c r="S394" s="119" t="n"/>
      <c r="T394" s="120" t="n"/>
      <c r="U394" s="123" t="n"/>
      <c r="V394" s="123" t="n"/>
      <c r="Y394" s="117" t="n"/>
      <c r="Z394" s="117" t="n"/>
      <c r="AA394" s="118" t="n"/>
      <c r="AB394" s="119" t="n"/>
      <c r="AC394" s="120" t="n"/>
      <c r="AD394" s="120" t="n"/>
      <c r="AE394" s="120" t="n"/>
    </row>
    <row r="395" ht="15" customHeight="1" s="72">
      <c r="A395" s="117" t="n"/>
      <c r="B395" s="117" t="n"/>
      <c r="C395" s="118" t="n"/>
      <c r="D395" s="118" t="n"/>
      <c r="E395" s="118" t="n"/>
      <c r="F395" s="123" t="n"/>
      <c r="G395" s="119" t="n"/>
      <c r="H395" s="123" t="n"/>
      <c r="I395" s="123" t="n"/>
      <c r="J395" s="125" t="n"/>
      <c r="K395" s="120" t="n"/>
      <c r="N395" s="117" t="n"/>
      <c r="O395" s="117" t="n"/>
      <c r="P395" s="117" t="n"/>
      <c r="Q395" s="117" t="n"/>
      <c r="R395" s="118" t="n"/>
      <c r="S395" s="119" t="n"/>
      <c r="T395" s="120" t="n"/>
      <c r="U395" s="123" t="n"/>
      <c r="V395" s="123" t="n"/>
      <c r="Y395" s="117" t="n"/>
      <c r="Z395" s="117" t="n"/>
      <c r="AA395" s="118" t="n"/>
      <c r="AB395" s="119" t="n"/>
      <c r="AC395" s="120" t="n"/>
      <c r="AD395" s="120" t="n"/>
      <c r="AE395" s="120" t="n"/>
    </row>
    <row r="396" ht="15" customHeight="1" s="72">
      <c r="A396" s="117" t="n"/>
      <c r="B396" s="117" t="n"/>
      <c r="C396" s="118" t="n"/>
      <c r="D396" s="118" t="n"/>
      <c r="E396" s="118" t="n"/>
      <c r="F396" s="123" t="n"/>
      <c r="G396" s="119" t="n"/>
      <c r="H396" s="123" t="n"/>
      <c r="I396" s="123" t="n"/>
      <c r="J396" s="125" t="n"/>
      <c r="K396" s="120" t="n"/>
      <c r="N396" s="117" t="n"/>
      <c r="O396" s="117" t="n"/>
      <c r="P396" s="117" t="n"/>
      <c r="Q396" s="117" t="n"/>
      <c r="R396" s="118" t="n"/>
      <c r="S396" s="119" t="n"/>
      <c r="T396" s="120" t="n"/>
      <c r="U396" s="123" t="n"/>
      <c r="V396" s="123" t="n"/>
      <c r="Y396" s="117" t="n"/>
      <c r="Z396" s="117" t="n"/>
      <c r="AA396" s="118" t="n"/>
      <c r="AB396" s="119" t="n"/>
      <c r="AC396" s="120" t="n"/>
      <c r="AD396" s="120" t="n"/>
      <c r="AE396" s="120" t="n"/>
    </row>
    <row r="397" ht="15" customHeight="1" s="72">
      <c r="A397" s="117" t="n"/>
      <c r="B397" s="117" t="n"/>
      <c r="C397" s="118" t="n"/>
      <c r="D397" s="118" t="n"/>
      <c r="E397" s="118" t="n"/>
      <c r="F397" s="123" t="n"/>
      <c r="G397" s="119" t="n"/>
      <c r="H397" s="123" t="n"/>
      <c r="I397" s="123" t="n"/>
      <c r="J397" s="125" t="n"/>
      <c r="K397" s="120" t="n"/>
      <c r="N397" s="117" t="n"/>
      <c r="O397" s="117" t="n"/>
      <c r="P397" s="117" t="n"/>
      <c r="Q397" s="117" t="n"/>
      <c r="R397" s="118" t="n"/>
      <c r="S397" s="119" t="n"/>
      <c r="T397" s="120" t="n"/>
      <c r="U397" s="123" t="n"/>
      <c r="V397" s="123" t="n"/>
      <c r="Y397" s="117" t="n"/>
      <c r="Z397" s="117" t="n"/>
      <c r="AA397" s="118" t="n"/>
      <c r="AB397" s="119" t="n"/>
      <c r="AC397" s="120" t="n"/>
      <c r="AD397" s="120" t="n"/>
      <c r="AE397" s="120" t="n"/>
    </row>
    <row r="398" ht="15" customHeight="1" s="72">
      <c r="A398" s="117" t="n"/>
      <c r="B398" s="117" t="n"/>
      <c r="C398" s="118" t="n"/>
      <c r="D398" s="118" t="n"/>
      <c r="E398" s="118" t="n"/>
      <c r="F398" s="123" t="n"/>
      <c r="G398" s="119" t="n"/>
      <c r="H398" s="123" t="n"/>
      <c r="I398" s="123" t="n"/>
      <c r="J398" s="125" t="n"/>
      <c r="K398" s="120" t="n"/>
      <c r="N398" s="117" t="n"/>
      <c r="O398" s="117" t="n"/>
      <c r="P398" s="117" t="n"/>
      <c r="Q398" s="117" t="n"/>
      <c r="R398" s="118" t="n"/>
      <c r="S398" s="119" t="n"/>
      <c r="T398" s="120" t="n"/>
      <c r="U398" s="123" t="n"/>
      <c r="V398" s="123" t="n"/>
      <c r="Y398" s="117" t="n"/>
      <c r="Z398" s="117" t="n"/>
      <c r="AA398" s="118" t="n"/>
      <c r="AB398" s="119" t="n"/>
      <c r="AC398" s="120" t="n"/>
      <c r="AD398" s="120" t="n"/>
      <c r="AE398" s="120" t="n"/>
    </row>
    <row r="399" ht="15" customHeight="1" s="72">
      <c r="A399" s="117" t="n"/>
      <c r="B399" s="117" t="n"/>
      <c r="C399" s="118" t="n"/>
      <c r="D399" s="118" t="n"/>
      <c r="E399" s="118" t="n"/>
      <c r="F399" s="123" t="n"/>
      <c r="G399" s="119" t="n"/>
      <c r="H399" s="123" t="n"/>
      <c r="I399" s="123" t="n"/>
      <c r="J399" s="125" t="n"/>
      <c r="K399" s="120" t="n"/>
      <c r="N399" s="117" t="n"/>
      <c r="O399" s="117" t="n"/>
      <c r="P399" s="117" t="n"/>
      <c r="Q399" s="117" t="n"/>
      <c r="R399" s="118" t="n"/>
      <c r="S399" s="119" t="n"/>
      <c r="T399" s="120" t="n"/>
      <c r="U399" s="123" t="n"/>
      <c r="V399" s="123" t="n"/>
      <c r="Y399" s="117" t="n"/>
      <c r="Z399" s="117" t="n"/>
      <c r="AA399" s="118" t="n"/>
      <c r="AB399" s="119" t="n"/>
      <c r="AC399" s="120" t="n"/>
      <c r="AD399" s="120" t="n"/>
      <c r="AE399" s="120" t="n"/>
    </row>
    <row r="400" ht="15" customHeight="1" s="72">
      <c r="A400" s="117" t="n"/>
      <c r="B400" s="117" t="n"/>
      <c r="C400" s="118" t="n"/>
      <c r="D400" s="118" t="n"/>
      <c r="E400" s="118" t="n"/>
      <c r="F400" s="123" t="n"/>
      <c r="G400" s="119" t="n"/>
      <c r="H400" s="123" t="n"/>
      <c r="I400" s="123" t="n"/>
      <c r="J400" s="125" t="n"/>
      <c r="K400" s="120" t="n"/>
      <c r="N400" s="117" t="n"/>
      <c r="O400" s="117" t="n"/>
      <c r="P400" s="117" t="n"/>
      <c r="Q400" s="117" t="n"/>
      <c r="R400" s="118" t="n"/>
      <c r="S400" s="119" t="n"/>
      <c r="T400" s="120" t="n"/>
      <c r="U400" s="123" t="n"/>
      <c r="V400" s="123" t="n"/>
      <c r="Y400" s="117" t="n"/>
      <c r="Z400" s="117" t="n"/>
      <c r="AA400" s="118" t="n"/>
      <c r="AB400" s="119" t="n"/>
      <c r="AC400" s="120" t="n"/>
      <c r="AD400" s="120" t="n"/>
      <c r="AE400" s="120" t="n"/>
    </row>
    <row r="401" ht="15" customHeight="1" s="72">
      <c r="A401" s="117" t="n"/>
      <c r="B401" s="117" t="n"/>
      <c r="C401" s="118" t="n"/>
      <c r="D401" s="118" t="n"/>
      <c r="E401" s="118" t="n"/>
      <c r="F401" s="123" t="n"/>
      <c r="G401" s="119" t="n"/>
      <c r="H401" s="123" t="n"/>
      <c r="I401" s="123" t="n"/>
      <c r="J401" s="125" t="n"/>
      <c r="K401" s="120" t="n"/>
      <c r="N401" s="117" t="n"/>
      <c r="O401" s="117" t="n"/>
      <c r="P401" s="117" t="n"/>
      <c r="Q401" s="117" t="n"/>
      <c r="R401" s="118" t="n"/>
      <c r="S401" s="119" t="n"/>
      <c r="T401" s="120" t="n"/>
      <c r="U401" s="123" t="n"/>
      <c r="V401" s="123" t="n"/>
      <c r="Y401" s="117" t="n"/>
      <c r="Z401" s="117" t="n"/>
      <c r="AA401" s="118" t="n"/>
      <c r="AB401" s="119" t="n"/>
      <c r="AC401" s="120" t="n"/>
      <c r="AD401" s="120" t="n"/>
      <c r="AE401" s="120" t="n"/>
    </row>
    <row r="402" ht="15" customHeight="1" s="72">
      <c r="A402" s="117" t="n"/>
      <c r="B402" s="117" t="n"/>
      <c r="C402" s="118" t="n"/>
      <c r="D402" s="118" t="n"/>
      <c r="E402" s="118" t="n"/>
      <c r="F402" s="123" t="n"/>
      <c r="G402" s="119" t="n"/>
      <c r="H402" s="123" t="n"/>
      <c r="I402" s="123" t="n"/>
      <c r="J402" s="125" t="n"/>
      <c r="K402" s="120" t="n"/>
      <c r="N402" s="117" t="n"/>
      <c r="O402" s="117" t="n"/>
      <c r="P402" s="117" t="n"/>
      <c r="Q402" s="117" t="n"/>
      <c r="R402" s="118" t="n"/>
      <c r="S402" s="119" t="n"/>
      <c r="T402" s="120" t="n"/>
      <c r="U402" s="123" t="n"/>
      <c r="V402" s="123" t="n"/>
      <c r="Y402" s="117" t="n"/>
      <c r="Z402" s="117" t="n"/>
      <c r="AA402" s="118" t="n"/>
      <c r="AB402" s="119" t="n"/>
      <c r="AC402" s="120" t="n"/>
      <c r="AD402" s="120" t="n"/>
      <c r="AE402" s="120" t="n"/>
    </row>
    <row r="403" ht="15" customHeight="1" s="72">
      <c r="A403" s="117" t="n"/>
      <c r="B403" s="117" t="n"/>
      <c r="C403" s="118" t="n"/>
      <c r="D403" s="118" t="n"/>
      <c r="E403" s="118" t="n"/>
      <c r="F403" s="123" t="n"/>
      <c r="G403" s="119" t="n"/>
      <c r="H403" s="123" t="n"/>
      <c r="I403" s="123" t="n"/>
      <c r="J403" s="125" t="n"/>
      <c r="K403" s="120" t="n"/>
      <c r="N403" s="117" t="n"/>
      <c r="O403" s="117" t="n"/>
      <c r="P403" s="117" t="n"/>
      <c r="Q403" s="117" t="n"/>
      <c r="R403" s="118" t="n"/>
      <c r="S403" s="119" t="n"/>
      <c r="T403" s="120" t="n"/>
      <c r="U403" s="123" t="n"/>
      <c r="V403" s="123" t="n"/>
      <c r="Y403" s="117" t="n"/>
      <c r="Z403" s="117" t="n"/>
      <c r="AA403" s="118" t="n"/>
      <c r="AB403" s="119" t="n"/>
      <c r="AC403" s="120" t="n"/>
      <c r="AD403" s="120" t="n"/>
      <c r="AE403" s="120" t="n"/>
    </row>
    <row r="404" ht="15" customHeight="1" s="72">
      <c r="A404" s="117" t="n"/>
      <c r="B404" s="117" t="n"/>
      <c r="C404" s="118" t="n"/>
      <c r="D404" s="118" t="n"/>
      <c r="E404" s="118" t="n"/>
      <c r="F404" s="123" t="n"/>
      <c r="G404" s="119" t="n"/>
      <c r="H404" s="123" t="n"/>
      <c r="I404" s="123" t="n"/>
      <c r="J404" s="125" t="n"/>
      <c r="K404" s="120" t="n"/>
      <c r="N404" s="117" t="n"/>
      <c r="O404" s="117" t="n"/>
      <c r="P404" s="117" t="n"/>
      <c r="Q404" s="117" t="n"/>
      <c r="R404" s="118" t="n"/>
      <c r="S404" s="119" t="n"/>
      <c r="T404" s="120" t="n"/>
      <c r="U404" s="123" t="n"/>
      <c r="V404" s="123" t="n"/>
      <c r="Y404" s="117" t="n"/>
      <c r="Z404" s="117" t="n"/>
      <c r="AA404" s="118" t="n"/>
      <c r="AB404" s="119" t="n"/>
      <c r="AC404" s="120" t="n"/>
      <c r="AD404" s="120" t="n"/>
      <c r="AE404" s="120" t="n"/>
    </row>
    <row r="405" ht="15" customHeight="1" s="72">
      <c r="A405" s="117" t="n"/>
      <c r="B405" s="117" t="n"/>
      <c r="C405" s="118" t="n"/>
      <c r="D405" s="118" t="n"/>
      <c r="E405" s="118" t="n"/>
      <c r="F405" s="123" t="n"/>
      <c r="G405" s="119" t="n"/>
      <c r="H405" s="123" t="n"/>
      <c r="I405" s="123" t="n"/>
      <c r="J405" s="125" t="n"/>
      <c r="K405" s="120" t="n"/>
      <c r="N405" s="117" t="n"/>
      <c r="O405" s="117" t="n"/>
      <c r="P405" s="117" t="n"/>
      <c r="Q405" s="117" t="n"/>
      <c r="R405" s="118" t="n"/>
      <c r="S405" s="119" t="n"/>
      <c r="T405" s="120" t="n"/>
      <c r="U405" s="123" t="n"/>
      <c r="V405" s="123" t="n"/>
      <c r="Y405" s="117" t="n"/>
      <c r="Z405" s="117" t="n"/>
      <c r="AA405" s="118" t="n"/>
      <c r="AB405" s="119" t="n"/>
      <c r="AC405" s="120" t="n"/>
      <c r="AD405" s="120" t="n"/>
      <c r="AE405" s="120" t="n"/>
    </row>
    <row r="406" ht="15" customHeight="1" s="72">
      <c r="A406" s="117" t="n"/>
      <c r="B406" s="117" t="n"/>
      <c r="C406" s="118" t="n"/>
      <c r="D406" s="118" t="n"/>
      <c r="E406" s="118" t="n"/>
      <c r="F406" s="123" t="n"/>
      <c r="G406" s="119" t="n"/>
      <c r="H406" s="123" t="n"/>
      <c r="I406" s="123" t="n"/>
      <c r="J406" s="125" t="n"/>
      <c r="K406" s="120" t="n"/>
      <c r="N406" s="117" t="n"/>
      <c r="O406" s="117" t="n"/>
      <c r="P406" s="117" t="n"/>
      <c r="Q406" s="117" t="n"/>
      <c r="R406" s="118" t="n"/>
      <c r="S406" s="119" t="n"/>
      <c r="T406" s="120" t="n"/>
      <c r="U406" s="123" t="n"/>
      <c r="V406" s="123" t="n"/>
      <c r="Y406" s="117" t="n"/>
      <c r="Z406" s="117" t="n"/>
      <c r="AA406" s="118" t="n"/>
      <c r="AB406" s="119" t="n"/>
      <c r="AC406" s="120" t="n"/>
      <c r="AD406" s="120" t="n"/>
      <c r="AE406" s="120" t="n"/>
    </row>
    <row r="407" ht="15" customHeight="1" s="72">
      <c r="A407" s="117" t="n"/>
      <c r="B407" s="117" t="n"/>
      <c r="C407" s="118" t="n"/>
      <c r="D407" s="118" t="n"/>
      <c r="E407" s="118" t="n"/>
      <c r="F407" s="123" t="n"/>
      <c r="G407" s="119" t="n"/>
      <c r="H407" s="123" t="n"/>
      <c r="I407" s="123" t="n"/>
      <c r="J407" s="125" t="n"/>
      <c r="K407" s="120" t="n"/>
      <c r="N407" s="117" t="n"/>
      <c r="O407" s="117" t="n"/>
      <c r="P407" s="117" t="n"/>
      <c r="Q407" s="117" t="n"/>
      <c r="R407" s="118" t="n"/>
      <c r="S407" s="119" t="n"/>
      <c r="T407" s="120" t="n"/>
      <c r="U407" s="123" t="n"/>
      <c r="V407" s="123" t="n"/>
      <c r="Y407" s="117" t="n"/>
      <c r="Z407" s="117" t="n"/>
      <c r="AA407" s="118" t="n"/>
      <c r="AB407" s="119" t="n"/>
      <c r="AC407" s="120" t="n"/>
      <c r="AD407" s="120" t="n"/>
      <c r="AE407" s="120" t="n"/>
    </row>
    <row r="408" ht="15" customHeight="1" s="72">
      <c r="A408" s="117" t="n"/>
      <c r="B408" s="117" t="n"/>
      <c r="C408" s="118" t="n"/>
      <c r="D408" s="118" t="n"/>
      <c r="E408" s="118" t="n"/>
      <c r="F408" s="123" t="n"/>
      <c r="G408" s="119" t="n"/>
      <c r="H408" s="123" t="n"/>
      <c r="I408" s="123" t="n"/>
      <c r="J408" s="125" t="n"/>
      <c r="K408" s="120" t="n"/>
      <c r="N408" s="117" t="n"/>
      <c r="O408" s="117" t="n"/>
      <c r="P408" s="117" t="n"/>
      <c r="Q408" s="117" t="n"/>
      <c r="R408" s="118" t="n"/>
      <c r="S408" s="119" t="n"/>
      <c r="T408" s="120" t="n"/>
      <c r="U408" s="123" t="n"/>
      <c r="V408" s="123" t="n"/>
      <c r="Y408" s="117" t="n"/>
      <c r="Z408" s="117" t="n"/>
      <c r="AA408" s="118" t="n"/>
      <c r="AB408" s="119" t="n"/>
      <c r="AC408" s="120" t="n"/>
      <c r="AD408" s="120" t="n"/>
      <c r="AE408" s="120" t="n"/>
    </row>
    <row r="409" ht="15" customHeight="1" s="72">
      <c r="A409" s="117" t="n"/>
      <c r="B409" s="117" t="n"/>
      <c r="C409" s="118" t="n"/>
      <c r="D409" s="118" t="n"/>
      <c r="E409" s="118" t="n"/>
      <c r="F409" s="123" t="n"/>
      <c r="G409" s="119" t="n"/>
      <c r="H409" s="123" t="n"/>
      <c r="I409" s="123" t="n"/>
      <c r="J409" s="125" t="n"/>
      <c r="K409" s="120" t="n"/>
      <c r="N409" s="117" t="n"/>
      <c r="O409" s="117" t="n"/>
      <c r="P409" s="117" t="n"/>
      <c r="Q409" s="117" t="n"/>
      <c r="R409" s="118" t="n"/>
      <c r="S409" s="119" t="n"/>
      <c r="T409" s="120" t="n"/>
      <c r="U409" s="123" t="n"/>
      <c r="V409" s="123" t="n"/>
      <c r="Y409" s="117" t="n"/>
      <c r="Z409" s="117" t="n"/>
      <c r="AA409" s="118" t="n"/>
      <c r="AB409" s="119" t="n"/>
      <c r="AC409" s="120" t="n"/>
      <c r="AD409" s="120" t="n"/>
      <c r="AE409" s="120" t="n"/>
    </row>
    <row r="410" ht="15" customHeight="1" s="72">
      <c r="A410" s="117" t="n"/>
      <c r="B410" s="117" t="n"/>
      <c r="C410" s="118" t="n"/>
      <c r="D410" s="118" t="n"/>
      <c r="E410" s="118" t="n"/>
      <c r="F410" s="123" t="n"/>
      <c r="G410" s="119" t="n"/>
      <c r="H410" s="123" t="n"/>
      <c r="I410" s="123" t="n"/>
      <c r="J410" s="125" t="n"/>
      <c r="K410" s="120" t="n"/>
      <c r="N410" s="117" t="n"/>
      <c r="O410" s="117" t="n"/>
      <c r="P410" s="117" t="n"/>
      <c r="Q410" s="117" t="n"/>
      <c r="R410" s="118" t="n"/>
      <c r="S410" s="119" t="n"/>
      <c r="T410" s="120" t="n"/>
      <c r="U410" s="123" t="n"/>
      <c r="V410" s="123" t="n"/>
      <c r="Y410" s="117" t="n"/>
      <c r="Z410" s="117" t="n"/>
      <c r="AA410" s="118" t="n"/>
      <c r="AB410" s="119" t="n"/>
      <c r="AC410" s="120" t="n"/>
      <c r="AD410" s="120" t="n"/>
      <c r="AE410" s="120" t="n"/>
    </row>
    <row r="411" ht="15" customHeight="1" s="72">
      <c r="A411" s="117" t="n"/>
      <c r="B411" s="117" t="n"/>
      <c r="C411" s="118" t="n"/>
      <c r="D411" s="118" t="n"/>
      <c r="E411" s="118" t="n"/>
      <c r="F411" s="123" t="n"/>
      <c r="G411" s="119" t="n"/>
      <c r="H411" s="123" t="n"/>
      <c r="I411" s="123" t="n"/>
      <c r="J411" s="125" t="n"/>
      <c r="K411" s="120" t="n"/>
      <c r="N411" s="117" t="n"/>
      <c r="O411" s="117" t="n"/>
      <c r="P411" s="117" t="n"/>
      <c r="Q411" s="117" t="n"/>
      <c r="R411" s="118" t="n"/>
      <c r="S411" s="119" t="n"/>
      <c r="T411" s="120" t="n"/>
      <c r="U411" s="123" t="n"/>
      <c r="V411" s="123" t="n"/>
      <c r="Y411" s="117" t="n"/>
      <c r="Z411" s="117" t="n"/>
      <c r="AA411" s="118" t="n"/>
      <c r="AB411" s="119" t="n"/>
      <c r="AC411" s="120" t="n"/>
      <c r="AD411" s="120" t="n"/>
      <c r="AE411" s="120" t="n"/>
    </row>
    <row r="412" ht="15" customHeight="1" s="72">
      <c r="A412" s="117" t="n"/>
      <c r="B412" s="117" t="n"/>
      <c r="C412" s="118" t="n"/>
      <c r="D412" s="118" t="n"/>
      <c r="E412" s="118" t="n"/>
      <c r="F412" s="123" t="n"/>
      <c r="G412" s="119" t="n"/>
      <c r="H412" s="123" t="n"/>
      <c r="I412" s="123" t="n"/>
      <c r="J412" s="125" t="n"/>
      <c r="K412" s="120" t="n"/>
      <c r="N412" s="117" t="n"/>
      <c r="O412" s="117" t="n"/>
      <c r="P412" s="117" t="n"/>
      <c r="Q412" s="117" t="n"/>
      <c r="R412" s="118" t="n"/>
      <c r="S412" s="119" t="n"/>
      <c r="T412" s="120" t="n"/>
      <c r="U412" s="123" t="n"/>
      <c r="V412" s="123" t="n"/>
      <c r="Y412" s="117" t="n"/>
      <c r="Z412" s="117" t="n"/>
      <c r="AA412" s="118" t="n"/>
      <c r="AB412" s="119" t="n"/>
      <c r="AC412" s="120" t="n"/>
      <c r="AD412" s="120" t="n"/>
      <c r="AE412" s="120" t="n"/>
    </row>
    <row r="413" ht="15" customHeight="1" s="72">
      <c r="A413" s="117" t="n"/>
      <c r="B413" s="117" t="n"/>
      <c r="C413" s="118" t="n"/>
      <c r="D413" s="118" t="n"/>
      <c r="E413" s="118" t="n"/>
      <c r="F413" s="123" t="n"/>
      <c r="G413" s="119" t="n"/>
      <c r="H413" s="123" t="n"/>
      <c r="I413" s="123" t="n"/>
      <c r="J413" s="125" t="n"/>
      <c r="K413" s="120" t="n"/>
      <c r="N413" s="117" t="n"/>
      <c r="O413" s="117" t="n"/>
      <c r="P413" s="117" t="n"/>
      <c r="Q413" s="117" t="n"/>
      <c r="R413" s="118" t="n"/>
      <c r="S413" s="119" t="n"/>
      <c r="T413" s="120" t="n"/>
      <c r="U413" s="123" t="n"/>
      <c r="V413" s="123" t="n"/>
      <c r="Y413" s="117" t="n"/>
      <c r="Z413" s="117" t="n"/>
      <c r="AA413" s="118" t="n"/>
      <c r="AB413" s="119" t="n"/>
      <c r="AC413" s="120" t="n"/>
      <c r="AD413" s="120" t="n"/>
      <c r="AE413" s="120" t="n"/>
    </row>
    <row r="414" ht="15" customHeight="1" s="72">
      <c r="A414" s="117" t="n"/>
      <c r="B414" s="117" t="n"/>
      <c r="C414" s="118" t="n"/>
      <c r="D414" s="118" t="n"/>
      <c r="E414" s="118" t="n"/>
      <c r="F414" s="123" t="n"/>
      <c r="G414" s="119" t="n"/>
      <c r="H414" s="123" t="n"/>
      <c r="I414" s="123" t="n"/>
      <c r="J414" s="125" t="n"/>
      <c r="K414" s="120" t="n"/>
      <c r="N414" s="117" t="n"/>
      <c r="O414" s="117" t="n"/>
      <c r="P414" s="117" t="n"/>
      <c r="Q414" s="117" t="n"/>
      <c r="R414" s="118" t="n"/>
      <c r="S414" s="119" t="n"/>
      <c r="T414" s="120" t="n"/>
      <c r="U414" s="123" t="n"/>
      <c r="V414" s="123" t="n"/>
      <c r="Y414" s="117" t="n"/>
      <c r="Z414" s="117" t="n"/>
      <c r="AA414" s="118" t="n"/>
      <c r="AB414" s="119" t="n"/>
      <c r="AC414" s="120" t="n"/>
      <c r="AD414" s="120" t="n"/>
      <c r="AE414" s="120" t="n"/>
    </row>
    <row r="415" ht="15" customHeight="1" s="72">
      <c r="A415" s="117" t="n"/>
      <c r="B415" s="117" t="n"/>
      <c r="C415" s="118" t="n"/>
      <c r="D415" s="118" t="n"/>
      <c r="E415" s="118" t="n"/>
      <c r="F415" s="123" t="n"/>
      <c r="G415" s="119" t="n"/>
      <c r="H415" s="123" t="n"/>
      <c r="I415" s="123" t="n"/>
      <c r="J415" s="125" t="n"/>
      <c r="K415" s="120" t="n"/>
      <c r="N415" s="117" t="n"/>
      <c r="O415" s="117" t="n"/>
      <c r="P415" s="117" t="n"/>
      <c r="Q415" s="117" t="n"/>
      <c r="R415" s="118" t="n"/>
      <c r="S415" s="119" t="n"/>
      <c r="T415" s="120" t="n"/>
      <c r="U415" s="123" t="n"/>
      <c r="V415" s="123" t="n"/>
      <c r="Y415" s="117" t="n"/>
      <c r="Z415" s="117" t="n"/>
      <c r="AA415" s="118" t="n"/>
      <c r="AB415" s="119" t="n"/>
      <c r="AC415" s="120" t="n"/>
      <c r="AD415" s="120" t="n"/>
      <c r="AE415" s="120" t="n"/>
    </row>
    <row r="416" ht="15" customHeight="1" s="72">
      <c r="A416" s="117" t="n"/>
      <c r="B416" s="117" t="n"/>
      <c r="C416" s="118" t="n"/>
      <c r="D416" s="118" t="n"/>
      <c r="E416" s="118" t="n"/>
      <c r="F416" s="123" t="n"/>
      <c r="G416" s="119" t="n"/>
      <c r="H416" s="123" t="n"/>
      <c r="I416" s="123" t="n"/>
      <c r="J416" s="125" t="n"/>
      <c r="K416" s="120" t="n"/>
      <c r="N416" s="117" t="n"/>
      <c r="O416" s="117" t="n"/>
      <c r="P416" s="117" t="n"/>
      <c r="Q416" s="117" t="n"/>
      <c r="R416" s="118" t="n"/>
      <c r="S416" s="119" t="n"/>
      <c r="T416" s="120" t="n"/>
      <c r="U416" s="123" t="n"/>
      <c r="V416" s="123" t="n"/>
      <c r="Y416" s="117" t="n"/>
      <c r="Z416" s="117" t="n"/>
      <c r="AA416" s="118" t="n"/>
      <c r="AB416" s="119" t="n"/>
      <c r="AC416" s="120" t="n"/>
      <c r="AD416" s="120" t="n"/>
      <c r="AE416" s="120" t="n"/>
    </row>
    <row r="417" ht="15" customHeight="1" s="72">
      <c r="A417" s="117" t="n"/>
      <c r="B417" s="117" t="n"/>
      <c r="C417" s="118" t="n"/>
      <c r="D417" s="118" t="n"/>
      <c r="E417" s="118" t="n"/>
      <c r="F417" s="123" t="n"/>
      <c r="G417" s="119" t="n"/>
      <c r="H417" s="123" t="n"/>
      <c r="I417" s="123" t="n"/>
      <c r="J417" s="125" t="n"/>
      <c r="K417" s="120" t="n"/>
      <c r="N417" s="117" t="n"/>
      <c r="O417" s="117" t="n"/>
      <c r="P417" s="117" t="n"/>
      <c r="Q417" s="117" t="n"/>
      <c r="R417" s="118" t="n"/>
      <c r="S417" s="119" t="n"/>
      <c r="T417" s="120" t="n"/>
      <c r="U417" s="123" t="n"/>
      <c r="V417" s="123" t="n"/>
      <c r="Y417" s="117" t="n"/>
      <c r="Z417" s="117" t="n"/>
      <c r="AA417" s="118" t="n"/>
      <c r="AB417" s="119" t="n"/>
      <c r="AC417" s="120" t="n"/>
      <c r="AD417" s="120" t="n"/>
      <c r="AE417" s="120" t="n"/>
    </row>
    <row r="418" ht="15" customHeight="1" s="72">
      <c r="A418" s="117" t="n"/>
      <c r="B418" s="117" t="n"/>
      <c r="C418" s="118" t="n"/>
      <c r="D418" s="118" t="n"/>
      <c r="E418" s="118" t="n"/>
      <c r="F418" s="123" t="n"/>
      <c r="G418" s="119" t="n"/>
      <c r="H418" s="123" t="n"/>
      <c r="I418" s="123" t="n"/>
      <c r="J418" s="125" t="n"/>
      <c r="K418" s="120" t="n"/>
      <c r="N418" s="117" t="n"/>
      <c r="O418" s="117" t="n"/>
      <c r="P418" s="117" t="n"/>
      <c r="Q418" s="117" t="n"/>
      <c r="R418" s="118" t="n"/>
      <c r="S418" s="119" t="n"/>
      <c r="T418" s="120" t="n"/>
      <c r="U418" s="123" t="n"/>
      <c r="V418" s="123" t="n"/>
      <c r="Y418" s="117" t="n"/>
      <c r="Z418" s="117" t="n"/>
      <c r="AA418" s="118" t="n"/>
      <c r="AB418" s="119" t="n"/>
      <c r="AC418" s="120" t="n"/>
      <c r="AD418" s="120" t="n"/>
      <c r="AE418" s="120" t="n"/>
    </row>
    <row r="419" ht="15" customHeight="1" s="72">
      <c r="A419" s="117" t="n"/>
      <c r="B419" s="117" t="n"/>
      <c r="C419" s="118" t="n"/>
      <c r="D419" s="118" t="n"/>
      <c r="E419" s="118" t="n"/>
      <c r="F419" s="123" t="n"/>
      <c r="G419" s="119" t="n"/>
      <c r="H419" s="123" t="n"/>
      <c r="I419" s="123" t="n"/>
      <c r="J419" s="125" t="n"/>
      <c r="K419" s="120" t="n"/>
      <c r="N419" s="117" t="n"/>
      <c r="O419" s="117" t="n"/>
      <c r="P419" s="117" t="n"/>
      <c r="Q419" s="117" t="n"/>
      <c r="R419" s="118" t="n"/>
      <c r="S419" s="119" t="n"/>
      <c r="T419" s="120" t="n"/>
      <c r="U419" s="123" t="n"/>
      <c r="V419" s="123" t="n"/>
      <c r="Y419" s="117" t="n"/>
      <c r="Z419" s="117" t="n"/>
      <c r="AA419" s="118" t="n"/>
      <c r="AB419" s="119" t="n"/>
      <c r="AC419" s="120" t="n"/>
      <c r="AD419" s="120" t="n"/>
      <c r="AE419" s="120" t="n"/>
    </row>
    <row r="420" ht="15" customHeight="1" s="72">
      <c r="A420" s="117" t="n"/>
      <c r="B420" s="117" t="n"/>
      <c r="C420" s="118" t="n"/>
      <c r="D420" s="118" t="n"/>
      <c r="E420" s="118" t="n"/>
      <c r="F420" s="123" t="n"/>
      <c r="G420" s="119" t="n"/>
      <c r="H420" s="123" t="n"/>
      <c r="I420" s="123" t="n"/>
      <c r="J420" s="125" t="n"/>
      <c r="K420" s="120" t="n"/>
      <c r="N420" s="117" t="n"/>
      <c r="O420" s="117" t="n"/>
      <c r="P420" s="117" t="n"/>
      <c r="Q420" s="117" t="n"/>
      <c r="R420" s="118" t="n"/>
      <c r="S420" s="119" t="n"/>
      <c r="T420" s="120" t="n"/>
      <c r="U420" s="123" t="n"/>
      <c r="V420" s="123" t="n"/>
      <c r="Y420" s="117" t="n"/>
      <c r="Z420" s="117" t="n"/>
      <c r="AA420" s="118" t="n"/>
      <c r="AB420" s="119" t="n"/>
      <c r="AC420" s="120" t="n"/>
      <c r="AD420" s="120" t="n"/>
      <c r="AE420" s="120" t="n"/>
    </row>
    <row r="421" ht="15" customHeight="1" s="72">
      <c r="A421" s="117" t="n"/>
      <c r="B421" s="117" t="n"/>
      <c r="C421" s="118" t="n"/>
      <c r="D421" s="118" t="n"/>
      <c r="E421" s="118" t="n"/>
      <c r="F421" s="123" t="n"/>
      <c r="G421" s="119" t="n"/>
      <c r="H421" s="123" t="n"/>
      <c r="I421" s="123" t="n"/>
      <c r="J421" s="125" t="n"/>
      <c r="K421" s="120" t="n"/>
      <c r="N421" s="117" t="n"/>
      <c r="O421" s="117" t="n"/>
      <c r="P421" s="117" t="n"/>
      <c r="Q421" s="117" t="n"/>
      <c r="R421" s="118" t="n"/>
      <c r="S421" s="119" t="n"/>
      <c r="T421" s="120" t="n"/>
      <c r="U421" s="123" t="n"/>
      <c r="V421" s="123" t="n"/>
      <c r="Y421" s="117" t="n"/>
      <c r="Z421" s="117" t="n"/>
      <c r="AA421" s="118" t="n"/>
      <c r="AB421" s="119" t="n"/>
      <c r="AC421" s="120" t="n"/>
      <c r="AD421" s="120" t="n"/>
      <c r="AE421" s="120" t="n"/>
    </row>
    <row r="422" ht="15" customHeight="1" s="72">
      <c r="A422" s="117" t="n"/>
      <c r="B422" s="117" t="n"/>
      <c r="C422" s="118" t="n"/>
      <c r="D422" s="118" t="n"/>
      <c r="E422" s="118" t="n"/>
      <c r="F422" s="123" t="n"/>
      <c r="G422" s="119" t="n"/>
      <c r="H422" s="123" t="n"/>
      <c r="I422" s="123" t="n"/>
      <c r="J422" s="125" t="n"/>
      <c r="K422" s="120" t="n"/>
      <c r="N422" s="117" t="n"/>
      <c r="O422" s="117" t="n"/>
      <c r="P422" s="117" t="n"/>
      <c r="Q422" s="117" t="n"/>
      <c r="R422" s="118" t="n"/>
      <c r="S422" s="119" t="n"/>
      <c r="T422" s="120" t="n"/>
      <c r="U422" s="123" t="n"/>
      <c r="V422" s="123" t="n"/>
      <c r="Y422" s="117" t="n"/>
      <c r="Z422" s="117" t="n"/>
      <c r="AA422" s="118" t="n"/>
      <c r="AB422" s="119" t="n"/>
      <c r="AC422" s="120" t="n"/>
      <c r="AD422" s="120" t="n"/>
      <c r="AE422" s="120" t="n"/>
    </row>
    <row r="423" ht="15" customHeight="1" s="72">
      <c r="A423" s="117" t="n"/>
      <c r="B423" s="117" t="n"/>
      <c r="C423" s="118" t="n"/>
      <c r="D423" s="118" t="n"/>
      <c r="E423" s="118" t="n"/>
      <c r="F423" s="123" t="n"/>
      <c r="G423" s="119" t="n"/>
      <c r="H423" s="123" t="n"/>
      <c r="I423" s="123" t="n"/>
      <c r="J423" s="125" t="n"/>
      <c r="K423" s="120" t="n"/>
      <c r="N423" s="117" t="n"/>
      <c r="O423" s="117" t="n"/>
      <c r="P423" s="117" t="n"/>
      <c r="Q423" s="117" t="n"/>
      <c r="R423" s="118" t="n"/>
      <c r="S423" s="119" t="n"/>
      <c r="T423" s="120" t="n"/>
      <c r="U423" s="123" t="n"/>
      <c r="V423" s="123" t="n"/>
      <c r="Y423" s="117" t="n"/>
      <c r="Z423" s="117" t="n"/>
      <c r="AA423" s="118" t="n"/>
      <c r="AB423" s="119" t="n"/>
      <c r="AC423" s="120" t="n"/>
      <c r="AD423" s="120" t="n"/>
      <c r="AE423" s="120" t="n"/>
    </row>
    <row r="424" ht="15" customHeight="1" s="72">
      <c r="A424" s="117" t="n"/>
      <c r="B424" s="117" t="n"/>
      <c r="C424" s="118" t="n"/>
      <c r="D424" s="118" t="n"/>
      <c r="E424" s="118" t="n"/>
      <c r="F424" s="123" t="n"/>
      <c r="G424" s="119" t="n"/>
      <c r="H424" s="123" t="n"/>
      <c r="I424" s="123" t="n"/>
      <c r="J424" s="125" t="n"/>
      <c r="K424" s="120" t="n"/>
      <c r="N424" s="117" t="n"/>
      <c r="O424" s="117" t="n"/>
      <c r="P424" s="117" t="n"/>
      <c r="Q424" s="117" t="n"/>
      <c r="R424" s="118" t="n"/>
      <c r="S424" s="119" t="n"/>
      <c r="T424" s="120" t="n"/>
      <c r="U424" s="123" t="n"/>
      <c r="V424" s="123" t="n"/>
      <c r="Y424" s="117" t="n"/>
      <c r="Z424" s="117" t="n"/>
      <c r="AA424" s="118" t="n"/>
      <c r="AB424" s="119" t="n"/>
      <c r="AC424" s="120" t="n"/>
      <c r="AD424" s="120" t="n"/>
      <c r="AE424" s="120" t="n"/>
    </row>
    <row r="425" ht="15" customHeight="1" s="72">
      <c r="A425" s="117" t="n"/>
      <c r="B425" s="117" t="n"/>
      <c r="C425" s="118" t="n"/>
      <c r="D425" s="118" t="n"/>
      <c r="E425" s="118" t="n"/>
      <c r="F425" s="123" t="n"/>
      <c r="G425" s="119" t="n"/>
      <c r="H425" s="123" t="n"/>
      <c r="I425" s="123" t="n"/>
      <c r="J425" s="125" t="n"/>
      <c r="K425" s="120" t="n"/>
      <c r="N425" s="117" t="n"/>
      <c r="O425" s="117" t="n"/>
      <c r="P425" s="117" t="n"/>
      <c r="Q425" s="117" t="n"/>
      <c r="R425" s="118" t="n"/>
      <c r="S425" s="119" t="n"/>
      <c r="T425" s="120" t="n"/>
      <c r="U425" s="123" t="n"/>
      <c r="V425" s="123" t="n"/>
      <c r="Y425" s="117" t="n"/>
      <c r="Z425" s="117" t="n"/>
      <c r="AA425" s="118" t="n"/>
      <c r="AB425" s="119" t="n"/>
      <c r="AC425" s="120" t="n"/>
      <c r="AD425" s="120" t="n"/>
      <c r="AE425" s="120" t="n"/>
    </row>
    <row r="426" ht="15" customHeight="1" s="72">
      <c r="A426" s="117" t="n"/>
      <c r="B426" s="117" t="n"/>
      <c r="C426" s="118" t="n"/>
      <c r="D426" s="118" t="n"/>
      <c r="E426" s="118" t="n"/>
      <c r="F426" s="123" t="n"/>
      <c r="G426" s="119" t="n"/>
      <c r="H426" s="123" t="n"/>
      <c r="I426" s="123" t="n"/>
      <c r="J426" s="125" t="n"/>
      <c r="K426" s="120" t="n"/>
      <c r="N426" s="117" t="n"/>
      <c r="O426" s="117" t="n"/>
      <c r="P426" s="117" t="n"/>
      <c r="Q426" s="117" t="n"/>
      <c r="R426" s="118" t="n"/>
      <c r="S426" s="119" t="n"/>
      <c r="T426" s="120" t="n"/>
      <c r="U426" s="123" t="n"/>
      <c r="V426" s="123" t="n"/>
      <c r="Y426" s="117" t="n"/>
      <c r="Z426" s="117" t="n"/>
      <c r="AA426" s="118" t="n"/>
      <c r="AB426" s="119" t="n"/>
      <c r="AC426" s="120" t="n"/>
      <c r="AD426" s="120" t="n"/>
      <c r="AE426" s="120" t="n"/>
    </row>
    <row r="427" ht="15" customHeight="1" s="72">
      <c r="A427" s="117" t="n"/>
      <c r="B427" s="117" t="n"/>
      <c r="C427" s="118" t="n"/>
      <c r="D427" s="118" t="n"/>
      <c r="E427" s="118" t="n"/>
      <c r="F427" s="123" t="n"/>
      <c r="G427" s="119" t="n"/>
      <c r="H427" s="123" t="n"/>
      <c r="I427" s="123" t="n"/>
      <c r="J427" s="125" t="n"/>
      <c r="K427" s="120" t="n"/>
      <c r="N427" s="117" t="n"/>
      <c r="O427" s="117" t="n"/>
      <c r="P427" s="117" t="n"/>
      <c r="Q427" s="117" t="n"/>
      <c r="R427" s="118" t="n"/>
      <c r="S427" s="119" t="n"/>
      <c r="T427" s="120" t="n"/>
      <c r="U427" s="123" t="n"/>
      <c r="V427" s="123" t="n"/>
      <c r="Y427" s="117" t="n"/>
      <c r="Z427" s="117" t="n"/>
      <c r="AA427" s="118" t="n"/>
      <c r="AB427" s="119" t="n"/>
      <c r="AC427" s="120" t="n"/>
      <c r="AD427" s="120" t="n"/>
      <c r="AE427" s="120" t="n"/>
    </row>
    <row r="428" ht="15" customHeight="1" s="72">
      <c r="A428" s="117" t="n"/>
      <c r="B428" s="117" t="n"/>
      <c r="C428" s="118" t="n"/>
      <c r="D428" s="118" t="n"/>
      <c r="E428" s="118" t="n"/>
      <c r="F428" s="123" t="n"/>
      <c r="G428" s="119" t="n"/>
      <c r="H428" s="123" t="n"/>
      <c r="I428" s="123" t="n"/>
      <c r="J428" s="125" t="n"/>
      <c r="K428" s="120" t="n"/>
      <c r="N428" s="117" t="n"/>
      <c r="O428" s="117" t="n"/>
      <c r="P428" s="117" t="n"/>
      <c r="Q428" s="117" t="n"/>
      <c r="R428" s="118" t="n"/>
      <c r="S428" s="119" t="n"/>
      <c r="T428" s="120" t="n"/>
      <c r="U428" s="123" t="n"/>
      <c r="V428" s="123" t="n"/>
      <c r="Y428" s="117" t="n"/>
      <c r="Z428" s="117" t="n"/>
      <c r="AA428" s="118" t="n"/>
      <c r="AB428" s="119" t="n"/>
      <c r="AC428" s="120" t="n"/>
      <c r="AD428" s="120" t="n"/>
      <c r="AE428" s="120" t="n"/>
    </row>
    <row r="429" ht="15" customHeight="1" s="72">
      <c r="A429" s="117" t="n"/>
      <c r="B429" s="117" t="n"/>
      <c r="C429" s="118" t="n"/>
      <c r="D429" s="118" t="n"/>
      <c r="E429" s="118" t="n"/>
      <c r="F429" s="123" t="n"/>
      <c r="G429" s="119" t="n"/>
      <c r="H429" s="123" t="n"/>
      <c r="I429" s="123" t="n"/>
      <c r="J429" s="125" t="n"/>
      <c r="K429" s="120" t="n"/>
      <c r="N429" s="117" t="n"/>
      <c r="O429" s="117" t="n"/>
      <c r="P429" s="117" t="n"/>
      <c r="Q429" s="117" t="n"/>
      <c r="R429" s="118" t="n"/>
      <c r="S429" s="119" t="n"/>
      <c r="T429" s="120" t="n"/>
      <c r="U429" s="123" t="n"/>
      <c r="V429" s="123" t="n"/>
      <c r="Y429" s="117" t="n"/>
      <c r="Z429" s="117" t="n"/>
      <c r="AA429" s="118" t="n"/>
      <c r="AB429" s="119" t="n"/>
      <c r="AC429" s="120" t="n"/>
      <c r="AD429" s="120" t="n"/>
      <c r="AE429" s="120" t="n"/>
    </row>
    <row r="430" ht="15" customHeight="1" s="72">
      <c r="A430" s="117" t="n"/>
      <c r="B430" s="117" t="n"/>
      <c r="C430" s="118" t="n"/>
      <c r="D430" s="118" t="n"/>
      <c r="E430" s="118" t="n"/>
      <c r="F430" s="123" t="n"/>
      <c r="G430" s="119" t="n"/>
      <c r="H430" s="123" t="n"/>
      <c r="I430" s="123" t="n"/>
      <c r="J430" s="125" t="n"/>
      <c r="K430" s="120" t="n"/>
      <c r="N430" s="117" t="n"/>
      <c r="O430" s="117" t="n"/>
      <c r="P430" s="117" t="n"/>
      <c r="Q430" s="117" t="n"/>
      <c r="R430" s="118" t="n"/>
      <c r="S430" s="119" t="n"/>
      <c r="T430" s="120" t="n"/>
      <c r="U430" s="123" t="n"/>
      <c r="V430" s="123" t="n"/>
      <c r="Y430" s="117" t="n"/>
      <c r="Z430" s="117" t="n"/>
      <c r="AA430" s="118" t="n"/>
      <c r="AB430" s="119" t="n"/>
      <c r="AC430" s="120" t="n"/>
      <c r="AD430" s="120" t="n"/>
      <c r="AE430" s="120" t="n"/>
    </row>
    <row r="431" ht="15" customHeight="1" s="72">
      <c r="A431" s="117" t="n"/>
      <c r="B431" s="117" t="n"/>
      <c r="C431" s="118" t="n"/>
      <c r="D431" s="118" t="n"/>
      <c r="E431" s="118" t="n"/>
      <c r="F431" s="123" t="n"/>
      <c r="G431" s="119" t="n"/>
      <c r="H431" s="123" t="n"/>
      <c r="I431" s="123" t="n"/>
      <c r="J431" s="125" t="n"/>
      <c r="K431" s="120" t="n"/>
      <c r="N431" s="117" t="n"/>
      <c r="O431" s="117" t="n"/>
      <c r="P431" s="117" t="n"/>
      <c r="Q431" s="117" t="n"/>
      <c r="R431" s="118" t="n"/>
      <c r="S431" s="119" t="n"/>
      <c r="T431" s="120" t="n"/>
      <c r="U431" s="123" t="n"/>
      <c r="V431" s="123" t="n"/>
      <c r="Y431" s="117" t="n"/>
      <c r="Z431" s="117" t="n"/>
      <c r="AA431" s="118" t="n"/>
      <c r="AB431" s="119" t="n"/>
      <c r="AC431" s="120" t="n"/>
      <c r="AD431" s="120" t="n"/>
      <c r="AE431" s="120" t="n"/>
    </row>
    <row r="432" ht="15" customHeight="1" s="72">
      <c r="A432" s="117" t="n"/>
      <c r="B432" s="117" t="n"/>
      <c r="C432" s="118" t="n"/>
      <c r="D432" s="118" t="n"/>
      <c r="E432" s="118" t="n"/>
      <c r="F432" s="123" t="n"/>
      <c r="G432" s="119" t="n"/>
      <c r="H432" s="123" t="n"/>
      <c r="I432" s="123" t="n"/>
      <c r="J432" s="125" t="n"/>
      <c r="K432" s="120" t="n"/>
      <c r="N432" s="117" t="n"/>
      <c r="O432" s="117" t="n"/>
      <c r="P432" s="117" t="n"/>
      <c r="Q432" s="117" t="n"/>
      <c r="R432" s="118" t="n"/>
      <c r="S432" s="119" t="n"/>
      <c r="T432" s="120" t="n"/>
      <c r="U432" s="123" t="n"/>
      <c r="V432" s="123" t="n"/>
      <c r="Y432" s="117" t="n"/>
      <c r="Z432" s="117" t="n"/>
      <c r="AA432" s="118" t="n"/>
      <c r="AB432" s="119" t="n"/>
      <c r="AC432" s="120" t="n"/>
      <c r="AD432" s="120" t="n"/>
      <c r="AE432" s="120" t="n"/>
    </row>
    <row r="433" ht="15" customHeight="1" s="72">
      <c r="A433" s="117" t="n"/>
      <c r="B433" s="117" t="n"/>
      <c r="C433" s="118" t="n"/>
      <c r="D433" s="118" t="n"/>
      <c r="E433" s="118" t="n"/>
      <c r="F433" s="123" t="n"/>
      <c r="G433" s="119" t="n"/>
      <c r="H433" s="123" t="n"/>
      <c r="I433" s="123" t="n"/>
      <c r="J433" s="125" t="n"/>
      <c r="K433" s="120" t="n"/>
      <c r="N433" s="117" t="n"/>
      <c r="O433" s="117" t="n"/>
      <c r="P433" s="117" t="n"/>
      <c r="Q433" s="117" t="n"/>
      <c r="R433" s="118" t="n"/>
      <c r="S433" s="119" t="n"/>
      <c r="T433" s="120" t="n"/>
      <c r="U433" s="123" t="n"/>
      <c r="V433" s="123" t="n"/>
      <c r="Y433" s="117" t="n"/>
      <c r="Z433" s="117" t="n"/>
      <c r="AA433" s="118" t="n"/>
      <c r="AB433" s="119" t="n"/>
      <c r="AC433" s="120" t="n"/>
      <c r="AD433" s="120" t="n"/>
      <c r="AE433" s="120" t="n"/>
    </row>
    <row r="434" ht="15" customHeight="1" s="72">
      <c r="A434" s="117" t="n"/>
      <c r="B434" s="117" t="n"/>
      <c r="C434" s="118" t="n"/>
      <c r="D434" s="118" t="n"/>
      <c r="E434" s="118" t="n"/>
      <c r="F434" s="123" t="n"/>
      <c r="G434" s="119" t="n"/>
      <c r="H434" s="123" t="n"/>
      <c r="I434" s="123" t="n"/>
      <c r="J434" s="125" t="n"/>
      <c r="K434" s="120" t="n"/>
      <c r="N434" s="117" t="n"/>
      <c r="O434" s="117" t="n"/>
      <c r="P434" s="117" t="n"/>
      <c r="Q434" s="117" t="n"/>
      <c r="R434" s="118" t="n"/>
      <c r="S434" s="119" t="n"/>
      <c r="T434" s="120" t="n"/>
      <c r="U434" s="123" t="n"/>
      <c r="V434" s="123" t="n"/>
      <c r="Y434" s="117" t="n"/>
      <c r="Z434" s="117" t="n"/>
      <c r="AA434" s="118" t="n"/>
      <c r="AB434" s="119" t="n"/>
      <c r="AC434" s="120" t="n"/>
      <c r="AD434" s="120" t="n"/>
      <c r="AE434" s="120" t="n"/>
    </row>
    <row r="435" ht="15" customHeight="1" s="72">
      <c r="A435" s="117" t="n"/>
      <c r="B435" s="117" t="n"/>
      <c r="C435" s="118" t="n"/>
      <c r="D435" s="118" t="n"/>
      <c r="E435" s="118" t="n"/>
      <c r="F435" s="123" t="n"/>
      <c r="G435" s="119" t="n"/>
      <c r="H435" s="123" t="n"/>
      <c r="I435" s="123" t="n"/>
      <c r="J435" s="125" t="n"/>
      <c r="K435" s="120" t="n"/>
      <c r="N435" s="117" t="n"/>
      <c r="O435" s="117" t="n"/>
      <c r="P435" s="117" t="n"/>
      <c r="Q435" s="117" t="n"/>
      <c r="R435" s="118" t="n"/>
      <c r="S435" s="119" t="n"/>
      <c r="T435" s="120" t="n"/>
      <c r="U435" s="123" t="n"/>
      <c r="V435" s="123" t="n"/>
      <c r="Y435" s="117" t="n"/>
      <c r="Z435" s="117" t="n"/>
      <c r="AA435" s="118" t="n"/>
      <c r="AB435" s="119" t="n"/>
      <c r="AC435" s="120" t="n"/>
      <c r="AD435" s="120" t="n"/>
      <c r="AE435" s="120" t="n"/>
    </row>
    <row r="436" ht="15" customHeight="1" s="72">
      <c r="A436" s="117" t="n"/>
      <c r="B436" s="117" t="n"/>
      <c r="C436" s="118" t="n"/>
      <c r="D436" s="118" t="n"/>
      <c r="E436" s="118" t="n"/>
      <c r="F436" s="123" t="n"/>
      <c r="G436" s="119" t="n"/>
      <c r="H436" s="123" t="n"/>
      <c r="I436" s="123" t="n"/>
      <c r="J436" s="125" t="n"/>
      <c r="K436" s="120" t="n"/>
      <c r="N436" s="117" t="n"/>
      <c r="O436" s="117" t="n"/>
      <c r="P436" s="117" t="n"/>
      <c r="Q436" s="117" t="n"/>
      <c r="R436" s="118" t="n"/>
      <c r="S436" s="119" t="n"/>
      <c r="T436" s="120" t="n"/>
      <c r="U436" s="123" t="n"/>
      <c r="V436" s="123" t="n"/>
      <c r="Y436" s="117" t="n"/>
      <c r="Z436" s="117" t="n"/>
      <c r="AA436" s="118" t="n"/>
      <c r="AB436" s="119" t="n"/>
      <c r="AC436" s="120" t="n"/>
      <c r="AD436" s="120" t="n"/>
      <c r="AE436" s="120" t="n"/>
    </row>
    <row r="437" ht="15" customHeight="1" s="72">
      <c r="A437" s="117" t="n"/>
      <c r="B437" s="117" t="n"/>
      <c r="C437" s="118" t="n"/>
      <c r="D437" s="118" t="n"/>
      <c r="E437" s="118" t="n"/>
      <c r="F437" s="123" t="n"/>
      <c r="G437" s="119" t="n"/>
      <c r="H437" s="123" t="n"/>
      <c r="I437" s="123" t="n"/>
      <c r="J437" s="125" t="n"/>
      <c r="K437" s="120" t="n"/>
      <c r="N437" s="117" t="n"/>
      <c r="O437" s="117" t="n"/>
      <c r="P437" s="117" t="n"/>
      <c r="Q437" s="117" t="n"/>
      <c r="R437" s="118" t="n"/>
      <c r="S437" s="119" t="n"/>
      <c r="T437" s="120" t="n"/>
      <c r="U437" s="123" t="n"/>
      <c r="V437" s="123" t="n"/>
      <c r="Y437" s="117" t="n"/>
      <c r="Z437" s="117" t="n"/>
      <c r="AA437" s="118" t="n"/>
      <c r="AB437" s="119" t="n"/>
      <c r="AC437" s="120" t="n"/>
      <c r="AD437" s="120" t="n"/>
      <c r="AE437" s="120" t="n"/>
    </row>
    <row r="438" ht="15" customHeight="1" s="72">
      <c r="A438" s="117" t="n"/>
      <c r="B438" s="117" t="n"/>
      <c r="C438" s="118" t="n"/>
      <c r="D438" s="118" t="n"/>
      <c r="E438" s="118" t="n"/>
      <c r="F438" s="123" t="n"/>
      <c r="G438" s="119" t="n"/>
      <c r="H438" s="123" t="n"/>
      <c r="I438" s="123" t="n"/>
      <c r="J438" s="125" t="n"/>
      <c r="K438" s="120" t="n"/>
      <c r="N438" s="117" t="n"/>
      <c r="O438" s="117" t="n"/>
      <c r="P438" s="117" t="n"/>
      <c r="Q438" s="117" t="n"/>
      <c r="R438" s="118" t="n"/>
      <c r="S438" s="119" t="n"/>
      <c r="T438" s="120" t="n"/>
      <c r="U438" s="123" t="n"/>
      <c r="V438" s="123" t="n"/>
      <c r="Y438" s="117" t="n"/>
      <c r="Z438" s="117" t="n"/>
      <c r="AA438" s="118" t="n"/>
      <c r="AB438" s="119" t="n"/>
      <c r="AC438" s="120" t="n"/>
      <c r="AD438" s="120" t="n"/>
      <c r="AE438" s="120" t="n"/>
    </row>
    <row r="439" ht="15" customHeight="1" s="72">
      <c r="A439" s="117" t="n"/>
      <c r="B439" s="117" t="n"/>
      <c r="C439" s="118" t="n"/>
      <c r="D439" s="118" t="n"/>
      <c r="E439" s="118" t="n"/>
      <c r="F439" s="123" t="n"/>
      <c r="G439" s="119" t="n"/>
      <c r="H439" s="123" t="n"/>
      <c r="I439" s="123" t="n"/>
      <c r="J439" s="125" t="n"/>
      <c r="K439" s="120" t="n"/>
      <c r="N439" s="117" t="n"/>
      <c r="O439" s="117" t="n"/>
      <c r="P439" s="117" t="n"/>
      <c r="Q439" s="117" t="n"/>
      <c r="R439" s="118" t="n"/>
      <c r="S439" s="119" t="n"/>
      <c r="T439" s="120" t="n"/>
      <c r="U439" s="123" t="n"/>
      <c r="V439" s="123" t="n"/>
      <c r="Y439" s="117" t="n"/>
      <c r="Z439" s="117" t="n"/>
      <c r="AA439" s="118" t="n"/>
      <c r="AB439" s="119" t="n"/>
      <c r="AC439" s="120" t="n"/>
      <c r="AD439" s="120" t="n"/>
      <c r="AE439" s="120" t="n"/>
    </row>
    <row r="440" ht="15" customHeight="1" s="72">
      <c r="A440" s="117" t="n"/>
      <c r="B440" s="117" t="n"/>
      <c r="C440" s="118" t="n"/>
      <c r="D440" s="118" t="n"/>
      <c r="E440" s="118" t="n"/>
      <c r="F440" s="123" t="n"/>
      <c r="G440" s="119" t="n"/>
      <c r="H440" s="123" t="n"/>
      <c r="I440" s="123" t="n"/>
      <c r="J440" s="125" t="n"/>
      <c r="K440" s="120" t="n"/>
      <c r="N440" s="117" t="n"/>
      <c r="O440" s="117" t="n"/>
      <c r="P440" s="117" t="n"/>
      <c r="Q440" s="117" t="n"/>
      <c r="R440" s="118" t="n"/>
      <c r="S440" s="119" t="n"/>
      <c r="T440" s="120" t="n"/>
      <c r="U440" s="123" t="n"/>
      <c r="V440" s="123" t="n"/>
      <c r="Y440" s="117" t="n"/>
      <c r="Z440" s="117" t="n"/>
      <c r="AA440" s="118" t="n"/>
      <c r="AB440" s="119" t="n"/>
      <c r="AC440" s="120" t="n"/>
      <c r="AD440" s="120" t="n"/>
      <c r="AE440" s="120" t="n"/>
    </row>
    <row r="441" ht="15" customHeight="1" s="72">
      <c r="A441" s="117" t="n"/>
      <c r="B441" s="117" t="n"/>
      <c r="C441" s="118" t="n"/>
      <c r="D441" s="118" t="n"/>
      <c r="E441" s="118" t="n"/>
      <c r="F441" s="123" t="n"/>
      <c r="G441" s="119" t="n"/>
      <c r="H441" s="123" t="n"/>
      <c r="I441" s="123" t="n"/>
      <c r="J441" s="125" t="n"/>
      <c r="K441" s="120" t="n"/>
      <c r="N441" s="117" t="n"/>
      <c r="O441" s="117" t="n"/>
      <c r="P441" s="117" t="n"/>
      <c r="Q441" s="117" t="n"/>
      <c r="R441" s="118" t="n"/>
      <c r="S441" s="119" t="n"/>
      <c r="T441" s="120" t="n"/>
      <c r="U441" s="123" t="n"/>
      <c r="V441" s="123" t="n"/>
      <c r="Y441" s="117" t="n"/>
      <c r="Z441" s="117" t="n"/>
      <c r="AA441" s="118" t="n"/>
      <c r="AB441" s="119" t="n"/>
      <c r="AC441" s="120" t="n"/>
      <c r="AD441" s="120" t="n"/>
      <c r="AE441" s="120" t="n"/>
    </row>
    <row r="442" ht="15" customHeight="1" s="72">
      <c r="A442" s="117" t="n"/>
      <c r="B442" s="117" t="n"/>
      <c r="C442" s="118" t="n"/>
      <c r="D442" s="118" t="n"/>
      <c r="E442" s="118" t="n"/>
      <c r="F442" s="123" t="n"/>
      <c r="G442" s="119" t="n"/>
      <c r="H442" s="123" t="n"/>
      <c r="I442" s="123" t="n"/>
      <c r="J442" s="125" t="n"/>
      <c r="K442" s="120" t="n"/>
      <c r="N442" s="117" t="n"/>
      <c r="O442" s="117" t="n"/>
      <c r="P442" s="117" t="n"/>
      <c r="Q442" s="117" t="n"/>
      <c r="R442" s="118" t="n"/>
      <c r="S442" s="119" t="n"/>
      <c r="T442" s="120" t="n"/>
      <c r="U442" s="123" t="n"/>
      <c r="V442" s="123" t="n"/>
      <c r="Y442" s="117" t="n"/>
      <c r="Z442" s="117" t="n"/>
      <c r="AA442" s="118" t="n"/>
      <c r="AB442" s="119" t="n"/>
      <c r="AC442" s="120" t="n"/>
      <c r="AD442" s="120" t="n"/>
      <c r="AE442" s="120" t="n"/>
    </row>
    <row r="443" ht="15" customHeight="1" s="72">
      <c r="A443" s="117" t="n"/>
      <c r="B443" s="117" t="n"/>
      <c r="C443" s="118" t="n"/>
      <c r="D443" s="118" t="n"/>
      <c r="E443" s="118" t="n"/>
      <c r="F443" s="123" t="n"/>
      <c r="G443" s="119" t="n"/>
      <c r="H443" s="123" t="n"/>
      <c r="I443" s="123" t="n"/>
      <c r="J443" s="125" t="n"/>
      <c r="K443" s="120" t="n"/>
      <c r="N443" s="117" t="n"/>
      <c r="O443" s="117" t="n"/>
      <c r="P443" s="117" t="n"/>
      <c r="Q443" s="117" t="n"/>
      <c r="R443" s="118" t="n"/>
      <c r="S443" s="119" t="n"/>
      <c r="T443" s="120" t="n"/>
      <c r="U443" s="123" t="n"/>
      <c r="V443" s="123" t="n"/>
      <c r="Y443" s="117" t="n"/>
      <c r="Z443" s="117" t="n"/>
      <c r="AA443" s="118" t="n"/>
      <c r="AB443" s="119" t="n"/>
      <c r="AC443" s="120" t="n"/>
      <c r="AD443" s="120" t="n"/>
      <c r="AE443" s="120" t="n"/>
    </row>
    <row r="444" ht="15" customHeight="1" s="72">
      <c r="A444" s="117" t="n"/>
      <c r="B444" s="117" t="n"/>
      <c r="C444" s="118" t="n"/>
      <c r="D444" s="118" t="n"/>
      <c r="E444" s="118" t="n"/>
      <c r="F444" s="123" t="n"/>
      <c r="G444" s="119" t="n"/>
      <c r="H444" s="123" t="n"/>
      <c r="I444" s="123" t="n"/>
      <c r="J444" s="125" t="n"/>
      <c r="K444" s="120" t="n"/>
      <c r="N444" s="117" t="n"/>
      <c r="O444" s="117" t="n"/>
      <c r="P444" s="117" t="n"/>
      <c r="Q444" s="117" t="n"/>
      <c r="R444" s="118" t="n"/>
      <c r="S444" s="119" t="n"/>
      <c r="T444" s="120" t="n"/>
      <c r="U444" s="123" t="n"/>
      <c r="V444" s="123" t="n"/>
      <c r="Y444" s="117" t="n"/>
      <c r="Z444" s="117" t="n"/>
      <c r="AA444" s="118" t="n"/>
      <c r="AB444" s="119" t="n"/>
      <c r="AC444" s="120" t="n"/>
      <c r="AD444" s="120" t="n"/>
      <c r="AE444" s="120" t="n"/>
    </row>
    <row r="445" ht="15" customHeight="1" s="72">
      <c r="A445" s="117" t="n"/>
      <c r="B445" s="117" t="n"/>
      <c r="C445" s="118" t="n"/>
      <c r="D445" s="118" t="n"/>
      <c r="E445" s="118" t="n"/>
      <c r="F445" s="123" t="n"/>
      <c r="G445" s="119" t="n"/>
      <c r="H445" s="123" t="n"/>
      <c r="I445" s="123" t="n"/>
      <c r="J445" s="125" t="n"/>
      <c r="K445" s="120" t="n"/>
      <c r="N445" s="117" t="n"/>
      <c r="O445" s="117" t="n"/>
      <c r="P445" s="117" t="n"/>
      <c r="Q445" s="117" t="n"/>
      <c r="R445" s="118" t="n"/>
      <c r="S445" s="119" t="n"/>
      <c r="T445" s="120" t="n"/>
      <c r="U445" s="123" t="n"/>
      <c r="V445" s="123" t="n"/>
      <c r="Y445" s="117" t="n"/>
      <c r="Z445" s="117" t="n"/>
      <c r="AA445" s="118" t="n"/>
      <c r="AB445" s="119" t="n"/>
      <c r="AC445" s="120" t="n"/>
      <c r="AD445" s="120" t="n"/>
      <c r="AE445" s="120" t="n"/>
    </row>
    <row r="446" ht="15" customHeight="1" s="72">
      <c r="A446" s="117" t="n"/>
      <c r="B446" s="117" t="n"/>
      <c r="C446" s="118" t="n"/>
      <c r="D446" s="118" t="n"/>
      <c r="E446" s="118" t="n"/>
      <c r="F446" s="123" t="n"/>
      <c r="G446" s="119" t="n"/>
      <c r="H446" s="123" t="n"/>
      <c r="I446" s="123" t="n"/>
      <c r="J446" s="125" t="n"/>
      <c r="K446" s="120" t="n"/>
      <c r="N446" s="117" t="n"/>
      <c r="O446" s="117" t="n"/>
      <c r="P446" s="117" t="n"/>
      <c r="Q446" s="117" t="n"/>
      <c r="R446" s="118" t="n"/>
      <c r="S446" s="119" t="n"/>
      <c r="T446" s="120" t="n"/>
      <c r="U446" s="123" t="n"/>
      <c r="V446" s="123" t="n"/>
      <c r="Y446" s="117" t="n"/>
      <c r="Z446" s="117" t="n"/>
      <c r="AA446" s="118" t="n"/>
      <c r="AB446" s="119" t="n"/>
      <c r="AC446" s="120" t="n"/>
      <c r="AD446" s="120" t="n"/>
      <c r="AE446" s="120" t="n"/>
    </row>
    <row r="447" ht="15" customHeight="1" s="72">
      <c r="A447" s="117" t="n"/>
      <c r="B447" s="117" t="n"/>
      <c r="C447" s="118" t="n"/>
      <c r="D447" s="118" t="n"/>
      <c r="E447" s="118" t="n"/>
      <c r="F447" s="123" t="n"/>
      <c r="G447" s="119" t="n"/>
      <c r="H447" s="123" t="n"/>
      <c r="I447" s="123" t="n"/>
      <c r="J447" s="125" t="n"/>
      <c r="K447" s="120" t="n"/>
      <c r="N447" s="117" t="n"/>
      <c r="O447" s="117" t="n"/>
      <c r="P447" s="117" t="n"/>
      <c r="Q447" s="117" t="n"/>
      <c r="R447" s="118" t="n"/>
      <c r="S447" s="119" t="n"/>
      <c r="T447" s="120" t="n"/>
      <c r="U447" s="123" t="n"/>
      <c r="V447" s="123" t="n"/>
      <c r="Y447" s="117" t="n"/>
      <c r="Z447" s="117" t="n"/>
      <c r="AA447" s="118" t="n"/>
      <c r="AB447" s="119" t="n"/>
      <c r="AC447" s="120" t="n"/>
      <c r="AD447" s="120" t="n"/>
      <c r="AE447" s="120" t="n"/>
    </row>
    <row r="448" ht="15" customHeight="1" s="72">
      <c r="A448" s="117" t="n"/>
      <c r="B448" s="117" t="n"/>
      <c r="C448" s="118" t="n"/>
      <c r="D448" s="118" t="n"/>
      <c r="E448" s="118" t="n"/>
      <c r="F448" s="123" t="n"/>
      <c r="G448" s="119" t="n"/>
      <c r="H448" s="123" t="n"/>
      <c r="I448" s="123" t="n"/>
      <c r="J448" s="125" t="n"/>
      <c r="K448" s="120" t="n"/>
      <c r="N448" s="117" t="n"/>
      <c r="O448" s="117" t="n"/>
      <c r="P448" s="117" t="n"/>
      <c r="Q448" s="117" t="n"/>
      <c r="R448" s="118" t="n"/>
      <c r="S448" s="119" t="n"/>
      <c r="T448" s="120" t="n"/>
      <c r="U448" s="123" t="n"/>
      <c r="V448" s="123" t="n"/>
      <c r="Y448" s="117" t="n"/>
      <c r="Z448" s="117" t="n"/>
      <c r="AA448" s="118" t="n"/>
      <c r="AB448" s="119" t="n"/>
      <c r="AC448" s="120" t="n"/>
      <c r="AD448" s="120" t="n"/>
      <c r="AE448" s="120" t="n"/>
    </row>
    <row r="449" ht="15" customHeight="1" s="72">
      <c r="A449" s="117" t="n"/>
      <c r="B449" s="117" t="n"/>
      <c r="C449" s="118" t="n"/>
      <c r="D449" s="118" t="n"/>
      <c r="E449" s="118" t="n"/>
      <c r="F449" s="123" t="n"/>
      <c r="G449" s="119" t="n"/>
      <c r="H449" s="123" t="n"/>
      <c r="I449" s="123" t="n"/>
      <c r="J449" s="125" t="n"/>
      <c r="K449" s="120" t="n"/>
      <c r="N449" s="117" t="n"/>
      <c r="O449" s="117" t="n"/>
      <c r="P449" s="117" t="n"/>
      <c r="Q449" s="117" t="n"/>
      <c r="R449" s="118" t="n"/>
      <c r="S449" s="119" t="n"/>
      <c r="T449" s="120" t="n"/>
      <c r="U449" s="123" t="n"/>
      <c r="V449" s="123" t="n"/>
      <c r="Y449" s="117" t="n"/>
      <c r="Z449" s="117" t="n"/>
      <c r="AA449" s="118" t="n"/>
      <c r="AB449" s="119" t="n"/>
      <c r="AC449" s="120" t="n"/>
      <c r="AD449" s="120" t="n"/>
      <c r="AE449" s="120" t="n"/>
    </row>
    <row r="450" ht="15" customHeight="1" s="72">
      <c r="A450" s="117" t="n"/>
      <c r="B450" s="117" t="n"/>
      <c r="C450" s="118" t="n"/>
      <c r="D450" s="118" t="n"/>
      <c r="E450" s="118" t="n"/>
      <c r="F450" s="123" t="n"/>
      <c r="G450" s="119" t="n"/>
      <c r="H450" s="123" t="n"/>
      <c r="I450" s="123" t="n"/>
      <c r="J450" s="125" t="n"/>
      <c r="K450" s="120" t="n"/>
      <c r="N450" s="117" t="n"/>
      <c r="O450" s="117" t="n"/>
      <c r="P450" s="117" t="n"/>
      <c r="Q450" s="117" t="n"/>
      <c r="R450" s="118" t="n"/>
      <c r="S450" s="119" t="n"/>
      <c r="T450" s="120" t="n"/>
      <c r="U450" s="123" t="n"/>
      <c r="V450" s="123" t="n"/>
      <c r="Y450" s="117" t="n"/>
      <c r="Z450" s="117" t="n"/>
      <c r="AA450" s="118" t="n"/>
      <c r="AB450" s="119" t="n"/>
      <c r="AC450" s="120" t="n"/>
      <c r="AD450" s="120" t="n"/>
      <c r="AE450" s="120" t="n"/>
    </row>
    <row r="451" ht="15" customHeight="1" s="72">
      <c r="A451" s="117" t="n"/>
      <c r="B451" s="117" t="n"/>
      <c r="C451" s="118" t="n"/>
      <c r="D451" s="118" t="n"/>
      <c r="E451" s="118" t="n"/>
      <c r="F451" s="123" t="n"/>
      <c r="G451" s="119" t="n"/>
      <c r="H451" s="123" t="n"/>
      <c r="I451" s="123" t="n"/>
      <c r="J451" s="125" t="n"/>
      <c r="K451" s="120" t="n"/>
      <c r="N451" s="117" t="n"/>
      <c r="O451" s="117" t="n"/>
      <c r="P451" s="117" t="n"/>
      <c r="Q451" s="117" t="n"/>
      <c r="R451" s="118" t="n"/>
      <c r="S451" s="119" t="n"/>
      <c r="T451" s="120" t="n"/>
      <c r="U451" s="123" t="n"/>
      <c r="V451" s="123" t="n"/>
      <c r="Y451" s="117" t="n"/>
      <c r="Z451" s="117" t="n"/>
      <c r="AA451" s="118" t="n"/>
      <c r="AB451" s="119" t="n"/>
      <c r="AC451" s="120" t="n"/>
      <c r="AD451" s="120" t="n"/>
      <c r="AE451" s="120" t="n"/>
    </row>
    <row r="452" ht="15" customHeight="1" s="72">
      <c r="A452" s="117" t="n"/>
      <c r="B452" s="117" t="n"/>
      <c r="C452" s="118" t="n"/>
      <c r="D452" s="118" t="n"/>
      <c r="E452" s="118" t="n"/>
      <c r="F452" s="123" t="n"/>
      <c r="G452" s="119" t="n"/>
      <c r="H452" s="123" t="n"/>
      <c r="I452" s="123" t="n"/>
      <c r="J452" s="125" t="n"/>
      <c r="K452" s="120" t="n"/>
      <c r="N452" s="117" t="n"/>
      <c r="O452" s="117" t="n"/>
      <c r="P452" s="117" t="n"/>
      <c r="Q452" s="117" t="n"/>
      <c r="R452" s="118" t="n"/>
      <c r="S452" s="119" t="n"/>
      <c r="T452" s="120" t="n"/>
      <c r="U452" s="123" t="n"/>
      <c r="V452" s="123" t="n"/>
      <c r="Y452" s="117" t="n"/>
      <c r="Z452" s="117" t="n"/>
      <c r="AA452" s="118" t="n"/>
      <c r="AB452" s="119" t="n"/>
      <c r="AC452" s="120" t="n"/>
      <c r="AD452" s="120" t="n"/>
      <c r="AE452" s="120" t="n"/>
    </row>
    <row r="453" ht="15" customHeight="1" s="72">
      <c r="A453" s="117" t="n"/>
      <c r="B453" s="117" t="n"/>
      <c r="C453" s="118" t="n"/>
      <c r="D453" s="118" t="n"/>
      <c r="E453" s="118" t="n"/>
      <c r="F453" s="123" t="n"/>
      <c r="G453" s="119" t="n"/>
      <c r="H453" s="123" t="n"/>
      <c r="I453" s="123" t="n"/>
      <c r="J453" s="125" t="n"/>
      <c r="K453" s="120" t="n"/>
      <c r="N453" s="117" t="n"/>
      <c r="O453" s="117" t="n"/>
      <c r="P453" s="117" t="n"/>
      <c r="Q453" s="117" t="n"/>
      <c r="R453" s="118" t="n"/>
      <c r="S453" s="119" t="n"/>
      <c r="T453" s="120" t="n"/>
      <c r="U453" s="123" t="n"/>
      <c r="V453" s="123" t="n"/>
      <c r="Y453" s="117" t="n"/>
      <c r="Z453" s="117" t="n"/>
      <c r="AA453" s="118" t="n"/>
      <c r="AB453" s="119" t="n"/>
      <c r="AC453" s="120" t="n"/>
      <c r="AD453" s="120" t="n"/>
      <c r="AE453" s="120" t="n"/>
    </row>
    <row r="454" ht="15" customHeight="1" s="72">
      <c r="A454" s="117" t="n"/>
      <c r="B454" s="117" t="n"/>
      <c r="C454" s="118" t="n"/>
      <c r="D454" s="118" t="n"/>
      <c r="E454" s="118" t="n"/>
      <c r="F454" s="123" t="n"/>
      <c r="G454" s="119" t="n"/>
      <c r="H454" s="123" t="n"/>
      <c r="I454" s="123" t="n"/>
      <c r="J454" s="125" t="n"/>
      <c r="K454" s="120" t="n"/>
      <c r="N454" s="117" t="n"/>
      <c r="O454" s="117" t="n"/>
      <c r="P454" s="117" t="n"/>
      <c r="Q454" s="117" t="n"/>
      <c r="R454" s="118" t="n"/>
      <c r="S454" s="119" t="n"/>
      <c r="T454" s="120" t="n"/>
      <c r="U454" s="123" t="n"/>
      <c r="V454" s="123" t="n"/>
      <c r="Y454" s="117" t="n"/>
      <c r="Z454" s="117" t="n"/>
      <c r="AA454" s="118" t="n"/>
      <c r="AB454" s="119" t="n"/>
      <c r="AC454" s="120" t="n"/>
      <c r="AD454" s="120" t="n"/>
      <c r="AE454" s="120" t="n"/>
    </row>
    <row r="455" ht="15" customHeight="1" s="72">
      <c r="A455" s="117" t="n"/>
      <c r="B455" s="117" t="n"/>
      <c r="C455" s="118" t="n"/>
      <c r="D455" s="118" t="n"/>
      <c r="E455" s="118" t="n"/>
      <c r="F455" s="123" t="n"/>
      <c r="G455" s="119" t="n"/>
      <c r="H455" s="123" t="n"/>
      <c r="I455" s="123" t="n"/>
      <c r="J455" s="125" t="n"/>
      <c r="K455" s="120" t="n"/>
      <c r="N455" s="117" t="n"/>
      <c r="O455" s="117" t="n"/>
      <c r="P455" s="117" t="n"/>
      <c r="Q455" s="117" t="n"/>
      <c r="R455" s="118" t="n"/>
      <c r="S455" s="119" t="n"/>
      <c r="T455" s="120" t="n"/>
      <c r="U455" s="123" t="n"/>
      <c r="V455" s="123" t="n"/>
      <c r="Y455" s="117" t="n"/>
      <c r="Z455" s="117" t="n"/>
      <c r="AA455" s="118" t="n"/>
      <c r="AB455" s="119" t="n"/>
      <c r="AC455" s="120" t="n"/>
      <c r="AD455" s="120" t="n"/>
      <c r="AE455" s="120" t="n"/>
    </row>
    <row r="456" ht="15" customHeight="1" s="72">
      <c r="A456" s="117" t="n"/>
      <c r="B456" s="117" t="n"/>
      <c r="C456" s="118" t="n"/>
      <c r="D456" s="118" t="n"/>
      <c r="E456" s="118" t="n"/>
      <c r="F456" s="123" t="n"/>
      <c r="G456" s="119" t="n"/>
      <c r="H456" s="123" t="n"/>
      <c r="I456" s="123" t="n"/>
      <c r="J456" s="125" t="n"/>
      <c r="K456" s="120" t="n"/>
      <c r="N456" s="117" t="n"/>
      <c r="O456" s="117" t="n"/>
      <c r="P456" s="117" t="n"/>
      <c r="Q456" s="117" t="n"/>
      <c r="R456" s="118" t="n"/>
      <c r="S456" s="119" t="n"/>
      <c r="T456" s="120" t="n"/>
      <c r="U456" s="123" t="n"/>
      <c r="V456" s="123" t="n"/>
      <c r="Y456" s="117" t="n"/>
      <c r="Z456" s="117" t="n"/>
      <c r="AA456" s="118" t="n"/>
      <c r="AB456" s="119" t="n"/>
      <c r="AC456" s="120" t="n"/>
      <c r="AD456" s="120" t="n"/>
      <c r="AE456" s="120" t="n"/>
    </row>
    <row r="457" ht="15" customHeight="1" s="72">
      <c r="A457" s="117" t="n"/>
      <c r="B457" s="117" t="n"/>
      <c r="C457" s="118" t="n"/>
      <c r="D457" s="118" t="n"/>
      <c r="E457" s="118" t="n"/>
      <c r="F457" s="123" t="n"/>
      <c r="G457" s="119" t="n"/>
      <c r="H457" s="123" t="n"/>
      <c r="I457" s="123" t="n"/>
      <c r="J457" s="125" t="n"/>
      <c r="K457" s="120" t="n"/>
      <c r="N457" s="117" t="n"/>
      <c r="O457" s="117" t="n"/>
      <c r="P457" s="117" t="n"/>
      <c r="Q457" s="117" t="n"/>
      <c r="R457" s="118" t="n"/>
      <c r="S457" s="119" t="n"/>
      <c r="T457" s="120" t="n"/>
      <c r="U457" s="123" t="n"/>
      <c r="V457" s="123" t="n"/>
      <c r="Y457" s="117" t="n"/>
      <c r="Z457" s="117" t="n"/>
      <c r="AA457" s="118" t="n"/>
      <c r="AB457" s="119" t="n"/>
      <c r="AC457" s="120" t="n"/>
      <c r="AD457" s="120" t="n"/>
      <c r="AE457" s="120" t="n"/>
    </row>
    <row r="458" ht="15" customHeight="1" s="72">
      <c r="A458" s="117" t="n"/>
      <c r="B458" s="117" t="n"/>
      <c r="C458" s="118" t="n"/>
      <c r="D458" s="118" t="n"/>
      <c r="E458" s="118" t="n"/>
      <c r="F458" s="123" t="n"/>
      <c r="G458" s="119" t="n"/>
      <c r="H458" s="123" t="n"/>
      <c r="I458" s="123" t="n"/>
      <c r="J458" s="125" t="n"/>
      <c r="K458" s="120" t="n"/>
      <c r="N458" s="117" t="n"/>
      <c r="O458" s="117" t="n"/>
      <c r="P458" s="117" t="n"/>
      <c r="Q458" s="117" t="n"/>
      <c r="R458" s="118" t="n"/>
      <c r="S458" s="119" t="n"/>
      <c r="T458" s="120" t="n"/>
      <c r="U458" s="123" t="n"/>
      <c r="V458" s="123" t="n"/>
      <c r="Y458" s="117" t="n"/>
      <c r="Z458" s="117" t="n"/>
      <c r="AA458" s="118" t="n"/>
      <c r="AB458" s="119" t="n"/>
      <c r="AC458" s="120" t="n"/>
      <c r="AD458" s="120" t="n"/>
      <c r="AE458" s="120" t="n"/>
    </row>
    <row r="459" ht="15" customHeight="1" s="72">
      <c r="A459" s="117" t="n"/>
      <c r="B459" s="117" t="n"/>
      <c r="C459" s="118" t="n"/>
      <c r="D459" s="118" t="n"/>
      <c r="E459" s="118" t="n"/>
      <c r="F459" s="123" t="n"/>
      <c r="G459" s="119" t="n"/>
      <c r="H459" s="123" t="n"/>
      <c r="I459" s="123" t="n"/>
      <c r="J459" s="125" t="n"/>
      <c r="K459" s="120" t="n"/>
      <c r="N459" s="117" t="n"/>
      <c r="O459" s="117" t="n"/>
      <c r="P459" s="117" t="n"/>
      <c r="Q459" s="117" t="n"/>
      <c r="R459" s="118" t="n"/>
      <c r="S459" s="119" t="n"/>
      <c r="T459" s="120" t="n"/>
      <c r="U459" s="123" t="n"/>
      <c r="V459" s="123" t="n"/>
      <c r="Y459" s="117" t="n"/>
      <c r="Z459" s="117" t="n"/>
      <c r="AA459" s="118" t="n"/>
      <c r="AB459" s="119" t="n"/>
      <c r="AC459" s="120" t="n"/>
      <c r="AD459" s="120" t="n"/>
      <c r="AE459" s="120" t="n"/>
    </row>
    <row r="460" ht="15" customHeight="1" s="72">
      <c r="A460" s="117" t="n"/>
      <c r="B460" s="117" t="n"/>
      <c r="C460" s="118" t="n"/>
      <c r="D460" s="118" t="n"/>
      <c r="E460" s="118" t="n"/>
      <c r="F460" s="123" t="n"/>
      <c r="G460" s="119" t="n"/>
      <c r="H460" s="123" t="n"/>
      <c r="I460" s="123" t="n"/>
      <c r="J460" s="125" t="n"/>
      <c r="K460" s="120" t="n"/>
      <c r="N460" s="117" t="n"/>
      <c r="O460" s="117" t="n"/>
      <c r="P460" s="117" t="n"/>
      <c r="Q460" s="117" t="n"/>
      <c r="R460" s="118" t="n"/>
      <c r="S460" s="119" t="n"/>
      <c r="T460" s="120" t="n"/>
      <c r="U460" s="123" t="n"/>
      <c r="V460" s="123" t="n"/>
      <c r="Y460" s="117" t="n"/>
      <c r="Z460" s="117" t="n"/>
      <c r="AA460" s="118" t="n"/>
      <c r="AB460" s="119" t="n"/>
      <c r="AC460" s="120" t="n"/>
      <c r="AD460" s="120" t="n"/>
      <c r="AE460" s="120" t="n"/>
    </row>
    <row r="461" ht="15" customHeight="1" s="72">
      <c r="A461" s="117" t="n"/>
      <c r="B461" s="117" t="n"/>
      <c r="C461" s="118" t="n"/>
      <c r="D461" s="118" t="n"/>
      <c r="E461" s="118" t="n"/>
      <c r="F461" s="123" t="n"/>
      <c r="G461" s="119" t="n"/>
      <c r="H461" s="123" t="n"/>
      <c r="I461" s="123" t="n"/>
      <c r="J461" s="125" t="n"/>
      <c r="K461" s="120" t="n"/>
      <c r="N461" s="117" t="n"/>
      <c r="O461" s="117" t="n"/>
      <c r="P461" s="117" t="n"/>
      <c r="Q461" s="117" t="n"/>
      <c r="R461" s="118" t="n"/>
      <c r="S461" s="119" t="n"/>
      <c r="T461" s="120" t="n"/>
      <c r="U461" s="123" t="n"/>
      <c r="V461" s="123" t="n"/>
      <c r="Y461" s="117" t="n"/>
      <c r="Z461" s="117" t="n"/>
      <c r="AA461" s="118" t="n"/>
      <c r="AB461" s="119" t="n"/>
      <c r="AC461" s="120" t="n"/>
      <c r="AD461" s="120" t="n"/>
      <c r="AE461" s="120" t="n"/>
    </row>
    <row r="462" ht="15" customHeight="1" s="72">
      <c r="A462" s="117" t="n"/>
      <c r="B462" s="117" t="n"/>
      <c r="C462" s="118" t="n"/>
      <c r="D462" s="118" t="n"/>
      <c r="E462" s="118" t="n"/>
      <c r="F462" s="123" t="n"/>
      <c r="G462" s="119" t="n"/>
      <c r="H462" s="123" t="n"/>
      <c r="I462" s="123" t="n"/>
      <c r="J462" s="125" t="n"/>
      <c r="K462" s="120" t="n"/>
      <c r="N462" s="117" t="n"/>
      <c r="O462" s="117" t="n"/>
      <c r="P462" s="117" t="n"/>
      <c r="Q462" s="117" t="n"/>
      <c r="R462" s="118" t="n"/>
      <c r="S462" s="119" t="n"/>
      <c r="T462" s="120" t="n"/>
      <c r="U462" s="123" t="n"/>
      <c r="V462" s="123" t="n"/>
      <c r="Y462" s="117" t="n"/>
      <c r="Z462" s="117" t="n"/>
      <c r="AA462" s="118" t="n"/>
      <c r="AB462" s="119" t="n"/>
      <c r="AC462" s="120" t="n"/>
      <c r="AD462" s="120" t="n"/>
      <c r="AE462" s="120" t="n"/>
    </row>
    <row r="463" ht="15" customHeight="1" s="72">
      <c r="A463" s="117" t="n"/>
      <c r="B463" s="117" t="n"/>
      <c r="C463" s="118" t="n"/>
      <c r="D463" s="118" t="n"/>
      <c r="E463" s="118" t="n"/>
      <c r="F463" s="123" t="n"/>
      <c r="G463" s="119" t="n"/>
      <c r="H463" s="123" t="n"/>
      <c r="I463" s="123" t="n"/>
      <c r="J463" s="125" t="n"/>
      <c r="K463" s="120" t="n"/>
      <c r="N463" s="117" t="n"/>
      <c r="O463" s="117" t="n"/>
      <c r="P463" s="117" t="n"/>
      <c r="Q463" s="117" t="n"/>
      <c r="R463" s="118" t="n"/>
      <c r="S463" s="119" t="n"/>
      <c r="T463" s="120" t="n"/>
      <c r="U463" s="123" t="n"/>
      <c r="V463" s="123" t="n"/>
      <c r="Y463" s="117" t="n"/>
      <c r="Z463" s="117" t="n"/>
      <c r="AA463" s="118" t="n"/>
      <c r="AB463" s="119" t="n"/>
      <c r="AC463" s="120" t="n"/>
      <c r="AD463" s="120" t="n"/>
      <c r="AE463" s="120" t="n"/>
    </row>
    <row r="464" ht="15" customHeight="1" s="72">
      <c r="A464" s="117" t="n"/>
      <c r="B464" s="117" t="n"/>
      <c r="C464" s="118" t="n"/>
      <c r="D464" s="118" t="n"/>
      <c r="E464" s="118" t="n"/>
      <c r="F464" s="123" t="n"/>
      <c r="G464" s="119" t="n"/>
      <c r="H464" s="123" t="n"/>
      <c r="I464" s="123" t="n"/>
      <c r="J464" s="125" t="n"/>
      <c r="K464" s="120" t="n"/>
      <c r="N464" s="117" t="n"/>
      <c r="O464" s="117" t="n"/>
      <c r="P464" s="117" t="n"/>
      <c r="Q464" s="117" t="n"/>
      <c r="R464" s="118" t="n"/>
      <c r="S464" s="119" t="n"/>
      <c r="T464" s="120" t="n"/>
      <c r="U464" s="123" t="n"/>
      <c r="V464" s="123" t="n"/>
      <c r="Y464" s="117" t="n"/>
      <c r="Z464" s="117" t="n"/>
      <c r="AA464" s="118" t="n"/>
      <c r="AB464" s="119" t="n"/>
      <c r="AC464" s="120" t="n"/>
      <c r="AD464" s="120" t="n"/>
      <c r="AE464" s="120" t="n"/>
    </row>
    <row r="465" ht="15" customHeight="1" s="72">
      <c r="A465" s="117" t="n"/>
      <c r="B465" s="117" t="n"/>
      <c r="C465" s="118" t="n"/>
      <c r="D465" s="118" t="n"/>
      <c r="E465" s="118" t="n"/>
      <c r="F465" s="123" t="n"/>
      <c r="G465" s="119" t="n"/>
      <c r="H465" s="123" t="n"/>
      <c r="I465" s="123" t="n"/>
      <c r="J465" s="125" t="n"/>
      <c r="K465" s="120" t="n"/>
      <c r="N465" s="117" t="n"/>
      <c r="O465" s="117" t="n"/>
      <c r="P465" s="117" t="n"/>
      <c r="Q465" s="117" t="n"/>
      <c r="R465" s="118" t="n"/>
      <c r="S465" s="119" t="n"/>
      <c r="T465" s="120" t="n"/>
      <c r="U465" s="123" t="n"/>
      <c r="V465" s="123" t="n"/>
      <c r="Y465" s="117" t="n"/>
      <c r="Z465" s="117" t="n"/>
      <c r="AA465" s="118" t="n"/>
      <c r="AB465" s="119" t="n"/>
      <c r="AC465" s="120" t="n"/>
      <c r="AD465" s="120" t="n"/>
      <c r="AE465" s="120" t="n"/>
    </row>
    <row r="466" ht="15" customHeight="1" s="72">
      <c r="A466" s="117" t="n"/>
      <c r="B466" s="117" t="n"/>
      <c r="C466" s="118" t="n"/>
      <c r="D466" s="118" t="n"/>
      <c r="E466" s="118" t="n"/>
      <c r="F466" s="123" t="n"/>
      <c r="G466" s="119" t="n"/>
      <c r="H466" s="123" t="n"/>
      <c r="I466" s="123" t="n"/>
      <c r="J466" s="125" t="n"/>
      <c r="K466" s="120" t="n"/>
      <c r="N466" s="117" t="n"/>
      <c r="O466" s="117" t="n"/>
      <c r="P466" s="117" t="n"/>
      <c r="Q466" s="117" t="n"/>
      <c r="R466" s="118" t="n"/>
      <c r="S466" s="119" t="n"/>
      <c r="T466" s="120" t="n"/>
      <c r="U466" s="123" t="n"/>
      <c r="V466" s="123" t="n"/>
      <c r="Y466" s="117" t="n"/>
      <c r="Z466" s="117" t="n"/>
      <c r="AA466" s="118" t="n"/>
      <c r="AB466" s="119" t="n"/>
      <c r="AC466" s="120" t="n"/>
      <c r="AD466" s="120" t="n"/>
      <c r="AE466" s="120" t="n"/>
    </row>
    <row r="467" ht="15" customHeight="1" s="72">
      <c r="A467" s="117" t="n"/>
      <c r="B467" s="117" t="n"/>
      <c r="C467" s="118" t="n"/>
      <c r="D467" s="118" t="n"/>
      <c r="E467" s="118" t="n"/>
      <c r="F467" s="123" t="n"/>
      <c r="G467" s="119" t="n"/>
      <c r="H467" s="123" t="n"/>
      <c r="I467" s="123" t="n"/>
      <c r="J467" s="125" t="n"/>
      <c r="K467" s="120" t="n"/>
      <c r="N467" s="117" t="n"/>
      <c r="O467" s="117" t="n"/>
      <c r="P467" s="117" t="n"/>
      <c r="Q467" s="117" t="n"/>
      <c r="R467" s="118" t="n"/>
      <c r="S467" s="119" t="n"/>
      <c r="T467" s="120" t="n"/>
      <c r="U467" s="123" t="n"/>
      <c r="V467" s="123" t="n"/>
      <c r="Y467" s="117" t="n"/>
      <c r="Z467" s="117" t="n"/>
      <c r="AA467" s="118" t="n"/>
      <c r="AB467" s="119" t="n"/>
      <c r="AC467" s="120" t="n"/>
      <c r="AD467" s="120" t="n"/>
      <c r="AE467" s="120" t="n"/>
    </row>
    <row r="468" ht="15" customHeight="1" s="72">
      <c r="A468" s="117" t="n"/>
      <c r="B468" s="117" t="n"/>
      <c r="C468" s="118" t="n"/>
      <c r="D468" s="118" t="n"/>
      <c r="E468" s="118" t="n"/>
      <c r="F468" s="123" t="n"/>
      <c r="G468" s="119" t="n"/>
      <c r="H468" s="123" t="n"/>
      <c r="I468" s="123" t="n"/>
      <c r="J468" s="125" t="n"/>
      <c r="K468" s="120" t="n"/>
      <c r="N468" s="117" t="n"/>
      <c r="O468" s="117" t="n"/>
      <c r="P468" s="117" t="n"/>
      <c r="Q468" s="117" t="n"/>
      <c r="R468" s="118" t="n"/>
      <c r="S468" s="119" t="n"/>
      <c r="T468" s="120" t="n"/>
      <c r="U468" s="123" t="n"/>
      <c r="V468" s="123" t="n"/>
      <c r="Y468" s="117" t="n"/>
      <c r="Z468" s="117" t="n"/>
      <c r="AA468" s="118" t="n"/>
      <c r="AB468" s="119" t="n"/>
      <c r="AC468" s="120" t="n"/>
      <c r="AD468" s="120" t="n"/>
      <c r="AE468" s="120" t="n"/>
    </row>
    <row r="469" ht="15" customHeight="1" s="72">
      <c r="A469" s="117" t="n"/>
      <c r="B469" s="117" t="n"/>
      <c r="C469" s="118" t="n"/>
      <c r="D469" s="118" t="n"/>
      <c r="E469" s="118" t="n"/>
      <c r="F469" s="123" t="n"/>
      <c r="G469" s="119" t="n"/>
      <c r="H469" s="123" t="n"/>
      <c r="I469" s="123" t="n"/>
      <c r="J469" s="125" t="n"/>
      <c r="K469" s="120" t="n"/>
      <c r="N469" s="117" t="n"/>
      <c r="O469" s="117" t="n"/>
      <c r="P469" s="117" t="n"/>
      <c r="Q469" s="117" t="n"/>
      <c r="R469" s="118" t="n"/>
      <c r="S469" s="119" t="n"/>
      <c r="T469" s="120" t="n"/>
      <c r="U469" s="123" t="n"/>
      <c r="V469" s="123" t="n"/>
      <c r="Y469" s="117" t="n"/>
      <c r="Z469" s="117" t="n"/>
      <c r="AA469" s="118" t="n"/>
      <c r="AB469" s="119" t="n"/>
      <c r="AC469" s="120" t="n"/>
      <c r="AD469" s="120" t="n"/>
      <c r="AE469" s="120" t="n"/>
    </row>
    <row r="470" ht="15" customHeight="1" s="72">
      <c r="A470" s="117" t="n"/>
      <c r="B470" s="117" t="n"/>
      <c r="C470" s="118" t="n"/>
      <c r="D470" s="118" t="n"/>
      <c r="E470" s="118" t="n"/>
      <c r="F470" s="123" t="n"/>
      <c r="G470" s="119" t="n"/>
      <c r="H470" s="123" t="n"/>
      <c r="I470" s="123" t="n"/>
      <c r="J470" s="125" t="n"/>
      <c r="K470" s="120" t="n"/>
      <c r="N470" s="117" t="n"/>
      <c r="O470" s="117" t="n"/>
      <c r="P470" s="117" t="n"/>
      <c r="Q470" s="117" t="n"/>
      <c r="R470" s="118" t="n"/>
      <c r="S470" s="119" t="n"/>
      <c r="T470" s="120" t="n"/>
      <c r="U470" s="123" t="n"/>
      <c r="V470" s="123" t="n"/>
      <c r="Y470" s="117" t="n"/>
      <c r="Z470" s="117" t="n"/>
      <c r="AA470" s="118" t="n"/>
      <c r="AB470" s="119" t="n"/>
      <c r="AC470" s="120" t="n"/>
      <c r="AD470" s="120" t="n"/>
      <c r="AE470" s="120" t="n"/>
    </row>
    <row r="471" ht="15" customHeight="1" s="72">
      <c r="A471" s="117" t="n"/>
      <c r="B471" s="117" t="n"/>
      <c r="C471" s="118" t="n"/>
      <c r="D471" s="118" t="n"/>
      <c r="E471" s="118" t="n"/>
      <c r="F471" s="123" t="n"/>
      <c r="G471" s="119" t="n"/>
      <c r="H471" s="123" t="n"/>
      <c r="I471" s="123" t="n"/>
      <c r="J471" s="125" t="n"/>
      <c r="K471" s="120" t="n"/>
      <c r="N471" s="117" t="n"/>
      <c r="O471" s="117" t="n"/>
      <c r="P471" s="117" t="n"/>
      <c r="Q471" s="117" t="n"/>
      <c r="R471" s="118" t="n"/>
      <c r="S471" s="119" t="n"/>
      <c r="T471" s="120" t="n"/>
      <c r="U471" s="123" t="n"/>
      <c r="V471" s="123" t="n"/>
      <c r="Y471" s="117" t="n"/>
      <c r="Z471" s="117" t="n"/>
      <c r="AA471" s="118" t="n"/>
      <c r="AB471" s="119" t="n"/>
      <c r="AC471" s="120" t="n"/>
      <c r="AD471" s="120" t="n"/>
      <c r="AE471" s="120" t="n"/>
    </row>
    <row r="472" ht="15" customHeight="1" s="72">
      <c r="A472" s="117" t="n"/>
      <c r="B472" s="117" t="n"/>
      <c r="C472" s="118" t="n"/>
      <c r="D472" s="118" t="n"/>
      <c r="E472" s="118" t="n"/>
      <c r="F472" s="123" t="n"/>
      <c r="G472" s="119" t="n"/>
      <c r="H472" s="123" t="n"/>
      <c r="I472" s="123" t="n"/>
      <c r="J472" s="125" t="n"/>
      <c r="K472" s="120" t="n"/>
      <c r="N472" s="117" t="n"/>
      <c r="O472" s="117" t="n"/>
      <c r="P472" s="117" t="n"/>
      <c r="Q472" s="117" t="n"/>
      <c r="R472" s="118" t="n"/>
      <c r="S472" s="119" t="n"/>
      <c r="T472" s="120" t="n"/>
      <c r="U472" s="123" t="n"/>
      <c r="V472" s="123" t="n"/>
      <c r="Y472" s="117" t="n"/>
      <c r="Z472" s="117" t="n"/>
      <c r="AA472" s="118" t="n"/>
      <c r="AB472" s="119" t="n"/>
      <c r="AC472" s="120" t="n"/>
      <c r="AD472" s="120" t="n"/>
      <c r="AE472" s="120" t="n"/>
    </row>
    <row r="473" ht="15" customHeight="1" s="72">
      <c r="A473" s="117" t="n"/>
      <c r="B473" s="117" t="n"/>
      <c r="C473" s="118" t="n"/>
      <c r="D473" s="118" t="n"/>
      <c r="E473" s="118" t="n"/>
      <c r="F473" s="123" t="n"/>
      <c r="G473" s="119" t="n"/>
      <c r="H473" s="123" t="n"/>
      <c r="I473" s="123" t="n"/>
      <c r="J473" s="125" t="n"/>
      <c r="K473" s="120" t="n"/>
      <c r="N473" s="117" t="n"/>
      <c r="O473" s="117" t="n"/>
      <c r="P473" s="117" t="n"/>
      <c r="Q473" s="117" t="n"/>
      <c r="R473" s="118" t="n"/>
      <c r="S473" s="119" t="n"/>
      <c r="T473" s="120" t="n"/>
      <c r="U473" s="123" t="n"/>
      <c r="V473" s="123" t="n"/>
      <c r="Y473" s="117" t="n"/>
      <c r="Z473" s="117" t="n"/>
      <c r="AA473" s="118" t="n"/>
      <c r="AB473" s="119" t="n"/>
      <c r="AC473" s="120" t="n"/>
      <c r="AD473" s="120" t="n"/>
      <c r="AE473" s="120" t="n"/>
    </row>
    <row r="474" ht="15" customHeight="1" s="72">
      <c r="A474" s="117" t="n"/>
      <c r="B474" s="117" t="n"/>
      <c r="C474" s="118" t="n"/>
      <c r="D474" s="118" t="n"/>
      <c r="E474" s="118" t="n"/>
      <c r="F474" s="123" t="n"/>
      <c r="G474" s="119" t="n"/>
      <c r="H474" s="123" t="n"/>
      <c r="I474" s="123" t="n"/>
      <c r="J474" s="125" t="n"/>
      <c r="K474" s="120" t="n"/>
      <c r="N474" s="117" t="n"/>
      <c r="O474" s="117" t="n"/>
      <c r="P474" s="117" t="n"/>
      <c r="Q474" s="117" t="n"/>
      <c r="R474" s="118" t="n"/>
      <c r="S474" s="119" t="n"/>
      <c r="T474" s="120" t="n"/>
      <c r="U474" s="123" t="n"/>
      <c r="V474" s="123" t="n"/>
      <c r="Y474" s="117" t="n"/>
      <c r="Z474" s="117" t="n"/>
      <c r="AA474" s="118" t="n"/>
      <c r="AB474" s="119" t="n"/>
      <c r="AC474" s="120" t="n"/>
      <c r="AD474" s="120" t="n"/>
      <c r="AE474" s="120" t="n"/>
    </row>
    <row r="475" ht="15" customHeight="1" s="72">
      <c r="A475" s="117" t="n"/>
      <c r="B475" s="117" t="n"/>
      <c r="C475" s="118" t="n"/>
      <c r="D475" s="118" t="n"/>
      <c r="E475" s="118" t="n"/>
      <c r="F475" s="123" t="n"/>
      <c r="G475" s="119" t="n"/>
      <c r="H475" s="123" t="n"/>
      <c r="I475" s="123" t="n"/>
      <c r="J475" s="125" t="n"/>
      <c r="K475" s="120" t="n"/>
      <c r="N475" s="117" t="n"/>
      <c r="O475" s="117" t="n"/>
      <c r="P475" s="117" t="n"/>
      <c r="Q475" s="117" t="n"/>
      <c r="R475" s="118" t="n"/>
      <c r="S475" s="119" t="n"/>
      <c r="T475" s="120" t="n"/>
      <c r="U475" s="123" t="n"/>
      <c r="V475" s="123" t="n"/>
      <c r="Y475" s="117" t="n"/>
      <c r="Z475" s="117" t="n"/>
      <c r="AA475" s="118" t="n"/>
      <c r="AB475" s="119" t="n"/>
      <c r="AC475" s="120" t="n"/>
      <c r="AD475" s="120" t="n"/>
      <c r="AE475" s="120" t="n"/>
    </row>
    <row r="476" ht="15" customHeight="1" s="72">
      <c r="A476" s="117" t="n"/>
      <c r="B476" s="117" t="n"/>
      <c r="C476" s="118" t="n"/>
      <c r="D476" s="118" t="n"/>
      <c r="E476" s="118" t="n"/>
      <c r="F476" s="123" t="n"/>
      <c r="G476" s="119" t="n"/>
      <c r="H476" s="123" t="n"/>
      <c r="I476" s="123" t="n"/>
      <c r="J476" s="125" t="n"/>
      <c r="K476" s="120" t="n"/>
      <c r="N476" s="117" t="n"/>
      <c r="O476" s="117" t="n"/>
      <c r="P476" s="117" t="n"/>
      <c r="Q476" s="117" t="n"/>
      <c r="R476" s="118" t="n"/>
      <c r="S476" s="119" t="n"/>
      <c r="T476" s="120" t="n"/>
      <c r="U476" s="123" t="n"/>
      <c r="V476" s="123" t="n"/>
      <c r="Y476" s="117" t="n"/>
      <c r="Z476" s="117" t="n"/>
      <c r="AA476" s="118" t="n"/>
      <c r="AB476" s="119" t="n"/>
      <c r="AC476" s="120" t="n"/>
      <c r="AD476" s="120" t="n"/>
      <c r="AE476" s="120" t="n"/>
    </row>
    <row r="477" ht="15" customHeight="1" s="72">
      <c r="A477" s="117" t="n"/>
      <c r="B477" s="117" t="n"/>
      <c r="C477" s="118" t="n"/>
      <c r="D477" s="118" t="n"/>
      <c r="E477" s="118" t="n"/>
      <c r="F477" s="123" t="n"/>
      <c r="G477" s="119" t="n"/>
      <c r="H477" s="123" t="n"/>
      <c r="I477" s="123" t="n"/>
      <c r="J477" s="125" t="n"/>
      <c r="K477" s="120" t="n"/>
      <c r="N477" s="117" t="n"/>
      <c r="O477" s="117" t="n"/>
      <c r="P477" s="117" t="n"/>
      <c r="Q477" s="117" t="n"/>
      <c r="R477" s="118" t="n"/>
      <c r="S477" s="119" t="n"/>
      <c r="T477" s="120" t="n"/>
      <c r="U477" s="123" t="n"/>
      <c r="V477" s="123" t="n"/>
      <c r="Y477" s="117" t="n"/>
      <c r="Z477" s="117" t="n"/>
      <c r="AA477" s="118" t="n"/>
      <c r="AB477" s="119" t="n"/>
      <c r="AC477" s="120" t="n"/>
      <c r="AD477" s="120" t="n"/>
      <c r="AE477" s="120" t="n"/>
    </row>
    <row r="478" ht="15" customHeight="1" s="72">
      <c r="A478" s="117" t="n"/>
      <c r="B478" s="117" t="n"/>
      <c r="C478" s="118" t="n"/>
      <c r="D478" s="118" t="n"/>
      <c r="E478" s="118" t="n"/>
      <c r="F478" s="123" t="n"/>
      <c r="G478" s="119" t="n"/>
      <c r="H478" s="123" t="n"/>
      <c r="I478" s="123" t="n"/>
      <c r="J478" s="125" t="n"/>
      <c r="K478" s="120" t="n"/>
      <c r="N478" s="117" t="n"/>
      <c r="O478" s="117" t="n"/>
      <c r="P478" s="117" t="n"/>
      <c r="Q478" s="117" t="n"/>
      <c r="R478" s="118" t="n"/>
      <c r="S478" s="119" t="n"/>
      <c r="T478" s="120" t="n"/>
      <c r="U478" s="123" t="n"/>
      <c r="V478" s="123" t="n"/>
      <c r="Y478" s="117" t="n"/>
      <c r="Z478" s="117" t="n"/>
      <c r="AA478" s="118" t="n"/>
      <c r="AB478" s="119" t="n"/>
      <c r="AC478" s="120" t="n"/>
      <c r="AD478" s="120" t="n"/>
      <c r="AE478" s="120" t="n"/>
    </row>
    <row r="479" ht="15" customHeight="1" s="72">
      <c r="A479" s="117" t="n"/>
      <c r="B479" s="117" t="n"/>
      <c r="C479" s="118" t="n"/>
      <c r="D479" s="118" t="n"/>
      <c r="E479" s="118" t="n"/>
      <c r="F479" s="123" t="n"/>
      <c r="G479" s="119" t="n"/>
      <c r="H479" s="123" t="n"/>
      <c r="I479" s="123" t="n"/>
      <c r="J479" s="125" t="n"/>
      <c r="K479" s="120" t="n"/>
      <c r="N479" s="117" t="n"/>
      <c r="O479" s="117" t="n"/>
      <c r="P479" s="117" t="n"/>
      <c r="Q479" s="117" t="n"/>
      <c r="R479" s="118" t="n"/>
      <c r="S479" s="119" t="n"/>
      <c r="T479" s="120" t="n"/>
      <c r="U479" s="123" t="n"/>
      <c r="V479" s="123" t="n"/>
      <c r="Y479" s="117" t="n"/>
      <c r="Z479" s="117" t="n"/>
      <c r="AA479" s="118" t="n"/>
      <c r="AB479" s="119" t="n"/>
      <c r="AC479" s="120" t="n"/>
      <c r="AD479" s="120" t="n"/>
      <c r="AE479" s="120" t="n"/>
    </row>
    <row r="480" ht="15" customHeight="1" s="72">
      <c r="A480" s="117" t="n"/>
      <c r="B480" s="117" t="n"/>
      <c r="C480" s="118" t="n"/>
      <c r="D480" s="118" t="n"/>
      <c r="E480" s="118" t="n"/>
      <c r="F480" s="123" t="n"/>
      <c r="G480" s="119" t="n"/>
      <c r="H480" s="123" t="n"/>
      <c r="I480" s="123" t="n"/>
      <c r="J480" s="125" t="n"/>
      <c r="K480" s="120" t="n"/>
      <c r="N480" s="117" t="n"/>
      <c r="O480" s="117" t="n"/>
      <c r="P480" s="117" t="n"/>
      <c r="Q480" s="117" t="n"/>
      <c r="R480" s="118" t="n"/>
      <c r="S480" s="119" t="n"/>
      <c r="T480" s="120" t="n"/>
      <c r="U480" s="123" t="n"/>
      <c r="V480" s="123" t="n"/>
      <c r="Y480" s="117" t="n"/>
      <c r="Z480" s="117" t="n"/>
      <c r="AA480" s="118" t="n"/>
      <c r="AB480" s="119" t="n"/>
      <c r="AC480" s="120" t="n"/>
      <c r="AD480" s="120" t="n"/>
      <c r="AE480" s="120" t="n"/>
    </row>
    <row r="481" ht="15" customHeight="1" s="72">
      <c r="A481" s="117" t="n"/>
      <c r="B481" s="117" t="n"/>
      <c r="C481" s="118" t="n"/>
      <c r="D481" s="118" t="n"/>
      <c r="E481" s="118" t="n"/>
      <c r="F481" s="123" t="n"/>
      <c r="G481" s="119" t="n"/>
      <c r="H481" s="123" t="n"/>
      <c r="I481" s="123" t="n"/>
      <c r="J481" s="125" t="n"/>
      <c r="K481" s="120" t="n"/>
      <c r="N481" s="117" t="n"/>
      <c r="O481" s="117" t="n"/>
      <c r="P481" s="117" t="n"/>
      <c r="Q481" s="117" t="n"/>
      <c r="R481" s="118" t="n"/>
      <c r="S481" s="119" t="n"/>
      <c r="T481" s="120" t="n"/>
      <c r="U481" s="123" t="n"/>
      <c r="V481" s="123" t="n"/>
      <c r="Y481" s="117" t="n"/>
      <c r="Z481" s="117" t="n"/>
      <c r="AA481" s="118" t="n"/>
      <c r="AB481" s="119" t="n"/>
      <c r="AC481" s="120" t="n"/>
      <c r="AD481" s="120" t="n"/>
      <c r="AE481" s="120" t="n"/>
    </row>
    <row r="482" ht="15" customHeight="1" s="72">
      <c r="A482" s="117" t="n"/>
      <c r="B482" s="117" t="n"/>
      <c r="C482" s="118" t="n"/>
      <c r="D482" s="118" t="n"/>
      <c r="E482" s="118" t="n"/>
      <c r="F482" s="123" t="n"/>
      <c r="G482" s="119" t="n"/>
      <c r="H482" s="123" t="n"/>
      <c r="I482" s="123" t="n"/>
      <c r="J482" s="125" t="n"/>
      <c r="K482" s="120" t="n"/>
      <c r="N482" s="117" t="n"/>
      <c r="O482" s="117" t="n"/>
      <c r="P482" s="117" t="n"/>
      <c r="Q482" s="117" t="n"/>
      <c r="R482" s="118" t="n"/>
      <c r="S482" s="119" t="n"/>
      <c r="T482" s="120" t="n"/>
      <c r="U482" s="123" t="n"/>
      <c r="V482" s="123" t="n"/>
      <c r="Y482" s="117" t="n"/>
      <c r="Z482" s="117" t="n"/>
      <c r="AA482" s="118" t="n"/>
      <c r="AB482" s="119" t="n"/>
      <c r="AC482" s="120" t="n"/>
      <c r="AD482" s="120" t="n"/>
      <c r="AE482" s="120" t="n"/>
    </row>
    <row r="483" ht="15" customHeight="1" s="72">
      <c r="A483" s="117" t="n"/>
      <c r="B483" s="117" t="n"/>
      <c r="C483" s="118" t="n"/>
      <c r="D483" s="118" t="n"/>
      <c r="E483" s="118" t="n"/>
      <c r="F483" s="123" t="n"/>
      <c r="G483" s="119" t="n"/>
      <c r="H483" s="123" t="n"/>
      <c r="I483" s="123" t="n"/>
      <c r="J483" s="125" t="n"/>
      <c r="K483" s="120" t="n"/>
      <c r="N483" s="117" t="n"/>
      <c r="O483" s="117" t="n"/>
      <c r="P483" s="117" t="n"/>
      <c r="Q483" s="117" t="n"/>
      <c r="R483" s="118" t="n"/>
      <c r="S483" s="119" t="n"/>
      <c r="T483" s="120" t="n"/>
      <c r="U483" s="123" t="n"/>
      <c r="V483" s="123" t="n"/>
      <c r="Y483" s="117" t="n"/>
      <c r="Z483" s="117" t="n"/>
      <c r="AA483" s="118" t="n"/>
      <c r="AB483" s="119" t="n"/>
      <c r="AC483" s="120" t="n"/>
      <c r="AD483" s="120" t="n"/>
      <c r="AE483" s="120" t="n"/>
    </row>
    <row r="484" ht="15" customHeight="1" s="72">
      <c r="A484" s="117" t="n"/>
      <c r="B484" s="117" t="n"/>
      <c r="C484" s="118" t="n"/>
      <c r="D484" s="118" t="n"/>
      <c r="E484" s="118" t="n"/>
      <c r="F484" s="123" t="n"/>
      <c r="G484" s="119" t="n"/>
      <c r="H484" s="123" t="n"/>
      <c r="I484" s="123" t="n"/>
      <c r="J484" s="125" t="n"/>
      <c r="K484" s="120" t="n"/>
      <c r="N484" s="117" t="n"/>
      <c r="O484" s="117" t="n"/>
      <c r="P484" s="117" t="n"/>
      <c r="Q484" s="117" t="n"/>
      <c r="R484" s="118" t="n"/>
      <c r="S484" s="119" t="n"/>
      <c r="T484" s="120" t="n"/>
      <c r="U484" s="123" t="n"/>
      <c r="V484" s="123" t="n"/>
      <c r="Y484" s="117" t="n"/>
      <c r="Z484" s="117" t="n"/>
      <c r="AA484" s="118" t="n"/>
      <c r="AB484" s="119" t="n"/>
      <c r="AC484" s="120" t="n"/>
      <c r="AD484" s="120" t="n"/>
      <c r="AE484" s="120" t="n"/>
    </row>
    <row r="485" ht="15" customHeight="1" s="72">
      <c r="A485" s="117" t="n"/>
      <c r="B485" s="117" t="n"/>
      <c r="C485" s="118" t="n"/>
      <c r="D485" s="118" t="n"/>
      <c r="E485" s="118" t="n"/>
      <c r="F485" s="123" t="n"/>
      <c r="G485" s="119" t="n"/>
      <c r="H485" s="123" t="n"/>
      <c r="I485" s="123" t="n"/>
      <c r="J485" s="125" t="n"/>
      <c r="K485" s="120" t="n"/>
      <c r="N485" s="117" t="n"/>
      <c r="O485" s="117" t="n"/>
      <c r="P485" s="117" t="n"/>
      <c r="Q485" s="117" t="n"/>
      <c r="R485" s="118" t="n"/>
      <c r="S485" s="119" t="n"/>
      <c r="T485" s="120" t="n"/>
      <c r="U485" s="123" t="n"/>
      <c r="V485" s="123" t="n"/>
      <c r="Y485" s="117" t="n"/>
      <c r="Z485" s="117" t="n"/>
      <c r="AA485" s="118" t="n"/>
      <c r="AB485" s="119" t="n"/>
      <c r="AC485" s="120" t="n"/>
      <c r="AD485" s="120" t="n"/>
      <c r="AE485" s="120" t="n"/>
    </row>
    <row r="486" ht="15" customHeight="1" s="72">
      <c r="A486" s="117" t="n"/>
      <c r="B486" s="117" t="n"/>
      <c r="C486" s="118" t="n"/>
      <c r="D486" s="118" t="n"/>
      <c r="E486" s="118" t="n"/>
      <c r="F486" s="123" t="n"/>
      <c r="G486" s="119" t="n"/>
      <c r="H486" s="123" t="n"/>
      <c r="I486" s="123" t="n"/>
      <c r="J486" s="125" t="n"/>
      <c r="K486" s="120" t="n"/>
      <c r="N486" s="117" t="n"/>
      <c r="O486" s="117" t="n"/>
      <c r="P486" s="117" t="n"/>
      <c r="Q486" s="117" t="n"/>
      <c r="R486" s="118" t="n"/>
      <c r="S486" s="119" t="n"/>
      <c r="T486" s="120" t="n"/>
      <c r="U486" s="123" t="n"/>
      <c r="V486" s="123" t="n"/>
      <c r="Y486" s="117" t="n"/>
      <c r="Z486" s="117" t="n"/>
      <c r="AA486" s="118" t="n"/>
      <c r="AB486" s="119" t="n"/>
      <c r="AC486" s="120" t="n"/>
      <c r="AD486" s="120" t="n"/>
      <c r="AE486" s="120" t="n"/>
    </row>
    <row r="487" ht="15" customHeight="1" s="72">
      <c r="A487" s="117" t="n"/>
      <c r="B487" s="117" t="n"/>
      <c r="C487" s="118" t="n"/>
      <c r="D487" s="118" t="n"/>
      <c r="E487" s="118" t="n"/>
      <c r="F487" s="123" t="n"/>
      <c r="G487" s="119" t="n"/>
      <c r="H487" s="123" t="n"/>
      <c r="I487" s="123" t="n"/>
      <c r="J487" s="125" t="n"/>
      <c r="K487" s="120" t="n"/>
      <c r="N487" s="117" t="n"/>
      <c r="O487" s="117" t="n"/>
      <c r="P487" s="117" t="n"/>
      <c r="Q487" s="117" t="n"/>
      <c r="R487" s="118" t="n"/>
      <c r="S487" s="119" t="n"/>
      <c r="T487" s="120" t="n"/>
      <c r="U487" s="123" t="n"/>
      <c r="V487" s="123" t="n"/>
      <c r="Y487" s="117" t="n"/>
      <c r="Z487" s="117" t="n"/>
      <c r="AA487" s="118" t="n"/>
      <c r="AB487" s="119" t="n"/>
      <c r="AC487" s="120" t="n"/>
      <c r="AD487" s="120" t="n"/>
      <c r="AE487" s="120" t="n"/>
    </row>
    <row r="488" ht="15" customHeight="1" s="72">
      <c r="A488" s="117" t="n"/>
      <c r="B488" s="117" t="n"/>
      <c r="C488" s="118" t="n"/>
      <c r="D488" s="118" t="n"/>
      <c r="E488" s="118" t="n"/>
      <c r="F488" s="123" t="n"/>
      <c r="G488" s="119" t="n"/>
      <c r="H488" s="123" t="n"/>
      <c r="I488" s="123" t="n"/>
      <c r="J488" s="125" t="n"/>
      <c r="K488" s="120" t="n"/>
      <c r="N488" s="117" t="n"/>
      <c r="O488" s="117" t="n"/>
      <c r="P488" s="117" t="n"/>
      <c r="Q488" s="117" t="n"/>
      <c r="R488" s="118" t="n"/>
      <c r="S488" s="119" t="n"/>
      <c r="T488" s="120" t="n"/>
      <c r="U488" s="123" t="n"/>
      <c r="V488" s="123" t="n"/>
      <c r="Y488" s="117" t="n"/>
      <c r="Z488" s="117" t="n"/>
      <c r="AA488" s="118" t="n"/>
      <c r="AB488" s="119" t="n"/>
      <c r="AC488" s="120" t="n"/>
      <c r="AD488" s="120" t="n"/>
      <c r="AE488" s="120" t="n"/>
    </row>
    <row r="489" ht="15" customHeight="1" s="72">
      <c r="A489" s="117" t="n"/>
      <c r="B489" s="117" t="n"/>
      <c r="C489" s="118" t="n"/>
      <c r="D489" s="118" t="n"/>
      <c r="E489" s="118" t="n"/>
      <c r="F489" s="123" t="n"/>
      <c r="G489" s="119" t="n"/>
      <c r="H489" s="123" t="n"/>
      <c r="I489" s="123" t="n"/>
      <c r="J489" s="125" t="n"/>
      <c r="K489" s="120" t="n"/>
      <c r="N489" s="117" t="n"/>
      <c r="O489" s="117" t="n"/>
      <c r="P489" s="117" t="n"/>
      <c r="Q489" s="117" t="n"/>
      <c r="R489" s="118" t="n"/>
      <c r="S489" s="119" t="n"/>
      <c r="T489" s="120" t="n"/>
      <c r="U489" s="123" t="n"/>
      <c r="V489" s="123" t="n"/>
      <c r="Y489" s="117" t="n"/>
      <c r="Z489" s="117" t="n"/>
      <c r="AA489" s="118" t="n"/>
      <c r="AB489" s="119" t="n"/>
      <c r="AC489" s="120" t="n"/>
      <c r="AD489" s="120" t="n"/>
      <c r="AE489" s="120" t="n"/>
    </row>
    <row r="490" ht="15" customHeight="1" s="72">
      <c r="A490" s="117" t="n"/>
      <c r="B490" s="117" t="n"/>
      <c r="C490" s="118" t="n"/>
      <c r="D490" s="118" t="n"/>
      <c r="E490" s="118" t="n"/>
      <c r="F490" s="123" t="n"/>
      <c r="G490" s="119" t="n"/>
      <c r="H490" s="123" t="n"/>
      <c r="I490" s="123" t="n"/>
      <c r="J490" s="125" t="n"/>
      <c r="K490" s="120" t="n"/>
      <c r="N490" s="117" t="n"/>
      <c r="O490" s="117" t="n"/>
      <c r="P490" s="117" t="n"/>
      <c r="Q490" s="117" t="n"/>
      <c r="R490" s="118" t="n"/>
      <c r="S490" s="119" t="n"/>
      <c r="T490" s="120" t="n"/>
      <c r="U490" s="123" t="n"/>
      <c r="V490" s="123" t="n"/>
      <c r="Y490" s="117" t="n"/>
      <c r="Z490" s="117" t="n"/>
      <c r="AA490" s="118" t="n"/>
      <c r="AB490" s="119" t="n"/>
      <c r="AC490" s="120" t="n"/>
      <c r="AD490" s="120" t="n"/>
      <c r="AE490" s="120" t="n"/>
    </row>
    <row r="491" ht="15" customHeight="1" s="72">
      <c r="A491" s="117" t="n"/>
      <c r="B491" s="117" t="n"/>
      <c r="C491" s="118" t="n"/>
      <c r="D491" s="118" t="n"/>
      <c r="E491" s="118" t="n"/>
      <c r="F491" s="123" t="n"/>
      <c r="G491" s="119" t="n"/>
      <c r="H491" s="123" t="n"/>
      <c r="I491" s="123" t="n"/>
      <c r="J491" s="125" t="n"/>
      <c r="K491" s="120" t="n"/>
      <c r="N491" s="117" t="n"/>
      <c r="O491" s="117" t="n"/>
      <c r="P491" s="117" t="n"/>
      <c r="Q491" s="117" t="n"/>
      <c r="R491" s="118" t="n"/>
      <c r="S491" s="119" t="n"/>
      <c r="T491" s="120" t="n"/>
      <c r="U491" s="123" t="n"/>
      <c r="V491" s="123" t="n"/>
      <c r="Y491" s="117" t="n"/>
      <c r="Z491" s="117" t="n"/>
      <c r="AA491" s="118" t="n"/>
      <c r="AB491" s="119" t="n"/>
      <c r="AC491" s="120" t="n"/>
      <c r="AD491" s="120" t="n"/>
      <c r="AE491" s="120" t="n"/>
    </row>
    <row r="492" ht="15" customHeight="1" s="72">
      <c r="A492" s="117" t="n"/>
      <c r="B492" s="117" t="n"/>
      <c r="C492" s="118" t="n"/>
      <c r="D492" s="118" t="n"/>
      <c r="E492" s="118" t="n"/>
      <c r="F492" s="123" t="n"/>
      <c r="G492" s="119" t="n"/>
      <c r="H492" s="123" t="n"/>
      <c r="I492" s="123" t="n"/>
      <c r="J492" s="125" t="n"/>
      <c r="K492" s="120" t="n"/>
      <c r="N492" s="117" t="n"/>
      <c r="O492" s="117" t="n"/>
      <c r="P492" s="117" t="n"/>
      <c r="Q492" s="117" t="n"/>
      <c r="R492" s="118" t="n"/>
      <c r="S492" s="119" t="n"/>
      <c r="T492" s="120" t="n"/>
      <c r="U492" s="123" t="n"/>
      <c r="V492" s="123" t="n"/>
      <c r="Y492" s="117" t="n"/>
      <c r="Z492" s="117" t="n"/>
      <c r="AA492" s="118" t="n"/>
      <c r="AB492" s="119" t="n"/>
      <c r="AC492" s="120" t="n"/>
      <c r="AD492" s="120" t="n"/>
      <c r="AE492" s="120" t="n"/>
    </row>
    <row r="493" ht="15" customHeight="1" s="72">
      <c r="A493" s="117" t="n"/>
      <c r="B493" s="117" t="n"/>
      <c r="C493" s="118" t="n"/>
      <c r="D493" s="118" t="n"/>
      <c r="E493" s="118" t="n"/>
      <c r="F493" s="123" t="n"/>
      <c r="G493" s="119" t="n"/>
      <c r="H493" s="123" t="n"/>
      <c r="I493" s="123" t="n"/>
      <c r="J493" s="125" t="n"/>
      <c r="K493" s="120" t="n"/>
      <c r="N493" s="117" t="n"/>
      <c r="O493" s="117" t="n"/>
      <c r="P493" s="117" t="n"/>
      <c r="Q493" s="117" t="n"/>
      <c r="R493" s="118" t="n"/>
      <c r="S493" s="119" t="n"/>
      <c r="T493" s="120" t="n"/>
      <c r="U493" s="123" t="n"/>
      <c r="V493" s="123" t="n"/>
      <c r="Y493" s="117" t="n"/>
      <c r="Z493" s="117" t="n"/>
      <c r="AA493" s="118" t="n"/>
      <c r="AB493" s="119" t="n"/>
      <c r="AC493" s="120" t="n"/>
      <c r="AD493" s="120" t="n"/>
      <c r="AE493" s="120" t="n"/>
    </row>
    <row r="494" ht="15" customHeight="1" s="72">
      <c r="A494" s="117" t="n"/>
      <c r="B494" s="117" t="n"/>
      <c r="C494" s="118" t="n"/>
      <c r="D494" s="118" t="n"/>
      <c r="E494" s="118" t="n"/>
      <c r="F494" s="123" t="n"/>
      <c r="G494" s="119" t="n"/>
      <c r="H494" s="123" t="n"/>
      <c r="I494" s="123" t="n"/>
      <c r="J494" s="125" t="n"/>
      <c r="K494" s="120" t="n"/>
      <c r="N494" s="117" t="n"/>
      <c r="O494" s="117" t="n"/>
      <c r="P494" s="117" t="n"/>
      <c r="Q494" s="117" t="n"/>
      <c r="R494" s="118" t="n"/>
      <c r="S494" s="119" t="n"/>
      <c r="T494" s="120" t="n"/>
      <c r="U494" s="123" t="n"/>
      <c r="V494" s="123" t="n"/>
      <c r="Y494" s="117" t="n"/>
      <c r="Z494" s="117" t="n"/>
      <c r="AA494" s="118" t="n"/>
      <c r="AB494" s="119" t="n"/>
      <c r="AC494" s="120" t="n"/>
      <c r="AD494" s="120" t="n"/>
      <c r="AE494" s="120" t="n"/>
    </row>
    <row r="495" ht="15" customHeight="1" s="72">
      <c r="A495" s="117" t="n"/>
      <c r="B495" s="117" t="n"/>
      <c r="C495" s="118" t="n"/>
      <c r="D495" s="118" t="n"/>
      <c r="E495" s="118" t="n"/>
      <c r="F495" s="123" t="n"/>
      <c r="G495" s="119" t="n"/>
      <c r="H495" s="123" t="n"/>
      <c r="I495" s="123" t="n"/>
      <c r="J495" s="125" t="n"/>
      <c r="K495" s="120" t="n"/>
      <c r="N495" s="117" t="n"/>
      <c r="O495" s="117" t="n"/>
      <c r="P495" s="117" t="n"/>
      <c r="Q495" s="117" t="n"/>
      <c r="R495" s="118" t="n"/>
      <c r="S495" s="119" t="n"/>
      <c r="T495" s="120" t="n"/>
      <c r="U495" s="123" t="n"/>
      <c r="V495" s="123" t="n"/>
      <c r="Y495" s="117" t="n"/>
      <c r="Z495" s="117" t="n"/>
      <c r="AA495" s="118" t="n"/>
      <c r="AB495" s="119" t="n"/>
      <c r="AC495" s="120" t="n"/>
      <c r="AD495" s="120" t="n"/>
      <c r="AE495" s="120" t="n"/>
    </row>
    <row r="496" ht="15" customHeight="1" s="72">
      <c r="A496" s="117" t="n"/>
      <c r="B496" s="117" t="n"/>
      <c r="C496" s="118" t="n"/>
      <c r="D496" s="118" t="n"/>
      <c r="E496" s="118" t="n"/>
      <c r="F496" s="123" t="n"/>
      <c r="G496" s="119" t="n"/>
      <c r="H496" s="123" t="n"/>
      <c r="I496" s="123" t="n"/>
      <c r="J496" s="125" t="n"/>
      <c r="K496" s="120" t="n"/>
      <c r="N496" s="117" t="n"/>
      <c r="O496" s="117" t="n"/>
      <c r="P496" s="117" t="n"/>
      <c r="Q496" s="117" t="n"/>
      <c r="R496" s="118" t="n"/>
      <c r="S496" s="119" t="n"/>
      <c r="T496" s="120" t="n"/>
      <c r="U496" s="123" t="n"/>
      <c r="V496" s="123" t="n"/>
      <c r="Y496" s="117" t="n"/>
      <c r="Z496" s="117" t="n"/>
      <c r="AA496" s="118" t="n"/>
      <c r="AB496" s="119" t="n"/>
      <c r="AC496" s="120" t="n"/>
      <c r="AD496" s="120" t="n"/>
      <c r="AE496" s="120" t="n"/>
    </row>
    <row r="497" ht="15" customHeight="1" s="72">
      <c r="A497" s="117" t="n"/>
      <c r="B497" s="117" t="n"/>
      <c r="C497" s="118" t="n"/>
      <c r="D497" s="118" t="n"/>
      <c r="E497" s="118" t="n"/>
      <c r="F497" s="123" t="n"/>
      <c r="G497" s="119" t="n"/>
      <c r="H497" s="123" t="n"/>
      <c r="I497" s="123" t="n"/>
      <c r="J497" s="125" t="n"/>
      <c r="K497" s="120" t="n"/>
      <c r="N497" s="117" t="n"/>
      <c r="O497" s="117" t="n"/>
      <c r="P497" s="117" t="n"/>
      <c r="Q497" s="117" t="n"/>
      <c r="R497" s="118" t="n"/>
      <c r="S497" s="119" t="n"/>
      <c r="T497" s="120" t="n"/>
      <c r="U497" s="123" t="n"/>
      <c r="V497" s="123" t="n"/>
      <c r="Y497" s="117" t="n"/>
      <c r="Z497" s="117" t="n"/>
      <c r="AA497" s="118" t="n"/>
      <c r="AB497" s="119" t="n"/>
      <c r="AC497" s="120" t="n"/>
      <c r="AD497" s="120" t="n"/>
      <c r="AE497" s="120" t="n"/>
    </row>
    <row r="498" ht="15" customHeight="1" s="72">
      <c r="A498" s="117" t="n"/>
      <c r="B498" s="117" t="n"/>
      <c r="C498" s="118" t="n"/>
      <c r="D498" s="118" t="n"/>
      <c r="E498" s="118" t="n"/>
      <c r="F498" s="123" t="n"/>
      <c r="G498" s="119" t="n"/>
      <c r="H498" s="123" t="n"/>
      <c r="I498" s="123" t="n"/>
      <c r="J498" s="125" t="n"/>
      <c r="K498" s="120" t="n"/>
      <c r="N498" s="117" t="n"/>
      <c r="O498" s="117" t="n"/>
      <c r="P498" s="117" t="n"/>
      <c r="Q498" s="117" t="n"/>
      <c r="R498" s="118" t="n"/>
      <c r="S498" s="119" t="n"/>
      <c r="T498" s="120" t="n"/>
      <c r="U498" s="123" t="n"/>
      <c r="V498" s="123" t="n"/>
      <c r="Y498" s="117" t="n"/>
      <c r="Z498" s="117" t="n"/>
      <c r="AA498" s="118" t="n"/>
      <c r="AB498" s="119" t="n"/>
      <c r="AC498" s="120" t="n"/>
      <c r="AD498" s="120" t="n"/>
      <c r="AE498" s="120" t="n"/>
    </row>
    <row r="499" ht="15" customHeight="1" s="72">
      <c r="A499" s="117" t="n"/>
      <c r="B499" s="117" t="n"/>
      <c r="C499" s="118" t="n"/>
      <c r="D499" s="118" t="n"/>
      <c r="E499" s="118" t="n"/>
      <c r="F499" s="123" t="n"/>
      <c r="G499" s="119" t="n"/>
      <c r="H499" s="123" t="n"/>
      <c r="I499" s="123" t="n"/>
      <c r="J499" s="125" t="n"/>
      <c r="K499" s="120" t="n"/>
      <c r="N499" s="117" t="n"/>
      <c r="O499" s="117" t="n"/>
      <c r="P499" s="117" t="n"/>
      <c r="Q499" s="117" t="n"/>
      <c r="R499" s="118" t="n"/>
      <c r="S499" s="119" t="n"/>
      <c r="T499" s="120" t="n"/>
      <c r="U499" s="123" t="n"/>
      <c r="V499" s="123" t="n"/>
      <c r="Y499" s="117" t="n"/>
      <c r="Z499" s="117" t="n"/>
      <c r="AA499" s="118" t="n"/>
      <c r="AB499" s="119" t="n"/>
      <c r="AC499" s="120" t="n"/>
      <c r="AD499" s="120" t="n"/>
      <c r="AE499" s="120" t="n"/>
    </row>
    <row r="500" ht="15" customHeight="1" s="72">
      <c r="A500" s="117" t="n"/>
      <c r="B500" s="117" t="n"/>
      <c r="C500" s="118" t="n"/>
      <c r="D500" s="118" t="n"/>
      <c r="E500" s="118" t="n"/>
      <c r="F500" s="123" t="n"/>
      <c r="G500" s="119" t="n"/>
      <c r="H500" s="123" t="n"/>
      <c r="I500" s="123" t="n"/>
      <c r="J500" s="125" t="n"/>
      <c r="K500" s="120" t="n"/>
      <c r="N500" s="117" t="n"/>
      <c r="O500" s="117" t="n"/>
      <c r="P500" s="117" t="n"/>
      <c r="Q500" s="117" t="n"/>
      <c r="R500" s="118" t="n"/>
      <c r="S500" s="119" t="n"/>
      <c r="T500" s="120" t="n"/>
      <c r="U500" s="123" t="n"/>
      <c r="V500" s="123" t="n"/>
      <c r="Y500" s="117" t="n"/>
      <c r="Z500" s="117" t="n"/>
      <c r="AA500" s="118" t="n"/>
      <c r="AB500" s="119" t="n"/>
      <c r="AC500" s="120" t="n"/>
      <c r="AD500" s="120" t="n"/>
      <c r="AE500" s="120" t="n"/>
    </row>
    <row r="501" ht="15" customHeight="1" s="72">
      <c r="A501" s="117" t="n"/>
      <c r="B501" s="117" t="n"/>
      <c r="C501" s="118" t="n"/>
      <c r="D501" s="118" t="n"/>
      <c r="E501" s="118" t="n"/>
      <c r="F501" s="123" t="n"/>
      <c r="G501" s="119" t="n"/>
      <c r="H501" s="123" t="n"/>
      <c r="I501" s="123" t="n"/>
      <c r="J501" s="125" t="n"/>
      <c r="K501" s="120" t="n"/>
      <c r="N501" s="117" t="n"/>
      <c r="O501" s="117" t="n"/>
      <c r="P501" s="117" t="n"/>
      <c r="Q501" s="117" t="n"/>
      <c r="R501" s="118" t="n"/>
      <c r="S501" s="119" t="n"/>
      <c r="T501" s="120" t="n"/>
      <c r="U501" s="123" t="n"/>
      <c r="V501" s="123" t="n"/>
      <c r="Y501" s="117" t="n"/>
      <c r="Z501" s="117" t="n"/>
      <c r="AA501" s="118" t="n"/>
      <c r="AB501" s="119" t="n"/>
      <c r="AC501" s="120" t="n"/>
      <c r="AD501" s="120" t="n"/>
      <c r="AE501" s="120" t="n"/>
    </row>
    <row r="502" ht="15" customHeight="1" s="72">
      <c r="A502" s="117" t="n"/>
      <c r="B502" s="117" t="n"/>
      <c r="C502" s="118" t="n"/>
      <c r="D502" s="118" t="n"/>
      <c r="E502" s="118" t="n"/>
      <c r="F502" s="123" t="n"/>
      <c r="G502" s="119" t="n"/>
      <c r="H502" s="123" t="n"/>
      <c r="I502" s="123" t="n"/>
      <c r="J502" s="125" t="n"/>
      <c r="K502" s="120" t="n"/>
      <c r="N502" s="117" t="n"/>
      <c r="O502" s="117" t="n"/>
      <c r="P502" s="117" t="n"/>
      <c r="Q502" s="117" t="n"/>
      <c r="R502" s="118" t="n"/>
      <c r="S502" s="119" t="n"/>
      <c r="T502" s="120" t="n"/>
      <c r="U502" s="123" t="n"/>
      <c r="V502" s="123" t="n"/>
      <c r="Y502" s="117" t="n"/>
      <c r="Z502" s="117" t="n"/>
      <c r="AA502" s="118" t="n"/>
      <c r="AB502" s="119" t="n"/>
      <c r="AC502" s="120" t="n"/>
      <c r="AD502" s="120" t="n"/>
      <c r="AE502" s="120" t="n"/>
    </row>
    <row r="503" ht="15" customHeight="1" s="72">
      <c r="A503" s="117" t="n"/>
      <c r="B503" s="117" t="n"/>
      <c r="C503" s="118" t="n"/>
      <c r="D503" s="118" t="n"/>
      <c r="E503" s="118" t="n"/>
      <c r="F503" s="123" t="n"/>
      <c r="G503" s="119" t="n"/>
      <c r="H503" s="123" t="n"/>
      <c r="I503" s="123" t="n"/>
      <c r="J503" s="125" t="n"/>
      <c r="K503" s="120" t="n"/>
      <c r="N503" s="117" t="n"/>
      <c r="O503" s="117" t="n"/>
      <c r="P503" s="117" t="n"/>
      <c r="Q503" s="117" t="n"/>
      <c r="R503" s="118" t="n"/>
      <c r="S503" s="119" t="n"/>
      <c r="T503" s="120" t="n"/>
      <c r="U503" s="123" t="n"/>
      <c r="V503" s="123" t="n"/>
      <c r="Y503" s="117" t="n"/>
      <c r="Z503" s="117" t="n"/>
      <c r="AA503" s="118" t="n"/>
      <c r="AB503" s="119" t="n"/>
      <c r="AC503" s="120" t="n"/>
      <c r="AD503" s="120" t="n"/>
      <c r="AE503" s="120" t="n"/>
    </row>
    <row r="504" ht="15" customHeight="1" s="72">
      <c r="A504" s="117" t="n"/>
      <c r="B504" s="117" t="n"/>
      <c r="C504" s="118" t="n"/>
      <c r="D504" s="118" t="n"/>
      <c r="E504" s="118" t="n"/>
      <c r="F504" s="123" t="n"/>
      <c r="G504" s="119" t="n"/>
      <c r="H504" s="123" t="n"/>
      <c r="I504" s="123" t="n"/>
      <c r="J504" s="125" t="n"/>
      <c r="K504" s="120" t="n"/>
      <c r="N504" s="117" t="n"/>
      <c r="O504" s="117" t="n"/>
      <c r="P504" s="117" t="n"/>
      <c r="Q504" s="117" t="n"/>
      <c r="R504" s="118" t="n"/>
      <c r="S504" s="119" t="n"/>
      <c r="T504" s="120" t="n"/>
      <c r="U504" s="123" t="n"/>
      <c r="V504" s="123" t="n"/>
      <c r="Y504" s="117" t="n"/>
      <c r="Z504" s="117" t="n"/>
      <c r="AA504" s="118" t="n"/>
      <c r="AB504" s="119" t="n"/>
      <c r="AC504" s="120" t="n"/>
      <c r="AD504" s="120" t="n"/>
      <c r="AE504" s="120" t="n"/>
    </row>
    <row r="505" ht="15" customHeight="1" s="72">
      <c r="A505" s="117" t="n"/>
      <c r="B505" s="117" t="n"/>
      <c r="C505" s="118" t="n"/>
      <c r="D505" s="118" t="n"/>
      <c r="E505" s="118" t="n"/>
      <c r="F505" s="123" t="n"/>
      <c r="G505" s="119" t="n"/>
      <c r="H505" s="123" t="n"/>
      <c r="I505" s="123" t="n"/>
      <c r="J505" s="125" t="n"/>
      <c r="K505" s="120" t="n"/>
      <c r="N505" s="117" t="n"/>
      <c r="O505" s="117" t="n"/>
      <c r="P505" s="117" t="n"/>
      <c r="Q505" s="117" t="n"/>
      <c r="R505" s="118" t="n"/>
      <c r="S505" s="119" t="n"/>
      <c r="T505" s="120" t="n"/>
      <c r="U505" s="123" t="n"/>
      <c r="V505" s="123" t="n"/>
      <c r="Y505" s="117" t="n"/>
      <c r="Z505" s="117" t="n"/>
      <c r="AA505" s="118" t="n"/>
      <c r="AB505" s="119" t="n"/>
      <c r="AC505" s="120" t="n"/>
      <c r="AD505" s="120" t="n"/>
      <c r="AE505" s="120" t="n"/>
    </row>
    <row r="506" ht="15" customHeight="1" s="72">
      <c r="A506" s="117" t="n"/>
      <c r="B506" s="117" t="n"/>
      <c r="C506" s="118" t="n"/>
      <c r="D506" s="118" t="n"/>
      <c r="E506" s="118" t="n"/>
      <c r="F506" s="123" t="n"/>
      <c r="G506" s="119" t="n"/>
      <c r="H506" s="123" t="n"/>
      <c r="I506" s="123" t="n"/>
      <c r="J506" s="125" t="n"/>
      <c r="K506" s="120" t="n"/>
      <c r="N506" s="117" t="n"/>
      <c r="O506" s="117" t="n"/>
      <c r="P506" s="117" t="n"/>
      <c r="Q506" s="117" t="n"/>
      <c r="R506" s="118" t="n"/>
      <c r="S506" s="119" t="n"/>
      <c r="T506" s="120" t="n"/>
      <c r="U506" s="123" t="n"/>
      <c r="V506" s="123" t="n"/>
      <c r="Y506" s="117" t="n"/>
      <c r="Z506" s="117" t="n"/>
      <c r="AA506" s="118" t="n"/>
      <c r="AB506" s="119" t="n"/>
      <c r="AC506" s="120" t="n"/>
      <c r="AD506" s="120" t="n"/>
      <c r="AE506" s="120" t="n"/>
    </row>
    <row r="507" ht="15" customHeight="1" s="72">
      <c r="A507" s="117" t="n"/>
      <c r="B507" s="117" t="n"/>
      <c r="C507" s="118" t="n"/>
      <c r="D507" s="118" t="n"/>
      <c r="E507" s="118" t="n"/>
      <c r="F507" s="123" t="n"/>
      <c r="G507" s="119" t="n"/>
      <c r="H507" s="123" t="n"/>
      <c r="I507" s="123" t="n"/>
      <c r="J507" s="125" t="n"/>
      <c r="K507" s="120" t="n"/>
      <c r="N507" s="117" t="n"/>
      <c r="O507" s="117" t="n"/>
      <c r="P507" s="117" t="n"/>
      <c r="Q507" s="117" t="n"/>
      <c r="R507" s="118" t="n"/>
      <c r="S507" s="119" t="n"/>
      <c r="T507" s="120" t="n"/>
      <c r="U507" s="123" t="n"/>
      <c r="V507" s="123" t="n"/>
      <c r="Y507" s="117" t="n"/>
      <c r="Z507" s="117" t="n"/>
      <c r="AA507" s="118" t="n"/>
      <c r="AB507" s="119" t="n"/>
      <c r="AC507" s="120" t="n"/>
      <c r="AD507" s="120" t="n"/>
      <c r="AE507" s="120" t="n"/>
    </row>
    <row r="508" ht="15" customHeight="1" s="72">
      <c r="A508" s="117" t="n"/>
      <c r="B508" s="117" t="n"/>
      <c r="C508" s="118" t="n"/>
      <c r="D508" s="118" t="n"/>
      <c r="E508" s="118" t="n"/>
      <c r="F508" s="123" t="n"/>
      <c r="G508" s="119" t="n"/>
      <c r="H508" s="123" t="n"/>
      <c r="I508" s="123" t="n"/>
      <c r="J508" s="125" t="n"/>
      <c r="K508" s="120" t="n"/>
      <c r="N508" s="117" t="n"/>
      <c r="O508" s="117" t="n"/>
      <c r="P508" s="117" t="n"/>
      <c r="Q508" s="117" t="n"/>
      <c r="R508" s="118" t="n"/>
      <c r="S508" s="119" t="n"/>
      <c r="T508" s="120" t="n"/>
      <c r="U508" s="123" t="n"/>
      <c r="V508" s="123" t="n"/>
      <c r="Y508" s="117" t="n"/>
      <c r="Z508" s="117" t="n"/>
      <c r="AA508" s="118" t="n"/>
      <c r="AB508" s="119" t="n"/>
      <c r="AC508" s="120" t="n"/>
      <c r="AD508" s="120" t="n"/>
      <c r="AE508" s="120" t="n"/>
    </row>
    <row r="509" ht="15" customHeight="1" s="72">
      <c r="A509" s="117" t="n"/>
      <c r="B509" s="117" t="n"/>
      <c r="C509" s="118" t="n"/>
      <c r="D509" s="118" t="n"/>
      <c r="E509" s="118" t="n"/>
      <c r="F509" s="123" t="n"/>
      <c r="G509" s="119" t="n"/>
      <c r="H509" s="123" t="n"/>
      <c r="I509" s="123" t="n"/>
      <c r="J509" s="125" t="n"/>
      <c r="K509" s="120" t="n"/>
      <c r="N509" s="117" t="n"/>
      <c r="O509" s="117" t="n"/>
      <c r="P509" s="117" t="n"/>
      <c r="Q509" s="117" t="n"/>
      <c r="R509" s="118" t="n"/>
      <c r="S509" s="119" t="n"/>
      <c r="T509" s="120" t="n"/>
      <c r="U509" s="123" t="n"/>
      <c r="V509" s="123" t="n"/>
      <c r="Y509" s="117" t="n"/>
      <c r="Z509" s="117" t="n"/>
      <c r="AA509" s="118" t="n"/>
      <c r="AB509" s="119" t="n"/>
      <c r="AC509" s="120" t="n"/>
      <c r="AD509" s="120" t="n"/>
      <c r="AE509" s="120" t="n"/>
    </row>
    <row r="510" ht="15" customHeight="1" s="72">
      <c r="A510" s="117" t="n"/>
      <c r="B510" s="117" t="n"/>
      <c r="C510" s="118" t="n"/>
      <c r="D510" s="118" t="n"/>
      <c r="E510" s="118" t="n"/>
      <c r="F510" s="123" t="n"/>
      <c r="G510" s="119" t="n"/>
      <c r="H510" s="123" t="n"/>
      <c r="I510" s="123" t="n"/>
      <c r="J510" s="125" t="n"/>
      <c r="K510" s="120" t="n"/>
      <c r="N510" s="117" t="n"/>
      <c r="O510" s="117" t="n"/>
      <c r="P510" s="117" t="n"/>
      <c r="Q510" s="117" t="n"/>
      <c r="R510" s="118" t="n"/>
      <c r="S510" s="119" t="n"/>
      <c r="T510" s="120" t="n"/>
      <c r="U510" s="123" t="n"/>
      <c r="V510" s="123" t="n"/>
      <c r="Y510" s="117" t="n"/>
      <c r="Z510" s="117" t="n"/>
      <c r="AA510" s="118" t="n"/>
      <c r="AB510" s="119" t="n"/>
      <c r="AC510" s="120" t="n"/>
      <c r="AD510" s="120" t="n"/>
      <c r="AE510" s="120" t="n"/>
    </row>
    <row r="511" ht="15" customHeight="1" s="72">
      <c r="A511" s="117" t="n"/>
      <c r="B511" s="117" t="n"/>
      <c r="C511" s="118" t="n"/>
      <c r="D511" s="118" t="n"/>
      <c r="E511" s="118" t="n"/>
      <c r="F511" s="123" t="n"/>
      <c r="G511" s="119" t="n"/>
      <c r="H511" s="123" t="n"/>
      <c r="I511" s="123" t="n"/>
      <c r="J511" s="125" t="n"/>
      <c r="K511" s="120" t="n"/>
      <c r="N511" s="117" t="n"/>
      <c r="O511" s="117" t="n"/>
      <c r="P511" s="117" t="n"/>
      <c r="Q511" s="117" t="n"/>
      <c r="R511" s="118" t="n"/>
      <c r="S511" s="119" t="n"/>
      <c r="T511" s="120" t="n"/>
      <c r="U511" s="123" t="n"/>
      <c r="V511" s="123" t="n"/>
      <c r="Y511" s="117" t="n"/>
      <c r="Z511" s="117" t="n"/>
      <c r="AA511" s="118" t="n"/>
      <c r="AB511" s="119" t="n"/>
      <c r="AC511" s="120" t="n"/>
      <c r="AD511" s="120" t="n"/>
      <c r="AE511" s="120" t="n"/>
    </row>
    <row r="512" ht="15" customHeight="1" s="72">
      <c r="A512" s="117" t="n"/>
      <c r="B512" s="117" t="n"/>
      <c r="C512" s="118" t="n"/>
      <c r="D512" s="118" t="n"/>
      <c r="E512" s="118" t="n"/>
      <c r="F512" s="123" t="n"/>
      <c r="G512" s="119" t="n"/>
      <c r="H512" s="123" t="n"/>
      <c r="I512" s="123" t="n"/>
      <c r="J512" s="125" t="n"/>
      <c r="K512" s="120" t="n"/>
      <c r="N512" s="117" t="n"/>
      <c r="O512" s="117" t="n"/>
      <c r="P512" s="117" t="n"/>
      <c r="Q512" s="117" t="n"/>
      <c r="R512" s="118" t="n"/>
      <c r="S512" s="119" t="n"/>
      <c r="T512" s="120" t="n"/>
      <c r="U512" s="123" t="n"/>
      <c r="V512" s="123" t="n"/>
      <c r="Y512" s="117" t="n"/>
      <c r="Z512" s="117" t="n"/>
      <c r="AA512" s="118" t="n"/>
      <c r="AB512" s="119" t="n"/>
      <c r="AC512" s="120" t="n"/>
      <c r="AD512" s="120" t="n"/>
      <c r="AE512" s="120" t="n"/>
    </row>
    <row r="513" ht="15" customHeight="1" s="72">
      <c r="A513" s="117" t="n"/>
      <c r="B513" s="117" t="n"/>
      <c r="C513" s="118" t="n"/>
      <c r="D513" s="118" t="n"/>
      <c r="E513" s="118" t="n"/>
      <c r="F513" s="123" t="n"/>
      <c r="G513" s="119" t="n"/>
      <c r="H513" s="123" t="n"/>
      <c r="I513" s="123" t="n"/>
      <c r="J513" s="125" t="n"/>
      <c r="K513" s="120" t="n"/>
      <c r="N513" s="117" t="n"/>
      <c r="O513" s="117" t="n"/>
      <c r="P513" s="117" t="n"/>
      <c r="Q513" s="117" t="n"/>
      <c r="R513" s="118" t="n"/>
      <c r="S513" s="119" t="n"/>
      <c r="T513" s="120" t="n"/>
      <c r="U513" s="123" t="n"/>
      <c r="V513" s="123" t="n"/>
      <c r="Y513" s="117" t="n"/>
      <c r="Z513" s="117" t="n"/>
      <c r="AA513" s="118" t="n"/>
      <c r="AB513" s="119" t="n"/>
      <c r="AC513" s="120" t="n"/>
      <c r="AD513" s="120" t="n"/>
      <c r="AE513" s="120" t="n"/>
    </row>
    <row r="514" ht="15" customHeight="1" s="72">
      <c r="A514" s="117" t="n"/>
      <c r="B514" s="117" t="n"/>
      <c r="C514" s="118" t="n"/>
      <c r="D514" s="118" t="n"/>
      <c r="E514" s="118" t="n"/>
      <c r="F514" s="123" t="n"/>
      <c r="G514" s="119" t="n"/>
      <c r="H514" s="123" t="n"/>
      <c r="I514" s="123" t="n"/>
      <c r="J514" s="125" t="n"/>
      <c r="K514" s="120" t="n"/>
      <c r="N514" s="117" t="n"/>
      <c r="O514" s="117" t="n"/>
      <c r="P514" s="117" t="n"/>
      <c r="Q514" s="117" t="n"/>
      <c r="R514" s="118" t="n"/>
      <c r="S514" s="119" t="n"/>
      <c r="T514" s="120" t="n"/>
      <c r="U514" s="123" t="n"/>
      <c r="V514" s="123" t="n"/>
      <c r="Y514" s="117" t="n"/>
      <c r="Z514" s="117" t="n"/>
      <c r="AA514" s="118" t="n"/>
      <c r="AB514" s="119" t="n"/>
      <c r="AC514" s="120" t="n"/>
      <c r="AD514" s="120" t="n"/>
      <c r="AE514" s="120" t="n"/>
    </row>
    <row r="515" ht="15" customHeight="1" s="72">
      <c r="A515" s="117" t="n"/>
      <c r="B515" s="117" t="n"/>
      <c r="C515" s="118" t="n"/>
      <c r="D515" s="118" t="n"/>
      <c r="E515" s="118" t="n"/>
      <c r="F515" s="123" t="n"/>
      <c r="G515" s="119" t="n"/>
      <c r="H515" s="123" t="n"/>
      <c r="I515" s="123" t="n"/>
      <c r="J515" s="125" t="n"/>
      <c r="K515" s="120" t="n"/>
      <c r="N515" s="117" t="n"/>
      <c r="O515" s="117" t="n"/>
      <c r="P515" s="117" t="n"/>
      <c r="Q515" s="117" t="n"/>
      <c r="R515" s="118" t="n"/>
      <c r="S515" s="119" t="n"/>
      <c r="T515" s="120" t="n"/>
      <c r="U515" s="123" t="n"/>
      <c r="V515" s="123" t="n"/>
      <c r="Y515" s="117" t="n"/>
      <c r="Z515" s="117" t="n"/>
      <c r="AA515" s="118" t="n"/>
      <c r="AB515" s="119" t="n"/>
      <c r="AC515" s="120" t="n"/>
      <c r="AD515" s="120" t="n"/>
      <c r="AE515" s="120" t="n"/>
    </row>
    <row r="516" ht="15" customHeight="1" s="72">
      <c r="A516" s="117" t="n"/>
      <c r="B516" s="117" t="n"/>
      <c r="C516" s="118" t="n"/>
      <c r="D516" s="118" t="n"/>
      <c r="E516" s="118" t="n"/>
      <c r="F516" s="123" t="n"/>
      <c r="G516" s="119" t="n"/>
      <c r="H516" s="123" t="n"/>
      <c r="I516" s="123" t="n"/>
      <c r="J516" s="125" t="n"/>
      <c r="K516" s="120" t="n"/>
      <c r="N516" s="117" t="n"/>
      <c r="O516" s="117" t="n"/>
      <c r="P516" s="117" t="n"/>
      <c r="Q516" s="117" t="n"/>
      <c r="R516" s="118" t="n"/>
      <c r="S516" s="119" t="n"/>
      <c r="T516" s="120" t="n"/>
      <c r="U516" s="123" t="n"/>
      <c r="V516" s="123" t="n"/>
      <c r="Y516" s="117" t="n"/>
      <c r="Z516" s="117" t="n"/>
      <c r="AA516" s="118" t="n"/>
      <c r="AB516" s="119" t="n"/>
      <c r="AC516" s="120" t="n"/>
      <c r="AD516" s="120" t="n"/>
      <c r="AE516" s="120" t="n"/>
    </row>
    <row r="517" ht="15" customHeight="1" s="72">
      <c r="A517" s="117" t="n"/>
      <c r="B517" s="117" t="n"/>
      <c r="C517" s="118" t="n"/>
      <c r="D517" s="118" t="n"/>
      <c r="E517" s="118" t="n"/>
      <c r="F517" s="123" t="n"/>
      <c r="G517" s="119" t="n"/>
      <c r="H517" s="123" t="n"/>
      <c r="I517" s="123" t="n"/>
      <c r="J517" s="125" t="n"/>
      <c r="K517" s="120" t="n"/>
      <c r="N517" s="117" t="n"/>
      <c r="O517" s="117" t="n"/>
      <c r="P517" s="117" t="n"/>
      <c r="Q517" s="117" t="n"/>
      <c r="R517" s="118" t="n"/>
      <c r="S517" s="119" t="n"/>
      <c r="T517" s="120" t="n"/>
      <c r="U517" s="123" t="n"/>
      <c r="V517" s="123" t="n"/>
      <c r="Y517" s="117" t="n"/>
      <c r="Z517" s="117" t="n"/>
      <c r="AA517" s="118" t="n"/>
      <c r="AB517" s="119" t="n"/>
      <c r="AC517" s="120" t="n"/>
      <c r="AD517" s="120" t="n"/>
      <c r="AE517" s="120" t="n"/>
    </row>
    <row r="518" ht="15" customHeight="1" s="72">
      <c r="A518" s="117" t="n"/>
      <c r="B518" s="117" t="n"/>
      <c r="C518" s="118" t="n"/>
      <c r="D518" s="118" t="n"/>
      <c r="E518" s="118" t="n"/>
      <c r="F518" s="123" t="n"/>
      <c r="G518" s="119" t="n"/>
      <c r="H518" s="123" t="n"/>
      <c r="I518" s="123" t="n"/>
      <c r="J518" s="125" t="n"/>
      <c r="K518" s="120" t="n"/>
      <c r="N518" s="117" t="n"/>
      <c r="O518" s="117" t="n"/>
      <c r="P518" s="117" t="n"/>
      <c r="Q518" s="117" t="n"/>
      <c r="R518" s="118" t="n"/>
      <c r="S518" s="119" t="n"/>
      <c r="T518" s="120" t="n"/>
      <c r="U518" s="123" t="n"/>
      <c r="V518" s="123" t="n"/>
      <c r="Y518" s="117" t="n"/>
      <c r="Z518" s="117" t="n"/>
      <c r="AA518" s="118" t="n"/>
      <c r="AB518" s="119" t="n"/>
      <c r="AC518" s="120" t="n"/>
      <c r="AD518" s="120" t="n"/>
      <c r="AE518" s="120" t="n"/>
    </row>
    <row r="519" ht="15" customHeight="1" s="72">
      <c r="A519" s="117" t="n"/>
      <c r="B519" s="117" t="n"/>
      <c r="C519" s="118" t="n"/>
      <c r="D519" s="118" t="n"/>
      <c r="E519" s="118" t="n"/>
      <c r="F519" s="123" t="n"/>
      <c r="G519" s="119" t="n"/>
      <c r="H519" s="123" t="n"/>
      <c r="I519" s="123" t="n"/>
      <c r="J519" s="125" t="n"/>
      <c r="K519" s="120" t="n"/>
      <c r="N519" s="117" t="n"/>
      <c r="O519" s="117" t="n"/>
      <c r="P519" s="117" t="n"/>
      <c r="Q519" s="117" t="n"/>
      <c r="R519" s="118" t="n"/>
      <c r="S519" s="119" t="n"/>
      <c r="T519" s="120" t="n"/>
      <c r="U519" s="123" t="n"/>
      <c r="V519" s="123" t="n"/>
      <c r="Y519" s="117" t="n"/>
      <c r="Z519" s="117" t="n"/>
      <c r="AA519" s="118" t="n"/>
      <c r="AB519" s="119" t="n"/>
      <c r="AC519" s="120" t="n"/>
      <c r="AD519" s="120" t="n"/>
      <c r="AE519" s="120" t="n"/>
    </row>
    <row r="520" ht="15" customHeight="1" s="72">
      <c r="A520" s="117" t="n"/>
      <c r="B520" s="117" t="n"/>
      <c r="C520" s="118" t="n"/>
      <c r="D520" s="118" t="n"/>
      <c r="E520" s="118" t="n"/>
      <c r="F520" s="123" t="n"/>
      <c r="G520" s="119" t="n"/>
      <c r="H520" s="123" t="n"/>
      <c r="I520" s="123" t="n"/>
      <c r="J520" s="125" t="n"/>
      <c r="K520" s="120" t="n"/>
      <c r="N520" s="117" t="n"/>
      <c r="O520" s="117" t="n"/>
      <c r="P520" s="117" t="n"/>
      <c r="Q520" s="117" t="n"/>
      <c r="R520" s="118" t="n"/>
      <c r="S520" s="119" t="n"/>
      <c r="T520" s="120" t="n"/>
      <c r="U520" s="123" t="n"/>
      <c r="V520" s="123" t="n"/>
      <c r="Y520" s="117" t="n"/>
      <c r="Z520" s="117" t="n"/>
      <c r="AA520" s="118" t="n"/>
      <c r="AB520" s="119" t="n"/>
      <c r="AC520" s="120" t="n"/>
      <c r="AD520" s="120" t="n"/>
      <c r="AE520" s="120" t="n"/>
    </row>
    <row r="521" ht="15" customHeight="1" s="72">
      <c r="A521" s="117" t="n"/>
      <c r="B521" s="117" t="n"/>
      <c r="C521" s="118" t="n"/>
      <c r="D521" s="118" t="n"/>
      <c r="E521" s="118" t="n"/>
      <c r="F521" s="123" t="n"/>
      <c r="G521" s="119" t="n"/>
      <c r="H521" s="123" t="n"/>
      <c r="I521" s="123" t="n"/>
      <c r="J521" s="125" t="n"/>
      <c r="K521" s="120" t="n"/>
      <c r="N521" s="117" t="n"/>
      <c r="O521" s="117" t="n"/>
      <c r="P521" s="117" t="n"/>
      <c r="Q521" s="117" t="n"/>
      <c r="R521" s="118" t="n"/>
      <c r="S521" s="119" t="n"/>
      <c r="T521" s="120" t="n"/>
      <c r="U521" s="123" t="n"/>
      <c r="V521" s="123" t="n"/>
      <c r="Y521" s="117" t="n"/>
      <c r="Z521" s="117" t="n"/>
      <c r="AA521" s="118" t="n"/>
      <c r="AB521" s="119" t="n"/>
      <c r="AC521" s="120" t="n"/>
      <c r="AD521" s="120" t="n"/>
      <c r="AE521" s="120" t="n"/>
    </row>
    <row r="522" ht="15" customHeight="1" s="72">
      <c r="A522" s="117" t="n"/>
      <c r="B522" s="117" t="n"/>
      <c r="C522" s="118" t="n"/>
      <c r="D522" s="118" t="n"/>
      <c r="E522" s="118" t="n"/>
      <c r="F522" s="123" t="n"/>
      <c r="G522" s="119" t="n"/>
      <c r="H522" s="123" t="n"/>
      <c r="I522" s="123" t="n"/>
      <c r="J522" s="125" t="n"/>
      <c r="K522" s="120" t="n"/>
      <c r="N522" s="117" t="n"/>
      <c r="O522" s="117" t="n"/>
      <c r="P522" s="117" t="n"/>
      <c r="Q522" s="117" t="n"/>
      <c r="R522" s="118" t="n"/>
      <c r="S522" s="119" t="n"/>
      <c r="T522" s="120" t="n"/>
      <c r="U522" s="123" t="n"/>
      <c r="V522" s="123" t="n"/>
      <c r="Y522" s="117" t="n"/>
      <c r="Z522" s="117" t="n"/>
      <c r="AA522" s="118" t="n"/>
      <c r="AB522" s="119" t="n"/>
      <c r="AC522" s="120" t="n"/>
      <c r="AD522" s="120" t="n"/>
      <c r="AE522" s="120" t="n"/>
    </row>
    <row r="523" ht="15" customHeight="1" s="72">
      <c r="A523" s="117" t="n"/>
      <c r="B523" s="117" t="n"/>
      <c r="C523" s="118" t="n"/>
      <c r="D523" s="118" t="n"/>
      <c r="E523" s="118" t="n"/>
      <c r="F523" s="123" t="n"/>
      <c r="G523" s="119" t="n"/>
      <c r="H523" s="123" t="n"/>
      <c r="I523" s="123" t="n"/>
      <c r="J523" s="125" t="n"/>
      <c r="K523" s="120" t="n"/>
      <c r="N523" s="117" t="n"/>
      <c r="O523" s="117" t="n"/>
      <c r="P523" s="117" t="n"/>
      <c r="Q523" s="117" t="n"/>
      <c r="R523" s="118" t="n"/>
      <c r="S523" s="119" t="n"/>
      <c r="T523" s="120" t="n"/>
      <c r="U523" s="123" t="n"/>
      <c r="V523" s="123" t="n"/>
      <c r="Y523" s="117" t="n"/>
      <c r="Z523" s="117" t="n"/>
      <c r="AA523" s="118" t="n"/>
      <c r="AB523" s="119" t="n"/>
      <c r="AC523" s="120" t="n"/>
      <c r="AD523" s="120" t="n"/>
      <c r="AE523" s="120" t="n"/>
    </row>
    <row r="524" ht="15" customHeight="1" s="72">
      <c r="A524" s="117" t="n"/>
      <c r="B524" s="117" t="n"/>
      <c r="C524" s="118" t="n"/>
      <c r="D524" s="118" t="n"/>
      <c r="E524" s="118" t="n"/>
      <c r="F524" s="123" t="n"/>
      <c r="G524" s="119" t="n"/>
      <c r="H524" s="123" t="n"/>
      <c r="I524" s="123" t="n"/>
      <c r="J524" s="125" t="n"/>
      <c r="K524" s="120" t="n"/>
      <c r="N524" s="117" t="n"/>
      <c r="O524" s="117" t="n"/>
      <c r="P524" s="117" t="n"/>
      <c r="Q524" s="117" t="n"/>
      <c r="R524" s="118" t="n"/>
      <c r="S524" s="119" t="n"/>
      <c r="T524" s="120" t="n"/>
      <c r="U524" s="123" t="n"/>
      <c r="V524" s="123" t="n"/>
      <c r="Y524" s="117" t="n"/>
      <c r="Z524" s="117" t="n"/>
      <c r="AA524" s="118" t="n"/>
      <c r="AB524" s="119" t="n"/>
      <c r="AC524" s="120" t="n"/>
      <c r="AD524" s="120" t="n"/>
      <c r="AE524" s="120" t="n"/>
    </row>
    <row r="525" ht="15" customHeight="1" s="72">
      <c r="A525" s="117" t="n"/>
      <c r="B525" s="117" t="n"/>
      <c r="C525" s="118" t="n"/>
      <c r="D525" s="118" t="n"/>
      <c r="E525" s="118" t="n"/>
      <c r="F525" s="123" t="n"/>
      <c r="G525" s="119" t="n"/>
      <c r="H525" s="123" t="n"/>
      <c r="I525" s="123" t="n"/>
      <c r="J525" s="125" t="n"/>
      <c r="K525" s="120" t="n"/>
      <c r="N525" s="117" t="n"/>
      <c r="O525" s="117" t="n"/>
      <c r="P525" s="117" t="n"/>
      <c r="Q525" s="117" t="n"/>
      <c r="R525" s="118" t="n"/>
      <c r="S525" s="119" t="n"/>
      <c r="T525" s="120" t="n"/>
      <c r="U525" s="123" t="n"/>
      <c r="V525" s="123" t="n"/>
      <c r="Y525" s="117" t="n"/>
      <c r="Z525" s="117" t="n"/>
      <c r="AA525" s="118" t="n"/>
      <c r="AB525" s="119" t="n"/>
      <c r="AC525" s="120" t="n"/>
      <c r="AD525" s="120" t="n"/>
      <c r="AE525" s="120" t="n"/>
    </row>
    <row r="526" ht="15" customHeight="1" s="72">
      <c r="A526" s="117" t="n"/>
      <c r="B526" s="117" t="n"/>
      <c r="C526" s="118" t="n"/>
      <c r="D526" s="118" t="n"/>
      <c r="E526" s="118" t="n"/>
      <c r="F526" s="123" t="n"/>
      <c r="G526" s="119" t="n"/>
      <c r="H526" s="123" t="n"/>
      <c r="I526" s="123" t="n"/>
      <c r="J526" s="125" t="n"/>
      <c r="K526" s="120" t="n"/>
      <c r="N526" s="117" t="n"/>
      <c r="O526" s="117" t="n"/>
      <c r="P526" s="117" t="n"/>
      <c r="Q526" s="117" t="n"/>
      <c r="R526" s="118" t="n"/>
      <c r="S526" s="119" t="n"/>
      <c r="T526" s="120" t="n"/>
      <c r="U526" s="123" t="n"/>
      <c r="V526" s="123" t="n"/>
      <c r="Y526" s="117" t="n"/>
      <c r="Z526" s="117" t="n"/>
      <c r="AA526" s="118" t="n"/>
      <c r="AB526" s="119" t="n"/>
      <c r="AC526" s="120" t="n"/>
      <c r="AD526" s="120" t="n"/>
      <c r="AE526" s="120" t="n"/>
    </row>
    <row r="527" ht="15" customHeight="1" s="72">
      <c r="A527" s="117" t="n"/>
      <c r="B527" s="117" t="n"/>
      <c r="C527" s="118" t="n"/>
      <c r="D527" s="118" t="n"/>
      <c r="E527" s="118" t="n"/>
      <c r="F527" s="123" t="n"/>
      <c r="G527" s="119" t="n"/>
      <c r="H527" s="123" t="n"/>
      <c r="I527" s="123" t="n"/>
      <c r="J527" s="125" t="n"/>
      <c r="K527" s="120" t="n"/>
      <c r="N527" s="117" t="n"/>
      <c r="O527" s="117" t="n"/>
      <c r="P527" s="117" t="n"/>
      <c r="Q527" s="117" t="n"/>
      <c r="R527" s="118" t="n"/>
      <c r="S527" s="119" t="n"/>
      <c r="T527" s="120" t="n"/>
      <c r="U527" s="123" t="n"/>
      <c r="V527" s="123" t="n"/>
      <c r="Y527" s="117" t="n"/>
      <c r="Z527" s="117" t="n"/>
      <c r="AA527" s="118" t="n"/>
      <c r="AB527" s="119" t="n"/>
      <c r="AC527" s="120" t="n"/>
      <c r="AD527" s="120" t="n"/>
      <c r="AE527" s="120" t="n"/>
    </row>
    <row r="528" ht="15" customHeight="1" s="72">
      <c r="A528" s="117" t="n"/>
      <c r="B528" s="117" t="n"/>
      <c r="C528" s="118" t="n"/>
      <c r="D528" s="118" t="n"/>
      <c r="E528" s="118" t="n"/>
      <c r="F528" s="123" t="n"/>
      <c r="G528" s="119" t="n"/>
      <c r="H528" s="123" t="n"/>
      <c r="I528" s="123" t="n"/>
      <c r="J528" s="125" t="n"/>
      <c r="K528" s="120" t="n"/>
      <c r="N528" s="117" t="n"/>
      <c r="O528" s="117" t="n"/>
      <c r="P528" s="117" t="n"/>
      <c r="Q528" s="117" t="n"/>
      <c r="R528" s="118" t="n"/>
      <c r="S528" s="119" t="n"/>
      <c r="T528" s="120" t="n"/>
      <c r="U528" s="123" t="n"/>
      <c r="V528" s="123" t="n"/>
      <c r="Y528" s="117" t="n"/>
      <c r="Z528" s="117" t="n"/>
      <c r="AA528" s="118" t="n"/>
      <c r="AB528" s="119" t="n"/>
      <c r="AC528" s="120" t="n"/>
      <c r="AD528" s="120" t="n"/>
      <c r="AE528" s="120" t="n"/>
    </row>
    <row r="529" ht="15" customHeight="1" s="72">
      <c r="A529" s="117" t="n"/>
      <c r="B529" s="117" t="n"/>
      <c r="C529" s="118" t="n"/>
      <c r="D529" s="118" t="n"/>
      <c r="E529" s="118" t="n"/>
      <c r="F529" s="123" t="n"/>
      <c r="G529" s="119" t="n"/>
      <c r="H529" s="123" t="n"/>
      <c r="I529" s="123" t="n"/>
      <c r="J529" s="125" t="n"/>
      <c r="K529" s="120" t="n"/>
      <c r="N529" s="117" t="n"/>
      <c r="O529" s="117" t="n"/>
      <c r="P529" s="117" t="n"/>
      <c r="Q529" s="117" t="n"/>
      <c r="R529" s="118" t="n"/>
      <c r="S529" s="119" t="n"/>
      <c r="T529" s="120" t="n"/>
      <c r="U529" s="123" t="n"/>
      <c r="V529" s="123" t="n"/>
      <c r="Y529" s="117" t="n"/>
      <c r="Z529" s="117" t="n"/>
      <c r="AA529" s="118" t="n"/>
      <c r="AB529" s="119" t="n"/>
      <c r="AC529" s="120" t="n"/>
      <c r="AD529" s="120" t="n"/>
      <c r="AE529" s="120" t="n"/>
    </row>
    <row r="530" ht="15" customHeight="1" s="72">
      <c r="A530" s="117" t="n"/>
      <c r="B530" s="117" t="n"/>
      <c r="C530" s="118" t="n"/>
      <c r="D530" s="118" t="n"/>
      <c r="E530" s="118" t="n"/>
      <c r="F530" s="123" t="n"/>
      <c r="G530" s="119" t="n"/>
      <c r="H530" s="123" t="n"/>
      <c r="I530" s="123" t="n"/>
      <c r="J530" s="125" t="n"/>
      <c r="K530" s="120" t="n"/>
      <c r="N530" s="117" t="n"/>
      <c r="O530" s="117" t="n"/>
      <c r="P530" s="117" t="n"/>
      <c r="Q530" s="117" t="n"/>
      <c r="R530" s="118" t="n"/>
      <c r="S530" s="119" t="n"/>
      <c r="T530" s="120" t="n"/>
      <c r="U530" s="123" t="n"/>
      <c r="V530" s="123" t="n"/>
      <c r="Y530" s="117" t="n"/>
      <c r="Z530" s="117" t="n"/>
      <c r="AA530" s="118" t="n"/>
      <c r="AB530" s="119" t="n"/>
      <c r="AC530" s="120" t="n"/>
      <c r="AD530" s="120" t="n"/>
      <c r="AE530" s="120" t="n"/>
    </row>
    <row r="531" ht="15" customHeight="1" s="72">
      <c r="A531" s="117" t="n"/>
      <c r="B531" s="117" t="n"/>
      <c r="C531" s="118" t="n"/>
      <c r="D531" s="118" t="n"/>
      <c r="E531" s="118" t="n"/>
      <c r="F531" s="123" t="n"/>
      <c r="G531" s="119" t="n"/>
      <c r="H531" s="123" t="n"/>
      <c r="I531" s="123" t="n"/>
      <c r="J531" s="125" t="n"/>
      <c r="K531" s="120" t="n"/>
      <c r="N531" s="117" t="n"/>
      <c r="O531" s="117" t="n"/>
      <c r="P531" s="117" t="n"/>
      <c r="Q531" s="117" t="n"/>
      <c r="R531" s="118" t="n"/>
      <c r="S531" s="119" t="n"/>
      <c r="T531" s="120" t="n"/>
      <c r="U531" s="123" t="n"/>
      <c r="V531" s="123" t="n"/>
      <c r="Y531" s="117" t="n"/>
      <c r="Z531" s="117" t="n"/>
      <c r="AA531" s="118" t="n"/>
      <c r="AB531" s="119" t="n"/>
      <c r="AC531" s="120" t="n"/>
      <c r="AD531" s="120" t="n"/>
      <c r="AE531" s="120" t="n"/>
    </row>
    <row r="532" ht="15" customHeight="1" s="72">
      <c r="A532" s="117" t="n"/>
      <c r="B532" s="117" t="n"/>
      <c r="C532" s="118" t="n"/>
      <c r="D532" s="118" t="n"/>
      <c r="E532" s="118" t="n"/>
      <c r="F532" s="123" t="n"/>
      <c r="G532" s="119" t="n"/>
      <c r="H532" s="123" t="n"/>
      <c r="I532" s="123" t="n"/>
      <c r="J532" s="125" t="n"/>
      <c r="K532" s="120" t="n"/>
      <c r="N532" s="117" t="n"/>
      <c r="O532" s="117" t="n"/>
      <c r="P532" s="117" t="n"/>
      <c r="Q532" s="117" t="n"/>
      <c r="R532" s="118" t="n"/>
      <c r="S532" s="119" t="n"/>
      <c r="T532" s="120" t="n"/>
      <c r="U532" s="123" t="n"/>
      <c r="V532" s="123" t="n"/>
      <c r="Y532" s="117" t="n"/>
      <c r="Z532" s="117" t="n"/>
      <c r="AA532" s="118" t="n"/>
      <c r="AB532" s="119" t="n"/>
      <c r="AC532" s="120" t="n"/>
      <c r="AD532" s="120" t="n"/>
      <c r="AE532" s="120" t="n"/>
    </row>
    <row r="533" ht="15" customHeight="1" s="72">
      <c r="A533" s="117" t="n"/>
      <c r="B533" s="117" t="n"/>
      <c r="C533" s="118" t="n"/>
      <c r="D533" s="118" t="n"/>
      <c r="E533" s="118" t="n"/>
      <c r="F533" s="123" t="n"/>
      <c r="G533" s="119" t="n"/>
      <c r="H533" s="123" t="n"/>
      <c r="I533" s="123" t="n"/>
      <c r="J533" s="125" t="n"/>
      <c r="K533" s="120" t="n"/>
      <c r="N533" s="117" t="n"/>
      <c r="O533" s="117" t="n"/>
      <c r="P533" s="117" t="n"/>
      <c r="Q533" s="117" t="n"/>
      <c r="R533" s="118" t="n"/>
      <c r="S533" s="119" t="n"/>
      <c r="T533" s="120" t="n"/>
      <c r="U533" s="123" t="n"/>
      <c r="V533" s="123" t="n"/>
      <c r="Y533" s="117" t="n"/>
      <c r="Z533" s="117" t="n"/>
      <c r="AA533" s="118" t="n"/>
      <c r="AB533" s="119" t="n"/>
      <c r="AC533" s="120" t="n"/>
      <c r="AD533" s="120" t="n"/>
      <c r="AE533" s="120" t="n"/>
    </row>
    <row r="534" ht="15" customHeight="1" s="72">
      <c r="A534" s="117" t="n"/>
      <c r="B534" s="117" t="n"/>
      <c r="C534" s="118" t="n"/>
      <c r="D534" s="118" t="n"/>
      <c r="E534" s="118" t="n"/>
      <c r="F534" s="123" t="n"/>
      <c r="G534" s="119" t="n"/>
      <c r="H534" s="123" t="n"/>
      <c r="I534" s="123" t="n"/>
      <c r="J534" s="125" t="n"/>
      <c r="K534" s="120" t="n"/>
      <c r="N534" s="117" t="n"/>
      <c r="O534" s="117" t="n"/>
      <c r="P534" s="117" t="n"/>
      <c r="Q534" s="117" t="n"/>
      <c r="R534" s="118" t="n"/>
      <c r="S534" s="119" t="n"/>
      <c r="T534" s="120" t="n"/>
      <c r="U534" s="123" t="n"/>
      <c r="V534" s="123" t="n"/>
      <c r="Y534" s="117" t="n"/>
      <c r="Z534" s="117" t="n"/>
      <c r="AA534" s="118" t="n"/>
      <c r="AB534" s="119" t="n"/>
      <c r="AC534" s="120" t="n"/>
      <c r="AD534" s="120" t="n"/>
      <c r="AE534" s="120" t="n"/>
    </row>
    <row r="535" ht="15" customHeight="1" s="72">
      <c r="A535" s="117" t="n"/>
      <c r="B535" s="117" t="n"/>
      <c r="C535" s="118" t="n"/>
      <c r="D535" s="118" t="n"/>
      <c r="E535" s="118" t="n"/>
      <c r="F535" s="123" t="n"/>
      <c r="G535" s="119" t="n"/>
      <c r="H535" s="123" t="n"/>
      <c r="I535" s="123" t="n"/>
      <c r="J535" s="125" t="n"/>
      <c r="K535" s="120" t="n"/>
      <c r="N535" s="117" t="n"/>
      <c r="O535" s="117" t="n"/>
      <c r="P535" s="117" t="n"/>
      <c r="Q535" s="117" t="n"/>
      <c r="R535" s="118" t="n"/>
      <c r="S535" s="119" t="n"/>
      <c r="T535" s="120" t="n"/>
      <c r="U535" s="123" t="n"/>
      <c r="V535" s="123" t="n"/>
      <c r="Y535" s="117" t="n"/>
      <c r="Z535" s="117" t="n"/>
      <c r="AA535" s="118" t="n"/>
      <c r="AB535" s="119" t="n"/>
      <c r="AC535" s="120" t="n"/>
      <c r="AD535" s="120" t="n"/>
      <c r="AE535" s="120" t="n"/>
    </row>
    <row r="536" ht="15" customHeight="1" s="72">
      <c r="A536" s="117" t="n"/>
      <c r="B536" s="117" t="n"/>
      <c r="C536" s="118" t="n"/>
      <c r="D536" s="118" t="n"/>
      <c r="E536" s="118" t="n"/>
      <c r="F536" s="123" t="n"/>
      <c r="G536" s="119" t="n"/>
      <c r="H536" s="123" t="n"/>
      <c r="I536" s="123" t="n"/>
      <c r="J536" s="125" t="n"/>
      <c r="K536" s="120" t="n"/>
      <c r="N536" s="117" t="n"/>
      <c r="O536" s="117" t="n"/>
      <c r="P536" s="117" t="n"/>
      <c r="Q536" s="117" t="n"/>
      <c r="R536" s="118" t="n"/>
      <c r="S536" s="119" t="n"/>
      <c r="T536" s="120" t="n"/>
      <c r="U536" s="123" t="n"/>
      <c r="V536" s="123" t="n"/>
      <c r="Y536" s="117" t="n"/>
      <c r="Z536" s="117" t="n"/>
      <c r="AA536" s="118" t="n"/>
      <c r="AB536" s="119" t="n"/>
      <c r="AC536" s="120" t="n"/>
      <c r="AD536" s="120" t="n"/>
      <c r="AE536" s="120" t="n"/>
    </row>
    <row r="537" ht="15" customHeight="1" s="72">
      <c r="A537" s="117" t="n"/>
      <c r="B537" s="117" t="n"/>
      <c r="C537" s="118" t="n"/>
      <c r="D537" s="118" t="n"/>
      <c r="E537" s="118" t="n"/>
      <c r="F537" s="123" t="n"/>
      <c r="G537" s="119" t="n"/>
      <c r="H537" s="123" t="n"/>
      <c r="I537" s="123" t="n"/>
      <c r="J537" s="125" t="n"/>
      <c r="K537" s="120" t="n"/>
      <c r="N537" s="117" t="n"/>
      <c r="O537" s="117" t="n"/>
      <c r="P537" s="117" t="n"/>
      <c r="Q537" s="117" t="n"/>
      <c r="R537" s="118" t="n"/>
      <c r="S537" s="119" t="n"/>
      <c r="T537" s="120" t="n"/>
      <c r="U537" s="123" t="n"/>
      <c r="V537" s="123" t="n"/>
      <c r="Y537" s="117" t="n"/>
      <c r="Z537" s="117" t="n"/>
      <c r="AA537" s="118" t="n"/>
      <c r="AB537" s="119" t="n"/>
      <c r="AC537" s="120" t="n"/>
      <c r="AD537" s="120" t="n"/>
      <c r="AE537" s="120" t="n"/>
    </row>
    <row r="538" ht="15" customHeight="1" s="72">
      <c r="A538" s="117" t="n"/>
      <c r="B538" s="117" t="n"/>
      <c r="C538" s="118" t="n"/>
      <c r="D538" s="118" t="n"/>
      <c r="E538" s="118" t="n"/>
      <c r="F538" s="123" t="n"/>
      <c r="G538" s="119" t="n"/>
      <c r="H538" s="123" t="n"/>
      <c r="I538" s="123" t="n"/>
      <c r="J538" s="125" t="n"/>
      <c r="K538" s="120" t="n"/>
      <c r="N538" s="117" t="n"/>
      <c r="O538" s="117" t="n"/>
      <c r="P538" s="117" t="n"/>
      <c r="Q538" s="117" t="n"/>
      <c r="R538" s="118" t="n"/>
      <c r="S538" s="119" t="n"/>
      <c r="T538" s="120" t="n"/>
      <c r="U538" s="123" t="n"/>
      <c r="V538" s="123" t="n"/>
      <c r="Y538" s="117" t="n"/>
      <c r="Z538" s="117" t="n"/>
      <c r="AA538" s="118" t="n"/>
      <c r="AB538" s="119" t="n"/>
      <c r="AC538" s="120" t="n"/>
      <c r="AD538" s="120" t="n"/>
      <c r="AE538" s="120" t="n"/>
    </row>
    <row r="539" ht="15" customHeight="1" s="72">
      <c r="A539" s="117" t="n"/>
      <c r="B539" s="117" t="n"/>
      <c r="C539" s="118" t="n"/>
      <c r="D539" s="118" t="n"/>
      <c r="E539" s="118" t="n"/>
      <c r="F539" s="123" t="n"/>
      <c r="G539" s="119" t="n"/>
      <c r="H539" s="123" t="n"/>
      <c r="I539" s="123" t="n"/>
      <c r="J539" s="125" t="n"/>
      <c r="K539" s="120" t="n"/>
      <c r="N539" s="117" t="n"/>
      <c r="O539" s="117" t="n"/>
      <c r="P539" s="117" t="n"/>
      <c r="Q539" s="117" t="n"/>
      <c r="R539" s="118" t="n"/>
      <c r="S539" s="119" t="n"/>
      <c r="T539" s="120" t="n"/>
      <c r="U539" s="123" t="n"/>
      <c r="V539" s="123" t="n"/>
      <c r="Y539" s="117" t="n"/>
      <c r="Z539" s="117" t="n"/>
      <c r="AA539" s="118" t="n"/>
      <c r="AB539" s="119" t="n"/>
      <c r="AC539" s="120" t="n"/>
      <c r="AD539" s="120" t="n"/>
      <c r="AE539" s="120" t="n"/>
    </row>
    <row r="540" ht="15" customHeight="1" s="72">
      <c r="A540" s="117" t="n"/>
      <c r="B540" s="117" t="n"/>
      <c r="C540" s="118" t="n"/>
      <c r="D540" s="118" t="n"/>
      <c r="E540" s="118" t="n"/>
      <c r="F540" s="123" t="n"/>
      <c r="G540" s="119" t="n"/>
      <c r="H540" s="123" t="n"/>
      <c r="I540" s="123" t="n"/>
      <c r="J540" s="125" t="n"/>
      <c r="K540" s="120" t="n"/>
      <c r="N540" s="117" t="n"/>
      <c r="O540" s="117" t="n"/>
      <c r="P540" s="117" t="n"/>
      <c r="Q540" s="117" t="n"/>
      <c r="R540" s="118" t="n"/>
      <c r="S540" s="119" t="n"/>
      <c r="T540" s="120" t="n"/>
      <c r="U540" s="123" t="n"/>
      <c r="V540" s="123" t="n"/>
      <c r="Y540" s="117" t="n"/>
      <c r="Z540" s="117" t="n"/>
      <c r="AA540" s="118" t="n"/>
      <c r="AB540" s="119" t="n"/>
      <c r="AC540" s="120" t="n"/>
      <c r="AD540" s="120" t="n"/>
      <c r="AE540" s="120" t="n"/>
    </row>
    <row r="541" ht="15" customHeight="1" s="72">
      <c r="A541" s="117" t="n"/>
      <c r="B541" s="117" t="n"/>
      <c r="C541" s="118" t="n"/>
      <c r="D541" s="118" t="n"/>
      <c r="E541" s="118" t="n"/>
      <c r="F541" s="123" t="n"/>
      <c r="G541" s="119" t="n"/>
      <c r="H541" s="123" t="n"/>
      <c r="I541" s="123" t="n"/>
      <c r="J541" s="125" t="n"/>
      <c r="K541" s="120" t="n"/>
      <c r="N541" s="117" t="n"/>
      <c r="O541" s="117" t="n"/>
      <c r="P541" s="117" t="n"/>
      <c r="Q541" s="117" t="n"/>
      <c r="R541" s="118" t="n"/>
      <c r="S541" s="119" t="n"/>
      <c r="T541" s="120" t="n"/>
      <c r="U541" s="123" t="n"/>
      <c r="V541" s="123" t="n"/>
      <c r="Y541" s="117" t="n"/>
      <c r="Z541" s="117" t="n"/>
      <c r="AA541" s="118" t="n"/>
      <c r="AB541" s="119" t="n"/>
      <c r="AC541" s="120" t="n"/>
      <c r="AD541" s="120" t="n"/>
      <c r="AE541" s="120" t="n"/>
    </row>
    <row r="542" ht="15" customHeight="1" s="72">
      <c r="A542" s="117" t="n"/>
      <c r="B542" s="117" t="n"/>
      <c r="C542" s="118" t="n"/>
      <c r="D542" s="118" t="n"/>
      <c r="E542" s="118" t="n"/>
      <c r="F542" s="123" t="n"/>
      <c r="G542" s="119" t="n"/>
      <c r="H542" s="123" t="n"/>
      <c r="I542" s="123" t="n"/>
      <c r="J542" s="125" t="n"/>
      <c r="K542" s="120" t="n"/>
      <c r="N542" s="117" t="n"/>
      <c r="O542" s="117" t="n"/>
      <c r="P542" s="117" t="n"/>
      <c r="Q542" s="117" t="n"/>
      <c r="R542" s="118" t="n"/>
      <c r="S542" s="119" t="n"/>
      <c r="T542" s="120" t="n"/>
      <c r="U542" s="123" t="n"/>
      <c r="V542" s="123" t="n"/>
      <c r="Y542" s="117" t="n"/>
      <c r="Z542" s="117" t="n"/>
      <c r="AA542" s="118" t="n"/>
      <c r="AB542" s="119" t="n"/>
      <c r="AC542" s="120" t="n"/>
      <c r="AD542" s="120" t="n"/>
      <c r="AE542" s="120" t="n"/>
    </row>
    <row r="543" ht="15" customHeight="1" s="72">
      <c r="A543" s="117" t="n"/>
      <c r="B543" s="117" t="n"/>
      <c r="C543" s="118" t="n"/>
      <c r="D543" s="118" t="n"/>
      <c r="E543" s="118" t="n"/>
      <c r="F543" s="123" t="n"/>
      <c r="G543" s="119" t="n"/>
      <c r="H543" s="123" t="n"/>
      <c r="I543" s="123" t="n"/>
      <c r="J543" s="125" t="n"/>
      <c r="K543" s="120" t="n"/>
      <c r="N543" s="117" t="n"/>
      <c r="O543" s="117" t="n"/>
      <c r="P543" s="117" t="n"/>
      <c r="Q543" s="117" t="n"/>
      <c r="R543" s="118" t="n"/>
      <c r="S543" s="119" t="n"/>
      <c r="T543" s="120" t="n"/>
      <c r="U543" s="123" t="n"/>
      <c r="V543" s="123" t="n"/>
      <c r="Y543" s="117" t="n"/>
      <c r="Z543" s="117" t="n"/>
      <c r="AA543" s="118" t="n"/>
      <c r="AB543" s="119" t="n"/>
      <c r="AC543" s="120" t="n"/>
      <c r="AD543" s="120" t="n"/>
      <c r="AE543" s="120" t="n"/>
    </row>
    <row r="544" ht="15" customHeight="1" s="72">
      <c r="A544" s="117" t="n"/>
      <c r="B544" s="117" t="n"/>
      <c r="C544" s="118" t="n"/>
      <c r="D544" s="118" t="n"/>
      <c r="E544" s="118" t="n"/>
      <c r="F544" s="123" t="n"/>
      <c r="G544" s="119" t="n"/>
      <c r="H544" s="123" t="n"/>
      <c r="I544" s="123" t="n"/>
      <c r="J544" s="125" t="n"/>
      <c r="K544" s="120" t="n"/>
      <c r="N544" s="117" t="n"/>
      <c r="O544" s="117" t="n"/>
      <c r="P544" s="117" t="n"/>
      <c r="Q544" s="117" t="n"/>
      <c r="R544" s="118" t="n"/>
      <c r="S544" s="119" t="n"/>
      <c r="T544" s="120" t="n"/>
      <c r="U544" s="123" t="n"/>
      <c r="V544" s="123" t="n"/>
      <c r="Y544" s="117" t="n"/>
      <c r="Z544" s="117" t="n"/>
      <c r="AA544" s="118" t="n"/>
      <c r="AB544" s="119" t="n"/>
      <c r="AC544" s="120" t="n"/>
      <c r="AD544" s="120" t="n"/>
      <c r="AE544" s="120" t="n"/>
    </row>
    <row r="545" ht="15" customHeight="1" s="72">
      <c r="A545" s="117" t="n"/>
      <c r="B545" s="117" t="n"/>
      <c r="C545" s="118" t="n"/>
      <c r="D545" s="118" t="n"/>
      <c r="E545" s="118" t="n"/>
      <c r="F545" s="123" t="n"/>
      <c r="G545" s="119" t="n"/>
      <c r="H545" s="123" t="n"/>
      <c r="I545" s="123" t="n"/>
      <c r="J545" s="125" t="n"/>
      <c r="K545" s="120" t="n"/>
      <c r="N545" s="117" t="n"/>
      <c r="O545" s="117" t="n"/>
      <c r="P545" s="117" t="n"/>
      <c r="Q545" s="117" t="n"/>
      <c r="R545" s="118" t="n"/>
      <c r="S545" s="119" t="n"/>
      <c r="T545" s="120" t="n"/>
      <c r="U545" s="123" t="n"/>
      <c r="V545" s="123" t="n"/>
      <c r="Y545" s="117" t="n"/>
      <c r="Z545" s="117" t="n"/>
      <c r="AA545" s="118" t="n"/>
      <c r="AB545" s="119" t="n"/>
      <c r="AC545" s="120" t="n"/>
      <c r="AD545" s="120" t="n"/>
      <c r="AE545" s="120" t="n"/>
    </row>
    <row r="546" ht="15" customHeight="1" s="72">
      <c r="A546" s="117" t="n"/>
      <c r="B546" s="117" t="n"/>
      <c r="C546" s="118" t="n"/>
      <c r="D546" s="118" t="n"/>
      <c r="E546" s="118" t="n"/>
      <c r="F546" s="123" t="n"/>
      <c r="G546" s="119" t="n"/>
      <c r="H546" s="123" t="n"/>
      <c r="I546" s="123" t="n"/>
      <c r="J546" s="125" t="n"/>
      <c r="K546" s="120" t="n"/>
      <c r="N546" s="117" t="n"/>
      <c r="O546" s="117" t="n"/>
      <c r="P546" s="117" t="n"/>
      <c r="Q546" s="117" t="n"/>
      <c r="R546" s="118" t="n"/>
      <c r="S546" s="119" t="n"/>
      <c r="T546" s="120" t="n"/>
      <c r="U546" s="123" t="n"/>
      <c r="V546" s="123" t="n"/>
      <c r="Y546" s="117" t="n"/>
      <c r="Z546" s="117" t="n"/>
      <c r="AA546" s="118" t="n"/>
      <c r="AB546" s="119" t="n"/>
      <c r="AC546" s="120" t="n"/>
      <c r="AD546" s="120" t="n"/>
      <c r="AE546" s="120" t="n"/>
    </row>
    <row r="547" ht="15" customHeight="1" s="72">
      <c r="A547" s="117" t="n"/>
      <c r="B547" s="117" t="n"/>
      <c r="C547" s="118" t="n"/>
      <c r="D547" s="118" t="n"/>
      <c r="E547" s="118" t="n"/>
      <c r="F547" s="123" t="n"/>
      <c r="G547" s="119" t="n"/>
      <c r="H547" s="123" t="n"/>
      <c r="I547" s="123" t="n"/>
      <c r="J547" s="125" t="n"/>
      <c r="K547" s="120" t="n"/>
      <c r="N547" s="117" t="n"/>
      <c r="O547" s="117" t="n"/>
      <c r="P547" s="117" t="n"/>
      <c r="Q547" s="117" t="n"/>
      <c r="R547" s="118" t="n"/>
      <c r="S547" s="119" t="n"/>
      <c r="T547" s="120" t="n"/>
      <c r="U547" s="123" t="n"/>
      <c r="V547" s="123" t="n"/>
      <c r="Y547" s="117" t="n"/>
      <c r="Z547" s="117" t="n"/>
      <c r="AA547" s="118" t="n"/>
      <c r="AB547" s="119" t="n"/>
      <c r="AC547" s="120" t="n"/>
      <c r="AD547" s="120" t="n"/>
      <c r="AE547" s="120" t="n"/>
    </row>
    <row r="548" ht="15" customHeight="1" s="72">
      <c r="A548" s="117" t="n"/>
      <c r="B548" s="117" t="n"/>
      <c r="C548" s="118" t="n"/>
      <c r="D548" s="118" t="n"/>
      <c r="E548" s="118" t="n"/>
      <c r="F548" s="123" t="n"/>
      <c r="G548" s="119" t="n"/>
      <c r="H548" s="123" t="n"/>
      <c r="I548" s="123" t="n"/>
      <c r="J548" s="125" t="n"/>
      <c r="K548" s="120" t="n"/>
      <c r="N548" s="117" t="n"/>
      <c r="O548" s="117" t="n"/>
      <c r="P548" s="117" t="n"/>
      <c r="Q548" s="117" t="n"/>
      <c r="R548" s="118" t="n"/>
      <c r="S548" s="119" t="n"/>
      <c r="T548" s="120" t="n"/>
      <c r="U548" s="123" t="n"/>
      <c r="V548" s="123" t="n"/>
      <c r="Y548" s="117" t="n"/>
      <c r="Z548" s="117" t="n"/>
      <c r="AA548" s="118" t="n"/>
      <c r="AB548" s="119" t="n"/>
      <c r="AC548" s="120" t="n"/>
      <c r="AD548" s="120" t="n"/>
      <c r="AE548" s="120" t="n"/>
    </row>
    <row r="549" ht="15" customHeight="1" s="72">
      <c r="A549" s="117" t="n"/>
      <c r="B549" s="117" t="n"/>
      <c r="C549" s="118" t="n"/>
      <c r="D549" s="118" t="n"/>
      <c r="E549" s="118" t="n"/>
      <c r="F549" s="123" t="n"/>
      <c r="G549" s="119" t="n"/>
      <c r="H549" s="123" t="n"/>
      <c r="I549" s="123" t="n"/>
      <c r="J549" s="125" t="n"/>
      <c r="K549" s="120" t="n"/>
      <c r="N549" s="117" t="n"/>
      <c r="O549" s="117" t="n"/>
      <c r="P549" s="117" t="n"/>
      <c r="Q549" s="117" t="n"/>
      <c r="R549" s="118" t="n"/>
      <c r="S549" s="119" t="n"/>
      <c r="T549" s="120" t="n"/>
      <c r="U549" s="123" t="n"/>
      <c r="V549" s="123" t="n"/>
      <c r="Y549" s="117" t="n"/>
      <c r="Z549" s="117" t="n"/>
      <c r="AA549" s="118" t="n"/>
      <c r="AB549" s="119" t="n"/>
      <c r="AC549" s="120" t="n"/>
      <c r="AD549" s="120" t="n"/>
      <c r="AE549" s="120" t="n"/>
    </row>
    <row r="550" ht="15" customHeight="1" s="72">
      <c r="A550" s="117" t="n"/>
      <c r="B550" s="117" t="n"/>
      <c r="C550" s="118" t="n"/>
      <c r="D550" s="118" t="n"/>
      <c r="E550" s="118" t="n"/>
      <c r="F550" s="123" t="n"/>
      <c r="G550" s="119" t="n"/>
      <c r="H550" s="123" t="n"/>
      <c r="I550" s="123" t="n"/>
      <c r="J550" s="125" t="n"/>
      <c r="K550" s="120" t="n"/>
      <c r="N550" s="117" t="n"/>
      <c r="O550" s="117" t="n"/>
      <c r="P550" s="117" t="n"/>
      <c r="Q550" s="117" t="n"/>
      <c r="R550" s="118" t="n"/>
      <c r="S550" s="119" t="n"/>
      <c r="T550" s="120" t="n"/>
      <c r="U550" s="123" t="n"/>
      <c r="V550" s="123" t="n"/>
      <c r="Y550" s="117" t="n"/>
      <c r="Z550" s="117" t="n"/>
      <c r="AA550" s="118" t="n"/>
      <c r="AB550" s="119" t="n"/>
      <c r="AC550" s="120" t="n"/>
      <c r="AD550" s="120" t="n"/>
      <c r="AE550" s="120" t="n"/>
    </row>
    <row r="551" ht="15" customHeight="1" s="72">
      <c r="A551" s="117" t="n"/>
      <c r="B551" s="117" t="n"/>
      <c r="C551" s="118" t="n"/>
      <c r="D551" s="118" t="n"/>
      <c r="E551" s="118" t="n"/>
      <c r="F551" s="123" t="n"/>
      <c r="G551" s="119" t="n"/>
      <c r="H551" s="123" t="n"/>
      <c r="I551" s="123" t="n"/>
      <c r="J551" s="125" t="n"/>
      <c r="K551" s="120" t="n"/>
      <c r="N551" s="117" t="n"/>
      <c r="O551" s="117" t="n"/>
      <c r="P551" s="117" t="n"/>
      <c r="Q551" s="117" t="n"/>
      <c r="R551" s="118" t="n"/>
      <c r="S551" s="119" t="n"/>
      <c r="T551" s="120" t="n"/>
      <c r="U551" s="123" t="n"/>
      <c r="V551" s="123" t="n"/>
      <c r="Y551" s="117" t="n"/>
      <c r="Z551" s="117" t="n"/>
      <c r="AA551" s="118" t="n"/>
      <c r="AB551" s="119" t="n"/>
      <c r="AC551" s="120" t="n"/>
      <c r="AD551" s="120" t="n"/>
      <c r="AE551" s="120" t="n"/>
    </row>
    <row r="552" ht="15" customHeight="1" s="72">
      <c r="A552" s="117" t="n"/>
      <c r="B552" s="117" t="n"/>
      <c r="C552" s="118" t="n"/>
      <c r="D552" s="118" t="n"/>
      <c r="E552" s="118" t="n"/>
      <c r="F552" s="123" t="n"/>
      <c r="G552" s="119" t="n"/>
      <c r="H552" s="123" t="n"/>
      <c r="I552" s="123" t="n"/>
      <c r="J552" s="125" t="n"/>
      <c r="K552" s="120" t="n"/>
      <c r="N552" s="117" t="n"/>
      <c r="O552" s="117" t="n"/>
      <c r="P552" s="117" t="n"/>
      <c r="Q552" s="117" t="n"/>
      <c r="R552" s="118" t="n"/>
      <c r="S552" s="119" t="n"/>
      <c r="T552" s="120" t="n"/>
      <c r="U552" s="123" t="n"/>
      <c r="V552" s="123" t="n"/>
      <c r="Y552" s="117" t="n"/>
      <c r="Z552" s="117" t="n"/>
      <c r="AA552" s="118" t="n"/>
      <c r="AB552" s="119" t="n"/>
      <c r="AC552" s="120" t="n"/>
      <c r="AD552" s="120" t="n"/>
      <c r="AE552" s="120" t="n"/>
    </row>
    <row r="553" ht="15" customHeight="1" s="72">
      <c r="A553" s="117" t="n"/>
      <c r="B553" s="117" t="n"/>
      <c r="C553" s="118" t="n"/>
      <c r="D553" s="118" t="n"/>
      <c r="E553" s="118" t="n"/>
      <c r="F553" s="123" t="n"/>
      <c r="G553" s="119" t="n"/>
      <c r="H553" s="123" t="n"/>
      <c r="I553" s="123" t="n"/>
      <c r="J553" s="125" t="n"/>
      <c r="K553" s="120" t="n"/>
      <c r="N553" s="117" t="n"/>
      <c r="O553" s="117" t="n"/>
      <c r="P553" s="117" t="n"/>
      <c r="Q553" s="117" t="n"/>
      <c r="R553" s="118" t="n"/>
      <c r="S553" s="119" t="n"/>
      <c r="T553" s="120" t="n"/>
      <c r="U553" s="123" t="n"/>
      <c r="V553" s="123" t="n"/>
      <c r="Y553" s="117" t="n"/>
      <c r="Z553" s="117" t="n"/>
      <c r="AA553" s="118" t="n"/>
      <c r="AB553" s="119" t="n"/>
      <c r="AC553" s="120" t="n"/>
      <c r="AD553" s="120" t="n"/>
      <c r="AE553" s="120" t="n"/>
    </row>
    <row r="554" ht="15" customHeight="1" s="72">
      <c r="A554" s="117" t="n"/>
      <c r="B554" s="117" t="n"/>
      <c r="C554" s="118" t="n"/>
      <c r="D554" s="118" t="n"/>
      <c r="E554" s="118" t="n"/>
      <c r="F554" s="123" t="n"/>
      <c r="G554" s="119" t="n"/>
      <c r="H554" s="123" t="n"/>
      <c r="I554" s="123" t="n"/>
      <c r="J554" s="125" t="n"/>
      <c r="K554" s="120" t="n"/>
      <c r="N554" s="117" t="n"/>
      <c r="O554" s="117" t="n"/>
      <c r="P554" s="117" t="n"/>
      <c r="Q554" s="117" t="n"/>
      <c r="R554" s="118" t="n"/>
      <c r="S554" s="119" t="n"/>
      <c r="T554" s="120" t="n"/>
      <c r="U554" s="123" t="n"/>
      <c r="V554" s="123" t="n"/>
      <c r="Y554" s="117" t="n"/>
      <c r="Z554" s="117" t="n"/>
      <c r="AA554" s="118" t="n"/>
      <c r="AB554" s="119" t="n"/>
      <c r="AC554" s="120" t="n"/>
      <c r="AD554" s="120" t="n"/>
      <c r="AE554" s="120" t="n"/>
    </row>
    <row r="555" ht="15" customHeight="1" s="72">
      <c r="A555" s="117" t="n"/>
      <c r="B555" s="117" t="n"/>
      <c r="C555" s="118" t="n"/>
      <c r="D555" s="118" t="n"/>
      <c r="E555" s="118" t="n"/>
      <c r="F555" s="123" t="n"/>
      <c r="G555" s="119" t="n"/>
      <c r="H555" s="123" t="n"/>
      <c r="I555" s="123" t="n"/>
      <c r="J555" s="125" t="n"/>
      <c r="K555" s="120" t="n"/>
      <c r="N555" s="117" t="n"/>
      <c r="O555" s="117" t="n"/>
      <c r="P555" s="117" t="n"/>
      <c r="Q555" s="117" t="n"/>
      <c r="R555" s="118" t="n"/>
      <c r="S555" s="119" t="n"/>
      <c r="T555" s="120" t="n"/>
      <c r="U555" s="123" t="n"/>
      <c r="V555" s="123" t="n"/>
      <c r="Y555" s="117" t="n"/>
      <c r="Z555" s="117" t="n"/>
      <c r="AA555" s="118" t="n"/>
      <c r="AB555" s="119" t="n"/>
      <c r="AC555" s="120" t="n"/>
      <c r="AD555" s="120" t="n"/>
      <c r="AE555" s="120" t="n"/>
    </row>
    <row r="556" ht="15" customHeight="1" s="72">
      <c r="A556" s="117" t="n"/>
      <c r="B556" s="117" t="n"/>
      <c r="C556" s="118" t="n"/>
      <c r="D556" s="118" t="n"/>
      <c r="E556" s="118" t="n"/>
      <c r="F556" s="123" t="n"/>
      <c r="G556" s="119" t="n"/>
      <c r="H556" s="123" t="n"/>
      <c r="I556" s="123" t="n"/>
      <c r="J556" s="125" t="n"/>
      <c r="K556" s="120" t="n"/>
      <c r="N556" s="117" t="n"/>
      <c r="O556" s="117" t="n"/>
      <c r="P556" s="117" t="n"/>
      <c r="Q556" s="117" t="n"/>
      <c r="R556" s="118" t="n"/>
      <c r="S556" s="119" t="n"/>
      <c r="T556" s="120" t="n"/>
      <c r="U556" s="123" t="n"/>
      <c r="V556" s="123" t="n"/>
      <c r="Y556" s="117" t="n"/>
      <c r="Z556" s="117" t="n"/>
      <c r="AA556" s="118" t="n"/>
      <c r="AB556" s="119" t="n"/>
      <c r="AC556" s="120" t="n"/>
      <c r="AD556" s="120" t="n"/>
      <c r="AE556" s="120" t="n"/>
    </row>
    <row r="557" ht="15" customHeight="1" s="72">
      <c r="A557" s="117" t="n"/>
      <c r="B557" s="117" t="n"/>
      <c r="C557" s="118" t="n"/>
      <c r="D557" s="118" t="n"/>
      <c r="E557" s="118" t="n"/>
      <c r="F557" s="123" t="n"/>
      <c r="G557" s="119" t="n"/>
      <c r="H557" s="123" t="n"/>
      <c r="I557" s="123" t="n"/>
      <c r="J557" s="125" t="n"/>
      <c r="K557" s="120" t="n"/>
      <c r="N557" s="117" t="n"/>
      <c r="O557" s="117" t="n"/>
      <c r="P557" s="117" t="n"/>
      <c r="Q557" s="117" t="n"/>
      <c r="R557" s="118" t="n"/>
      <c r="S557" s="119" t="n"/>
      <c r="T557" s="120" t="n"/>
      <c r="U557" s="123" t="n"/>
      <c r="V557" s="123" t="n"/>
      <c r="Y557" s="117" t="n"/>
      <c r="Z557" s="117" t="n"/>
      <c r="AA557" s="118" t="n"/>
      <c r="AB557" s="119" t="n"/>
      <c r="AC557" s="120" t="n"/>
      <c r="AD557" s="120" t="n"/>
      <c r="AE557" s="120" t="n"/>
    </row>
    <row r="558" ht="15" customHeight="1" s="72">
      <c r="A558" s="117" t="n"/>
      <c r="B558" s="117" t="n"/>
      <c r="C558" s="118" t="n"/>
      <c r="D558" s="118" t="n"/>
      <c r="E558" s="118" t="n"/>
      <c r="F558" s="123" t="n"/>
      <c r="G558" s="119" t="n"/>
      <c r="H558" s="123" t="n"/>
      <c r="I558" s="123" t="n"/>
      <c r="J558" s="125" t="n"/>
      <c r="K558" s="120" t="n"/>
      <c r="N558" s="117" t="n"/>
      <c r="O558" s="117" t="n"/>
      <c r="P558" s="117" t="n"/>
      <c r="Q558" s="117" t="n"/>
      <c r="R558" s="118" t="n"/>
      <c r="S558" s="119" t="n"/>
      <c r="T558" s="120" t="n"/>
      <c r="U558" s="123" t="n"/>
      <c r="V558" s="123" t="n"/>
      <c r="Y558" s="117" t="n"/>
      <c r="Z558" s="117" t="n"/>
      <c r="AA558" s="118" t="n"/>
      <c r="AB558" s="119" t="n"/>
      <c r="AC558" s="120" t="n"/>
      <c r="AD558" s="120" t="n"/>
      <c r="AE558" s="120" t="n"/>
    </row>
    <row r="559" ht="15" customHeight="1" s="72">
      <c r="A559" s="117" t="n"/>
      <c r="B559" s="117" t="n"/>
      <c r="C559" s="118" t="n"/>
      <c r="D559" s="118" t="n"/>
      <c r="E559" s="118" t="n"/>
      <c r="F559" s="123" t="n"/>
      <c r="G559" s="119" t="n"/>
      <c r="H559" s="123" t="n"/>
      <c r="I559" s="123" t="n"/>
      <c r="J559" s="125" t="n"/>
      <c r="K559" s="120" t="n"/>
      <c r="N559" s="117" t="n"/>
      <c r="O559" s="117" t="n"/>
      <c r="P559" s="117" t="n"/>
      <c r="Q559" s="117" t="n"/>
      <c r="R559" s="118" t="n"/>
      <c r="S559" s="119" t="n"/>
      <c r="T559" s="120" t="n"/>
      <c r="U559" s="123" t="n"/>
      <c r="V559" s="123" t="n"/>
      <c r="Y559" s="117" t="n"/>
      <c r="Z559" s="117" t="n"/>
      <c r="AA559" s="118" t="n"/>
      <c r="AB559" s="119" t="n"/>
      <c r="AC559" s="120" t="n"/>
      <c r="AD559" s="120" t="n"/>
      <c r="AE559" s="120" t="n"/>
    </row>
    <row r="560" ht="15" customHeight="1" s="72">
      <c r="A560" s="117" t="n"/>
      <c r="B560" s="117" t="n"/>
      <c r="C560" s="118" t="n"/>
      <c r="D560" s="118" t="n"/>
      <c r="E560" s="118" t="n"/>
      <c r="F560" s="123" t="n"/>
      <c r="G560" s="119" t="n"/>
      <c r="H560" s="123" t="n"/>
      <c r="I560" s="123" t="n"/>
      <c r="J560" s="125" t="n"/>
      <c r="K560" s="120" t="n"/>
      <c r="N560" s="117" t="n"/>
      <c r="O560" s="117" t="n"/>
      <c r="P560" s="117" t="n"/>
      <c r="Q560" s="117" t="n"/>
      <c r="R560" s="118" t="n"/>
      <c r="S560" s="119" t="n"/>
      <c r="T560" s="120" t="n"/>
      <c r="U560" s="123" t="n"/>
      <c r="V560" s="123" t="n"/>
      <c r="Y560" s="117" t="n"/>
      <c r="Z560" s="117" t="n"/>
      <c r="AA560" s="118" t="n"/>
      <c r="AB560" s="119" t="n"/>
      <c r="AC560" s="120" t="n"/>
      <c r="AD560" s="120" t="n"/>
      <c r="AE560" s="120" t="n"/>
    </row>
    <row r="561" ht="15" customHeight="1" s="72">
      <c r="A561" s="117" t="n"/>
      <c r="B561" s="117" t="n"/>
      <c r="C561" s="118" t="n"/>
      <c r="D561" s="118" t="n"/>
      <c r="E561" s="118" t="n"/>
      <c r="F561" s="123" t="n"/>
      <c r="G561" s="119" t="n"/>
      <c r="H561" s="123" t="n"/>
      <c r="I561" s="123" t="n"/>
      <c r="J561" s="125" t="n"/>
      <c r="K561" s="120" t="n"/>
      <c r="N561" s="117" t="n"/>
      <c r="O561" s="117" t="n"/>
      <c r="P561" s="117" t="n"/>
      <c r="Q561" s="117" t="n"/>
      <c r="R561" s="118" t="n"/>
      <c r="S561" s="119" t="n"/>
      <c r="T561" s="120" t="n"/>
      <c r="U561" s="123" t="n"/>
      <c r="V561" s="123" t="n"/>
      <c r="Y561" s="117" t="n"/>
      <c r="Z561" s="117" t="n"/>
      <c r="AA561" s="118" t="n"/>
      <c r="AB561" s="119" t="n"/>
      <c r="AC561" s="120" t="n"/>
      <c r="AD561" s="120" t="n"/>
      <c r="AE561" s="120" t="n"/>
    </row>
    <row r="562" ht="15" customHeight="1" s="72">
      <c r="A562" s="117" t="n"/>
      <c r="B562" s="117" t="n"/>
      <c r="C562" s="118" t="n"/>
      <c r="D562" s="118" t="n"/>
      <c r="E562" s="118" t="n"/>
      <c r="F562" s="123" t="n"/>
      <c r="G562" s="119" t="n"/>
      <c r="H562" s="123" t="n"/>
      <c r="I562" s="123" t="n"/>
      <c r="J562" s="125" t="n"/>
      <c r="K562" s="120" t="n"/>
      <c r="N562" s="117" t="n"/>
      <c r="O562" s="117" t="n"/>
      <c r="P562" s="117" t="n"/>
      <c r="Q562" s="117" t="n"/>
      <c r="R562" s="118" t="n"/>
      <c r="S562" s="119" t="n"/>
      <c r="T562" s="120" t="n"/>
      <c r="U562" s="123" t="n"/>
      <c r="V562" s="123" t="n"/>
      <c r="Y562" s="117" t="n"/>
      <c r="Z562" s="117" t="n"/>
      <c r="AA562" s="118" t="n"/>
      <c r="AB562" s="119" t="n"/>
      <c r="AC562" s="120" t="n"/>
      <c r="AD562" s="120" t="n"/>
      <c r="AE562" s="120" t="n"/>
    </row>
    <row r="563" ht="15" customHeight="1" s="72">
      <c r="A563" s="117" t="n"/>
      <c r="B563" s="117" t="n"/>
      <c r="C563" s="118" t="n"/>
      <c r="D563" s="118" t="n"/>
      <c r="E563" s="118" t="n"/>
      <c r="F563" s="123" t="n"/>
      <c r="G563" s="119" t="n"/>
      <c r="H563" s="123" t="n"/>
      <c r="I563" s="123" t="n"/>
      <c r="J563" s="125" t="n"/>
      <c r="K563" s="120" t="n"/>
      <c r="N563" s="117" t="n"/>
      <c r="O563" s="117" t="n"/>
      <c r="P563" s="117" t="n"/>
      <c r="Q563" s="117" t="n"/>
      <c r="R563" s="118" t="n"/>
      <c r="S563" s="119" t="n"/>
      <c r="T563" s="120" t="n"/>
      <c r="U563" s="123" t="n"/>
      <c r="V563" s="123" t="n"/>
      <c r="Y563" s="117" t="n"/>
      <c r="Z563" s="117" t="n"/>
      <c r="AA563" s="118" t="n"/>
      <c r="AB563" s="119" t="n"/>
      <c r="AC563" s="120" t="n"/>
      <c r="AD563" s="120" t="n"/>
      <c r="AE563" s="120" t="n"/>
    </row>
    <row r="564" ht="15" customHeight="1" s="72">
      <c r="A564" s="117" t="n"/>
      <c r="B564" s="117" t="n"/>
      <c r="C564" s="118" t="n"/>
      <c r="D564" s="118" t="n"/>
      <c r="E564" s="118" t="n"/>
      <c r="F564" s="123" t="n"/>
      <c r="G564" s="119" t="n"/>
      <c r="H564" s="123" t="n"/>
      <c r="I564" s="123" t="n"/>
      <c r="J564" s="125" t="n"/>
      <c r="K564" s="120" t="n"/>
      <c r="N564" s="117" t="n"/>
      <c r="O564" s="117" t="n"/>
      <c r="P564" s="117" t="n"/>
      <c r="Q564" s="117" t="n"/>
      <c r="R564" s="118" t="n"/>
      <c r="S564" s="119" t="n"/>
      <c r="T564" s="120" t="n"/>
      <c r="U564" s="123" t="n"/>
      <c r="V564" s="123" t="n"/>
      <c r="Y564" s="117" t="n"/>
      <c r="Z564" s="117" t="n"/>
      <c r="AA564" s="118" t="n"/>
      <c r="AB564" s="119" t="n"/>
      <c r="AC564" s="120" t="n"/>
      <c r="AD564" s="120" t="n"/>
      <c r="AE564" s="120" t="n"/>
    </row>
    <row r="565" ht="15" customHeight="1" s="72">
      <c r="A565" s="117" t="n"/>
      <c r="B565" s="117" t="n"/>
      <c r="C565" s="118" t="n"/>
      <c r="D565" s="118" t="n"/>
      <c r="E565" s="118" t="n"/>
      <c r="F565" s="123" t="n"/>
      <c r="G565" s="119" t="n"/>
      <c r="H565" s="123" t="n"/>
      <c r="I565" s="123" t="n"/>
      <c r="J565" s="125" t="n"/>
      <c r="K565" s="120" t="n"/>
      <c r="N565" s="117" t="n"/>
      <c r="O565" s="117" t="n"/>
      <c r="P565" s="117" t="n"/>
      <c r="Q565" s="117" t="n"/>
      <c r="R565" s="118" t="n"/>
      <c r="S565" s="119" t="n"/>
      <c r="T565" s="120" t="n"/>
      <c r="U565" s="123" t="n"/>
      <c r="V565" s="123" t="n"/>
      <c r="Y565" s="117" t="n"/>
      <c r="Z565" s="117" t="n"/>
      <c r="AA565" s="118" t="n"/>
      <c r="AB565" s="119" t="n"/>
      <c r="AC565" s="120" t="n"/>
      <c r="AD565" s="120" t="n"/>
      <c r="AE565" s="120" t="n"/>
    </row>
    <row r="566" ht="15" customHeight="1" s="72">
      <c r="A566" s="117" t="n"/>
      <c r="B566" s="117" t="n"/>
      <c r="C566" s="118" t="n"/>
      <c r="D566" s="118" t="n"/>
      <c r="E566" s="118" t="n"/>
      <c r="F566" s="123" t="n"/>
      <c r="G566" s="119" t="n"/>
      <c r="H566" s="123" t="n"/>
      <c r="I566" s="123" t="n"/>
      <c r="J566" s="125" t="n"/>
      <c r="K566" s="120" t="n"/>
      <c r="N566" s="117" t="n"/>
      <c r="O566" s="117" t="n"/>
      <c r="P566" s="117" t="n"/>
      <c r="Q566" s="117" t="n"/>
      <c r="R566" s="118" t="n"/>
      <c r="S566" s="119" t="n"/>
      <c r="T566" s="120" t="n"/>
      <c r="U566" s="123" t="n"/>
      <c r="V566" s="123" t="n"/>
      <c r="Y566" s="117" t="n"/>
      <c r="Z566" s="117" t="n"/>
      <c r="AA566" s="118" t="n"/>
      <c r="AB566" s="119" t="n"/>
      <c r="AC566" s="120" t="n"/>
      <c r="AD566" s="120" t="n"/>
      <c r="AE566" s="120" t="n"/>
    </row>
    <row r="567" ht="15" customHeight="1" s="72">
      <c r="A567" s="117" t="n"/>
      <c r="B567" s="117" t="n"/>
      <c r="C567" s="118" t="n"/>
      <c r="D567" s="118" t="n"/>
      <c r="E567" s="118" t="n"/>
      <c r="F567" s="123" t="n"/>
      <c r="G567" s="119" t="n"/>
      <c r="H567" s="123" t="n"/>
      <c r="I567" s="123" t="n"/>
      <c r="J567" s="125" t="n"/>
      <c r="K567" s="120" t="n"/>
      <c r="N567" s="117" t="n"/>
      <c r="O567" s="117" t="n"/>
      <c r="P567" s="117" t="n"/>
      <c r="Q567" s="117" t="n"/>
      <c r="R567" s="118" t="n"/>
      <c r="S567" s="119" t="n"/>
      <c r="T567" s="120" t="n"/>
      <c r="U567" s="123" t="n"/>
      <c r="V567" s="123" t="n"/>
      <c r="Y567" s="117" t="n"/>
      <c r="Z567" s="117" t="n"/>
      <c r="AA567" s="118" t="n"/>
      <c r="AB567" s="119" t="n"/>
      <c r="AC567" s="120" t="n"/>
      <c r="AD567" s="120" t="n"/>
      <c r="AE567" s="120" t="n"/>
    </row>
    <row r="568" ht="15" customHeight="1" s="72">
      <c r="A568" s="117" t="n"/>
      <c r="B568" s="117" t="n"/>
      <c r="C568" s="118" t="n"/>
      <c r="D568" s="118" t="n"/>
      <c r="E568" s="118" t="n"/>
      <c r="F568" s="123" t="n"/>
      <c r="G568" s="119" t="n"/>
      <c r="H568" s="123" t="n"/>
      <c r="I568" s="123" t="n"/>
      <c r="J568" s="125" t="n"/>
      <c r="K568" s="120" t="n"/>
      <c r="N568" s="117" t="n"/>
      <c r="O568" s="117" t="n"/>
      <c r="P568" s="117" t="n"/>
      <c r="Q568" s="117" t="n"/>
      <c r="R568" s="118" t="n"/>
      <c r="S568" s="119" t="n"/>
      <c r="T568" s="120" t="n"/>
      <c r="U568" s="123" t="n"/>
      <c r="V568" s="123" t="n"/>
      <c r="Y568" s="117" t="n"/>
      <c r="Z568" s="117" t="n"/>
      <c r="AA568" s="118" t="n"/>
      <c r="AB568" s="119" t="n"/>
      <c r="AC568" s="120" t="n"/>
      <c r="AD568" s="120" t="n"/>
      <c r="AE568" s="120" t="n"/>
    </row>
    <row r="569" ht="15" customHeight="1" s="72">
      <c r="A569" s="117" t="n"/>
      <c r="B569" s="117" t="n"/>
      <c r="C569" s="118" t="n"/>
      <c r="D569" s="118" t="n"/>
      <c r="E569" s="118" t="n"/>
      <c r="F569" s="123" t="n"/>
      <c r="G569" s="119" t="n"/>
      <c r="H569" s="123" t="n"/>
      <c r="I569" s="123" t="n"/>
      <c r="J569" s="125" t="n"/>
      <c r="K569" s="120" t="n"/>
      <c r="N569" s="117" t="n"/>
      <c r="O569" s="117" t="n"/>
      <c r="P569" s="117" t="n"/>
      <c r="Q569" s="117" t="n"/>
      <c r="R569" s="118" t="n"/>
      <c r="S569" s="119" t="n"/>
      <c r="T569" s="120" t="n"/>
      <c r="U569" s="123" t="n"/>
      <c r="V569" s="123" t="n"/>
      <c r="Y569" s="117" t="n"/>
      <c r="Z569" s="117" t="n"/>
      <c r="AA569" s="118" t="n"/>
      <c r="AB569" s="119" t="n"/>
      <c r="AC569" s="120" t="n"/>
      <c r="AD569" s="120" t="n"/>
      <c r="AE569" s="120" t="n"/>
    </row>
    <row r="570" ht="15" customHeight="1" s="72">
      <c r="A570" s="117" t="n"/>
      <c r="B570" s="117" t="n"/>
      <c r="C570" s="118" t="n"/>
      <c r="D570" s="118" t="n"/>
      <c r="E570" s="118" t="n"/>
      <c r="F570" s="123" t="n"/>
      <c r="G570" s="119" t="n"/>
      <c r="H570" s="123" t="n"/>
      <c r="I570" s="123" t="n"/>
      <c r="J570" s="125" t="n"/>
      <c r="K570" s="120" t="n"/>
      <c r="N570" s="117" t="n"/>
      <c r="O570" s="117" t="n"/>
      <c r="P570" s="117" t="n"/>
      <c r="Q570" s="117" t="n"/>
      <c r="R570" s="118" t="n"/>
      <c r="S570" s="119" t="n"/>
      <c r="T570" s="120" t="n"/>
      <c r="U570" s="123" t="n"/>
      <c r="V570" s="123" t="n"/>
      <c r="Y570" s="117" t="n"/>
      <c r="Z570" s="117" t="n"/>
      <c r="AA570" s="118" t="n"/>
      <c r="AB570" s="119" t="n"/>
      <c r="AC570" s="120" t="n"/>
      <c r="AD570" s="120" t="n"/>
      <c r="AE570" s="120" t="n"/>
    </row>
    <row r="571" ht="15" customHeight="1" s="72">
      <c r="A571" s="117" t="n"/>
      <c r="B571" s="117" t="n"/>
      <c r="C571" s="118" t="n"/>
      <c r="D571" s="118" t="n"/>
      <c r="E571" s="118" t="n"/>
      <c r="F571" s="123" t="n"/>
      <c r="G571" s="119" t="n"/>
      <c r="H571" s="123" t="n"/>
      <c r="I571" s="123" t="n"/>
      <c r="J571" s="125" t="n"/>
      <c r="K571" s="120" t="n"/>
      <c r="N571" s="117" t="n"/>
      <c r="O571" s="117" t="n"/>
      <c r="P571" s="117" t="n"/>
      <c r="Q571" s="117" t="n"/>
      <c r="R571" s="118" t="n"/>
      <c r="S571" s="119" t="n"/>
      <c r="T571" s="120" t="n"/>
      <c r="U571" s="123" t="n"/>
      <c r="V571" s="123" t="n"/>
      <c r="Y571" s="117" t="n"/>
      <c r="Z571" s="117" t="n"/>
      <c r="AA571" s="118" t="n"/>
      <c r="AB571" s="119" t="n"/>
      <c r="AC571" s="120" t="n"/>
      <c r="AD571" s="120" t="n"/>
      <c r="AE571" s="120" t="n"/>
    </row>
    <row r="572" ht="15" customHeight="1" s="72">
      <c r="A572" s="117" t="n"/>
      <c r="B572" s="117" t="n"/>
      <c r="C572" s="118" t="n"/>
      <c r="D572" s="118" t="n"/>
      <c r="E572" s="118" t="n"/>
      <c r="F572" s="123" t="n"/>
      <c r="G572" s="119" t="n"/>
      <c r="H572" s="123" t="n"/>
      <c r="I572" s="123" t="n"/>
      <c r="J572" s="125" t="n"/>
      <c r="K572" s="120" t="n"/>
      <c r="N572" s="117" t="n"/>
      <c r="O572" s="117" t="n"/>
      <c r="P572" s="117" t="n"/>
      <c r="Q572" s="117" t="n"/>
      <c r="R572" s="118" t="n"/>
      <c r="S572" s="119" t="n"/>
      <c r="T572" s="120" t="n"/>
      <c r="U572" s="123" t="n"/>
      <c r="V572" s="123" t="n"/>
      <c r="Y572" s="117" t="n"/>
      <c r="Z572" s="117" t="n"/>
      <c r="AA572" s="118" t="n"/>
      <c r="AB572" s="119" t="n"/>
      <c r="AC572" s="120" t="n"/>
      <c r="AD572" s="120" t="n"/>
      <c r="AE572" s="120" t="n"/>
    </row>
    <row r="573" ht="15" customHeight="1" s="72">
      <c r="A573" s="117" t="n"/>
      <c r="B573" s="117" t="n"/>
      <c r="C573" s="118" t="n"/>
      <c r="D573" s="118" t="n"/>
      <c r="E573" s="118" t="n"/>
      <c r="F573" s="123" t="n"/>
      <c r="G573" s="119" t="n"/>
      <c r="H573" s="123" t="n"/>
      <c r="I573" s="123" t="n"/>
      <c r="J573" s="125" t="n"/>
      <c r="K573" s="120" t="n"/>
      <c r="N573" s="117" t="n"/>
      <c r="O573" s="117" t="n"/>
      <c r="P573" s="117" t="n"/>
      <c r="Q573" s="117" t="n"/>
      <c r="R573" s="118" t="n"/>
      <c r="S573" s="119" t="n"/>
      <c r="T573" s="120" t="n"/>
      <c r="U573" s="123" t="n"/>
      <c r="V573" s="123" t="n"/>
      <c r="Y573" s="117" t="n"/>
      <c r="Z573" s="117" t="n"/>
      <c r="AA573" s="118" t="n"/>
      <c r="AB573" s="119" t="n"/>
      <c r="AC573" s="120" t="n"/>
      <c r="AD573" s="120" t="n"/>
      <c r="AE573" s="120" t="n"/>
    </row>
    <row r="574" ht="15" customHeight="1" s="72">
      <c r="A574" s="117" t="n"/>
      <c r="B574" s="117" t="n"/>
      <c r="C574" s="118" t="n"/>
      <c r="D574" s="118" t="n"/>
      <c r="E574" s="118" t="n"/>
      <c r="F574" s="123" t="n"/>
      <c r="G574" s="119" t="n"/>
      <c r="H574" s="123" t="n"/>
      <c r="I574" s="123" t="n"/>
      <c r="J574" s="125" t="n"/>
      <c r="K574" s="120" t="n"/>
      <c r="N574" s="117" t="n"/>
      <c r="O574" s="117" t="n"/>
      <c r="P574" s="117" t="n"/>
      <c r="Q574" s="117" t="n"/>
      <c r="R574" s="118" t="n"/>
      <c r="S574" s="119" t="n"/>
      <c r="T574" s="120" t="n"/>
      <c r="U574" s="123" t="n"/>
      <c r="V574" s="123" t="n"/>
      <c r="Y574" s="117" t="n"/>
      <c r="Z574" s="117" t="n"/>
      <c r="AA574" s="118" t="n"/>
      <c r="AB574" s="119" t="n"/>
      <c r="AC574" s="120" t="n"/>
      <c r="AD574" s="120" t="n"/>
      <c r="AE574" s="120" t="n"/>
    </row>
    <row r="575" ht="15" customHeight="1" s="72">
      <c r="A575" s="117" t="n"/>
      <c r="B575" s="117" t="n"/>
      <c r="C575" s="118" t="n"/>
      <c r="D575" s="118" t="n"/>
      <c r="E575" s="118" t="n"/>
      <c r="F575" s="123" t="n"/>
      <c r="G575" s="119" t="n"/>
      <c r="H575" s="123" t="n"/>
      <c r="I575" s="123" t="n"/>
      <c r="J575" s="125" t="n"/>
      <c r="K575" s="120" t="n"/>
      <c r="N575" s="117" t="n"/>
      <c r="O575" s="117" t="n"/>
      <c r="P575" s="117" t="n"/>
      <c r="Q575" s="117" t="n"/>
      <c r="R575" s="118" t="n"/>
      <c r="S575" s="119" t="n"/>
      <c r="T575" s="120" t="n"/>
      <c r="U575" s="123" t="n"/>
      <c r="V575" s="123" t="n"/>
      <c r="Y575" s="117" t="n"/>
      <c r="Z575" s="117" t="n"/>
      <c r="AA575" s="118" t="n"/>
      <c r="AB575" s="119" t="n"/>
      <c r="AC575" s="120" t="n"/>
      <c r="AD575" s="120" t="n"/>
      <c r="AE575" s="120" t="n"/>
    </row>
    <row r="576" ht="15" customHeight="1" s="72">
      <c r="A576" s="117" t="n"/>
      <c r="B576" s="117" t="n"/>
      <c r="C576" s="118" t="n"/>
      <c r="D576" s="118" t="n"/>
      <c r="E576" s="118" t="n"/>
      <c r="F576" s="123" t="n"/>
      <c r="G576" s="119" t="n"/>
      <c r="H576" s="123" t="n"/>
      <c r="I576" s="123" t="n"/>
      <c r="J576" s="125" t="n"/>
      <c r="K576" s="120" t="n"/>
      <c r="N576" s="117" t="n"/>
      <c r="O576" s="117" t="n"/>
      <c r="P576" s="117" t="n"/>
      <c r="Q576" s="117" t="n"/>
      <c r="R576" s="118" t="n"/>
      <c r="S576" s="119" t="n"/>
      <c r="T576" s="120" t="n"/>
      <c r="U576" s="123" t="n"/>
      <c r="V576" s="123" t="n"/>
      <c r="Y576" s="117" t="n"/>
      <c r="Z576" s="117" t="n"/>
      <c r="AA576" s="118" t="n"/>
      <c r="AB576" s="119" t="n"/>
      <c r="AC576" s="120" t="n"/>
      <c r="AD576" s="120" t="n"/>
      <c r="AE576" s="120" t="n"/>
    </row>
    <row r="577" ht="15" customHeight="1" s="72">
      <c r="A577" s="117" t="n"/>
      <c r="B577" s="117" t="n"/>
      <c r="C577" s="118" t="n"/>
      <c r="D577" s="118" t="n"/>
      <c r="E577" s="118" t="n"/>
      <c r="F577" s="123" t="n"/>
      <c r="G577" s="119" t="n"/>
      <c r="H577" s="123" t="n"/>
      <c r="I577" s="123" t="n"/>
      <c r="J577" s="125" t="n"/>
      <c r="K577" s="120" t="n"/>
      <c r="N577" s="117" t="n"/>
      <c r="O577" s="117" t="n"/>
      <c r="P577" s="117" t="n"/>
      <c r="Q577" s="117" t="n"/>
      <c r="R577" s="118" t="n"/>
      <c r="S577" s="119" t="n"/>
      <c r="T577" s="120" t="n"/>
      <c r="U577" s="123" t="n"/>
      <c r="V577" s="123" t="n"/>
      <c r="Y577" s="117" t="n"/>
      <c r="Z577" s="117" t="n"/>
      <c r="AA577" s="118" t="n"/>
      <c r="AB577" s="119" t="n"/>
      <c r="AC577" s="120" t="n"/>
      <c r="AD577" s="120" t="n"/>
      <c r="AE577" s="120" t="n"/>
    </row>
    <row r="578" ht="15" customHeight="1" s="72">
      <c r="A578" s="117" t="n"/>
      <c r="B578" s="117" t="n"/>
      <c r="C578" s="118" t="n"/>
      <c r="D578" s="118" t="n"/>
      <c r="E578" s="118" t="n"/>
      <c r="F578" s="123" t="n"/>
      <c r="G578" s="119" t="n"/>
      <c r="H578" s="123" t="n"/>
      <c r="I578" s="123" t="n"/>
      <c r="J578" s="125" t="n"/>
      <c r="K578" s="120" t="n"/>
      <c r="N578" s="117" t="n"/>
      <c r="O578" s="117" t="n"/>
      <c r="P578" s="117" t="n"/>
      <c r="Q578" s="117" t="n"/>
      <c r="R578" s="118" t="n"/>
      <c r="S578" s="119" t="n"/>
      <c r="T578" s="120" t="n"/>
      <c r="U578" s="123" t="n"/>
      <c r="V578" s="123" t="n"/>
      <c r="Y578" s="117" t="n"/>
      <c r="Z578" s="117" t="n"/>
      <c r="AA578" s="118" t="n"/>
      <c r="AB578" s="119" t="n"/>
      <c r="AC578" s="120" t="n"/>
      <c r="AD578" s="120" t="n"/>
      <c r="AE578" s="120" t="n"/>
    </row>
    <row r="579" ht="15" customHeight="1" s="72">
      <c r="A579" s="117" t="n"/>
      <c r="B579" s="117" t="n"/>
      <c r="C579" s="118" t="n"/>
      <c r="D579" s="118" t="n"/>
      <c r="E579" s="118" t="n"/>
      <c r="F579" s="123" t="n"/>
      <c r="G579" s="119" t="n"/>
      <c r="H579" s="123" t="n"/>
      <c r="I579" s="123" t="n"/>
      <c r="J579" s="125" t="n"/>
      <c r="K579" s="120" t="n"/>
      <c r="N579" s="117" t="n"/>
      <c r="O579" s="117" t="n"/>
      <c r="P579" s="117" t="n"/>
      <c r="Q579" s="117" t="n"/>
      <c r="R579" s="118" t="n"/>
      <c r="S579" s="119" t="n"/>
      <c r="T579" s="120" t="n"/>
      <c r="U579" s="123" t="n"/>
      <c r="V579" s="123" t="n"/>
      <c r="Y579" s="117" t="n"/>
      <c r="Z579" s="117" t="n"/>
      <c r="AA579" s="118" t="n"/>
      <c r="AB579" s="119" t="n"/>
      <c r="AC579" s="120" t="n"/>
      <c r="AD579" s="120" t="n"/>
      <c r="AE579" s="120" t="n"/>
    </row>
    <row r="580" ht="15" customHeight="1" s="72">
      <c r="A580" s="117" t="n"/>
      <c r="B580" s="117" t="n"/>
      <c r="C580" s="118" t="n"/>
      <c r="D580" s="118" t="n"/>
      <c r="E580" s="118" t="n"/>
      <c r="F580" s="123" t="n"/>
      <c r="G580" s="119" t="n"/>
      <c r="H580" s="123" t="n"/>
      <c r="I580" s="123" t="n"/>
      <c r="J580" s="125" t="n"/>
      <c r="K580" s="120" t="n"/>
      <c r="N580" s="117" t="n"/>
      <c r="O580" s="117" t="n"/>
      <c r="P580" s="117" t="n"/>
      <c r="Q580" s="117" t="n"/>
      <c r="R580" s="118" t="n"/>
      <c r="S580" s="119" t="n"/>
      <c r="T580" s="120" t="n"/>
      <c r="U580" s="123" t="n"/>
      <c r="V580" s="123" t="n"/>
      <c r="Y580" s="117" t="n"/>
      <c r="Z580" s="117" t="n"/>
      <c r="AA580" s="118" t="n"/>
      <c r="AB580" s="119" t="n"/>
      <c r="AC580" s="120" t="n"/>
      <c r="AD580" s="120" t="n"/>
      <c r="AE580" s="120" t="n"/>
    </row>
    <row r="581" ht="15" customHeight="1" s="72">
      <c r="A581" s="117" t="n"/>
      <c r="B581" s="117" t="n"/>
      <c r="C581" s="118" t="n"/>
      <c r="D581" s="118" t="n"/>
      <c r="E581" s="118" t="n"/>
      <c r="F581" s="123" t="n"/>
      <c r="G581" s="119" t="n"/>
      <c r="H581" s="123" t="n"/>
      <c r="I581" s="123" t="n"/>
      <c r="J581" s="125" t="n"/>
      <c r="K581" s="120" t="n"/>
      <c r="N581" s="117" t="n"/>
      <c r="O581" s="117" t="n"/>
      <c r="P581" s="117" t="n"/>
      <c r="Q581" s="117" t="n"/>
      <c r="R581" s="118" t="n"/>
      <c r="S581" s="119" t="n"/>
      <c r="T581" s="120" t="n"/>
      <c r="U581" s="123" t="n"/>
      <c r="V581" s="123" t="n"/>
      <c r="Y581" s="117" t="n"/>
      <c r="Z581" s="117" t="n"/>
      <c r="AA581" s="118" t="n"/>
      <c r="AB581" s="119" t="n"/>
      <c r="AC581" s="120" t="n"/>
      <c r="AD581" s="120" t="n"/>
      <c r="AE581" s="120" t="n"/>
    </row>
    <row r="582" ht="15" customHeight="1" s="72">
      <c r="A582" s="117" t="n"/>
      <c r="B582" s="117" t="n"/>
      <c r="C582" s="118" t="n"/>
      <c r="D582" s="118" t="n"/>
      <c r="E582" s="118" t="n"/>
      <c r="F582" s="123" t="n"/>
      <c r="G582" s="119" t="n"/>
      <c r="H582" s="123" t="n"/>
      <c r="I582" s="123" t="n"/>
      <c r="J582" s="125" t="n"/>
      <c r="K582" s="120" t="n"/>
      <c r="N582" s="117" t="n"/>
      <c r="O582" s="117" t="n"/>
      <c r="P582" s="117" t="n"/>
      <c r="Q582" s="117" t="n"/>
      <c r="R582" s="118" t="n"/>
      <c r="S582" s="119" t="n"/>
      <c r="T582" s="120" t="n"/>
      <c r="U582" s="123" t="n"/>
      <c r="V582" s="123" t="n"/>
      <c r="Y582" s="117" t="n"/>
      <c r="Z582" s="117" t="n"/>
      <c r="AA582" s="118" t="n"/>
      <c r="AB582" s="119" t="n"/>
      <c r="AC582" s="120" t="n"/>
      <c r="AD582" s="120" t="n"/>
      <c r="AE582" s="120" t="n"/>
    </row>
    <row r="583" ht="15" customHeight="1" s="72">
      <c r="A583" s="117" t="n"/>
      <c r="B583" s="117" t="n"/>
      <c r="C583" s="118" t="n"/>
      <c r="D583" s="118" t="n"/>
      <c r="E583" s="118" t="n"/>
      <c r="F583" s="123" t="n"/>
      <c r="G583" s="119" t="n"/>
      <c r="H583" s="123" t="n"/>
      <c r="I583" s="123" t="n"/>
      <c r="J583" s="125" t="n"/>
      <c r="K583" s="120" t="n"/>
      <c r="N583" s="117" t="n"/>
      <c r="O583" s="117" t="n"/>
      <c r="P583" s="117" t="n"/>
      <c r="Q583" s="117" t="n"/>
      <c r="R583" s="118" t="n"/>
      <c r="S583" s="119" t="n"/>
      <c r="T583" s="120" t="n"/>
      <c r="U583" s="123" t="n"/>
      <c r="V583" s="123" t="n"/>
      <c r="Y583" s="117" t="n"/>
      <c r="Z583" s="117" t="n"/>
      <c r="AA583" s="118" t="n"/>
      <c r="AB583" s="119" t="n"/>
      <c r="AC583" s="120" t="n"/>
      <c r="AD583" s="120" t="n"/>
      <c r="AE583" s="120" t="n"/>
    </row>
    <row r="584" ht="15" customHeight="1" s="72">
      <c r="A584" s="117" t="n"/>
      <c r="B584" s="117" t="n"/>
      <c r="C584" s="118" t="n"/>
      <c r="D584" s="118" t="n"/>
      <c r="E584" s="118" t="n"/>
      <c r="F584" s="123" t="n"/>
      <c r="G584" s="119" t="n"/>
      <c r="H584" s="123" t="n"/>
      <c r="I584" s="123" t="n"/>
      <c r="J584" s="125" t="n"/>
      <c r="K584" s="120" t="n"/>
      <c r="N584" s="117" t="n"/>
      <c r="O584" s="117" t="n"/>
      <c r="P584" s="117" t="n"/>
      <c r="Q584" s="117" t="n"/>
      <c r="R584" s="118" t="n"/>
      <c r="S584" s="119" t="n"/>
      <c r="T584" s="120" t="n"/>
      <c r="U584" s="123" t="n"/>
      <c r="V584" s="123" t="n"/>
      <c r="Y584" s="117" t="n"/>
      <c r="Z584" s="117" t="n"/>
      <c r="AA584" s="118" t="n"/>
      <c r="AB584" s="119" t="n"/>
      <c r="AC584" s="120" t="n"/>
      <c r="AD584" s="120" t="n"/>
      <c r="AE584" s="120" t="n"/>
    </row>
    <row r="585" ht="15" customHeight="1" s="72">
      <c r="A585" s="117" t="n"/>
      <c r="B585" s="117" t="n"/>
      <c r="C585" s="118" t="n"/>
      <c r="D585" s="118" t="n"/>
      <c r="E585" s="118" t="n"/>
      <c r="F585" s="123" t="n"/>
      <c r="G585" s="119" t="n"/>
      <c r="H585" s="123" t="n"/>
      <c r="I585" s="123" t="n"/>
      <c r="J585" s="125" t="n"/>
      <c r="K585" s="120" t="n"/>
      <c r="N585" s="117" t="n"/>
      <c r="O585" s="117" t="n"/>
      <c r="P585" s="117" t="n"/>
      <c r="Q585" s="117" t="n"/>
      <c r="R585" s="118" t="n"/>
      <c r="S585" s="119" t="n"/>
      <c r="T585" s="120" t="n"/>
      <c r="U585" s="123" t="n"/>
      <c r="V585" s="123" t="n"/>
      <c r="Y585" s="117" t="n"/>
      <c r="Z585" s="117" t="n"/>
      <c r="AA585" s="118" t="n"/>
      <c r="AB585" s="119" t="n"/>
      <c r="AC585" s="120" t="n"/>
      <c r="AD585" s="120" t="n"/>
      <c r="AE585" s="120" t="n"/>
    </row>
    <row r="586" ht="15" customHeight="1" s="72">
      <c r="A586" s="117" t="n"/>
      <c r="B586" s="117" t="n"/>
      <c r="C586" s="118" t="n"/>
      <c r="D586" s="118" t="n"/>
      <c r="E586" s="118" t="n"/>
      <c r="F586" s="123" t="n"/>
      <c r="G586" s="119" t="n"/>
      <c r="H586" s="123" t="n"/>
      <c r="I586" s="123" t="n"/>
      <c r="J586" s="125" t="n"/>
      <c r="K586" s="120" t="n"/>
      <c r="N586" s="117" t="n"/>
      <c r="O586" s="117" t="n"/>
      <c r="P586" s="117" t="n"/>
      <c r="Q586" s="117" t="n"/>
      <c r="R586" s="118" t="n"/>
      <c r="S586" s="119" t="n"/>
      <c r="T586" s="120" t="n"/>
      <c r="U586" s="123" t="n"/>
      <c r="V586" s="123" t="n"/>
      <c r="Y586" s="117" t="n"/>
      <c r="Z586" s="117" t="n"/>
      <c r="AA586" s="118" t="n"/>
      <c r="AB586" s="119" t="n"/>
      <c r="AC586" s="120" t="n"/>
      <c r="AD586" s="120" t="n"/>
      <c r="AE586" s="120" t="n"/>
    </row>
    <row r="587" ht="15" customHeight="1" s="72">
      <c r="A587" s="117" t="n"/>
      <c r="B587" s="117" t="n"/>
      <c r="C587" s="118" t="n"/>
      <c r="D587" s="118" t="n"/>
      <c r="E587" s="118" t="n"/>
      <c r="F587" s="123" t="n"/>
      <c r="G587" s="119" t="n"/>
      <c r="H587" s="123" t="n"/>
      <c r="I587" s="123" t="n"/>
      <c r="J587" s="125" t="n"/>
      <c r="K587" s="120" t="n"/>
      <c r="N587" s="117" t="n"/>
      <c r="O587" s="117" t="n"/>
      <c r="P587" s="117" t="n"/>
      <c r="Q587" s="117" t="n"/>
      <c r="R587" s="118" t="n"/>
      <c r="S587" s="119" t="n"/>
      <c r="T587" s="120" t="n"/>
      <c r="U587" s="123" t="n"/>
      <c r="V587" s="123" t="n"/>
      <c r="Y587" s="117" t="n"/>
      <c r="Z587" s="117" t="n"/>
      <c r="AA587" s="118" t="n"/>
      <c r="AB587" s="119" t="n"/>
      <c r="AC587" s="120" t="n"/>
      <c r="AD587" s="120" t="n"/>
      <c r="AE587" s="120" t="n"/>
    </row>
    <row r="588" ht="15" customHeight="1" s="72">
      <c r="A588" s="117" t="n"/>
      <c r="B588" s="117" t="n"/>
      <c r="C588" s="118" t="n"/>
      <c r="D588" s="118" t="n"/>
      <c r="E588" s="118" t="n"/>
      <c r="F588" s="123" t="n"/>
      <c r="G588" s="119" t="n"/>
      <c r="H588" s="123" t="n"/>
      <c r="I588" s="123" t="n"/>
      <c r="J588" s="125" t="n"/>
      <c r="K588" s="120" t="n"/>
      <c r="N588" s="117" t="n"/>
      <c r="O588" s="117" t="n"/>
      <c r="P588" s="117" t="n"/>
      <c r="Q588" s="117" t="n"/>
      <c r="R588" s="118" t="n"/>
      <c r="S588" s="119" t="n"/>
      <c r="T588" s="120" t="n"/>
      <c r="U588" s="123" t="n"/>
      <c r="V588" s="123" t="n"/>
      <c r="Y588" s="117" t="n"/>
      <c r="Z588" s="117" t="n"/>
      <c r="AA588" s="118" t="n"/>
      <c r="AB588" s="119" t="n"/>
      <c r="AC588" s="120" t="n"/>
      <c r="AD588" s="120" t="n"/>
      <c r="AE588" s="120" t="n"/>
    </row>
    <row r="589" ht="15" customHeight="1" s="72">
      <c r="A589" s="117" t="n"/>
      <c r="B589" s="117" t="n"/>
      <c r="C589" s="118" t="n"/>
      <c r="D589" s="118" t="n"/>
      <c r="E589" s="118" t="n"/>
      <c r="F589" s="123" t="n"/>
      <c r="G589" s="119" t="n"/>
      <c r="H589" s="123" t="n"/>
      <c r="I589" s="123" t="n"/>
      <c r="J589" s="125" t="n"/>
      <c r="K589" s="120" t="n"/>
      <c r="N589" s="117" t="n"/>
      <c r="O589" s="117" t="n"/>
      <c r="P589" s="117" t="n"/>
      <c r="Q589" s="117" t="n"/>
      <c r="R589" s="118" t="n"/>
      <c r="S589" s="119" t="n"/>
      <c r="T589" s="120" t="n"/>
      <c r="U589" s="123" t="n"/>
      <c r="V589" s="123" t="n"/>
      <c r="Y589" s="117" t="n"/>
      <c r="Z589" s="117" t="n"/>
      <c r="AA589" s="118" t="n"/>
      <c r="AB589" s="119" t="n"/>
      <c r="AC589" s="120" t="n"/>
      <c r="AD589" s="120" t="n"/>
      <c r="AE589" s="120" t="n"/>
    </row>
    <row r="590" ht="15" customHeight="1" s="72">
      <c r="A590" s="117" t="n"/>
      <c r="B590" s="117" t="n"/>
      <c r="C590" s="118" t="n"/>
      <c r="D590" s="118" t="n"/>
      <c r="E590" s="118" t="n"/>
      <c r="F590" s="123" t="n"/>
      <c r="G590" s="119" t="n"/>
      <c r="H590" s="123" t="n"/>
      <c r="I590" s="123" t="n"/>
      <c r="J590" s="125" t="n"/>
      <c r="K590" s="120" t="n"/>
      <c r="N590" s="117" t="n"/>
      <c r="O590" s="117" t="n"/>
      <c r="P590" s="117" t="n"/>
      <c r="Q590" s="117" t="n"/>
      <c r="R590" s="118" t="n"/>
      <c r="S590" s="119" t="n"/>
      <c r="T590" s="120" t="n"/>
      <c r="U590" s="123" t="n"/>
      <c r="V590" s="123" t="n"/>
      <c r="Y590" s="117" t="n"/>
      <c r="Z590" s="117" t="n"/>
      <c r="AA590" s="118" t="n"/>
      <c r="AB590" s="119" t="n"/>
      <c r="AC590" s="120" t="n"/>
      <c r="AD590" s="120" t="n"/>
      <c r="AE590" s="120" t="n"/>
    </row>
    <row r="591" ht="15" customHeight="1" s="72">
      <c r="A591" s="117" t="n"/>
      <c r="B591" s="117" t="n"/>
      <c r="C591" s="118" t="n"/>
      <c r="D591" s="118" t="n"/>
      <c r="E591" s="118" t="n"/>
      <c r="F591" s="123" t="n"/>
      <c r="G591" s="119" t="n"/>
      <c r="H591" s="123" t="n"/>
      <c r="I591" s="123" t="n"/>
      <c r="J591" s="125" t="n"/>
      <c r="K591" s="120" t="n"/>
      <c r="N591" s="117" t="n"/>
      <c r="O591" s="117" t="n"/>
      <c r="P591" s="117" t="n"/>
      <c r="Q591" s="117" t="n"/>
      <c r="R591" s="118" t="n"/>
      <c r="S591" s="119" t="n"/>
      <c r="T591" s="120" t="n"/>
      <c r="U591" s="123" t="n"/>
      <c r="V591" s="123" t="n"/>
      <c r="Y591" s="117" t="n"/>
      <c r="Z591" s="117" t="n"/>
      <c r="AA591" s="118" t="n"/>
      <c r="AB591" s="119" t="n"/>
      <c r="AC591" s="120" t="n"/>
      <c r="AD591" s="120" t="n"/>
      <c r="AE591" s="120" t="n"/>
    </row>
    <row r="592" ht="15" customHeight="1" s="72">
      <c r="A592" s="117" t="n"/>
      <c r="B592" s="117" t="n"/>
      <c r="C592" s="118" t="n"/>
      <c r="D592" s="118" t="n"/>
      <c r="E592" s="118" t="n"/>
      <c r="F592" s="123" t="n"/>
      <c r="G592" s="119" t="n"/>
      <c r="H592" s="123" t="n"/>
      <c r="I592" s="123" t="n"/>
      <c r="J592" s="125" t="n"/>
      <c r="K592" s="120" t="n"/>
      <c r="N592" s="117" t="n"/>
      <c r="O592" s="117" t="n"/>
      <c r="P592" s="117" t="n"/>
      <c r="Q592" s="117" t="n"/>
      <c r="R592" s="118" t="n"/>
      <c r="S592" s="119" t="n"/>
      <c r="T592" s="120" t="n"/>
      <c r="U592" s="123" t="n"/>
      <c r="V592" s="123" t="n"/>
      <c r="Y592" s="117" t="n"/>
      <c r="Z592" s="117" t="n"/>
      <c r="AA592" s="118" t="n"/>
      <c r="AB592" s="119" t="n"/>
      <c r="AC592" s="120" t="n"/>
      <c r="AD592" s="120" t="n"/>
      <c r="AE592" s="120" t="n"/>
    </row>
    <row r="593" ht="15" customHeight="1" s="72">
      <c r="A593" s="117" t="n"/>
      <c r="B593" s="117" t="n"/>
      <c r="C593" s="118" t="n"/>
      <c r="D593" s="118" t="n"/>
      <c r="E593" s="118" t="n"/>
      <c r="F593" s="123" t="n"/>
      <c r="G593" s="119" t="n"/>
      <c r="H593" s="123" t="n"/>
      <c r="I593" s="123" t="n"/>
      <c r="J593" s="125" t="n"/>
      <c r="K593" s="120" t="n"/>
      <c r="N593" s="117" t="n"/>
      <c r="O593" s="117" t="n"/>
      <c r="P593" s="117" t="n"/>
      <c r="Q593" s="117" t="n"/>
      <c r="R593" s="118" t="n"/>
      <c r="S593" s="119" t="n"/>
      <c r="T593" s="120" t="n"/>
      <c r="U593" s="123" t="n"/>
      <c r="V593" s="123" t="n"/>
      <c r="Y593" s="117" t="n"/>
      <c r="Z593" s="117" t="n"/>
      <c r="AA593" s="118" t="n"/>
      <c r="AB593" s="119" t="n"/>
      <c r="AC593" s="120" t="n"/>
      <c r="AD593" s="120" t="n"/>
      <c r="AE593" s="120" t="n"/>
    </row>
    <row r="594" ht="15" customHeight="1" s="72">
      <c r="A594" s="117" t="n"/>
      <c r="B594" s="117" t="n"/>
      <c r="C594" s="118" t="n"/>
      <c r="D594" s="118" t="n"/>
      <c r="E594" s="118" t="n"/>
      <c r="F594" s="123" t="n"/>
      <c r="G594" s="119" t="n"/>
      <c r="H594" s="123" t="n"/>
      <c r="I594" s="123" t="n"/>
      <c r="J594" s="125" t="n"/>
      <c r="K594" s="120" t="n"/>
      <c r="N594" s="117" t="n"/>
      <c r="O594" s="117" t="n"/>
      <c r="P594" s="117" t="n"/>
      <c r="Q594" s="117" t="n"/>
      <c r="R594" s="118" t="n"/>
      <c r="S594" s="119" t="n"/>
      <c r="T594" s="120" t="n"/>
      <c r="U594" s="123" t="n"/>
      <c r="V594" s="123" t="n"/>
      <c r="Y594" s="117" t="n"/>
      <c r="Z594" s="117" t="n"/>
      <c r="AA594" s="118" t="n"/>
      <c r="AB594" s="119" t="n"/>
      <c r="AC594" s="120" t="n"/>
      <c r="AD594" s="120" t="n"/>
      <c r="AE594" s="120" t="n"/>
    </row>
    <row r="595" ht="15" customHeight="1" s="72">
      <c r="A595" s="117" t="n"/>
      <c r="B595" s="117" t="n"/>
      <c r="C595" s="118" t="n"/>
      <c r="D595" s="118" t="n"/>
      <c r="E595" s="118" t="n"/>
      <c r="F595" s="123" t="n"/>
      <c r="G595" s="119" t="n"/>
      <c r="H595" s="123" t="n"/>
      <c r="I595" s="123" t="n"/>
      <c r="J595" s="125" t="n"/>
      <c r="K595" s="120" t="n"/>
      <c r="N595" s="117" t="n"/>
      <c r="O595" s="117" t="n"/>
      <c r="P595" s="117" t="n"/>
      <c r="Q595" s="117" t="n"/>
      <c r="R595" s="118" t="n"/>
      <c r="S595" s="119" t="n"/>
      <c r="T595" s="120" t="n"/>
      <c r="U595" s="123" t="n"/>
      <c r="V595" s="123" t="n"/>
      <c r="Y595" s="117" t="n"/>
      <c r="Z595" s="117" t="n"/>
      <c r="AA595" s="118" t="n"/>
      <c r="AB595" s="119" t="n"/>
      <c r="AC595" s="120" t="n"/>
      <c r="AD595" s="120" t="n"/>
      <c r="AE595" s="120" t="n"/>
    </row>
    <row r="596" ht="15" customHeight="1" s="72">
      <c r="A596" s="117" t="n"/>
      <c r="B596" s="117" t="n"/>
      <c r="C596" s="118" t="n"/>
      <c r="D596" s="118" t="n"/>
      <c r="E596" s="118" t="n"/>
      <c r="F596" s="123" t="n"/>
      <c r="G596" s="119" t="n"/>
      <c r="H596" s="123" t="n"/>
      <c r="I596" s="123" t="n"/>
      <c r="J596" s="125" t="n"/>
      <c r="K596" s="120" t="n"/>
      <c r="N596" s="117" t="n"/>
      <c r="O596" s="117" t="n"/>
      <c r="P596" s="117" t="n"/>
      <c r="Q596" s="117" t="n"/>
      <c r="R596" s="118" t="n"/>
      <c r="S596" s="119" t="n"/>
      <c r="T596" s="120" t="n"/>
      <c r="U596" s="123" t="n"/>
      <c r="V596" s="123" t="n"/>
      <c r="Y596" s="117" t="n"/>
      <c r="Z596" s="117" t="n"/>
      <c r="AA596" s="118" t="n"/>
      <c r="AB596" s="119" t="n"/>
      <c r="AC596" s="120" t="n"/>
      <c r="AD596" s="120" t="n"/>
      <c r="AE596" s="120" t="n"/>
    </row>
    <row r="597" ht="15" customHeight="1" s="72">
      <c r="A597" s="117" t="n"/>
      <c r="B597" s="117" t="n"/>
      <c r="C597" s="118" t="n"/>
      <c r="D597" s="118" t="n"/>
      <c r="E597" s="118" t="n"/>
      <c r="F597" s="123" t="n"/>
      <c r="G597" s="119" t="n"/>
      <c r="H597" s="123" t="n"/>
      <c r="I597" s="123" t="n"/>
      <c r="J597" s="125" t="n"/>
      <c r="K597" s="120" t="n"/>
      <c r="N597" s="117" t="n"/>
      <c r="O597" s="117" t="n"/>
      <c r="P597" s="117" t="n"/>
      <c r="Q597" s="117" t="n"/>
      <c r="R597" s="118" t="n"/>
      <c r="S597" s="119" t="n"/>
      <c r="T597" s="120" t="n"/>
      <c r="U597" s="123" t="n"/>
      <c r="V597" s="123" t="n"/>
      <c r="Y597" s="117" t="n"/>
      <c r="Z597" s="117" t="n"/>
      <c r="AA597" s="118" t="n"/>
      <c r="AB597" s="119" t="n"/>
      <c r="AC597" s="120" t="n"/>
      <c r="AD597" s="120" t="n"/>
      <c r="AE597" s="120" t="n"/>
    </row>
    <row r="598" ht="15" customHeight="1" s="72">
      <c r="A598" s="117" t="n"/>
      <c r="B598" s="117" t="n"/>
      <c r="C598" s="118" t="n"/>
      <c r="D598" s="118" t="n"/>
      <c r="E598" s="118" t="n"/>
      <c r="F598" s="123" t="n"/>
      <c r="G598" s="119" t="n"/>
      <c r="H598" s="123" t="n"/>
      <c r="I598" s="123" t="n"/>
      <c r="J598" s="125" t="n"/>
      <c r="K598" s="120" t="n"/>
      <c r="N598" s="117" t="n"/>
      <c r="O598" s="117" t="n"/>
      <c r="P598" s="117" t="n"/>
      <c r="Q598" s="117" t="n"/>
      <c r="R598" s="118" t="n"/>
      <c r="S598" s="119" t="n"/>
      <c r="T598" s="120" t="n"/>
      <c r="U598" s="123" t="n"/>
      <c r="V598" s="123" t="n"/>
      <c r="Y598" s="117" t="n"/>
      <c r="Z598" s="117" t="n"/>
      <c r="AA598" s="118" t="n"/>
      <c r="AB598" s="119" t="n"/>
      <c r="AC598" s="120" t="n"/>
      <c r="AD598" s="120" t="n"/>
      <c r="AE598" s="120" t="n"/>
    </row>
    <row r="599" ht="15" customHeight="1" s="72">
      <c r="A599" s="117" t="n"/>
      <c r="B599" s="117" t="n"/>
      <c r="C599" s="118" t="n"/>
      <c r="D599" s="118" t="n"/>
      <c r="E599" s="118" t="n"/>
      <c r="F599" s="123" t="n"/>
      <c r="G599" s="119" t="n"/>
      <c r="H599" s="123" t="n"/>
      <c r="I599" s="123" t="n"/>
      <c r="J599" s="125" t="n"/>
      <c r="K599" s="120" t="n"/>
      <c r="N599" s="117" t="n"/>
      <c r="O599" s="117" t="n"/>
      <c r="P599" s="117" t="n"/>
      <c r="Q599" s="117" t="n"/>
      <c r="R599" s="118" t="n"/>
      <c r="S599" s="119" t="n"/>
      <c r="T599" s="120" t="n"/>
      <c r="U599" s="123" t="n"/>
      <c r="V599" s="123" t="n"/>
      <c r="Y599" s="117" t="n"/>
      <c r="Z599" s="117" t="n"/>
      <c r="AA599" s="118" t="n"/>
      <c r="AB599" s="119" t="n"/>
      <c r="AC599" s="120" t="n"/>
      <c r="AD599" s="120" t="n"/>
      <c r="AE599" s="120" t="n"/>
    </row>
    <row r="600" ht="15" customHeight="1" s="72">
      <c r="A600" s="117" t="n"/>
      <c r="B600" s="117" t="n"/>
      <c r="C600" s="118" t="n"/>
      <c r="D600" s="118" t="n"/>
      <c r="E600" s="118" t="n"/>
      <c r="F600" s="123" t="n"/>
      <c r="G600" s="119" t="n"/>
      <c r="H600" s="123" t="n"/>
      <c r="I600" s="123" t="n"/>
      <c r="J600" s="125" t="n"/>
      <c r="K600" s="120" t="n"/>
      <c r="N600" s="117" t="n"/>
      <c r="O600" s="117" t="n"/>
      <c r="P600" s="117" t="n"/>
      <c r="Q600" s="117" t="n"/>
      <c r="R600" s="118" t="n"/>
      <c r="S600" s="119" t="n"/>
      <c r="T600" s="120" t="n"/>
      <c r="U600" s="123" t="n"/>
      <c r="V600" s="123" t="n"/>
      <c r="Y600" s="117" t="n"/>
      <c r="Z600" s="117" t="n"/>
      <c r="AA600" s="118" t="n"/>
      <c r="AB600" s="119" t="n"/>
      <c r="AC600" s="120" t="n"/>
      <c r="AD600" s="120" t="n"/>
      <c r="AE600" s="120" t="n"/>
    </row>
    <row r="601" ht="15" customHeight="1" s="72">
      <c r="A601" s="117" t="n"/>
      <c r="B601" s="117" t="n"/>
      <c r="C601" s="118" t="n"/>
      <c r="D601" s="118" t="n"/>
      <c r="E601" s="118" t="n"/>
      <c r="F601" s="123" t="n"/>
      <c r="G601" s="119" t="n"/>
      <c r="H601" s="123" t="n"/>
      <c r="I601" s="123" t="n"/>
      <c r="J601" s="125" t="n"/>
      <c r="K601" s="120" t="n"/>
      <c r="N601" s="117" t="n"/>
      <c r="O601" s="117" t="n"/>
      <c r="P601" s="117" t="n"/>
      <c r="Q601" s="117" t="n"/>
      <c r="R601" s="118" t="n"/>
      <c r="S601" s="119" t="n"/>
      <c r="T601" s="120" t="n"/>
      <c r="U601" s="123" t="n"/>
      <c r="V601" s="123" t="n"/>
      <c r="Y601" s="117" t="n"/>
      <c r="Z601" s="117" t="n"/>
      <c r="AA601" s="118" t="n"/>
      <c r="AB601" s="119" t="n"/>
      <c r="AC601" s="120" t="n"/>
      <c r="AD601" s="120" t="n"/>
      <c r="AE601" s="120" t="n"/>
    </row>
    <row r="602" ht="15" customHeight="1" s="72">
      <c r="A602" s="117" t="n"/>
      <c r="B602" s="117" t="n"/>
      <c r="C602" s="118" t="n"/>
      <c r="D602" s="118" t="n"/>
      <c r="E602" s="118" t="n"/>
      <c r="F602" s="123" t="n"/>
      <c r="G602" s="119" t="n"/>
      <c r="H602" s="123" t="n"/>
      <c r="I602" s="123" t="n"/>
      <c r="J602" s="125" t="n"/>
      <c r="K602" s="120" t="n"/>
      <c r="N602" s="117" t="n"/>
      <c r="O602" s="117" t="n"/>
      <c r="P602" s="117" t="n"/>
      <c r="Q602" s="117" t="n"/>
      <c r="R602" s="118" t="n"/>
      <c r="S602" s="119" t="n"/>
      <c r="T602" s="120" t="n"/>
      <c r="U602" s="123" t="n"/>
      <c r="V602" s="123" t="n"/>
      <c r="Y602" s="117" t="n"/>
      <c r="Z602" s="117" t="n"/>
      <c r="AA602" s="118" t="n"/>
      <c r="AB602" s="119" t="n"/>
      <c r="AC602" s="120" t="n"/>
      <c r="AD602" s="120" t="n"/>
      <c r="AE602" s="120" t="n"/>
    </row>
    <row r="603" ht="15" customHeight="1" s="72">
      <c r="A603" s="117" t="n"/>
      <c r="B603" s="117" t="n"/>
      <c r="C603" s="118" t="n"/>
      <c r="D603" s="118" t="n"/>
      <c r="E603" s="118" t="n"/>
      <c r="F603" s="123" t="n"/>
      <c r="G603" s="119" t="n"/>
      <c r="H603" s="123" t="n"/>
      <c r="I603" s="123" t="n"/>
      <c r="J603" s="125" t="n"/>
      <c r="K603" s="120" t="n"/>
      <c r="N603" s="117" t="n"/>
      <c r="O603" s="117" t="n"/>
      <c r="P603" s="117" t="n"/>
      <c r="Q603" s="117" t="n"/>
      <c r="R603" s="118" t="n"/>
      <c r="S603" s="119" t="n"/>
      <c r="T603" s="120" t="n"/>
      <c r="U603" s="123" t="n"/>
      <c r="V603" s="123" t="n"/>
      <c r="Y603" s="117" t="n"/>
      <c r="Z603" s="117" t="n"/>
      <c r="AA603" s="118" t="n"/>
      <c r="AB603" s="119" t="n"/>
      <c r="AC603" s="120" t="n"/>
      <c r="AD603" s="120" t="n"/>
      <c r="AE603" s="120" t="n"/>
    </row>
    <row r="604" ht="15" customHeight="1" s="72">
      <c r="A604" s="117" t="n"/>
      <c r="B604" s="117" t="n"/>
      <c r="C604" s="118" t="n"/>
      <c r="D604" s="118" t="n"/>
      <c r="E604" s="118" t="n"/>
      <c r="F604" s="123" t="n"/>
      <c r="G604" s="119" t="n"/>
      <c r="H604" s="123" t="n"/>
      <c r="I604" s="123" t="n"/>
      <c r="J604" s="125" t="n"/>
      <c r="K604" s="120" t="n"/>
      <c r="N604" s="117" t="n"/>
      <c r="O604" s="117" t="n"/>
      <c r="P604" s="117" t="n"/>
      <c r="Q604" s="117" t="n"/>
      <c r="R604" s="118" t="n"/>
      <c r="S604" s="119" t="n"/>
      <c r="T604" s="120" t="n"/>
      <c r="U604" s="123" t="n"/>
      <c r="V604" s="123" t="n"/>
      <c r="Y604" s="117" t="n"/>
      <c r="Z604" s="117" t="n"/>
      <c r="AA604" s="118" t="n"/>
      <c r="AB604" s="119" t="n"/>
      <c r="AC604" s="120" t="n"/>
      <c r="AD604" s="120" t="n"/>
      <c r="AE604" s="120" t="n"/>
    </row>
    <row r="605" ht="15" customHeight="1" s="72">
      <c r="A605" s="117" t="n"/>
      <c r="B605" s="117" t="n"/>
      <c r="C605" s="118" t="n"/>
      <c r="D605" s="118" t="n"/>
      <c r="E605" s="118" t="n"/>
      <c r="F605" s="123" t="n"/>
      <c r="G605" s="119" t="n"/>
      <c r="H605" s="123" t="n"/>
      <c r="I605" s="123" t="n"/>
      <c r="J605" s="125" t="n"/>
      <c r="K605" s="120" t="n"/>
      <c r="N605" s="117" t="n"/>
      <c r="O605" s="117" t="n"/>
      <c r="P605" s="117" t="n"/>
      <c r="Q605" s="117" t="n"/>
      <c r="R605" s="118" t="n"/>
      <c r="S605" s="119" t="n"/>
      <c r="T605" s="120" t="n"/>
      <c r="U605" s="123" t="n"/>
      <c r="V605" s="123" t="n"/>
      <c r="Y605" s="117" t="n"/>
      <c r="Z605" s="117" t="n"/>
      <c r="AA605" s="118" t="n"/>
      <c r="AB605" s="119" t="n"/>
      <c r="AC605" s="120" t="n"/>
      <c r="AD605" s="120" t="n"/>
      <c r="AE605" s="120" t="n"/>
    </row>
    <row r="606" ht="15" customHeight="1" s="72">
      <c r="A606" s="117" t="n"/>
      <c r="B606" s="117" t="n"/>
      <c r="C606" s="118" t="n"/>
      <c r="D606" s="118" t="n"/>
      <c r="E606" s="118" t="n"/>
      <c r="F606" s="123" t="n"/>
      <c r="G606" s="119" t="n"/>
      <c r="H606" s="123" t="n"/>
      <c r="I606" s="123" t="n"/>
      <c r="J606" s="125" t="n"/>
      <c r="K606" s="120" t="n"/>
      <c r="N606" s="117" t="n"/>
      <c r="O606" s="117" t="n"/>
      <c r="P606" s="117" t="n"/>
      <c r="Q606" s="117" t="n"/>
      <c r="R606" s="118" t="n"/>
      <c r="S606" s="119" t="n"/>
      <c r="T606" s="120" t="n"/>
      <c r="U606" s="123" t="n"/>
      <c r="V606" s="123" t="n"/>
      <c r="Y606" s="117" t="n"/>
      <c r="Z606" s="117" t="n"/>
      <c r="AA606" s="118" t="n"/>
      <c r="AB606" s="119" t="n"/>
      <c r="AC606" s="120" t="n"/>
      <c r="AD606" s="120" t="n"/>
      <c r="AE606" s="120" t="n"/>
    </row>
    <row r="607" ht="15" customHeight="1" s="72">
      <c r="A607" s="117" t="n"/>
      <c r="B607" s="117" t="n"/>
      <c r="C607" s="118" t="n"/>
      <c r="D607" s="118" t="n"/>
      <c r="E607" s="118" t="n"/>
      <c r="F607" s="123" t="n"/>
      <c r="G607" s="119" t="n"/>
      <c r="H607" s="123" t="n"/>
      <c r="I607" s="123" t="n"/>
      <c r="J607" s="125" t="n"/>
      <c r="K607" s="120" t="n"/>
      <c r="N607" s="117" t="n"/>
      <c r="O607" s="117" t="n"/>
      <c r="P607" s="117" t="n"/>
      <c r="Q607" s="117" t="n"/>
      <c r="R607" s="118" t="n"/>
      <c r="S607" s="119" t="n"/>
      <c r="T607" s="120" t="n"/>
      <c r="U607" s="123" t="n"/>
      <c r="V607" s="123" t="n"/>
      <c r="Y607" s="117" t="n"/>
      <c r="Z607" s="117" t="n"/>
      <c r="AA607" s="118" t="n"/>
      <c r="AB607" s="119" t="n"/>
      <c r="AC607" s="120" t="n"/>
      <c r="AD607" s="120" t="n"/>
      <c r="AE607" s="120" t="n"/>
    </row>
    <row r="608" ht="15" customHeight="1" s="72">
      <c r="A608" s="117" t="n"/>
      <c r="B608" s="117" t="n"/>
      <c r="C608" s="118" t="n"/>
      <c r="D608" s="118" t="n"/>
      <c r="E608" s="118" t="n"/>
      <c r="F608" s="123" t="n"/>
      <c r="G608" s="119" t="n"/>
      <c r="H608" s="123" t="n"/>
      <c r="I608" s="123" t="n"/>
      <c r="J608" s="125" t="n"/>
      <c r="K608" s="120" t="n"/>
      <c r="N608" s="117" t="n"/>
      <c r="O608" s="117" t="n"/>
      <c r="P608" s="117" t="n"/>
      <c r="Q608" s="117" t="n"/>
      <c r="R608" s="118" t="n"/>
      <c r="S608" s="119" t="n"/>
      <c r="T608" s="120" t="n"/>
      <c r="U608" s="123" t="n"/>
      <c r="V608" s="123" t="n"/>
      <c r="Y608" s="117" t="n"/>
      <c r="Z608" s="117" t="n"/>
      <c r="AA608" s="118" t="n"/>
      <c r="AB608" s="119" t="n"/>
      <c r="AC608" s="120" t="n"/>
      <c r="AD608" s="120" t="n"/>
      <c r="AE608" s="120" t="n"/>
    </row>
    <row r="609" ht="15" customHeight="1" s="72">
      <c r="A609" s="117" t="n"/>
      <c r="B609" s="117" t="n"/>
      <c r="C609" s="118" t="n"/>
      <c r="D609" s="118" t="n"/>
      <c r="E609" s="118" t="n"/>
      <c r="F609" s="123" t="n"/>
      <c r="G609" s="119" t="n"/>
      <c r="H609" s="123" t="n"/>
      <c r="I609" s="123" t="n"/>
      <c r="J609" s="125" t="n"/>
      <c r="K609" s="120" t="n"/>
      <c r="N609" s="117" t="n"/>
      <c r="O609" s="117" t="n"/>
      <c r="P609" s="117" t="n"/>
      <c r="Q609" s="117" t="n"/>
      <c r="R609" s="118" t="n"/>
      <c r="S609" s="119" t="n"/>
      <c r="T609" s="120" t="n"/>
      <c r="U609" s="123" t="n"/>
      <c r="V609" s="123" t="n"/>
      <c r="Y609" s="117" t="n"/>
      <c r="Z609" s="117" t="n"/>
      <c r="AA609" s="118" t="n"/>
      <c r="AB609" s="119" t="n"/>
      <c r="AC609" s="120" t="n"/>
      <c r="AD609" s="120" t="n"/>
      <c r="AE609" s="120" t="n"/>
    </row>
    <row r="610" ht="15" customHeight="1" s="72">
      <c r="A610" s="117" t="n"/>
      <c r="B610" s="117" t="n"/>
      <c r="C610" s="118" t="n"/>
      <c r="D610" s="118" t="n"/>
      <c r="E610" s="118" t="n"/>
      <c r="F610" s="123" t="n"/>
      <c r="G610" s="119" t="n"/>
      <c r="H610" s="123" t="n"/>
      <c r="I610" s="123" t="n"/>
      <c r="J610" s="125" t="n"/>
      <c r="K610" s="120" t="n"/>
      <c r="N610" s="117" t="n"/>
      <c r="O610" s="117" t="n"/>
      <c r="P610" s="117" t="n"/>
      <c r="Q610" s="117" t="n"/>
      <c r="R610" s="118" t="n"/>
      <c r="S610" s="119" t="n"/>
      <c r="T610" s="120" t="n"/>
      <c r="U610" s="123" t="n"/>
      <c r="V610" s="123" t="n"/>
      <c r="Y610" s="117" t="n"/>
      <c r="Z610" s="117" t="n"/>
      <c r="AA610" s="118" t="n"/>
      <c r="AB610" s="119" t="n"/>
      <c r="AC610" s="120" t="n"/>
      <c r="AD610" s="120" t="n"/>
      <c r="AE610" s="120" t="n"/>
    </row>
    <row r="611" ht="15" customHeight="1" s="72">
      <c r="A611" s="117" t="n"/>
      <c r="B611" s="117" t="n"/>
      <c r="C611" s="118" t="n"/>
      <c r="D611" s="118" t="n"/>
      <c r="E611" s="118" t="n"/>
      <c r="F611" s="123" t="n"/>
      <c r="G611" s="119" t="n"/>
      <c r="H611" s="123" t="n"/>
      <c r="I611" s="123" t="n"/>
      <c r="J611" s="125" t="n"/>
      <c r="K611" s="120" t="n"/>
      <c r="N611" s="117" t="n"/>
      <c r="O611" s="117" t="n"/>
      <c r="P611" s="117" t="n"/>
      <c r="Q611" s="117" t="n"/>
      <c r="R611" s="118" t="n"/>
      <c r="S611" s="119" t="n"/>
      <c r="T611" s="120" t="n"/>
      <c r="U611" s="123" t="n"/>
      <c r="V611" s="123" t="n"/>
      <c r="Y611" s="117" t="n"/>
      <c r="Z611" s="117" t="n"/>
      <c r="AA611" s="118" t="n"/>
      <c r="AB611" s="119" t="n"/>
      <c r="AC611" s="120" t="n"/>
      <c r="AD611" s="120" t="n"/>
      <c r="AE611" s="120" t="n"/>
    </row>
    <row r="612" ht="15" customHeight="1" s="72">
      <c r="A612" s="117" t="n"/>
      <c r="B612" s="117" t="n"/>
      <c r="C612" s="118" t="n"/>
      <c r="D612" s="118" t="n"/>
      <c r="E612" s="118" t="n"/>
      <c r="F612" s="123" t="n"/>
      <c r="G612" s="119" t="n"/>
      <c r="H612" s="123" t="n"/>
      <c r="I612" s="123" t="n"/>
      <c r="J612" s="125" t="n"/>
      <c r="K612" s="120" t="n"/>
      <c r="N612" s="117" t="n"/>
      <c r="O612" s="117" t="n"/>
      <c r="P612" s="117" t="n"/>
      <c r="Q612" s="117" t="n"/>
      <c r="R612" s="118" t="n"/>
      <c r="S612" s="119" t="n"/>
      <c r="T612" s="120" t="n"/>
      <c r="U612" s="123" t="n"/>
      <c r="V612" s="123" t="n"/>
      <c r="Y612" s="117" t="n"/>
      <c r="Z612" s="117" t="n"/>
      <c r="AA612" s="118" t="n"/>
      <c r="AB612" s="119" t="n"/>
      <c r="AC612" s="120" t="n"/>
      <c r="AD612" s="120" t="n"/>
      <c r="AE612" s="120" t="n"/>
    </row>
    <row r="613" ht="15" customHeight="1" s="72">
      <c r="A613" s="117" t="n"/>
      <c r="B613" s="117" t="n"/>
      <c r="C613" s="118" t="n"/>
      <c r="D613" s="118" t="n"/>
      <c r="E613" s="118" t="n"/>
      <c r="F613" s="123" t="n"/>
      <c r="G613" s="119" t="n"/>
      <c r="H613" s="123" t="n"/>
      <c r="I613" s="123" t="n"/>
      <c r="J613" s="125" t="n"/>
      <c r="K613" s="120" t="n"/>
      <c r="N613" s="117" t="n"/>
      <c r="O613" s="117" t="n"/>
      <c r="P613" s="117" t="n"/>
      <c r="Q613" s="117" t="n"/>
      <c r="R613" s="118" t="n"/>
      <c r="S613" s="119" t="n"/>
      <c r="T613" s="120" t="n"/>
      <c r="U613" s="123" t="n"/>
      <c r="V613" s="123" t="n"/>
      <c r="Y613" s="117" t="n"/>
      <c r="Z613" s="117" t="n"/>
      <c r="AA613" s="118" t="n"/>
      <c r="AB613" s="119" t="n"/>
      <c r="AC613" s="120" t="n"/>
      <c r="AD613" s="120" t="n"/>
      <c r="AE613" s="120" t="n"/>
    </row>
    <row r="614" ht="15" customHeight="1" s="72">
      <c r="A614" s="117" t="n"/>
      <c r="B614" s="117" t="n"/>
      <c r="C614" s="118" t="n"/>
      <c r="D614" s="118" t="n"/>
      <c r="E614" s="118" t="n"/>
      <c r="F614" s="123" t="n"/>
      <c r="G614" s="119" t="n"/>
      <c r="H614" s="123" t="n"/>
      <c r="I614" s="123" t="n"/>
      <c r="J614" s="125" t="n"/>
      <c r="K614" s="120" t="n"/>
      <c r="N614" s="117" t="n"/>
      <c r="O614" s="117" t="n"/>
      <c r="P614" s="117" t="n"/>
      <c r="Q614" s="117" t="n"/>
      <c r="R614" s="118" t="n"/>
      <c r="S614" s="119" t="n"/>
      <c r="T614" s="120" t="n"/>
      <c r="U614" s="123" t="n"/>
      <c r="V614" s="123" t="n"/>
      <c r="Y614" s="117" t="n"/>
      <c r="Z614" s="117" t="n"/>
      <c r="AA614" s="118" t="n"/>
      <c r="AB614" s="119" t="n"/>
      <c r="AC614" s="120" t="n"/>
      <c r="AD614" s="120" t="n"/>
      <c r="AE614" s="120" t="n"/>
    </row>
    <row r="615" ht="15" customHeight="1" s="72">
      <c r="A615" s="117" t="n"/>
      <c r="B615" s="117" t="n"/>
      <c r="C615" s="118" t="n"/>
      <c r="D615" s="118" t="n"/>
      <c r="E615" s="118" t="n"/>
      <c r="F615" s="123" t="n"/>
      <c r="G615" s="119" t="n"/>
      <c r="H615" s="123" t="n"/>
      <c r="I615" s="123" t="n"/>
      <c r="J615" s="125" t="n"/>
      <c r="K615" s="120" t="n"/>
      <c r="N615" s="117" t="n"/>
      <c r="O615" s="117" t="n"/>
      <c r="P615" s="117" t="n"/>
      <c r="Q615" s="117" t="n"/>
      <c r="R615" s="118" t="n"/>
      <c r="S615" s="119" t="n"/>
      <c r="T615" s="120" t="n"/>
      <c r="U615" s="123" t="n"/>
      <c r="V615" s="123" t="n"/>
      <c r="Y615" s="117" t="n"/>
      <c r="Z615" s="117" t="n"/>
      <c r="AA615" s="118" t="n"/>
      <c r="AB615" s="119" t="n"/>
      <c r="AC615" s="120" t="n"/>
      <c r="AD615" s="120" t="n"/>
      <c r="AE615" s="120" t="n"/>
    </row>
    <row r="616" ht="15" customHeight="1" s="72">
      <c r="A616" s="117" t="n"/>
      <c r="B616" s="117" t="n"/>
      <c r="C616" s="118" t="n"/>
      <c r="D616" s="118" t="n"/>
      <c r="E616" s="118" t="n"/>
      <c r="F616" s="123" t="n"/>
      <c r="G616" s="119" t="n"/>
      <c r="H616" s="123" t="n"/>
      <c r="I616" s="123" t="n"/>
      <c r="J616" s="125" t="n"/>
      <c r="K616" s="120" t="n"/>
      <c r="N616" s="117" t="n"/>
      <c r="O616" s="117" t="n"/>
      <c r="P616" s="117" t="n"/>
      <c r="Q616" s="117" t="n"/>
      <c r="R616" s="118" t="n"/>
      <c r="S616" s="119" t="n"/>
      <c r="T616" s="120" t="n"/>
      <c r="U616" s="123" t="n"/>
      <c r="V616" s="123" t="n"/>
      <c r="Y616" s="117" t="n"/>
      <c r="Z616" s="117" t="n"/>
      <c r="AA616" s="118" t="n"/>
      <c r="AB616" s="119" t="n"/>
      <c r="AC616" s="120" t="n"/>
      <c r="AD616" s="120" t="n"/>
      <c r="AE616" s="120" t="n"/>
    </row>
    <row r="617" ht="15" customHeight="1" s="72">
      <c r="A617" s="117" t="n"/>
      <c r="B617" s="117" t="n"/>
      <c r="C617" s="118" t="n"/>
      <c r="D617" s="118" t="n"/>
      <c r="E617" s="118" t="n"/>
      <c r="F617" s="123" t="n"/>
      <c r="G617" s="119" t="n"/>
      <c r="H617" s="123" t="n"/>
      <c r="I617" s="123" t="n"/>
      <c r="J617" s="125" t="n"/>
      <c r="K617" s="120" t="n"/>
      <c r="N617" s="117" t="n"/>
      <c r="O617" s="117" t="n"/>
      <c r="P617" s="117" t="n"/>
      <c r="Q617" s="117" t="n"/>
      <c r="R617" s="118" t="n"/>
      <c r="S617" s="119" t="n"/>
      <c r="T617" s="120" t="n"/>
      <c r="U617" s="123" t="n"/>
      <c r="V617" s="123" t="n"/>
      <c r="Y617" s="117" t="n"/>
      <c r="Z617" s="117" t="n"/>
      <c r="AA617" s="118" t="n"/>
      <c r="AB617" s="119" t="n"/>
      <c r="AC617" s="120" t="n"/>
      <c r="AD617" s="120" t="n"/>
      <c r="AE617" s="120" t="n"/>
    </row>
    <row r="618" ht="15" customHeight="1" s="72">
      <c r="A618" s="117" t="n"/>
      <c r="B618" s="117" t="n"/>
      <c r="C618" s="118" t="n"/>
      <c r="D618" s="118" t="n"/>
      <c r="E618" s="118" t="n"/>
      <c r="F618" s="123" t="n"/>
      <c r="G618" s="119" t="n"/>
      <c r="H618" s="123" t="n"/>
      <c r="I618" s="123" t="n"/>
      <c r="J618" s="125" t="n"/>
      <c r="K618" s="120" t="n"/>
      <c r="N618" s="117" t="n"/>
      <c r="O618" s="117" t="n"/>
      <c r="P618" s="117" t="n"/>
      <c r="Q618" s="117" t="n"/>
      <c r="R618" s="118" t="n"/>
      <c r="S618" s="119" t="n"/>
      <c r="T618" s="120" t="n"/>
      <c r="U618" s="123" t="n"/>
      <c r="V618" s="123" t="n"/>
      <c r="Y618" s="117" t="n"/>
      <c r="Z618" s="117" t="n"/>
      <c r="AA618" s="118" t="n"/>
      <c r="AB618" s="119" t="n"/>
      <c r="AC618" s="120" t="n"/>
      <c r="AD618" s="120" t="n"/>
      <c r="AE618" s="120" t="n"/>
    </row>
    <row r="619" ht="15" customHeight="1" s="72">
      <c r="A619" s="117" t="n"/>
      <c r="B619" s="117" t="n"/>
      <c r="C619" s="118" t="n"/>
      <c r="D619" s="118" t="n"/>
      <c r="E619" s="118" t="n"/>
      <c r="F619" s="123" t="n"/>
      <c r="G619" s="119" t="n"/>
      <c r="H619" s="123" t="n"/>
      <c r="I619" s="123" t="n"/>
      <c r="J619" s="125" t="n"/>
      <c r="K619" s="120" t="n"/>
      <c r="N619" s="117" t="n"/>
      <c r="O619" s="117" t="n"/>
      <c r="P619" s="117" t="n"/>
      <c r="Q619" s="117" t="n"/>
      <c r="R619" s="118" t="n"/>
      <c r="S619" s="119" t="n"/>
      <c r="T619" s="120" t="n"/>
      <c r="U619" s="123" t="n"/>
      <c r="V619" s="123" t="n"/>
      <c r="Y619" s="117" t="n"/>
      <c r="Z619" s="117" t="n"/>
      <c r="AA619" s="118" t="n"/>
      <c r="AB619" s="119" t="n"/>
      <c r="AC619" s="120" t="n"/>
      <c r="AD619" s="120" t="n"/>
      <c r="AE619" s="120" t="n"/>
    </row>
    <row r="620" ht="15" customHeight="1" s="72">
      <c r="A620" s="117" t="n"/>
      <c r="B620" s="117" t="n"/>
      <c r="C620" s="118" t="n"/>
      <c r="D620" s="118" t="n"/>
      <c r="E620" s="118" t="n"/>
      <c r="F620" s="123" t="n"/>
      <c r="G620" s="119" t="n"/>
      <c r="H620" s="123" t="n"/>
      <c r="I620" s="123" t="n"/>
      <c r="J620" s="125" t="n"/>
      <c r="K620" s="120" t="n"/>
      <c r="N620" s="117" t="n"/>
      <c r="O620" s="117" t="n"/>
      <c r="P620" s="117" t="n"/>
      <c r="Q620" s="117" t="n"/>
      <c r="R620" s="118" t="n"/>
      <c r="S620" s="119" t="n"/>
      <c r="T620" s="120" t="n"/>
      <c r="U620" s="123" t="n"/>
      <c r="V620" s="123" t="n"/>
      <c r="Y620" s="117" t="n"/>
      <c r="Z620" s="117" t="n"/>
      <c r="AA620" s="118" t="n"/>
      <c r="AB620" s="119" t="n"/>
      <c r="AC620" s="120" t="n"/>
      <c r="AD620" s="120" t="n"/>
      <c r="AE620" s="120" t="n"/>
    </row>
    <row r="621" ht="15" customHeight="1" s="72">
      <c r="A621" s="117" t="n"/>
      <c r="B621" s="117" t="n"/>
      <c r="C621" s="118" t="n"/>
      <c r="D621" s="118" t="n"/>
      <c r="E621" s="118" t="n"/>
      <c r="F621" s="123" t="n"/>
      <c r="G621" s="119" t="n"/>
      <c r="H621" s="123" t="n"/>
      <c r="I621" s="123" t="n"/>
      <c r="J621" s="125" t="n"/>
      <c r="K621" s="120" t="n"/>
      <c r="N621" s="117" t="n"/>
      <c r="O621" s="117" t="n"/>
      <c r="P621" s="117" t="n"/>
      <c r="Q621" s="117" t="n"/>
      <c r="R621" s="118" t="n"/>
      <c r="S621" s="119" t="n"/>
      <c r="T621" s="120" t="n"/>
      <c r="U621" s="123" t="n"/>
      <c r="V621" s="123" t="n"/>
      <c r="Y621" s="117" t="n"/>
      <c r="Z621" s="117" t="n"/>
      <c r="AA621" s="118" t="n"/>
      <c r="AB621" s="119" t="n"/>
      <c r="AC621" s="120" t="n"/>
      <c r="AD621" s="120" t="n"/>
      <c r="AE621" s="120" t="n"/>
    </row>
    <row r="622" ht="15" customHeight="1" s="72">
      <c r="A622" s="117" t="n"/>
      <c r="B622" s="117" t="n"/>
      <c r="C622" s="118" t="n"/>
      <c r="D622" s="118" t="n"/>
      <c r="E622" s="118" t="n"/>
      <c r="F622" s="123" t="n"/>
      <c r="G622" s="119" t="n"/>
      <c r="H622" s="123" t="n"/>
      <c r="I622" s="123" t="n"/>
      <c r="J622" s="125" t="n"/>
      <c r="K622" s="120" t="n"/>
      <c r="N622" s="117" t="n"/>
      <c r="O622" s="117" t="n"/>
      <c r="P622" s="117" t="n"/>
      <c r="Q622" s="117" t="n"/>
      <c r="R622" s="118" t="n"/>
      <c r="S622" s="119" t="n"/>
      <c r="T622" s="120" t="n"/>
      <c r="U622" s="123" t="n"/>
      <c r="V622" s="123" t="n"/>
      <c r="Y622" s="117" t="n"/>
      <c r="Z622" s="117" t="n"/>
      <c r="AA622" s="118" t="n"/>
      <c r="AB622" s="119" t="n"/>
      <c r="AC622" s="120" t="n"/>
      <c r="AD622" s="120" t="n"/>
      <c r="AE622" s="120" t="n"/>
    </row>
    <row r="623" ht="15" customHeight="1" s="72">
      <c r="A623" s="117" t="n"/>
      <c r="B623" s="117" t="n"/>
      <c r="C623" s="118" t="n"/>
      <c r="D623" s="118" t="n"/>
      <c r="E623" s="118" t="n"/>
      <c r="F623" s="123" t="n"/>
      <c r="G623" s="119" t="n"/>
      <c r="H623" s="123" t="n"/>
      <c r="I623" s="123" t="n"/>
      <c r="J623" s="125" t="n"/>
      <c r="K623" s="120" t="n"/>
      <c r="N623" s="117" t="n"/>
      <c r="O623" s="117" t="n"/>
      <c r="P623" s="117" t="n"/>
      <c r="Q623" s="117" t="n"/>
      <c r="R623" s="118" t="n"/>
      <c r="S623" s="119" t="n"/>
      <c r="T623" s="120" t="n"/>
      <c r="U623" s="123" t="n"/>
      <c r="V623" s="123" t="n"/>
      <c r="Y623" s="117" t="n"/>
      <c r="Z623" s="117" t="n"/>
      <c r="AA623" s="118" t="n"/>
      <c r="AB623" s="119" t="n"/>
      <c r="AC623" s="120" t="n"/>
      <c r="AD623" s="120" t="n"/>
      <c r="AE623" s="120" t="n"/>
    </row>
    <row r="624" ht="15" customHeight="1" s="72">
      <c r="A624" s="117" t="n"/>
      <c r="B624" s="117" t="n"/>
      <c r="C624" s="118" t="n"/>
      <c r="D624" s="118" t="n"/>
      <c r="E624" s="118" t="n"/>
      <c r="F624" s="123" t="n"/>
      <c r="G624" s="119" t="n"/>
      <c r="H624" s="123" t="n"/>
      <c r="I624" s="123" t="n"/>
      <c r="J624" s="125" t="n"/>
      <c r="K624" s="120" t="n"/>
      <c r="N624" s="117" t="n"/>
      <c r="O624" s="117" t="n"/>
      <c r="P624" s="117" t="n"/>
      <c r="Q624" s="117" t="n"/>
      <c r="R624" s="118" t="n"/>
      <c r="S624" s="119" t="n"/>
      <c r="T624" s="120" t="n"/>
      <c r="U624" s="123" t="n"/>
      <c r="V624" s="123" t="n"/>
      <c r="Y624" s="117" t="n"/>
      <c r="Z624" s="117" t="n"/>
      <c r="AA624" s="118" t="n"/>
      <c r="AB624" s="119" t="n"/>
      <c r="AC624" s="120" t="n"/>
      <c r="AD624" s="120" t="n"/>
      <c r="AE624" s="120" t="n"/>
    </row>
    <row r="625" ht="15" customHeight="1" s="72">
      <c r="A625" s="117" t="n"/>
      <c r="B625" s="117" t="n"/>
      <c r="C625" s="118" t="n"/>
      <c r="D625" s="118" t="n"/>
      <c r="E625" s="118" t="n"/>
      <c r="F625" s="123" t="n"/>
      <c r="G625" s="119" t="n"/>
      <c r="H625" s="123" t="n"/>
      <c r="I625" s="123" t="n"/>
      <c r="J625" s="125" t="n"/>
      <c r="K625" s="120" t="n"/>
      <c r="N625" s="117" t="n"/>
      <c r="O625" s="117" t="n"/>
      <c r="P625" s="117" t="n"/>
      <c r="Q625" s="117" t="n"/>
      <c r="R625" s="118" t="n"/>
      <c r="S625" s="119" t="n"/>
      <c r="T625" s="120" t="n"/>
      <c r="U625" s="123" t="n"/>
      <c r="V625" s="123" t="n"/>
      <c r="Y625" s="117" t="n"/>
      <c r="Z625" s="117" t="n"/>
      <c r="AA625" s="118" t="n"/>
      <c r="AB625" s="119" t="n"/>
      <c r="AC625" s="120" t="n"/>
      <c r="AD625" s="120" t="n"/>
      <c r="AE625" s="120" t="n"/>
    </row>
    <row r="626" ht="15" customHeight="1" s="72">
      <c r="A626" s="117" t="n"/>
      <c r="B626" s="117" t="n"/>
      <c r="C626" s="118" t="n"/>
      <c r="D626" s="118" t="n"/>
      <c r="E626" s="118" t="n"/>
      <c r="F626" s="123" t="n"/>
      <c r="G626" s="119" t="n"/>
      <c r="H626" s="123" t="n"/>
      <c r="I626" s="123" t="n"/>
      <c r="J626" s="125" t="n"/>
      <c r="K626" s="120" t="n"/>
      <c r="N626" s="117" t="n"/>
      <c r="O626" s="117" t="n"/>
      <c r="P626" s="117" t="n"/>
      <c r="Q626" s="117" t="n"/>
      <c r="R626" s="118" t="n"/>
      <c r="S626" s="119" t="n"/>
      <c r="T626" s="120" t="n"/>
      <c r="U626" s="123" t="n"/>
      <c r="V626" s="123" t="n"/>
      <c r="Y626" s="117" t="n"/>
      <c r="Z626" s="117" t="n"/>
      <c r="AA626" s="118" t="n"/>
      <c r="AB626" s="119" t="n"/>
      <c r="AC626" s="120" t="n"/>
      <c r="AD626" s="120" t="n"/>
      <c r="AE626" s="120" t="n"/>
    </row>
    <row r="627" ht="15" customHeight="1" s="72">
      <c r="A627" s="117" t="n"/>
      <c r="B627" s="117" t="n"/>
      <c r="C627" s="118" t="n"/>
      <c r="D627" s="118" t="n"/>
      <c r="E627" s="118" t="n"/>
      <c r="F627" s="123" t="n"/>
      <c r="G627" s="119" t="n"/>
      <c r="H627" s="123" t="n"/>
      <c r="I627" s="123" t="n"/>
      <c r="J627" s="125" t="n"/>
      <c r="K627" s="120" t="n"/>
      <c r="N627" s="117" t="n"/>
      <c r="O627" s="117" t="n"/>
      <c r="P627" s="117" t="n"/>
      <c r="Q627" s="117" t="n"/>
      <c r="R627" s="118" t="n"/>
      <c r="S627" s="119" t="n"/>
      <c r="T627" s="120" t="n"/>
      <c r="U627" s="123" t="n"/>
      <c r="V627" s="123" t="n"/>
      <c r="Y627" s="117" t="n"/>
      <c r="Z627" s="117" t="n"/>
      <c r="AA627" s="118" t="n"/>
      <c r="AB627" s="119" t="n"/>
      <c r="AC627" s="120" t="n"/>
      <c r="AD627" s="120" t="n"/>
      <c r="AE627" s="120" t="n"/>
    </row>
    <row r="628" ht="15" customHeight="1" s="72">
      <c r="A628" s="117" t="n"/>
      <c r="B628" s="117" t="n"/>
      <c r="C628" s="118" t="n"/>
      <c r="D628" s="118" t="n"/>
      <c r="E628" s="118" t="n"/>
      <c r="F628" s="123" t="n"/>
      <c r="G628" s="119" t="n"/>
      <c r="H628" s="123" t="n"/>
      <c r="I628" s="123" t="n"/>
      <c r="J628" s="125" t="n"/>
      <c r="K628" s="120" t="n"/>
      <c r="N628" s="117" t="n"/>
      <c r="O628" s="117" t="n"/>
      <c r="P628" s="117" t="n"/>
      <c r="Q628" s="117" t="n"/>
      <c r="R628" s="118" t="n"/>
      <c r="S628" s="119" t="n"/>
      <c r="T628" s="120" t="n"/>
      <c r="U628" s="123" t="n"/>
      <c r="V628" s="123" t="n"/>
      <c r="Y628" s="117" t="n"/>
      <c r="Z628" s="117" t="n"/>
      <c r="AA628" s="118" t="n"/>
      <c r="AB628" s="119" t="n"/>
      <c r="AC628" s="120" t="n"/>
      <c r="AD628" s="120" t="n"/>
      <c r="AE628" s="120" t="n"/>
    </row>
    <row r="629" ht="15" customHeight="1" s="72">
      <c r="A629" s="117" t="n"/>
      <c r="B629" s="117" t="n"/>
      <c r="C629" s="118" t="n"/>
      <c r="D629" s="118" t="n"/>
      <c r="E629" s="118" t="n"/>
      <c r="F629" s="123" t="n"/>
      <c r="G629" s="119" t="n"/>
      <c r="H629" s="123" t="n"/>
      <c r="I629" s="123" t="n"/>
      <c r="J629" s="125" t="n"/>
      <c r="K629" s="120" t="n"/>
      <c r="N629" s="117" t="n"/>
      <c r="O629" s="117" t="n"/>
      <c r="P629" s="117" t="n"/>
      <c r="Q629" s="117" t="n"/>
      <c r="R629" s="118" t="n"/>
      <c r="S629" s="119" t="n"/>
      <c r="T629" s="120" t="n"/>
      <c r="U629" s="123" t="n"/>
      <c r="V629" s="123" t="n"/>
      <c r="Y629" s="117" t="n"/>
      <c r="Z629" s="117" t="n"/>
      <c r="AA629" s="118" t="n"/>
      <c r="AB629" s="119" t="n"/>
      <c r="AC629" s="120" t="n"/>
      <c r="AD629" s="120" t="n"/>
      <c r="AE629" s="120" t="n"/>
    </row>
    <row r="630" ht="15" customHeight="1" s="72">
      <c r="A630" s="117" t="n"/>
      <c r="B630" s="117" t="n"/>
      <c r="C630" s="118" t="n"/>
      <c r="D630" s="118" t="n"/>
      <c r="E630" s="118" t="n"/>
      <c r="F630" s="123" t="n"/>
      <c r="G630" s="119" t="n"/>
      <c r="H630" s="123" t="n"/>
      <c r="I630" s="123" t="n"/>
      <c r="J630" s="125" t="n"/>
      <c r="K630" s="120" t="n"/>
      <c r="N630" s="117" t="n"/>
      <c r="O630" s="117" t="n"/>
      <c r="P630" s="117" t="n"/>
      <c r="Q630" s="117" t="n"/>
      <c r="R630" s="118" t="n"/>
      <c r="S630" s="119" t="n"/>
      <c r="T630" s="120" t="n"/>
      <c r="U630" s="123" t="n"/>
      <c r="V630" s="123" t="n"/>
      <c r="Y630" s="117" t="n"/>
      <c r="Z630" s="117" t="n"/>
      <c r="AA630" s="118" t="n"/>
      <c r="AB630" s="119" t="n"/>
      <c r="AC630" s="120" t="n"/>
      <c r="AD630" s="120" t="n"/>
      <c r="AE630" s="120" t="n"/>
    </row>
    <row r="631" ht="15" customHeight="1" s="72">
      <c r="A631" s="117" t="n"/>
      <c r="B631" s="117" t="n"/>
      <c r="C631" s="118" t="n"/>
      <c r="D631" s="118" t="n"/>
      <c r="E631" s="118" t="n"/>
      <c r="F631" s="123" t="n"/>
      <c r="G631" s="119" t="n"/>
      <c r="H631" s="123" t="n"/>
      <c r="I631" s="123" t="n"/>
      <c r="J631" s="125" t="n"/>
      <c r="K631" s="120" t="n"/>
      <c r="N631" s="117" t="n"/>
      <c r="O631" s="117" t="n"/>
      <c r="P631" s="117" t="n"/>
      <c r="Q631" s="117" t="n"/>
      <c r="R631" s="118" t="n"/>
      <c r="S631" s="119" t="n"/>
      <c r="T631" s="120" t="n"/>
      <c r="U631" s="123" t="n"/>
      <c r="V631" s="123" t="n"/>
      <c r="Y631" s="117" t="n"/>
      <c r="Z631" s="117" t="n"/>
      <c r="AA631" s="118" t="n"/>
      <c r="AB631" s="119" t="n"/>
      <c r="AC631" s="120" t="n"/>
      <c r="AD631" s="120" t="n"/>
      <c r="AE631" s="120" t="n"/>
    </row>
    <row r="632" ht="15" customHeight="1" s="72">
      <c r="A632" s="117" t="n"/>
      <c r="B632" s="117" t="n"/>
      <c r="C632" s="118" t="n"/>
      <c r="D632" s="118" t="n"/>
      <c r="E632" s="118" t="n"/>
      <c r="F632" s="123" t="n"/>
      <c r="G632" s="119" t="n"/>
      <c r="H632" s="123" t="n"/>
      <c r="I632" s="123" t="n"/>
      <c r="J632" s="125" t="n"/>
      <c r="K632" s="120" t="n"/>
      <c r="N632" s="117" t="n"/>
      <c r="O632" s="117" t="n"/>
      <c r="P632" s="117" t="n"/>
      <c r="Q632" s="117" t="n"/>
      <c r="R632" s="118" t="n"/>
      <c r="S632" s="119" t="n"/>
      <c r="T632" s="120" t="n"/>
      <c r="U632" s="123" t="n"/>
      <c r="V632" s="123" t="n"/>
      <c r="Y632" s="117" t="n"/>
      <c r="Z632" s="117" t="n"/>
      <c r="AA632" s="118" t="n"/>
      <c r="AB632" s="119" t="n"/>
      <c r="AC632" s="120" t="n"/>
      <c r="AD632" s="120" t="n"/>
      <c r="AE632" s="120" t="n"/>
    </row>
    <row r="633" ht="15" customHeight="1" s="72">
      <c r="A633" s="117" t="n"/>
      <c r="B633" s="117" t="n"/>
      <c r="C633" s="118" t="n"/>
      <c r="D633" s="118" t="n"/>
      <c r="E633" s="118" t="n"/>
      <c r="F633" s="123" t="n"/>
      <c r="G633" s="119" t="n"/>
      <c r="H633" s="123" t="n"/>
      <c r="I633" s="123" t="n"/>
      <c r="J633" s="125" t="n"/>
      <c r="K633" s="120" t="n"/>
      <c r="N633" s="117" t="n"/>
      <c r="O633" s="117" t="n"/>
      <c r="P633" s="117" t="n"/>
      <c r="Q633" s="117" t="n"/>
      <c r="R633" s="118" t="n"/>
      <c r="S633" s="119" t="n"/>
      <c r="T633" s="120" t="n"/>
      <c r="U633" s="123" t="n"/>
      <c r="V633" s="123" t="n"/>
      <c r="Y633" s="117" t="n"/>
      <c r="Z633" s="117" t="n"/>
      <c r="AA633" s="118" t="n"/>
      <c r="AB633" s="119" t="n"/>
      <c r="AC633" s="120" t="n"/>
      <c r="AD633" s="120" t="n"/>
      <c r="AE633" s="120" t="n"/>
    </row>
    <row r="634" ht="15" customHeight="1" s="72">
      <c r="A634" s="117" t="n"/>
      <c r="B634" s="117" t="n"/>
      <c r="C634" s="118" t="n"/>
      <c r="D634" s="118" t="n"/>
      <c r="E634" s="118" t="n"/>
      <c r="F634" s="123" t="n"/>
      <c r="G634" s="119" t="n"/>
      <c r="H634" s="123" t="n"/>
      <c r="I634" s="123" t="n"/>
      <c r="J634" s="125" t="n"/>
      <c r="K634" s="120" t="n"/>
      <c r="N634" s="117" t="n"/>
      <c r="O634" s="117" t="n"/>
      <c r="P634" s="117" t="n"/>
      <c r="Q634" s="117" t="n"/>
      <c r="R634" s="118" t="n"/>
      <c r="S634" s="119" t="n"/>
      <c r="T634" s="120" t="n"/>
      <c r="U634" s="123" t="n"/>
      <c r="V634" s="123" t="n"/>
      <c r="Y634" s="117" t="n"/>
      <c r="Z634" s="117" t="n"/>
      <c r="AA634" s="118" t="n"/>
      <c r="AB634" s="119" t="n"/>
      <c r="AC634" s="120" t="n"/>
      <c r="AD634" s="120" t="n"/>
      <c r="AE634" s="120" t="n"/>
    </row>
    <row r="635" ht="15" customHeight="1" s="72">
      <c r="A635" s="117" t="n"/>
      <c r="B635" s="117" t="n"/>
      <c r="C635" s="118" t="n"/>
      <c r="D635" s="118" t="n"/>
      <c r="E635" s="118" t="n"/>
      <c r="F635" s="123" t="n"/>
      <c r="G635" s="119" t="n"/>
      <c r="H635" s="123" t="n"/>
      <c r="I635" s="123" t="n"/>
      <c r="J635" s="125" t="n"/>
      <c r="K635" s="120" t="n"/>
      <c r="N635" s="117" t="n"/>
      <c r="O635" s="117" t="n"/>
      <c r="P635" s="117" t="n"/>
      <c r="Q635" s="117" t="n"/>
      <c r="R635" s="118" t="n"/>
      <c r="S635" s="119" t="n"/>
      <c r="T635" s="120" t="n"/>
      <c r="U635" s="123" t="n"/>
      <c r="V635" s="123" t="n"/>
      <c r="Y635" s="117" t="n"/>
      <c r="Z635" s="117" t="n"/>
      <c r="AA635" s="118" t="n"/>
      <c r="AB635" s="119" t="n"/>
      <c r="AC635" s="120" t="n"/>
      <c r="AD635" s="120" t="n"/>
      <c r="AE635" s="120" t="n"/>
    </row>
    <row r="636" ht="15" customHeight="1" s="72">
      <c r="A636" s="117" t="n"/>
      <c r="B636" s="117" t="n"/>
      <c r="C636" s="118" t="n"/>
      <c r="D636" s="118" t="n"/>
      <c r="E636" s="118" t="n"/>
      <c r="F636" s="123" t="n"/>
      <c r="G636" s="119" t="n"/>
      <c r="H636" s="123" t="n"/>
      <c r="I636" s="123" t="n"/>
      <c r="J636" s="125" t="n"/>
      <c r="K636" s="120" t="n"/>
      <c r="N636" s="117" t="n"/>
      <c r="O636" s="117" t="n"/>
      <c r="P636" s="117" t="n"/>
      <c r="Q636" s="117" t="n"/>
      <c r="R636" s="118" t="n"/>
      <c r="S636" s="119" t="n"/>
      <c r="T636" s="120" t="n"/>
      <c r="U636" s="123" t="n"/>
      <c r="V636" s="123" t="n"/>
      <c r="Y636" s="117" t="n"/>
      <c r="Z636" s="117" t="n"/>
      <c r="AA636" s="118" t="n"/>
      <c r="AB636" s="119" t="n"/>
      <c r="AC636" s="120" t="n"/>
      <c r="AD636" s="120" t="n"/>
      <c r="AE636" s="120" t="n"/>
    </row>
    <row r="637" ht="15" customHeight="1" s="72">
      <c r="A637" s="117" t="n"/>
      <c r="B637" s="117" t="n"/>
      <c r="C637" s="118" t="n"/>
      <c r="D637" s="118" t="n"/>
      <c r="E637" s="118" t="n"/>
      <c r="F637" s="123" t="n"/>
      <c r="G637" s="119" t="n"/>
      <c r="H637" s="123" t="n"/>
      <c r="I637" s="123" t="n"/>
      <c r="J637" s="125" t="n"/>
      <c r="K637" s="120" t="n"/>
      <c r="N637" s="117" t="n"/>
      <c r="O637" s="117" t="n"/>
      <c r="P637" s="117" t="n"/>
      <c r="Q637" s="117" t="n"/>
      <c r="R637" s="118" t="n"/>
      <c r="S637" s="119" t="n"/>
      <c r="T637" s="120" t="n"/>
      <c r="U637" s="123" t="n"/>
      <c r="V637" s="123" t="n"/>
      <c r="Y637" s="117" t="n"/>
      <c r="Z637" s="117" t="n"/>
      <c r="AA637" s="118" t="n"/>
      <c r="AB637" s="119" t="n"/>
      <c r="AC637" s="120" t="n"/>
      <c r="AD637" s="120" t="n"/>
      <c r="AE637" s="120" t="n"/>
    </row>
    <row r="638" ht="15" customHeight="1" s="72">
      <c r="A638" s="117" t="n"/>
      <c r="B638" s="117" t="n"/>
      <c r="C638" s="118" t="n"/>
      <c r="D638" s="118" t="n"/>
      <c r="E638" s="118" t="n"/>
      <c r="F638" s="123" t="n"/>
      <c r="G638" s="119" t="n"/>
      <c r="H638" s="123" t="n"/>
      <c r="I638" s="123" t="n"/>
      <c r="J638" s="125" t="n"/>
      <c r="K638" s="120" t="n"/>
      <c r="N638" s="117" t="n"/>
      <c r="O638" s="117" t="n"/>
      <c r="P638" s="117" t="n"/>
      <c r="Q638" s="117" t="n"/>
      <c r="R638" s="118" t="n"/>
      <c r="S638" s="119" t="n"/>
      <c r="T638" s="120" t="n"/>
      <c r="U638" s="123" t="n"/>
      <c r="V638" s="123" t="n"/>
      <c r="Y638" s="117" t="n"/>
      <c r="Z638" s="117" t="n"/>
      <c r="AA638" s="118" t="n"/>
      <c r="AB638" s="119" t="n"/>
      <c r="AC638" s="120" t="n"/>
      <c r="AD638" s="120" t="n"/>
      <c r="AE638" s="120" t="n"/>
    </row>
    <row r="639" ht="15" customHeight="1" s="72">
      <c r="A639" s="117" t="n"/>
      <c r="B639" s="117" t="n"/>
      <c r="C639" s="118" t="n"/>
      <c r="D639" s="118" t="n"/>
      <c r="E639" s="118" t="n"/>
      <c r="F639" s="123" t="n"/>
      <c r="G639" s="119" t="n"/>
      <c r="H639" s="123" t="n"/>
      <c r="I639" s="123" t="n"/>
      <c r="J639" s="125" t="n"/>
      <c r="K639" s="120" t="n"/>
      <c r="N639" s="117" t="n"/>
      <c r="O639" s="117" t="n"/>
      <c r="P639" s="117" t="n"/>
      <c r="Q639" s="117" t="n"/>
      <c r="R639" s="118" t="n"/>
      <c r="S639" s="119" t="n"/>
      <c r="T639" s="120" t="n"/>
      <c r="U639" s="123" t="n"/>
      <c r="V639" s="123" t="n"/>
      <c r="Y639" s="117" t="n"/>
      <c r="Z639" s="117" t="n"/>
      <c r="AA639" s="118" t="n"/>
      <c r="AB639" s="119" t="n"/>
      <c r="AC639" s="120" t="n"/>
      <c r="AD639" s="120" t="n"/>
      <c r="AE639" s="120" t="n"/>
    </row>
    <row r="640" ht="15" customHeight="1" s="72">
      <c r="A640" s="117" t="n"/>
      <c r="B640" s="117" t="n"/>
      <c r="C640" s="118" t="n"/>
      <c r="D640" s="118" t="n"/>
      <c r="E640" s="118" t="n"/>
      <c r="F640" s="123" t="n"/>
      <c r="G640" s="119" t="n"/>
      <c r="H640" s="123" t="n"/>
      <c r="I640" s="123" t="n"/>
      <c r="J640" s="125" t="n"/>
      <c r="K640" s="120" t="n"/>
      <c r="N640" s="117" t="n"/>
      <c r="O640" s="117" t="n"/>
      <c r="P640" s="117" t="n"/>
      <c r="Q640" s="117" t="n"/>
      <c r="R640" s="118" t="n"/>
      <c r="S640" s="119" t="n"/>
      <c r="T640" s="120" t="n"/>
      <c r="U640" s="123" t="n"/>
      <c r="V640" s="123" t="n"/>
      <c r="Y640" s="117" t="n"/>
      <c r="Z640" s="117" t="n"/>
      <c r="AA640" s="118" t="n"/>
      <c r="AB640" s="119" t="n"/>
      <c r="AC640" s="120" t="n"/>
      <c r="AD640" s="120" t="n"/>
      <c r="AE640" s="120" t="n"/>
    </row>
    <row r="641" ht="15" customHeight="1" s="72">
      <c r="A641" s="117" t="n"/>
      <c r="B641" s="117" t="n"/>
      <c r="C641" s="118" t="n"/>
      <c r="D641" s="118" t="n"/>
      <c r="E641" s="118" t="n"/>
      <c r="F641" s="123" t="n"/>
      <c r="G641" s="119" t="n"/>
      <c r="H641" s="123" t="n"/>
      <c r="I641" s="123" t="n"/>
      <c r="J641" s="125" t="n"/>
      <c r="K641" s="120" t="n"/>
      <c r="N641" s="117" t="n"/>
      <c r="O641" s="117" t="n"/>
      <c r="P641" s="117" t="n"/>
      <c r="Q641" s="117" t="n"/>
      <c r="R641" s="118" t="n"/>
      <c r="S641" s="119" t="n"/>
      <c r="T641" s="120" t="n"/>
      <c r="U641" s="123" t="n"/>
      <c r="V641" s="123" t="n"/>
      <c r="Y641" s="117" t="n"/>
      <c r="Z641" s="117" t="n"/>
      <c r="AA641" s="118" t="n"/>
      <c r="AB641" s="119" t="n"/>
      <c r="AC641" s="120" t="n"/>
      <c r="AD641" s="120" t="n"/>
      <c r="AE641" s="120" t="n"/>
    </row>
    <row r="642" ht="15" customHeight="1" s="72">
      <c r="A642" s="117" t="n"/>
      <c r="B642" s="117" t="n"/>
      <c r="C642" s="118" t="n"/>
      <c r="D642" s="118" t="n"/>
      <c r="E642" s="118" t="n"/>
      <c r="F642" s="123" t="n"/>
      <c r="G642" s="119" t="n"/>
      <c r="H642" s="123" t="n"/>
      <c r="I642" s="123" t="n"/>
      <c r="J642" s="125" t="n"/>
      <c r="K642" s="120" t="n"/>
      <c r="N642" s="117" t="n"/>
      <c r="O642" s="117" t="n"/>
      <c r="P642" s="117" t="n"/>
      <c r="Q642" s="117" t="n"/>
      <c r="R642" s="118" t="n"/>
      <c r="S642" s="119" t="n"/>
      <c r="T642" s="120" t="n"/>
      <c r="U642" s="123" t="n"/>
      <c r="V642" s="123" t="n"/>
      <c r="Y642" s="117" t="n"/>
      <c r="Z642" s="117" t="n"/>
      <c r="AA642" s="118" t="n"/>
      <c r="AB642" s="119" t="n"/>
      <c r="AC642" s="120" t="n"/>
      <c r="AD642" s="120" t="n"/>
      <c r="AE642" s="120" t="n"/>
    </row>
    <row r="643" ht="15" customHeight="1" s="72">
      <c r="A643" s="117" t="n"/>
      <c r="B643" s="117" t="n"/>
      <c r="C643" s="118" t="n"/>
      <c r="D643" s="118" t="n"/>
      <c r="E643" s="118" t="n"/>
      <c r="F643" s="123" t="n"/>
      <c r="G643" s="119" t="n"/>
      <c r="H643" s="123" t="n"/>
      <c r="I643" s="123" t="n"/>
      <c r="J643" s="125" t="n"/>
      <c r="K643" s="120" t="n"/>
      <c r="N643" s="117" t="n"/>
      <c r="O643" s="117" t="n"/>
      <c r="P643" s="117" t="n"/>
      <c r="Q643" s="117" t="n"/>
      <c r="R643" s="118" t="n"/>
      <c r="S643" s="119" t="n"/>
      <c r="T643" s="120" t="n"/>
      <c r="U643" s="123" t="n"/>
      <c r="V643" s="123" t="n"/>
      <c r="Y643" s="117" t="n"/>
      <c r="Z643" s="117" t="n"/>
      <c r="AA643" s="118" t="n"/>
      <c r="AB643" s="119" t="n"/>
      <c r="AC643" s="120" t="n"/>
      <c r="AD643" s="120" t="n"/>
      <c r="AE643" s="120" t="n"/>
    </row>
    <row r="644" ht="15" customHeight="1" s="72">
      <c r="A644" s="117" t="n"/>
      <c r="B644" s="117" t="n"/>
      <c r="C644" s="118" t="n"/>
      <c r="D644" s="118" t="n"/>
      <c r="E644" s="118" t="n"/>
      <c r="F644" s="123" t="n"/>
      <c r="G644" s="119" t="n"/>
      <c r="H644" s="123" t="n"/>
      <c r="I644" s="123" t="n"/>
      <c r="J644" s="125" t="n"/>
      <c r="K644" s="120" t="n"/>
      <c r="N644" s="117" t="n"/>
      <c r="O644" s="117" t="n"/>
      <c r="P644" s="117" t="n"/>
      <c r="Q644" s="117" t="n"/>
      <c r="R644" s="118" t="n"/>
      <c r="S644" s="119" t="n"/>
      <c r="T644" s="120" t="n"/>
      <c r="U644" s="123" t="n"/>
      <c r="V644" s="123" t="n"/>
      <c r="Y644" s="117" t="n"/>
      <c r="Z644" s="117" t="n"/>
      <c r="AA644" s="118" t="n"/>
      <c r="AB644" s="119" t="n"/>
      <c r="AC644" s="120" t="n"/>
      <c r="AD644" s="120" t="n"/>
      <c r="AE644" s="120" t="n"/>
    </row>
    <row r="645" ht="15" customHeight="1" s="72">
      <c r="A645" s="117" t="n"/>
      <c r="B645" s="117" t="n"/>
      <c r="C645" s="118" t="n"/>
      <c r="D645" s="118" t="n"/>
      <c r="E645" s="118" t="n"/>
      <c r="F645" s="123" t="n"/>
      <c r="G645" s="119" t="n"/>
      <c r="H645" s="123" t="n"/>
      <c r="I645" s="123" t="n"/>
      <c r="J645" s="125" t="n"/>
      <c r="K645" s="120" t="n"/>
      <c r="N645" s="117" t="n"/>
      <c r="O645" s="117" t="n"/>
      <c r="P645" s="117" t="n"/>
      <c r="Q645" s="117" t="n"/>
      <c r="R645" s="118" t="n"/>
      <c r="S645" s="119" t="n"/>
      <c r="T645" s="120" t="n"/>
      <c r="U645" s="123" t="n"/>
      <c r="V645" s="123" t="n"/>
      <c r="Y645" s="117" t="n"/>
      <c r="Z645" s="117" t="n"/>
      <c r="AA645" s="118" t="n"/>
      <c r="AB645" s="119" t="n"/>
      <c r="AC645" s="120" t="n"/>
      <c r="AD645" s="120" t="n"/>
      <c r="AE645" s="120" t="n"/>
    </row>
    <row r="646" ht="15" customHeight="1" s="72">
      <c r="A646" s="117" t="n"/>
      <c r="B646" s="117" t="n"/>
      <c r="C646" s="118" t="n"/>
      <c r="D646" s="118" t="n"/>
      <c r="E646" s="118" t="n"/>
      <c r="F646" s="123" t="n"/>
      <c r="G646" s="119" t="n"/>
      <c r="H646" s="123" t="n"/>
      <c r="I646" s="123" t="n"/>
      <c r="J646" s="125" t="n"/>
      <c r="K646" s="120" t="n"/>
      <c r="N646" s="117" t="n"/>
      <c r="O646" s="117" t="n"/>
      <c r="P646" s="117" t="n"/>
      <c r="Q646" s="117" t="n"/>
      <c r="R646" s="118" t="n"/>
      <c r="S646" s="119" t="n"/>
      <c r="T646" s="120" t="n"/>
      <c r="U646" s="123" t="n"/>
      <c r="V646" s="123" t="n"/>
      <c r="Y646" s="117" t="n"/>
      <c r="Z646" s="117" t="n"/>
      <c r="AA646" s="118" t="n"/>
      <c r="AB646" s="119" t="n"/>
      <c r="AC646" s="120" t="n"/>
      <c r="AD646" s="120" t="n"/>
      <c r="AE646" s="120" t="n"/>
    </row>
    <row r="647" ht="15" customHeight="1" s="72">
      <c r="A647" s="117" t="n"/>
      <c r="B647" s="117" t="n"/>
      <c r="C647" s="118" t="n"/>
      <c r="D647" s="118" t="n"/>
      <c r="E647" s="118" t="n"/>
      <c r="F647" s="123" t="n"/>
      <c r="G647" s="119" t="n"/>
      <c r="H647" s="123" t="n"/>
      <c r="I647" s="123" t="n"/>
      <c r="J647" s="125" t="n"/>
      <c r="K647" s="120" t="n"/>
      <c r="N647" s="117" t="n"/>
      <c r="O647" s="117" t="n"/>
      <c r="P647" s="117" t="n"/>
      <c r="Q647" s="117" t="n"/>
      <c r="R647" s="118" t="n"/>
      <c r="S647" s="119" t="n"/>
      <c r="T647" s="120" t="n"/>
      <c r="U647" s="123" t="n"/>
      <c r="V647" s="123" t="n"/>
      <c r="Y647" s="117" t="n"/>
      <c r="Z647" s="117" t="n"/>
      <c r="AA647" s="118" t="n"/>
      <c r="AB647" s="119" t="n"/>
      <c r="AC647" s="120" t="n"/>
      <c r="AD647" s="120" t="n"/>
      <c r="AE647" s="120" t="n"/>
    </row>
    <row r="648" ht="15" customHeight="1" s="72">
      <c r="A648" s="117" t="n"/>
      <c r="B648" s="117" t="n"/>
      <c r="C648" s="118" t="n"/>
      <c r="D648" s="118" t="n"/>
      <c r="E648" s="118" t="n"/>
      <c r="F648" s="123" t="n"/>
      <c r="G648" s="119" t="n"/>
      <c r="H648" s="123" t="n"/>
      <c r="I648" s="123" t="n"/>
      <c r="J648" s="125" t="n"/>
      <c r="K648" s="120" t="n"/>
      <c r="N648" s="117" t="n"/>
      <c r="O648" s="117" t="n"/>
      <c r="P648" s="117" t="n"/>
      <c r="Q648" s="117" t="n"/>
      <c r="R648" s="118" t="n"/>
      <c r="S648" s="119" t="n"/>
      <c r="T648" s="120" t="n"/>
      <c r="U648" s="123" t="n"/>
      <c r="V648" s="123" t="n"/>
      <c r="Y648" s="117" t="n"/>
      <c r="Z648" s="117" t="n"/>
      <c r="AA648" s="118" t="n"/>
      <c r="AB648" s="119" t="n"/>
      <c r="AC648" s="120" t="n"/>
      <c r="AD648" s="120" t="n"/>
      <c r="AE648" s="120" t="n"/>
    </row>
    <row r="649" ht="15" customHeight="1" s="72">
      <c r="A649" s="117" t="n"/>
      <c r="B649" s="117" t="n"/>
      <c r="C649" s="118" t="n"/>
      <c r="D649" s="118" t="n"/>
      <c r="E649" s="118" t="n"/>
      <c r="F649" s="123" t="n"/>
      <c r="G649" s="119" t="n"/>
      <c r="H649" s="123" t="n"/>
      <c r="I649" s="123" t="n"/>
      <c r="J649" s="125" t="n"/>
      <c r="K649" s="120" t="n"/>
      <c r="N649" s="117" t="n"/>
      <c r="O649" s="117" t="n"/>
      <c r="P649" s="117" t="n"/>
      <c r="Q649" s="117" t="n"/>
      <c r="R649" s="118" t="n"/>
      <c r="S649" s="119" t="n"/>
      <c r="T649" s="120" t="n"/>
      <c r="U649" s="123" t="n"/>
      <c r="V649" s="123" t="n"/>
      <c r="Y649" s="117" t="n"/>
      <c r="Z649" s="117" t="n"/>
      <c r="AA649" s="118" t="n"/>
      <c r="AB649" s="119" t="n"/>
      <c r="AC649" s="120" t="n"/>
      <c r="AD649" s="120" t="n"/>
      <c r="AE649" s="120" t="n"/>
    </row>
    <row r="650" ht="15" customHeight="1" s="72">
      <c r="A650" s="117" t="n"/>
      <c r="B650" s="117" t="n"/>
      <c r="C650" s="118" t="n"/>
      <c r="D650" s="118" t="n"/>
      <c r="E650" s="118" t="n"/>
      <c r="F650" s="123" t="n"/>
      <c r="G650" s="119" t="n"/>
      <c r="H650" s="123" t="n"/>
      <c r="I650" s="123" t="n"/>
      <c r="J650" s="125" t="n"/>
      <c r="K650" s="120" t="n"/>
      <c r="N650" s="117" t="n"/>
      <c r="O650" s="117" t="n"/>
      <c r="P650" s="117" t="n"/>
      <c r="Q650" s="117" t="n"/>
      <c r="R650" s="118" t="n"/>
      <c r="S650" s="119" t="n"/>
      <c r="T650" s="120" t="n"/>
      <c r="U650" s="123" t="n"/>
      <c r="V650" s="123" t="n"/>
      <c r="Y650" s="117" t="n"/>
      <c r="Z650" s="117" t="n"/>
      <c r="AA650" s="118" t="n"/>
      <c r="AB650" s="119" t="n"/>
      <c r="AC650" s="120" t="n"/>
      <c r="AD650" s="120" t="n"/>
      <c r="AE650" s="120" t="n"/>
    </row>
    <row r="651" ht="15" customHeight="1" s="72">
      <c r="A651" s="117" t="n"/>
      <c r="B651" s="117" t="n"/>
      <c r="C651" s="118" t="n"/>
      <c r="D651" s="118" t="n"/>
      <c r="E651" s="118" t="n"/>
      <c r="F651" s="123" t="n"/>
      <c r="G651" s="119" t="n"/>
      <c r="H651" s="123" t="n"/>
      <c r="I651" s="123" t="n"/>
      <c r="J651" s="125" t="n"/>
      <c r="K651" s="120" t="n"/>
      <c r="N651" s="117" t="n"/>
      <c r="O651" s="117" t="n"/>
      <c r="P651" s="117" t="n"/>
      <c r="Q651" s="117" t="n"/>
      <c r="R651" s="118" t="n"/>
      <c r="S651" s="119" t="n"/>
      <c r="T651" s="120" t="n"/>
      <c r="U651" s="123" t="n"/>
      <c r="V651" s="123" t="n"/>
      <c r="Y651" s="117" t="n"/>
      <c r="Z651" s="117" t="n"/>
      <c r="AA651" s="118" t="n"/>
      <c r="AB651" s="119" t="n"/>
      <c r="AC651" s="120" t="n"/>
      <c r="AD651" s="120" t="n"/>
      <c r="AE651" s="120" t="n"/>
    </row>
    <row r="652" ht="15" customHeight="1" s="72">
      <c r="A652" s="117" t="n"/>
      <c r="B652" s="117" t="n"/>
      <c r="C652" s="118" t="n"/>
      <c r="D652" s="118" t="n"/>
      <c r="E652" s="118" t="n"/>
      <c r="F652" s="123" t="n"/>
      <c r="G652" s="119" t="n"/>
      <c r="H652" s="123" t="n"/>
      <c r="I652" s="123" t="n"/>
      <c r="J652" s="125" t="n"/>
      <c r="K652" s="120" t="n"/>
      <c r="N652" s="117" t="n"/>
      <c r="O652" s="117" t="n"/>
      <c r="P652" s="117" t="n"/>
      <c r="Q652" s="117" t="n"/>
      <c r="R652" s="118" t="n"/>
      <c r="S652" s="119" t="n"/>
      <c r="T652" s="120" t="n"/>
      <c r="U652" s="123" t="n"/>
      <c r="V652" s="123" t="n"/>
      <c r="Y652" s="117" t="n"/>
      <c r="Z652" s="117" t="n"/>
      <c r="AA652" s="118" t="n"/>
      <c r="AB652" s="119" t="n"/>
      <c r="AC652" s="120" t="n"/>
      <c r="AD652" s="120" t="n"/>
      <c r="AE652" s="120" t="n"/>
    </row>
    <row r="653" ht="15" customHeight="1" s="72">
      <c r="A653" s="117" t="n"/>
      <c r="B653" s="117" t="n"/>
      <c r="C653" s="118" t="n"/>
      <c r="D653" s="118" t="n"/>
      <c r="E653" s="118" t="n"/>
      <c r="F653" s="123" t="n"/>
      <c r="G653" s="119" t="n"/>
      <c r="H653" s="123" t="n"/>
      <c r="I653" s="123" t="n"/>
      <c r="J653" s="125" t="n"/>
      <c r="K653" s="120" t="n"/>
      <c r="N653" s="117" t="n"/>
      <c r="O653" s="117" t="n"/>
      <c r="P653" s="117" t="n"/>
      <c r="Q653" s="117" t="n"/>
      <c r="R653" s="118" t="n"/>
      <c r="S653" s="119" t="n"/>
      <c r="T653" s="120" t="n"/>
      <c r="U653" s="123" t="n"/>
      <c r="V653" s="123" t="n"/>
      <c r="Y653" s="117" t="n"/>
      <c r="Z653" s="117" t="n"/>
      <c r="AA653" s="118" t="n"/>
      <c r="AB653" s="119" t="n"/>
      <c r="AC653" s="120" t="n"/>
      <c r="AD653" s="120" t="n"/>
      <c r="AE653" s="120" t="n"/>
    </row>
    <row r="654" ht="15" customHeight="1" s="72">
      <c r="A654" s="117" t="n"/>
      <c r="B654" s="117" t="n"/>
      <c r="C654" s="118" t="n"/>
      <c r="D654" s="118" t="n"/>
      <c r="E654" s="118" t="n"/>
      <c r="F654" s="123" t="n"/>
      <c r="G654" s="119" t="n"/>
      <c r="H654" s="123" t="n"/>
      <c r="I654" s="123" t="n"/>
      <c r="J654" s="125" t="n"/>
      <c r="K654" s="120" t="n"/>
      <c r="N654" s="117" t="n"/>
      <c r="O654" s="117" t="n"/>
      <c r="P654" s="117" t="n"/>
      <c r="Q654" s="117" t="n"/>
      <c r="R654" s="118" t="n"/>
      <c r="S654" s="119" t="n"/>
      <c r="T654" s="120" t="n"/>
      <c r="U654" s="123" t="n"/>
      <c r="V654" s="123" t="n"/>
      <c r="Y654" s="117" t="n"/>
      <c r="Z654" s="117" t="n"/>
      <c r="AA654" s="118" t="n"/>
      <c r="AB654" s="119" t="n"/>
      <c r="AC654" s="120" t="n"/>
      <c r="AD654" s="120" t="n"/>
      <c r="AE654" s="120" t="n"/>
    </row>
    <row r="655" ht="15" customHeight="1" s="72">
      <c r="A655" s="117" t="n"/>
      <c r="B655" s="117" t="n"/>
      <c r="C655" s="118" t="n"/>
      <c r="D655" s="118" t="n"/>
      <c r="E655" s="118" t="n"/>
      <c r="F655" s="123" t="n"/>
      <c r="G655" s="119" t="n"/>
      <c r="H655" s="123" t="n"/>
      <c r="I655" s="123" t="n"/>
      <c r="J655" s="125" t="n"/>
      <c r="K655" s="120" t="n"/>
      <c r="N655" s="117" t="n"/>
      <c r="O655" s="117" t="n"/>
      <c r="P655" s="117" t="n"/>
      <c r="Q655" s="117" t="n"/>
      <c r="R655" s="118" t="n"/>
      <c r="S655" s="119" t="n"/>
      <c r="T655" s="120" t="n"/>
      <c r="U655" s="123" t="n"/>
      <c r="V655" s="123" t="n"/>
      <c r="Y655" s="117" t="n"/>
      <c r="Z655" s="117" t="n"/>
      <c r="AA655" s="118" t="n"/>
      <c r="AB655" s="119" t="n"/>
      <c r="AC655" s="120" t="n"/>
      <c r="AD655" s="120" t="n"/>
      <c r="AE655" s="120" t="n"/>
    </row>
    <row r="656" ht="15" customHeight="1" s="72">
      <c r="A656" s="117" t="n"/>
      <c r="B656" s="117" t="n"/>
      <c r="C656" s="118" t="n"/>
      <c r="D656" s="118" t="n"/>
      <c r="E656" s="118" t="n"/>
      <c r="F656" s="123" t="n"/>
      <c r="G656" s="119" t="n"/>
      <c r="H656" s="123" t="n"/>
      <c r="I656" s="123" t="n"/>
      <c r="J656" s="125" t="n"/>
      <c r="K656" s="120" t="n"/>
      <c r="N656" s="117" t="n"/>
      <c r="O656" s="117" t="n"/>
      <c r="P656" s="117" t="n"/>
      <c r="Q656" s="117" t="n"/>
      <c r="R656" s="118" t="n"/>
      <c r="S656" s="119" t="n"/>
      <c r="T656" s="120" t="n"/>
      <c r="U656" s="123" t="n"/>
      <c r="V656" s="123" t="n"/>
      <c r="Y656" s="117" t="n"/>
      <c r="Z656" s="117" t="n"/>
      <c r="AA656" s="118" t="n"/>
      <c r="AB656" s="119" t="n"/>
      <c r="AC656" s="120" t="n"/>
      <c r="AD656" s="120" t="n"/>
      <c r="AE656" s="120" t="n"/>
    </row>
    <row r="657" ht="15" customHeight="1" s="72">
      <c r="A657" s="117" t="n"/>
      <c r="B657" s="117" t="n"/>
      <c r="C657" s="118" t="n"/>
      <c r="D657" s="118" t="n"/>
      <c r="E657" s="118" t="n"/>
      <c r="F657" s="123" t="n"/>
      <c r="G657" s="119" t="n"/>
      <c r="H657" s="123" t="n"/>
      <c r="I657" s="123" t="n"/>
      <c r="J657" s="125" t="n"/>
      <c r="K657" s="120" t="n"/>
      <c r="N657" s="117" t="n"/>
      <c r="O657" s="117" t="n"/>
      <c r="P657" s="117" t="n"/>
      <c r="Q657" s="117" t="n"/>
      <c r="R657" s="118" t="n"/>
      <c r="S657" s="119" t="n"/>
      <c r="T657" s="120" t="n"/>
      <c r="U657" s="123" t="n"/>
      <c r="V657" s="123" t="n"/>
      <c r="Y657" s="117" t="n"/>
      <c r="Z657" s="117" t="n"/>
      <c r="AA657" s="118" t="n"/>
      <c r="AB657" s="119" t="n"/>
      <c r="AC657" s="120" t="n"/>
      <c r="AD657" s="120" t="n"/>
      <c r="AE657" s="120" t="n"/>
    </row>
    <row r="658" ht="15" customHeight="1" s="72">
      <c r="A658" s="117" t="n"/>
      <c r="B658" s="117" t="n"/>
      <c r="C658" s="118" t="n"/>
      <c r="D658" s="118" t="n"/>
      <c r="E658" s="118" t="n"/>
      <c r="F658" s="123" t="n"/>
      <c r="G658" s="119" t="n"/>
      <c r="H658" s="123" t="n"/>
      <c r="I658" s="123" t="n"/>
      <c r="J658" s="125" t="n"/>
      <c r="K658" s="120" t="n"/>
      <c r="N658" s="117" t="n"/>
      <c r="O658" s="117" t="n"/>
      <c r="P658" s="117" t="n"/>
      <c r="Q658" s="117" t="n"/>
      <c r="R658" s="118" t="n"/>
      <c r="S658" s="119" t="n"/>
      <c r="T658" s="120" t="n"/>
      <c r="U658" s="123" t="n"/>
      <c r="V658" s="123" t="n"/>
      <c r="Y658" s="117" t="n"/>
      <c r="Z658" s="117" t="n"/>
      <c r="AA658" s="118" t="n"/>
      <c r="AB658" s="119" t="n"/>
      <c r="AC658" s="120" t="n"/>
      <c r="AD658" s="120" t="n"/>
      <c r="AE658" s="120" t="n"/>
    </row>
    <row r="659" ht="15" customHeight="1" s="72">
      <c r="A659" s="117" t="n"/>
      <c r="B659" s="117" t="n"/>
      <c r="C659" s="118" t="n"/>
      <c r="D659" s="118" t="n"/>
      <c r="E659" s="118" t="n"/>
      <c r="F659" s="123" t="n"/>
      <c r="G659" s="119" t="n"/>
      <c r="H659" s="123" t="n"/>
      <c r="I659" s="123" t="n"/>
      <c r="J659" s="125" t="n"/>
      <c r="K659" s="120" t="n"/>
      <c r="N659" s="117" t="n"/>
      <c r="O659" s="117" t="n"/>
      <c r="P659" s="117" t="n"/>
      <c r="Q659" s="117" t="n"/>
      <c r="R659" s="118" t="n"/>
      <c r="S659" s="119" t="n"/>
      <c r="T659" s="120" t="n"/>
      <c r="U659" s="123" t="n"/>
      <c r="V659" s="123" t="n"/>
      <c r="Y659" s="117" t="n"/>
      <c r="Z659" s="117" t="n"/>
      <c r="AA659" s="118" t="n"/>
      <c r="AB659" s="119" t="n"/>
      <c r="AC659" s="120" t="n"/>
      <c r="AD659" s="120" t="n"/>
      <c r="AE659" s="120" t="n"/>
    </row>
    <row r="660" ht="15" customHeight="1" s="72">
      <c r="A660" s="117" t="n"/>
      <c r="B660" s="117" t="n"/>
      <c r="C660" s="118" t="n"/>
      <c r="D660" s="118" t="n"/>
      <c r="E660" s="118" t="n"/>
      <c r="F660" s="123" t="n"/>
      <c r="G660" s="119" t="n"/>
      <c r="H660" s="123" t="n"/>
      <c r="I660" s="123" t="n"/>
      <c r="J660" s="125" t="n"/>
      <c r="K660" s="120" t="n"/>
      <c r="N660" s="117" t="n"/>
      <c r="O660" s="117" t="n"/>
      <c r="P660" s="117" t="n"/>
      <c r="Q660" s="117" t="n"/>
      <c r="R660" s="118" t="n"/>
      <c r="S660" s="119" t="n"/>
      <c r="T660" s="120" t="n"/>
      <c r="U660" s="123" t="n"/>
      <c r="V660" s="123" t="n"/>
      <c r="Y660" s="117" t="n"/>
      <c r="Z660" s="117" t="n"/>
      <c r="AA660" s="118" t="n"/>
      <c r="AB660" s="119" t="n"/>
      <c r="AC660" s="120" t="n"/>
      <c r="AD660" s="120" t="n"/>
      <c r="AE660" s="120" t="n"/>
    </row>
    <row r="661" ht="15" customHeight="1" s="72">
      <c r="A661" s="117" t="n"/>
      <c r="B661" s="117" t="n"/>
      <c r="C661" s="118" t="n"/>
      <c r="D661" s="118" t="n"/>
      <c r="E661" s="118" t="n"/>
      <c r="F661" s="123" t="n"/>
      <c r="G661" s="119" t="n"/>
      <c r="H661" s="123" t="n"/>
      <c r="I661" s="123" t="n"/>
      <c r="J661" s="125" t="n"/>
      <c r="K661" s="120" t="n"/>
      <c r="N661" s="117" t="n"/>
      <c r="O661" s="117" t="n"/>
      <c r="P661" s="117" t="n"/>
      <c r="Q661" s="117" t="n"/>
      <c r="R661" s="118" t="n"/>
      <c r="S661" s="119" t="n"/>
      <c r="T661" s="120" t="n"/>
      <c r="U661" s="123" t="n"/>
      <c r="V661" s="123" t="n"/>
      <c r="Y661" s="117" t="n"/>
      <c r="Z661" s="117" t="n"/>
      <c r="AA661" s="118" t="n"/>
      <c r="AB661" s="119" t="n"/>
      <c r="AC661" s="120" t="n"/>
      <c r="AD661" s="120" t="n"/>
      <c r="AE661" s="120" t="n"/>
    </row>
    <row r="662" ht="15" customHeight="1" s="72">
      <c r="A662" s="117" t="n"/>
      <c r="B662" s="117" t="n"/>
      <c r="C662" s="118" t="n"/>
      <c r="D662" s="118" t="n"/>
      <c r="E662" s="118" t="n"/>
      <c r="F662" s="123" t="n"/>
      <c r="G662" s="119" t="n"/>
      <c r="H662" s="123" t="n"/>
      <c r="I662" s="123" t="n"/>
      <c r="J662" s="125" t="n"/>
      <c r="K662" s="120" t="n"/>
      <c r="N662" s="117" t="n"/>
      <c r="O662" s="117" t="n"/>
      <c r="P662" s="117" t="n"/>
      <c r="Q662" s="117" t="n"/>
      <c r="R662" s="118" t="n"/>
      <c r="S662" s="119" t="n"/>
      <c r="T662" s="120" t="n"/>
      <c r="U662" s="123" t="n"/>
      <c r="V662" s="123" t="n"/>
      <c r="Y662" s="117" t="n"/>
      <c r="Z662" s="117" t="n"/>
      <c r="AA662" s="118" t="n"/>
      <c r="AB662" s="119" t="n"/>
      <c r="AC662" s="120" t="n"/>
      <c r="AD662" s="120" t="n"/>
      <c r="AE662" s="120" t="n"/>
    </row>
    <row r="663" ht="15" customHeight="1" s="72">
      <c r="A663" s="117" t="n"/>
      <c r="B663" s="117" t="n"/>
      <c r="C663" s="118" t="n"/>
      <c r="D663" s="118" t="n"/>
      <c r="E663" s="118" t="n"/>
      <c r="F663" s="123" t="n"/>
      <c r="G663" s="119" t="n"/>
      <c r="H663" s="123" t="n"/>
      <c r="I663" s="123" t="n"/>
      <c r="J663" s="125" t="n"/>
      <c r="K663" s="120" t="n"/>
      <c r="N663" s="117" t="n"/>
      <c r="O663" s="117" t="n"/>
      <c r="P663" s="117" t="n"/>
      <c r="Q663" s="117" t="n"/>
      <c r="R663" s="118" t="n"/>
      <c r="S663" s="119" t="n"/>
      <c r="T663" s="120" t="n"/>
      <c r="U663" s="123" t="n"/>
      <c r="V663" s="123" t="n"/>
      <c r="Y663" s="117" t="n"/>
      <c r="Z663" s="117" t="n"/>
      <c r="AA663" s="118" t="n"/>
      <c r="AB663" s="119" t="n"/>
      <c r="AC663" s="120" t="n"/>
      <c r="AD663" s="120" t="n"/>
      <c r="AE663" s="120" t="n"/>
    </row>
    <row r="664" ht="15" customHeight="1" s="72">
      <c r="A664" s="117" t="n"/>
      <c r="B664" s="117" t="n"/>
      <c r="C664" s="118" t="n"/>
      <c r="D664" s="118" t="n"/>
      <c r="E664" s="118" t="n"/>
      <c r="F664" s="123" t="n"/>
      <c r="G664" s="119" t="n"/>
      <c r="H664" s="123" t="n"/>
      <c r="I664" s="123" t="n"/>
      <c r="J664" s="125" t="n"/>
      <c r="K664" s="120" t="n"/>
      <c r="N664" s="117" t="n"/>
      <c r="O664" s="117" t="n"/>
      <c r="P664" s="117" t="n"/>
      <c r="Q664" s="117" t="n"/>
      <c r="R664" s="118" t="n"/>
      <c r="S664" s="119" t="n"/>
      <c r="T664" s="120" t="n"/>
      <c r="U664" s="123" t="n"/>
      <c r="V664" s="123" t="n"/>
      <c r="Y664" s="117" t="n"/>
      <c r="Z664" s="117" t="n"/>
      <c r="AA664" s="118" t="n"/>
      <c r="AB664" s="119" t="n"/>
      <c r="AC664" s="120" t="n"/>
      <c r="AD664" s="120" t="n"/>
      <c r="AE664" s="120" t="n"/>
    </row>
    <row r="665" ht="15" customHeight="1" s="72">
      <c r="A665" s="117" t="n"/>
      <c r="B665" s="117" t="n"/>
      <c r="C665" s="118" t="n"/>
      <c r="D665" s="118" t="n"/>
      <c r="E665" s="118" t="n"/>
      <c r="F665" s="123" t="n"/>
      <c r="G665" s="119" t="n"/>
      <c r="H665" s="123" t="n"/>
      <c r="I665" s="123" t="n"/>
      <c r="J665" s="125" t="n"/>
      <c r="K665" s="120" t="n"/>
      <c r="N665" s="117" t="n"/>
      <c r="O665" s="117" t="n"/>
      <c r="P665" s="117" t="n"/>
      <c r="Q665" s="117" t="n"/>
      <c r="R665" s="118" t="n"/>
      <c r="S665" s="119" t="n"/>
      <c r="T665" s="120" t="n"/>
      <c r="U665" s="123" t="n"/>
      <c r="V665" s="123" t="n"/>
      <c r="Y665" s="117" t="n"/>
      <c r="Z665" s="117" t="n"/>
      <c r="AA665" s="118" t="n"/>
      <c r="AB665" s="119" t="n"/>
      <c r="AC665" s="120" t="n"/>
      <c r="AD665" s="120" t="n"/>
      <c r="AE665" s="120" t="n"/>
    </row>
    <row r="666" ht="15" customHeight="1" s="72">
      <c r="A666" s="117" t="n"/>
      <c r="B666" s="117" t="n"/>
      <c r="C666" s="118" t="n"/>
      <c r="D666" s="118" t="n"/>
      <c r="E666" s="118" t="n"/>
      <c r="F666" s="123" t="n"/>
      <c r="G666" s="119" t="n"/>
      <c r="H666" s="123" t="n"/>
      <c r="I666" s="123" t="n"/>
      <c r="J666" s="125" t="n"/>
      <c r="K666" s="120" t="n"/>
      <c r="N666" s="117" t="n"/>
      <c r="O666" s="117" t="n"/>
      <c r="P666" s="117" t="n"/>
      <c r="Q666" s="117" t="n"/>
      <c r="R666" s="118" t="n"/>
      <c r="S666" s="119" t="n"/>
      <c r="T666" s="120" t="n"/>
      <c r="U666" s="123" t="n"/>
      <c r="V666" s="123" t="n"/>
      <c r="Y666" s="117" t="n"/>
      <c r="Z666" s="117" t="n"/>
      <c r="AA666" s="118" t="n"/>
      <c r="AB666" s="119" t="n"/>
      <c r="AC666" s="120" t="n"/>
      <c r="AD666" s="120" t="n"/>
      <c r="AE666" s="120" t="n"/>
    </row>
    <row r="667" ht="15" customHeight="1" s="72">
      <c r="A667" s="117" t="n"/>
      <c r="B667" s="117" t="n"/>
      <c r="C667" s="118" t="n"/>
      <c r="D667" s="118" t="n"/>
      <c r="E667" s="118" t="n"/>
      <c r="F667" s="123" t="n"/>
      <c r="G667" s="119" t="n"/>
      <c r="H667" s="123" t="n"/>
      <c r="I667" s="123" t="n"/>
      <c r="J667" s="125" t="n"/>
      <c r="K667" s="120" t="n"/>
      <c r="N667" s="117" t="n"/>
      <c r="O667" s="117" t="n"/>
      <c r="P667" s="117" t="n"/>
      <c r="Q667" s="117" t="n"/>
      <c r="R667" s="118" t="n"/>
      <c r="S667" s="119" t="n"/>
      <c r="T667" s="120" t="n"/>
      <c r="U667" s="123" t="n"/>
      <c r="V667" s="123" t="n"/>
      <c r="Y667" s="117" t="n"/>
      <c r="Z667" s="117" t="n"/>
      <c r="AA667" s="118" t="n"/>
      <c r="AB667" s="119" t="n"/>
      <c r="AC667" s="120" t="n"/>
      <c r="AD667" s="120" t="n"/>
      <c r="AE667" s="120" t="n"/>
    </row>
    <row r="668" ht="15" customHeight="1" s="72">
      <c r="A668" s="117" t="n"/>
      <c r="B668" s="117" t="n"/>
      <c r="C668" s="118" t="n"/>
      <c r="D668" s="118" t="n"/>
      <c r="E668" s="118" t="n"/>
      <c r="F668" s="123" t="n"/>
      <c r="G668" s="119" t="n"/>
      <c r="H668" s="123" t="n"/>
      <c r="I668" s="123" t="n"/>
      <c r="J668" s="125" t="n"/>
      <c r="K668" s="120" t="n"/>
      <c r="N668" s="117" t="n"/>
      <c r="O668" s="117" t="n"/>
      <c r="P668" s="117" t="n"/>
      <c r="Q668" s="117" t="n"/>
      <c r="R668" s="118" t="n"/>
      <c r="S668" s="119" t="n"/>
      <c r="T668" s="120" t="n"/>
      <c r="U668" s="123" t="n"/>
      <c r="V668" s="123" t="n"/>
      <c r="Y668" s="117" t="n"/>
      <c r="Z668" s="117" t="n"/>
      <c r="AA668" s="118" t="n"/>
      <c r="AB668" s="119" t="n"/>
      <c r="AC668" s="120" t="n"/>
      <c r="AD668" s="120" t="n"/>
      <c r="AE668" s="120" t="n"/>
    </row>
    <row r="669" ht="15" customHeight="1" s="72">
      <c r="A669" s="117" t="n"/>
      <c r="B669" s="117" t="n"/>
      <c r="C669" s="118" t="n"/>
      <c r="D669" s="118" t="n"/>
      <c r="E669" s="118" t="n"/>
      <c r="F669" s="123" t="n"/>
      <c r="G669" s="119" t="n"/>
      <c r="H669" s="123" t="n"/>
      <c r="I669" s="123" t="n"/>
      <c r="J669" s="125" t="n"/>
      <c r="K669" s="120" t="n"/>
      <c r="N669" s="117" t="n"/>
      <c r="O669" s="117" t="n"/>
      <c r="P669" s="117" t="n"/>
      <c r="Q669" s="117" t="n"/>
      <c r="R669" s="118" t="n"/>
      <c r="S669" s="119" t="n"/>
      <c r="T669" s="120" t="n"/>
      <c r="U669" s="123" t="n"/>
      <c r="V669" s="123" t="n"/>
      <c r="Y669" s="117" t="n"/>
      <c r="Z669" s="117" t="n"/>
      <c r="AA669" s="118" t="n"/>
      <c r="AB669" s="119" t="n"/>
      <c r="AC669" s="120" t="n"/>
      <c r="AD669" s="120" t="n"/>
      <c r="AE669" s="120" t="n"/>
    </row>
    <row r="670" ht="15" customHeight="1" s="72">
      <c r="A670" s="117" t="n"/>
      <c r="B670" s="117" t="n"/>
      <c r="C670" s="118" t="n"/>
      <c r="D670" s="118" t="n"/>
      <c r="E670" s="118" t="n"/>
      <c r="F670" s="123" t="n"/>
      <c r="G670" s="119" t="n"/>
      <c r="H670" s="123" t="n"/>
      <c r="I670" s="123" t="n"/>
      <c r="J670" s="125" t="n"/>
      <c r="K670" s="120" t="n"/>
      <c r="N670" s="117" t="n"/>
      <c r="O670" s="117" t="n"/>
      <c r="P670" s="117" t="n"/>
      <c r="Q670" s="117" t="n"/>
      <c r="R670" s="118" t="n"/>
      <c r="S670" s="119" t="n"/>
      <c r="T670" s="120" t="n"/>
      <c r="U670" s="123" t="n"/>
      <c r="V670" s="123" t="n"/>
      <c r="Y670" s="117" t="n"/>
      <c r="Z670" s="117" t="n"/>
      <c r="AA670" s="118" t="n"/>
      <c r="AB670" s="119" t="n"/>
      <c r="AC670" s="120" t="n"/>
      <c r="AD670" s="120" t="n"/>
      <c r="AE670" s="120" t="n"/>
    </row>
    <row r="671" ht="15" customHeight="1" s="72">
      <c r="A671" s="117" t="n"/>
      <c r="B671" s="117" t="n"/>
      <c r="C671" s="118" t="n"/>
      <c r="D671" s="118" t="n"/>
      <c r="E671" s="118" t="n"/>
      <c r="F671" s="123" t="n"/>
      <c r="G671" s="119" t="n"/>
      <c r="H671" s="123" t="n"/>
      <c r="I671" s="123" t="n"/>
      <c r="J671" s="125" t="n"/>
      <c r="K671" s="120" t="n"/>
      <c r="N671" s="117" t="n"/>
      <c r="O671" s="117" t="n"/>
      <c r="P671" s="117" t="n"/>
      <c r="Q671" s="117" t="n"/>
      <c r="R671" s="118" t="n"/>
      <c r="S671" s="119" t="n"/>
      <c r="T671" s="120" t="n"/>
      <c r="U671" s="123" t="n"/>
      <c r="V671" s="123" t="n"/>
      <c r="Y671" s="117" t="n"/>
      <c r="Z671" s="117" t="n"/>
      <c r="AA671" s="118" t="n"/>
      <c r="AB671" s="119" t="n"/>
      <c r="AC671" s="120" t="n"/>
      <c r="AD671" s="120" t="n"/>
      <c r="AE671" s="120" t="n"/>
    </row>
    <row r="672" ht="15" customHeight="1" s="72">
      <c r="A672" s="117" t="n"/>
      <c r="B672" s="117" t="n"/>
      <c r="C672" s="118" t="n"/>
      <c r="D672" s="118" t="n"/>
      <c r="E672" s="118" t="n"/>
      <c r="F672" s="123" t="n"/>
      <c r="G672" s="119" t="n"/>
      <c r="H672" s="123" t="n"/>
      <c r="I672" s="123" t="n"/>
      <c r="J672" s="125" t="n"/>
      <c r="K672" s="120" t="n"/>
      <c r="N672" s="117" t="n"/>
      <c r="O672" s="117" t="n"/>
      <c r="P672" s="117" t="n"/>
      <c r="Q672" s="117" t="n"/>
      <c r="R672" s="118" t="n"/>
      <c r="S672" s="119" t="n"/>
      <c r="T672" s="120" t="n"/>
      <c r="U672" s="123" t="n"/>
      <c r="V672" s="123" t="n"/>
      <c r="Y672" s="117" t="n"/>
      <c r="Z672" s="117" t="n"/>
      <c r="AA672" s="118" t="n"/>
      <c r="AB672" s="119" t="n"/>
      <c r="AC672" s="120" t="n"/>
      <c r="AD672" s="120" t="n"/>
      <c r="AE672" s="120" t="n"/>
    </row>
    <row r="673" ht="15" customHeight="1" s="72">
      <c r="A673" s="117" t="n"/>
      <c r="B673" s="117" t="n"/>
      <c r="C673" s="118" t="n"/>
      <c r="D673" s="118" t="n"/>
      <c r="E673" s="118" t="n"/>
      <c r="F673" s="123" t="n"/>
      <c r="G673" s="119" t="n"/>
      <c r="H673" s="123" t="n"/>
      <c r="I673" s="123" t="n"/>
      <c r="J673" s="125" t="n"/>
      <c r="K673" s="120" t="n"/>
      <c r="N673" s="117" t="n"/>
      <c r="O673" s="117" t="n"/>
      <c r="P673" s="117" t="n"/>
      <c r="Q673" s="117" t="n"/>
      <c r="R673" s="118" t="n"/>
      <c r="S673" s="119" t="n"/>
      <c r="T673" s="120" t="n"/>
      <c r="U673" s="123" t="n"/>
      <c r="V673" s="123" t="n"/>
      <c r="Y673" s="117" t="n"/>
      <c r="Z673" s="117" t="n"/>
      <c r="AA673" s="118" t="n"/>
      <c r="AB673" s="119" t="n"/>
      <c r="AC673" s="120" t="n"/>
      <c r="AD673" s="120" t="n"/>
      <c r="AE673" s="120" t="n"/>
    </row>
    <row r="674" ht="15" customHeight="1" s="72">
      <c r="A674" s="117" t="n"/>
      <c r="B674" s="117" t="n"/>
      <c r="C674" s="118" t="n"/>
      <c r="D674" s="118" t="n"/>
      <c r="E674" s="118" t="n"/>
      <c r="F674" s="123" t="n"/>
      <c r="G674" s="119" t="n"/>
      <c r="H674" s="123" t="n"/>
      <c r="I674" s="123" t="n"/>
      <c r="J674" s="125" t="n"/>
      <c r="K674" s="120" t="n"/>
      <c r="N674" s="117" t="n"/>
      <c r="O674" s="117" t="n"/>
      <c r="P674" s="117" t="n"/>
      <c r="Q674" s="117" t="n"/>
      <c r="R674" s="118" t="n"/>
      <c r="S674" s="119" t="n"/>
      <c r="T674" s="120" t="n"/>
      <c r="U674" s="123" t="n"/>
      <c r="V674" s="123" t="n"/>
      <c r="Y674" s="117" t="n"/>
      <c r="Z674" s="117" t="n"/>
      <c r="AA674" s="118" t="n"/>
      <c r="AB674" s="119" t="n"/>
      <c r="AC674" s="120" t="n"/>
      <c r="AD674" s="120" t="n"/>
      <c r="AE674" s="120" t="n"/>
    </row>
    <row r="675" ht="15" customHeight="1" s="72">
      <c r="A675" s="117" t="n"/>
      <c r="B675" s="117" t="n"/>
      <c r="C675" s="118" t="n"/>
      <c r="D675" s="118" t="n"/>
      <c r="E675" s="118" t="n"/>
      <c r="F675" s="123" t="n"/>
      <c r="G675" s="119" t="n"/>
      <c r="H675" s="123" t="n"/>
      <c r="I675" s="123" t="n"/>
      <c r="J675" s="125" t="n"/>
      <c r="K675" s="120" t="n"/>
      <c r="N675" s="117" t="n"/>
      <c r="O675" s="117" t="n"/>
      <c r="P675" s="117" t="n"/>
      <c r="Q675" s="117" t="n"/>
      <c r="R675" s="118" t="n"/>
      <c r="S675" s="119" t="n"/>
      <c r="T675" s="120" t="n"/>
      <c r="U675" s="123" t="n"/>
      <c r="V675" s="123" t="n"/>
      <c r="Y675" s="117" t="n"/>
      <c r="Z675" s="117" t="n"/>
      <c r="AA675" s="118" t="n"/>
      <c r="AB675" s="119" t="n"/>
      <c r="AC675" s="120" t="n"/>
      <c r="AD675" s="120" t="n"/>
      <c r="AE675" s="120" t="n"/>
    </row>
    <row r="676" ht="15" customHeight="1" s="72">
      <c r="A676" s="117" t="n"/>
      <c r="B676" s="117" t="n"/>
      <c r="C676" s="118" t="n"/>
      <c r="D676" s="118" t="n"/>
      <c r="E676" s="118" t="n"/>
      <c r="F676" s="123" t="n"/>
      <c r="G676" s="119" t="n"/>
      <c r="H676" s="123" t="n"/>
      <c r="I676" s="123" t="n"/>
      <c r="J676" s="125" t="n"/>
      <c r="K676" s="120" t="n"/>
      <c r="N676" s="117" t="n"/>
      <c r="O676" s="117" t="n"/>
      <c r="P676" s="117" t="n"/>
      <c r="Q676" s="117" t="n"/>
      <c r="R676" s="118" t="n"/>
      <c r="S676" s="119" t="n"/>
      <c r="T676" s="120" t="n"/>
      <c r="U676" s="123" t="n"/>
      <c r="V676" s="123" t="n"/>
      <c r="Y676" s="117" t="n"/>
      <c r="Z676" s="117" t="n"/>
      <c r="AA676" s="118" t="n"/>
      <c r="AB676" s="119" t="n"/>
      <c r="AC676" s="120" t="n"/>
      <c r="AD676" s="120" t="n"/>
      <c r="AE676" s="120" t="n"/>
    </row>
    <row r="677" ht="15" customHeight="1" s="72">
      <c r="A677" s="117" t="n"/>
      <c r="B677" s="117" t="n"/>
      <c r="C677" s="118" t="n"/>
      <c r="D677" s="118" t="n"/>
      <c r="E677" s="118" t="n"/>
      <c r="F677" s="123" t="n"/>
      <c r="G677" s="119" t="n"/>
      <c r="H677" s="123" t="n"/>
      <c r="I677" s="123" t="n"/>
      <c r="J677" s="125" t="n"/>
      <c r="K677" s="120" t="n"/>
      <c r="N677" s="117" t="n"/>
      <c r="O677" s="117" t="n"/>
      <c r="P677" s="117" t="n"/>
      <c r="Q677" s="117" t="n"/>
      <c r="R677" s="118" t="n"/>
      <c r="S677" s="119" t="n"/>
      <c r="T677" s="120" t="n"/>
      <c r="U677" s="123" t="n"/>
      <c r="V677" s="123" t="n"/>
      <c r="Y677" s="117" t="n"/>
      <c r="Z677" s="117" t="n"/>
      <c r="AA677" s="118" t="n"/>
      <c r="AB677" s="119" t="n"/>
      <c r="AC677" s="120" t="n"/>
      <c r="AD677" s="120" t="n"/>
      <c r="AE677" s="120" t="n"/>
    </row>
    <row r="678" ht="15" customHeight="1" s="72">
      <c r="A678" s="117" t="n"/>
      <c r="B678" s="117" t="n"/>
      <c r="C678" s="118" t="n"/>
      <c r="D678" s="118" t="n"/>
      <c r="E678" s="118" t="n"/>
      <c r="F678" s="123" t="n"/>
      <c r="G678" s="119" t="n"/>
      <c r="H678" s="123" t="n"/>
      <c r="I678" s="123" t="n"/>
      <c r="J678" s="125" t="n"/>
      <c r="K678" s="120" t="n"/>
      <c r="N678" s="117" t="n"/>
      <c r="O678" s="117" t="n"/>
      <c r="P678" s="117" t="n"/>
      <c r="Q678" s="117" t="n"/>
      <c r="R678" s="118" t="n"/>
      <c r="S678" s="119" t="n"/>
      <c r="T678" s="120" t="n"/>
      <c r="U678" s="123" t="n"/>
      <c r="V678" s="123" t="n"/>
      <c r="Y678" s="117" t="n"/>
      <c r="Z678" s="117" t="n"/>
      <c r="AA678" s="118" t="n"/>
      <c r="AB678" s="119" t="n"/>
      <c r="AC678" s="120" t="n"/>
      <c r="AD678" s="120" t="n"/>
      <c r="AE678" s="120" t="n"/>
    </row>
    <row r="679" ht="15" customHeight="1" s="72">
      <c r="A679" s="117" t="n"/>
      <c r="B679" s="117" t="n"/>
      <c r="C679" s="118" t="n"/>
      <c r="D679" s="118" t="n"/>
      <c r="E679" s="118" t="n"/>
      <c r="F679" s="123" t="n"/>
      <c r="G679" s="119" t="n"/>
      <c r="H679" s="123" t="n"/>
      <c r="I679" s="123" t="n"/>
      <c r="J679" s="125" t="n"/>
      <c r="K679" s="120" t="n"/>
      <c r="N679" s="117" t="n"/>
      <c r="O679" s="117" t="n"/>
      <c r="P679" s="117" t="n"/>
      <c r="Q679" s="117" t="n"/>
      <c r="R679" s="118" t="n"/>
      <c r="S679" s="119" t="n"/>
      <c r="T679" s="120" t="n"/>
      <c r="U679" s="123" t="n"/>
      <c r="V679" s="123" t="n"/>
      <c r="Y679" s="117" t="n"/>
      <c r="Z679" s="117" t="n"/>
      <c r="AA679" s="118" t="n"/>
      <c r="AB679" s="119" t="n"/>
      <c r="AC679" s="120" t="n"/>
      <c r="AD679" s="120" t="n"/>
      <c r="AE679" s="120" t="n"/>
    </row>
    <row r="680" ht="15" customHeight="1" s="72">
      <c r="A680" s="117" t="n"/>
      <c r="B680" s="117" t="n"/>
      <c r="C680" s="118" t="n"/>
      <c r="D680" s="118" t="n"/>
      <c r="E680" s="118" t="n"/>
      <c r="F680" s="123" t="n"/>
      <c r="G680" s="119" t="n"/>
      <c r="H680" s="123" t="n"/>
      <c r="I680" s="123" t="n"/>
      <c r="J680" s="125" t="n"/>
      <c r="K680" s="120" t="n"/>
      <c r="N680" s="117" t="n"/>
      <c r="O680" s="117" t="n"/>
      <c r="P680" s="117" t="n"/>
      <c r="Q680" s="117" t="n"/>
      <c r="R680" s="118" t="n"/>
      <c r="S680" s="119" t="n"/>
      <c r="T680" s="120" t="n"/>
      <c r="U680" s="123" t="n"/>
      <c r="V680" s="123" t="n"/>
      <c r="Y680" s="117" t="n"/>
      <c r="Z680" s="117" t="n"/>
      <c r="AA680" s="118" t="n"/>
      <c r="AB680" s="119" t="n"/>
      <c r="AC680" s="120" t="n"/>
      <c r="AD680" s="120" t="n"/>
      <c r="AE680" s="120" t="n"/>
    </row>
    <row r="681" ht="15" customHeight="1" s="72">
      <c r="A681" s="117" t="n"/>
      <c r="B681" s="117" t="n"/>
      <c r="C681" s="118" t="n"/>
      <c r="D681" s="118" t="n"/>
      <c r="E681" s="118" t="n"/>
      <c r="F681" s="123" t="n"/>
      <c r="G681" s="119" t="n"/>
      <c r="H681" s="123" t="n"/>
      <c r="I681" s="123" t="n"/>
      <c r="J681" s="125" t="n"/>
      <c r="K681" s="120" t="n"/>
      <c r="N681" s="117" t="n"/>
      <c r="O681" s="117" t="n"/>
      <c r="P681" s="117" t="n"/>
      <c r="Q681" s="117" t="n"/>
      <c r="R681" s="118" t="n"/>
      <c r="S681" s="119" t="n"/>
      <c r="T681" s="120" t="n"/>
      <c r="U681" s="123" t="n"/>
      <c r="V681" s="123" t="n"/>
      <c r="Y681" s="117" t="n"/>
      <c r="Z681" s="117" t="n"/>
      <c r="AA681" s="118" t="n"/>
      <c r="AB681" s="119" t="n"/>
      <c r="AC681" s="120" t="n"/>
      <c r="AD681" s="120" t="n"/>
      <c r="AE681" s="120" t="n"/>
    </row>
    <row r="682" ht="15" customHeight="1" s="72">
      <c r="A682" s="117" t="n"/>
      <c r="B682" s="117" t="n"/>
      <c r="C682" s="118" t="n"/>
      <c r="D682" s="118" t="n"/>
      <c r="E682" s="118" t="n"/>
      <c r="F682" s="123" t="n"/>
      <c r="G682" s="119" t="n"/>
      <c r="H682" s="123" t="n"/>
      <c r="I682" s="123" t="n"/>
      <c r="J682" s="125" t="n"/>
      <c r="K682" s="120" t="n"/>
      <c r="N682" s="117" t="n"/>
      <c r="O682" s="117" t="n"/>
      <c r="P682" s="117" t="n"/>
      <c r="Q682" s="117" t="n"/>
      <c r="R682" s="118" t="n"/>
      <c r="S682" s="119" t="n"/>
      <c r="T682" s="120" t="n"/>
      <c r="U682" s="123" t="n"/>
      <c r="V682" s="123" t="n"/>
      <c r="Y682" s="117" t="n"/>
      <c r="Z682" s="117" t="n"/>
      <c r="AA682" s="118" t="n"/>
      <c r="AB682" s="119" t="n"/>
      <c r="AC682" s="120" t="n"/>
      <c r="AD682" s="120" t="n"/>
      <c r="AE682" s="120" t="n"/>
    </row>
    <row r="683" ht="15" customHeight="1" s="72">
      <c r="A683" s="117" t="n"/>
      <c r="B683" s="117" t="n"/>
      <c r="C683" s="118" t="n"/>
      <c r="D683" s="118" t="n"/>
      <c r="E683" s="118" t="n"/>
      <c r="F683" s="123" t="n"/>
      <c r="G683" s="119" t="n"/>
      <c r="H683" s="123" t="n"/>
      <c r="I683" s="123" t="n"/>
      <c r="J683" s="125" t="n"/>
      <c r="K683" s="120" t="n"/>
      <c r="N683" s="117" t="n"/>
      <c r="O683" s="117" t="n"/>
      <c r="P683" s="117" t="n"/>
      <c r="Q683" s="117" t="n"/>
      <c r="R683" s="118" t="n"/>
      <c r="S683" s="119" t="n"/>
      <c r="T683" s="120" t="n"/>
      <c r="U683" s="123" t="n"/>
      <c r="V683" s="123" t="n"/>
      <c r="Y683" s="117" t="n"/>
      <c r="Z683" s="117" t="n"/>
      <c r="AA683" s="118" t="n"/>
      <c r="AB683" s="119" t="n"/>
      <c r="AC683" s="120" t="n"/>
      <c r="AD683" s="120" t="n"/>
      <c r="AE683" s="120" t="n"/>
    </row>
    <row r="684" ht="15" customHeight="1" s="72">
      <c r="A684" s="117" t="n"/>
      <c r="B684" s="117" t="n"/>
      <c r="C684" s="118" t="n"/>
      <c r="D684" s="118" t="n"/>
      <c r="E684" s="118" t="n"/>
      <c r="F684" s="123" t="n"/>
      <c r="G684" s="119" t="n"/>
      <c r="H684" s="123" t="n"/>
      <c r="I684" s="123" t="n"/>
      <c r="J684" s="125" t="n"/>
      <c r="K684" s="120" t="n"/>
      <c r="N684" s="117" t="n"/>
      <c r="O684" s="117" t="n"/>
      <c r="P684" s="117" t="n"/>
      <c r="Q684" s="117" t="n"/>
      <c r="R684" s="118" t="n"/>
      <c r="S684" s="119" t="n"/>
      <c r="T684" s="120" t="n"/>
      <c r="U684" s="123" t="n"/>
      <c r="V684" s="123" t="n"/>
      <c r="Y684" s="117" t="n"/>
      <c r="Z684" s="117" t="n"/>
      <c r="AA684" s="118" t="n"/>
      <c r="AB684" s="119" t="n"/>
      <c r="AC684" s="120" t="n"/>
      <c r="AD684" s="120" t="n"/>
      <c r="AE684" s="120" t="n"/>
    </row>
    <row r="685" ht="15" customHeight="1" s="72">
      <c r="A685" s="117" t="n"/>
      <c r="B685" s="117" t="n"/>
      <c r="C685" s="118" t="n"/>
      <c r="D685" s="118" t="n"/>
      <c r="E685" s="118" t="n"/>
      <c r="F685" s="123" t="n"/>
      <c r="G685" s="119" t="n"/>
      <c r="H685" s="123" t="n"/>
      <c r="I685" s="123" t="n"/>
      <c r="J685" s="125" t="n"/>
      <c r="K685" s="120" t="n"/>
      <c r="N685" s="117" t="n"/>
      <c r="O685" s="117" t="n"/>
      <c r="P685" s="117" t="n"/>
      <c r="Q685" s="117" t="n"/>
      <c r="R685" s="118" t="n"/>
      <c r="S685" s="119" t="n"/>
      <c r="T685" s="120" t="n"/>
      <c r="U685" s="123" t="n"/>
      <c r="V685" s="123" t="n"/>
      <c r="Y685" s="117" t="n"/>
      <c r="Z685" s="117" t="n"/>
      <c r="AA685" s="118" t="n"/>
      <c r="AB685" s="119" t="n"/>
      <c r="AC685" s="120" t="n"/>
      <c r="AD685" s="120" t="n"/>
      <c r="AE685" s="120" t="n"/>
    </row>
    <row r="686" ht="15" customHeight="1" s="72">
      <c r="A686" s="117" t="n"/>
      <c r="B686" s="117" t="n"/>
      <c r="C686" s="118" t="n"/>
      <c r="D686" s="118" t="n"/>
      <c r="E686" s="118" t="n"/>
      <c r="F686" s="123" t="n"/>
      <c r="G686" s="119" t="n"/>
      <c r="H686" s="123" t="n"/>
      <c r="I686" s="123" t="n"/>
      <c r="J686" s="125" t="n"/>
      <c r="K686" s="120" t="n"/>
      <c r="N686" s="117" t="n"/>
      <c r="O686" s="117" t="n"/>
      <c r="P686" s="117" t="n"/>
      <c r="Q686" s="117" t="n"/>
      <c r="R686" s="118" t="n"/>
      <c r="S686" s="119" t="n"/>
      <c r="T686" s="120" t="n"/>
      <c r="U686" s="123" t="n"/>
      <c r="V686" s="123" t="n"/>
      <c r="Y686" s="117" t="n"/>
      <c r="Z686" s="117" t="n"/>
      <c r="AA686" s="118" t="n"/>
      <c r="AB686" s="119" t="n"/>
      <c r="AC686" s="120" t="n"/>
      <c r="AD686" s="120" t="n"/>
      <c r="AE686" s="120" t="n"/>
    </row>
    <row r="687" ht="15" customHeight="1" s="72">
      <c r="A687" s="117" t="n"/>
      <c r="B687" s="117" t="n"/>
      <c r="C687" s="118" t="n"/>
      <c r="D687" s="118" t="n"/>
      <c r="E687" s="118" t="n"/>
      <c r="F687" s="123" t="n"/>
      <c r="G687" s="119" t="n"/>
      <c r="H687" s="123" t="n"/>
      <c r="I687" s="123" t="n"/>
      <c r="J687" s="125" t="n"/>
      <c r="K687" s="120" t="n"/>
      <c r="N687" s="117" t="n"/>
      <c r="O687" s="117" t="n"/>
      <c r="P687" s="117" t="n"/>
      <c r="Q687" s="117" t="n"/>
      <c r="R687" s="118" t="n"/>
      <c r="S687" s="119" t="n"/>
      <c r="T687" s="120" t="n"/>
      <c r="U687" s="123" t="n"/>
      <c r="V687" s="123" t="n"/>
      <c r="Y687" s="117" t="n"/>
      <c r="Z687" s="117" t="n"/>
      <c r="AA687" s="118" t="n"/>
      <c r="AB687" s="119" t="n"/>
      <c r="AC687" s="120" t="n"/>
      <c r="AD687" s="120" t="n"/>
      <c r="AE687" s="120" t="n"/>
    </row>
    <row r="688" ht="15" customHeight="1" s="72">
      <c r="A688" s="117" t="n"/>
      <c r="B688" s="117" t="n"/>
      <c r="C688" s="118" t="n"/>
      <c r="D688" s="118" t="n"/>
      <c r="E688" s="118" t="n"/>
      <c r="F688" s="123" t="n"/>
      <c r="G688" s="119" t="n"/>
      <c r="H688" s="123" t="n"/>
      <c r="I688" s="123" t="n"/>
      <c r="J688" s="125" t="n"/>
      <c r="K688" s="120" t="n"/>
      <c r="N688" s="117" t="n"/>
      <c r="O688" s="117" t="n"/>
      <c r="P688" s="117" t="n"/>
      <c r="Q688" s="117" t="n"/>
      <c r="R688" s="118" t="n"/>
      <c r="S688" s="119" t="n"/>
      <c r="T688" s="120" t="n"/>
      <c r="U688" s="123" t="n"/>
      <c r="V688" s="123" t="n"/>
      <c r="Y688" s="117" t="n"/>
      <c r="Z688" s="117" t="n"/>
      <c r="AA688" s="118" t="n"/>
      <c r="AB688" s="119" t="n"/>
      <c r="AC688" s="120" t="n"/>
      <c r="AD688" s="120" t="n"/>
      <c r="AE688" s="120" t="n"/>
    </row>
    <row r="689" ht="15" customHeight="1" s="72">
      <c r="A689" s="117" t="n"/>
      <c r="B689" s="117" t="n"/>
      <c r="C689" s="118" t="n"/>
      <c r="D689" s="118" t="n"/>
      <c r="E689" s="118" t="n"/>
      <c r="F689" s="123" t="n"/>
      <c r="G689" s="119" t="n"/>
      <c r="H689" s="123" t="n"/>
      <c r="I689" s="123" t="n"/>
      <c r="J689" s="125" t="n"/>
      <c r="K689" s="120" t="n"/>
      <c r="N689" s="117" t="n"/>
      <c r="O689" s="117" t="n"/>
      <c r="P689" s="117" t="n"/>
      <c r="Q689" s="117" t="n"/>
      <c r="R689" s="118" t="n"/>
      <c r="S689" s="119" t="n"/>
      <c r="T689" s="120" t="n"/>
      <c r="U689" s="123" t="n"/>
      <c r="V689" s="123" t="n"/>
      <c r="Y689" s="117" t="n"/>
      <c r="Z689" s="117" t="n"/>
      <c r="AA689" s="118" t="n"/>
      <c r="AB689" s="119" t="n"/>
      <c r="AC689" s="120" t="n"/>
      <c r="AD689" s="120" t="n"/>
      <c r="AE689" s="120" t="n"/>
    </row>
    <row r="690" ht="15" customHeight="1" s="72">
      <c r="A690" s="117" t="n"/>
      <c r="B690" s="117" t="n"/>
      <c r="C690" s="118" t="n"/>
      <c r="D690" s="118" t="n"/>
      <c r="E690" s="118" t="n"/>
      <c r="F690" s="123" t="n"/>
      <c r="G690" s="119" t="n"/>
      <c r="H690" s="123" t="n"/>
      <c r="I690" s="123" t="n"/>
      <c r="J690" s="125" t="n"/>
      <c r="K690" s="120" t="n"/>
      <c r="N690" s="117" t="n"/>
      <c r="O690" s="117" t="n"/>
      <c r="P690" s="117" t="n"/>
      <c r="Q690" s="117" t="n"/>
      <c r="R690" s="118" t="n"/>
      <c r="S690" s="119" t="n"/>
      <c r="T690" s="120" t="n"/>
      <c r="U690" s="123" t="n"/>
      <c r="V690" s="123" t="n"/>
      <c r="Y690" s="117" t="n"/>
      <c r="Z690" s="117" t="n"/>
      <c r="AA690" s="118" t="n"/>
      <c r="AB690" s="119" t="n"/>
      <c r="AC690" s="120" t="n"/>
      <c r="AD690" s="120" t="n"/>
      <c r="AE690" s="120" t="n"/>
    </row>
    <row r="691" ht="15" customHeight="1" s="72">
      <c r="A691" s="117" t="n"/>
      <c r="B691" s="117" t="n"/>
      <c r="C691" s="118" t="n"/>
      <c r="D691" s="118" t="n"/>
      <c r="E691" s="118" t="n"/>
      <c r="F691" s="123" t="n"/>
      <c r="G691" s="119" t="n"/>
      <c r="H691" s="123" t="n"/>
      <c r="I691" s="123" t="n"/>
      <c r="J691" s="125" t="n"/>
      <c r="K691" s="120" t="n"/>
      <c r="N691" s="117" t="n"/>
      <c r="O691" s="117" t="n"/>
      <c r="P691" s="117" t="n"/>
      <c r="Q691" s="117" t="n"/>
      <c r="R691" s="118" t="n"/>
      <c r="S691" s="119" t="n"/>
      <c r="T691" s="120" t="n"/>
      <c r="U691" s="123" t="n"/>
      <c r="V691" s="123" t="n"/>
      <c r="Y691" s="117" t="n"/>
      <c r="Z691" s="117" t="n"/>
      <c r="AA691" s="118" t="n"/>
      <c r="AB691" s="119" t="n"/>
      <c r="AC691" s="120" t="n"/>
      <c r="AD691" s="120" t="n"/>
      <c r="AE691" s="120" t="n"/>
    </row>
    <row r="692" ht="15" customHeight="1" s="72">
      <c r="A692" s="117" t="n"/>
      <c r="B692" s="117" t="n"/>
      <c r="C692" s="118" t="n"/>
      <c r="D692" s="118" t="n"/>
      <c r="E692" s="118" t="n"/>
      <c r="F692" s="123" t="n"/>
      <c r="G692" s="119" t="n"/>
      <c r="H692" s="123" t="n"/>
      <c r="I692" s="123" t="n"/>
      <c r="J692" s="125" t="n"/>
      <c r="K692" s="120" t="n"/>
      <c r="N692" s="117" t="n"/>
      <c r="O692" s="117" t="n"/>
      <c r="P692" s="117" t="n"/>
      <c r="Q692" s="117" t="n"/>
      <c r="R692" s="118" t="n"/>
      <c r="S692" s="119" t="n"/>
      <c r="T692" s="120" t="n"/>
      <c r="U692" s="123" t="n"/>
      <c r="V692" s="123" t="n"/>
      <c r="Y692" s="117" t="n"/>
      <c r="Z692" s="117" t="n"/>
      <c r="AA692" s="118" t="n"/>
      <c r="AB692" s="119" t="n"/>
      <c r="AC692" s="120" t="n"/>
      <c r="AD692" s="120" t="n"/>
      <c r="AE692" s="120" t="n"/>
    </row>
    <row r="693" ht="15" customHeight="1" s="72">
      <c r="A693" s="117" t="n"/>
      <c r="B693" s="117" t="n"/>
      <c r="C693" s="118" t="n"/>
      <c r="D693" s="118" t="n"/>
      <c r="E693" s="118" t="n"/>
      <c r="F693" s="123" t="n"/>
      <c r="G693" s="119" t="n"/>
      <c r="H693" s="123" t="n"/>
      <c r="I693" s="123" t="n"/>
      <c r="J693" s="125" t="n"/>
      <c r="K693" s="120" t="n"/>
      <c r="N693" s="117" t="n"/>
      <c r="O693" s="117" t="n"/>
      <c r="P693" s="117" t="n"/>
      <c r="Q693" s="117" t="n"/>
      <c r="R693" s="118" t="n"/>
      <c r="S693" s="119" t="n"/>
      <c r="T693" s="120" t="n"/>
      <c r="U693" s="123" t="n"/>
      <c r="V693" s="123" t="n"/>
      <c r="Y693" s="117" t="n"/>
      <c r="Z693" s="117" t="n"/>
      <c r="AA693" s="118" t="n"/>
      <c r="AB693" s="119" t="n"/>
      <c r="AC693" s="120" t="n"/>
      <c r="AD693" s="120" t="n"/>
      <c r="AE693" s="120" t="n"/>
    </row>
    <row r="694" ht="15" customHeight="1" s="72">
      <c r="A694" s="117" t="n"/>
      <c r="B694" s="117" t="n"/>
      <c r="C694" s="118" t="n"/>
      <c r="D694" s="118" t="n"/>
      <c r="E694" s="118" t="n"/>
      <c r="F694" s="123" t="n"/>
      <c r="G694" s="119" t="n"/>
      <c r="H694" s="123" t="n"/>
      <c r="I694" s="123" t="n"/>
      <c r="J694" s="125" t="n"/>
      <c r="K694" s="120" t="n"/>
      <c r="N694" s="117" t="n"/>
      <c r="O694" s="117" t="n"/>
      <c r="P694" s="117" t="n"/>
      <c r="Q694" s="117" t="n"/>
      <c r="R694" s="118" t="n"/>
      <c r="S694" s="119" t="n"/>
      <c r="T694" s="120" t="n"/>
      <c r="U694" s="123" t="n"/>
      <c r="V694" s="123" t="n"/>
      <c r="Y694" s="117" t="n"/>
      <c r="Z694" s="117" t="n"/>
      <c r="AA694" s="118" t="n"/>
      <c r="AB694" s="119" t="n"/>
      <c r="AC694" s="120" t="n"/>
      <c r="AD694" s="120" t="n"/>
      <c r="AE694" s="120" t="n"/>
    </row>
    <row r="695" ht="15" customHeight="1" s="72">
      <c r="A695" s="117" t="n"/>
      <c r="B695" s="117" t="n"/>
      <c r="C695" s="118" t="n"/>
      <c r="D695" s="118" t="n"/>
      <c r="E695" s="118" t="n"/>
      <c r="F695" s="123" t="n"/>
      <c r="G695" s="119" t="n"/>
      <c r="H695" s="123" t="n"/>
      <c r="I695" s="123" t="n"/>
      <c r="J695" s="125" t="n"/>
      <c r="K695" s="120" t="n"/>
      <c r="N695" s="117" t="n"/>
      <c r="O695" s="117" t="n"/>
      <c r="P695" s="117" t="n"/>
      <c r="Q695" s="117" t="n"/>
      <c r="R695" s="118" t="n"/>
      <c r="S695" s="119" t="n"/>
      <c r="T695" s="120" t="n"/>
      <c r="U695" s="123" t="n"/>
      <c r="V695" s="123" t="n"/>
      <c r="Y695" s="117" t="n"/>
      <c r="Z695" s="117" t="n"/>
      <c r="AA695" s="118" t="n"/>
      <c r="AB695" s="119" t="n"/>
      <c r="AC695" s="120" t="n"/>
      <c r="AD695" s="120" t="n"/>
      <c r="AE695" s="120" t="n"/>
    </row>
    <row r="696" ht="15" customHeight="1" s="72">
      <c r="A696" s="117" t="n"/>
      <c r="B696" s="117" t="n"/>
      <c r="C696" s="118" t="n"/>
      <c r="D696" s="118" t="n"/>
      <c r="E696" s="118" t="n"/>
      <c r="F696" s="123" t="n"/>
      <c r="G696" s="119" t="n"/>
      <c r="H696" s="123" t="n"/>
      <c r="I696" s="123" t="n"/>
      <c r="J696" s="125" t="n"/>
      <c r="K696" s="120" t="n"/>
      <c r="N696" s="117" t="n"/>
      <c r="O696" s="117" t="n"/>
      <c r="P696" s="117" t="n"/>
      <c r="Q696" s="117" t="n"/>
      <c r="R696" s="118" t="n"/>
      <c r="S696" s="119" t="n"/>
      <c r="T696" s="120" t="n"/>
      <c r="U696" s="123" t="n"/>
      <c r="V696" s="123" t="n"/>
      <c r="Y696" s="117" t="n"/>
      <c r="Z696" s="117" t="n"/>
      <c r="AA696" s="118" t="n"/>
      <c r="AB696" s="119" t="n"/>
      <c r="AC696" s="120" t="n"/>
      <c r="AD696" s="120" t="n"/>
      <c r="AE696" s="120" t="n"/>
    </row>
    <row r="697" ht="15" customHeight="1" s="72">
      <c r="A697" s="117" t="n"/>
      <c r="B697" s="117" t="n"/>
      <c r="C697" s="118" t="n"/>
      <c r="D697" s="118" t="n"/>
      <c r="E697" s="118" t="n"/>
      <c r="F697" s="123" t="n"/>
      <c r="G697" s="119" t="n"/>
      <c r="H697" s="123" t="n"/>
      <c r="I697" s="123" t="n"/>
      <c r="J697" s="125" t="n"/>
      <c r="K697" s="120" t="n"/>
      <c r="N697" s="117" t="n"/>
      <c r="O697" s="117" t="n"/>
      <c r="P697" s="117" t="n"/>
      <c r="Q697" s="117" t="n"/>
      <c r="R697" s="118" t="n"/>
      <c r="S697" s="119" t="n"/>
      <c r="T697" s="120" t="n"/>
      <c r="U697" s="123" t="n"/>
      <c r="V697" s="123" t="n"/>
      <c r="Y697" s="117" t="n"/>
      <c r="Z697" s="117" t="n"/>
      <c r="AA697" s="118" t="n"/>
      <c r="AB697" s="119" t="n"/>
      <c r="AC697" s="120" t="n"/>
      <c r="AD697" s="120" t="n"/>
      <c r="AE697" s="120" t="n"/>
    </row>
    <row r="698" ht="15" customHeight="1" s="72">
      <c r="A698" s="117" t="n"/>
      <c r="B698" s="117" t="n"/>
      <c r="C698" s="118" t="n"/>
      <c r="D698" s="118" t="n"/>
      <c r="E698" s="118" t="n"/>
      <c r="F698" s="123" t="n"/>
      <c r="G698" s="119" t="n"/>
      <c r="H698" s="123" t="n"/>
      <c r="I698" s="123" t="n"/>
      <c r="J698" s="125" t="n"/>
      <c r="K698" s="120" t="n"/>
      <c r="N698" s="117" t="n"/>
      <c r="O698" s="117" t="n"/>
      <c r="P698" s="117" t="n"/>
      <c r="Q698" s="117" t="n"/>
      <c r="R698" s="118" t="n"/>
      <c r="S698" s="119" t="n"/>
      <c r="T698" s="120" t="n"/>
      <c r="U698" s="123" t="n"/>
      <c r="V698" s="123" t="n"/>
      <c r="Y698" s="117" t="n"/>
      <c r="Z698" s="117" t="n"/>
      <c r="AA698" s="118" t="n"/>
      <c r="AB698" s="119" t="n"/>
      <c r="AC698" s="120" t="n"/>
      <c r="AD698" s="120" t="n"/>
      <c r="AE698" s="120" t="n"/>
    </row>
    <row r="699" ht="15" customHeight="1" s="72">
      <c r="A699" s="117" t="n"/>
      <c r="B699" s="117" t="n"/>
      <c r="C699" s="118" t="n"/>
      <c r="D699" s="118" t="n"/>
      <c r="E699" s="118" t="n"/>
      <c r="F699" s="123" t="n"/>
      <c r="G699" s="119" t="n"/>
      <c r="H699" s="123" t="n"/>
      <c r="I699" s="123" t="n"/>
      <c r="J699" s="125" t="n"/>
      <c r="K699" s="120" t="n"/>
      <c r="N699" s="117" t="n"/>
      <c r="O699" s="117" t="n"/>
      <c r="P699" s="117" t="n"/>
      <c r="Q699" s="117" t="n"/>
      <c r="R699" s="118" t="n"/>
      <c r="S699" s="119" t="n"/>
      <c r="T699" s="120" t="n"/>
      <c r="U699" s="123" t="n"/>
      <c r="V699" s="123" t="n"/>
      <c r="Y699" s="117" t="n"/>
      <c r="Z699" s="117" t="n"/>
      <c r="AA699" s="118" t="n"/>
      <c r="AB699" s="119" t="n"/>
      <c r="AC699" s="120" t="n"/>
      <c r="AD699" s="120" t="n"/>
      <c r="AE699" s="120" t="n"/>
    </row>
    <row r="700" ht="15" customHeight="1" s="72">
      <c r="A700" s="117" t="n"/>
      <c r="B700" s="117" t="n"/>
      <c r="C700" s="118" t="n"/>
      <c r="D700" s="118" t="n"/>
      <c r="E700" s="118" t="n"/>
      <c r="F700" s="123" t="n"/>
      <c r="G700" s="119" t="n"/>
      <c r="H700" s="123" t="n"/>
      <c r="I700" s="123" t="n"/>
      <c r="J700" s="125" t="n"/>
      <c r="K700" s="120" t="n"/>
      <c r="N700" s="117" t="n"/>
      <c r="O700" s="117" t="n"/>
      <c r="P700" s="117" t="n"/>
      <c r="Q700" s="117" t="n"/>
      <c r="R700" s="118" t="n"/>
      <c r="S700" s="119" t="n"/>
      <c r="T700" s="120" t="n"/>
      <c r="U700" s="123" t="n"/>
      <c r="V700" s="123" t="n"/>
      <c r="Y700" s="117" t="n"/>
      <c r="Z700" s="117" t="n"/>
      <c r="AA700" s="118" t="n"/>
      <c r="AB700" s="119" t="n"/>
      <c r="AC700" s="120" t="n"/>
      <c r="AD700" s="120" t="n"/>
      <c r="AE700" s="120" t="n"/>
    </row>
    <row r="701" ht="15" customHeight="1" s="72">
      <c r="A701" s="117" t="n"/>
      <c r="B701" s="117" t="n"/>
      <c r="C701" s="118" t="n"/>
      <c r="D701" s="118" t="n"/>
      <c r="E701" s="118" t="n"/>
      <c r="F701" s="123" t="n"/>
      <c r="G701" s="119" t="n"/>
      <c r="H701" s="123" t="n"/>
      <c r="I701" s="123" t="n"/>
      <c r="J701" s="125" t="n"/>
      <c r="K701" s="120" t="n"/>
      <c r="N701" s="117" t="n"/>
      <c r="O701" s="117" t="n"/>
      <c r="P701" s="117" t="n"/>
      <c r="Q701" s="117" t="n"/>
      <c r="R701" s="118" t="n"/>
      <c r="S701" s="119" t="n"/>
      <c r="T701" s="120" t="n"/>
      <c r="U701" s="123" t="n"/>
      <c r="V701" s="123" t="n"/>
      <c r="Y701" s="117" t="n"/>
      <c r="Z701" s="117" t="n"/>
      <c r="AA701" s="118" t="n"/>
      <c r="AB701" s="119" t="n"/>
      <c r="AC701" s="120" t="n"/>
      <c r="AD701" s="120" t="n"/>
      <c r="AE701" s="120" t="n"/>
    </row>
    <row r="702" ht="15" customHeight="1" s="72">
      <c r="A702" s="117" t="n"/>
      <c r="B702" s="117" t="n"/>
      <c r="C702" s="118" t="n"/>
      <c r="D702" s="118" t="n"/>
      <c r="E702" s="118" t="n"/>
      <c r="F702" s="123" t="n"/>
      <c r="G702" s="119" t="n"/>
      <c r="H702" s="123" t="n"/>
      <c r="I702" s="123" t="n"/>
      <c r="J702" s="125" t="n"/>
      <c r="K702" s="120" t="n"/>
      <c r="N702" s="117" t="n"/>
      <c r="O702" s="117" t="n"/>
      <c r="P702" s="117" t="n"/>
      <c r="Q702" s="117" t="n"/>
      <c r="R702" s="118" t="n"/>
      <c r="S702" s="119" t="n"/>
      <c r="T702" s="120" t="n"/>
      <c r="U702" s="123" t="n"/>
      <c r="V702" s="123" t="n"/>
      <c r="Y702" s="117" t="n"/>
      <c r="Z702" s="117" t="n"/>
      <c r="AA702" s="118" t="n"/>
      <c r="AB702" s="119" t="n"/>
      <c r="AC702" s="120" t="n"/>
      <c r="AD702" s="120" t="n"/>
      <c r="AE702" s="120" t="n"/>
    </row>
    <row r="703" ht="15" customHeight="1" s="72">
      <c r="A703" s="117" t="n"/>
      <c r="B703" s="117" t="n"/>
      <c r="C703" s="118" t="n"/>
      <c r="D703" s="118" t="n"/>
      <c r="E703" s="118" t="n"/>
      <c r="F703" s="123" t="n"/>
      <c r="G703" s="119" t="n"/>
      <c r="H703" s="123" t="n"/>
      <c r="I703" s="123" t="n"/>
      <c r="J703" s="125" t="n"/>
      <c r="K703" s="120" t="n"/>
      <c r="N703" s="117" t="n"/>
      <c r="O703" s="117" t="n"/>
      <c r="P703" s="117" t="n"/>
      <c r="Q703" s="117" t="n"/>
      <c r="R703" s="118" t="n"/>
      <c r="S703" s="119" t="n"/>
      <c r="T703" s="120" t="n"/>
      <c r="U703" s="123" t="n"/>
      <c r="V703" s="123" t="n"/>
      <c r="Y703" s="117" t="n"/>
      <c r="Z703" s="117" t="n"/>
      <c r="AA703" s="118" t="n"/>
      <c r="AB703" s="119" t="n"/>
      <c r="AC703" s="120" t="n"/>
      <c r="AD703" s="120" t="n"/>
      <c r="AE703" s="120" t="n"/>
    </row>
    <row r="704" ht="15" customHeight="1" s="72">
      <c r="A704" s="117" t="n"/>
      <c r="B704" s="117" t="n"/>
      <c r="C704" s="118" t="n"/>
      <c r="D704" s="118" t="n"/>
      <c r="E704" s="118" t="n"/>
      <c r="F704" s="123" t="n"/>
      <c r="G704" s="119" t="n"/>
      <c r="H704" s="123" t="n"/>
      <c r="I704" s="123" t="n"/>
      <c r="J704" s="125" t="n"/>
      <c r="K704" s="120" t="n"/>
      <c r="N704" s="117" t="n"/>
      <c r="O704" s="117" t="n"/>
      <c r="P704" s="117" t="n"/>
      <c r="Q704" s="117" t="n"/>
      <c r="R704" s="118" t="n"/>
      <c r="S704" s="119" t="n"/>
      <c r="T704" s="120" t="n"/>
      <c r="U704" s="123" t="n"/>
      <c r="V704" s="123" t="n"/>
      <c r="Y704" s="117" t="n"/>
      <c r="Z704" s="117" t="n"/>
      <c r="AA704" s="118" t="n"/>
      <c r="AB704" s="119" t="n"/>
      <c r="AC704" s="120" t="n"/>
      <c r="AD704" s="120" t="n"/>
      <c r="AE704" s="120" t="n"/>
    </row>
    <row r="705" ht="15" customHeight="1" s="72">
      <c r="A705" s="117" t="n"/>
      <c r="B705" s="117" t="n"/>
      <c r="C705" s="118" t="n"/>
      <c r="D705" s="118" t="n"/>
      <c r="E705" s="118" t="n"/>
      <c r="F705" s="123" t="n"/>
      <c r="G705" s="119" t="n"/>
      <c r="H705" s="123" t="n"/>
      <c r="I705" s="123" t="n"/>
      <c r="J705" s="125" t="n"/>
      <c r="K705" s="120" t="n"/>
      <c r="N705" s="117" t="n"/>
      <c r="O705" s="117" t="n"/>
      <c r="P705" s="117" t="n"/>
      <c r="Q705" s="117" t="n"/>
      <c r="R705" s="118" t="n"/>
      <c r="S705" s="119" t="n"/>
      <c r="T705" s="120" t="n"/>
      <c r="U705" s="123" t="n"/>
      <c r="V705" s="123" t="n"/>
      <c r="Y705" s="117" t="n"/>
      <c r="Z705" s="117" t="n"/>
      <c r="AA705" s="118" t="n"/>
      <c r="AB705" s="119" t="n"/>
      <c r="AC705" s="120" t="n"/>
      <c r="AD705" s="120" t="n"/>
      <c r="AE705" s="120" t="n"/>
    </row>
    <row r="706" ht="15" customHeight="1" s="72">
      <c r="A706" s="117" t="n"/>
      <c r="B706" s="117" t="n"/>
      <c r="C706" s="118" t="n"/>
      <c r="D706" s="118" t="n"/>
      <c r="E706" s="118" t="n"/>
      <c r="F706" s="123" t="n"/>
      <c r="G706" s="119" t="n"/>
      <c r="H706" s="123" t="n"/>
      <c r="I706" s="123" t="n"/>
      <c r="J706" s="125" t="n"/>
      <c r="K706" s="120" t="n"/>
      <c r="N706" s="117" t="n"/>
      <c r="O706" s="117" t="n"/>
      <c r="P706" s="117" t="n"/>
      <c r="Q706" s="117" t="n"/>
      <c r="R706" s="118" t="n"/>
      <c r="S706" s="119" t="n"/>
      <c r="T706" s="120" t="n"/>
      <c r="U706" s="123" t="n"/>
      <c r="V706" s="123" t="n"/>
      <c r="Y706" s="117" t="n"/>
      <c r="Z706" s="117" t="n"/>
      <c r="AA706" s="118" t="n"/>
      <c r="AB706" s="119" t="n"/>
      <c r="AC706" s="120" t="n"/>
      <c r="AD706" s="120" t="n"/>
      <c r="AE706" s="120" t="n"/>
    </row>
    <row r="707" ht="15" customHeight="1" s="72">
      <c r="A707" s="117" t="n"/>
      <c r="B707" s="117" t="n"/>
      <c r="C707" s="118" t="n"/>
      <c r="D707" s="118" t="n"/>
      <c r="E707" s="118" t="n"/>
      <c r="F707" s="123" t="n"/>
      <c r="G707" s="119" t="n"/>
      <c r="H707" s="123" t="n"/>
      <c r="I707" s="123" t="n"/>
      <c r="J707" s="125" t="n"/>
      <c r="K707" s="120" t="n"/>
      <c r="N707" s="117" t="n"/>
      <c r="O707" s="117" t="n"/>
      <c r="P707" s="117" t="n"/>
      <c r="Q707" s="117" t="n"/>
      <c r="R707" s="118" t="n"/>
      <c r="S707" s="119" t="n"/>
      <c r="T707" s="120" t="n"/>
      <c r="U707" s="123" t="n"/>
      <c r="V707" s="123" t="n"/>
      <c r="Y707" s="117" t="n"/>
      <c r="Z707" s="117" t="n"/>
      <c r="AA707" s="118" t="n"/>
      <c r="AB707" s="119" t="n"/>
      <c r="AC707" s="120" t="n"/>
      <c r="AD707" s="120" t="n"/>
      <c r="AE707" s="120" t="n"/>
    </row>
    <row r="708" ht="15" customHeight="1" s="72">
      <c r="A708" s="117" t="n"/>
      <c r="B708" s="117" t="n"/>
      <c r="C708" s="118" t="n"/>
      <c r="D708" s="118" t="n"/>
      <c r="E708" s="118" t="n"/>
      <c r="F708" s="123" t="n"/>
      <c r="G708" s="119" t="n"/>
      <c r="H708" s="123" t="n"/>
      <c r="I708" s="123" t="n"/>
      <c r="J708" s="125" t="n"/>
      <c r="K708" s="120" t="n"/>
      <c r="N708" s="117" t="n"/>
      <c r="O708" s="117" t="n"/>
      <c r="P708" s="117" t="n"/>
      <c r="Q708" s="117" t="n"/>
      <c r="R708" s="118" t="n"/>
      <c r="S708" s="119" t="n"/>
      <c r="T708" s="120" t="n"/>
      <c r="U708" s="123" t="n"/>
      <c r="V708" s="123" t="n"/>
      <c r="Y708" s="117" t="n"/>
      <c r="Z708" s="117" t="n"/>
      <c r="AA708" s="118" t="n"/>
      <c r="AB708" s="119" t="n"/>
      <c r="AC708" s="120" t="n"/>
      <c r="AD708" s="120" t="n"/>
      <c r="AE708" s="120" t="n"/>
    </row>
    <row r="709" ht="15" customHeight="1" s="72">
      <c r="A709" s="117" t="n"/>
      <c r="B709" s="117" t="n"/>
      <c r="C709" s="118" t="n"/>
      <c r="D709" s="118" t="n"/>
      <c r="E709" s="118" t="n"/>
      <c r="F709" s="123" t="n"/>
      <c r="G709" s="119" t="n"/>
      <c r="H709" s="123" t="n"/>
      <c r="I709" s="123" t="n"/>
      <c r="J709" s="125" t="n"/>
      <c r="K709" s="120" t="n"/>
      <c r="N709" s="117" t="n"/>
      <c r="O709" s="117" t="n"/>
      <c r="P709" s="117" t="n"/>
      <c r="Q709" s="117" t="n"/>
      <c r="R709" s="118" t="n"/>
      <c r="S709" s="119" t="n"/>
      <c r="T709" s="120" t="n"/>
      <c r="U709" s="123" t="n"/>
      <c r="V709" s="123" t="n"/>
      <c r="Y709" s="117" t="n"/>
      <c r="Z709" s="117" t="n"/>
      <c r="AA709" s="118" t="n"/>
      <c r="AB709" s="119" t="n"/>
      <c r="AC709" s="120" t="n"/>
      <c r="AD709" s="120" t="n"/>
      <c r="AE709" s="120" t="n"/>
    </row>
    <row r="710" ht="15" customHeight="1" s="72">
      <c r="A710" s="117" t="n"/>
      <c r="B710" s="117" t="n"/>
      <c r="C710" s="118" t="n"/>
      <c r="D710" s="118" t="n"/>
      <c r="E710" s="118" t="n"/>
      <c r="F710" s="123" t="n"/>
      <c r="G710" s="119" t="n"/>
      <c r="H710" s="123" t="n"/>
      <c r="I710" s="123" t="n"/>
      <c r="J710" s="125" t="n"/>
      <c r="K710" s="120" t="n"/>
      <c r="N710" s="117" t="n"/>
      <c r="O710" s="117" t="n"/>
      <c r="P710" s="117" t="n"/>
      <c r="Q710" s="117" t="n"/>
      <c r="R710" s="118" t="n"/>
      <c r="S710" s="119" t="n"/>
      <c r="T710" s="120" t="n"/>
      <c r="U710" s="123" t="n"/>
      <c r="V710" s="123" t="n"/>
      <c r="Y710" s="117" t="n"/>
      <c r="Z710" s="117" t="n"/>
      <c r="AA710" s="118" t="n"/>
      <c r="AB710" s="119" t="n"/>
      <c r="AC710" s="120" t="n"/>
      <c r="AD710" s="120" t="n"/>
      <c r="AE710" s="120" t="n"/>
    </row>
    <row r="711" ht="15" customHeight="1" s="72">
      <c r="A711" s="117" t="n"/>
      <c r="B711" s="117" t="n"/>
      <c r="C711" s="118" t="n"/>
      <c r="D711" s="118" t="n"/>
      <c r="E711" s="118" t="n"/>
      <c r="F711" s="123" t="n"/>
      <c r="G711" s="119" t="n"/>
      <c r="H711" s="123" t="n"/>
      <c r="I711" s="123" t="n"/>
      <c r="J711" s="125" t="n"/>
      <c r="K711" s="120" t="n"/>
      <c r="N711" s="117" t="n"/>
      <c r="O711" s="117" t="n"/>
      <c r="P711" s="117" t="n"/>
      <c r="Q711" s="117" t="n"/>
      <c r="R711" s="118" t="n"/>
      <c r="S711" s="119" t="n"/>
      <c r="T711" s="120" t="n"/>
      <c r="U711" s="123" t="n"/>
      <c r="V711" s="123" t="n"/>
      <c r="Y711" s="117" t="n"/>
      <c r="Z711" s="117" t="n"/>
      <c r="AA711" s="118" t="n"/>
      <c r="AB711" s="119" t="n"/>
      <c r="AC711" s="120" t="n"/>
      <c r="AD711" s="120" t="n"/>
      <c r="AE711" s="120" t="n"/>
    </row>
    <row r="712" ht="15" customHeight="1" s="72">
      <c r="A712" s="117" t="n"/>
      <c r="B712" s="117" t="n"/>
      <c r="C712" s="118" t="n"/>
      <c r="D712" s="118" t="n"/>
      <c r="E712" s="118" t="n"/>
      <c r="F712" s="123" t="n"/>
      <c r="G712" s="119" t="n"/>
      <c r="H712" s="123" t="n"/>
      <c r="I712" s="123" t="n"/>
      <c r="J712" s="125" t="n"/>
      <c r="K712" s="120" t="n"/>
      <c r="N712" s="117" t="n"/>
      <c r="O712" s="117" t="n"/>
      <c r="P712" s="117" t="n"/>
      <c r="Q712" s="117" t="n"/>
      <c r="R712" s="118" t="n"/>
      <c r="S712" s="119" t="n"/>
      <c r="T712" s="120" t="n"/>
      <c r="U712" s="123" t="n"/>
      <c r="V712" s="123" t="n"/>
      <c r="Y712" s="117" t="n"/>
      <c r="Z712" s="117" t="n"/>
      <c r="AA712" s="118" t="n"/>
      <c r="AB712" s="119" t="n"/>
      <c r="AC712" s="120" t="n"/>
      <c r="AD712" s="120" t="n"/>
      <c r="AE712" s="120" t="n"/>
    </row>
    <row r="713" ht="15" customHeight="1" s="72">
      <c r="A713" s="117" t="n"/>
      <c r="B713" s="117" t="n"/>
      <c r="C713" s="118" t="n"/>
      <c r="D713" s="118" t="n"/>
      <c r="E713" s="118" t="n"/>
      <c r="F713" s="123" t="n"/>
      <c r="G713" s="119" t="n"/>
      <c r="H713" s="123" t="n"/>
      <c r="I713" s="123" t="n"/>
      <c r="J713" s="125" t="n"/>
      <c r="K713" s="120" t="n"/>
      <c r="N713" s="117" t="n"/>
      <c r="O713" s="117" t="n"/>
      <c r="P713" s="117" t="n"/>
      <c r="Q713" s="117" t="n"/>
      <c r="R713" s="118" t="n"/>
      <c r="S713" s="119" t="n"/>
      <c r="T713" s="120" t="n"/>
      <c r="U713" s="123" t="n"/>
      <c r="V713" s="123" t="n"/>
      <c r="Y713" s="117" t="n"/>
      <c r="Z713" s="117" t="n"/>
      <c r="AA713" s="118" t="n"/>
      <c r="AB713" s="119" t="n"/>
      <c r="AC713" s="120" t="n"/>
      <c r="AD713" s="120" t="n"/>
      <c r="AE713" s="120" t="n"/>
    </row>
    <row r="714" ht="15" customHeight="1" s="72">
      <c r="A714" s="117" t="n"/>
      <c r="B714" s="117" t="n"/>
      <c r="C714" s="118" t="n"/>
      <c r="D714" s="118" t="n"/>
      <c r="E714" s="118" t="n"/>
      <c r="F714" s="123" t="n"/>
      <c r="G714" s="119" t="n"/>
      <c r="H714" s="123" t="n"/>
      <c r="I714" s="123" t="n"/>
      <c r="J714" s="125" t="n"/>
      <c r="K714" s="120" t="n"/>
      <c r="N714" s="117" t="n"/>
      <c r="O714" s="117" t="n"/>
      <c r="P714" s="117" t="n"/>
      <c r="Q714" s="117" t="n"/>
      <c r="R714" s="118" t="n"/>
      <c r="S714" s="119" t="n"/>
      <c r="T714" s="120" t="n"/>
      <c r="U714" s="123" t="n"/>
      <c r="V714" s="123" t="n"/>
      <c r="Y714" s="117" t="n"/>
      <c r="Z714" s="117" t="n"/>
      <c r="AA714" s="118" t="n"/>
      <c r="AB714" s="119" t="n"/>
      <c r="AC714" s="120" t="n"/>
      <c r="AD714" s="120" t="n"/>
      <c r="AE714" s="120" t="n"/>
    </row>
    <row r="715" ht="15" customHeight="1" s="72">
      <c r="A715" s="117" t="n"/>
      <c r="B715" s="117" t="n"/>
      <c r="C715" s="118" t="n"/>
      <c r="D715" s="118" t="n"/>
      <c r="E715" s="118" t="n"/>
      <c r="F715" s="123" t="n"/>
      <c r="G715" s="119" t="n"/>
      <c r="H715" s="123" t="n"/>
      <c r="I715" s="123" t="n"/>
      <c r="J715" s="125" t="n"/>
      <c r="K715" s="120" t="n"/>
      <c r="N715" s="117" t="n"/>
      <c r="O715" s="117" t="n"/>
      <c r="P715" s="117" t="n"/>
      <c r="Q715" s="117" t="n"/>
      <c r="R715" s="118" t="n"/>
      <c r="S715" s="119" t="n"/>
      <c r="T715" s="120" t="n"/>
      <c r="U715" s="123" t="n"/>
      <c r="V715" s="123" t="n"/>
      <c r="Y715" s="117" t="n"/>
      <c r="Z715" s="117" t="n"/>
      <c r="AA715" s="118" t="n"/>
      <c r="AB715" s="119" t="n"/>
      <c r="AC715" s="120" t="n"/>
      <c r="AD715" s="120" t="n"/>
      <c r="AE715" s="120" t="n"/>
    </row>
    <row r="716" ht="15" customHeight="1" s="72">
      <c r="A716" s="117" t="n"/>
      <c r="B716" s="117" t="n"/>
      <c r="C716" s="118" t="n"/>
      <c r="D716" s="118" t="n"/>
      <c r="E716" s="118" t="n"/>
      <c r="F716" s="123" t="n"/>
      <c r="G716" s="119" t="n"/>
      <c r="H716" s="123" t="n"/>
      <c r="I716" s="123" t="n"/>
      <c r="J716" s="125" t="n"/>
      <c r="K716" s="120" t="n"/>
      <c r="N716" s="117" t="n"/>
      <c r="O716" s="117" t="n"/>
      <c r="P716" s="117" t="n"/>
      <c r="Q716" s="117" t="n"/>
      <c r="R716" s="118" t="n"/>
      <c r="S716" s="119" t="n"/>
      <c r="T716" s="120" t="n"/>
      <c r="U716" s="123" t="n"/>
      <c r="V716" s="123" t="n"/>
      <c r="Y716" s="117" t="n"/>
      <c r="Z716" s="117" t="n"/>
      <c r="AA716" s="118" t="n"/>
      <c r="AB716" s="119" t="n"/>
      <c r="AC716" s="120" t="n"/>
      <c r="AD716" s="120" t="n"/>
      <c r="AE716" s="120" t="n"/>
    </row>
    <row r="717" ht="15" customHeight="1" s="72">
      <c r="A717" s="117" t="n"/>
      <c r="B717" s="117" t="n"/>
      <c r="C717" s="118" t="n"/>
      <c r="D717" s="118" t="n"/>
      <c r="E717" s="118" t="n"/>
      <c r="F717" s="123" t="n"/>
      <c r="G717" s="119" t="n"/>
      <c r="H717" s="123" t="n"/>
      <c r="I717" s="123" t="n"/>
      <c r="J717" s="125" t="n"/>
      <c r="K717" s="120" t="n"/>
      <c r="N717" s="117" t="n"/>
      <c r="O717" s="117" t="n"/>
      <c r="P717" s="117" t="n"/>
      <c r="Q717" s="117" t="n"/>
      <c r="R717" s="118" t="n"/>
      <c r="S717" s="119" t="n"/>
      <c r="T717" s="120" t="n"/>
      <c r="U717" s="123" t="n"/>
      <c r="V717" s="123" t="n"/>
      <c r="Y717" s="117" t="n"/>
      <c r="Z717" s="117" t="n"/>
      <c r="AA717" s="118" t="n"/>
      <c r="AB717" s="119" t="n"/>
      <c r="AC717" s="120" t="n"/>
      <c r="AD717" s="120" t="n"/>
      <c r="AE717" s="120" t="n"/>
    </row>
    <row r="718" ht="15" customHeight="1" s="72">
      <c r="A718" s="117" t="n"/>
      <c r="B718" s="117" t="n"/>
      <c r="C718" s="118" t="n"/>
      <c r="D718" s="118" t="n"/>
      <c r="E718" s="118" t="n"/>
      <c r="F718" s="123" t="n"/>
      <c r="G718" s="119" t="n"/>
      <c r="H718" s="123" t="n"/>
      <c r="I718" s="123" t="n"/>
      <c r="J718" s="125" t="n"/>
      <c r="K718" s="120" t="n"/>
      <c r="N718" s="117" t="n"/>
      <c r="O718" s="117" t="n"/>
      <c r="P718" s="117" t="n"/>
      <c r="Q718" s="117" t="n"/>
      <c r="R718" s="118" t="n"/>
      <c r="S718" s="119" t="n"/>
      <c r="T718" s="120" t="n"/>
      <c r="U718" s="123" t="n"/>
      <c r="V718" s="123" t="n"/>
      <c r="Y718" s="117" t="n"/>
      <c r="Z718" s="117" t="n"/>
      <c r="AA718" s="118" t="n"/>
      <c r="AB718" s="119" t="n"/>
      <c r="AC718" s="120" t="n"/>
      <c r="AD718" s="120" t="n"/>
      <c r="AE718" s="120" t="n"/>
    </row>
    <row r="719" ht="15" customHeight="1" s="72">
      <c r="A719" s="117" t="n"/>
      <c r="B719" s="117" t="n"/>
      <c r="C719" s="118" t="n"/>
      <c r="D719" s="118" t="n"/>
      <c r="E719" s="118" t="n"/>
      <c r="F719" s="123" t="n"/>
      <c r="G719" s="119" t="n"/>
      <c r="H719" s="123" t="n"/>
      <c r="I719" s="123" t="n"/>
      <c r="J719" s="125" t="n"/>
      <c r="K719" s="120" t="n"/>
      <c r="N719" s="117" t="n"/>
      <c r="O719" s="117" t="n"/>
      <c r="P719" s="117" t="n"/>
      <c r="Q719" s="117" t="n"/>
      <c r="R719" s="118" t="n"/>
      <c r="S719" s="119" t="n"/>
      <c r="T719" s="120" t="n"/>
      <c r="U719" s="123" t="n"/>
      <c r="V719" s="123" t="n"/>
      <c r="Y719" s="117" t="n"/>
      <c r="Z719" s="117" t="n"/>
      <c r="AA719" s="118" t="n"/>
      <c r="AB719" s="119" t="n"/>
      <c r="AC719" s="120" t="n"/>
      <c r="AD719" s="120" t="n"/>
      <c r="AE719" s="120" t="n"/>
    </row>
    <row r="720" ht="15" customHeight="1" s="72">
      <c r="A720" s="117" t="n"/>
      <c r="B720" s="117" t="n"/>
      <c r="C720" s="118" t="n"/>
      <c r="D720" s="118" t="n"/>
      <c r="E720" s="118" t="n"/>
      <c r="F720" s="123" t="n"/>
      <c r="G720" s="119" t="n"/>
      <c r="H720" s="123" t="n"/>
      <c r="I720" s="123" t="n"/>
      <c r="J720" s="125" t="n"/>
      <c r="K720" s="120" t="n"/>
      <c r="N720" s="117" t="n"/>
      <c r="O720" s="117" t="n"/>
      <c r="P720" s="117" t="n"/>
      <c r="Q720" s="117" t="n"/>
      <c r="R720" s="118" t="n"/>
      <c r="S720" s="119" t="n"/>
      <c r="T720" s="120" t="n"/>
      <c r="U720" s="123" t="n"/>
      <c r="V720" s="123" t="n"/>
      <c r="Y720" s="117" t="n"/>
      <c r="Z720" s="117" t="n"/>
      <c r="AA720" s="118" t="n"/>
      <c r="AB720" s="119" t="n"/>
      <c r="AC720" s="120" t="n"/>
      <c r="AD720" s="120" t="n"/>
      <c r="AE720" s="120" t="n"/>
    </row>
    <row r="721" ht="15" customHeight="1" s="72">
      <c r="A721" s="117" t="n"/>
      <c r="B721" s="117" t="n"/>
      <c r="C721" s="118" t="n"/>
      <c r="D721" s="118" t="n"/>
      <c r="E721" s="118" t="n"/>
      <c r="F721" s="123" t="n"/>
      <c r="G721" s="119" t="n"/>
      <c r="H721" s="123" t="n"/>
      <c r="I721" s="123" t="n"/>
      <c r="J721" s="125" t="n"/>
      <c r="K721" s="120" t="n"/>
      <c r="N721" s="117" t="n"/>
      <c r="O721" s="117" t="n"/>
      <c r="P721" s="117" t="n"/>
      <c r="Q721" s="117" t="n"/>
      <c r="R721" s="118" t="n"/>
      <c r="S721" s="119" t="n"/>
      <c r="T721" s="120" t="n"/>
      <c r="U721" s="123" t="n"/>
      <c r="V721" s="123" t="n"/>
      <c r="Y721" s="117" t="n"/>
      <c r="Z721" s="117" t="n"/>
      <c r="AA721" s="118" t="n"/>
      <c r="AB721" s="119" t="n"/>
      <c r="AC721" s="120" t="n"/>
      <c r="AD721" s="120" t="n"/>
      <c r="AE721" s="120" t="n"/>
    </row>
    <row r="722" ht="15" customHeight="1" s="72">
      <c r="A722" s="117" t="n"/>
      <c r="B722" s="117" t="n"/>
      <c r="C722" s="118" t="n"/>
      <c r="D722" s="118" t="n"/>
      <c r="E722" s="118" t="n"/>
      <c r="F722" s="123" t="n"/>
      <c r="G722" s="119" t="n"/>
      <c r="H722" s="123" t="n"/>
      <c r="I722" s="123" t="n"/>
      <c r="J722" s="125" t="n"/>
      <c r="K722" s="120" t="n"/>
      <c r="N722" s="117" t="n"/>
      <c r="O722" s="117" t="n"/>
      <c r="P722" s="117" t="n"/>
      <c r="Q722" s="117" t="n"/>
      <c r="R722" s="118" t="n"/>
      <c r="S722" s="119" t="n"/>
      <c r="T722" s="120" t="n"/>
      <c r="U722" s="123" t="n"/>
      <c r="V722" s="123" t="n"/>
      <c r="Y722" s="117" t="n"/>
      <c r="Z722" s="117" t="n"/>
      <c r="AA722" s="118" t="n"/>
      <c r="AB722" s="119" t="n"/>
      <c r="AC722" s="120" t="n"/>
      <c r="AD722" s="120" t="n"/>
      <c r="AE722" s="120" t="n"/>
    </row>
    <row r="723" ht="15" customHeight="1" s="72">
      <c r="A723" s="117" t="n"/>
      <c r="B723" s="117" t="n"/>
      <c r="C723" s="118" t="n"/>
      <c r="D723" s="118" t="n"/>
      <c r="E723" s="118" t="n"/>
      <c r="F723" s="123" t="n"/>
      <c r="G723" s="119" t="n"/>
      <c r="H723" s="123" t="n"/>
      <c r="I723" s="123" t="n"/>
      <c r="J723" s="125" t="n"/>
      <c r="K723" s="120" t="n"/>
      <c r="N723" s="117" t="n"/>
      <c r="O723" s="117" t="n"/>
      <c r="P723" s="117" t="n"/>
      <c r="Q723" s="117" t="n"/>
      <c r="R723" s="118" t="n"/>
      <c r="S723" s="119" t="n"/>
      <c r="T723" s="120" t="n"/>
      <c r="U723" s="123" t="n"/>
      <c r="V723" s="123" t="n"/>
      <c r="Y723" s="117" t="n"/>
      <c r="Z723" s="117" t="n"/>
      <c r="AA723" s="118" t="n"/>
      <c r="AB723" s="119" t="n"/>
      <c r="AC723" s="120" t="n"/>
      <c r="AD723" s="120" t="n"/>
      <c r="AE723" s="120" t="n"/>
    </row>
    <row r="724" ht="15" customHeight="1" s="72">
      <c r="A724" s="117" t="n"/>
      <c r="B724" s="117" t="n"/>
      <c r="C724" s="118" t="n"/>
      <c r="D724" s="118" t="n"/>
      <c r="E724" s="118" t="n"/>
      <c r="F724" s="123" t="n"/>
      <c r="G724" s="119" t="n"/>
      <c r="H724" s="123" t="n"/>
      <c r="I724" s="123" t="n"/>
      <c r="J724" s="125" t="n"/>
      <c r="K724" s="120" t="n"/>
      <c r="N724" s="117" t="n"/>
      <c r="O724" s="117" t="n"/>
      <c r="P724" s="117" t="n"/>
      <c r="Q724" s="117" t="n"/>
      <c r="R724" s="118" t="n"/>
      <c r="S724" s="119" t="n"/>
      <c r="T724" s="120" t="n"/>
      <c r="U724" s="123" t="n"/>
      <c r="V724" s="123" t="n"/>
      <c r="Y724" s="117" t="n"/>
      <c r="Z724" s="117" t="n"/>
      <c r="AA724" s="118" t="n"/>
      <c r="AB724" s="119" t="n"/>
      <c r="AC724" s="120" t="n"/>
      <c r="AD724" s="120" t="n"/>
      <c r="AE724" s="120" t="n"/>
    </row>
    <row r="725" ht="15" customHeight="1" s="72">
      <c r="A725" s="117" t="n"/>
      <c r="B725" s="117" t="n"/>
      <c r="C725" s="118" t="n"/>
      <c r="D725" s="118" t="n"/>
      <c r="E725" s="118" t="n"/>
      <c r="F725" s="123" t="n"/>
      <c r="G725" s="119" t="n"/>
      <c r="H725" s="123" t="n"/>
      <c r="I725" s="123" t="n"/>
      <c r="J725" s="125" t="n"/>
      <c r="K725" s="120" t="n"/>
      <c r="N725" s="117" t="n"/>
      <c r="O725" s="117" t="n"/>
      <c r="P725" s="117" t="n"/>
      <c r="Q725" s="117" t="n"/>
      <c r="R725" s="118" t="n"/>
      <c r="S725" s="119" t="n"/>
      <c r="T725" s="120" t="n"/>
      <c r="U725" s="123" t="n"/>
      <c r="V725" s="123" t="n"/>
      <c r="Y725" s="117" t="n"/>
      <c r="Z725" s="117" t="n"/>
      <c r="AA725" s="118" t="n"/>
      <c r="AB725" s="119" t="n"/>
      <c r="AC725" s="120" t="n"/>
      <c r="AD725" s="120" t="n"/>
      <c r="AE725" s="120" t="n"/>
    </row>
    <row r="726" ht="15" customHeight="1" s="72">
      <c r="A726" s="117" t="n"/>
      <c r="B726" s="117" t="n"/>
      <c r="C726" s="118" t="n"/>
      <c r="D726" s="118" t="n"/>
      <c r="E726" s="118" t="n"/>
      <c r="F726" s="123" t="n"/>
      <c r="G726" s="119" t="n"/>
      <c r="H726" s="123" t="n"/>
      <c r="I726" s="123" t="n"/>
      <c r="J726" s="125" t="n"/>
      <c r="K726" s="120" t="n"/>
      <c r="N726" s="117" t="n"/>
      <c r="O726" s="117" t="n"/>
      <c r="P726" s="117" t="n"/>
      <c r="Q726" s="117" t="n"/>
      <c r="R726" s="118" t="n"/>
      <c r="S726" s="119" t="n"/>
      <c r="T726" s="120" t="n"/>
      <c r="U726" s="123" t="n"/>
      <c r="V726" s="123" t="n"/>
      <c r="Y726" s="117" t="n"/>
      <c r="Z726" s="117" t="n"/>
      <c r="AA726" s="118" t="n"/>
      <c r="AB726" s="119" t="n"/>
      <c r="AC726" s="120" t="n"/>
      <c r="AD726" s="120" t="n"/>
      <c r="AE726" s="120" t="n"/>
    </row>
    <row r="727" ht="15" customHeight="1" s="72">
      <c r="A727" s="117" t="n"/>
      <c r="B727" s="117" t="n"/>
      <c r="C727" s="118" t="n"/>
      <c r="D727" s="118" t="n"/>
      <c r="E727" s="118" t="n"/>
      <c r="F727" s="123" t="n"/>
      <c r="G727" s="119" t="n"/>
      <c r="H727" s="123" t="n"/>
      <c r="I727" s="123" t="n"/>
      <c r="J727" s="125" t="n"/>
      <c r="K727" s="120" t="n"/>
      <c r="N727" s="117" t="n"/>
      <c r="O727" s="117" t="n"/>
      <c r="P727" s="117" t="n"/>
      <c r="Q727" s="117" t="n"/>
      <c r="R727" s="118" t="n"/>
      <c r="S727" s="119" t="n"/>
      <c r="T727" s="120" t="n"/>
      <c r="U727" s="123" t="n"/>
      <c r="V727" s="123" t="n"/>
      <c r="Y727" s="117" t="n"/>
      <c r="Z727" s="117" t="n"/>
      <c r="AA727" s="118" t="n"/>
      <c r="AB727" s="119" t="n"/>
      <c r="AC727" s="120" t="n"/>
      <c r="AD727" s="120" t="n"/>
      <c r="AE727" s="120" t="n"/>
    </row>
    <row r="728" ht="15" customHeight="1" s="72">
      <c r="A728" s="117" t="n"/>
      <c r="B728" s="117" t="n"/>
      <c r="C728" s="118" t="n"/>
      <c r="D728" s="118" t="n"/>
      <c r="E728" s="118" t="n"/>
      <c r="F728" s="123" t="n"/>
      <c r="G728" s="119" t="n"/>
      <c r="H728" s="123" t="n"/>
      <c r="I728" s="123" t="n"/>
      <c r="J728" s="125" t="n"/>
      <c r="K728" s="120" t="n"/>
      <c r="N728" s="117" t="n"/>
      <c r="O728" s="117" t="n"/>
      <c r="P728" s="117" t="n"/>
      <c r="Q728" s="117" t="n"/>
      <c r="R728" s="118" t="n"/>
      <c r="S728" s="119" t="n"/>
      <c r="T728" s="120" t="n"/>
      <c r="U728" s="123" t="n"/>
      <c r="V728" s="123" t="n"/>
      <c r="Y728" s="117" t="n"/>
      <c r="Z728" s="117" t="n"/>
      <c r="AA728" s="118" t="n"/>
      <c r="AB728" s="119" t="n"/>
      <c r="AC728" s="120" t="n"/>
      <c r="AD728" s="120" t="n"/>
      <c r="AE728" s="120" t="n"/>
    </row>
    <row r="729" ht="15" customHeight="1" s="72">
      <c r="A729" s="117" t="n"/>
      <c r="B729" s="117" t="n"/>
      <c r="C729" s="118" t="n"/>
      <c r="D729" s="118" t="n"/>
      <c r="E729" s="118" t="n"/>
      <c r="F729" s="123" t="n"/>
      <c r="G729" s="119" t="n"/>
      <c r="H729" s="123" t="n"/>
      <c r="I729" s="123" t="n"/>
      <c r="J729" s="125" t="n"/>
      <c r="K729" s="120" t="n"/>
      <c r="N729" s="117" t="n"/>
      <c r="O729" s="117" t="n"/>
      <c r="P729" s="117" t="n"/>
      <c r="Q729" s="117" t="n"/>
      <c r="R729" s="118" t="n"/>
      <c r="S729" s="119" t="n"/>
      <c r="T729" s="120" t="n"/>
      <c r="U729" s="123" t="n"/>
      <c r="V729" s="123" t="n"/>
      <c r="Y729" s="117" t="n"/>
      <c r="Z729" s="117" t="n"/>
      <c r="AA729" s="118" t="n"/>
      <c r="AB729" s="119" t="n"/>
      <c r="AC729" s="120" t="n"/>
      <c r="AD729" s="120" t="n"/>
      <c r="AE729" s="120" t="n"/>
    </row>
    <row r="730" ht="15" customHeight="1" s="72">
      <c r="A730" s="117" t="n"/>
      <c r="B730" s="117" t="n"/>
      <c r="C730" s="118" t="n"/>
      <c r="D730" s="118" t="n"/>
      <c r="E730" s="118" t="n"/>
      <c r="F730" s="123" t="n"/>
      <c r="G730" s="119" t="n"/>
      <c r="H730" s="123" t="n"/>
      <c r="I730" s="123" t="n"/>
      <c r="J730" s="125" t="n"/>
      <c r="K730" s="120" t="n"/>
      <c r="N730" s="117" t="n"/>
      <c r="O730" s="117" t="n"/>
      <c r="P730" s="117" t="n"/>
      <c r="Q730" s="117" t="n"/>
      <c r="R730" s="118" t="n"/>
      <c r="S730" s="119" t="n"/>
      <c r="T730" s="120" t="n"/>
      <c r="U730" s="123" t="n"/>
      <c r="V730" s="123" t="n"/>
      <c r="Y730" s="117" t="n"/>
      <c r="Z730" s="117" t="n"/>
      <c r="AA730" s="118" t="n"/>
      <c r="AB730" s="119" t="n"/>
      <c r="AC730" s="120" t="n"/>
      <c r="AD730" s="120" t="n"/>
      <c r="AE730" s="120" t="n"/>
    </row>
    <row r="731" ht="15" customHeight="1" s="72">
      <c r="A731" s="117" t="n"/>
      <c r="B731" s="117" t="n"/>
      <c r="C731" s="118" t="n"/>
      <c r="D731" s="118" t="n"/>
      <c r="E731" s="118" t="n"/>
      <c r="F731" s="123" t="n"/>
      <c r="G731" s="119" t="n"/>
      <c r="H731" s="123" t="n"/>
      <c r="I731" s="123" t="n"/>
      <c r="J731" s="125" t="n"/>
      <c r="K731" s="120" t="n"/>
      <c r="N731" s="117" t="n"/>
      <c r="O731" s="117" t="n"/>
      <c r="P731" s="117" t="n"/>
      <c r="Q731" s="117" t="n"/>
      <c r="R731" s="118" t="n"/>
      <c r="S731" s="119" t="n"/>
      <c r="T731" s="120" t="n"/>
      <c r="U731" s="123" t="n"/>
      <c r="V731" s="123" t="n"/>
      <c r="Y731" s="117" t="n"/>
      <c r="Z731" s="117" t="n"/>
      <c r="AA731" s="118" t="n"/>
      <c r="AB731" s="119" t="n"/>
      <c r="AC731" s="120" t="n"/>
      <c r="AD731" s="120" t="n"/>
      <c r="AE731" s="120" t="n"/>
    </row>
    <row r="732" ht="15" customHeight="1" s="72">
      <c r="A732" s="117" t="n"/>
      <c r="B732" s="117" t="n"/>
      <c r="C732" s="118" t="n"/>
      <c r="D732" s="118" t="n"/>
      <c r="E732" s="118" t="n"/>
      <c r="F732" s="123" t="n"/>
      <c r="G732" s="119" t="n"/>
      <c r="H732" s="123" t="n"/>
      <c r="I732" s="123" t="n"/>
      <c r="J732" s="125" t="n"/>
      <c r="K732" s="120" t="n"/>
      <c r="N732" s="117" t="n"/>
      <c r="O732" s="117" t="n"/>
      <c r="P732" s="117" t="n"/>
      <c r="Q732" s="117" t="n"/>
      <c r="R732" s="118" t="n"/>
      <c r="S732" s="119" t="n"/>
      <c r="T732" s="120" t="n"/>
      <c r="U732" s="123" t="n"/>
      <c r="V732" s="123" t="n"/>
      <c r="Y732" s="117" t="n"/>
      <c r="Z732" s="117" t="n"/>
      <c r="AA732" s="118" t="n"/>
      <c r="AB732" s="119" t="n"/>
      <c r="AC732" s="120" t="n"/>
      <c r="AD732" s="120" t="n"/>
      <c r="AE732" s="120" t="n"/>
    </row>
    <row r="733" ht="15" customHeight="1" s="72">
      <c r="A733" s="117" t="n"/>
      <c r="B733" s="117" t="n"/>
      <c r="C733" s="118" t="n"/>
      <c r="D733" s="118" t="n"/>
      <c r="E733" s="118" t="n"/>
      <c r="F733" s="123" t="n"/>
      <c r="G733" s="119" t="n"/>
      <c r="H733" s="123" t="n"/>
      <c r="I733" s="123" t="n"/>
      <c r="J733" s="125" t="n"/>
      <c r="K733" s="120" t="n"/>
      <c r="N733" s="117" t="n"/>
      <c r="O733" s="117" t="n"/>
      <c r="P733" s="117" t="n"/>
      <c r="Q733" s="117" t="n"/>
      <c r="R733" s="118" t="n"/>
      <c r="S733" s="119" t="n"/>
      <c r="T733" s="120" t="n"/>
      <c r="U733" s="123" t="n"/>
      <c r="V733" s="123" t="n"/>
      <c r="Y733" s="117" t="n"/>
      <c r="Z733" s="117" t="n"/>
      <c r="AA733" s="118" t="n"/>
      <c r="AB733" s="119" t="n"/>
      <c r="AC733" s="120" t="n"/>
      <c r="AD733" s="120" t="n"/>
      <c r="AE733" s="120" t="n"/>
    </row>
    <row r="734" ht="15" customHeight="1" s="72">
      <c r="A734" s="117" t="n"/>
      <c r="B734" s="117" t="n"/>
      <c r="C734" s="118" t="n"/>
      <c r="D734" s="118" t="n"/>
      <c r="E734" s="118" t="n"/>
      <c r="F734" s="123" t="n"/>
      <c r="G734" s="119" t="n"/>
      <c r="H734" s="123" t="n"/>
      <c r="I734" s="123" t="n"/>
      <c r="J734" s="125" t="n"/>
      <c r="K734" s="120" t="n"/>
      <c r="N734" s="117" t="n"/>
      <c r="O734" s="117" t="n"/>
      <c r="P734" s="117" t="n"/>
      <c r="Q734" s="117" t="n"/>
      <c r="R734" s="118" t="n"/>
      <c r="S734" s="119" t="n"/>
      <c r="T734" s="120" t="n"/>
      <c r="U734" s="123" t="n"/>
      <c r="V734" s="123" t="n"/>
      <c r="Y734" s="117" t="n"/>
      <c r="Z734" s="117" t="n"/>
      <c r="AA734" s="118" t="n"/>
      <c r="AB734" s="119" t="n"/>
      <c r="AC734" s="120" t="n"/>
      <c r="AD734" s="120" t="n"/>
      <c r="AE734" s="120" t="n"/>
    </row>
    <row r="735" ht="15" customHeight="1" s="72">
      <c r="A735" s="117" t="n"/>
      <c r="B735" s="117" t="n"/>
      <c r="C735" s="118" t="n"/>
      <c r="D735" s="118" t="n"/>
      <c r="E735" s="118" t="n"/>
      <c r="F735" s="123" t="n"/>
      <c r="G735" s="119" t="n"/>
      <c r="H735" s="123" t="n"/>
      <c r="I735" s="123" t="n"/>
      <c r="J735" s="125" t="n"/>
      <c r="K735" s="120" t="n"/>
      <c r="N735" s="117" t="n"/>
      <c r="O735" s="117" t="n"/>
      <c r="P735" s="117" t="n"/>
      <c r="Q735" s="117" t="n"/>
      <c r="R735" s="118" t="n"/>
      <c r="S735" s="119" t="n"/>
      <c r="T735" s="120" t="n"/>
      <c r="U735" s="123" t="n"/>
      <c r="V735" s="123" t="n"/>
      <c r="Y735" s="117" t="n"/>
      <c r="Z735" s="117" t="n"/>
      <c r="AA735" s="118" t="n"/>
      <c r="AB735" s="119" t="n"/>
      <c r="AC735" s="120" t="n"/>
      <c r="AD735" s="120" t="n"/>
      <c r="AE735" s="120" t="n"/>
    </row>
    <row r="736" ht="15" customHeight="1" s="72">
      <c r="A736" s="117" t="n"/>
      <c r="B736" s="117" t="n"/>
      <c r="C736" s="118" t="n"/>
      <c r="D736" s="118" t="n"/>
      <c r="E736" s="118" t="n"/>
      <c r="F736" s="123" t="n"/>
      <c r="G736" s="119" t="n"/>
      <c r="H736" s="123" t="n"/>
      <c r="I736" s="123" t="n"/>
      <c r="J736" s="125" t="n"/>
      <c r="K736" s="120" t="n"/>
      <c r="N736" s="117" t="n"/>
      <c r="O736" s="117" t="n"/>
      <c r="P736" s="117" t="n"/>
      <c r="Q736" s="117" t="n"/>
      <c r="R736" s="118" t="n"/>
      <c r="S736" s="119" t="n"/>
      <c r="T736" s="120" t="n"/>
      <c r="U736" s="123" t="n"/>
      <c r="V736" s="123" t="n"/>
      <c r="Y736" s="117" t="n"/>
      <c r="Z736" s="117" t="n"/>
      <c r="AA736" s="118" t="n"/>
      <c r="AB736" s="119" t="n"/>
      <c r="AC736" s="120" t="n"/>
      <c r="AD736" s="120" t="n"/>
      <c r="AE736" s="120" t="n"/>
    </row>
    <row r="737" ht="15" customHeight="1" s="72">
      <c r="A737" s="117" t="n"/>
      <c r="B737" s="117" t="n"/>
      <c r="C737" s="118" t="n"/>
      <c r="D737" s="118" t="n"/>
      <c r="E737" s="118" t="n"/>
      <c r="F737" s="123" t="n"/>
      <c r="G737" s="119" t="n"/>
      <c r="H737" s="123" t="n"/>
      <c r="I737" s="123" t="n"/>
      <c r="J737" s="125" t="n"/>
      <c r="K737" s="120" t="n"/>
      <c r="N737" s="117" t="n"/>
      <c r="O737" s="117" t="n"/>
      <c r="P737" s="117" t="n"/>
      <c r="Q737" s="117" t="n"/>
      <c r="R737" s="118" t="n"/>
      <c r="S737" s="119" t="n"/>
      <c r="T737" s="120" t="n"/>
      <c r="U737" s="123" t="n"/>
      <c r="V737" s="123" t="n"/>
      <c r="Y737" s="117" t="n"/>
      <c r="Z737" s="117" t="n"/>
      <c r="AA737" s="118" t="n"/>
      <c r="AB737" s="119" t="n"/>
      <c r="AC737" s="120" t="n"/>
      <c r="AD737" s="120" t="n"/>
      <c r="AE737" s="120" t="n"/>
    </row>
    <row r="738" ht="15" customHeight="1" s="72">
      <c r="A738" s="117" t="n"/>
      <c r="B738" s="117" t="n"/>
      <c r="C738" s="118" t="n"/>
      <c r="D738" s="118" t="n"/>
      <c r="E738" s="118" t="n"/>
      <c r="F738" s="123" t="n"/>
      <c r="G738" s="119" t="n"/>
      <c r="H738" s="123" t="n"/>
      <c r="I738" s="123" t="n"/>
      <c r="J738" s="125" t="n"/>
      <c r="K738" s="120" t="n"/>
      <c r="N738" s="117" t="n"/>
      <c r="O738" s="117" t="n"/>
      <c r="P738" s="117" t="n"/>
      <c r="Q738" s="117" t="n"/>
      <c r="R738" s="118" t="n"/>
      <c r="S738" s="119" t="n"/>
      <c r="T738" s="120" t="n"/>
      <c r="U738" s="123" t="n"/>
      <c r="V738" s="123" t="n"/>
      <c r="Y738" s="117" t="n"/>
      <c r="Z738" s="117" t="n"/>
      <c r="AA738" s="118" t="n"/>
      <c r="AB738" s="119" t="n"/>
      <c r="AC738" s="120" t="n"/>
      <c r="AD738" s="120" t="n"/>
      <c r="AE738" s="120" t="n"/>
    </row>
    <row r="739" ht="15" customHeight="1" s="72">
      <c r="A739" s="117" t="n"/>
      <c r="B739" s="117" t="n"/>
      <c r="C739" s="118" t="n"/>
      <c r="D739" s="118" t="n"/>
      <c r="E739" s="118" t="n"/>
      <c r="F739" s="123" t="n"/>
      <c r="G739" s="119" t="n"/>
      <c r="H739" s="123" t="n"/>
      <c r="I739" s="123" t="n"/>
      <c r="J739" s="125" t="n"/>
      <c r="K739" s="120" t="n"/>
      <c r="N739" s="117" t="n"/>
      <c r="O739" s="117" t="n"/>
      <c r="P739" s="117" t="n"/>
      <c r="Q739" s="117" t="n"/>
      <c r="R739" s="118" t="n"/>
      <c r="S739" s="119" t="n"/>
      <c r="T739" s="120" t="n"/>
      <c r="U739" s="123" t="n"/>
      <c r="V739" s="123" t="n"/>
      <c r="Y739" s="117" t="n"/>
      <c r="Z739" s="117" t="n"/>
      <c r="AA739" s="118" t="n"/>
      <c r="AB739" s="119" t="n"/>
      <c r="AC739" s="120" t="n"/>
      <c r="AD739" s="120" t="n"/>
      <c r="AE739" s="120" t="n"/>
    </row>
    <row r="740" ht="15" customHeight="1" s="72">
      <c r="A740" s="117" t="n"/>
      <c r="B740" s="117" t="n"/>
      <c r="C740" s="118" t="n"/>
      <c r="D740" s="118" t="n"/>
      <c r="E740" s="118" t="n"/>
      <c r="F740" s="123" t="n"/>
      <c r="G740" s="119" t="n"/>
      <c r="H740" s="123" t="n"/>
      <c r="I740" s="123" t="n"/>
      <c r="J740" s="125" t="n"/>
      <c r="K740" s="120" t="n"/>
      <c r="N740" s="117" t="n"/>
      <c r="O740" s="117" t="n"/>
      <c r="P740" s="117" t="n"/>
      <c r="Q740" s="117" t="n"/>
      <c r="R740" s="118" t="n"/>
      <c r="S740" s="119" t="n"/>
      <c r="T740" s="120" t="n"/>
      <c r="U740" s="123" t="n"/>
      <c r="V740" s="123" t="n"/>
      <c r="Y740" s="117" t="n"/>
      <c r="Z740" s="117" t="n"/>
      <c r="AA740" s="118" t="n"/>
      <c r="AB740" s="119" t="n"/>
      <c r="AC740" s="120" t="n"/>
      <c r="AD740" s="120" t="n"/>
      <c r="AE740" s="120" t="n"/>
    </row>
    <row r="741" ht="15" customHeight="1" s="72">
      <c r="A741" s="117" t="n"/>
      <c r="B741" s="117" t="n"/>
      <c r="C741" s="118" t="n"/>
      <c r="D741" s="118" t="n"/>
      <c r="E741" s="118" t="n"/>
      <c r="F741" s="123" t="n"/>
      <c r="G741" s="119" t="n"/>
      <c r="H741" s="123" t="n"/>
      <c r="I741" s="123" t="n"/>
      <c r="J741" s="125" t="n"/>
      <c r="K741" s="120" t="n"/>
      <c r="N741" s="117" t="n"/>
      <c r="O741" s="117" t="n"/>
      <c r="P741" s="117" t="n"/>
      <c r="Q741" s="117" t="n"/>
      <c r="R741" s="118" t="n"/>
      <c r="S741" s="119" t="n"/>
      <c r="T741" s="120" t="n"/>
      <c r="U741" s="123" t="n"/>
      <c r="V741" s="123" t="n"/>
      <c r="Y741" s="117" t="n"/>
      <c r="Z741" s="117" t="n"/>
      <c r="AA741" s="118" t="n"/>
      <c r="AB741" s="119" t="n"/>
      <c r="AC741" s="120" t="n"/>
      <c r="AD741" s="120" t="n"/>
      <c r="AE741" s="120" t="n"/>
    </row>
    <row r="742" ht="15" customHeight="1" s="72">
      <c r="A742" s="117" t="n"/>
      <c r="B742" s="117" t="n"/>
      <c r="C742" s="118" t="n"/>
      <c r="D742" s="118" t="n"/>
      <c r="E742" s="118" t="n"/>
      <c r="F742" s="123" t="n"/>
      <c r="G742" s="119" t="n"/>
      <c r="H742" s="123" t="n"/>
      <c r="I742" s="123" t="n"/>
      <c r="J742" s="125" t="n"/>
      <c r="K742" s="120" t="n"/>
      <c r="N742" s="117" t="n"/>
      <c r="O742" s="117" t="n"/>
      <c r="P742" s="117" t="n"/>
      <c r="Q742" s="117" t="n"/>
      <c r="R742" s="118" t="n"/>
      <c r="S742" s="119" t="n"/>
      <c r="T742" s="120" t="n"/>
      <c r="U742" s="123" t="n"/>
      <c r="V742" s="123" t="n"/>
      <c r="Y742" s="117" t="n"/>
      <c r="Z742" s="117" t="n"/>
      <c r="AA742" s="118" t="n"/>
      <c r="AB742" s="119" t="n"/>
      <c r="AC742" s="120" t="n"/>
      <c r="AD742" s="120" t="n"/>
      <c r="AE742" s="120" t="n"/>
    </row>
    <row r="743" ht="15" customHeight="1" s="72">
      <c r="A743" s="117" t="n"/>
      <c r="B743" s="117" t="n"/>
      <c r="C743" s="118" t="n"/>
      <c r="D743" s="118" t="n"/>
      <c r="E743" s="118" t="n"/>
      <c r="F743" s="123" t="n"/>
      <c r="G743" s="119" t="n"/>
      <c r="H743" s="123" t="n"/>
      <c r="I743" s="123" t="n"/>
      <c r="J743" s="125" t="n"/>
      <c r="K743" s="120" t="n"/>
      <c r="N743" s="117" t="n"/>
      <c r="O743" s="117" t="n"/>
      <c r="P743" s="117" t="n"/>
      <c r="Q743" s="117" t="n"/>
      <c r="R743" s="118" t="n"/>
      <c r="S743" s="119" t="n"/>
      <c r="T743" s="120" t="n"/>
      <c r="U743" s="123" t="n"/>
      <c r="V743" s="123" t="n"/>
      <c r="Y743" s="117" t="n"/>
      <c r="Z743" s="117" t="n"/>
      <c r="AA743" s="118" t="n"/>
      <c r="AB743" s="119" t="n"/>
      <c r="AC743" s="120" t="n"/>
      <c r="AD743" s="120" t="n"/>
      <c r="AE743" s="120" t="n"/>
    </row>
    <row r="744" ht="15" customHeight="1" s="72">
      <c r="A744" s="117" t="n"/>
      <c r="B744" s="117" t="n"/>
      <c r="C744" s="118" t="n"/>
      <c r="D744" s="118" t="n"/>
      <c r="E744" s="118" t="n"/>
      <c r="F744" s="123" t="n"/>
      <c r="G744" s="119" t="n"/>
      <c r="H744" s="123" t="n"/>
      <c r="I744" s="123" t="n"/>
      <c r="J744" s="125" t="n"/>
      <c r="K744" s="120" t="n"/>
      <c r="N744" s="117" t="n"/>
      <c r="O744" s="117" t="n"/>
      <c r="P744" s="117" t="n"/>
      <c r="Q744" s="117" t="n"/>
      <c r="R744" s="118" t="n"/>
      <c r="S744" s="119" t="n"/>
      <c r="T744" s="120" t="n"/>
      <c r="U744" s="123" t="n"/>
      <c r="V744" s="123" t="n"/>
      <c r="Y744" s="117" t="n"/>
      <c r="Z744" s="117" t="n"/>
      <c r="AA744" s="118" t="n"/>
      <c r="AB744" s="119" t="n"/>
      <c r="AC744" s="120" t="n"/>
      <c r="AD744" s="120" t="n"/>
      <c r="AE744" s="120" t="n"/>
    </row>
    <row r="745" ht="15" customHeight="1" s="72">
      <c r="A745" s="117" t="n"/>
      <c r="B745" s="117" t="n"/>
      <c r="C745" s="118" t="n"/>
      <c r="D745" s="118" t="n"/>
      <c r="E745" s="118" t="n"/>
      <c r="F745" s="123" t="n"/>
      <c r="G745" s="119" t="n"/>
      <c r="H745" s="123" t="n"/>
      <c r="I745" s="123" t="n"/>
      <c r="J745" s="125" t="n"/>
      <c r="K745" s="120" t="n"/>
      <c r="N745" s="117" t="n"/>
      <c r="O745" s="117" t="n"/>
      <c r="P745" s="117" t="n"/>
      <c r="Q745" s="117" t="n"/>
      <c r="R745" s="118" t="n"/>
      <c r="S745" s="119" t="n"/>
      <c r="T745" s="120" t="n"/>
      <c r="U745" s="123" t="n"/>
      <c r="V745" s="123" t="n"/>
      <c r="Y745" s="117" t="n"/>
      <c r="Z745" s="117" t="n"/>
      <c r="AA745" s="118" t="n"/>
      <c r="AB745" s="119" t="n"/>
      <c r="AC745" s="120" t="n"/>
      <c r="AD745" s="120" t="n"/>
      <c r="AE745" s="120" t="n"/>
    </row>
    <row r="746" ht="15" customHeight="1" s="72">
      <c r="A746" s="117" t="n"/>
      <c r="B746" s="117" t="n"/>
      <c r="C746" s="118" t="n"/>
      <c r="D746" s="118" t="n"/>
      <c r="E746" s="118" t="n"/>
      <c r="F746" s="123" t="n"/>
      <c r="G746" s="119" t="n"/>
      <c r="H746" s="123" t="n"/>
      <c r="I746" s="123" t="n"/>
      <c r="J746" s="125" t="n"/>
      <c r="K746" s="120" t="n"/>
      <c r="N746" s="117" t="n"/>
      <c r="O746" s="117" t="n"/>
      <c r="P746" s="117" t="n"/>
      <c r="Q746" s="117" t="n"/>
      <c r="R746" s="118" t="n"/>
      <c r="S746" s="119" t="n"/>
      <c r="T746" s="120" t="n"/>
      <c r="U746" s="123" t="n"/>
      <c r="V746" s="123" t="n"/>
      <c r="Y746" s="117" t="n"/>
      <c r="Z746" s="117" t="n"/>
      <c r="AA746" s="118" t="n"/>
      <c r="AB746" s="119" t="n"/>
      <c r="AC746" s="120" t="n"/>
      <c r="AD746" s="120" t="n"/>
      <c r="AE746" s="120" t="n"/>
    </row>
    <row r="747" ht="15" customHeight="1" s="72">
      <c r="A747" s="117" t="n"/>
      <c r="B747" s="117" t="n"/>
      <c r="C747" s="118" t="n"/>
      <c r="D747" s="118" t="n"/>
      <c r="E747" s="118" t="n"/>
      <c r="F747" s="123" t="n"/>
      <c r="G747" s="119" t="n"/>
      <c r="H747" s="123" t="n"/>
      <c r="I747" s="123" t="n"/>
      <c r="J747" s="125" t="n"/>
      <c r="K747" s="120" t="n"/>
      <c r="N747" s="117" t="n"/>
      <c r="O747" s="117" t="n"/>
      <c r="P747" s="117" t="n"/>
      <c r="Q747" s="117" t="n"/>
      <c r="R747" s="118" t="n"/>
      <c r="S747" s="119" t="n"/>
      <c r="T747" s="120" t="n"/>
      <c r="U747" s="123" t="n"/>
      <c r="V747" s="123" t="n"/>
      <c r="Y747" s="117" t="n"/>
      <c r="Z747" s="117" t="n"/>
      <c r="AA747" s="118" t="n"/>
      <c r="AB747" s="119" t="n"/>
      <c r="AC747" s="120" t="n"/>
      <c r="AD747" s="120" t="n"/>
      <c r="AE747" s="120" t="n"/>
    </row>
    <row r="748" ht="15" customHeight="1" s="72">
      <c r="A748" s="117" t="n"/>
      <c r="B748" s="117" t="n"/>
      <c r="C748" s="118" t="n"/>
      <c r="D748" s="118" t="n"/>
      <c r="E748" s="118" t="n"/>
      <c r="F748" s="123" t="n"/>
      <c r="G748" s="119" t="n"/>
      <c r="H748" s="123" t="n"/>
      <c r="I748" s="123" t="n"/>
      <c r="J748" s="125" t="n"/>
      <c r="K748" s="120" t="n"/>
      <c r="N748" s="117" t="n"/>
      <c r="O748" s="117" t="n"/>
      <c r="P748" s="117" t="n"/>
      <c r="Q748" s="117" t="n"/>
      <c r="R748" s="118" t="n"/>
      <c r="S748" s="119" t="n"/>
      <c r="T748" s="120" t="n"/>
      <c r="U748" s="123" t="n"/>
      <c r="V748" s="123" t="n"/>
      <c r="Y748" s="117" t="n"/>
      <c r="Z748" s="117" t="n"/>
      <c r="AA748" s="118" t="n"/>
      <c r="AB748" s="119" t="n"/>
      <c r="AC748" s="120" t="n"/>
      <c r="AD748" s="120" t="n"/>
      <c r="AE748" s="120" t="n"/>
    </row>
    <row r="749" ht="15" customHeight="1" s="72">
      <c r="A749" s="117" t="n"/>
      <c r="B749" s="117" t="n"/>
      <c r="C749" s="118" t="n"/>
      <c r="D749" s="118" t="n"/>
      <c r="E749" s="118" t="n"/>
      <c r="F749" s="123" t="n"/>
      <c r="G749" s="119" t="n"/>
      <c r="H749" s="123" t="n"/>
      <c r="I749" s="123" t="n"/>
      <c r="J749" s="125" t="n"/>
      <c r="K749" s="120" t="n"/>
      <c r="N749" s="117" t="n"/>
      <c r="O749" s="117" t="n"/>
      <c r="P749" s="117" t="n"/>
      <c r="Q749" s="117" t="n"/>
      <c r="R749" s="118" t="n"/>
      <c r="S749" s="119" t="n"/>
      <c r="T749" s="120" t="n"/>
      <c r="U749" s="123" t="n"/>
      <c r="V749" s="123" t="n"/>
      <c r="Y749" s="117" t="n"/>
      <c r="Z749" s="117" t="n"/>
      <c r="AA749" s="118" t="n"/>
      <c r="AB749" s="119" t="n"/>
      <c r="AC749" s="120" t="n"/>
      <c r="AD749" s="120" t="n"/>
      <c r="AE749" s="120" t="n"/>
    </row>
    <row r="750" ht="15" customHeight="1" s="72">
      <c r="A750" s="117" t="n"/>
      <c r="B750" s="117" t="n"/>
      <c r="C750" s="118" t="n"/>
      <c r="D750" s="118" t="n"/>
      <c r="E750" s="118" t="n"/>
      <c r="F750" s="123" t="n"/>
      <c r="G750" s="119" t="n"/>
      <c r="H750" s="123" t="n"/>
      <c r="I750" s="123" t="n"/>
      <c r="J750" s="125" t="n"/>
      <c r="K750" s="120" t="n"/>
      <c r="N750" s="117" t="n"/>
      <c r="O750" s="117" t="n"/>
      <c r="P750" s="117" t="n"/>
      <c r="Q750" s="117" t="n"/>
      <c r="R750" s="118" t="n"/>
      <c r="S750" s="119" t="n"/>
      <c r="T750" s="120" t="n"/>
      <c r="U750" s="123" t="n"/>
      <c r="V750" s="123" t="n"/>
      <c r="Y750" s="117" t="n"/>
      <c r="Z750" s="117" t="n"/>
      <c r="AA750" s="118" t="n"/>
      <c r="AB750" s="119" t="n"/>
      <c r="AC750" s="120" t="n"/>
      <c r="AD750" s="120" t="n"/>
      <c r="AE750" s="120" t="n"/>
    </row>
    <row r="751" ht="15" customHeight="1" s="72">
      <c r="A751" s="117" t="n"/>
      <c r="B751" s="117" t="n"/>
      <c r="C751" s="118" t="n"/>
      <c r="D751" s="118" t="n"/>
      <c r="E751" s="118" t="n"/>
      <c r="F751" s="123" t="n"/>
      <c r="G751" s="119" t="n"/>
      <c r="H751" s="123" t="n"/>
      <c r="I751" s="123" t="n"/>
      <c r="J751" s="125" t="n"/>
      <c r="K751" s="120" t="n"/>
      <c r="N751" s="117" t="n"/>
      <c r="O751" s="117" t="n"/>
      <c r="P751" s="117" t="n"/>
      <c r="Q751" s="117" t="n"/>
      <c r="R751" s="118" t="n"/>
      <c r="S751" s="119" t="n"/>
      <c r="T751" s="120" t="n"/>
      <c r="U751" s="123" t="n"/>
      <c r="V751" s="123" t="n"/>
      <c r="Y751" s="117" t="n"/>
      <c r="Z751" s="117" t="n"/>
      <c r="AA751" s="118" t="n"/>
      <c r="AB751" s="119" t="n"/>
      <c r="AC751" s="120" t="n"/>
      <c r="AD751" s="120" t="n"/>
      <c r="AE751" s="120" t="n"/>
    </row>
    <row r="752" ht="15" customHeight="1" s="72">
      <c r="A752" s="117" t="n"/>
      <c r="B752" s="117" t="n"/>
      <c r="C752" s="118" t="n"/>
      <c r="D752" s="118" t="n"/>
      <c r="E752" s="118" t="n"/>
      <c r="F752" s="123" t="n"/>
      <c r="G752" s="119" t="n"/>
      <c r="H752" s="123" t="n"/>
      <c r="I752" s="123" t="n"/>
      <c r="J752" s="125" t="n"/>
      <c r="K752" s="120" t="n"/>
      <c r="N752" s="117" t="n"/>
      <c r="O752" s="117" t="n"/>
      <c r="P752" s="117" t="n"/>
      <c r="Q752" s="117" t="n"/>
      <c r="R752" s="118" t="n"/>
      <c r="S752" s="119" t="n"/>
      <c r="T752" s="120" t="n"/>
      <c r="U752" s="123" t="n"/>
      <c r="V752" s="123" t="n"/>
      <c r="Y752" s="117" t="n"/>
      <c r="Z752" s="117" t="n"/>
      <c r="AA752" s="118" t="n"/>
      <c r="AB752" s="119" t="n"/>
      <c r="AC752" s="120" t="n"/>
      <c r="AD752" s="120" t="n"/>
      <c r="AE752" s="120" t="n"/>
    </row>
    <row r="753" ht="15" customHeight="1" s="72">
      <c r="A753" s="117" t="n"/>
      <c r="B753" s="117" t="n"/>
      <c r="C753" s="118" t="n"/>
      <c r="D753" s="118" t="n"/>
      <c r="E753" s="118" t="n"/>
      <c r="F753" s="123" t="n"/>
      <c r="G753" s="119" t="n"/>
      <c r="H753" s="123" t="n"/>
      <c r="I753" s="123" t="n"/>
      <c r="J753" s="125" t="n"/>
      <c r="K753" s="120" t="n"/>
      <c r="N753" s="117" t="n"/>
      <c r="O753" s="117" t="n"/>
      <c r="P753" s="117" t="n"/>
      <c r="Q753" s="117" t="n"/>
      <c r="R753" s="118" t="n"/>
      <c r="S753" s="119" t="n"/>
      <c r="T753" s="120" t="n"/>
      <c r="U753" s="123" t="n"/>
      <c r="V753" s="123" t="n"/>
      <c r="Y753" s="117" t="n"/>
      <c r="Z753" s="117" t="n"/>
      <c r="AA753" s="118" t="n"/>
      <c r="AB753" s="119" t="n"/>
      <c r="AC753" s="120" t="n"/>
      <c r="AD753" s="120" t="n"/>
      <c r="AE753" s="120" t="n"/>
    </row>
    <row r="754" ht="15" customHeight="1" s="72">
      <c r="A754" s="117" t="n"/>
      <c r="B754" s="117" t="n"/>
      <c r="C754" s="118" t="n"/>
      <c r="D754" s="118" t="n"/>
      <c r="E754" s="118" t="n"/>
      <c r="F754" s="123" t="n"/>
      <c r="G754" s="119" t="n"/>
      <c r="H754" s="123" t="n"/>
      <c r="I754" s="123" t="n"/>
      <c r="J754" s="125" t="n"/>
      <c r="K754" s="120" t="n"/>
      <c r="N754" s="117" t="n"/>
      <c r="O754" s="117" t="n"/>
      <c r="P754" s="117" t="n"/>
      <c r="Q754" s="117" t="n"/>
      <c r="R754" s="118" t="n"/>
      <c r="S754" s="119" t="n"/>
      <c r="T754" s="120" t="n"/>
      <c r="U754" s="123" t="n"/>
      <c r="V754" s="123" t="n"/>
      <c r="Y754" s="117" t="n"/>
      <c r="Z754" s="117" t="n"/>
      <c r="AA754" s="118" t="n"/>
      <c r="AB754" s="119" t="n"/>
      <c r="AC754" s="120" t="n"/>
      <c r="AD754" s="120" t="n"/>
      <c r="AE754" s="120" t="n"/>
    </row>
    <row r="755" ht="15" customHeight="1" s="72">
      <c r="A755" s="117" t="n"/>
      <c r="B755" s="117" t="n"/>
      <c r="C755" s="118" t="n"/>
      <c r="D755" s="118" t="n"/>
      <c r="E755" s="118" t="n"/>
      <c r="F755" s="123" t="n"/>
      <c r="G755" s="119" t="n"/>
      <c r="H755" s="123" t="n"/>
      <c r="I755" s="123" t="n"/>
      <c r="J755" s="125" t="n"/>
      <c r="K755" s="120" t="n"/>
      <c r="N755" s="117" t="n"/>
      <c r="O755" s="117" t="n"/>
      <c r="P755" s="117" t="n"/>
      <c r="Q755" s="117" t="n"/>
      <c r="R755" s="118" t="n"/>
      <c r="S755" s="119" t="n"/>
      <c r="T755" s="120" t="n"/>
      <c r="U755" s="123" t="n"/>
      <c r="V755" s="123" t="n"/>
      <c r="Y755" s="117" t="n"/>
      <c r="Z755" s="117" t="n"/>
      <c r="AA755" s="118" t="n"/>
      <c r="AB755" s="119" t="n"/>
      <c r="AC755" s="120" t="n"/>
      <c r="AD755" s="120" t="n"/>
      <c r="AE755" s="120" t="n"/>
    </row>
    <row r="756" ht="15" customHeight="1" s="72">
      <c r="A756" s="117" t="n"/>
      <c r="B756" s="117" t="n"/>
      <c r="C756" s="118" t="n"/>
      <c r="D756" s="118" t="n"/>
      <c r="E756" s="118" t="n"/>
      <c r="F756" s="123" t="n"/>
      <c r="G756" s="119" t="n"/>
      <c r="H756" s="123" t="n"/>
      <c r="I756" s="123" t="n"/>
      <c r="J756" s="125" t="n"/>
      <c r="K756" s="120" t="n"/>
      <c r="N756" s="117" t="n"/>
      <c r="O756" s="117" t="n"/>
      <c r="P756" s="117" t="n"/>
      <c r="Q756" s="117" t="n"/>
      <c r="R756" s="118" t="n"/>
      <c r="S756" s="119" t="n"/>
      <c r="T756" s="120" t="n"/>
      <c r="U756" s="123" t="n"/>
      <c r="V756" s="123" t="n"/>
      <c r="Y756" s="117" t="n"/>
      <c r="Z756" s="117" t="n"/>
      <c r="AA756" s="118" t="n"/>
      <c r="AB756" s="119" t="n"/>
      <c r="AC756" s="120" t="n"/>
      <c r="AD756" s="120" t="n"/>
      <c r="AE756" s="120" t="n"/>
    </row>
    <row r="757" ht="15" customHeight="1" s="72">
      <c r="A757" s="117" t="n"/>
      <c r="B757" s="117" t="n"/>
      <c r="C757" s="118" t="n"/>
      <c r="D757" s="118" t="n"/>
      <c r="E757" s="118" t="n"/>
      <c r="F757" s="123" t="n"/>
      <c r="G757" s="119" t="n"/>
      <c r="H757" s="123" t="n"/>
      <c r="I757" s="123" t="n"/>
      <c r="J757" s="125" t="n"/>
      <c r="K757" s="120" t="n"/>
      <c r="N757" s="117" t="n"/>
      <c r="O757" s="117" t="n"/>
      <c r="P757" s="117" t="n"/>
      <c r="Q757" s="117" t="n"/>
      <c r="R757" s="118" t="n"/>
      <c r="S757" s="119" t="n"/>
      <c r="T757" s="120" t="n"/>
      <c r="U757" s="123" t="n"/>
      <c r="V757" s="123" t="n"/>
      <c r="Y757" s="117" t="n"/>
      <c r="Z757" s="117" t="n"/>
      <c r="AA757" s="118" t="n"/>
      <c r="AB757" s="119" t="n"/>
      <c r="AC757" s="120" t="n"/>
      <c r="AD757" s="120" t="n"/>
      <c r="AE757" s="120" t="n"/>
    </row>
    <row r="758" ht="15" customHeight="1" s="72">
      <c r="A758" s="117" t="n"/>
      <c r="B758" s="117" t="n"/>
      <c r="C758" s="118" t="n"/>
      <c r="D758" s="118" t="n"/>
      <c r="E758" s="118" t="n"/>
      <c r="F758" s="123" t="n"/>
      <c r="G758" s="119" t="n"/>
      <c r="H758" s="123" t="n"/>
      <c r="I758" s="123" t="n"/>
      <c r="J758" s="125" t="n"/>
      <c r="K758" s="120" t="n"/>
      <c r="N758" s="117" t="n"/>
      <c r="O758" s="117" t="n"/>
      <c r="P758" s="117" t="n"/>
      <c r="Q758" s="117" t="n"/>
      <c r="R758" s="118" t="n"/>
      <c r="S758" s="119" t="n"/>
      <c r="T758" s="120" t="n"/>
      <c r="U758" s="123" t="n"/>
      <c r="V758" s="123" t="n"/>
      <c r="Y758" s="117" t="n"/>
      <c r="Z758" s="117" t="n"/>
      <c r="AA758" s="118" t="n"/>
      <c r="AB758" s="119" t="n"/>
      <c r="AC758" s="120" t="n"/>
      <c r="AD758" s="120" t="n"/>
      <c r="AE758" s="120" t="n"/>
    </row>
    <row r="759" ht="15" customHeight="1" s="72">
      <c r="A759" s="117" t="n"/>
      <c r="B759" s="117" t="n"/>
      <c r="C759" s="118" t="n"/>
      <c r="D759" s="118" t="n"/>
      <c r="E759" s="118" t="n"/>
      <c r="F759" s="123" t="n"/>
      <c r="G759" s="119" t="n"/>
      <c r="H759" s="123" t="n"/>
      <c r="I759" s="123" t="n"/>
      <c r="J759" s="125" t="n"/>
      <c r="K759" s="120" t="n"/>
      <c r="N759" s="117" t="n"/>
      <c r="O759" s="117" t="n"/>
      <c r="P759" s="117" t="n"/>
      <c r="Q759" s="117" t="n"/>
      <c r="R759" s="118" t="n"/>
      <c r="S759" s="119" t="n"/>
      <c r="T759" s="120" t="n"/>
      <c r="U759" s="123" t="n"/>
      <c r="V759" s="123" t="n"/>
      <c r="Y759" s="117" t="n"/>
      <c r="Z759" s="117" t="n"/>
      <c r="AA759" s="118" t="n"/>
      <c r="AB759" s="119" t="n"/>
      <c r="AC759" s="120" t="n"/>
      <c r="AD759" s="120" t="n"/>
      <c r="AE759" s="120" t="n"/>
    </row>
    <row r="760" ht="15" customHeight="1" s="72">
      <c r="A760" s="117" t="n"/>
      <c r="B760" s="117" t="n"/>
      <c r="C760" s="118" t="n"/>
      <c r="D760" s="118" t="n"/>
      <c r="E760" s="118" t="n"/>
      <c r="F760" s="123" t="n"/>
      <c r="G760" s="119" t="n"/>
      <c r="H760" s="123" t="n"/>
      <c r="I760" s="123" t="n"/>
      <c r="J760" s="125" t="n"/>
      <c r="K760" s="120" t="n"/>
      <c r="N760" s="117" t="n"/>
      <c r="O760" s="117" t="n"/>
      <c r="P760" s="117" t="n"/>
      <c r="Q760" s="117" t="n"/>
      <c r="R760" s="118" t="n"/>
      <c r="S760" s="119" t="n"/>
      <c r="T760" s="120" t="n"/>
      <c r="U760" s="123" t="n"/>
      <c r="V760" s="123" t="n"/>
      <c r="Y760" s="117" t="n"/>
      <c r="Z760" s="117" t="n"/>
      <c r="AA760" s="118" t="n"/>
      <c r="AB760" s="119" t="n"/>
      <c r="AC760" s="120" t="n"/>
      <c r="AD760" s="120" t="n"/>
      <c r="AE760" s="120" t="n"/>
    </row>
    <row r="761" ht="15" customHeight="1" s="72">
      <c r="A761" s="117" t="n"/>
      <c r="B761" s="117" t="n"/>
      <c r="C761" s="118" t="n"/>
      <c r="D761" s="118" t="n"/>
      <c r="E761" s="118" t="n"/>
      <c r="F761" s="123" t="n"/>
      <c r="G761" s="119" t="n"/>
      <c r="H761" s="123" t="n"/>
      <c r="I761" s="123" t="n"/>
      <c r="J761" s="125" t="n"/>
      <c r="K761" s="120" t="n"/>
      <c r="N761" s="117" t="n"/>
      <c r="O761" s="117" t="n"/>
      <c r="P761" s="117" t="n"/>
      <c r="Q761" s="117" t="n"/>
      <c r="R761" s="118" t="n"/>
      <c r="S761" s="119" t="n"/>
      <c r="T761" s="120" t="n"/>
      <c r="U761" s="123" t="n"/>
      <c r="V761" s="123" t="n"/>
      <c r="Y761" s="117" t="n"/>
      <c r="Z761" s="117" t="n"/>
      <c r="AA761" s="118" t="n"/>
      <c r="AB761" s="119" t="n"/>
      <c r="AC761" s="120" t="n"/>
      <c r="AD761" s="120" t="n"/>
      <c r="AE761" s="120" t="n"/>
    </row>
    <row r="762" ht="15" customHeight="1" s="72">
      <c r="A762" s="117" t="n"/>
      <c r="B762" s="117" t="n"/>
      <c r="C762" s="118" t="n"/>
      <c r="D762" s="118" t="n"/>
      <c r="E762" s="118" t="n"/>
      <c r="F762" s="123" t="n"/>
      <c r="G762" s="119" t="n"/>
      <c r="H762" s="123" t="n"/>
      <c r="I762" s="123" t="n"/>
      <c r="J762" s="125" t="n"/>
      <c r="K762" s="120" t="n"/>
      <c r="N762" s="117" t="n"/>
      <c r="O762" s="117" t="n"/>
      <c r="P762" s="117" t="n"/>
      <c r="Q762" s="117" t="n"/>
      <c r="R762" s="118" t="n"/>
      <c r="S762" s="119" t="n"/>
      <c r="T762" s="120" t="n"/>
      <c r="U762" s="123" t="n"/>
      <c r="V762" s="123" t="n"/>
      <c r="Y762" s="117" t="n"/>
      <c r="Z762" s="117" t="n"/>
      <c r="AA762" s="118" t="n"/>
      <c r="AB762" s="119" t="n"/>
      <c r="AC762" s="120" t="n"/>
      <c r="AD762" s="120" t="n"/>
      <c r="AE762" s="120" t="n"/>
    </row>
    <row r="763" ht="15" customHeight="1" s="72">
      <c r="A763" s="117" t="n"/>
      <c r="B763" s="117" t="n"/>
      <c r="C763" s="118" t="n"/>
      <c r="D763" s="118" t="n"/>
      <c r="E763" s="118" t="n"/>
      <c r="F763" s="123" t="n"/>
      <c r="G763" s="119" t="n"/>
      <c r="H763" s="123" t="n"/>
      <c r="I763" s="123" t="n"/>
      <c r="J763" s="125" t="n"/>
      <c r="K763" s="120" t="n"/>
      <c r="N763" s="117" t="n"/>
      <c r="O763" s="117" t="n"/>
      <c r="P763" s="117" t="n"/>
      <c r="Q763" s="117" t="n"/>
      <c r="R763" s="118" t="n"/>
      <c r="S763" s="119" t="n"/>
      <c r="T763" s="120" t="n"/>
      <c r="U763" s="123" t="n"/>
      <c r="V763" s="123" t="n"/>
      <c r="Y763" s="117" t="n"/>
      <c r="Z763" s="117" t="n"/>
      <c r="AA763" s="118" t="n"/>
      <c r="AB763" s="119" t="n"/>
      <c r="AC763" s="120" t="n"/>
      <c r="AD763" s="120" t="n"/>
      <c r="AE763" s="120" t="n"/>
    </row>
    <row r="764" ht="15" customHeight="1" s="72">
      <c r="A764" s="117" t="n"/>
      <c r="B764" s="117" t="n"/>
      <c r="C764" s="118" t="n"/>
      <c r="D764" s="118" t="n"/>
      <c r="E764" s="118" t="n"/>
      <c r="F764" s="123" t="n"/>
      <c r="G764" s="119" t="n"/>
      <c r="H764" s="123" t="n"/>
      <c r="I764" s="123" t="n"/>
      <c r="J764" s="125" t="n"/>
      <c r="K764" s="120" t="n"/>
      <c r="N764" s="117" t="n"/>
      <c r="O764" s="117" t="n"/>
      <c r="P764" s="117" t="n"/>
      <c r="Q764" s="117" t="n"/>
      <c r="R764" s="118" t="n"/>
      <c r="S764" s="119" t="n"/>
      <c r="T764" s="120" t="n"/>
      <c r="U764" s="123" t="n"/>
      <c r="V764" s="123" t="n"/>
      <c r="Y764" s="117" t="n"/>
      <c r="Z764" s="117" t="n"/>
      <c r="AA764" s="118" t="n"/>
      <c r="AB764" s="119" t="n"/>
      <c r="AC764" s="120" t="n"/>
      <c r="AD764" s="120" t="n"/>
      <c r="AE764" s="120" t="n"/>
    </row>
    <row r="765" ht="15" customHeight="1" s="72">
      <c r="A765" s="117" t="n"/>
      <c r="B765" s="117" t="n"/>
      <c r="C765" s="118" t="n"/>
      <c r="D765" s="118" t="n"/>
      <c r="E765" s="118" t="n"/>
      <c r="F765" s="123" t="n"/>
      <c r="G765" s="119" t="n"/>
      <c r="H765" s="123" t="n"/>
      <c r="I765" s="123" t="n"/>
      <c r="J765" s="125" t="n"/>
      <c r="K765" s="120" t="n"/>
      <c r="N765" s="117" t="n"/>
      <c r="O765" s="117" t="n"/>
      <c r="P765" s="117" t="n"/>
      <c r="Q765" s="117" t="n"/>
      <c r="R765" s="118" t="n"/>
      <c r="S765" s="119" t="n"/>
      <c r="T765" s="120" t="n"/>
      <c r="U765" s="123" t="n"/>
      <c r="V765" s="123" t="n"/>
      <c r="Y765" s="117" t="n"/>
      <c r="Z765" s="117" t="n"/>
      <c r="AA765" s="118" t="n"/>
      <c r="AB765" s="119" t="n"/>
      <c r="AC765" s="120" t="n"/>
      <c r="AD765" s="120" t="n"/>
      <c r="AE765" s="120" t="n"/>
    </row>
    <row r="766" ht="15" customHeight="1" s="72">
      <c r="A766" s="117" t="n"/>
      <c r="B766" s="117" t="n"/>
      <c r="C766" s="118" t="n"/>
      <c r="D766" s="118" t="n"/>
      <c r="E766" s="118" t="n"/>
      <c r="F766" s="123" t="n"/>
      <c r="G766" s="119" t="n"/>
      <c r="H766" s="123" t="n"/>
      <c r="I766" s="123" t="n"/>
      <c r="J766" s="125" t="n"/>
      <c r="K766" s="120" t="n"/>
      <c r="N766" s="117" t="n"/>
      <c r="O766" s="117" t="n"/>
      <c r="P766" s="117" t="n"/>
      <c r="Q766" s="117" t="n"/>
      <c r="R766" s="118" t="n"/>
      <c r="S766" s="119" t="n"/>
      <c r="T766" s="120" t="n"/>
      <c r="U766" s="123" t="n"/>
      <c r="V766" s="123" t="n"/>
      <c r="Y766" s="117" t="n"/>
      <c r="Z766" s="117" t="n"/>
      <c r="AA766" s="118" t="n"/>
      <c r="AB766" s="119" t="n"/>
      <c r="AC766" s="120" t="n"/>
      <c r="AD766" s="120" t="n"/>
      <c r="AE766" s="120" t="n"/>
    </row>
    <row r="767" ht="15" customHeight="1" s="72">
      <c r="A767" s="117" t="n"/>
      <c r="B767" s="117" t="n"/>
      <c r="C767" s="118" t="n"/>
      <c r="D767" s="118" t="n"/>
      <c r="E767" s="118" t="n"/>
      <c r="F767" s="123" t="n"/>
      <c r="G767" s="119" t="n"/>
      <c r="H767" s="123" t="n"/>
      <c r="I767" s="123" t="n"/>
      <c r="J767" s="125" t="n"/>
      <c r="K767" s="120" t="n"/>
      <c r="N767" s="117" t="n"/>
      <c r="O767" s="117" t="n"/>
      <c r="P767" s="117" t="n"/>
      <c r="Q767" s="117" t="n"/>
      <c r="R767" s="118" t="n"/>
      <c r="S767" s="119" t="n"/>
      <c r="T767" s="120" t="n"/>
      <c r="U767" s="123" t="n"/>
      <c r="V767" s="123" t="n"/>
      <c r="Y767" s="117" t="n"/>
      <c r="Z767" s="117" t="n"/>
      <c r="AA767" s="118" t="n"/>
      <c r="AB767" s="119" t="n"/>
      <c r="AC767" s="120" t="n"/>
      <c r="AD767" s="120" t="n"/>
      <c r="AE767" s="120" t="n"/>
    </row>
    <row r="768" ht="15" customHeight="1" s="72">
      <c r="A768" s="117" t="n"/>
      <c r="B768" s="117" t="n"/>
      <c r="C768" s="118" t="n"/>
      <c r="D768" s="118" t="n"/>
      <c r="E768" s="118" t="n"/>
      <c r="F768" s="123" t="n"/>
      <c r="G768" s="119" t="n"/>
      <c r="H768" s="123" t="n"/>
      <c r="I768" s="123" t="n"/>
      <c r="J768" s="125" t="n"/>
      <c r="K768" s="120" t="n"/>
      <c r="N768" s="117" t="n"/>
      <c r="O768" s="117" t="n"/>
      <c r="P768" s="117" t="n"/>
      <c r="Q768" s="117" t="n"/>
      <c r="R768" s="118" t="n"/>
      <c r="S768" s="119" t="n"/>
      <c r="T768" s="120" t="n"/>
      <c r="U768" s="123" t="n"/>
      <c r="V768" s="123" t="n"/>
      <c r="Y768" s="117" t="n"/>
      <c r="Z768" s="117" t="n"/>
      <c r="AA768" s="118" t="n"/>
      <c r="AB768" s="119" t="n"/>
      <c r="AC768" s="120" t="n"/>
      <c r="AD768" s="120" t="n"/>
      <c r="AE768" s="120" t="n"/>
    </row>
    <row r="769" ht="15" customHeight="1" s="72">
      <c r="A769" s="117" t="n"/>
      <c r="B769" s="117" t="n"/>
      <c r="C769" s="118" t="n"/>
      <c r="D769" s="118" t="n"/>
      <c r="E769" s="118" t="n"/>
      <c r="F769" s="123" t="n"/>
      <c r="G769" s="119" t="n"/>
      <c r="H769" s="123" t="n"/>
      <c r="I769" s="123" t="n"/>
      <c r="J769" s="125" t="n"/>
      <c r="K769" s="120" t="n"/>
      <c r="N769" s="117" t="n"/>
      <c r="O769" s="117" t="n"/>
      <c r="P769" s="117" t="n"/>
      <c r="Q769" s="117" t="n"/>
      <c r="R769" s="118" t="n"/>
      <c r="S769" s="119" t="n"/>
      <c r="T769" s="120" t="n"/>
      <c r="U769" s="123" t="n"/>
      <c r="V769" s="123" t="n"/>
      <c r="Y769" s="117" t="n"/>
      <c r="Z769" s="117" t="n"/>
      <c r="AA769" s="118" t="n"/>
      <c r="AB769" s="119" t="n"/>
      <c r="AC769" s="120" t="n"/>
      <c r="AD769" s="120" t="n"/>
      <c r="AE769" s="120" t="n"/>
    </row>
    <row r="770" ht="15" customHeight="1" s="72">
      <c r="A770" s="117" t="n"/>
      <c r="B770" s="117" t="n"/>
      <c r="C770" s="118" t="n"/>
      <c r="D770" s="118" t="n"/>
      <c r="E770" s="118" t="n"/>
      <c r="F770" s="123" t="n"/>
      <c r="G770" s="119" t="n"/>
      <c r="H770" s="123" t="n"/>
      <c r="I770" s="123" t="n"/>
      <c r="J770" s="125" t="n"/>
      <c r="K770" s="120" t="n"/>
      <c r="N770" s="117" t="n"/>
      <c r="O770" s="117" t="n"/>
      <c r="P770" s="117" t="n"/>
      <c r="Q770" s="117" t="n"/>
      <c r="R770" s="118" t="n"/>
      <c r="S770" s="119" t="n"/>
      <c r="T770" s="120" t="n"/>
      <c r="U770" s="123" t="n"/>
      <c r="V770" s="123" t="n"/>
      <c r="Y770" s="117" t="n"/>
      <c r="Z770" s="117" t="n"/>
      <c r="AA770" s="118" t="n"/>
      <c r="AB770" s="119" t="n"/>
      <c r="AC770" s="120" t="n"/>
      <c r="AD770" s="120" t="n"/>
      <c r="AE770" s="120" t="n"/>
    </row>
    <row r="771" ht="15" customHeight="1" s="72">
      <c r="A771" s="117" t="n"/>
      <c r="B771" s="117" t="n"/>
      <c r="C771" s="118" t="n"/>
      <c r="D771" s="118" t="n"/>
      <c r="E771" s="118" t="n"/>
      <c r="F771" s="123" t="n"/>
      <c r="G771" s="119" t="n"/>
      <c r="H771" s="123" t="n"/>
      <c r="I771" s="123" t="n"/>
      <c r="J771" s="125" t="n"/>
      <c r="K771" s="120" t="n"/>
      <c r="N771" s="117" t="n"/>
      <c r="O771" s="117" t="n"/>
      <c r="P771" s="117" t="n"/>
      <c r="Q771" s="117" t="n"/>
      <c r="R771" s="118" t="n"/>
      <c r="S771" s="119" t="n"/>
      <c r="T771" s="120" t="n"/>
      <c r="U771" s="123" t="n"/>
      <c r="V771" s="123" t="n"/>
      <c r="Y771" s="117" t="n"/>
      <c r="Z771" s="117" t="n"/>
      <c r="AA771" s="118" t="n"/>
      <c r="AB771" s="119" t="n"/>
      <c r="AC771" s="120" t="n"/>
      <c r="AD771" s="120" t="n"/>
      <c r="AE771" s="120" t="n"/>
    </row>
    <row r="772" ht="15" customHeight="1" s="72">
      <c r="A772" s="117" t="n"/>
      <c r="B772" s="117" t="n"/>
      <c r="C772" s="118" t="n"/>
      <c r="D772" s="118" t="n"/>
      <c r="E772" s="118" t="n"/>
      <c r="F772" s="123" t="n"/>
      <c r="G772" s="119" t="n"/>
      <c r="H772" s="123" t="n"/>
      <c r="I772" s="123" t="n"/>
      <c r="J772" s="125" t="n"/>
      <c r="K772" s="120" t="n"/>
      <c r="N772" s="117" t="n"/>
      <c r="O772" s="117" t="n"/>
      <c r="P772" s="117" t="n"/>
      <c r="Q772" s="117" t="n"/>
      <c r="R772" s="118" t="n"/>
      <c r="S772" s="119" t="n"/>
      <c r="T772" s="120" t="n"/>
      <c r="U772" s="123" t="n"/>
      <c r="V772" s="123" t="n"/>
      <c r="Y772" s="117" t="n"/>
      <c r="Z772" s="117" t="n"/>
      <c r="AA772" s="118" t="n"/>
      <c r="AB772" s="119" t="n"/>
      <c r="AC772" s="120" t="n"/>
      <c r="AD772" s="120" t="n"/>
      <c r="AE772" s="120" t="n"/>
    </row>
    <row r="773" ht="15" customHeight="1" s="72">
      <c r="A773" s="117" t="n"/>
      <c r="B773" s="117" t="n"/>
      <c r="C773" s="118" t="n"/>
      <c r="D773" s="118" t="n"/>
      <c r="E773" s="118" t="n"/>
      <c r="F773" s="123" t="n"/>
      <c r="G773" s="119" t="n"/>
      <c r="H773" s="123" t="n"/>
      <c r="I773" s="123" t="n"/>
      <c r="J773" s="125" t="n"/>
      <c r="K773" s="120" t="n"/>
      <c r="N773" s="117" t="n"/>
      <c r="O773" s="117" t="n"/>
      <c r="P773" s="117" t="n"/>
      <c r="Q773" s="117" t="n"/>
      <c r="R773" s="118" t="n"/>
      <c r="S773" s="119" t="n"/>
      <c r="T773" s="120" t="n"/>
      <c r="U773" s="123" t="n"/>
      <c r="V773" s="123" t="n"/>
      <c r="Y773" s="117" t="n"/>
      <c r="Z773" s="117" t="n"/>
      <c r="AA773" s="118" t="n"/>
      <c r="AB773" s="119" t="n"/>
      <c r="AC773" s="120" t="n"/>
      <c r="AD773" s="120" t="n"/>
      <c r="AE773" s="120" t="n"/>
    </row>
    <row r="774" ht="15" customHeight="1" s="72">
      <c r="A774" s="117" t="n"/>
      <c r="B774" s="117" t="n"/>
      <c r="C774" s="118" t="n"/>
      <c r="D774" s="118" t="n"/>
      <c r="E774" s="118" t="n"/>
      <c r="F774" s="123" t="n"/>
      <c r="G774" s="119" t="n"/>
      <c r="H774" s="123" t="n"/>
      <c r="I774" s="123" t="n"/>
      <c r="J774" s="125" t="n"/>
      <c r="K774" s="120" t="n"/>
      <c r="N774" s="117" t="n"/>
      <c r="O774" s="117" t="n"/>
      <c r="P774" s="117" t="n"/>
      <c r="Q774" s="117" t="n"/>
      <c r="R774" s="118" t="n"/>
      <c r="S774" s="119" t="n"/>
      <c r="T774" s="120" t="n"/>
      <c r="U774" s="123" t="n"/>
      <c r="V774" s="123" t="n"/>
      <c r="Y774" s="117" t="n"/>
      <c r="Z774" s="117" t="n"/>
      <c r="AA774" s="118" t="n"/>
      <c r="AB774" s="119" t="n"/>
      <c r="AC774" s="120" t="n"/>
      <c r="AD774" s="120" t="n"/>
      <c r="AE774" s="120" t="n"/>
    </row>
    <row r="775" ht="15" customHeight="1" s="72">
      <c r="A775" s="117" t="n"/>
      <c r="B775" s="117" t="n"/>
      <c r="C775" s="118" t="n"/>
      <c r="D775" s="118" t="n"/>
      <c r="E775" s="118" t="n"/>
      <c r="F775" s="123" t="n"/>
      <c r="G775" s="119" t="n"/>
      <c r="H775" s="123" t="n"/>
      <c r="I775" s="123" t="n"/>
      <c r="J775" s="125" t="n"/>
      <c r="K775" s="120" t="n"/>
      <c r="N775" s="117" t="n"/>
      <c r="O775" s="117" t="n"/>
      <c r="P775" s="117" t="n"/>
      <c r="Q775" s="117" t="n"/>
      <c r="R775" s="118" t="n"/>
      <c r="S775" s="119" t="n"/>
      <c r="T775" s="120" t="n"/>
      <c r="U775" s="123" t="n"/>
      <c r="V775" s="123" t="n"/>
      <c r="Y775" s="117" t="n"/>
      <c r="Z775" s="117" t="n"/>
      <c r="AA775" s="118" t="n"/>
      <c r="AB775" s="119" t="n"/>
      <c r="AC775" s="120" t="n"/>
      <c r="AD775" s="120" t="n"/>
      <c r="AE775" s="120" t="n"/>
    </row>
    <row r="776" ht="15" customHeight="1" s="72">
      <c r="A776" s="117" t="n"/>
      <c r="B776" s="117" t="n"/>
      <c r="C776" s="118" t="n"/>
      <c r="D776" s="118" t="n"/>
      <c r="E776" s="118" t="n"/>
      <c r="F776" s="123" t="n"/>
      <c r="G776" s="119" t="n"/>
      <c r="H776" s="123" t="n"/>
      <c r="I776" s="123" t="n"/>
      <c r="J776" s="125" t="n"/>
      <c r="K776" s="120" t="n"/>
      <c r="N776" s="117" t="n"/>
      <c r="O776" s="117" t="n"/>
      <c r="P776" s="117" t="n"/>
      <c r="Q776" s="117" t="n"/>
      <c r="R776" s="118" t="n"/>
      <c r="S776" s="119" t="n"/>
      <c r="T776" s="120" t="n"/>
      <c r="U776" s="123" t="n"/>
      <c r="V776" s="123" t="n"/>
      <c r="Y776" s="117" t="n"/>
      <c r="Z776" s="117" t="n"/>
      <c r="AA776" s="118" t="n"/>
      <c r="AB776" s="119" t="n"/>
      <c r="AC776" s="120" t="n"/>
      <c r="AD776" s="120" t="n"/>
      <c r="AE776" s="120" t="n"/>
    </row>
    <row r="777" ht="15" customHeight="1" s="72">
      <c r="A777" s="117" t="n"/>
      <c r="B777" s="117" t="n"/>
      <c r="C777" s="118" t="n"/>
      <c r="D777" s="118" t="n"/>
      <c r="E777" s="118" t="n"/>
      <c r="F777" s="123" t="n"/>
      <c r="G777" s="119" t="n"/>
      <c r="H777" s="123" t="n"/>
      <c r="I777" s="123" t="n"/>
      <c r="J777" s="125" t="n"/>
      <c r="K777" s="120" t="n"/>
      <c r="N777" s="117" t="n"/>
      <c r="O777" s="117" t="n"/>
      <c r="P777" s="117" t="n"/>
      <c r="Q777" s="117" t="n"/>
      <c r="R777" s="118" t="n"/>
      <c r="S777" s="119" t="n"/>
      <c r="T777" s="120" t="n"/>
      <c r="U777" s="123" t="n"/>
      <c r="V777" s="123" t="n"/>
      <c r="Y777" s="117" t="n"/>
      <c r="Z777" s="117" t="n"/>
      <c r="AA777" s="118" t="n"/>
      <c r="AB777" s="119" t="n"/>
      <c r="AC777" s="120" t="n"/>
      <c r="AD777" s="120" t="n"/>
      <c r="AE777" s="120" t="n"/>
    </row>
    <row r="778" ht="15" customHeight="1" s="72">
      <c r="A778" s="117" t="n"/>
      <c r="B778" s="117" t="n"/>
      <c r="C778" s="118" t="n"/>
      <c r="D778" s="118" t="n"/>
      <c r="E778" s="118" t="n"/>
      <c r="F778" s="123" t="n"/>
      <c r="G778" s="119" t="n"/>
      <c r="H778" s="123" t="n"/>
      <c r="I778" s="123" t="n"/>
      <c r="J778" s="125" t="n"/>
      <c r="K778" s="120" t="n"/>
      <c r="N778" s="117" t="n"/>
      <c r="O778" s="117" t="n"/>
      <c r="P778" s="117" t="n"/>
      <c r="Q778" s="117" t="n"/>
      <c r="R778" s="118" t="n"/>
      <c r="S778" s="119" t="n"/>
      <c r="T778" s="120" t="n"/>
      <c r="U778" s="123" t="n"/>
      <c r="V778" s="123" t="n"/>
      <c r="Y778" s="117" t="n"/>
      <c r="Z778" s="117" t="n"/>
      <c r="AA778" s="118" t="n"/>
      <c r="AB778" s="119" t="n"/>
      <c r="AC778" s="120" t="n"/>
      <c r="AD778" s="120" t="n"/>
      <c r="AE778" s="120" t="n"/>
    </row>
    <row r="779" ht="15" customHeight="1" s="72">
      <c r="A779" s="117" t="n"/>
      <c r="B779" s="117" t="n"/>
      <c r="C779" s="118" t="n"/>
      <c r="D779" s="118" t="n"/>
      <c r="E779" s="118" t="n"/>
      <c r="F779" s="123" t="n"/>
      <c r="G779" s="119" t="n"/>
      <c r="H779" s="123" t="n"/>
      <c r="I779" s="123" t="n"/>
      <c r="J779" s="125" t="n"/>
      <c r="K779" s="120" t="n"/>
      <c r="N779" s="117" t="n"/>
      <c r="O779" s="117" t="n"/>
      <c r="P779" s="117" t="n"/>
      <c r="Q779" s="117" t="n"/>
      <c r="R779" s="118" t="n"/>
      <c r="S779" s="119" t="n"/>
      <c r="T779" s="120" t="n"/>
      <c r="U779" s="123" t="n"/>
      <c r="V779" s="123" t="n"/>
      <c r="Y779" s="117" t="n"/>
      <c r="Z779" s="117" t="n"/>
      <c r="AA779" s="118" t="n"/>
      <c r="AB779" s="119" t="n"/>
      <c r="AC779" s="120" t="n"/>
      <c r="AD779" s="120" t="n"/>
      <c r="AE779" s="120" t="n"/>
    </row>
    <row r="780" ht="15" customHeight="1" s="72">
      <c r="A780" s="117" t="n"/>
      <c r="B780" s="117" t="n"/>
      <c r="C780" s="118" t="n"/>
      <c r="D780" s="118" t="n"/>
      <c r="E780" s="118" t="n"/>
      <c r="F780" s="123" t="n"/>
      <c r="G780" s="119" t="n"/>
      <c r="H780" s="123" t="n"/>
      <c r="I780" s="123" t="n"/>
      <c r="J780" s="125" t="n"/>
      <c r="K780" s="120" t="n"/>
      <c r="N780" s="117" t="n"/>
      <c r="O780" s="117" t="n"/>
      <c r="P780" s="117" t="n"/>
      <c r="Q780" s="117" t="n"/>
      <c r="R780" s="118" t="n"/>
      <c r="S780" s="119" t="n"/>
      <c r="T780" s="120" t="n"/>
      <c r="U780" s="123" t="n"/>
      <c r="V780" s="123" t="n"/>
      <c r="Y780" s="117" t="n"/>
      <c r="Z780" s="117" t="n"/>
      <c r="AA780" s="118" t="n"/>
      <c r="AB780" s="119" t="n"/>
      <c r="AC780" s="120" t="n"/>
      <c r="AD780" s="120" t="n"/>
      <c r="AE780" s="120" t="n"/>
    </row>
    <row r="781" ht="15" customHeight="1" s="72">
      <c r="A781" s="117" t="n"/>
      <c r="B781" s="117" t="n"/>
      <c r="C781" s="118" t="n"/>
      <c r="D781" s="118" t="n"/>
      <c r="E781" s="118" t="n"/>
      <c r="F781" s="123" t="n"/>
      <c r="G781" s="119" t="n"/>
      <c r="H781" s="123" t="n"/>
      <c r="I781" s="123" t="n"/>
      <c r="J781" s="125" t="n"/>
      <c r="K781" s="120" t="n"/>
      <c r="N781" s="117" t="n"/>
      <c r="O781" s="117" t="n"/>
      <c r="P781" s="117" t="n"/>
      <c r="Q781" s="117" t="n"/>
      <c r="R781" s="118" t="n"/>
      <c r="S781" s="119" t="n"/>
      <c r="T781" s="120" t="n"/>
      <c r="U781" s="123" t="n"/>
      <c r="V781" s="123" t="n"/>
      <c r="Y781" s="117" t="n"/>
      <c r="Z781" s="117" t="n"/>
      <c r="AA781" s="118" t="n"/>
      <c r="AB781" s="119" t="n"/>
      <c r="AC781" s="120" t="n"/>
      <c r="AD781" s="120" t="n"/>
      <c r="AE781" s="120" t="n"/>
    </row>
    <row r="782" ht="15" customHeight="1" s="72">
      <c r="A782" s="117" t="n"/>
      <c r="B782" s="117" t="n"/>
      <c r="C782" s="118" t="n"/>
      <c r="D782" s="118" t="n"/>
      <c r="E782" s="118" t="n"/>
      <c r="F782" s="123" t="n"/>
      <c r="G782" s="119" t="n"/>
      <c r="H782" s="123" t="n"/>
      <c r="I782" s="123" t="n"/>
      <c r="J782" s="125" t="n"/>
      <c r="K782" s="120" t="n"/>
      <c r="N782" s="117" t="n"/>
      <c r="O782" s="117" t="n"/>
      <c r="P782" s="117" t="n"/>
      <c r="Q782" s="117" t="n"/>
      <c r="R782" s="118" t="n"/>
      <c r="S782" s="119" t="n"/>
      <c r="T782" s="120" t="n"/>
      <c r="U782" s="123" t="n"/>
      <c r="V782" s="123" t="n"/>
      <c r="Y782" s="117" t="n"/>
      <c r="Z782" s="117" t="n"/>
      <c r="AA782" s="118" t="n"/>
      <c r="AB782" s="119" t="n"/>
      <c r="AC782" s="120" t="n"/>
      <c r="AD782" s="120" t="n"/>
      <c r="AE782" s="120" t="n"/>
    </row>
    <row r="783" ht="15" customHeight="1" s="72">
      <c r="A783" s="117" t="n"/>
      <c r="B783" s="117" t="n"/>
      <c r="C783" s="118" t="n"/>
      <c r="D783" s="118" t="n"/>
      <c r="E783" s="118" t="n"/>
      <c r="F783" s="123" t="n"/>
      <c r="G783" s="119" t="n"/>
      <c r="H783" s="123" t="n"/>
      <c r="I783" s="123" t="n"/>
      <c r="J783" s="125" t="n"/>
      <c r="K783" s="120" t="n"/>
      <c r="N783" s="117" t="n"/>
      <c r="O783" s="117" t="n"/>
      <c r="P783" s="117" t="n"/>
      <c r="Q783" s="117" t="n"/>
      <c r="R783" s="118" t="n"/>
      <c r="S783" s="119" t="n"/>
      <c r="T783" s="120" t="n"/>
      <c r="U783" s="123" t="n"/>
      <c r="V783" s="123" t="n"/>
      <c r="Y783" s="117" t="n"/>
      <c r="Z783" s="117" t="n"/>
      <c r="AA783" s="118" t="n"/>
      <c r="AB783" s="119" t="n"/>
      <c r="AC783" s="120" t="n"/>
      <c r="AD783" s="120" t="n"/>
      <c r="AE783" s="120" t="n"/>
    </row>
    <row r="784" ht="15" customHeight="1" s="72">
      <c r="A784" s="117" t="n"/>
      <c r="B784" s="117" t="n"/>
      <c r="C784" s="118" t="n"/>
      <c r="D784" s="118" t="n"/>
      <c r="E784" s="118" t="n"/>
      <c r="F784" s="123" t="n"/>
      <c r="G784" s="119" t="n"/>
      <c r="H784" s="123" t="n"/>
      <c r="I784" s="123" t="n"/>
      <c r="J784" s="125" t="n"/>
      <c r="K784" s="120" t="n"/>
      <c r="N784" s="117" t="n"/>
      <c r="O784" s="117" t="n"/>
      <c r="P784" s="117" t="n"/>
      <c r="Q784" s="117" t="n"/>
      <c r="R784" s="118" t="n"/>
      <c r="S784" s="119" t="n"/>
      <c r="T784" s="120" t="n"/>
      <c r="U784" s="123" t="n"/>
      <c r="V784" s="123" t="n"/>
      <c r="Y784" s="117" t="n"/>
      <c r="Z784" s="117" t="n"/>
      <c r="AA784" s="118" t="n"/>
      <c r="AB784" s="119" t="n"/>
      <c r="AC784" s="120" t="n"/>
      <c r="AD784" s="120" t="n"/>
      <c r="AE784" s="120" t="n"/>
    </row>
    <row r="785" ht="15" customHeight="1" s="72">
      <c r="A785" s="117" t="n"/>
      <c r="B785" s="117" t="n"/>
      <c r="C785" s="118" t="n"/>
      <c r="D785" s="118" t="n"/>
      <c r="E785" s="118" t="n"/>
      <c r="F785" s="123" t="n"/>
      <c r="G785" s="119" t="n"/>
      <c r="H785" s="123" t="n"/>
      <c r="I785" s="123" t="n"/>
      <c r="J785" s="125" t="n"/>
      <c r="K785" s="120" t="n"/>
      <c r="N785" s="117" t="n"/>
      <c r="O785" s="117" t="n"/>
      <c r="P785" s="117" t="n"/>
      <c r="Q785" s="117" t="n"/>
      <c r="R785" s="118" t="n"/>
      <c r="S785" s="119" t="n"/>
      <c r="T785" s="120" t="n"/>
      <c r="U785" s="123" t="n"/>
      <c r="V785" s="123" t="n"/>
      <c r="Y785" s="117" t="n"/>
      <c r="Z785" s="117" t="n"/>
      <c r="AA785" s="118" t="n"/>
      <c r="AB785" s="119" t="n"/>
      <c r="AC785" s="120" t="n"/>
      <c r="AD785" s="120" t="n"/>
      <c r="AE785" s="120" t="n"/>
    </row>
    <row r="786" ht="15" customHeight="1" s="72">
      <c r="A786" s="117" t="n"/>
      <c r="B786" s="117" t="n"/>
      <c r="C786" s="118" t="n"/>
      <c r="D786" s="118" t="n"/>
      <c r="E786" s="118" t="n"/>
      <c r="F786" s="123" t="n"/>
      <c r="G786" s="119" t="n"/>
      <c r="H786" s="123" t="n"/>
      <c r="I786" s="123" t="n"/>
      <c r="J786" s="125" t="n"/>
      <c r="K786" s="120" t="n"/>
      <c r="N786" s="117" t="n"/>
      <c r="O786" s="117" t="n"/>
      <c r="P786" s="117" t="n"/>
      <c r="Q786" s="117" t="n"/>
      <c r="R786" s="118" t="n"/>
      <c r="S786" s="119" t="n"/>
      <c r="T786" s="120" t="n"/>
      <c r="U786" s="123" t="n"/>
      <c r="V786" s="123" t="n"/>
      <c r="Y786" s="117" t="n"/>
      <c r="Z786" s="117" t="n"/>
      <c r="AA786" s="118" t="n"/>
      <c r="AB786" s="119" t="n"/>
      <c r="AC786" s="120" t="n"/>
      <c r="AD786" s="120" t="n"/>
      <c r="AE786" s="120" t="n"/>
    </row>
    <row r="787" ht="15" customHeight="1" s="72">
      <c r="A787" s="117" t="n"/>
      <c r="B787" s="117" t="n"/>
      <c r="C787" s="118" t="n"/>
      <c r="D787" s="118" t="n"/>
      <c r="E787" s="118" t="n"/>
      <c r="F787" s="123" t="n"/>
      <c r="G787" s="119" t="n"/>
      <c r="H787" s="123" t="n"/>
      <c r="I787" s="123" t="n"/>
      <c r="J787" s="125" t="n"/>
      <c r="K787" s="120" t="n"/>
      <c r="N787" s="117" t="n"/>
      <c r="O787" s="117" t="n"/>
      <c r="P787" s="117" t="n"/>
      <c r="Q787" s="117" t="n"/>
      <c r="R787" s="118" t="n"/>
      <c r="S787" s="119" t="n"/>
      <c r="T787" s="120" t="n"/>
      <c r="U787" s="123" t="n"/>
      <c r="V787" s="123" t="n"/>
      <c r="Y787" s="117" t="n"/>
      <c r="Z787" s="117" t="n"/>
      <c r="AA787" s="118" t="n"/>
      <c r="AB787" s="119" t="n"/>
      <c r="AC787" s="120" t="n"/>
      <c r="AD787" s="120" t="n"/>
      <c r="AE787" s="120" t="n"/>
    </row>
    <row r="788" ht="15" customHeight="1" s="72">
      <c r="A788" s="117" t="n"/>
      <c r="B788" s="117" t="n"/>
      <c r="C788" s="118" t="n"/>
      <c r="D788" s="118" t="n"/>
      <c r="E788" s="118" t="n"/>
      <c r="F788" s="123" t="n"/>
      <c r="G788" s="119" t="n"/>
      <c r="H788" s="123" t="n"/>
      <c r="I788" s="123" t="n"/>
      <c r="J788" s="125" t="n"/>
      <c r="K788" s="120" t="n"/>
      <c r="N788" s="117" t="n"/>
      <c r="O788" s="117" t="n"/>
      <c r="P788" s="117" t="n"/>
      <c r="Q788" s="117" t="n"/>
      <c r="R788" s="118" t="n"/>
      <c r="S788" s="119" t="n"/>
      <c r="T788" s="120" t="n"/>
      <c r="U788" s="123" t="n"/>
      <c r="V788" s="123" t="n"/>
      <c r="Y788" s="117" t="n"/>
      <c r="Z788" s="117" t="n"/>
      <c r="AA788" s="118" t="n"/>
      <c r="AB788" s="119" t="n"/>
      <c r="AC788" s="120" t="n"/>
      <c r="AD788" s="120" t="n"/>
      <c r="AE788" s="120" t="n"/>
    </row>
    <row r="789" ht="15" customHeight="1" s="72">
      <c r="A789" s="117" t="n"/>
      <c r="B789" s="117" t="n"/>
      <c r="C789" s="118" t="n"/>
      <c r="D789" s="118" t="n"/>
      <c r="E789" s="118" t="n"/>
      <c r="F789" s="123" t="n"/>
      <c r="G789" s="119" t="n"/>
      <c r="H789" s="123" t="n"/>
      <c r="I789" s="123" t="n"/>
      <c r="J789" s="125" t="n"/>
      <c r="K789" s="120" t="n"/>
      <c r="N789" s="117" t="n"/>
      <c r="O789" s="117" t="n"/>
      <c r="P789" s="117" t="n"/>
      <c r="Q789" s="117" t="n"/>
      <c r="R789" s="118" t="n"/>
      <c r="S789" s="119" t="n"/>
      <c r="T789" s="120" t="n"/>
      <c r="U789" s="123" t="n"/>
      <c r="V789" s="123" t="n"/>
      <c r="Y789" s="117" t="n"/>
      <c r="Z789" s="117" t="n"/>
      <c r="AA789" s="118" t="n"/>
      <c r="AB789" s="119" t="n"/>
      <c r="AC789" s="120" t="n"/>
      <c r="AD789" s="120" t="n"/>
      <c r="AE789" s="120" t="n"/>
    </row>
    <row r="790" ht="15" customHeight="1" s="72">
      <c r="A790" s="117" t="n"/>
      <c r="B790" s="117" t="n"/>
      <c r="C790" s="118" t="n"/>
      <c r="D790" s="118" t="n"/>
      <c r="E790" s="118" t="n"/>
      <c r="F790" s="123" t="n"/>
      <c r="G790" s="119" t="n"/>
      <c r="H790" s="123" t="n"/>
      <c r="I790" s="123" t="n"/>
      <c r="J790" s="125" t="n"/>
      <c r="K790" s="120" t="n"/>
      <c r="N790" s="117" t="n"/>
      <c r="O790" s="117" t="n"/>
      <c r="P790" s="117" t="n"/>
      <c r="Q790" s="117" t="n"/>
      <c r="R790" s="118" t="n"/>
      <c r="S790" s="119" t="n"/>
      <c r="T790" s="120" t="n"/>
      <c r="U790" s="123" t="n"/>
      <c r="V790" s="123" t="n"/>
      <c r="Y790" s="117" t="n"/>
      <c r="Z790" s="117" t="n"/>
      <c r="AA790" s="118" t="n"/>
      <c r="AB790" s="119" t="n"/>
      <c r="AC790" s="120" t="n"/>
      <c r="AD790" s="120" t="n"/>
      <c r="AE790" s="120" t="n"/>
    </row>
    <row r="791" ht="15" customHeight="1" s="72">
      <c r="A791" s="117" t="n"/>
      <c r="B791" s="117" t="n"/>
      <c r="C791" s="118" t="n"/>
      <c r="D791" s="118" t="n"/>
      <c r="E791" s="118" t="n"/>
      <c r="F791" s="123" t="n"/>
      <c r="G791" s="119" t="n"/>
      <c r="H791" s="123" t="n"/>
      <c r="I791" s="123" t="n"/>
      <c r="J791" s="125" t="n"/>
      <c r="K791" s="120" t="n"/>
      <c r="N791" s="117" t="n"/>
      <c r="O791" s="117" t="n"/>
      <c r="P791" s="117" t="n"/>
      <c r="Q791" s="117" t="n"/>
      <c r="R791" s="118" t="n"/>
      <c r="S791" s="119" t="n"/>
      <c r="T791" s="120" t="n"/>
      <c r="U791" s="123" t="n"/>
      <c r="V791" s="123" t="n"/>
      <c r="Y791" s="117" t="n"/>
      <c r="Z791" s="117" t="n"/>
      <c r="AA791" s="118" t="n"/>
      <c r="AB791" s="119" t="n"/>
      <c r="AC791" s="120" t="n"/>
      <c r="AD791" s="120" t="n"/>
      <c r="AE791" s="120" t="n"/>
    </row>
    <row r="792" ht="15" customHeight="1" s="72">
      <c r="A792" s="117" t="n"/>
      <c r="B792" s="117" t="n"/>
      <c r="C792" s="118" t="n"/>
      <c r="D792" s="118" t="n"/>
      <c r="E792" s="118" t="n"/>
      <c r="F792" s="123" t="n"/>
      <c r="G792" s="119" t="n"/>
      <c r="H792" s="123" t="n"/>
      <c r="I792" s="123" t="n"/>
      <c r="J792" s="125" t="n"/>
      <c r="K792" s="120" t="n"/>
      <c r="N792" s="117" t="n"/>
      <c r="O792" s="117" t="n"/>
      <c r="P792" s="117" t="n"/>
      <c r="Q792" s="117" t="n"/>
      <c r="R792" s="118" t="n"/>
      <c r="S792" s="119" t="n"/>
      <c r="T792" s="120" t="n"/>
      <c r="U792" s="123" t="n"/>
      <c r="V792" s="123" t="n"/>
      <c r="Y792" s="117" t="n"/>
      <c r="Z792" s="117" t="n"/>
      <c r="AA792" s="118" t="n"/>
      <c r="AB792" s="119" t="n"/>
      <c r="AC792" s="120" t="n"/>
      <c r="AD792" s="120" t="n"/>
      <c r="AE792" s="120" t="n"/>
    </row>
    <row r="793" ht="15" customHeight="1" s="72">
      <c r="A793" s="117" t="n"/>
      <c r="B793" s="117" t="n"/>
      <c r="C793" s="118" t="n"/>
      <c r="D793" s="118" t="n"/>
      <c r="E793" s="118" t="n"/>
      <c r="F793" s="123" t="n"/>
      <c r="G793" s="119" t="n"/>
      <c r="H793" s="123" t="n"/>
      <c r="I793" s="123" t="n"/>
      <c r="J793" s="125" t="n"/>
      <c r="K793" s="120" t="n"/>
      <c r="N793" s="117" t="n"/>
      <c r="O793" s="117" t="n"/>
      <c r="P793" s="117" t="n"/>
      <c r="Q793" s="117" t="n"/>
      <c r="R793" s="118" t="n"/>
      <c r="S793" s="119" t="n"/>
      <c r="T793" s="120" t="n"/>
      <c r="U793" s="123" t="n"/>
      <c r="V793" s="123" t="n"/>
      <c r="Y793" s="117" t="n"/>
      <c r="Z793" s="117" t="n"/>
      <c r="AA793" s="118" t="n"/>
      <c r="AB793" s="119" t="n"/>
      <c r="AC793" s="120" t="n"/>
      <c r="AD793" s="120" t="n"/>
      <c r="AE793" s="120" t="n"/>
    </row>
    <row r="794" ht="15" customHeight="1" s="72">
      <c r="A794" s="117" t="n"/>
      <c r="B794" s="117" t="n"/>
      <c r="C794" s="118" t="n"/>
      <c r="D794" s="118" t="n"/>
      <c r="E794" s="118" t="n"/>
      <c r="F794" s="123" t="n"/>
      <c r="G794" s="119" t="n"/>
      <c r="H794" s="123" t="n"/>
      <c r="I794" s="123" t="n"/>
      <c r="J794" s="125" t="n"/>
      <c r="K794" s="120" t="n"/>
      <c r="N794" s="117" t="n"/>
      <c r="O794" s="117" t="n"/>
      <c r="P794" s="117" t="n"/>
      <c r="Q794" s="117" t="n"/>
      <c r="R794" s="118" t="n"/>
      <c r="S794" s="119" t="n"/>
      <c r="T794" s="120" t="n"/>
      <c r="U794" s="123" t="n"/>
      <c r="V794" s="123" t="n"/>
      <c r="Y794" s="117" t="n"/>
      <c r="Z794" s="117" t="n"/>
      <c r="AA794" s="118" t="n"/>
      <c r="AB794" s="119" t="n"/>
      <c r="AC794" s="120" t="n"/>
      <c r="AD794" s="120" t="n"/>
      <c r="AE794" s="120" t="n"/>
    </row>
    <row r="795" ht="15" customHeight="1" s="72">
      <c r="A795" s="117" t="n"/>
      <c r="B795" s="117" t="n"/>
      <c r="C795" s="118" t="n"/>
      <c r="D795" s="118" t="n"/>
      <c r="E795" s="118" t="n"/>
      <c r="F795" s="123" t="n"/>
      <c r="G795" s="119" t="n"/>
      <c r="H795" s="123" t="n"/>
      <c r="I795" s="123" t="n"/>
      <c r="J795" s="125" t="n"/>
      <c r="K795" s="120" t="n"/>
      <c r="N795" s="117" t="n"/>
      <c r="O795" s="117" t="n"/>
      <c r="P795" s="117" t="n"/>
      <c r="Q795" s="117" t="n"/>
      <c r="R795" s="118" t="n"/>
      <c r="S795" s="119" t="n"/>
      <c r="T795" s="120" t="n"/>
      <c r="U795" s="123" t="n"/>
      <c r="V795" s="123" t="n"/>
      <c r="Y795" s="117" t="n"/>
      <c r="Z795" s="117" t="n"/>
      <c r="AA795" s="118" t="n"/>
      <c r="AB795" s="119" t="n"/>
      <c r="AC795" s="120" t="n"/>
      <c r="AD795" s="120" t="n"/>
      <c r="AE795" s="120" t="n"/>
    </row>
    <row r="796" ht="15" customHeight="1" s="72">
      <c r="A796" s="117" t="n"/>
      <c r="B796" s="117" t="n"/>
      <c r="C796" s="118" t="n"/>
      <c r="D796" s="118" t="n"/>
      <c r="E796" s="118" t="n"/>
      <c r="F796" s="123" t="n"/>
      <c r="G796" s="119" t="n"/>
      <c r="H796" s="123" t="n"/>
      <c r="I796" s="123" t="n"/>
      <c r="J796" s="125" t="n"/>
      <c r="K796" s="120" t="n"/>
      <c r="N796" s="117" t="n"/>
      <c r="O796" s="117" t="n"/>
      <c r="P796" s="117" t="n"/>
      <c r="Q796" s="117" t="n"/>
      <c r="R796" s="118" t="n"/>
      <c r="S796" s="119" t="n"/>
      <c r="T796" s="120" t="n"/>
      <c r="U796" s="123" t="n"/>
      <c r="V796" s="123" t="n"/>
      <c r="Y796" s="117" t="n"/>
      <c r="Z796" s="117" t="n"/>
      <c r="AA796" s="118" t="n"/>
      <c r="AB796" s="119" t="n"/>
      <c r="AC796" s="120" t="n"/>
      <c r="AD796" s="120" t="n"/>
      <c r="AE796" s="120" t="n"/>
    </row>
    <row r="797" ht="15" customHeight="1" s="72">
      <c r="A797" s="117" t="n"/>
      <c r="B797" s="117" t="n"/>
      <c r="C797" s="118" t="n"/>
      <c r="D797" s="118" t="n"/>
      <c r="E797" s="118" t="n"/>
      <c r="F797" s="123" t="n"/>
      <c r="G797" s="119" t="n"/>
      <c r="H797" s="123" t="n"/>
      <c r="I797" s="123" t="n"/>
      <c r="J797" s="125" t="n"/>
      <c r="K797" s="120" t="n"/>
      <c r="N797" s="117" t="n"/>
      <c r="O797" s="117" t="n"/>
      <c r="P797" s="117" t="n"/>
      <c r="Q797" s="117" t="n"/>
      <c r="R797" s="118" t="n"/>
      <c r="S797" s="119" t="n"/>
      <c r="T797" s="120" t="n"/>
      <c r="U797" s="123" t="n"/>
      <c r="V797" s="123" t="n"/>
      <c r="Y797" s="117" t="n"/>
      <c r="Z797" s="117" t="n"/>
      <c r="AA797" s="118" t="n"/>
      <c r="AB797" s="119" t="n"/>
      <c r="AC797" s="120" t="n"/>
      <c r="AD797" s="120" t="n"/>
      <c r="AE797" s="120" t="n"/>
    </row>
    <row r="798" ht="15" customHeight="1" s="72">
      <c r="A798" s="117" t="n"/>
      <c r="B798" s="117" t="n"/>
      <c r="C798" s="118" t="n"/>
      <c r="D798" s="118" t="n"/>
      <c r="E798" s="118" t="n"/>
      <c r="F798" s="123" t="n"/>
      <c r="G798" s="119" t="n"/>
      <c r="H798" s="123" t="n"/>
      <c r="I798" s="123" t="n"/>
      <c r="J798" s="125" t="n"/>
      <c r="K798" s="120" t="n"/>
      <c r="N798" s="117" t="n"/>
      <c r="O798" s="117" t="n"/>
      <c r="P798" s="117" t="n"/>
      <c r="Q798" s="117" t="n"/>
      <c r="R798" s="118" t="n"/>
      <c r="S798" s="119" t="n"/>
      <c r="T798" s="120" t="n"/>
      <c r="U798" s="123" t="n"/>
      <c r="V798" s="123" t="n"/>
      <c r="Y798" s="117" t="n"/>
      <c r="Z798" s="117" t="n"/>
      <c r="AA798" s="118" t="n"/>
      <c r="AB798" s="119" t="n"/>
      <c r="AC798" s="120" t="n"/>
      <c r="AD798" s="120" t="n"/>
      <c r="AE798" s="120" t="n"/>
    </row>
    <row r="799" ht="15" customHeight="1" s="72">
      <c r="A799" s="117" t="n"/>
      <c r="B799" s="117" t="n"/>
      <c r="C799" s="118" t="n"/>
      <c r="D799" s="118" t="n"/>
      <c r="E799" s="118" t="n"/>
      <c r="F799" s="123" t="n"/>
      <c r="G799" s="119" t="n"/>
      <c r="H799" s="123" t="n"/>
      <c r="I799" s="123" t="n"/>
      <c r="J799" s="125" t="n"/>
      <c r="K799" s="120" t="n"/>
      <c r="N799" s="117" t="n"/>
      <c r="O799" s="117" t="n"/>
      <c r="P799" s="117" t="n"/>
      <c r="Q799" s="117" t="n"/>
      <c r="R799" s="118" t="n"/>
      <c r="S799" s="119" t="n"/>
      <c r="T799" s="120" t="n"/>
      <c r="U799" s="123" t="n"/>
      <c r="V799" s="123" t="n"/>
      <c r="Y799" s="117" t="n"/>
      <c r="Z799" s="117" t="n"/>
      <c r="AA799" s="118" t="n"/>
      <c r="AB799" s="119" t="n"/>
      <c r="AC799" s="120" t="n"/>
      <c r="AD799" s="120" t="n"/>
      <c r="AE799" s="120" t="n"/>
    </row>
    <row r="800" ht="15" customHeight="1" s="72">
      <c r="A800" s="117" t="n"/>
      <c r="B800" s="117" t="n"/>
      <c r="C800" s="118" t="n"/>
      <c r="D800" s="118" t="n"/>
      <c r="E800" s="118" t="n"/>
      <c r="F800" s="123" t="n"/>
      <c r="G800" s="119" t="n"/>
      <c r="H800" s="123" t="n"/>
      <c r="I800" s="123" t="n"/>
      <c r="J800" s="125" t="n"/>
      <c r="K800" s="120" t="n"/>
      <c r="N800" s="117" t="n"/>
      <c r="O800" s="117" t="n"/>
      <c r="P800" s="117" t="n"/>
      <c r="Q800" s="117" t="n"/>
      <c r="R800" s="118" t="n"/>
      <c r="S800" s="119" t="n"/>
      <c r="T800" s="120" t="n"/>
      <c r="U800" s="123" t="n"/>
      <c r="V800" s="123" t="n"/>
      <c r="Y800" s="117" t="n"/>
      <c r="Z800" s="117" t="n"/>
      <c r="AA800" s="118" t="n"/>
      <c r="AB800" s="119" t="n"/>
      <c r="AC800" s="120" t="n"/>
      <c r="AD800" s="120" t="n"/>
      <c r="AE800" s="120" t="n"/>
    </row>
    <row r="801" ht="15" customHeight="1" s="72">
      <c r="A801" s="117" t="n"/>
      <c r="B801" s="117" t="n"/>
      <c r="C801" s="118" t="n"/>
      <c r="D801" s="118" t="n"/>
      <c r="E801" s="118" t="n"/>
      <c r="F801" s="123" t="n"/>
      <c r="G801" s="119" t="n"/>
      <c r="H801" s="123" t="n"/>
      <c r="I801" s="123" t="n"/>
      <c r="J801" s="125" t="n"/>
      <c r="K801" s="120" t="n"/>
      <c r="N801" s="117" t="n"/>
      <c r="O801" s="117" t="n"/>
      <c r="P801" s="117" t="n"/>
      <c r="Q801" s="117" t="n"/>
      <c r="R801" s="118" t="n"/>
      <c r="S801" s="119" t="n"/>
      <c r="T801" s="120" t="n"/>
      <c r="U801" s="123" t="n"/>
      <c r="V801" s="123" t="n"/>
      <c r="Y801" s="117" t="n"/>
      <c r="Z801" s="117" t="n"/>
      <c r="AA801" s="118" t="n"/>
      <c r="AB801" s="119" t="n"/>
      <c r="AC801" s="120" t="n"/>
      <c r="AD801" s="120" t="n"/>
      <c r="AE801" s="120" t="n"/>
    </row>
    <row r="802" ht="15" customHeight="1" s="72">
      <c r="A802" s="117" t="n"/>
      <c r="B802" s="117" t="n"/>
      <c r="C802" s="118" t="n"/>
      <c r="D802" s="118" t="n"/>
      <c r="E802" s="118" t="n"/>
      <c r="F802" s="123" t="n"/>
      <c r="G802" s="119" t="n"/>
      <c r="H802" s="123" t="n"/>
      <c r="I802" s="123" t="n"/>
      <c r="J802" s="125" t="n"/>
      <c r="K802" s="120" t="n"/>
      <c r="N802" s="117" t="n"/>
      <c r="O802" s="117" t="n"/>
      <c r="P802" s="117" t="n"/>
      <c r="Q802" s="117" t="n"/>
      <c r="R802" s="118" t="n"/>
      <c r="S802" s="119" t="n"/>
      <c r="T802" s="120" t="n"/>
      <c r="U802" s="123" t="n"/>
      <c r="V802" s="123" t="n"/>
      <c r="Y802" s="117" t="n"/>
      <c r="Z802" s="117" t="n"/>
      <c r="AA802" s="118" t="n"/>
      <c r="AB802" s="119" t="n"/>
      <c r="AC802" s="120" t="n"/>
      <c r="AD802" s="120" t="n"/>
      <c r="AE802" s="120" t="n"/>
    </row>
    <row r="803" ht="15" customHeight="1" s="72">
      <c r="A803" s="117" t="n"/>
      <c r="B803" s="117" t="n"/>
      <c r="C803" s="118" t="n"/>
      <c r="D803" s="118" t="n"/>
      <c r="E803" s="118" t="n"/>
      <c r="F803" s="123" t="n"/>
      <c r="G803" s="119" t="n"/>
      <c r="H803" s="123" t="n"/>
      <c r="I803" s="123" t="n"/>
      <c r="J803" s="125" t="n"/>
      <c r="K803" s="120" t="n"/>
      <c r="N803" s="117" t="n"/>
      <c r="O803" s="117" t="n"/>
      <c r="P803" s="117" t="n"/>
      <c r="Q803" s="117" t="n"/>
      <c r="R803" s="118" t="n"/>
      <c r="S803" s="119" t="n"/>
      <c r="T803" s="120" t="n"/>
      <c r="U803" s="123" t="n"/>
      <c r="V803" s="123" t="n"/>
      <c r="Y803" s="117" t="n"/>
      <c r="Z803" s="117" t="n"/>
      <c r="AA803" s="118" t="n"/>
      <c r="AB803" s="119" t="n"/>
      <c r="AC803" s="120" t="n"/>
      <c r="AD803" s="120" t="n"/>
      <c r="AE803" s="120" t="n"/>
    </row>
    <row r="804" ht="15" customHeight="1" s="72">
      <c r="A804" s="117" t="n"/>
      <c r="B804" s="117" t="n"/>
      <c r="C804" s="118" t="n"/>
      <c r="D804" s="118" t="n"/>
      <c r="E804" s="118" t="n"/>
      <c r="F804" s="123" t="n"/>
      <c r="G804" s="119" t="n"/>
      <c r="H804" s="123" t="n"/>
      <c r="I804" s="123" t="n"/>
      <c r="J804" s="125" t="n"/>
      <c r="K804" s="120" t="n"/>
      <c r="N804" s="117" t="n"/>
      <c r="O804" s="117" t="n"/>
      <c r="P804" s="117" t="n"/>
      <c r="Q804" s="117" t="n"/>
      <c r="R804" s="118" t="n"/>
      <c r="S804" s="119" t="n"/>
      <c r="T804" s="120" t="n"/>
      <c r="U804" s="123" t="n"/>
      <c r="V804" s="123" t="n"/>
      <c r="Y804" s="117" t="n"/>
      <c r="Z804" s="117" t="n"/>
      <c r="AA804" s="118" t="n"/>
      <c r="AB804" s="119" t="n"/>
      <c r="AC804" s="120" t="n"/>
      <c r="AD804" s="120" t="n"/>
      <c r="AE804" s="120" t="n"/>
    </row>
    <row r="805" ht="15" customHeight="1" s="72">
      <c r="A805" s="117" t="n"/>
      <c r="B805" s="117" t="n"/>
      <c r="C805" s="118" t="n"/>
      <c r="D805" s="118" t="n"/>
      <c r="E805" s="118" t="n"/>
      <c r="F805" s="123" t="n"/>
      <c r="G805" s="119" t="n"/>
      <c r="H805" s="123" t="n"/>
      <c r="I805" s="123" t="n"/>
      <c r="J805" s="125" t="n"/>
      <c r="K805" s="120" t="n"/>
      <c r="N805" s="117" t="n"/>
      <c r="O805" s="117" t="n"/>
      <c r="P805" s="117" t="n"/>
      <c r="Q805" s="117" t="n"/>
      <c r="R805" s="118" t="n"/>
      <c r="S805" s="119" t="n"/>
      <c r="T805" s="120" t="n"/>
      <c r="U805" s="123" t="n"/>
      <c r="V805" s="123" t="n"/>
      <c r="Y805" s="117" t="n"/>
      <c r="Z805" s="117" t="n"/>
      <c r="AA805" s="118" t="n"/>
      <c r="AB805" s="119" t="n"/>
      <c r="AC805" s="120" t="n"/>
      <c r="AD805" s="120" t="n"/>
      <c r="AE805" s="120" t="n"/>
    </row>
    <row r="806" ht="15" customHeight="1" s="72">
      <c r="A806" s="117" t="n"/>
      <c r="B806" s="117" t="n"/>
      <c r="C806" s="118" t="n"/>
      <c r="D806" s="118" t="n"/>
      <c r="E806" s="118" t="n"/>
      <c r="F806" s="123" t="n"/>
      <c r="G806" s="119" t="n"/>
      <c r="H806" s="123" t="n"/>
      <c r="I806" s="123" t="n"/>
      <c r="J806" s="125" t="n"/>
      <c r="K806" s="120" t="n"/>
      <c r="N806" s="117" t="n"/>
      <c r="O806" s="117" t="n"/>
      <c r="P806" s="117" t="n"/>
      <c r="Q806" s="117" t="n"/>
      <c r="R806" s="118" t="n"/>
      <c r="S806" s="119" t="n"/>
      <c r="T806" s="120" t="n"/>
      <c r="U806" s="123" t="n"/>
      <c r="V806" s="123" t="n"/>
      <c r="Y806" s="117" t="n"/>
      <c r="Z806" s="117" t="n"/>
      <c r="AA806" s="118" t="n"/>
      <c r="AB806" s="119" t="n"/>
      <c r="AC806" s="120" t="n"/>
      <c r="AD806" s="120" t="n"/>
      <c r="AE806" s="120" t="n"/>
    </row>
    <row r="807" ht="15" customHeight="1" s="72">
      <c r="A807" s="117" t="n"/>
      <c r="B807" s="117" t="n"/>
      <c r="C807" s="118" t="n"/>
      <c r="D807" s="118" t="n"/>
      <c r="E807" s="118" t="n"/>
      <c r="F807" s="123" t="n"/>
      <c r="G807" s="119" t="n"/>
      <c r="H807" s="123" t="n"/>
      <c r="I807" s="123" t="n"/>
      <c r="J807" s="125" t="n"/>
      <c r="K807" s="120" t="n"/>
      <c r="N807" s="117" t="n"/>
      <c r="O807" s="117" t="n"/>
      <c r="P807" s="117" t="n"/>
      <c r="Q807" s="117" t="n"/>
      <c r="R807" s="118" t="n"/>
      <c r="S807" s="119" t="n"/>
      <c r="T807" s="120" t="n"/>
      <c r="U807" s="123" t="n"/>
      <c r="V807" s="123" t="n"/>
      <c r="Y807" s="117" t="n"/>
      <c r="Z807" s="117" t="n"/>
      <c r="AA807" s="118" t="n"/>
      <c r="AB807" s="119" t="n"/>
      <c r="AC807" s="120" t="n"/>
      <c r="AD807" s="120" t="n"/>
      <c r="AE807" s="120" t="n"/>
    </row>
    <row r="808" ht="15" customHeight="1" s="72">
      <c r="A808" s="117" t="n"/>
      <c r="B808" s="117" t="n"/>
      <c r="C808" s="118" t="n"/>
      <c r="D808" s="118" t="n"/>
      <c r="E808" s="118" t="n"/>
      <c r="F808" s="123" t="n"/>
      <c r="G808" s="119" t="n"/>
      <c r="H808" s="123" t="n"/>
      <c r="I808" s="123" t="n"/>
      <c r="J808" s="125" t="n"/>
      <c r="K808" s="120" t="n"/>
      <c r="N808" s="117" t="n"/>
      <c r="O808" s="117" t="n"/>
      <c r="P808" s="117" t="n"/>
      <c r="Q808" s="117" t="n"/>
      <c r="R808" s="118" t="n"/>
      <c r="S808" s="119" t="n"/>
      <c r="T808" s="120" t="n"/>
      <c r="U808" s="123" t="n"/>
      <c r="V808" s="123" t="n"/>
      <c r="Y808" s="117" t="n"/>
      <c r="Z808" s="117" t="n"/>
      <c r="AA808" s="118" t="n"/>
      <c r="AB808" s="119" t="n"/>
      <c r="AC808" s="120" t="n"/>
      <c r="AD808" s="120" t="n"/>
      <c r="AE808" s="120" t="n"/>
    </row>
    <row r="809" ht="15" customHeight="1" s="72">
      <c r="A809" s="117" t="n"/>
      <c r="B809" s="117" t="n"/>
      <c r="C809" s="118" t="n"/>
      <c r="D809" s="118" t="n"/>
      <c r="E809" s="118" t="n"/>
      <c r="F809" s="123" t="n"/>
      <c r="G809" s="119" t="n"/>
      <c r="H809" s="123" t="n"/>
      <c r="I809" s="123" t="n"/>
      <c r="J809" s="125" t="n"/>
      <c r="K809" s="120" t="n"/>
      <c r="N809" s="117" t="n"/>
      <c r="O809" s="117" t="n"/>
      <c r="P809" s="117" t="n"/>
      <c r="Q809" s="117" t="n"/>
      <c r="R809" s="118" t="n"/>
      <c r="S809" s="119" t="n"/>
      <c r="T809" s="120" t="n"/>
      <c r="U809" s="123" t="n"/>
      <c r="V809" s="123" t="n"/>
      <c r="Y809" s="117" t="n"/>
      <c r="Z809" s="117" t="n"/>
      <c r="AA809" s="118" t="n"/>
      <c r="AB809" s="119" t="n"/>
      <c r="AC809" s="120" t="n"/>
      <c r="AD809" s="120" t="n"/>
      <c r="AE809" s="120" t="n"/>
    </row>
    <row r="810" ht="15" customHeight="1" s="72">
      <c r="A810" s="117" t="n"/>
      <c r="B810" s="117" t="n"/>
      <c r="C810" s="118" t="n"/>
      <c r="D810" s="118" t="n"/>
      <c r="E810" s="118" t="n"/>
      <c r="F810" s="123" t="n"/>
      <c r="G810" s="119" t="n"/>
      <c r="H810" s="123" t="n"/>
      <c r="I810" s="123" t="n"/>
      <c r="J810" s="125" t="n"/>
      <c r="K810" s="120" t="n"/>
      <c r="N810" s="117" t="n"/>
      <c r="O810" s="117" t="n"/>
      <c r="P810" s="117" t="n"/>
      <c r="Q810" s="117" t="n"/>
      <c r="R810" s="118" t="n"/>
      <c r="S810" s="119" t="n"/>
      <c r="T810" s="120" t="n"/>
      <c r="U810" s="123" t="n"/>
      <c r="V810" s="123" t="n"/>
      <c r="Y810" s="117" t="n"/>
      <c r="Z810" s="117" t="n"/>
      <c r="AA810" s="118" t="n"/>
      <c r="AB810" s="119" t="n"/>
      <c r="AC810" s="120" t="n"/>
      <c r="AD810" s="120" t="n"/>
      <c r="AE810" s="120" t="n"/>
    </row>
    <row r="811" ht="15" customHeight="1" s="72">
      <c r="A811" s="117" t="n"/>
      <c r="B811" s="117" t="n"/>
      <c r="C811" s="118" t="n"/>
      <c r="D811" s="118" t="n"/>
      <c r="E811" s="118" t="n"/>
      <c r="F811" s="123" t="n"/>
      <c r="G811" s="119" t="n"/>
      <c r="H811" s="123" t="n"/>
      <c r="I811" s="123" t="n"/>
      <c r="J811" s="125" t="n"/>
      <c r="K811" s="120" t="n"/>
      <c r="N811" s="117" t="n"/>
      <c r="O811" s="117" t="n"/>
      <c r="P811" s="117" t="n"/>
      <c r="Q811" s="117" t="n"/>
      <c r="R811" s="118" t="n"/>
      <c r="S811" s="119" t="n"/>
      <c r="T811" s="120" t="n"/>
      <c r="U811" s="123" t="n"/>
      <c r="V811" s="123" t="n"/>
      <c r="Y811" s="117" t="n"/>
      <c r="Z811" s="117" t="n"/>
      <c r="AA811" s="118" t="n"/>
      <c r="AB811" s="119" t="n"/>
      <c r="AC811" s="120" t="n"/>
      <c r="AD811" s="120" t="n"/>
      <c r="AE811" s="120" t="n"/>
    </row>
    <row r="812" ht="15" customHeight="1" s="72">
      <c r="A812" s="117" t="n"/>
      <c r="B812" s="117" t="n"/>
      <c r="C812" s="118" t="n"/>
      <c r="D812" s="118" t="n"/>
      <c r="E812" s="118" t="n"/>
      <c r="F812" s="123" t="n"/>
      <c r="G812" s="119" t="n"/>
      <c r="H812" s="123" t="n"/>
      <c r="I812" s="123" t="n"/>
      <c r="J812" s="125" t="n"/>
      <c r="K812" s="120" t="n"/>
      <c r="N812" s="117" t="n"/>
      <c r="O812" s="117" t="n"/>
      <c r="P812" s="117" t="n"/>
      <c r="Q812" s="117" t="n"/>
      <c r="R812" s="118" t="n"/>
      <c r="S812" s="119" t="n"/>
      <c r="T812" s="120" t="n"/>
      <c r="U812" s="123" t="n"/>
      <c r="V812" s="123" t="n"/>
      <c r="Y812" s="117" t="n"/>
      <c r="Z812" s="117" t="n"/>
      <c r="AA812" s="118" t="n"/>
      <c r="AB812" s="119" t="n"/>
      <c r="AC812" s="120" t="n"/>
      <c r="AD812" s="120" t="n"/>
      <c r="AE812" s="120" t="n"/>
    </row>
    <row r="813" ht="15" customHeight="1" s="72">
      <c r="A813" s="117" t="n"/>
      <c r="B813" s="117" t="n"/>
      <c r="C813" s="118" t="n"/>
      <c r="D813" s="118" t="n"/>
      <c r="E813" s="118" t="n"/>
      <c r="F813" s="123" t="n"/>
      <c r="G813" s="119" t="n"/>
      <c r="H813" s="123" t="n"/>
      <c r="I813" s="123" t="n"/>
      <c r="J813" s="125" t="n"/>
      <c r="K813" s="120" t="n"/>
      <c r="N813" s="117" t="n"/>
      <c r="O813" s="117" t="n"/>
      <c r="P813" s="117" t="n"/>
      <c r="Q813" s="117" t="n"/>
      <c r="R813" s="118" t="n"/>
      <c r="S813" s="119" t="n"/>
      <c r="T813" s="120" t="n"/>
      <c r="U813" s="123" t="n"/>
      <c r="V813" s="123" t="n"/>
      <c r="Y813" s="117" t="n"/>
      <c r="Z813" s="117" t="n"/>
      <c r="AA813" s="118" t="n"/>
      <c r="AB813" s="119" t="n"/>
      <c r="AC813" s="120" t="n"/>
      <c r="AD813" s="120" t="n"/>
      <c r="AE813" s="120" t="n"/>
    </row>
    <row r="814" ht="15" customHeight="1" s="72">
      <c r="A814" s="117" t="n"/>
      <c r="B814" s="117" t="n"/>
      <c r="C814" s="118" t="n"/>
      <c r="D814" s="118" t="n"/>
      <c r="E814" s="118" t="n"/>
      <c r="F814" s="123" t="n"/>
      <c r="G814" s="119" t="n"/>
      <c r="H814" s="123" t="n"/>
      <c r="I814" s="123" t="n"/>
      <c r="J814" s="125" t="n"/>
      <c r="K814" s="120" t="n"/>
      <c r="N814" s="117" t="n"/>
      <c r="O814" s="117" t="n"/>
      <c r="P814" s="117" t="n"/>
      <c r="Q814" s="117" t="n"/>
      <c r="R814" s="118" t="n"/>
      <c r="S814" s="119" t="n"/>
      <c r="T814" s="120" t="n"/>
      <c r="U814" s="123" t="n"/>
      <c r="V814" s="123" t="n"/>
      <c r="Y814" s="117" t="n"/>
      <c r="Z814" s="117" t="n"/>
      <c r="AA814" s="118" t="n"/>
      <c r="AB814" s="119" t="n"/>
      <c r="AC814" s="120" t="n"/>
      <c r="AD814" s="120" t="n"/>
      <c r="AE814" s="120" t="n"/>
    </row>
    <row r="815" ht="15" customHeight="1" s="72">
      <c r="A815" s="117" t="n"/>
      <c r="B815" s="117" t="n"/>
      <c r="C815" s="118" t="n"/>
      <c r="D815" s="118" t="n"/>
      <c r="E815" s="118" t="n"/>
      <c r="F815" s="123" t="n"/>
      <c r="G815" s="119" t="n"/>
      <c r="H815" s="123" t="n"/>
      <c r="I815" s="123" t="n"/>
      <c r="J815" s="125" t="n"/>
      <c r="K815" s="120" t="n"/>
      <c r="N815" s="117" t="n"/>
      <c r="O815" s="117" t="n"/>
      <c r="P815" s="117" t="n"/>
      <c r="Q815" s="117" t="n"/>
      <c r="R815" s="118" t="n"/>
      <c r="S815" s="119" t="n"/>
      <c r="T815" s="120" t="n"/>
      <c r="U815" s="123" t="n"/>
      <c r="V815" s="123" t="n"/>
      <c r="Y815" s="117" t="n"/>
      <c r="Z815" s="117" t="n"/>
      <c r="AA815" s="118" t="n"/>
      <c r="AB815" s="119" t="n"/>
      <c r="AC815" s="120" t="n"/>
      <c r="AD815" s="120" t="n"/>
      <c r="AE815" s="120" t="n"/>
    </row>
    <row r="816" ht="15" customHeight="1" s="72">
      <c r="A816" s="117" t="n"/>
      <c r="B816" s="117" t="n"/>
      <c r="C816" s="118" t="n"/>
      <c r="D816" s="118" t="n"/>
      <c r="E816" s="118" t="n"/>
      <c r="F816" s="123" t="n"/>
      <c r="G816" s="119" t="n"/>
      <c r="H816" s="123" t="n"/>
      <c r="I816" s="123" t="n"/>
      <c r="J816" s="125" t="n"/>
      <c r="K816" s="120" t="n"/>
      <c r="N816" s="117" t="n"/>
      <c r="O816" s="117" t="n"/>
      <c r="P816" s="117" t="n"/>
      <c r="Q816" s="117" t="n"/>
      <c r="R816" s="118" t="n"/>
      <c r="S816" s="119" t="n"/>
      <c r="T816" s="120" t="n"/>
      <c r="U816" s="123" t="n"/>
      <c r="V816" s="123" t="n"/>
      <c r="Y816" s="117" t="n"/>
      <c r="Z816" s="117" t="n"/>
      <c r="AA816" s="118" t="n"/>
      <c r="AB816" s="119" t="n"/>
      <c r="AC816" s="120" t="n"/>
      <c r="AD816" s="120" t="n"/>
      <c r="AE816" s="120" t="n"/>
    </row>
    <row r="817" ht="15" customHeight="1" s="72">
      <c r="A817" s="117" t="n"/>
      <c r="B817" s="117" t="n"/>
      <c r="C817" s="118" t="n"/>
      <c r="D817" s="118" t="n"/>
      <c r="E817" s="118" t="n"/>
      <c r="F817" s="123" t="n"/>
      <c r="G817" s="119" t="n"/>
      <c r="H817" s="123" t="n"/>
      <c r="I817" s="123" t="n"/>
      <c r="J817" s="125" t="n"/>
      <c r="K817" s="120" t="n"/>
      <c r="N817" s="117" t="n"/>
      <c r="O817" s="117" t="n"/>
      <c r="P817" s="117" t="n"/>
      <c r="Q817" s="117" t="n"/>
      <c r="R817" s="118" t="n"/>
      <c r="S817" s="119" t="n"/>
      <c r="T817" s="120" t="n"/>
      <c r="U817" s="123" t="n"/>
      <c r="V817" s="123" t="n"/>
      <c r="Y817" s="117" t="n"/>
      <c r="Z817" s="117" t="n"/>
      <c r="AA817" s="118" t="n"/>
      <c r="AB817" s="119" t="n"/>
      <c r="AC817" s="120" t="n"/>
      <c r="AD817" s="120" t="n"/>
      <c r="AE817" s="120" t="n"/>
    </row>
    <row r="818" ht="15" customHeight="1" s="72">
      <c r="A818" s="117" t="n"/>
      <c r="B818" s="117" t="n"/>
      <c r="C818" s="118" t="n"/>
      <c r="D818" s="118" t="n"/>
      <c r="E818" s="118" t="n"/>
      <c r="F818" s="123" t="n"/>
      <c r="G818" s="119" t="n"/>
      <c r="H818" s="123" t="n"/>
      <c r="I818" s="123" t="n"/>
      <c r="J818" s="125" t="n"/>
      <c r="K818" s="120" t="n"/>
      <c r="N818" s="117" t="n"/>
      <c r="O818" s="117" t="n"/>
      <c r="P818" s="117" t="n"/>
      <c r="Q818" s="117" t="n"/>
      <c r="R818" s="118" t="n"/>
      <c r="S818" s="119" t="n"/>
      <c r="T818" s="120" t="n"/>
      <c r="U818" s="123" t="n"/>
      <c r="V818" s="123" t="n"/>
      <c r="Y818" s="117" t="n"/>
      <c r="Z818" s="117" t="n"/>
      <c r="AA818" s="118" t="n"/>
      <c r="AB818" s="119" t="n"/>
      <c r="AC818" s="120" t="n"/>
      <c r="AD818" s="120" t="n"/>
      <c r="AE818" s="120" t="n"/>
    </row>
    <row r="819" ht="15" customHeight="1" s="72">
      <c r="A819" s="117" t="n"/>
      <c r="B819" s="117" t="n"/>
      <c r="C819" s="118" t="n"/>
      <c r="D819" s="118" t="n"/>
      <c r="E819" s="118" t="n"/>
      <c r="F819" s="123" t="n"/>
      <c r="G819" s="119" t="n"/>
      <c r="H819" s="123" t="n"/>
      <c r="I819" s="123" t="n"/>
      <c r="J819" s="125" t="n"/>
      <c r="K819" s="120" t="n"/>
      <c r="N819" s="117" t="n"/>
      <c r="O819" s="117" t="n"/>
      <c r="P819" s="117" t="n"/>
      <c r="Q819" s="117" t="n"/>
      <c r="R819" s="118" t="n"/>
      <c r="S819" s="119" t="n"/>
      <c r="T819" s="120" t="n"/>
      <c r="U819" s="123" t="n"/>
      <c r="V819" s="123" t="n"/>
      <c r="Y819" s="117" t="n"/>
      <c r="Z819" s="117" t="n"/>
      <c r="AA819" s="118" t="n"/>
      <c r="AB819" s="119" t="n"/>
      <c r="AC819" s="120" t="n"/>
      <c r="AD819" s="120" t="n"/>
      <c r="AE819" s="120" t="n"/>
    </row>
    <row r="820" ht="15" customHeight="1" s="72">
      <c r="A820" s="117" t="n"/>
      <c r="B820" s="117" t="n"/>
      <c r="C820" s="118" t="n"/>
      <c r="D820" s="118" t="n"/>
      <c r="E820" s="118" t="n"/>
      <c r="F820" s="123" t="n"/>
      <c r="G820" s="119" t="n"/>
      <c r="H820" s="123" t="n"/>
      <c r="I820" s="123" t="n"/>
      <c r="J820" s="125" t="n"/>
      <c r="K820" s="120" t="n"/>
      <c r="N820" s="117" t="n"/>
      <c r="O820" s="117" t="n"/>
      <c r="P820" s="117" t="n"/>
      <c r="Q820" s="117" t="n"/>
      <c r="R820" s="118" t="n"/>
      <c r="S820" s="119" t="n"/>
      <c r="T820" s="120" t="n"/>
      <c r="U820" s="123" t="n"/>
      <c r="V820" s="123" t="n"/>
      <c r="Y820" s="117" t="n"/>
      <c r="Z820" s="117" t="n"/>
      <c r="AA820" s="118" t="n"/>
      <c r="AB820" s="119" t="n"/>
      <c r="AC820" s="120" t="n"/>
      <c r="AD820" s="120" t="n"/>
      <c r="AE820" s="120" t="n"/>
    </row>
    <row r="821" ht="15" customHeight="1" s="72">
      <c r="A821" s="117" t="n"/>
      <c r="B821" s="117" t="n"/>
      <c r="C821" s="118" t="n"/>
      <c r="D821" s="118" t="n"/>
      <c r="E821" s="118" t="n"/>
      <c r="F821" s="123" t="n"/>
      <c r="G821" s="119" t="n"/>
      <c r="H821" s="123" t="n"/>
      <c r="I821" s="123" t="n"/>
      <c r="J821" s="125" t="n"/>
      <c r="K821" s="120" t="n"/>
      <c r="N821" s="117" t="n"/>
      <c r="O821" s="117" t="n"/>
      <c r="P821" s="117" t="n"/>
      <c r="Q821" s="117" t="n"/>
      <c r="R821" s="118" t="n"/>
      <c r="S821" s="119" t="n"/>
      <c r="T821" s="120" t="n"/>
      <c r="U821" s="123" t="n"/>
      <c r="V821" s="123" t="n"/>
      <c r="Y821" s="117" t="n"/>
      <c r="Z821" s="117" t="n"/>
      <c r="AA821" s="118" t="n"/>
      <c r="AB821" s="119" t="n"/>
      <c r="AC821" s="120" t="n"/>
      <c r="AD821" s="120" t="n"/>
      <c r="AE821" s="120" t="n"/>
    </row>
    <row r="822" ht="15" customHeight="1" s="72">
      <c r="A822" s="117" t="n"/>
      <c r="B822" s="117" t="n"/>
      <c r="C822" s="118" t="n"/>
      <c r="D822" s="118" t="n"/>
      <c r="E822" s="118" t="n"/>
      <c r="F822" s="123" t="n"/>
      <c r="G822" s="119" t="n"/>
      <c r="H822" s="123" t="n"/>
      <c r="I822" s="123" t="n"/>
      <c r="J822" s="125" t="n"/>
      <c r="K822" s="120" t="n"/>
      <c r="N822" s="117" t="n"/>
      <c r="O822" s="117" t="n"/>
      <c r="P822" s="117" t="n"/>
      <c r="Q822" s="117" t="n"/>
      <c r="R822" s="118" t="n"/>
      <c r="S822" s="119" t="n"/>
      <c r="T822" s="120" t="n"/>
      <c r="U822" s="123" t="n"/>
      <c r="V822" s="123" t="n"/>
      <c r="Y822" s="117" t="n"/>
      <c r="Z822" s="117" t="n"/>
      <c r="AA822" s="118" t="n"/>
      <c r="AB822" s="119" t="n"/>
      <c r="AC822" s="120" t="n"/>
      <c r="AD822" s="120" t="n"/>
      <c r="AE822" s="120" t="n"/>
    </row>
    <row r="823" ht="15" customHeight="1" s="72">
      <c r="A823" s="117" t="n"/>
      <c r="B823" s="117" t="n"/>
      <c r="C823" s="118" t="n"/>
      <c r="D823" s="118" t="n"/>
      <c r="E823" s="118" t="n"/>
      <c r="F823" s="123" t="n"/>
      <c r="G823" s="119" t="n"/>
      <c r="H823" s="123" t="n"/>
      <c r="I823" s="123" t="n"/>
      <c r="J823" s="125" t="n"/>
      <c r="K823" s="120" t="n"/>
      <c r="N823" s="117" t="n"/>
      <c r="O823" s="117" t="n"/>
      <c r="P823" s="117" t="n"/>
      <c r="Q823" s="117" t="n"/>
      <c r="R823" s="118" t="n"/>
      <c r="S823" s="119" t="n"/>
      <c r="T823" s="120" t="n"/>
      <c r="U823" s="123" t="n"/>
      <c r="V823" s="123" t="n"/>
      <c r="Y823" s="117" t="n"/>
      <c r="Z823" s="117" t="n"/>
      <c r="AA823" s="118" t="n"/>
      <c r="AB823" s="119" t="n"/>
      <c r="AC823" s="120" t="n"/>
      <c r="AD823" s="120" t="n"/>
      <c r="AE823" s="120" t="n"/>
    </row>
    <row r="824" ht="15" customHeight="1" s="72">
      <c r="A824" s="117" t="n"/>
      <c r="B824" s="117" t="n"/>
      <c r="C824" s="118" t="n"/>
      <c r="D824" s="118" t="n"/>
      <c r="E824" s="118" t="n"/>
      <c r="F824" s="123" t="n"/>
      <c r="G824" s="119" t="n"/>
      <c r="H824" s="123" t="n"/>
      <c r="I824" s="123" t="n"/>
      <c r="J824" s="125" t="n"/>
      <c r="K824" s="120" t="n"/>
      <c r="N824" s="117" t="n"/>
      <c r="O824" s="117" t="n"/>
      <c r="P824" s="117" t="n"/>
      <c r="Q824" s="117" t="n"/>
      <c r="R824" s="118" t="n"/>
      <c r="S824" s="119" t="n"/>
      <c r="T824" s="120" t="n"/>
      <c r="U824" s="123" t="n"/>
      <c r="V824" s="123" t="n"/>
      <c r="Y824" s="117" t="n"/>
      <c r="Z824" s="117" t="n"/>
      <c r="AA824" s="118" t="n"/>
      <c r="AB824" s="119" t="n"/>
      <c r="AC824" s="120" t="n"/>
      <c r="AD824" s="120" t="n"/>
      <c r="AE824" s="120" t="n"/>
    </row>
    <row r="825" ht="15" customHeight="1" s="72">
      <c r="A825" s="117" t="n"/>
      <c r="B825" s="117" t="n"/>
      <c r="C825" s="118" t="n"/>
      <c r="D825" s="118" t="n"/>
      <c r="E825" s="118" t="n"/>
      <c r="F825" s="123" t="n"/>
      <c r="G825" s="119" t="n"/>
      <c r="H825" s="123" t="n"/>
      <c r="I825" s="123" t="n"/>
      <c r="J825" s="125" t="n"/>
      <c r="K825" s="120" t="n"/>
      <c r="N825" s="117" t="n"/>
      <c r="O825" s="117" t="n"/>
      <c r="P825" s="117" t="n"/>
      <c r="Q825" s="117" t="n"/>
      <c r="R825" s="118" t="n"/>
      <c r="S825" s="119" t="n"/>
      <c r="T825" s="120" t="n"/>
      <c r="U825" s="123" t="n"/>
      <c r="V825" s="123" t="n"/>
      <c r="Y825" s="117" t="n"/>
      <c r="Z825" s="117" t="n"/>
      <c r="AA825" s="118" t="n"/>
      <c r="AB825" s="119" t="n"/>
      <c r="AC825" s="120" t="n"/>
      <c r="AD825" s="120" t="n"/>
      <c r="AE825" s="120" t="n"/>
    </row>
    <row r="826" ht="15" customHeight="1" s="72">
      <c r="A826" s="117" t="n"/>
      <c r="B826" s="117" t="n"/>
      <c r="C826" s="118" t="n"/>
      <c r="D826" s="118" t="n"/>
      <c r="E826" s="118" t="n"/>
      <c r="F826" s="123" t="n"/>
      <c r="G826" s="119" t="n"/>
      <c r="H826" s="123" t="n"/>
      <c r="I826" s="123" t="n"/>
      <c r="J826" s="125" t="n"/>
      <c r="K826" s="120" t="n"/>
      <c r="N826" s="117" t="n"/>
      <c r="O826" s="117" t="n"/>
      <c r="P826" s="117" t="n"/>
      <c r="Q826" s="117" t="n"/>
      <c r="R826" s="118" t="n"/>
      <c r="S826" s="119" t="n"/>
      <c r="T826" s="120" t="n"/>
      <c r="U826" s="123" t="n"/>
      <c r="V826" s="123" t="n"/>
      <c r="Y826" s="117" t="n"/>
      <c r="Z826" s="117" t="n"/>
      <c r="AA826" s="118" t="n"/>
      <c r="AB826" s="119" t="n"/>
      <c r="AC826" s="120" t="n"/>
      <c r="AD826" s="120" t="n"/>
      <c r="AE826" s="120" t="n"/>
    </row>
    <row r="827" ht="15" customHeight="1" s="72">
      <c r="A827" s="117" t="n"/>
      <c r="B827" s="117" t="n"/>
      <c r="C827" s="118" t="n"/>
      <c r="D827" s="118" t="n"/>
      <c r="E827" s="118" t="n"/>
      <c r="F827" s="123" t="n"/>
      <c r="G827" s="119" t="n"/>
      <c r="H827" s="123" t="n"/>
      <c r="I827" s="123" t="n"/>
      <c r="J827" s="125" t="n"/>
      <c r="K827" s="120" t="n"/>
      <c r="N827" s="117" t="n"/>
      <c r="O827" s="117" t="n"/>
      <c r="P827" s="117" t="n"/>
      <c r="Q827" s="117" t="n"/>
      <c r="R827" s="118" t="n"/>
      <c r="S827" s="119" t="n"/>
      <c r="T827" s="120" t="n"/>
      <c r="U827" s="123" t="n"/>
      <c r="V827" s="123" t="n"/>
      <c r="Y827" s="117" t="n"/>
      <c r="Z827" s="117" t="n"/>
      <c r="AA827" s="118" t="n"/>
      <c r="AB827" s="119" t="n"/>
      <c r="AC827" s="120" t="n"/>
      <c r="AD827" s="120" t="n"/>
      <c r="AE827" s="120" t="n"/>
    </row>
    <row r="828" ht="15" customHeight="1" s="72">
      <c r="A828" s="117" t="n"/>
      <c r="B828" s="117" t="n"/>
      <c r="C828" s="118" t="n"/>
      <c r="D828" s="118" t="n"/>
      <c r="E828" s="118" t="n"/>
      <c r="F828" s="123" t="n"/>
      <c r="G828" s="119" t="n"/>
      <c r="H828" s="123" t="n"/>
      <c r="I828" s="123" t="n"/>
      <c r="J828" s="125" t="n"/>
      <c r="K828" s="120" t="n"/>
      <c r="N828" s="117" t="n"/>
      <c r="O828" s="117" t="n"/>
      <c r="P828" s="117" t="n"/>
      <c r="Q828" s="117" t="n"/>
      <c r="R828" s="118" t="n"/>
      <c r="S828" s="119" t="n"/>
      <c r="T828" s="120" t="n"/>
      <c r="U828" s="123" t="n"/>
      <c r="V828" s="123" t="n"/>
      <c r="Y828" s="117" t="n"/>
      <c r="Z828" s="117" t="n"/>
      <c r="AA828" s="118" t="n"/>
      <c r="AB828" s="119" t="n"/>
      <c r="AC828" s="120" t="n"/>
      <c r="AD828" s="120" t="n"/>
      <c r="AE828" s="120" t="n"/>
    </row>
    <row r="829" ht="15" customHeight="1" s="72">
      <c r="A829" s="117" t="n"/>
      <c r="B829" s="117" t="n"/>
      <c r="C829" s="118" t="n"/>
      <c r="D829" s="118" t="n"/>
      <c r="E829" s="118" t="n"/>
      <c r="F829" s="123" t="n"/>
      <c r="G829" s="119" t="n"/>
      <c r="H829" s="123" t="n"/>
      <c r="I829" s="123" t="n"/>
      <c r="J829" s="125" t="n"/>
      <c r="K829" s="120" t="n"/>
      <c r="N829" s="117" t="n"/>
      <c r="O829" s="117" t="n"/>
      <c r="P829" s="117" t="n"/>
      <c r="Q829" s="117" t="n"/>
      <c r="R829" s="118" t="n"/>
      <c r="S829" s="119" t="n"/>
      <c r="T829" s="120" t="n"/>
      <c r="U829" s="123" t="n"/>
      <c r="V829" s="123" t="n"/>
      <c r="Y829" s="117" t="n"/>
      <c r="Z829" s="117" t="n"/>
      <c r="AA829" s="118" t="n"/>
      <c r="AB829" s="119" t="n"/>
      <c r="AC829" s="120" t="n"/>
      <c r="AD829" s="120" t="n"/>
      <c r="AE829" s="120" t="n"/>
    </row>
    <row r="830" ht="15" customHeight="1" s="72">
      <c r="A830" s="117" t="n"/>
      <c r="B830" s="117" t="n"/>
      <c r="C830" s="118" t="n"/>
      <c r="D830" s="118" t="n"/>
      <c r="E830" s="118" t="n"/>
      <c r="F830" s="123" t="n"/>
      <c r="G830" s="119" t="n"/>
      <c r="H830" s="123" t="n"/>
      <c r="I830" s="123" t="n"/>
      <c r="J830" s="125" t="n"/>
      <c r="K830" s="120" t="n"/>
      <c r="N830" s="117" t="n"/>
      <c r="O830" s="117" t="n"/>
      <c r="P830" s="117" t="n"/>
      <c r="Q830" s="117" t="n"/>
      <c r="R830" s="118" t="n"/>
      <c r="S830" s="119" t="n"/>
      <c r="T830" s="120" t="n"/>
      <c r="U830" s="123" t="n"/>
      <c r="V830" s="123" t="n"/>
      <c r="Y830" s="117" t="n"/>
      <c r="Z830" s="117" t="n"/>
      <c r="AA830" s="118" t="n"/>
      <c r="AB830" s="119" t="n"/>
      <c r="AC830" s="120" t="n"/>
      <c r="AD830" s="120" t="n"/>
      <c r="AE830" s="120" t="n"/>
    </row>
    <row r="831" ht="15" customHeight="1" s="72">
      <c r="A831" s="117" t="n"/>
      <c r="B831" s="117" t="n"/>
      <c r="C831" s="118" t="n"/>
      <c r="D831" s="118" t="n"/>
      <c r="E831" s="118" t="n"/>
      <c r="F831" s="123" t="n"/>
      <c r="G831" s="119" t="n"/>
      <c r="H831" s="123" t="n"/>
      <c r="I831" s="123" t="n"/>
      <c r="J831" s="125" t="n"/>
      <c r="K831" s="120" t="n"/>
      <c r="N831" s="117" t="n"/>
      <c r="O831" s="117" t="n"/>
      <c r="P831" s="117" t="n"/>
      <c r="Q831" s="117" t="n"/>
      <c r="R831" s="118" t="n"/>
      <c r="S831" s="119" t="n"/>
      <c r="T831" s="120" t="n"/>
      <c r="U831" s="123" t="n"/>
      <c r="V831" s="123" t="n"/>
      <c r="Y831" s="117" t="n"/>
      <c r="Z831" s="117" t="n"/>
      <c r="AA831" s="118" t="n"/>
      <c r="AB831" s="119" t="n"/>
      <c r="AC831" s="120" t="n"/>
      <c r="AD831" s="120" t="n"/>
      <c r="AE831" s="120" t="n"/>
    </row>
    <row r="832" ht="15" customHeight="1" s="72">
      <c r="A832" s="117" t="n"/>
      <c r="B832" s="117" t="n"/>
      <c r="C832" s="118" t="n"/>
      <c r="D832" s="118" t="n"/>
      <c r="E832" s="118" t="n"/>
      <c r="F832" s="123" t="n"/>
      <c r="G832" s="119" t="n"/>
      <c r="H832" s="123" t="n"/>
      <c r="I832" s="123" t="n"/>
      <c r="J832" s="125" t="n"/>
      <c r="K832" s="120" t="n"/>
      <c r="N832" s="117" t="n"/>
      <c r="O832" s="117" t="n"/>
      <c r="P832" s="117" t="n"/>
      <c r="Q832" s="117" t="n"/>
      <c r="R832" s="118" t="n"/>
      <c r="S832" s="119" t="n"/>
      <c r="T832" s="120" t="n"/>
      <c r="U832" s="123" t="n"/>
      <c r="V832" s="123" t="n"/>
      <c r="Y832" s="117" t="n"/>
      <c r="Z832" s="117" t="n"/>
      <c r="AA832" s="118" t="n"/>
      <c r="AB832" s="119" t="n"/>
      <c r="AC832" s="120" t="n"/>
      <c r="AD832" s="120" t="n"/>
      <c r="AE832" s="120" t="n"/>
    </row>
    <row r="833" ht="15" customHeight="1" s="72">
      <c r="A833" s="117" t="n"/>
      <c r="B833" s="117" t="n"/>
      <c r="C833" s="118" t="n"/>
      <c r="D833" s="118" t="n"/>
      <c r="E833" s="118" t="n"/>
      <c r="F833" s="123" t="n"/>
      <c r="G833" s="119" t="n"/>
      <c r="H833" s="123" t="n"/>
      <c r="I833" s="123" t="n"/>
      <c r="J833" s="125" t="n"/>
      <c r="K833" s="120" t="n"/>
      <c r="N833" s="117" t="n"/>
      <c r="O833" s="117" t="n"/>
      <c r="P833" s="117" t="n"/>
      <c r="Q833" s="117" t="n"/>
      <c r="R833" s="118" t="n"/>
      <c r="S833" s="119" t="n"/>
      <c r="T833" s="120" t="n"/>
      <c r="U833" s="123" t="n"/>
      <c r="V833" s="123" t="n"/>
      <c r="Y833" s="117" t="n"/>
      <c r="Z833" s="117" t="n"/>
      <c r="AA833" s="118" t="n"/>
      <c r="AB833" s="119" t="n"/>
      <c r="AC833" s="120" t="n"/>
      <c r="AD833" s="120" t="n"/>
      <c r="AE833" s="120" t="n"/>
    </row>
    <row r="834" ht="15" customHeight="1" s="72">
      <c r="A834" s="117" t="n"/>
      <c r="B834" s="117" t="n"/>
      <c r="C834" s="118" t="n"/>
      <c r="D834" s="118" t="n"/>
      <c r="E834" s="118" t="n"/>
      <c r="F834" s="123" t="n"/>
      <c r="G834" s="119" t="n"/>
      <c r="H834" s="123" t="n"/>
      <c r="I834" s="123" t="n"/>
      <c r="J834" s="125" t="n"/>
      <c r="K834" s="120" t="n"/>
      <c r="N834" s="117" t="n"/>
      <c r="O834" s="117" t="n"/>
      <c r="P834" s="117" t="n"/>
      <c r="Q834" s="117" t="n"/>
      <c r="R834" s="118" t="n"/>
      <c r="S834" s="119" t="n"/>
      <c r="T834" s="120" t="n"/>
      <c r="U834" s="123" t="n"/>
      <c r="V834" s="123" t="n"/>
      <c r="Y834" s="117" t="n"/>
      <c r="Z834" s="117" t="n"/>
      <c r="AA834" s="118" t="n"/>
      <c r="AB834" s="119" t="n"/>
      <c r="AC834" s="120" t="n"/>
      <c r="AD834" s="120" t="n"/>
      <c r="AE834" s="120" t="n"/>
    </row>
    <row r="835" ht="15" customHeight="1" s="72">
      <c r="A835" s="117" t="n"/>
      <c r="B835" s="117" t="n"/>
      <c r="C835" s="118" t="n"/>
      <c r="D835" s="118" t="n"/>
      <c r="E835" s="118" t="n"/>
      <c r="F835" s="123" t="n"/>
      <c r="G835" s="119" t="n"/>
      <c r="H835" s="123" t="n"/>
      <c r="I835" s="123" t="n"/>
      <c r="J835" s="125" t="n"/>
      <c r="K835" s="120" t="n"/>
      <c r="N835" s="117" t="n"/>
      <c r="O835" s="117" t="n"/>
      <c r="P835" s="117" t="n"/>
      <c r="Q835" s="117" t="n"/>
      <c r="R835" s="118" t="n"/>
      <c r="S835" s="119" t="n"/>
      <c r="T835" s="120" t="n"/>
      <c r="U835" s="123" t="n"/>
      <c r="V835" s="123" t="n"/>
      <c r="Y835" s="117" t="n"/>
      <c r="Z835" s="117" t="n"/>
      <c r="AA835" s="118" t="n"/>
      <c r="AB835" s="119" t="n"/>
      <c r="AC835" s="120" t="n"/>
      <c r="AD835" s="120" t="n"/>
      <c r="AE835" s="120" t="n"/>
    </row>
    <row r="836" ht="15" customHeight="1" s="72">
      <c r="A836" s="117" t="n"/>
      <c r="B836" s="117" t="n"/>
      <c r="C836" s="118" t="n"/>
      <c r="D836" s="118" t="n"/>
      <c r="E836" s="118" t="n"/>
      <c r="F836" s="123" t="n"/>
      <c r="G836" s="119" t="n"/>
      <c r="H836" s="123" t="n"/>
      <c r="I836" s="123" t="n"/>
      <c r="J836" s="125" t="n"/>
      <c r="K836" s="120" t="n"/>
      <c r="N836" s="117" t="n"/>
      <c r="O836" s="117" t="n"/>
      <c r="P836" s="117" t="n"/>
      <c r="Q836" s="117" t="n"/>
      <c r="R836" s="118" t="n"/>
      <c r="S836" s="119" t="n"/>
      <c r="T836" s="120" t="n"/>
      <c r="U836" s="123" t="n"/>
      <c r="V836" s="123" t="n"/>
      <c r="Y836" s="117" t="n"/>
      <c r="Z836" s="117" t="n"/>
      <c r="AA836" s="118" t="n"/>
      <c r="AB836" s="119" t="n"/>
      <c r="AC836" s="120" t="n"/>
      <c r="AD836" s="120" t="n"/>
      <c r="AE836" s="120" t="n"/>
    </row>
    <row r="837" ht="15" customHeight="1" s="72">
      <c r="A837" s="117" t="n"/>
      <c r="B837" s="117" t="n"/>
      <c r="C837" s="118" t="n"/>
      <c r="D837" s="118" t="n"/>
      <c r="E837" s="118" t="n"/>
      <c r="F837" s="123" t="n"/>
      <c r="G837" s="119" t="n"/>
      <c r="H837" s="123" t="n"/>
      <c r="I837" s="123" t="n"/>
      <c r="J837" s="125" t="n"/>
      <c r="K837" s="120" t="n"/>
      <c r="N837" s="117" t="n"/>
      <c r="O837" s="117" t="n"/>
      <c r="P837" s="117" t="n"/>
      <c r="Q837" s="117" t="n"/>
      <c r="R837" s="118" t="n"/>
      <c r="S837" s="119" t="n"/>
      <c r="T837" s="120" t="n"/>
      <c r="U837" s="123" t="n"/>
      <c r="V837" s="123" t="n"/>
      <c r="Y837" s="117" t="n"/>
      <c r="Z837" s="117" t="n"/>
      <c r="AA837" s="118" t="n"/>
      <c r="AB837" s="119" t="n"/>
      <c r="AC837" s="120" t="n"/>
      <c r="AD837" s="120" t="n"/>
      <c r="AE837" s="120" t="n"/>
    </row>
    <row r="838" ht="15" customHeight="1" s="72">
      <c r="A838" s="117" t="n"/>
      <c r="B838" s="117" t="n"/>
      <c r="C838" s="118" t="n"/>
      <c r="D838" s="118" t="n"/>
      <c r="E838" s="118" t="n"/>
      <c r="F838" s="123" t="n"/>
      <c r="G838" s="119" t="n"/>
      <c r="H838" s="123" t="n"/>
      <c r="I838" s="123" t="n"/>
      <c r="J838" s="125" t="n"/>
      <c r="K838" s="120" t="n"/>
      <c r="N838" s="117" t="n"/>
      <c r="O838" s="117" t="n"/>
      <c r="P838" s="117" t="n"/>
      <c r="Q838" s="117" t="n"/>
      <c r="R838" s="118" t="n"/>
      <c r="S838" s="119" t="n"/>
      <c r="T838" s="120" t="n"/>
      <c r="U838" s="123" t="n"/>
      <c r="V838" s="123" t="n"/>
      <c r="Y838" s="117" t="n"/>
      <c r="Z838" s="117" t="n"/>
      <c r="AA838" s="118" t="n"/>
      <c r="AB838" s="119" t="n"/>
      <c r="AC838" s="120" t="n"/>
      <c r="AD838" s="120" t="n"/>
      <c r="AE838" s="120" t="n"/>
    </row>
    <row r="839" ht="15" customHeight="1" s="72">
      <c r="A839" s="117" t="n"/>
      <c r="B839" s="117" t="n"/>
      <c r="C839" s="118" t="n"/>
      <c r="D839" s="118" t="n"/>
      <c r="E839" s="118" t="n"/>
      <c r="F839" s="123" t="n"/>
      <c r="G839" s="119" t="n"/>
      <c r="H839" s="123" t="n"/>
      <c r="I839" s="123" t="n"/>
      <c r="J839" s="125" t="n"/>
      <c r="K839" s="120" t="n"/>
      <c r="N839" s="117" t="n"/>
      <c r="O839" s="117" t="n"/>
      <c r="P839" s="117" t="n"/>
      <c r="Q839" s="117" t="n"/>
      <c r="R839" s="118" t="n"/>
      <c r="S839" s="119" t="n"/>
      <c r="T839" s="120" t="n"/>
      <c r="U839" s="123" t="n"/>
      <c r="V839" s="123" t="n"/>
      <c r="Y839" s="117" t="n"/>
      <c r="Z839" s="117" t="n"/>
      <c r="AA839" s="118" t="n"/>
      <c r="AB839" s="119" t="n"/>
      <c r="AC839" s="120" t="n"/>
      <c r="AD839" s="120" t="n"/>
      <c r="AE839" s="120" t="n"/>
    </row>
    <row r="840" ht="15" customHeight="1" s="72">
      <c r="A840" s="117" t="n"/>
      <c r="B840" s="117" t="n"/>
      <c r="C840" s="118" t="n"/>
      <c r="D840" s="118" t="n"/>
      <c r="E840" s="118" t="n"/>
      <c r="F840" s="123" t="n"/>
      <c r="G840" s="119" t="n"/>
      <c r="H840" s="123" t="n"/>
      <c r="I840" s="123" t="n"/>
      <c r="J840" s="125" t="n"/>
      <c r="K840" s="120" t="n"/>
      <c r="N840" s="117" t="n"/>
      <c r="O840" s="117" t="n"/>
      <c r="P840" s="117" t="n"/>
      <c r="Q840" s="117" t="n"/>
      <c r="R840" s="118" t="n"/>
      <c r="S840" s="119" t="n"/>
      <c r="T840" s="120" t="n"/>
      <c r="U840" s="123" t="n"/>
      <c r="V840" s="123" t="n"/>
      <c r="Y840" s="117" t="n"/>
      <c r="Z840" s="117" t="n"/>
      <c r="AA840" s="118" t="n"/>
      <c r="AB840" s="119" t="n"/>
      <c r="AC840" s="120" t="n"/>
      <c r="AD840" s="120" t="n"/>
      <c r="AE840" s="120" t="n"/>
    </row>
    <row r="841" ht="15" customHeight="1" s="72">
      <c r="A841" s="117" t="n"/>
      <c r="B841" s="117" t="n"/>
      <c r="C841" s="118" t="n"/>
      <c r="D841" s="118" t="n"/>
      <c r="E841" s="118" t="n"/>
      <c r="F841" s="123" t="n"/>
      <c r="G841" s="119" t="n"/>
      <c r="H841" s="123" t="n"/>
      <c r="I841" s="123" t="n"/>
      <c r="J841" s="125" t="n"/>
      <c r="K841" s="120" t="n"/>
      <c r="N841" s="117" t="n"/>
      <c r="O841" s="117" t="n"/>
      <c r="P841" s="117" t="n"/>
      <c r="Q841" s="117" t="n"/>
      <c r="R841" s="118" t="n"/>
      <c r="S841" s="119" t="n"/>
      <c r="T841" s="120" t="n"/>
      <c r="U841" s="123" t="n"/>
      <c r="V841" s="123" t="n"/>
      <c r="Y841" s="117" t="n"/>
      <c r="Z841" s="117" t="n"/>
      <c r="AA841" s="118" t="n"/>
      <c r="AB841" s="119" t="n"/>
      <c r="AC841" s="120" t="n"/>
      <c r="AD841" s="120" t="n"/>
      <c r="AE841" s="120" t="n"/>
    </row>
    <row r="842" ht="15" customHeight="1" s="72">
      <c r="A842" s="117" t="n"/>
      <c r="B842" s="117" t="n"/>
      <c r="C842" s="118" t="n"/>
      <c r="D842" s="118" t="n"/>
      <c r="E842" s="118" t="n"/>
      <c r="F842" s="123" t="n"/>
      <c r="G842" s="119" t="n"/>
      <c r="H842" s="123" t="n"/>
      <c r="I842" s="123" t="n"/>
      <c r="J842" s="125" t="n"/>
      <c r="K842" s="120" t="n"/>
      <c r="N842" s="117" t="n"/>
      <c r="O842" s="117" t="n"/>
      <c r="P842" s="117" t="n"/>
      <c r="Q842" s="117" t="n"/>
      <c r="R842" s="118" t="n"/>
      <c r="S842" s="119" t="n"/>
      <c r="T842" s="120" t="n"/>
      <c r="U842" s="123" t="n"/>
      <c r="V842" s="123" t="n"/>
      <c r="Y842" s="117" t="n"/>
      <c r="Z842" s="117" t="n"/>
      <c r="AA842" s="118" t="n"/>
      <c r="AB842" s="119" t="n"/>
      <c r="AC842" s="120" t="n"/>
      <c r="AD842" s="120" t="n"/>
      <c r="AE842" s="120" t="n"/>
    </row>
    <row r="843" ht="15" customHeight="1" s="72">
      <c r="A843" s="117" t="n"/>
      <c r="B843" s="117" t="n"/>
      <c r="C843" s="118" t="n"/>
      <c r="D843" s="118" t="n"/>
      <c r="E843" s="118" t="n"/>
      <c r="F843" s="123" t="n"/>
      <c r="G843" s="119" t="n"/>
      <c r="H843" s="123" t="n"/>
      <c r="I843" s="123" t="n"/>
      <c r="J843" s="125" t="n"/>
      <c r="K843" s="120" t="n"/>
      <c r="N843" s="117" t="n"/>
      <c r="O843" s="117" t="n"/>
      <c r="P843" s="117" t="n"/>
      <c r="Q843" s="117" t="n"/>
      <c r="R843" s="118" t="n"/>
      <c r="S843" s="119" t="n"/>
      <c r="T843" s="120" t="n"/>
      <c r="U843" s="123" t="n"/>
      <c r="V843" s="123" t="n"/>
      <c r="Y843" s="117" t="n"/>
      <c r="Z843" s="117" t="n"/>
      <c r="AA843" s="118" t="n"/>
      <c r="AB843" s="119" t="n"/>
      <c r="AC843" s="120" t="n"/>
      <c r="AD843" s="120" t="n"/>
      <c r="AE843" s="120" t="n"/>
    </row>
    <row r="844" ht="15" customHeight="1" s="72">
      <c r="A844" s="117" t="n"/>
      <c r="B844" s="117" t="n"/>
      <c r="C844" s="118" t="n"/>
      <c r="D844" s="118" t="n"/>
      <c r="E844" s="118" t="n"/>
      <c r="F844" s="123" t="n"/>
      <c r="G844" s="119" t="n"/>
      <c r="H844" s="123" t="n"/>
      <c r="I844" s="123" t="n"/>
      <c r="J844" s="125" t="n"/>
      <c r="K844" s="120" t="n"/>
      <c r="N844" s="117" t="n"/>
      <c r="O844" s="117" t="n"/>
      <c r="P844" s="117" t="n"/>
      <c r="Q844" s="117" t="n"/>
      <c r="R844" s="118" t="n"/>
      <c r="S844" s="119" t="n"/>
      <c r="T844" s="120" t="n"/>
      <c r="U844" s="123" t="n"/>
      <c r="V844" s="123" t="n"/>
      <c r="Y844" s="117" t="n"/>
      <c r="Z844" s="117" t="n"/>
      <c r="AA844" s="118" t="n"/>
      <c r="AB844" s="119" t="n"/>
      <c r="AC844" s="120" t="n"/>
      <c r="AD844" s="120" t="n"/>
      <c r="AE844" s="120" t="n"/>
    </row>
    <row r="845" ht="15" customHeight="1" s="72">
      <c r="A845" s="117" t="n"/>
      <c r="B845" s="117" t="n"/>
      <c r="C845" s="118" t="n"/>
      <c r="D845" s="118" t="n"/>
      <c r="E845" s="118" t="n"/>
      <c r="F845" s="123" t="n"/>
      <c r="G845" s="119" t="n"/>
      <c r="H845" s="123" t="n"/>
      <c r="I845" s="123" t="n"/>
      <c r="J845" s="125" t="n"/>
      <c r="K845" s="120" t="n"/>
      <c r="N845" s="117" t="n"/>
      <c r="O845" s="117" t="n"/>
      <c r="P845" s="117" t="n"/>
      <c r="Q845" s="117" t="n"/>
      <c r="R845" s="118" t="n"/>
      <c r="S845" s="119" t="n"/>
      <c r="T845" s="120" t="n"/>
      <c r="U845" s="123" t="n"/>
      <c r="V845" s="123" t="n"/>
      <c r="Y845" s="117" t="n"/>
      <c r="Z845" s="117" t="n"/>
      <c r="AA845" s="118" t="n"/>
      <c r="AB845" s="119" t="n"/>
      <c r="AC845" s="120" t="n"/>
      <c r="AD845" s="120" t="n"/>
      <c r="AE845" s="120" t="n"/>
    </row>
    <row r="846" ht="15" customHeight="1" s="72">
      <c r="A846" s="117" t="n"/>
      <c r="B846" s="117" t="n"/>
      <c r="C846" s="118" t="n"/>
      <c r="D846" s="118" t="n"/>
      <c r="E846" s="118" t="n"/>
      <c r="F846" s="123" t="n"/>
      <c r="G846" s="119" t="n"/>
      <c r="H846" s="123" t="n"/>
      <c r="I846" s="123" t="n"/>
      <c r="J846" s="125" t="n"/>
      <c r="K846" s="120" t="n"/>
      <c r="N846" s="117" t="n"/>
      <c r="O846" s="117" t="n"/>
      <c r="P846" s="117" t="n"/>
      <c r="Q846" s="117" t="n"/>
      <c r="R846" s="118" t="n"/>
      <c r="S846" s="119" t="n"/>
      <c r="T846" s="120" t="n"/>
      <c r="U846" s="123" t="n"/>
      <c r="V846" s="123" t="n"/>
      <c r="Y846" s="117" t="n"/>
      <c r="Z846" s="117" t="n"/>
      <c r="AA846" s="118" t="n"/>
      <c r="AB846" s="119" t="n"/>
      <c r="AC846" s="120" t="n"/>
      <c r="AD846" s="120" t="n"/>
      <c r="AE846" s="120" t="n"/>
    </row>
    <row r="847" ht="15" customHeight="1" s="72">
      <c r="A847" s="117" t="n"/>
      <c r="B847" s="117" t="n"/>
      <c r="C847" s="118" t="n"/>
      <c r="D847" s="118" t="n"/>
      <c r="E847" s="118" t="n"/>
      <c r="F847" s="123" t="n"/>
      <c r="G847" s="119" t="n"/>
      <c r="H847" s="123" t="n"/>
      <c r="I847" s="123" t="n"/>
      <c r="J847" s="125" t="n"/>
      <c r="K847" s="120" t="n"/>
      <c r="N847" s="117" t="n"/>
      <c r="O847" s="117" t="n"/>
      <c r="P847" s="117" t="n"/>
      <c r="Q847" s="117" t="n"/>
      <c r="R847" s="118" t="n"/>
      <c r="S847" s="119" t="n"/>
      <c r="T847" s="120" t="n"/>
      <c r="U847" s="123" t="n"/>
      <c r="V847" s="123" t="n"/>
      <c r="Y847" s="117" t="n"/>
      <c r="Z847" s="117" t="n"/>
      <c r="AA847" s="118" t="n"/>
      <c r="AB847" s="119" t="n"/>
      <c r="AC847" s="120" t="n"/>
      <c r="AD847" s="120" t="n"/>
      <c r="AE847" s="120" t="n"/>
    </row>
    <row r="848" ht="15" customHeight="1" s="72">
      <c r="A848" s="117" t="n"/>
      <c r="B848" s="117" t="n"/>
      <c r="C848" s="118" t="n"/>
      <c r="D848" s="118" t="n"/>
      <c r="E848" s="118" t="n"/>
      <c r="F848" s="123" t="n"/>
      <c r="G848" s="119" t="n"/>
      <c r="H848" s="123" t="n"/>
      <c r="I848" s="123" t="n"/>
      <c r="J848" s="125" t="n"/>
      <c r="K848" s="120" t="n"/>
      <c r="N848" s="117" t="n"/>
      <c r="O848" s="117" t="n"/>
      <c r="P848" s="117" t="n"/>
      <c r="Q848" s="117" t="n"/>
      <c r="R848" s="118" t="n"/>
      <c r="S848" s="119" t="n"/>
      <c r="T848" s="120" t="n"/>
      <c r="U848" s="123" t="n"/>
      <c r="V848" s="123" t="n"/>
      <c r="Y848" s="117" t="n"/>
      <c r="Z848" s="117" t="n"/>
      <c r="AA848" s="118" t="n"/>
      <c r="AB848" s="119" t="n"/>
      <c r="AC848" s="120" t="n"/>
      <c r="AD848" s="120" t="n"/>
      <c r="AE848" s="120" t="n"/>
    </row>
    <row r="849" ht="15" customHeight="1" s="72">
      <c r="A849" s="117" t="n"/>
      <c r="B849" s="117" t="n"/>
      <c r="C849" s="118" t="n"/>
      <c r="D849" s="118" t="n"/>
      <c r="E849" s="118" t="n"/>
      <c r="F849" s="123" t="n"/>
      <c r="G849" s="119" t="n"/>
      <c r="H849" s="123" t="n"/>
      <c r="I849" s="123" t="n"/>
      <c r="J849" s="125" t="n"/>
      <c r="K849" s="120" t="n"/>
      <c r="N849" s="117" t="n"/>
      <c r="O849" s="117" t="n"/>
      <c r="P849" s="117" t="n"/>
      <c r="Q849" s="117" t="n"/>
      <c r="R849" s="118" t="n"/>
      <c r="S849" s="119" t="n"/>
      <c r="T849" s="120" t="n"/>
      <c r="U849" s="123" t="n"/>
      <c r="V849" s="123" t="n"/>
      <c r="Y849" s="117" t="n"/>
      <c r="Z849" s="117" t="n"/>
      <c r="AA849" s="118" t="n"/>
      <c r="AB849" s="119" t="n"/>
      <c r="AC849" s="120" t="n"/>
      <c r="AD849" s="120" t="n"/>
      <c r="AE849" s="120" t="n"/>
    </row>
    <row r="850" ht="15" customHeight="1" s="72">
      <c r="A850" s="117" t="n"/>
      <c r="B850" s="117" t="n"/>
      <c r="C850" s="118" t="n"/>
      <c r="D850" s="118" t="n"/>
      <c r="E850" s="118" t="n"/>
      <c r="F850" s="123" t="n"/>
      <c r="G850" s="119" t="n"/>
      <c r="H850" s="123" t="n"/>
      <c r="I850" s="123" t="n"/>
      <c r="J850" s="125" t="n"/>
      <c r="K850" s="120" t="n"/>
      <c r="N850" s="117" t="n"/>
      <c r="O850" s="117" t="n"/>
      <c r="P850" s="117" t="n"/>
      <c r="Q850" s="117" t="n"/>
      <c r="R850" s="118" t="n"/>
      <c r="S850" s="119" t="n"/>
      <c r="T850" s="120" t="n"/>
      <c r="U850" s="123" t="n"/>
      <c r="V850" s="123" t="n"/>
      <c r="Y850" s="117" t="n"/>
      <c r="Z850" s="117" t="n"/>
      <c r="AA850" s="118" t="n"/>
      <c r="AB850" s="119" t="n"/>
      <c r="AC850" s="120" t="n"/>
      <c r="AD850" s="120" t="n"/>
      <c r="AE850" s="120" t="n"/>
    </row>
    <row r="851" ht="15" customHeight="1" s="72">
      <c r="A851" s="117" t="n"/>
      <c r="B851" s="117" t="n"/>
      <c r="C851" s="118" t="n"/>
      <c r="D851" s="118" t="n"/>
      <c r="E851" s="118" t="n"/>
      <c r="F851" s="123" t="n"/>
      <c r="G851" s="119" t="n"/>
      <c r="H851" s="123" t="n"/>
      <c r="I851" s="123" t="n"/>
      <c r="J851" s="125" t="n"/>
      <c r="K851" s="120" t="n"/>
      <c r="N851" s="117" t="n"/>
      <c r="O851" s="117" t="n"/>
      <c r="P851" s="117" t="n"/>
      <c r="Q851" s="117" t="n"/>
      <c r="R851" s="118" t="n"/>
      <c r="S851" s="119" t="n"/>
      <c r="T851" s="120" t="n"/>
      <c r="U851" s="123" t="n"/>
      <c r="V851" s="123" t="n"/>
      <c r="Y851" s="117" t="n"/>
      <c r="Z851" s="117" t="n"/>
      <c r="AA851" s="118" t="n"/>
      <c r="AB851" s="119" t="n"/>
      <c r="AC851" s="120" t="n"/>
      <c r="AD851" s="120" t="n"/>
      <c r="AE851" s="120" t="n"/>
    </row>
    <row r="852" ht="15" customHeight="1" s="72">
      <c r="A852" s="117" t="n"/>
      <c r="B852" s="117" t="n"/>
      <c r="C852" s="118" t="n"/>
      <c r="D852" s="118" t="n"/>
      <c r="E852" s="118" t="n"/>
      <c r="F852" s="123" t="n"/>
      <c r="G852" s="119" t="n"/>
      <c r="H852" s="123" t="n"/>
      <c r="I852" s="123" t="n"/>
      <c r="J852" s="125" t="n"/>
      <c r="K852" s="120" t="n"/>
      <c r="N852" s="117" t="n"/>
      <c r="O852" s="117" t="n"/>
      <c r="P852" s="117" t="n"/>
      <c r="Q852" s="117" t="n"/>
      <c r="R852" s="118" t="n"/>
      <c r="S852" s="119" t="n"/>
      <c r="T852" s="120" t="n"/>
      <c r="U852" s="123" t="n"/>
      <c r="V852" s="123" t="n"/>
      <c r="Y852" s="117" t="n"/>
      <c r="Z852" s="117" t="n"/>
      <c r="AA852" s="118" t="n"/>
      <c r="AB852" s="119" t="n"/>
      <c r="AC852" s="120" t="n"/>
      <c r="AD852" s="120" t="n"/>
      <c r="AE852" s="120" t="n"/>
    </row>
    <row r="853" ht="15" customHeight="1" s="72">
      <c r="A853" s="117" t="n"/>
      <c r="B853" s="117" t="n"/>
      <c r="C853" s="118" t="n"/>
      <c r="D853" s="118" t="n"/>
      <c r="E853" s="118" t="n"/>
      <c r="F853" s="123" t="n"/>
      <c r="G853" s="119" t="n"/>
      <c r="H853" s="123" t="n"/>
      <c r="I853" s="123" t="n"/>
      <c r="J853" s="125" t="n"/>
      <c r="K853" s="120" t="n"/>
      <c r="N853" s="117" t="n"/>
      <c r="O853" s="117" t="n"/>
      <c r="P853" s="117" t="n"/>
      <c r="Q853" s="117" t="n"/>
      <c r="R853" s="118" t="n"/>
      <c r="S853" s="119" t="n"/>
      <c r="T853" s="120" t="n"/>
      <c r="U853" s="123" t="n"/>
      <c r="V853" s="123" t="n"/>
      <c r="Y853" s="117" t="n"/>
      <c r="Z853" s="117" t="n"/>
      <c r="AA853" s="118" t="n"/>
      <c r="AB853" s="119" t="n"/>
      <c r="AC853" s="120" t="n"/>
      <c r="AD853" s="120" t="n"/>
      <c r="AE853" s="120" t="n"/>
    </row>
    <row r="854" ht="15" customHeight="1" s="72">
      <c r="A854" s="117" t="n"/>
      <c r="B854" s="117" t="n"/>
      <c r="C854" s="118" t="n"/>
      <c r="D854" s="118" t="n"/>
      <c r="E854" s="118" t="n"/>
      <c r="F854" s="123" t="n"/>
      <c r="G854" s="119" t="n"/>
      <c r="H854" s="123" t="n"/>
      <c r="I854" s="123" t="n"/>
      <c r="J854" s="125" t="n"/>
      <c r="K854" s="120" t="n"/>
      <c r="N854" s="117" t="n"/>
      <c r="O854" s="117" t="n"/>
      <c r="P854" s="117" t="n"/>
      <c r="Q854" s="117" t="n"/>
      <c r="R854" s="118" t="n"/>
      <c r="S854" s="119" t="n"/>
      <c r="T854" s="120" t="n"/>
      <c r="U854" s="123" t="n"/>
      <c r="V854" s="123" t="n"/>
      <c r="Y854" s="117" t="n"/>
      <c r="Z854" s="117" t="n"/>
      <c r="AA854" s="118" t="n"/>
      <c r="AB854" s="119" t="n"/>
      <c r="AC854" s="120" t="n"/>
      <c r="AD854" s="120" t="n"/>
      <c r="AE854" s="120" t="n"/>
    </row>
    <row r="855" ht="15" customHeight="1" s="72">
      <c r="A855" s="117" t="n"/>
      <c r="B855" s="117" t="n"/>
      <c r="C855" s="118" t="n"/>
      <c r="D855" s="118" t="n"/>
      <c r="E855" s="118" t="n"/>
      <c r="F855" s="123" t="n"/>
      <c r="G855" s="119" t="n"/>
      <c r="H855" s="123" t="n"/>
      <c r="I855" s="123" t="n"/>
      <c r="J855" s="125" t="n"/>
      <c r="K855" s="120" t="n"/>
      <c r="N855" s="117" t="n"/>
      <c r="O855" s="117" t="n"/>
      <c r="P855" s="117" t="n"/>
      <c r="Q855" s="117" t="n"/>
      <c r="R855" s="118" t="n"/>
      <c r="S855" s="119" t="n"/>
      <c r="T855" s="120" t="n"/>
      <c r="U855" s="123" t="n"/>
      <c r="V855" s="123" t="n"/>
      <c r="Y855" s="117" t="n"/>
      <c r="Z855" s="117" t="n"/>
      <c r="AA855" s="118" t="n"/>
      <c r="AB855" s="119" t="n"/>
      <c r="AC855" s="120" t="n"/>
      <c r="AD855" s="120" t="n"/>
      <c r="AE855" s="120" t="n"/>
    </row>
    <row r="856" ht="15" customHeight="1" s="72">
      <c r="A856" s="117" t="n"/>
      <c r="B856" s="117" t="n"/>
      <c r="C856" s="118" t="n"/>
      <c r="D856" s="118" t="n"/>
      <c r="E856" s="118" t="n"/>
      <c r="F856" s="123" t="n"/>
      <c r="G856" s="119" t="n"/>
      <c r="H856" s="123" t="n"/>
      <c r="I856" s="123" t="n"/>
      <c r="J856" s="125" t="n"/>
      <c r="K856" s="120" t="n"/>
      <c r="N856" s="117" t="n"/>
      <c r="O856" s="117" t="n"/>
      <c r="P856" s="117" t="n"/>
      <c r="Q856" s="117" t="n"/>
      <c r="R856" s="118" t="n"/>
      <c r="S856" s="119" t="n"/>
      <c r="T856" s="120" t="n"/>
      <c r="U856" s="123" t="n"/>
      <c r="V856" s="123" t="n"/>
      <c r="Y856" s="117" t="n"/>
      <c r="Z856" s="117" t="n"/>
      <c r="AA856" s="118" t="n"/>
      <c r="AB856" s="119" t="n"/>
      <c r="AC856" s="120" t="n"/>
      <c r="AD856" s="120" t="n"/>
      <c r="AE856" s="120" t="n"/>
    </row>
    <row r="857" ht="15" customHeight="1" s="72">
      <c r="A857" s="117" t="n"/>
      <c r="B857" s="117" t="n"/>
      <c r="C857" s="118" t="n"/>
      <c r="D857" s="118" t="n"/>
      <c r="E857" s="118" t="n"/>
      <c r="F857" s="123" t="n"/>
      <c r="G857" s="119" t="n"/>
      <c r="H857" s="123" t="n"/>
      <c r="I857" s="123" t="n"/>
      <c r="J857" s="125" t="n"/>
      <c r="K857" s="120" t="n"/>
      <c r="N857" s="117" t="n"/>
      <c r="O857" s="117" t="n"/>
      <c r="P857" s="117" t="n"/>
      <c r="Q857" s="117" t="n"/>
      <c r="R857" s="118" t="n"/>
      <c r="S857" s="119" t="n"/>
      <c r="T857" s="120" t="n"/>
      <c r="U857" s="123" t="n"/>
      <c r="V857" s="123" t="n"/>
      <c r="Y857" s="117" t="n"/>
      <c r="Z857" s="117" t="n"/>
      <c r="AA857" s="118" t="n"/>
      <c r="AB857" s="119" t="n"/>
      <c r="AC857" s="120" t="n"/>
      <c r="AD857" s="120" t="n"/>
      <c r="AE857" s="120" t="n"/>
    </row>
    <row r="858" ht="15" customHeight="1" s="72">
      <c r="A858" s="117" t="n"/>
      <c r="B858" s="117" t="n"/>
      <c r="C858" s="118" t="n"/>
      <c r="D858" s="118" t="n"/>
      <c r="E858" s="118" t="n"/>
      <c r="F858" s="123" t="n"/>
      <c r="G858" s="119" t="n"/>
      <c r="H858" s="123" t="n"/>
      <c r="I858" s="123" t="n"/>
      <c r="J858" s="125" t="n"/>
      <c r="K858" s="120" t="n"/>
      <c r="N858" s="117" t="n"/>
      <c r="O858" s="117" t="n"/>
      <c r="P858" s="117" t="n"/>
      <c r="Q858" s="117" t="n"/>
      <c r="R858" s="118" t="n"/>
      <c r="S858" s="119" t="n"/>
      <c r="T858" s="120" t="n"/>
      <c r="U858" s="123" t="n"/>
      <c r="V858" s="123" t="n"/>
      <c r="Y858" s="117" t="n"/>
      <c r="Z858" s="117" t="n"/>
      <c r="AA858" s="118" t="n"/>
      <c r="AB858" s="119" t="n"/>
      <c r="AC858" s="120" t="n"/>
      <c r="AD858" s="120" t="n"/>
      <c r="AE858" s="120" t="n"/>
    </row>
    <row r="859" ht="15" customHeight="1" s="72">
      <c r="A859" s="117" t="n"/>
      <c r="B859" s="117" t="n"/>
      <c r="C859" s="118" t="n"/>
      <c r="D859" s="118" t="n"/>
      <c r="E859" s="118" t="n"/>
      <c r="F859" s="123" t="n"/>
      <c r="G859" s="119" t="n"/>
      <c r="H859" s="123" t="n"/>
      <c r="I859" s="123" t="n"/>
      <c r="J859" s="125" t="n"/>
      <c r="K859" s="120" t="n"/>
      <c r="N859" s="117" t="n"/>
      <c r="O859" s="117" t="n"/>
      <c r="P859" s="117" t="n"/>
      <c r="Q859" s="117" t="n"/>
      <c r="R859" s="118" t="n"/>
      <c r="S859" s="119" t="n"/>
      <c r="T859" s="120" t="n"/>
      <c r="U859" s="123" t="n"/>
      <c r="V859" s="123" t="n"/>
      <c r="Y859" s="117" t="n"/>
      <c r="Z859" s="117" t="n"/>
      <c r="AA859" s="118" t="n"/>
      <c r="AB859" s="119" t="n"/>
      <c r="AC859" s="120" t="n"/>
      <c r="AD859" s="120" t="n"/>
      <c r="AE859" s="120" t="n"/>
    </row>
    <row r="860" ht="15" customHeight="1" s="72">
      <c r="A860" s="117" t="n"/>
      <c r="B860" s="117" t="n"/>
      <c r="C860" s="118" t="n"/>
      <c r="D860" s="118" t="n"/>
      <c r="E860" s="118" t="n"/>
      <c r="F860" s="123" t="n"/>
      <c r="G860" s="119" t="n"/>
      <c r="H860" s="123" t="n"/>
      <c r="I860" s="123" t="n"/>
      <c r="J860" s="125" t="n"/>
      <c r="K860" s="120" t="n"/>
      <c r="N860" s="117" t="n"/>
      <c r="O860" s="117" t="n"/>
      <c r="P860" s="117" t="n"/>
      <c r="Q860" s="117" t="n"/>
      <c r="R860" s="118" t="n"/>
      <c r="S860" s="119" t="n"/>
      <c r="T860" s="120" t="n"/>
      <c r="U860" s="123" t="n"/>
      <c r="V860" s="123" t="n"/>
      <c r="Y860" s="117" t="n"/>
      <c r="Z860" s="117" t="n"/>
      <c r="AA860" s="118" t="n"/>
      <c r="AB860" s="119" t="n"/>
      <c r="AC860" s="120" t="n"/>
      <c r="AD860" s="120" t="n"/>
      <c r="AE860" s="120" t="n"/>
    </row>
    <row r="861" ht="15" customHeight="1" s="72">
      <c r="A861" s="117" t="n"/>
      <c r="B861" s="117" t="n"/>
      <c r="C861" s="118" t="n"/>
      <c r="D861" s="118" t="n"/>
      <c r="E861" s="118" t="n"/>
      <c r="F861" s="123" t="n"/>
      <c r="G861" s="119" t="n"/>
      <c r="H861" s="123" t="n"/>
      <c r="I861" s="123" t="n"/>
      <c r="J861" s="125" t="n"/>
      <c r="K861" s="120" t="n"/>
      <c r="N861" s="117" t="n"/>
      <c r="O861" s="117" t="n"/>
      <c r="P861" s="117" t="n"/>
      <c r="Q861" s="117" t="n"/>
      <c r="R861" s="118" t="n"/>
      <c r="S861" s="119" t="n"/>
      <c r="T861" s="120" t="n"/>
      <c r="U861" s="123" t="n"/>
      <c r="V861" s="123" t="n"/>
      <c r="Y861" s="117" t="n"/>
      <c r="Z861" s="117" t="n"/>
      <c r="AA861" s="118" t="n"/>
      <c r="AB861" s="119" t="n"/>
      <c r="AC861" s="120" t="n"/>
      <c r="AD861" s="120" t="n"/>
      <c r="AE861" s="120" t="n"/>
    </row>
    <row r="862" ht="15" customHeight="1" s="72">
      <c r="A862" s="117" t="n"/>
      <c r="B862" s="117" t="n"/>
      <c r="C862" s="118" t="n"/>
      <c r="D862" s="118" t="n"/>
      <c r="E862" s="118" t="n"/>
      <c r="F862" s="123" t="n"/>
      <c r="G862" s="119" t="n"/>
      <c r="H862" s="123" t="n"/>
      <c r="I862" s="123" t="n"/>
      <c r="J862" s="125" t="n"/>
      <c r="K862" s="120" t="n"/>
      <c r="N862" s="117" t="n"/>
      <c r="O862" s="117" t="n"/>
      <c r="P862" s="117" t="n"/>
      <c r="Q862" s="117" t="n"/>
      <c r="R862" s="118" t="n"/>
      <c r="S862" s="119" t="n"/>
      <c r="T862" s="120" t="n"/>
      <c r="U862" s="123" t="n"/>
      <c r="V862" s="123" t="n"/>
      <c r="Y862" s="117" t="n"/>
      <c r="Z862" s="117" t="n"/>
      <c r="AA862" s="118" t="n"/>
      <c r="AB862" s="119" t="n"/>
      <c r="AC862" s="120" t="n"/>
      <c r="AD862" s="120" t="n"/>
      <c r="AE862" s="120" t="n"/>
    </row>
    <row r="863" ht="15" customHeight="1" s="72">
      <c r="A863" s="117" t="n"/>
      <c r="B863" s="117" t="n"/>
      <c r="C863" s="118" t="n"/>
      <c r="D863" s="118" t="n"/>
      <c r="E863" s="118" t="n"/>
      <c r="F863" s="123" t="n"/>
      <c r="G863" s="119" t="n"/>
      <c r="H863" s="123" t="n"/>
      <c r="I863" s="123" t="n"/>
      <c r="J863" s="125" t="n"/>
      <c r="K863" s="120" t="n"/>
      <c r="N863" s="117" t="n"/>
      <c r="O863" s="117" t="n"/>
      <c r="P863" s="117" t="n"/>
      <c r="Q863" s="117" t="n"/>
      <c r="R863" s="118" t="n"/>
      <c r="S863" s="119" t="n"/>
      <c r="T863" s="120" t="n"/>
      <c r="U863" s="123" t="n"/>
      <c r="V863" s="123" t="n"/>
      <c r="Y863" s="117" t="n"/>
      <c r="Z863" s="117" t="n"/>
      <c r="AA863" s="118" t="n"/>
      <c r="AB863" s="119" t="n"/>
      <c r="AC863" s="120" t="n"/>
      <c r="AD863" s="120" t="n"/>
      <c r="AE863" s="120" t="n"/>
    </row>
    <row r="864" ht="15" customHeight="1" s="72">
      <c r="A864" s="117" t="n"/>
      <c r="B864" s="117" t="n"/>
      <c r="C864" s="118" t="n"/>
      <c r="D864" s="118" t="n"/>
      <c r="E864" s="118" t="n"/>
      <c r="F864" s="123" t="n"/>
      <c r="G864" s="119" t="n"/>
      <c r="H864" s="123" t="n"/>
      <c r="I864" s="123" t="n"/>
      <c r="J864" s="125" t="n"/>
      <c r="K864" s="120" t="n"/>
      <c r="N864" s="117" t="n"/>
      <c r="O864" s="117" t="n"/>
      <c r="P864" s="117" t="n"/>
      <c r="Q864" s="117" t="n"/>
      <c r="R864" s="118" t="n"/>
      <c r="S864" s="119" t="n"/>
      <c r="T864" s="120" t="n"/>
      <c r="U864" s="123" t="n"/>
      <c r="V864" s="123" t="n"/>
      <c r="Y864" s="117" t="n"/>
      <c r="Z864" s="117" t="n"/>
      <c r="AA864" s="118" t="n"/>
      <c r="AB864" s="119" t="n"/>
      <c r="AC864" s="120" t="n"/>
      <c r="AD864" s="120" t="n"/>
      <c r="AE864" s="120" t="n"/>
    </row>
    <row r="865" ht="15" customHeight="1" s="72">
      <c r="A865" s="117" t="n"/>
      <c r="B865" s="117" t="n"/>
      <c r="C865" s="118" t="n"/>
      <c r="D865" s="118" t="n"/>
      <c r="E865" s="118" t="n"/>
      <c r="F865" s="123" t="n"/>
      <c r="G865" s="119" t="n"/>
      <c r="H865" s="123" t="n"/>
      <c r="I865" s="123" t="n"/>
      <c r="J865" s="125" t="n"/>
      <c r="K865" s="120" t="n"/>
      <c r="N865" s="117" t="n"/>
      <c r="O865" s="117" t="n"/>
      <c r="P865" s="117" t="n"/>
      <c r="Q865" s="117" t="n"/>
      <c r="R865" s="118" t="n"/>
      <c r="S865" s="119" t="n"/>
      <c r="T865" s="120" t="n"/>
      <c r="U865" s="123" t="n"/>
      <c r="V865" s="123" t="n"/>
      <c r="Y865" s="117" t="n"/>
      <c r="Z865" s="117" t="n"/>
      <c r="AA865" s="118" t="n"/>
      <c r="AB865" s="119" t="n"/>
      <c r="AC865" s="120" t="n"/>
      <c r="AD865" s="120" t="n"/>
      <c r="AE865" s="120" t="n"/>
    </row>
    <row r="866" ht="15" customHeight="1" s="72">
      <c r="A866" s="117" t="n"/>
      <c r="B866" s="117" t="n"/>
      <c r="C866" s="118" t="n"/>
      <c r="D866" s="118" t="n"/>
      <c r="E866" s="118" t="n"/>
      <c r="F866" s="123" t="n"/>
      <c r="G866" s="119" t="n"/>
      <c r="H866" s="123" t="n"/>
      <c r="I866" s="123" t="n"/>
      <c r="J866" s="125" t="n"/>
      <c r="K866" s="120" t="n"/>
      <c r="N866" s="117" t="n"/>
      <c r="O866" s="117" t="n"/>
      <c r="P866" s="117" t="n"/>
      <c r="Q866" s="117" t="n"/>
      <c r="R866" s="118" t="n"/>
      <c r="S866" s="119" t="n"/>
      <c r="T866" s="120" t="n"/>
      <c r="U866" s="123" t="n"/>
      <c r="V866" s="123" t="n"/>
      <c r="Y866" s="117" t="n"/>
      <c r="Z866" s="117" t="n"/>
      <c r="AA866" s="118" t="n"/>
      <c r="AB866" s="119" t="n"/>
      <c r="AC866" s="120" t="n"/>
      <c r="AD866" s="120" t="n"/>
      <c r="AE866" s="120" t="n"/>
    </row>
    <row r="867" ht="15" customHeight="1" s="72">
      <c r="A867" s="117" t="n"/>
      <c r="B867" s="117" t="n"/>
      <c r="C867" s="118" t="n"/>
      <c r="D867" s="118" t="n"/>
      <c r="E867" s="118" t="n"/>
      <c r="F867" s="123" t="n"/>
      <c r="G867" s="119" t="n"/>
      <c r="H867" s="123" t="n"/>
      <c r="I867" s="123" t="n"/>
      <c r="J867" s="125" t="n"/>
      <c r="K867" s="120" t="n"/>
      <c r="N867" s="117" t="n"/>
      <c r="O867" s="117" t="n"/>
      <c r="P867" s="117" t="n"/>
      <c r="Q867" s="117" t="n"/>
      <c r="R867" s="118" t="n"/>
      <c r="S867" s="119" t="n"/>
      <c r="T867" s="120" t="n"/>
      <c r="U867" s="123" t="n"/>
      <c r="V867" s="123" t="n"/>
      <c r="Y867" s="117" t="n"/>
      <c r="Z867" s="117" t="n"/>
      <c r="AA867" s="118" t="n"/>
      <c r="AB867" s="119" t="n"/>
      <c r="AC867" s="120" t="n"/>
      <c r="AD867" s="120" t="n"/>
      <c r="AE867" s="120" t="n"/>
    </row>
    <row r="868" ht="15" customHeight="1" s="72">
      <c r="A868" s="117" t="n"/>
      <c r="B868" s="117" t="n"/>
      <c r="C868" s="118" t="n"/>
      <c r="D868" s="118" t="n"/>
      <c r="E868" s="118" t="n"/>
      <c r="F868" s="123" t="n"/>
      <c r="G868" s="119" t="n"/>
      <c r="H868" s="123" t="n"/>
      <c r="I868" s="123" t="n"/>
      <c r="J868" s="125" t="n"/>
      <c r="K868" s="120" t="n"/>
      <c r="N868" s="117" t="n"/>
      <c r="O868" s="117" t="n"/>
      <c r="P868" s="117" t="n"/>
      <c r="Q868" s="117" t="n"/>
      <c r="R868" s="118" t="n"/>
      <c r="S868" s="119" t="n"/>
      <c r="T868" s="120" t="n"/>
      <c r="U868" s="123" t="n"/>
      <c r="V868" s="123" t="n"/>
      <c r="Y868" s="117" t="n"/>
      <c r="Z868" s="117" t="n"/>
      <c r="AA868" s="118" t="n"/>
      <c r="AB868" s="119" t="n"/>
      <c r="AC868" s="120" t="n"/>
      <c r="AD868" s="120" t="n"/>
      <c r="AE868" s="120" t="n"/>
    </row>
    <row r="869" ht="15" customHeight="1" s="72">
      <c r="A869" s="117" t="n"/>
      <c r="B869" s="117" t="n"/>
      <c r="C869" s="118" t="n"/>
      <c r="D869" s="118" t="n"/>
      <c r="E869" s="118" t="n"/>
      <c r="F869" s="123" t="n"/>
      <c r="G869" s="119" t="n"/>
      <c r="H869" s="123" t="n"/>
      <c r="I869" s="123" t="n"/>
      <c r="J869" s="125" t="n"/>
      <c r="K869" s="120" t="n"/>
      <c r="N869" s="117" t="n"/>
      <c r="O869" s="117" t="n"/>
      <c r="P869" s="117" t="n"/>
      <c r="Q869" s="117" t="n"/>
      <c r="R869" s="118" t="n"/>
      <c r="S869" s="119" t="n"/>
      <c r="T869" s="120" t="n"/>
      <c r="U869" s="123" t="n"/>
      <c r="V869" s="123" t="n"/>
      <c r="Y869" s="117" t="n"/>
      <c r="Z869" s="117" t="n"/>
      <c r="AA869" s="118" t="n"/>
      <c r="AB869" s="119" t="n"/>
      <c r="AC869" s="120" t="n"/>
      <c r="AD869" s="120" t="n"/>
      <c r="AE869" s="120" t="n"/>
    </row>
    <row r="870" ht="15" customHeight="1" s="72">
      <c r="A870" s="117" t="n"/>
      <c r="B870" s="117" t="n"/>
      <c r="C870" s="118" t="n"/>
      <c r="D870" s="118" t="n"/>
      <c r="E870" s="118" t="n"/>
      <c r="F870" s="123" t="n"/>
      <c r="G870" s="119" t="n"/>
      <c r="H870" s="123" t="n"/>
      <c r="I870" s="123" t="n"/>
      <c r="J870" s="125" t="n"/>
      <c r="K870" s="120" t="n"/>
      <c r="N870" s="117" t="n"/>
      <c r="O870" s="117" t="n"/>
      <c r="P870" s="117" t="n"/>
      <c r="Q870" s="117" t="n"/>
      <c r="R870" s="118" t="n"/>
      <c r="S870" s="119" t="n"/>
      <c r="T870" s="120" t="n"/>
      <c r="U870" s="123" t="n"/>
      <c r="V870" s="123" t="n"/>
      <c r="Y870" s="117" t="n"/>
      <c r="Z870" s="117" t="n"/>
      <c r="AA870" s="118" t="n"/>
      <c r="AB870" s="119" t="n"/>
      <c r="AC870" s="120" t="n"/>
      <c r="AD870" s="120" t="n"/>
      <c r="AE870" s="120" t="n"/>
    </row>
    <row r="871" ht="15" customHeight="1" s="72">
      <c r="A871" s="117" t="n"/>
      <c r="B871" s="117" t="n"/>
      <c r="C871" s="118" t="n"/>
      <c r="D871" s="118" t="n"/>
      <c r="E871" s="118" t="n"/>
      <c r="F871" s="123" t="n"/>
      <c r="G871" s="119" t="n"/>
      <c r="H871" s="123" t="n"/>
      <c r="I871" s="123" t="n"/>
      <c r="J871" s="125" t="n"/>
      <c r="K871" s="120" t="n"/>
      <c r="N871" s="117" t="n"/>
      <c r="O871" s="117" t="n"/>
      <c r="P871" s="117" t="n"/>
      <c r="Q871" s="117" t="n"/>
      <c r="R871" s="118" t="n"/>
      <c r="S871" s="119" t="n"/>
      <c r="T871" s="120" t="n"/>
      <c r="U871" s="123" t="n"/>
      <c r="V871" s="123" t="n"/>
      <c r="Y871" s="117" t="n"/>
      <c r="Z871" s="117" t="n"/>
      <c r="AA871" s="118" t="n"/>
      <c r="AB871" s="119" t="n"/>
      <c r="AC871" s="120" t="n"/>
      <c r="AD871" s="120" t="n"/>
      <c r="AE871" s="120" t="n"/>
    </row>
    <row r="872" ht="15" customHeight="1" s="72">
      <c r="A872" s="117" t="n"/>
      <c r="B872" s="117" t="n"/>
      <c r="C872" s="118" t="n"/>
      <c r="D872" s="118" t="n"/>
      <c r="E872" s="118" t="n"/>
      <c r="F872" s="123" t="n"/>
      <c r="G872" s="119" t="n"/>
      <c r="H872" s="123" t="n"/>
      <c r="I872" s="123" t="n"/>
      <c r="J872" s="125" t="n"/>
      <c r="K872" s="120" t="n"/>
      <c r="N872" s="117" t="n"/>
      <c r="O872" s="117" t="n"/>
      <c r="P872" s="117" t="n"/>
      <c r="Q872" s="117" t="n"/>
      <c r="R872" s="118" t="n"/>
      <c r="S872" s="119" t="n"/>
      <c r="T872" s="120" t="n"/>
      <c r="U872" s="123" t="n"/>
      <c r="V872" s="123" t="n"/>
      <c r="Y872" s="117" t="n"/>
      <c r="Z872" s="117" t="n"/>
      <c r="AA872" s="118" t="n"/>
      <c r="AB872" s="119" t="n"/>
      <c r="AC872" s="120" t="n"/>
      <c r="AD872" s="120" t="n"/>
      <c r="AE872" s="120" t="n"/>
    </row>
    <row r="873" ht="15" customHeight="1" s="72">
      <c r="A873" s="117" t="n"/>
      <c r="B873" s="117" t="n"/>
      <c r="C873" s="118" t="n"/>
      <c r="D873" s="118" t="n"/>
      <c r="E873" s="118" t="n"/>
      <c r="F873" s="123" t="n"/>
      <c r="G873" s="119" t="n"/>
      <c r="H873" s="123" t="n"/>
      <c r="I873" s="123" t="n"/>
      <c r="J873" s="125" t="n"/>
      <c r="K873" s="120" t="n"/>
      <c r="N873" s="117" t="n"/>
      <c r="O873" s="117" t="n"/>
      <c r="P873" s="117" t="n"/>
      <c r="Q873" s="117" t="n"/>
      <c r="R873" s="118" t="n"/>
      <c r="S873" s="119" t="n"/>
      <c r="T873" s="120" t="n"/>
      <c r="U873" s="123" t="n"/>
      <c r="V873" s="123" t="n"/>
      <c r="Y873" s="117" t="n"/>
      <c r="Z873" s="117" t="n"/>
      <c r="AA873" s="118" t="n"/>
      <c r="AB873" s="119" t="n"/>
      <c r="AC873" s="120" t="n"/>
      <c r="AD873" s="120" t="n"/>
      <c r="AE873" s="120" t="n"/>
    </row>
    <row r="874" ht="15" customHeight="1" s="72">
      <c r="A874" s="117" t="n"/>
      <c r="B874" s="117" t="n"/>
      <c r="C874" s="118" t="n"/>
      <c r="D874" s="118" t="n"/>
      <c r="E874" s="118" t="n"/>
      <c r="F874" s="123" t="n"/>
      <c r="G874" s="119" t="n"/>
      <c r="H874" s="123" t="n"/>
      <c r="I874" s="123" t="n"/>
      <c r="J874" s="125" t="n"/>
      <c r="K874" s="120" t="n"/>
      <c r="N874" s="117" t="n"/>
      <c r="O874" s="117" t="n"/>
      <c r="P874" s="117" t="n"/>
      <c r="Q874" s="117" t="n"/>
      <c r="R874" s="118" t="n"/>
      <c r="S874" s="119" t="n"/>
      <c r="T874" s="120" t="n"/>
      <c r="U874" s="123" t="n"/>
      <c r="V874" s="123" t="n"/>
      <c r="Y874" s="117" t="n"/>
      <c r="Z874" s="117" t="n"/>
      <c r="AA874" s="118" t="n"/>
      <c r="AB874" s="119" t="n"/>
      <c r="AC874" s="120" t="n"/>
      <c r="AD874" s="120" t="n"/>
      <c r="AE874" s="120" t="n"/>
    </row>
    <row r="875" ht="15" customHeight="1" s="72">
      <c r="A875" s="117" t="n"/>
      <c r="B875" s="117" t="n"/>
      <c r="C875" s="118" t="n"/>
      <c r="D875" s="118" t="n"/>
      <c r="E875" s="118" t="n"/>
      <c r="F875" s="123" t="n"/>
      <c r="G875" s="119" t="n"/>
      <c r="H875" s="123" t="n"/>
      <c r="I875" s="123" t="n"/>
      <c r="J875" s="125" t="n"/>
      <c r="K875" s="120" t="n"/>
      <c r="N875" s="117" t="n"/>
      <c r="O875" s="117" t="n"/>
      <c r="P875" s="117" t="n"/>
      <c r="Q875" s="117" t="n"/>
      <c r="R875" s="118" t="n"/>
      <c r="S875" s="119" t="n"/>
      <c r="T875" s="120" t="n"/>
      <c r="U875" s="123" t="n"/>
      <c r="V875" s="123" t="n"/>
      <c r="Y875" s="117" t="n"/>
      <c r="Z875" s="117" t="n"/>
      <c r="AA875" s="118" t="n"/>
      <c r="AB875" s="119" t="n"/>
      <c r="AC875" s="120" t="n"/>
      <c r="AD875" s="120" t="n"/>
      <c r="AE875" s="120" t="n"/>
    </row>
    <row r="876" ht="15" customHeight="1" s="72">
      <c r="A876" s="117" t="n"/>
      <c r="B876" s="117" t="n"/>
      <c r="C876" s="118" t="n"/>
      <c r="D876" s="118" t="n"/>
      <c r="E876" s="118" t="n"/>
      <c r="F876" s="123" t="n"/>
      <c r="G876" s="119" t="n"/>
      <c r="H876" s="123" t="n"/>
      <c r="I876" s="123" t="n"/>
      <c r="J876" s="125" t="n"/>
      <c r="K876" s="120" t="n"/>
      <c r="N876" s="117" t="n"/>
      <c r="O876" s="117" t="n"/>
      <c r="P876" s="117" t="n"/>
      <c r="Q876" s="117" t="n"/>
      <c r="R876" s="118" t="n"/>
      <c r="S876" s="119" t="n"/>
      <c r="T876" s="120" t="n"/>
      <c r="U876" s="123" t="n"/>
      <c r="V876" s="123" t="n"/>
      <c r="Y876" s="117" t="n"/>
      <c r="Z876" s="117" t="n"/>
      <c r="AA876" s="118" t="n"/>
      <c r="AB876" s="119" t="n"/>
      <c r="AC876" s="120" t="n"/>
      <c r="AD876" s="120" t="n"/>
      <c r="AE876" s="120" t="n"/>
    </row>
    <row r="877" ht="15" customHeight="1" s="72">
      <c r="A877" s="117" t="n"/>
      <c r="B877" s="117" t="n"/>
      <c r="C877" s="118" t="n"/>
      <c r="D877" s="118" t="n"/>
      <c r="E877" s="118" t="n"/>
      <c r="F877" s="123" t="n"/>
      <c r="G877" s="119" t="n"/>
      <c r="H877" s="123" t="n"/>
      <c r="I877" s="123" t="n"/>
      <c r="J877" s="125" t="n"/>
      <c r="K877" s="120" t="n"/>
      <c r="N877" s="117" t="n"/>
      <c r="O877" s="117" t="n"/>
      <c r="P877" s="117" t="n"/>
      <c r="Q877" s="117" t="n"/>
      <c r="R877" s="118" t="n"/>
      <c r="S877" s="119" t="n"/>
      <c r="T877" s="120" t="n"/>
      <c r="U877" s="123" t="n"/>
      <c r="V877" s="123" t="n"/>
      <c r="Y877" s="117" t="n"/>
      <c r="Z877" s="117" t="n"/>
      <c r="AA877" s="118" t="n"/>
      <c r="AB877" s="119" t="n"/>
      <c r="AC877" s="120" t="n"/>
      <c r="AD877" s="120" t="n"/>
      <c r="AE877" s="120" t="n"/>
    </row>
    <row r="878" ht="15" customHeight="1" s="72">
      <c r="A878" s="117" t="n"/>
      <c r="B878" s="117" t="n"/>
      <c r="C878" s="118" t="n"/>
      <c r="D878" s="118" t="n"/>
      <c r="E878" s="118" t="n"/>
      <c r="F878" s="123" t="n"/>
      <c r="G878" s="119" t="n"/>
      <c r="H878" s="123" t="n"/>
      <c r="I878" s="123" t="n"/>
      <c r="J878" s="125" t="n"/>
      <c r="K878" s="120" t="n"/>
      <c r="N878" s="117" t="n"/>
      <c r="O878" s="117" t="n"/>
      <c r="P878" s="117" t="n"/>
      <c r="Q878" s="117" t="n"/>
      <c r="R878" s="118" t="n"/>
      <c r="S878" s="119" t="n"/>
      <c r="T878" s="120" t="n"/>
      <c r="U878" s="123" t="n"/>
      <c r="V878" s="123" t="n"/>
      <c r="Y878" s="117" t="n"/>
      <c r="Z878" s="117" t="n"/>
      <c r="AA878" s="118" t="n"/>
      <c r="AB878" s="119" t="n"/>
      <c r="AC878" s="120" t="n"/>
      <c r="AD878" s="120" t="n"/>
      <c r="AE878" s="120" t="n"/>
    </row>
    <row r="879" ht="15" customHeight="1" s="72">
      <c r="A879" s="117" t="n"/>
      <c r="B879" s="117" t="n"/>
      <c r="C879" s="118" t="n"/>
      <c r="D879" s="118" t="n"/>
      <c r="E879" s="118" t="n"/>
      <c r="F879" s="123" t="n"/>
      <c r="G879" s="119" t="n"/>
      <c r="H879" s="123" t="n"/>
      <c r="I879" s="123" t="n"/>
      <c r="J879" s="125" t="n"/>
      <c r="K879" s="120" t="n"/>
      <c r="N879" s="117" t="n"/>
      <c r="O879" s="117" t="n"/>
      <c r="P879" s="117" t="n"/>
      <c r="Q879" s="117" t="n"/>
      <c r="R879" s="118" t="n"/>
      <c r="S879" s="119" t="n"/>
      <c r="T879" s="120" t="n"/>
      <c r="U879" s="123" t="n"/>
      <c r="V879" s="123" t="n"/>
      <c r="Y879" s="117" t="n"/>
      <c r="Z879" s="117" t="n"/>
      <c r="AA879" s="118" t="n"/>
      <c r="AB879" s="119" t="n"/>
      <c r="AC879" s="120" t="n"/>
      <c r="AD879" s="120" t="n"/>
      <c r="AE879" s="120" t="n"/>
    </row>
    <row r="880" ht="15" customHeight="1" s="72">
      <c r="A880" s="117" t="n"/>
      <c r="B880" s="117" t="n"/>
      <c r="C880" s="118" t="n"/>
      <c r="D880" s="118" t="n"/>
      <c r="E880" s="118" t="n"/>
      <c r="F880" s="123" t="n"/>
      <c r="G880" s="119" t="n"/>
      <c r="H880" s="123" t="n"/>
      <c r="I880" s="123" t="n"/>
      <c r="J880" s="125" t="n"/>
      <c r="K880" s="120" t="n"/>
      <c r="N880" s="117" t="n"/>
      <c r="O880" s="117" t="n"/>
      <c r="P880" s="117" t="n"/>
      <c r="Q880" s="117" t="n"/>
      <c r="R880" s="118" t="n"/>
      <c r="S880" s="119" t="n"/>
      <c r="T880" s="120" t="n"/>
      <c r="U880" s="123" t="n"/>
      <c r="V880" s="123" t="n"/>
      <c r="Y880" s="117" t="n"/>
      <c r="Z880" s="117" t="n"/>
      <c r="AA880" s="118" t="n"/>
      <c r="AB880" s="119" t="n"/>
      <c r="AC880" s="120" t="n"/>
      <c r="AD880" s="120" t="n"/>
      <c r="AE880" s="120" t="n"/>
    </row>
    <row r="881" ht="15" customHeight="1" s="72">
      <c r="A881" s="117" t="n"/>
      <c r="B881" s="117" t="n"/>
      <c r="C881" s="118" t="n"/>
      <c r="D881" s="118" t="n"/>
      <c r="E881" s="118" t="n"/>
      <c r="F881" s="123" t="n"/>
      <c r="G881" s="119" t="n"/>
      <c r="H881" s="123" t="n"/>
      <c r="I881" s="123" t="n"/>
      <c r="J881" s="125" t="n"/>
      <c r="K881" s="120" t="n"/>
      <c r="N881" s="117" t="n"/>
      <c r="O881" s="117" t="n"/>
      <c r="P881" s="117" t="n"/>
      <c r="Q881" s="117" t="n"/>
      <c r="R881" s="118" t="n"/>
      <c r="S881" s="119" t="n"/>
      <c r="T881" s="120" t="n"/>
      <c r="U881" s="123" t="n"/>
      <c r="V881" s="123" t="n"/>
      <c r="Y881" s="117" t="n"/>
      <c r="Z881" s="117" t="n"/>
      <c r="AA881" s="118" t="n"/>
      <c r="AB881" s="119" t="n"/>
      <c r="AC881" s="120" t="n"/>
      <c r="AD881" s="120" t="n"/>
      <c r="AE881" s="120" t="n"/>
    </row>
    <row r="882" ht="15" customHeight="1" s="72">
      <c r="A882" s="117" t="n"/>
      <c r="B882" s="117" t="n"/>
      <c r="C882" s="118" t="n"/>
      <c r="D882" s="118" t="n"/>
      <c r="E882" s="118" t="n"/>
      <c r="F882" s="123" t="n"/>
      <c r="G882" s="119" t="n"/>
      <c r="H882" s="123" t="n"/>
      <c r="I882" s="123" t="n"/>
      <c r="J882" s="125" t="n"/>
      <c r="K882" s="120" t="n"/>
      <c r="N882" s="117" t="n"/>
      <c r="O882" s="117" t="n"/>
      <c r="P882" s="117" t="n"/>
      <c r="Q882" s="117" t="n"/>
      <c r="R882" s="118" t="n"/>
      <c r="S882" s="119" t="n"/>
      <c r="T882" s="120" t="n"/>
      <c r="U882" s="123" t="n"/>
      <c r="V882" s="123" t="n"/>
      <c r="Y882" s="117" t="n"/>
      <c r="Z882" s="117" t="n"/>
      <c r="AA882" s="118" t="n"/>
      <c r="AB882" s="119" t="n"/>
      <c r="AC882" s="120" t="n"/>
      <c r="AD882" s="120" t="n"/>
      <c r="AE882" s="120" t="n"/>
    </row>
    <row r="883" ht="15" customHeight="1" s="72">
      <c r="A883" s="117" t="n"/>
      <c r="B883" s="117" t="n"/>
      <c r="C883" s="118" t="n"/>
      <c r="D883" s="118" t="n"/>
      <c r="E883" s="118" t="n"/>
      <c r="F883" s="123" t="n"/>
      <c r="G883" s="119" t="n"/>
      <c r="H883" s="123" t="n"/>
      <c r="I883" s="123" t="n"/>
      <c r="J883" s="125" t="n"/>
      <c r="K883" s="120" t="n"/>
      <c r="N883" s="117" t="n"/>
      <c r="O883" s="117" t="n"/>
      <c r="P883" s="117" t="n"/>
      <c r="Q883" s="117" t="n"/>
      <c r="R883" s="118" t="n"/>
      <c r="S883" s="119" t="n"/>
      <c r="T883" s="120" t="n"/>
      <c r="U883" s="123" t="n"/>
      <c r="V883" s="123" t="n"/>
      <c r="Y883" s="117" t="n"/>
      <c r="Z883" s="117" t="n"/>
      <c r="AA883" s="118" t="n"/>
      <c r="AB883" s="119" t="n"/>
      <c r="AC883" s="120" t="n"/>
      <c r="AD883" s="120" t="n"/>
      <c r="AE883" s="120" t="n"/>
    </row>
    <row r="884" ht="15" customHeight="1" s="72">
      <c r="A884" s="117" t="n"/>
      <c r="B884" s="117" t="n"/>
      <c r="C884" s="118" t="n"/>
      <c r="D884" s="118" t="n"/>
      <c r="E884" s="118" t="n"/>
      <c r="F884" s="123" t="n"/>
      <c r="G884" s="119" t="n"/>
      <c r="H884" s="123" t="n"/>
      <c r="I884" s="123" t="n"/>
      <c r="J884" s="125" t="n"/>
      <c r="K884" s="120" t="n"/>
      <c r="N884" s="117" t="n"/>
      <c r="O884" s="117" t="n"/>
      <c r="P884" s="117" t="n"/>
      <c r="Q884" s="117" t="n"/>
      <c r="R884" s="118" t="n"/>
      <c r="S884" s="119" t="n"/>
      <c r="T884" s="120" t="n"/>
      <c r="U884" s="123" t="n"/>
      <c r="V884" s="123" t="n"/>
      <c r="Y884" s="117" t="n"/>
      <c r="Z884" s="117" t="n"/>
      <c r="AA884" s="118" t="n"/>
      <c r="AB884" s="119" t="n"/>
      <c r="AC884" s="120" t="n"/>
      <c r="AD884" s="120" t="n"/>
      <c r="AE884" s="120" t="n"/>
    </row>
    <row r="885" ht="15" customHeight="1" s="72">
      <c r="A885" s="117" t="n"/>
      <c r="B885" s="117" t="n"/>
      <c r="C885" s="118" t="n"/>
      <c r="D885" s="118" t="n"/>
      <c r="E885" s="118" t="n"/>
      <c r="F885" s="123" t="n"/>
      <c r="G885" s="119" t="n"/>
      <c r="H885" s="123" t="n"/>
      <c r="I885" s="123" t="n"/>
      <c r="J885" s="125" t="n"/>
      <c r="K885" s="120" t="n"/>
      <c r="N885" s="117" t="n"/>
      <c r="O885" s="117" t="n"/>
      <c r="P885" s="117" t="n"/>
      <c r="Q885" s="117" t="n"/>
      <c r="R885" s="118" t="n"/>
      <c r="S885" s="119" t="n"/>
      <c r="T885" s="120" t="n"/>
      <c r="U885" s="123" t="n"/>
      <c r="V885" s="123" t="n"/>
      <c r="Y885" s="117" t="n"/>
      <c r="Z885" s="117" t="n"/>
      <c r="AA885" s="118" t="n"/>
      <c r="AB885" s="119" t="n"/>
      <c r="AC885" s="120" t="n"/>
      <c r="AD885" s="120" t="n"/>
      <c r="AE885" s="120" t="n"/>
    </row>
    <row r="886" ht="15" customHeight="1" s="72">
      <c r="A886" s="117" t="n"/>
      <c r="B886" s="117" t="n"/>
      <c r="C886" s="118" t="n"/>
      <c r="D886" s="118" t="n"/>
      <c r="E886" s="118" t="n"/>
      <c r="F886" s="123" t="n"/>
      <c r="G886" s="119" t="n"/>
      <c r="H886" s="123" t="n"/>
      <c r="I886" s="123" t="n"/>
      <c r="J886" s="125" t="n"/>
      <c r="K886" s="120" t="n"/>
      <c r="N886" s="117" t="n"/>
      <c r="O886" s="117" t="n"/>
      <c r="P886" s="117" t="n"/>
      <c r="Q886" s="117" t="n"/>
      <c r="R886" s="118" t="n"/>
      <c r="S886" s="119" t="n"/>
      <c r="T886" s="120" t="n"/>
      <c r="U886" s="123" t="n"/>
      <c r="V886" s="123" t="n"/>
      <c r="Y886" s="117" t="n"/>
      <c r="Z886" s="117" t="n"/>
      <c r="AA886" s="118" t="n"/>
      <c r="AB886" s="119" t="n"/>
      <c r="AC886" s="120" t="n"/>
      <c r="AD886" s="120" t="n"/>
      <c r="AE886" s="120" t="n"/>
    </row>
    <row r="887" ht="15" customHeight="1" s="72">
      <c r="A887" s="117" t="n"/>
      <c r="B887" s="117" t="n"/>
      <c r="C887" s="118" t="n"/>
      <c r="D887" s="118" t="n"/>
      <c r="E887" s="118" t="n"/>
      <c r="F887" s="123" t="n"/>
      <c r="G887" s="119" t="n"/>
      <c r="H887" s="123" t="n"/>
      <c r="I887" s="123" t="n"/>
      <c r="J887" s="125" t="n"/>
      <c r="K887" s="120" t="n"/>
      <c r="N887" s="117" t="n"/>
      <c r="O887" s="117" t="n"/>
      <c r="P887" s="117" t="n"/>
      <c r="Q887" s="117" t="n"/>
      <c r="R887" s="118" t="n"/>
      <c r="S887" s="119" t="n"/>
      <c r="T887" s="120" t="n"/>
      <c r="U887" s="123" t="n"/>
      <c r="V887" s="123" t="n"/>
      <c r="Y887" s="117" t="n"/>
      <c r="Z887" s="117" t="n"/>
      <c r="AA887" s="118" t="n"/>
      <c r="AB887" s="119" t="n"/>
      <c r="AC887" s="120" t="n"/>
      <c r="AD887" s="120" t="n"/>
      <c r="AE887" s="120" t="n"/>
    </row>
    <row r="888" ht="15" customHeight="1" s="72">
      <c r="A888" s="117" t="n"/>
      <c r="B888" s="117" t="n"/>
      <c r="C888" s="118" t="n"/>
      <c r="D888" s="118" t="n"/>
      <c r="E888" s="118" t="n"/>
      <c r="F888" s="123" t="n"/>
      <c r="G888" s="119" t="n"/>
      <c r="H888" s="123" t="n"/>
      <c r="I888" s="123" t="n"/>
      <c r="J888" s="125" t="n"/>
      <c r="K888" s="120" t="n"/>
      <c r="N888" s="117" t="n"/>
      <c r="O888" s="117" t="n"/>
      <c r="P888" s="117" t="n"/>
      <c r="Q888" s="117" t="n"/>
      <c r="R888" s="118" t="n"/>
      <c r="S888" s="119" t="n"/>
      <c r="T888" s="120" t="n"/>
      <c r="U888" s="123" t="n"/>
      <c r="V888" s="123" t="n"/>
      <c r="Y888" s="117" t="n"/>
      <c r="Z888" s="117" t="n"/>
      <c r="AA888" s="118" t="n"/>
      <c r="AB888" s="119" t="n"/>
      <c r="AC888" s="120" t="n"/>
      <c r="AD888" s="120" t="n"/>
      <c r="AE888" s="120" t="n"/>
    </row>
    <row r="889" ht="15" customHeight="1" s="72">
      <c r="A889" s="117" t="n"/>
      <c r="B889" s="117" t="n"/>
      <c r="C889" s="118" t="n"/>
      <c r="D889" s="118" t="n"/>
      <c r="E889" s="118" t="n"/>
      <c r="F889" s="123" t="n"/>
      <c r="G889" s="119" t="n"/>
      <c r="H889" s="123" t="n"/>
      <c r="I889" s="123" t="n"/>
      <c r="J889" s="125" t="n"/>
      <c r="K889" s="120" t="n"/>
      <c r="N889" s="117" t="n"/>
      <c r="O889" s="117" t="n"/>
      <c r="P889" s="117" t="n"/>
      <c r="Q889" s="117" t="n"/>
      <c r="R889" s="118" t="n"/>
      <c r="S889" s="119" t="n"/>
      <c r="T889" s="120" t="n"/>
      <c r="U889" s="123" t="n"/>
      <c r="V889" s="123" t="n"/>
      <c r="Y889" s="117" t="n"/>
      <c r="Z889" s="117" t="n"/>
      <c r="AA889" s="118" t="n"/>
      <c r="AB889" s="119" t="n"/>
      <c r="AC889" s="120" t="n"/>
      <c r="AD889" s="120" t="n"/>
      <c r="AE889" s="120" t="n"/>
    </row>
    <row r="890" ht="15" customHeight="1" s="72">
      <c r="A890" s="117" t="n"/>
      <c r="B890" s="117" t="n"/>
      <c r="C890" s="118" t="n"/>
      <c r="D890" s="118" t="n"/>
      <c r="E890" s="118" t="n"/>
      <c r="F890" s="123" t="n"/>
      <c r="G890" s="119" t="n"/>
      <c r="H890" s="123" t="n"/>
      <c r="I890" s="123" t="n"/>
      <c r="J890" s="125" t="n"/>
      <c r="K890" s="120" t="n"/>
      <c r="N890" s="117" t="n"/>
      <c r="O890" s="117" t="n"/>
      <c r="P890" s="117" t="n"/>
      <c r="Q890" s="117" t="n"/>
      <c r="R890" s="118" t="n"/>
      <c r="S890" s="119" t="n"/>
      <c r="T890" s="120" t="n"/>
      <c r="U890" s="123" t="n"/>
      <c r="V890" s="123" t="n"/>
      <c r="Y890" s="117" t="n"/>
      <c r="Z890" s="117" t="n"/>
      <c r="AA890" s="118" t="n"/>
      <c r="AB890" s="119" t="n"/>
      <c r="AC890" s="120" t="n"/>
      <c r="AD890" s="120" t="n"/>
      <c r="AE890" s="120" t="n"/>
    </row>
    <row r="891" ht="15" customHeight="1" s="72">
      <c r="A891" s="117" t="n"/>
      <c r="B891" s="117" t="n"/>
      <c r="C891" s="118" t="n"/>
      <c r="D891" s="118" t="n"/>
      <c r="E891" s="118" t="n"/>
      <c r="F891" s="123" t="n"/>
      <c r="G891" s="119" t="n"/>
      <c r="H891" s="123" t="n"/>
      <c r="I891" s="123" t="n"/>
      <c r="J891" s="125" t="n"/>
      <c r="K891" s="120" t="n"/>
      <c r="N891" s="117" t="n"/>
      <c r="O891" s="117" t="n"/>
      <c r="P891" s="117" t="n"/>
      <c r="Q891" s="117" t="n"/>
      <c r="R891" s="118" t="n"/>
      <c r="S891" s="119" t="n"/>
      <c r="T891" s="120" t="n"/>
      <c r="U891" s="123" t="n"/>
      <c r="V891" s="123" t="n"/>
      <c r="Y891" s="117" t="n"/>
      <c r="Z891" s="117" t="n"/>
      <c r="AA891" s="118" t="n"/>
      <c r="AB891" s="119" t="n"/>
      <c r="AC891" s="120" t="n"/>
      <c r="AD891" s="120" t="n"/>
      <c r="AE891" s="120" t="n"/>
    </row>
    <row r="892" ht="15" customHeight="1" s="72">
      <c r="A892" s="117" t="n"/>
      <c r="B892" s="117" t="n"/>
      <c r="C892" s="118" t="n"/>
      <c r="D892" s="118" t="n"/>
      <c r="E892" s="118" t="n"/>
      <c r="F892" s="123" t="n"/>
      <c r="G892" s="119" t="n"/>
      <c r="H892" s="123" t="n"/>
      <c r="I892" s="123" t="n"/>
      <c r="J892" s="125" t="n"/>
      <c r="K892" s="120" t="n"/>
      <c r="N892" s="117" t="n"/>
      <c r="O892" s="117" t="n"/>
      <c r="P892" s="117" t="n"/>
      <c r="Q892" s="117" t="n"/>
      <c r="R892" s="118" t="n"/>
      <c r="S892" s="119" t="n"/>
      <c r="T892" s="120" t="n"/>
      <c r="U892" s="123" t="n"/>
      <c r="V892" s="123" t="n"/>
      <c r="Y892" s="117" t="n"/>
      <c r="Z892" s="117" t="n"/>
      <c r="AA892" s="118" t="n"/>
      <c r="AB892" s="119" t="n"/>
      <c r="AC892" s="120" t="n"/>
      <c r="AD892" s="120" t="n"/>
      <c r="AE892" s="120" t="n"/>
    </row>
    <row r="893" ht="15" customHeight="1" s="72">
      <c r="A893" s="117" t="n"/>
      <c r="B893" s="117" t="n"/>
      <c r="C893" s="118" t="n"/>
      <c r="D893" s="118" t="n"/>
      <c r="E893" s="118" t="n"/>
      <c r="F893" s="123" t="n"/>
      <c r="G893" s="119" t="n"/>
      <c r="H893" s="123" t="n"/>
      <c r="I893" s="123" t="n"/>
      <c r="J893" s="125" t="n"/>
      <c r="K893" s="120" t="n"/>
      <c r="N893" s="117" t="n"/>
      <c r="O893" s="117" t="n"/>
      <c r="P893" s="117" t="n"/>
      <c r="Q893" s="117" t="n"/>
      <c r="R893" s="118" t="n"/>
      <c r="S893" s="119" t="n"/>
      <c r="T893" s="120" t="n"/>
      <c r="U893" s="123" t="n"/>
      <c r="V893" s="123" t="n"/>
      <c r="Y893" s="117" t="n"/>
      <c r="Z893" s="117" t="n"/>
      <c r="AA893" s="118" t="n"/>
      <c r="AB893" s="119" t="n"/>
      <c r="AC893" s="120" t="n"/>
      <c r="AD893" s="120" t="n"/>
      <c r="AE893" s="120" t="n"/>
    </row>
    <row r="894" ht="15" customHeight="1" s="72">
      <c r="A894" s="117" t="n"/>
      <c r="B894" s="117" t="n"/>
      <c r="C894" s="118" t="n"/>
      <c r="D894" s="118" t="n"/>
      <c r="E894" s="118" t="n"/>
      <c r="F894" s="123" t="n"/>
      <c r="G894" s="119" t="n"/>
      <c r="H894" s="123" t="n"/>
      <c r="I894" s="123" t="n"/>
      <c r="J894" s="125" t="n"/>
      <c r="K894" s="120" t="n"/>
      <c r="N894" s="117" t="n"/>
      <c r="O894" s="117" t="n"/>
      <c r="P894" s="117" t="n"/>
      <c r="Q894" s="117" t="n"/>
      <c r="R894" s="118" t="n"/>
      <c r="S894" s="119" t="n"/>
      <c r="T894" s="120" t="n"/>
      <c r="U894" s="123" t="n"/>
      <c r="V894" s="123" t="n"/>
      <c r="Y894" s="117" t="n"/>
      <c r="Z894" s="117" t="n"/>
      <c r="AA894" s="118" t="n"/>
      <c r="AB894" s="119" t="n"/>
      <c r="AC894" s="120" t="n"/>
      <c r="AD894" s="120" t="n"/>
      <c r="AE894" s="120" t="n"/>
    </row>
    <row r="895" ht="15" customHeight="1" s="72">
      <c r="A895" s="117" t="n"/>
      <c r="B895" s="117" t="n"/>
      <c r="C895" s="118" t="n"/>
      <c r="D895" s="118" t="n"/>
      <c r="E895" s="118" t="n"/>
      <c r="F895" s="123" t="n"/>
      <c r="G895" s="119" t="n"/>
      <c r="H895" s="123" t="n"/>
      <c r="I895" s="123" t="n"/>
      <c r="J895" s="125" t="n"/>
      <c r="K895" s="120" t="n"/>
      <c r="N895" s="117" t="n"/>
      <c r="O895" s="117" t="n"/>
      <c r="P895" s="117" t="n"/>
      <c r="Q895" s="117" t="n"/>
      <c r="R895" s="118" t="n"/>
      <c r="S895" s="119" t="n"/>
      <c r="T895" s="120" t="n"/>
      <c r="U895" s="123" t="n"/>
      <c r="V895" s="123" t="n"/>
      <c r="Y895" s="117" t="n"/>
      <c r="Z895" s="117" t="n"/>
      <c r="AA895" s="118" t="n"/>
      <c r="AB895" s="119" t="n"/>
      <c r="AC895" s="120" t="n"/>
      <c r="AD895" s="120" t="n"/>
      <c r="AE895" s="120" t="n"/>
    </row>
    <row r="896" ht="15" customHeight="1" s="72">
      <c r="A896" s="117" t="n"/>
      <c r="B896" s="117" t="n"/>
      <c r="C896" s="118" t="n"/>
      <c r="D896" s="118" t="n"/>
      <c r="E896" s="118" t="n"/>
      <c r="F896" s="123" t="n"/>
      <c r="G896" s="119" t="n"/>
      <c r="H896" s="123" t="n"/>
      <c r="I896" s="123" t="n"/>
      <c r="J896" s="125" t="n"/>
      <c r="K896" s="120" t="n"/>
      <c r="N896" s="117" t="n"/>
      <c r="O896" s="117" t="n"/>
      <c r="P896" s="117" t="n"/>
      <c r="Q896" s="117" t="n"/>
      <c r="R896" s="118" t="n"/>
      <c r="S896" s="119" t="n"/>
      <c r="T896" s="120" t="n"/>
      <c r="U896" s="123" t="n"/>
      <c r="V896" s="123" t="n"/>
      <c r="Y896" s="117" t="n"/>
      <c r="Z896" s="117" t="n"/>
      <c r="AA896" s="118" t="n"/>
      <c r="AB896" s="119" t="n"/>
      <c r="AC896" s="120" t="n"/>
      <c r="AD896" s="120" t="n"/>
      <c r="AE896" s="120" t="n"/>
    </row>
    <row r="897" ht="15" customHeight="1" s="72">
      <c r="A897" s="117" t="n"/>
      <c r="B897" s="117" t="n"/>
      <c r="C897" s="118" t="n"/>
      <c r="D897" s="118" t="n"/>
      <c r="E897" s="118" t="n"/>
      <c r="F897" s="123" t="n"/>
      <c r="G897" s="119" t="n"/>
      <c r="H897" s="123" t="n"/>
      <c r="I897" s="123" t="n"/>
      <c r="J897" s="125" t="n"/>
      <c r="K897" s="120" t="n"/>
      <c r="N897" s="117" t="n"/>
      <c r="O897" s="117" t="n"/>
      <c r="P897" s="117" t="n"/>
      <c r="Q897" s="117" t="n"/>
      <c r="R897" s="118" t="n"/>
      <c r="S897" s="119" t="n"/>
      <c r="T897" s="120" t="n"/>
      <c r="U897" s="123" t="n"/>
      <c r="V897" s="123" t="n"/>
      <c r="Y897" s="117" t="n"/>
      <c r="Z897" s="117" t="n"/>
      <c r="AA897" s="118" t="n"/>
      <c r="AB897" s="119" t="n"/>
      <c r="AC897" s="120" t="n"/>
      <c r="AD897" s="120" t="n"/>
      <c r="AE897" s="120" t="n"/>
    </row>
    <row r="898" ht="15" customHeight="1" s="72">
      <c r="A898" s="117" t="n"/>
      <c r="B898" s="117" t="n"/>
      <c r="C898" s="118" t="n"/>
      <c r="D898" s="118" t="n"/>
      <c r="E898" s="118" t="n"/>
      <c r="F898" s="123" t="n"/>
      <c r="G898" s="119" t="n"/>
      <c r="H898" s="123" t="n"/>
      <c r="I898" s="123" t="n"/>
      <c r="J898" s="125" t="n"/>
      <c r="K898" s="120" t="n"/>
      <c r="N898" s="117" t="n"/>
      <c r="O898" s="117" t="n"/>
      <c r="P898" s="117" t="n"/>
      <c r="Q898" s="117" t="n"/>
      <c r="R898" s="118" t="n"/>
      <c r="S898" s="119" t="n"/>
      <c r="T898" s="120" t="n"/>
      <c r="U898" s="123" t="n"/>
      <c r="V898" s="123" t="n"/>
      <c r="Y898" s="117" t="n"/>
      <c r="Z898" s="117" t="n"/>
      <c r="AA898" s="118" t="n"/>
      <c r="AB898" s="119" t="n"/>
      <c r="AC898" s="120" t="n"/>
      <c r="AD898" s="120" t="n"/>
      <c r="AE898" s="120" t="n"/>
    </row>
    <row r="899" ht="15" customHeight="1" s="72">
      <c r="A899" s="117" t="n"/>
      <c r="B899" s="117" t="n"/>
      <c r="C899" s="118" t="n"/>
      <c r="D899" s="118" t="n"/>
      <c r="E899" s="118" t="n"/>
      <c r="F899" s="123" t="n"/>
      <c r="G899" s="119" t="n"/>
      <c r="H899" s="123" t="n"/>
      <c r="I899" s="123" t="n"/>
      <c r="J899" s="125" t="n"/>
      <c r="K899" s="120" t="n"/>
      <c r="N899" s="117" t="n"/>
      <c r="O899" s="117" t="n"/>
      <c r="P899" s="117" t="n"/>
      <c r="Q899" s="117" t="n"/>
      <c r="R899" s="118" t="n"/>
      <c r="S899" s="119" t="n"/>
      <c r="T899" s="120" t="n"/>
      <c r="U899" s="123" t="n"/>
      <c r="V899" s="123" t="n"/>
      <c r="Y899" s="117" t="n"/>
      <c r="Z899" s="117" t="n"/>
      <c r="AA899" s="118" t="n"/>
      <c r="AB899" s="119" t="n"/>
      <c r="AC899" s="120" t="n"/>
      <c r="AD899" s="120" t="n"/>
      <c r="AE899" s="120" t="n"/>
    </row>
    <row r="900" ht="15" customHeight="1" s="72">
      <c r="A900" s="117" t="n"/>
      <c r="B900" s="117" t="n"/>
      <c r="C900" s="118" t="n"/>
      <c r="D900" s="118" t="n"/>
      <c r="E900" s="118" t="n"/>
      <c r="F900" s="123" t="n"/>
      <c r="G900" s="119" t="n"/>
      <c r="H900" s="123" t="n"/>
      <c r="I900" s="123" t="n"/>
      <c r="J900" s="125" t="n"/>
      <c r="K900" s="120" t="n"/>
      <c r="N900" s="117" t="n"/>
      <c r="O900" s="117" t="n"/>
      <c r="P900" s="117" t="n"/>
      <c r="Q900" s="117" t="n"/>
      <c r="R900" s="118" t="n"/>
      <c r="S900" s="119" t="n"/>
      <c r="T900" s="120" t="n"/>
      <c r="U900" s="123" t="n"/>
      <c r="V900" s="123" t="n"/>
      <c r="Y900" s="117" t="n"/>
      <c r="Z900" s="117" t="n"/>
      <c r="AA900" s="118" t="n"/>
      <c r="AB900" s="119" t="n"/>
      <c r="AC900" s="120" t="n"/>
      <c r="AD900" s="120" t="n"/>
      <c r="AE900" s="120" t="n"/>
    </row>
    <row r="901" ht="15" customHeight="1" s="72">
      <c r="A901" s="117" t="n"/>
      <c r="B901" s="117" t="n"/>
      <c r="C901" s="118" t="n"/>
      <c r="D901" s="118" t="n"/>
      <c r="E901" s="118" t="n"/>
      <c r="F901" s="123" t="n"/>
      <c r="G901" s="119" t="n"/>
      <c r="H901" s="123" t="n"/>
      <c r="I901" s="123" t="n"/>
      <c r="J901" s="125" t="n"/>
      <c r="K901" s="120" t="n"/>
      <c r="N901" s="117" t="n"/>
      <c r="O901" s="117" t="n"/>
      <c r="P901" s="117" t="n"/>
      <c r="Q901" s="117" t="n"/>
      <c r="R901" s="118" t="n"/>
      <c r="S901" s="119" t="n"/>
      <c r="T901" s="120" t="n"/>
      <c r="U901" s="123" t="n"/>
      <c r="V901" s="123" t="n"/>
      <c r="Y901" s="117" t="n"/>
      <c r="Z901" s="117" t="n"/>
      <c r="AA901" s="118" t="n"/>
      <c r="AB901" s="119" t="n"/>
      <c r="AC901" s="120" t="n"/>
      <c r="AD901" s="120" t="n"/>
      <c r="AE901" s="120" t="n"/>
    </row>
    <row r="902" ht="15" customHeight="1" s="72">
      <c r="A902" s="117" t="n"/>
      <c r="B902" s="117" t="n"/>
      <c r="C902" s="118" t="n"/>
      <c r="D902" s="118" t="n"/>
      <c r="E902" s="118" t="n"/>
      <c r="F902" s="123" t="n"/>
      <c r="G902" s="119" t="n"/>
      <c r="H902" s="123" t="n"/>
      <c r="I902" s="123" t="n"/>
      <c r="J902" s="125" t="n"/>
      <c r="K902" s="120" t="n"/>
      <c r="N902" s="117" t="n"/>
      <c r="O902" s="117" t="n"/>
      <c r="P902" s="117" t="n"/>
      <c r="Q902" s="117" t="n"/>
      <c r="R902" s="118" t="n"/>
      <c r="S902" s="119" t="n"/>
      <c r="T902" s="120" t="n"/>
      <c r="U902" s="123" t="n"/>
      <c r="V902" s="123" t="n"/>
      <c r="Y902" s="117" t="n"/>
      <c r="Z902" s="117" t="n"/>
      <c r="AA902" s="118" t="n"/>
      <c r="AB902" s="119" t="n"/>
      <c r="AC902" s="120" t="n"/>
      <c r="AD902" s="120" t="n"/>
      <c r="AE902" s="120" t="n"/>
    </row>
    <row r="903" ht="15" customHeight="1" s="72">
      <c r="A903" s="117" t="n"/>
      <c r="B903" s="117" t="n"/>
      <c r="C903" s="118" t="n"/>
      <c r="D903" s="118" t="n"/>
      <c r="E903" s="118" t="n"/>
      <c r="F903" s="123" t="n"/>
      <c r="G903" s="119" t="n"/>
      <c r="H903" s="123" t="n"/>
      <c r="I903" s="123" t="n"/>
      <c r="J903" s="125" t="n"/>
      <c r="K903" s="120" t="n"/>
      <c r="N903" s="117" t="n"/>
      <c r="O903" s="117" t="n"/>
      <c r="P903" s="117" t="n"/>
      <c r="Q903" s="117" t="n"/>
      <c r="R903" s="118" t="n"/>
      <c r="S903" s="119" t="n"/>
      <c r="T903" s="120" t="n"/>
      <c r="U903" s="123" t="n"/>
      <c r="V903" s="123" t="n"/>
      <c r="Y903" s="117" t="n"/>
      <c r="Z903" s="117" t="n"/>
      <c r="AA903" s="118" t="n"/>
      <c r="AB903" s="119" t="n"/>
      <c r="AC903" s="120" t="n"/>
      <c r="AD903" s="120" t="n"/>
      <c r="AE903" s="120" t="n"/>
    </row>
    <row r="904" ht="15" customHeight="1" s="72">
      <c r="A904" s="117" t="n"/>
      <c r="B904" s="117" t="n"/>
      <c r="C904" s="118" t="n"/>
      <c r="D904" s="118" t="n"/>
      <c r="E904" s="118" t="n"/>
      <c r="F904" s="123" t="n"/>
      <c r="G904" s="119" t="n"/>
      <c r="H904" s="123" t="n"/>
      <c r="I904" s="123" t="n"/>
      <c r="J904" s="125" t="n"/>
      <c r="K904" s="120" t="n"/>
      <c r="N904" s="117" t="n"/>
      <c r="O904" s="117" t="n"/>
      <c r="P904" s="117" t="n"/>
      <c r="Q904" s="117" t="n"/>
      <c r="R904" s="118" t="n"/>
      <c r="S904" s="119" t="n"/>
      <c r="T904" s="120" t="n"/>
      <c r="U904" s="123" t="n"/>
      <c r="V904" s="123" t="n"/>
      <c r="Y904" s="117" t="n"/>
      <c r="Z904" s="117" t="n"/>
      <c r="AA904" s="118" t="n"/>
      <c r="AB904" s="119" t="n"/>
      <c r="AC904" s="120" t="n"/>
      <c r="AD904" s="120" t="n"/>
      <c r="AE904" s="120" t="n"/>
    </row>
    <row r="905" ht="15" customHeight="1" s="72">
      <c r="A905" s="117" t="n"/>
      <c r="B905" s="117" t="n"/>
      <c r="C905" s="118" t="n"/>
      <c r="D905" s="118" t="n"/>
      <c r="E905" s="118" t="n"/>
      <c r="F905" s="123" t="n"/>
      <c r="G905" s="119" t="n"/>
      <c r="H905" s="123" t="n"/>
      <c r="I905" s="123" t="n"/>
      <c r="J905" s="125" t="n"/>
      <c r="K905" s="120" t="n"/>
      <c r="N905" s="117" t="n"/>
      <c r="O905" s="117" t="n"/>
      <c r="P905" s="117" t="n"/>
      <c r="Q905" s="117" t="n"/>
      <c r="R905" s="118" t="n"/>
      <c r="S905" s="119" t="n"/>
      <c r="T905" s="120" t="n"/>
      <c r="U905" s="123" t="n"/>
      <c r="V905" s="123" t="n"/>
      <c r="Y905" s="117" t="n"/>
      <c r="Z905" s="117" t="n"/>
      <c r="AA905" s="118" t="n"/>
      <c r="AB905" s="119" t="n"/>
      <c r="AC905" s="120" t="n"/>
      <c r="AD905" s="120" t="n"/>
      <c r="AE905" s="120" t="n"/>
    </row>
    <row r="906" ht="15" customHeight="1" s="72">
      <c r="A906" s="117" t="n"/>
      <c r="B906" s="117" t="n"/>
      <c r="C906" s="118" t="n"/>
      <c r="D906" s="118" t="n"/>
      <c r="E906" s="118" t="n"/>
      <c r="F906" s="123" t="n"/>
      <c r="G906" s="119" t="n"/>
      <c r="H906" s="123" t="n"/>
      <c r="I906" s="123" t="n"/>
      <c r="J906" s="125" t="n"/>
      <c r="K906" s="120" t="n"/>
      <c r="N906" s="117" t="n"/>
      <c r="O906" s="117" t="n"/>
      <c r="P906" s="117" t="n"/>
      <c r="Q906" s="117" t="n"/>
      <c r="R906" s="118" t="n"/>
      <c r="S906" s="119" t="n"/>
      <c r="T906" s="120" t="n"/>
      <c r="U906" s="123" t="n"/>
      <c r="V906" s="123" t="n"/>
      <c r="Y906" s="117" t="n"/>
      <c r="Z906" s="117" t="n"/>
      <c r="AA906" s="118" t="n"/>
      <c r="AB906" s="119" t="n"/>
      <c r="AC906" s="120" t="n"/>
      <c r="AD906" s="120" t="n"/>
      <c r="AE906" s="120" t="n"/>
    </row>
    <row r="907" ht="15" customHeight="1" s="72">
      <c r="A907" s="117" t="n"/>
      <c r="B907" s="117" t="n"/>
      <c r="C907" s="118" t="n"/>
      <c r="D907" s="118" t="n"/>
      <c r="E907" s="118" t="n"/>
      <c r="F907" s="123" t="n"/>
      <c r="G907" s="119" t="n"/>
      <c r="H907" s="123" t="n"/>
      <c r="I907" s="123" t="n"/>
      <c r="J907" s="125" t="n"/>
      <c r="K907" s="120" t="n"/>
      <c r="N907" s="117" t="n"/>
      <c r="O907" s="117" t="n"/>
      <c r="P907" s="117" t="n"/>
      <c r="Q907" s="117" t="n"/>
      <c r="R907" s="118" t="n"/>
      <c r="S907" s="119" t="n"/>
      <c r="T907" s="120" t="n"/>
      <c r="U907" s="123" t="n"/>
      <c r="V907" s="123" t="n"/>
      <c r="Y907" s="117" t="n"/>
      <c r="Z907" s="117" t="n"/>
      <c r="AA907" s="118" t="n"/>
      <c r="AB907" s="119" t="n"/>
      <c r="AC907" s="120" t="n"/>
      <c r="AD907" s="120" t="n"/>
      <c r="AE907" s="120" t="n"/>
    </row>
    <row r="908" ht="15" customHeight="1" s="72">
      <c r="A908" s="117" t="n"/>
      <c r="B908" s="117" t="n"/>
      <c r="C908" s="118" t="n"/>
      <c r="D908" s="118" t="n"/>
      <c r="E908" s="118" t="n"/>
      <c r="F908" s="123" t="n"/>
      <c r="G908" s="119" t="n"/>
      <c r="H908" s="123" t="n"/>
      <c r="I908" s="123" t="n"/>
      <c r="J908" s="125" t="n"/>
      <c r="K908" s="120" t="n"/>
      <c r="N908" s="117" t="n"/>
      <c r="O908" s="117" t="n"/>
      <c r="P908" s="117" t="n"/>
      <c r="Q908" s="117" t="n"/>
      <c r="R908" s="118" t="n"/>
      <c r="S908" s="119" t="n"/>
      <c r="T908" s="120" t="n"/>
      <c r="U908" s="123" t="n"/>
      <c r="V908" s="123" t="n"/>
      <c r="Y908" s="117" t="n"/>
      <c r="Z908" s="117" t="n"/>
      <c r="AA908" s="118" t="n"/>
      <c r="AB908" s="119" t="n"/>
      <c r="AC908" s="120" t="n"/>
      <c r="AD908" s="120" t="n"/>
      <c r="AE908" s="120" t="n"/>
    </row>
    <row r="909" ht="15" customHeight="1" s="72">
      <c r="A909" s="117" t="n"/>
      <c r="B909" s="117" t="n"/>
      <c r="C909" s="118" t="n"/>
      <c r="D909" s="118" t="n"/>
      <c r="E909" s="118" t="n"/>
      <c r="F909" s="123" t="n"/>
      <c r="G909" s="119" t="n"/>
      <c r="H909" s="123" t="n"/>
      <c r="I909" s="123" t="n"/>
      <c r="J909" s="125" t="n"/>
      <c r="K909" s="120" t="n"/>
      <c r="N909" s="117" t="n"/>
      <c r="O909" s="117" t="n"/>
      <c r="P909" s="117" t="n"/>
      <c r="Q909" s="117" t="n"/>
      <c r="R909" s="118" t="n"/>
      <c r="S909" s="119" t="n"/>
      <c r="T909" s="120" t="n"/>
      <c r="U909" s="123" t="n"/>
      <c r="V909" s="123" t="n"/>
      <c r="Y909" s="117" t="n"/>
      <c r="Z909" s="117" t="n"/>
      <c r="AA909" s="118" t="n"/>
      <c r="AB909" s="119" t="n"/>
      <c r="AC909" s="120" t="n"/>
      <c r="AD909" s="120" t="n"/>
      <c r="AE909" s="120" t="n"/>
    </row>
    <row r="910" ht="15" customHeight="1" s="72">
      <c r="A910" s="117" t="n"/>
      <c r="B910" s="117" t="n"/>
      <c r="C910" s="118" t="n"/>
      <c r="D910" s="118" t="n"/>
      <c r="E910" s="118" t="n"/>
      <c r="F910" s="123" t="n"/>
      <c r="G910" s="119" t="n"/>
      <c r="H910" s="123" t="n"/>
      <c r="I910" s="123" t="n"/>
      <c r="J910" s="125" t="n"/>
      <c r="K910" s="120" t="n"/>
      <c r="N910" s="117" t="n"/>
      <c r="O910" s="117" t="n"/>
      <c r="P910" s="117" t="n"/>
      <c r="Q910" s="117" t="n"/>
      <c r="R910" s="118" t="n"/>
      <c r="S910" s="119" t="n"/>
      <c r="T910" s="120" t="n"/>
      <c r="U910" s="123" t="n"/>
      <c r="V910" s="123" t="n"/>
      <c r="Y910" s="117" t="n"/>
      <c r="Z910" s="117" t="n"/>
      <c r="AA910" s="118" t="n"/>
      <c r="AB910" s="119" t="n"/>
      <c r="AC910" s="120" t="n"/>
      <c r="AD910" s="120" t="n"/>
      <c r="AE910" s="120" t="n"/>
    </row>
    <row r="911" ht="15" customHeight="1" s="72">
      <c r="A911" s="117" t="n"/>
      <c r="B911" s="117" t="n"/>
      <c r="C911" s="118" t="n"/>
      <c r="D911" s="118" t="n"/>
      <c r="E911" s="118" t="n"/>
      <c r="F911" s="123" t="n"/>
      <c r="G911" s="119" t="n"/>
      <c r="H911" s="123" t="n"/>
      <c r="I911" s="123" t="n"/>
      <c r="J911" s="125" t="n"/>
      <c r="K911" s="120" t="n"/>
      <c r="N911" s="117" t="n"/>
      <c r="O911" s="117" t="n"/>
      <c r="P911" s="117" t="n"/>
      <c r="Q911" s="117" t="n"/>
      <c r="R911" s="118" t="n"/>
      <c r="S911" s="119" t="n"/>
      <c r="T911" s="120" t="n"/>
      <c r="U911" s="123" t="n"/>
      <c r="V911" s="123" t="n"/>
      <c r="Y911" s="117" t="n"/>
      <c r="Z911" s="117" t="n"/>
      <c r="AA911" s="118" t="n"/>
      <c r="AB911" s="119" t="n"/>
      <c r="AC911" s="120" t="n"/>
      <c r="AD911" s="120" t="n"/>
      <c r="AE911" s="120" t="n"/>
    </row>
    <row r="912" ht="15" customHeight="1" s="72">
      <c r="A912" s="117" t="n"/>
      <c r="B912" s="117" t="n"/>
      <c r="C912" s="118" t="n"/>
      <c r="D912" s="118" t="n"/>
      <c r="E912" s="118" t="n"/>
      <c r="F912" s="123" t="n"/>
      <c r="G912" s="119" t="n"/>
      <c r="H912" s="123" t="n"/>
      <c r="I912" s="123" t="n"/>
      <c r="J912" s="125" t="n"/>
      <c r="K912" s="120" t="n"/>
      <c r="N912" s="117" t="n"/>
      <c r="O912" s="117" t="n"/>
      <c r="P912" s="117" t="n"/>
      <c r="Q912" s="117" t="n"/>
      <c r="R912" s="118" t="n"/>
      <c r="S912" s="119" t="n"/>
      <c r="T912" s="120" t="n"/>
      <c r="U912" s="123" t="n"/>
      <c r="V912" s="123" t="n"/>
      <c r="Y912" s="117" t="n"/>
      <c r="Z912" s="117" t="n"/>
      <c r="AA912" s="118" t="n"/>
      <c r="AB912" s="119" t="n"/>
      <c r="AC912" s="120" t="n"/>
      <c r="AD912" s="120" t="n"/>
      <c r="AE912" s="120" t="n"/>
    </row>
    <row r="913" ht="15" customHeight="1" s="72">
      <c r="A913" s="117" t="n"/>
      <c r="B913" s="117" t="n"/>
      <c r="C913" s="118" t="n"/>
      <c r="D913" s="118" t="n"/>
      <c r="E913" s="118" t="n"/>
      <c r="F913" s="123" t="n"/>
      <c r="G913" s="119" t="n"/>
      <c r="H913" s="123" t="n"/>
      <c r="I913" s="123" t="n"/>
      <c r="J913" s="125" t="n"/>
      <c r="K913" s="120" t="n"/>
      <c r="N913" s="117" t="n"/>
      <c r="O913" s="117" t="n"/>
      <c r="P913" s="117" t="n"/>
      <c r="Q913" s="117" t="n"/>
      <c r="R913" s="118" t="n"/>
      <c r="S913" s="119" t="n"/>
      <c r="T913" s="120" t="n"/>
      <c r="U913" s="123" t="n"/>
      <c r="V913" s="123" t="n"/>
      <c r="Y913" s="117" t="n"/>
      <c r="Z913" s="117" t="n"/>
      <c r="AA913" s="118" t="n"/>
      <c r="AB913" s="119" t="n"/>
      <c r="AC913" s="120" t="n"/>
      <c r="AD913" s="120" t="n"/>
      <c r="AE913" s="120" t="n"/>
    </row>
    <row r="914" ht="15" customHeight="1" s="72">
      <c r="A914" s="117" t="n"/>
      <c r="B914" s="117" t="n"/>
      <c r="C914" s="118" t="n"/>
      <c r="D914" s="118" t="n"/>
      <c r="E914" s="118" t="n"/>
      <c r="F914" s="123" t="n"/>
      <c r="G914" s="119" t="n"/>
      <c r="H914" s="123" t="n"/>
      <c r="I914" s="123" t="n"/>
      <c r="J914" s="125" t="n"/>
      <c r="K914" s="120" t="n"/>
      <c r="N914" s="117" t="n"/>
      <c r="O914" s="117" t="n"/>
      <c r="P914" s="117" t="n"/>
      <c r="Q914" s="117" t="n"/>
      <c r="R914" s="118" t="n"/>
      <c r="S914" s="119" t="n"/>
      <c r="T914" s="120" t="n"/>
      <c r="U914" s="123" t="n"/>
      <c r="V914" s="123" t="n"/>
      <c r="Y914" s="117" t="n"/>
      <c r="Z914" s="117" t="n"/>
      <c r="AA914" s="118" t="n"/>
      <c r="AB914" s="119" t="n"/>
      <c r="AC914" s="120" t="n"/>
      <c r="AD914" s="120" t="n"/>
      <c r="AE914" s="120" t="n"/>
    </row>
    <row r="915" ht="15" customHeight="1" s="72">
      <c r="A915" s="117" t="n"/>
      <c r="B915" s="117" t="n"/>
      <c r="C915" s="118" t="n"/>
      <c r="D915" s="118" t="n"/>
      <c r="E915" s="118" t="n"/>
      <c r="F915" s="123" t="n"/>
      <c r="G915" s="119" t="n"/>
      <c r="H915" s="123" t="n"/>
      <c r="I915" s="123" t="n"/>
      <c r="J915" s="125" t="n"/>
      <c r="K915" s="120" t="n"/>
      <c r="N915" s="117" t="n"/>
      <c r="O915" s="117" t="n"/>
      <c r="P915" s="117" t="n"/>
      <c r="Q915" s="117" t="n"/>
      <c r="R915" s="118" t="n"/>
      <c r="S915" s="119" t="n"/>
      <c r="T915" s="120" t="n"/>
      <c r="U915" s="123" t="n"/>
      <c r="V915" s="123" t="n"/>
      <c r="Y915" s="117" t="n"/>
      <c r="Z915" s="117" t="n"/>
      <c r="AA915" s="118" t="n"/>
      <c r="AB915" s="119" t="n"/>
      <c r="AC915" s="120" t="n"/>
      <c r="AD915" s="120" t="n"/>
      <c r="AE915" s="120" t="n"/>
    </row>
    <row r="916" ht="15" customHeight="1" s="72">
      <c r="A916" s="117" t="n"/>
      <c r="B916" s="117" t="n"/>
      <c r="C916" s="118" t="n"/>
      <c r="D916" s="118" t="n"/>
      <c r="E916" s="118" t="n"/>
      <c r="F916" s="123" t="n"/>
      <c r="G916" s="119" t="n"/>
      <c r="H916" s="123" t="n"/>
      <c r="I916" s="123" t="n"/>
      <c r="J916" s="125" t="n"/>
      <c r="K916" s="120" t="n"/>
      <c r="N916" s="117" t="n"/>
      <c r="O916" s="117" t="n"/>
      <c r="P916" s="117" t="n"/>
      <c r="Q916" s="117" t="n"/>
      <c r="R916" s="118" t="n"/>
      <c r="S916" s="119" t="n"/>
      <c r="T916" s="120" t="n"/>
      <c r="U916" s="123" t="n"/>
      <c r="V916" s="123" t="n"/>
      <c r="Y916" s="117" t="n"/>
      <c r="Z916" s="117" t="n"/>
      <c r="AA916" s="118" t="n"/>
      <c r="AB916" s="119" t="n"/>
      <c r="AC916" s="120" t="n"/>
      <c r="AD916" s="120" t="n"/>
      <c r="AE916" s="120" t="n"/>
    </row>
    <row r="917" ht="15" customHeight="1" s="72">
      <c r="A917" s="117" t="n"/>
      <c r="B917" s="117" t="n"/>
      <c r="C917" s="118" t="n"/>
      <c r="D917" s="118" t="n"/>
      <c r="E917" s="118" t="n"/>
      <c r="F917" s="123" t="n"/>
      <c r="G917" s="119" t="n"/>
      <c r="H917" s="123" t="n"/>
      <c r="I917" s="123" t="n"/>
      <c r="J917" s="125" t="n"/>
      <c r="K917" s="120" t="n"/>
      <c r="N917" s="117" t="n"/>
      <c r="O917" s="117" t="n"/>
      <c r="P917" s="117" t="n"/>
      <c r="Q917" s="117" t="n"/>
      <c r="R917" s="118" t="n"/>
      <c r="S917" s="119" t="n"/>
      <c r="T917" s="120" t="n"/>
      <c r="U917" s="123" t="n"/>
      <c r="V917" s="123" t="n"/>
      <c r="Y917" s="117" t="n"/>
      <c r="Z917" s="117" t="n"/>
      <c r="AA917" s="118" t="n"/>
      <c r="AB917" s="119" t="n"/>
      <c r="AC917" s="120" t="n"/>
      <c r="AD917" s="120" t="n"/>
      <c r="AE917" s="120" t="n"/>
    </row>
    <row r="918" ht="15" customHeight="1" s="72">
      <c r="A918" s="117" t="n"/>
      <c r="B918" s="117" t="n"/>
      <c r="C918" s="118" t="n"/>
      <c r="D918" s="118" t="n"/>
      <c r="E918" s="118" t="n"/>
      <c r="F918" s="123" t="n"/>
      <c r="G918" s="119" t="n"/>
      <c r="H918" s="123" t="n"/>
      <c r="I918" s="123" t="n"/>
      <c r="J918" s="125" t="n"/>
      <c r="K918" s="120" t="n"/>
      <c r="N918" s="117" t="n"/>
      <c r="O918" s="117" t="n"/>
      <c r="P918" s="117" t="n"/>
      <c r="Q918" s="117" t="n"/>
      <c r="R918" s="118" t="n"/>
      <c r="S918" s="119" t="n"/>
      <c r="T918" s="120" t="n"/>
      <c r="U918" s="123" t="n"/>
      <c r="V918" s="123" t="n"/>
      <c r="Y918" s="117" t="n"/>
      <c r="Z918" s="117" t="n"/>
      <c r="AA918" s="118" t="n"/>
      <c r="AB918" s="119" t="n"/>
      <c r="AC918" s="120" t="n"/>
      <c r="AD918" s="120" t="n"/>
      <c r="AE918" s="120" t="n"/>
    </row>
    <row r="919" ht="15" customHeight="1" s="72">
      <c r="A919" s="117" t="n"/>
      <c r="B919" s="117" t="n"/>
      <c r="C919" s="118" t="n"/>
      <c r="D919" s="118" t="n"/>
      <c r="E919" s="118" t="n"/>
      <c r="F919" s="123" t="n"/>
      <c r="G919" s="119" t="n"/>
      <c r="H919" s="123" t="n"/>
      <c r="I919" s="123" t="n"/>
      <c r="J919" s="125" t="n"/>
      <c r="K919" s="120" t="n"/>
      <c r="N919" s="117" t="n"/>
      <c r="O919" s="117" t="n"/>
      <c r="P919" s="117" t="n"/>
      <c r="Q919" s="117" t="n"/>
      <c r="R919" s="118" t="n"/>
      <c r="S919" s="119" t="n"/>
      <c r="T919" s="120" t="n"/>
      <c r="U919" s="123" t="n"/>
      <c r="V919" s="123" t="n"/>
      <c r="Y919" s="117" t="n"/>
      <c r="Z919" s="117" t="n"/>
      <c r="AA919" s="118" t="n"/>
      <c r="AB919" s="119" t="n"/>
      <c r="AC919" s="120" t="n"/>
      <c r="AD919" s="120" t="n"/>
      <c r="AE919" s="120" t="n"/>
    </row>
    <row r="920" ht="15" customHeight="1" s="72">
      <c r="A920" s="117" t="n"/>
      <c r="B920" s="117" t="n"/>
      <c r="C920" s="118" t="n"/>
      <c r="D920" s="118" t="n"/>
      <c r="E920" s="118" t="n"/>
      <c r="F920" s="123" t="n"/>
      <c r="G920" s="119" t="n"/>
      <c r="H920" s="123" t="n"/>
      <c r="I920" s="123" t="n"/>
      <c r="J920" s="125" t="n"/>
      <c r="K920" s="120" t="n"/>
      <c r="N920" s="117" t="n"/>
      <c r="O920" s="117" t="n"/>
      <c r="P920" s="117" t="n"/>
      <c r="Q920" s="117" t="n"/>
      <c r="R920" s="118" t="n"/>
      <c r="S920" s="119" t="n"/>
      <c r="T920" s="120" t="n"/>
      <c r="U920" s="123" t="n"/>
      <c r="V920" s="123" t="n"/>
      <c r="Y920" s="117" t="n"/>
      <c r="Z920" s="117" t="n"/>
      <c r="AA920" s="118" t="n"/>
      <c r="AB920" s="119" t="n"/>
      <c r="AC920" s="120" t="n"/>
      <c r="AD920" s="120" t="n"/>
      <c r="AE920" s="120" t="n"/>
    </row>
    <row r="921" ht="15" customHeight="1" s="72">
      <c r="A921" s="117" t="n"/>
      <c r="B921" s="117" t="n"/>
      <c r="C921" s="118" t="n"/>
      <c r="D921" s="118" t="n"/>
      <c r="E921" s="118" t="n"/>
      <c r="F921" s="123" t="n"/>
      <c r="G921" s="119" t="n"/>
      <c r="H921" s="123" t="n"/>
      <c r="I921" s="123" t="n"/>
      <c r="J921" s="125" t="n"/>
      <c r="K921" s="120" t="n"/>
      <c r="N921" s="117" t="n"/>
      <c r="O921" s="117" t="n"/>
      <c r="P921" s="117" t="n"/>
      <c r="Q921" s="117" t="n"/>
      <c r="R921" s="118" t="n"/>
      <c r="S921" s="119" t="n"/>
      <c r="T921" s="120" t="n"/>
      <c r="U921" s="123" t="n"/>
      <c r="V921" s="123" t="n"/>
      <c r="Y921" s="117" t="n"/>
      <c r="Z921" s="117" t="n"/>
      <c r="AA921" s="118" t="n"/>
      <c r="AB921" s="119" t="n"/>
      <c r="AC921" s="120" t="n"/>
      <c r="AD921" s="120" t="n"/>
      <c r="AE921" s="120" t="n"/>
    </row>
    <row r="922" ht="15" customHeight="1" s="72">
      <c r="A922" s="117" t="n"/>
      <c r="B922" s="117" t="n"/>
      <c r="C922" s="118" t="n"/>
      <c r="D922" s="118" t="n"/>
      <c r="E922" s="118" t="n"/>
      <c r="F922" s="123" t="n"/>
      <c r="G922" s="119" t="n"/>
      <c r="H922" s="123" t="n"/>
      <c r="I922" s="123" t="n"/>
      <c r="J922" s="125" t="n"/>
      <c r="K922" s="120" t="n"/>
      <c r="N922" s="117" t="n"/>
      <c r="O922" s="117" t="n"/>
      <c r="P922" s="117" t="n"/>
      <c r="Q922" s="117" t="n"/>
      <c r="R922" s="118" t="n"/>
      <c r="S922" s="119" t="n"/>
      <c r="T922" s="120" t="n"/>
      <c r="U922" s="123" t="n"/>
      <c r="V922" s="123" t="n"/>
      <c r="Y922" s="117" t="n"/>
      <c r="Z922" s="117" t="n"/>
      <c r="AA922" s="118" t="n"/>
      <c r="AB922" s="119" t="n"/>
      <c r="AC922" s="120" t="n"/>
      <c r="AD922" s="120" t="n"/>
      <c r="AE922" s="120" t="n"/>
    </row>
    <row r="923" ht="15" customHeight="1" s="72">
      <c r="A923" s="117" t="n"/>
      <c r="B923" s="117" t="n"/>
      <c r="C923" s="118" t="n"/>
      <c r="D923" s="118" t="n"/>
      <c r="E923" s="118" t="n"/>
      <c r="F923" s="123" t="n"/>
      <c r="G923" s="119" t="n"/>
      <c r="H923" s="123" t="n"/>
      <c r="I923" s="123" t="n"/>
      <c r="J923" s="125" t="n"/>
      <c r="K923" s="120" t="n"/>
      <c r="N923" s="117" t="n"/>
      <c r="O923" s="117" t="n"/>
      <c r="P923" s="117" t="n"/>
      <c r="Q923" s="117" t="n"/>
      <c r="R923" s="118" t="n"/>
      <c r="S923" s="119" t="n"/>
      <c r="T923" s="120" t="n"/>
      <c r="U923" s="123" t="n"/>
      <c r="V923" s="123" t="n"/>
      <c r="Y923" s="117" t="n"/>
      <c r="Z923" s="117" t="n"/>
      <c r="AA923" s="118" t="n"/>
      <c r="AB923" s="119" t="n"/>
      <c r="AC923" s="120" t="n"/>
      <c r="AD923" s="120" t="n"/>
      <c r="AE923" s="120" t="n"/>
    </row>
    <row r="924" ht="15" customHeight="1" s="72">
      <c r="A924" s="117" t="n"/>
      <c r="B924" s="117" t="n"/>
      <c r="C924" s="118" t="n"/>
      <c r="D924" s="118" t="n"/>
      <c r="E924" s="118" t="n"/>
      <c r="F924" s="123" t="n"/>
      <c r="G924" s="119" t="n"/>
      <c r="H924" s="123" t="n"/>
      <c r="I924" s="123" t="n"/>
      <c r="J924" s="125" t="n"/>
      <c r="K924" s="120" t="n"/>
      <c r="N924" s="117" t="n"/>
      <c r="O924" s="117" t="n"/>
      <c r="P924" s="117" t="n"/>
      <c r="Q924" s="117" t="n"/>
      <c r="R924" s="118" t="n"/>
      <c r="S924" s="119" t="n"/>
      <c r="T924" s="120" t="n"/>
      <c r="U924" s="123" t="n"/>
      <c r="V924" s="123" t="n"/>
      <c r="Y924" s="117" t="n"/>
      <c r="Z924" s="117" t="n"/>
      <c r="AA924" s="118" t="n"/>
      <c r="AB924" s="119" t="n"/>
      <c r="AC924" s="120" t="n"/>
      <c r="AD924" s="120" t="n"/>
      <c r="AE924" s="120" t="n"/>
    </row>
    <row r="925" ht="15" customHeight="1" s="72">
      <c r="A925" s="117" t="n"/>
      <c r="B925" s="117" t="n"/>
      <c r="C925" s="118" t="n"/>
      <c r="D925" s="118" t="n"/>
      <c r="E925" s="118" t="n"/>
      <c r="F925" s="123" t="n"/>
      <c r="G925" s="119" t="n"/>
      <c r="H925" s="123" t="n"/>
      <c r="I925" s="123" t="n"/>
      <c r="J925" s="125" t="n"/>
      <c r="K925" s="120" t="n"/>
      <c r="N925" s="117" t="n"/>
      <c r="O925" s="117" t="n"/>
      <c r="P925" s="117" t="n"/>
      <c r="Q925" s="117" t="n"/>
      <c r="R925" s="118" t="n"/>
      <c r="S925" s="119" t="n"/>
      <c r="T925" s="120" t="n"/>
      <c r="U925" s="123" t="n"/>
      <c r="V925" s="123" t="n"/>
      <c r="Y925" s="117" t="n"/>
      <c r="Z925" s="117" t="n"/>
      <c r="AA925" s="118" t="n"/>
      <c r="AB925" s="119" t="n"/>
      <c r="AC925" s="120" t="n"/>
      <c r="AD925" s="120" t="n"/>
      <c r="AE925" s="120" t="n"/>
    </row>
    <row r="926" ht="15" customHeight="1" s="72">
      <c r="A926" s="117" t="n"/>
      <c r="B926" s="117" t="n"/>
      <c r="C926" s="118" t="n"/>
      <c r="D926" s="118" t="n"/>
      <c r="E926" s="118" t="n"/>
      <c r="F926" s="123" t="n"/>
      <c r="G926" s="119" t="n"/>
      <c r="H926" s="123" t="n"/>
      <c r="I926" s="123" t="n"/>
      <c r="J926" s="125" t="n"/>
      <c r="K926" s="120" t="n"/>
      <c r="N926" s="117" t="n"/>
      <c r="O926" s="117" t="n"/>
      <c r="P926" s="117" t="n"/>
      <c r="Q926" s="117" t="n"/>
      <c r="R926" s="118" t="n"/>
      <c r="S926" s="119" t="n"/>
      <c r="T926" s="120" t="n"/>
      <c r="U926" s="123" t="n"/>
      <c r="V926" s="123" t="n"/>
      <c r="Y926" s="117" t="n"/>
      <c r="Z926" s="117" t="n"/>
      <c r="AA926" s="118" t="n"/>
      <c r="AB926" s="119" t="n"/>
      <c r="AC926" s="120" t="n"/>
      <c r="AD926" s="120" t="n"/>
      <c r="AE926" s="120" t="n"/>
    </row>
    <row r="927" ht="15" customHeight="1" s="72">
      <c r="A927" s="117" t="n"/>
      <c r="B927" s="117" t="n"/>
      <c r="C927" s="118" t="n"/>
      <c r="D927" s="118" t="n"/>
      <c r="E927" s="118" t="n"/>
      <c r="F927" s="123" t="n"/>
      <c r="G927" s="119" t="n"/>
      <c r="H927" s="123" t="n"/>
      <c r="I927" s="123" t="n"/>
      <c r="J927" s="125" t="n"/>
      <c r="K927" s="120" t="n"/>
      <c r="N927" s="117" t="n"/>
      <c r="O927" s="117" t="n"/>
      <c r="P927" s="117" t="n"/>
      <c r="Q927" s="117" t="n"/>
      <c r="R927" s="118" t="n"/>
      <c r="S927" s="119" t="n"/>
      <c r="T927" s="120" t="n"/>
      <c r="U927" s="123" t="n"/>
      <c r="V927" s="123" t="n"/>
      <c r="Y927" s="117" t="n"/>
      <c r="Z927" s="117" t="n"/>
      <c r="AA927" s="118" t="n"/>
      <c r="AB927" s="119" t="n"/>
      <c r="AC927" s="120" t="n"/>
      <c r="AD927" s="120" t="n"/>
      <c r="AE927" s="120" t="n"/>
    </row>
    <row r="928" ht="15" customHeight="1" s="72">
      <c r="A928" s="117" t="n"/>
      <c r="B928" s="117" t="n"/>
      <c r="C928" s="118" t="n"/>
      <c r="D928" s="118" t="n"/>
      <c r="E928" s="118" t="n"/>
      <c r="F928" s="123" t="n"/>
      <c r="G928" s="119" t="n"/>
      <c r="H928" s="123" t="n"/>
      <c r="I928" s="123" t="n"/>
      <c r="J928" s="125" t="n"/>
      <c r="K928" s="120" t="n"/>
      <c r="N928" s="117" t="n"/>
      <c r="O928" s="117" t="n"/>
      <c r="P928" s="117" t="n"/>
      <c r="Q928" s="117" t="n"/>
      <c r="R928" s="118" t="n"/>
      <c r="S928" s="119" t="n"/>
      <c r="T928" s="120" t="n"/>
      <c r="U928" s="123" t="n"/>
      <c r="V928" s="123" t="n"/>
      <c r="Y928" s="117" t="n"/>
      <c r="Z928" s="117" t="n"/>
      <c r="AA928" s="118" t="n"/>
      <c r="AB928" s="119" t="n"/>
      <c r="AC928" s="120" t="n"/>
      <c r="AD928" s="120" t="n"/>
      <c r="AE928" s="120" t="n"/>
    </row>
    <row r="929" ht="15" customHeight="1" s="72">
      <c r="A929" s="117" t="n"/>
      <c r="B929" s="117" t="n"/>
      <c r="C929" s="118" t="n"/>
      <c r="D929" s="118" t="n"/>
      <c r="E929" s="118" t="n"/>
      <c r="F929" s="123" t="n"/>
      <c r="G929" s="119" t="n"/>
      <c r="H929" s="123" t="n"/>
      <c r="I929" s="123" t="n"/>
      <c r="J929" s="125" t="n"/>
      <c r="K929" s="120" t="n"/>
      <c r="N929" s="117" t="n"/>
      <c r="O929" s="117" t="n"/>
      <c r="P929" s="117" t="n"/>
      <c r="Q929" s="117" t="n"/>
      <c r="R929" s="118" t="n"/>
      <c r="S929" s="119" t="n"/>
      <c r="T929" s="120" t="n"/>
      <c r="U929" s="123" t="n"/>
      <c r="V929" s="123" t="n"/>
      <c r="Y929" s="117" t="n"/>
      <c r="Z929" s="117" t="n"/>
      <c r="AA929" s="118" t="n"/>
      <c r="AB929" s="119" t="n"/>
      <c r="AC929" s="120" t="n"/>
      <c r="AD929" s="120" t="n"/>
      <c r="AE929" s="120" t="n"/>
    </row>
    <row r="930" ht="15" customHeight="1" s="72">
      <c r="A930" s="117" t="n"/>
      <c r="B930" s="117" t="n"/>
      <c r="C930" s="118" t="n"/>
      <c r="D930" s="118" t="n"/>
      <c r="E930" s="118" t="n"/>
      <c r="F930" s="123" t="n"/>
      <c r="G930" s="119" t="n"/>
      <c r="H930" s="123" t="n"/>
      <c r="I930" s="123" t="n"/>
      <c r="J930" s="125" t="n"/>
      <c r="K930" s="120" t="n"/>
      <c r="N930" s="117" t="n"/>
      <c r="O930" s="117" t="n"/>
      <c r="P930" s="117" t="n"/>
      <c r="Q930" s="117" t="n"/>
      <c r="R930" s="118" t="n"/>
      <c r="S930" s="119" t="n"/>
      <c r="T930" s="120" t="n"/>
      <c r="U930" s="123" t="n"/>
      <c r="V930" s="123" t="n"/>
      <c r="Y930" s="117" t="n"/>
      <c r="Z930" s="117" t="n"/>
      <c r="AA930" s="118" t="n"/>
      <c r="AB930" s="119" t="n"/>
      <c r="AC930" s="120" t="n"/>
      <c r="AD930" s="120" t="n"/>
      <c r="AE930" s="120" t="n"/>
    </row>
    <row r="931" ht="15" customHeight="1" s="72">
      <c r="A931" s="117" t="n"/>
      <c r="B931" s="117" t="n"/>
      <c r="C931" s="118" t="n"/>
      <c r="D931" s="118" t="n"/>
      <c r="E931" s="118" t="n"/>
      <c r="F931" s="123" t="n"/>
      <c r="G931" s="119" t="n"/>
      <c r="H931" s="123" t="n"/>
      <c r="I931" s="123" t="n"/>
      <c r="J931" s="125" t="n"/>
      <c r="K931" s="120" t="n"/>
      <c r="N931" s="117" t="n"/>
      <c r="O931" s="117" t="n"/>
      <c r="P931" s="117" t="n"/>
      <c r="Q931" s="117" t="n"/>
      <c r="R931" s="118" t="n"/>
      <c r="S931" s="119" t="n"/>
      <c r="T931" s="120" t="n"/>
      <c r="U931" s="123" t="n"/>
      <c r="V931" s="123" t="n"/>
      <c r="Y931" s="117" t="n"/>
      <c r="Z931" s="117" t="n"/>
      <c r="AA931" s="118" t="n"/>
      <c r="AB931" s="119" t="n"/>
      <c r="AC931" s="120" t="n"/>
      <c r="AD931" s="120" t="n"/>
      <c r="AE931" s="120" t="n"/>
    </row>
    <row r="932" ht="15" customHeight="1" s="72">
      <c r="A932" s="117" t="n"/>
      <c r="B932" s="117" t="n"/>
      <c r="C932" s="118" t="n"/>
      <c r="D932" s="118" t="n"/>
      <c r="E932" s="118" t="n"/>
      <c r="F932" s="123" t="n"/>
      <c r="G932" s="119" t="n"/>
      <c r="H932" s="123" t="n"/>
      <c r="I932" s="123" t="n"/>
      <c r="J932" s="125" t="n"/>
      <c r="K932" s="120" t="n"/>
      <c r="N932" s="117" t="n"/>
      <c r="O932" s="117" t="n"/>
      <c r="P932" s="117" t="n"/>
      <c r="Q932" s="117" t="n"/>
      <c r="R932" s="118" t="n"/>
      <c r="S932" s="119" t="n"/>
      <c r="T932" s="120" t="n"/>
      <c r="U932" s="123" t="n"/>
      <c r="V932" s="123" t="n"/>
      <c r="Y932" s="117" t="n"/>
      <c r="Z932" s="117" t="n"/>
      <c r="AA932" s="118" t="n"/>
      <c r="AB932" s="119" t="n"/>
      <c r="AC932" s="120" t="n"/>
      <c r="AD932" s="120" t="n"/>
      <c r="AE932" s="120" t="n"/>
    </row>
    <row r="933" ht="15" customHeight="1" s="72">
      <c r="A933" s="117" t="n"/>
      <c r="B933" s="117" t="n"/>
      <c r="C933" s="118" t="n"/>
      <c r="D933" s="118" t="n"/>
      <c r="E933" s="118" t="n"/>
      <c r="F933" s="123" t="n"/>
      <c r="G933" s="119" t="n"/>
      <c r="H933" s="123" t="n"/>
      <c r="I933" s="123" t="n"/>
      <c r="J933" s="125" t="n"/>
      <c r="K933" s="120" t="n"/>
      <c r="N933" s="117" t="n"/>
      <c r="O933" s="117" t="n"/>
      <c r="P933" s="117" t="n"/>
      <c r="Q933" s="117" t="n"/>
      <c r="R933" s="118" t="n"/>
      <c r="S933" s="119" t="n"/>
      <c r="T933" s="120" t="n"/>
      <c r="U933" s="123" t="n"/>
      <c r="V933" s="123" t="n"/>
      <c r="Y933" s="117" t="n"/>
      <c r="Z933" s="117" t="n"/>
      <c r="AA933" s="118" t="n"/>
      <c r="AB933" s="119" t="n"/>
      <c r="AC933" s="120" t="n"/>
      <c r="AD933" s="120" t="n"/>
      <c r="AE933" s="120" t="n"/>
    </row>
    <row r="934" ht="15" customHeight="1" s="72">
      <c r="A934" s="117" t="n"/>
      <c r="B934" s="117" t="n"/>
      <c r="C934" s="118" t="n"/>
      <c r="D934" s="118" t="n"/>
      <c r="E934" s="118" t="n"/>
      <c r="F934" s="123" t="n"/>
      <c r="G934" s="119" t="n"/>
      <c r="H934" s="123" t="n"/>
      <c r="I934" s="123" t="n"/>
      <c r="J934" s="125" t="n"/>
      <c r="K934" s="120" t="n"/>
      <c r="N934" s="117" t="n"/>
      <c r="O934" s="117" t="n"/>
      <c r="P934" s="117" t="n"/>
      <c r="Q934" s="117" t="n"/>
      <c r="R934" s="118" t="n"/>
      <c r="S934" s="119" t="n"/>
      <c r="T934" s="120" t="n"/>
      <c r="U934" s="123" t="n"/>
      <c r="V934" s="123" t="n"/>
      <c r="Y934" s="117" t="n"/>
      <c r="Z934" s="117" t="n"/>
      <c r="AA934" s="118" t="n"/>
      <c r="AB934" s="119" t="n"/>
      <c r="AC934" s="120" t="n"/>
      <c r="AD934" s="120" t="n"/>
      <c r="AE934" s="120" t="n"/>
    </row>
    <row r="935" ht="15" customHeight="1" s="72">
      <c r="A935" s="117" t="n"/>
      <c r="B935" s="117" t="n"/>
      <c r="C935" s="118" t="n"/>
      <c r="D935" s="118" t="n"/>
      <c r="E935" s="118" t="n"/>
      <c r="F935" s="123" t="n"/>
      <c r="G935" s="119" t="n"/>
      <c r="H935" s="123" t="n"/>
      <c r="I935" s="123" t="n"/>
      <c r="J935" s="125" t="n"/>
      <c r="K935" s="120" t="n"/>
      <c r="N935" s="117" t="n"/>
      <c r="O935" s="117" t="n"/>
      <c r="P935" s="117" t="n"/>
      <c r="Q935" s="117" t="n"/>
      <c r="R935" s="118" t="n"/>
      <c r="S935" s="119" t="n"/>
      <c r="T935" s="120" t="n"/>
      <c r="U935" s="123" t="n"/>
      <c r="V935" s="123" t="n"/>
      <c r="Y935" s="117" t="n"/>
      <c r="Z935" s="117" t="n"/>
      <c r="AA935" s="118" t="n"/>
      <c r="AB935" s="119" t="n"/>
      <c r="AC935" s="120" t="n"/>
      <c r="AD935" s="120" t="n"/>
      <c r="AE935" s="120" t="n"/>
    </row>
    <row r="936" ht="15" customHeight="1" s="72">
      <c r="A936" s="117" t="n"/>
      <c r="B936" s="117" t="n"/>
      <c r="C936" s="118" t="n"/>
      <c r="D936" s="118" t="n"/>
      <c r="E936" s="118" t="n"/>
      <c r="F936" s="123" t="n"/>
      <c r="G936" s="119" t="n"/>
      <c r="H936" s="123" t="n"/>
      <c r="I936" s="123" t="n"/>
      <c r="J936" s="125" t="n"/>
      <c r="K936" s="120" t="n"/>
      <c r="N936" s="117" t="n"/>
      <c r="O936" s="117" t="n"/>
      <c r="P936" s="117" t="n"/>
      <c r="Q936" s="117" t="n"/>
      <c r="R936" s="118" t="n"/>
      <c r="S936" s="119" t="n"/>
      <c r="T936" s="120" t="n"/>
      <c r="U936" s="123" t="n"/>
      <c r="V936" s="123" t="n"/>
      <c r="Y936" s="117" t="n"/>
      <c r="Z936" s="117" t="n"/>
      <c r="AA936" s="118" t="n"/>
      <c r="AB936" s="119" t="n"/>
      <c r="AC936" s="120" t="n"/>
      <c r="AD936" s="120" t="n"/>
      <c r="AE936" s="120" t="n"/>
    </row>
    <row r="937" ht="15" customHeight="1" s="72">
      <c r="A937" s="117" t="n"/>
      <c r="B937" s="117" t="n"/>
      <c r="C937" s="118" t="n"/>
      <c r="D937" s="118" t="n"/>
      <c r="E937" s="118" t="n"/>
      <c r="F937" s="123" t="n"/>
      <c r="G937" s="119" t="n"/>
      <c r="H937" s="123" t="n"/>
      <c r="I937" s="123" t="n"/>
      <c r="J937" s="125" t="n"/>
      <c r="K937" s="120" t="n"/>
      <c r="N937" s="117" t="n"/>
      <c r="O937" s="117" t="n"/>
      <c r="P937" s="117" t="n"/>
      <c r="Q937" s="117" t="n"/>
      <c r="R937" s="118" t="n"/>
      <c r="S937" s="119" t="n"/>
      <c r="T937" s="120" t="n"/>
      <c r="U937" s="123" t="n"/>
      <c r="V937" s="123" t="n"/>
      <c r="Y937" s="117" t="n"/>
      <c r="Z937" s="117" t="n"/>
      <c r="AA937" s="118" t="n"/>
      <c r="AB937" s="119" t="n"/>
      <c r="AC937" s="120" t="n"/>
      <c r="AD937" s="120" t="n"/>
      <c r="AE937" s="120" t="n"/>
    </row>
    <row r="938" ht="15" customHeight="1" s="72">
      <c r="A938" s="117" t="n"/>
      <c r="B938" s="117" t="n"/>
      <c r="C938" s="118" t="n"/>
      <c r="D938" s="118" t="n"/>
      <c r="E938" s="118" t="n"/>
      <c r="F938" s="123" t="n"/>
      <c r="G938" s="119" t="n"/>
      <c r="H938" s="123" t="n"/>
      <c r="I938" s="123" t="n"/>
      <c r="J938" s="125" t="n"/>
      <c r="K938" s="120" t="n"/>
      <c r="N938" s="117" t="n"/>
      <c r="O938" s="117" t="n"/>
      <c r="P938" s="117" t="n"/>
      <c r="Q938" s="117" t="n"/>
      <c r="R938" s="118" t="n"/>
      <c r="S938" s="119" t="n"/>
      <c r="T938" s="120" t="n"/>
      <c r="U938" s="123" t="n"/>
      <c r="V938" s="123" t="n"/>
      <c r="Y938" s="117" t="n"/>
      <c r="Z938" s="117" t="n"/>
      <c r="AA938" s="118" t="n"/>
      <c r="AB938" s="119" t="n"/>
      <c r="AC938" s="120" t="n"/>
      <c r="AD938" s="120" t="n"/>
      <c r="AE938" s="120" t="n"/>
    </row>
    <row r="939" ht="15" customHeight="1" s="72">
      <c r="A939" s="117" t="n"/>
      <c r="B939" s="117" t="n"/>
      <c r="C939" s="118" t="n"/>
      <c r="D939" s="118" t="n"/>
      <c r="E939" s="118" t="n"/>
      <c r="F939" s="123" t="n"/>
      <c r="G939" s="119" t="n"/>
      <c r="H939" s="123" t="n"/>
      <c r="I939" s="123" t="n"/>
      <c r="J939" s="125" t="n"/>
      <c r="K939" s="120" t="n"/>
      <c r="N939" s="117" t="n"/>
      <c r="O939" s="117" t="n"/>
      <c r="P939" s="117" t="n"/>
      <c r="Q939" s="117" t="n"/>
      <c r="R939" s="118" t="n"/>
      <c r="S939" s="119" t="n"/>
      <c r="T939" s="120" t="n"/>
      <c r="U939" s="123" t="n"/>
      <c r="V939" s="123" t="n"/>
      <c r="Y939" s="117" t="n"/>
      <c r="Z939" s="117" t="n"/>
      <c r="AA939" s="118" t="n"/>
      <c r="AB939" s="119" t="n"/>
      <c r="AC939" s="120" t="n"/>
      <c r="AD939" s="120" t="n"/>
      <c r="AE939" s="120" t="n"/>
    </row>
    <row r="940" ht="15" customHeight="1" s="72">
      <c r="A940" s="117" t="n"/>
      <c r="B940" s="117" t="n"/>
      <c r="C940" s="118" t="n"/>
      <c r="D940" s="118" t="n"/>
      <c r="E940" s="118" t="n"/>
      <c r="F940" s="123" t="n"/>
      <c r="G940" s="119" t="n"/>
      <c r="H940" s="123" t="n"/>
      <c r="I940" s="123" t="n"/>
      <c r="J940" s="125" t="n"/>
      <c r="K940" s="120" t="n"/>
      <c r="N940" s="117" t="n"/>
      <c r="O940" s="117" t="n"/>
      <c r="P940" s="117" t="n"/>
      <c r="Q940" s="117" t="n"/>
      <c r="R940" s="118" t="n"/>
      <c r="S940" s="119" t="n"/>
      <c r="T940" s="120" t="n"/>
      <c r="U940" s="123" t="n"/>
      <c r="V940" s="123" t="n"/>
      <c r="Y940" s="117" t="n"/>
      <c r="Z940" s="117" t="n"/>
      <c r="AA940" s="118" t="n"/>
      <c r="AB940" s="119" t="n"/>
      <c r="AC940" s="120" t="n"/>
      <c r="AD940" s="120" t="n"/>
      <c r="AE940" s="120" t="n"/>
    </row>
    <row r="941" ht="15" customHeight="1" s="72">
      <c r="A941" s="117" t="n"/>
      <c r="B941" s="117" t="n"/>
      <c r="C941" s="118" t="n"/>
      <c r="D941" s="118" t="n"/>
      <c r="E941" s="118" t="n"/>
      <c r="F941" s="123" t="n"/>
      <c r="G941" s="119" t="n"/>
      <c r="H941" s="123" t="n"/>
      <c r="I941" s="123" t="n"/>
      <c r="J941" s="125" t="n"/>
      <c r="K941" s="120" t="n"/>
      <c r="N941" s="117" t="n"/>
      <c r="O941" s="117" t="n"/>
      <c r="P941" s="117" t="n"/>
      <c r="Q941" s="117" t="n"/>
      <c r="R941" s="118" t="n"/>
      <c r="S941" s="119" t="n"/>
      <c r="T941" s="120" t="n"/>
      <c r="U941" s="123" t="n"/>
      <c r="V941" s="123" t="n"/>
      <c r="Y941" s="117" t="n"/>
      <c r="Z941" s="117" t="n"/>
      <c r="AA941" s="118" t="n"/>
      <c r="AB941" s="119" t="n"/>
      <c r="AC941" s="120" t="n"/>
      <c r="AD941" s="120" t="n"/>
      <c r="AE941" s="120" t="n"/>
    </row>
    <row r="942" ht="15" customHeight="1" s="72">
      <c r="A942" s="117" t="n"/>
      <c r="B942" s="117" t="n"/>
      <c r="C942" s="118" t="n"/>
      <c r="D942" s="118" t="n"/>
      <c r="E942" s="118" t="n"/>
      <c r="F942" s="123" t="n"/>
      <c r="G942" s="119" t="n"/>
      <c r="H942" s="123" t="n"/>
      <c r="I942" s="123" t="n"/>
      <c r="J942" s="125" t="n"/>
      <c r="K942" s="120" t="n"/>
      <c r="N942" s="117" t="n"/>
      <c r="O942" s="117" t="n"/>
      <c r="P942" s="117" t="n"/>
      <c r="Q942" s="117" t="n"/>
      <c r="R942" s="118" t="n"/>
      <c r="S942" s="119" t="n"/>
      <c r="T942" s="120" t="n"/>
      <c r="U942" s="123" t="n"/>
      <c r="V942" s="123" t="n"/>
      <c r="Y942" s="117" t="n"/>
      <c r="Z942" s="117" t="n"/>
      <c r="AA942" s="118" t="n"/>
      <c r="AB942" s="119" t="n"/>
      <c r="AC942" s="120" t="n"/>
      <c r="AD942" s="120" t="n"/>
      <c r="AE942" s="120" t="n"/>
    </row>
    <row r="943" ht="15" customHeight="1" s="72">
      <c r="A943" s="117" t="n"/>
      <c r="B943" s="117" t="n"/>
      <c r="C943" s="118" t="n"/>
      <c r="D943" s="118" t="n"/>
      <c r="E943" s="118" t="n"/>
      <c r="F943" s="123" t="n"/>
      <c r="G943" s="119" t="n"/>
      <c r="H943" s="123" t="n"/>
      <c r="I943" s="123" t="n"/>
      <c r="J943" s="125" t="n"/>
      <c r="K943" s="120" t="n"/>
      <c r="N943" s="117" t="n"/>
      <c r="O943" s="117" t="n"/>
      <c r="P943" s="117" t="n"/>
      <c r="Q943" s="117" t="n"/>
      <c r="R943" s="118" t="n"/>
      <c r="S943" s="119" t="n"/>
      <c r="T943" s="120" t="n"/>
      <c r="U943" s="123" t="n"/>
      <c r="V943" s="123" t="n"/>
      <c r="Y943" s="117" t="n"/>
      <c r="Z943" s="117" t="n"/>
      <c r="AA943" s="118" t="n"/>
      <c r="AB943" s="119" t="n"/>
      <c r="AC943" s="120" t="n"/>
      <c r="AD943" s="120" t="n"/>
      <c r="AE943" s="120" t="n"/>
    </row>
    <row r="944" ht="15" customHeight="1" s="72">
      <c r="A944" s="117" t="n"/>
      <c r="B944" s="117" t="n"/>
      <c r="C944" s="118" t="n"/>
      <c r="D944" s="118" t="n"/>
      <c r="E944" s="118" t="n"/>
      <c r="F944" s="123" t="n"/>
      <c r="G944" s="119" t="n"/>
      <c r="H944" s="123" t="n"/>
      <c r="I944" s="123" t="n"/>
      <c r="J944" s="125" t="n"/>
      <c r="K944" s="120" t="n"/>
      <c r="N944" s="117" t="n"/>
      <c r="O944" s="117" t="n"/>
      <c r="P944" s="117" t="n"/>
      <c r="Q944" s="117" t="n"/>
      <c r="R944" s="118" t="n"/>
      <c r="S944" s="119" t="n"/>
      <c r="T944" s="120" t="n"/>
      <c r="U944" s="123" t="n"/>
      <c r="V944" s="123" t="n"/>
      <c r="Y944" s="117" t="n"/>
      <c r="Z944" s="117" t="n"/>
      <c r="AA944" s="118" t="n"/>
      <c r="AB944" s="119" t="n"/>
      <c r="AC944" s="120" t="n"/>
      <c r="AD944" s="120" t="n"/>
      <c r="AE944" s="120" t="n"/>
    </row>
    <row r="945" ht="15" customHeight="1" s="72">
      <c r="A945" s="117" t="n"/>
      <c r="B945" s="117" t="n"/>
      <c r="C945" s="118" t="n"/>
      <c r="D945" s="118" t="n"/>
      <c r="E945" s="118" t="n"/>
      <c r="F945" s="123" t="n"/>
      <c r="G945" s="119" t="n"/>
      <c r="H945" s="123" t="n"/>
      <c r="I945" s="123" t="n"/>
      <c r="J945" s="125" t="n"/>
      <c r="K945" s="120" t="n"/>
      <c r="N945" s="117" t="n"/>
      <c r="O945" s="117" t="n"/>
      <c r="P945" s="117" t="n"/>
      <c r="Q945" s="117" t="n"/>
      <c r="R945" s="118" t="n"/>
      <c r="S945" s="119" t="n"/>
      <c r="T945" s="120" t="n"/>
      <c r="U945" s="123" t="n"/>
      <c r="V945" s="123" t="n"/>
      <c r="Y945" s="117" t="n"/>
      <c r="Z945" s="117" t="n"/>
      <c r="AA945" s="118" t="n"/>
      <c r="AB945" s="119" t="n"/>
      <c r="AC945" s="120" t="n"/>
      <c r="AD945" s="120" t="n"/>
      <c r="AE945" s="120" t="n"/>
    </row>
    <row r="946" ht="15" customHeight="1" s="72">
      <c r="A946" s="117" t="n"/>
      <c r="B946" s="117" t="n"/>
      <c r="C946" s="118" t="n"/>
      <c r="D946" s="118" t="n"/>
      <c r="E946" s="118" t="n"/>
      <c r="F946" s="123" t="n"/>
      <c r="G946" s="119" t="n"/>
      <c r="H946" s="123" t="n"/>
      <c r="I946" s="123" t="n"/>
      <c r="J946" s="125" t="n"/>
      <c r="K946" s="120" t="n"/>
      <c r="N946" s="117" t="n"/>
      <c r="O946" s="117" t="n"/>
      <c r="P946" s="117" t="n"/>
      <c r="Q946" s="117" t="n"/>
      <c r="R946" s="118" t="n"/>
      <c r="S946" s="119" t="n"/>
      <c r="T946" s="120" t="n"/>
      <c r="U946" s="123" t="n"/>
      <c r="V946" s="123" t="n"/>
      <c r="Y946" s="117" t="n"/>
      <c r="Z946" s="117" t="n"/>
      <c r="AA946" s="118" t="n"/>
      <c r="AB946" s="119" t="n"/>
      <c r="AC946" s="120" t="n"/>
      <c r="AD946" s="120" t="n"/>
      <c r="AE946" s="120" t="n"/>
    </row>
    <row r="947" ht="15" customHeight="1" s="72">
      <c r="A947" s="117" t="n"/>
      <c r="B947" s="117" t="n"/>
      <c r="C947" s="118" t="n"/>
      <c r="D947" s="118" t="n"/>
      <c r="E947" s="118" t="n"/>
      <c r="F947" s="123" t="n"/>
      <c r="G947" s="119" t="n"/>
      <c r="H947" s="123" t="n"/>
      <c r="I947" s="123" t="n"/>
      <c r="J947" s="125" t="n"/>
      <c r="K947" s="120" t="n"/>
      <c r="N947" s="117" t="n"/>
      <c r="O947" s="117" t="n"/>
      <c r="P947" s="117" t="n"/>
      <c r="Q947" s="117" t="n"/>
      <c r="R947" s="118" t="n"/>
      <c r="S947" s="119" t="n"/>
      <c r="T947" s="120" t="n"/>
      <c r="U947" s="123" t="n"/>
      <c r="V947" s="123" t="n"/>
      <c r="Y947" s="117" t="n"/>
      <c r="Z947" s="117" t="n"/>
      <c r="AA947" s="118" t="n"/>
      <c r="AB947" s="119" t="n"/>
      <c r="AC947" s="120" t="n"/>
      <c r="AD947" s="120" t="n"/>
      <c r="AE947" s="120" t="n"/>
    </row>
    <row r="948" ht="15" customHeight="1" s="72">
      <c r="A948" s="117" t="n"/>
      <c r="B948" s="117" t="n"/>
      <c r="C948" s="118" t="n"/>
      <c r="D948" s="118" t="n"/>
      <c r="E948" s="118" t="n"/>
      <c r="F948" s="123" t="n"/>
      <c r="G948" s="119" t="n"/>
      <c r="H948" s="123" t="n"/>
      <c r="I948" s="123" t="n"/>
      <c r="J948" s="125" t="n"/>
      <c r="K948" s="120" t="n"/>
      <c r="N948" s="117" t="n"/>
      <c r="O948" s="117" t="n"/>
      <c r="P948" s="117" t="n"/>
      <c r="Q948" s="117" t="n"/>
      <c r="R948" s="118" t="n"/>
      <c r="S948" s="119" t="n"/>
      <c r="T948" s="120" t="n"/>
      <c r="U948" s="123" t="n"/>
      <c r="V948" s="123" t="n"/>
      <c r="Y948" s="117" t="n"/>
      <c r="Z948" s="117" t="n"/>
      <c r="AA948" s="118" t="n"/>
      <c r="AB948" s="119" t="n"/>
      <c r="AC948" s="120" t="n"/>
      <c r="AD948" s="120" t="n"/>
      <c r="AE948" s="120" t="n"/>
    </row>
    <row r="949" ht="15" customHeight="1" s="72">
      <c r="A949" s="117" t="n"/>
      <c r="B949" s="117" t="n"/>
      <c r="C949" s="118" t="n"/>
      <c r="D949" s="118" t="n"/>
      <c r="E949" s="118" t="n"/>
      <c r="F949" s="123" t="n"/>
      <c r="G949" s="119" t="n"/>
      <c r="H949" s="123" t="n"/>
      <c r="I949" s="123" t="n"/>
      <c r="J949" s="125" t="n"/>
      <c r="K949" s="120" t="n"/>
      <c r="N949" s="117" t="n"/>
      <c r="O949" s="117" t="n"/>
      <c r="P949" s="117" t="n"/>
      <c r="Q949" s="117" t="n"/>
      <c r="R949" s="118" t="n"/>
      <c r="S949" s="119" t="n"/>
      <c r="T949" s="120" t="n"/>
      <c r="U949" s="123" t="n"/>
      <c r="V949" s="123" t="n"/>
      <c r="Y949" s="117" t="n"/>
      <c r="Z949" s="117" t="n"/>
      <c r="AA949" s="118" t="n"/>
      <c r="AB949" s="119" t="n"/>
      <c r="AC949" s="120" t="n"/>
      <c r="AD949" s="120" t="n"/>
      <c r="AE949" s="120" t="n"/>
    </row>
    <row r="950" ht="15" customHeight="1" s="72">
      <c r="A950" s="117" t="n"/>
      <c r="B950" s="117" t="n"/>
      <c r="C950" s="118" t="n"/>
      <c r="D950" s="118" t="n"/>
      <c r="E950" s="118" t="n"/>
      <c r="F950" s="123" t="n"/>
      <c r="G950" s="119" t="n"/>
      <c r="H950" s="123" t="n"/>
      <c r="I950" s="123" t="n"/>
      <c r="J950" s="125" t="n"/>
      <c r="K950" s="120" t="n"/>
      <c r="N950" s="117" t="n"/>
      <c r="O950" s="117" t="n"/>
      <c r="P950" s="117" t="n"/>
      <c r="Q950" s="117" t="n"/>
      <c r="R950" s="118" t="n"/>
      <c r="S950" s="119" t="n"/>
      <c r="T950" s="120" t="n"/>
      <c r="U950" s="123" t="n"/>
      <c r="V950" s="123" t="n"/>
      <c r="Y950" s="117" t="n"/>
      <c r="Z950" s="117" t="n"/>
      <c r="AA950" s="118" t="n"/>
      <c r="AB950" s="119" t="n"/>
      <c r="AC950" s="120" t="n"/>
      <c r="AD950" s="120" t="n"/>
      <c r="AE950" s="120" t="n"/>
    </row>
    <row r="951" ht="15" customHeight="1" s="72">
      <c r="A951" s="117" t="n"/>
      <c r="B951" s="117" t="n"/>
      <c r="C951" s="118" t="n"/>
      <c r="D951" s="118" t="n"/>
      <c r="E951" s="118" t="n"/>
      <c r="F951" s="123" t="n"/>
      <c r="G951" s="119" t="n"/>
      <c r="H951" s="123" t="n"/>
      <c r="I951" s="123" t="n"/>
      <c r="J951" s="125" t="n"/>
      <c r="K951" s="120" t="n"/>
      <c r="N951" s="117" t="n"/>
      <c r="O951" s="117" t="n"/>
      <c r="P951" s="117" t="n"/>
      <c r="Q951" s="117" t="n"/>
      <c r="R951" s="118" t="n"/>
      <c r="S951" s="119" t="n"/>
      <c r="T951" s="120" t="n"/>
      <c r="U951" s="123" t="n"/>
      <c r="V951" s="123" t="n"/>
      <c r="Y951" s="117" t="n"/>
      <c r="Z951" s="117" t="n"/>
      <c r="AA951" s="118" t="n"/>
      <c r="AB951" s="119" t="n"/>
      <c r="AC951" s="120" t="n"/>
      <c r="AD951" s="120" t="n"/>
      <c r="AE951" s="120" t="n"/>
    </row>
    <row r="952" ht="15" customHeight="1" s="72">
      <c r="A952" s="117" t="n"/>
      <c r="B952" s="117" t="n"/>
      <c r="C952" s="118" t="n"/>
      <c r="D952" s="118" t="n"/>
      <c r="E952" s="118" t="n"/>
      <c r="F952" s="123" t="n"/>
      <c r="G952" s="119" t="n"/>
      <c r="H952" s="123" t="n"/>
      <c r="I952" s="123" t="n"/>
      <c r="J952" s="125" t="n"/>
      <c r="K952" s="120" t="n"/>
      <c r="N952" s="117" t="n"/>
      <c r="O952" s="117" t="n"/>
      <c r="P952" s="117" t="n"/>
      <c r="Q952" s="117" t="n"/>
      <c r="R952" s="118" t="n"/>
      <c r="S952" s="119" t="n"/>
      <c r="T952" s="120" t="n"/>
      <c r="U952" s="123" t="n"/>
      <c r="V952" s="123" t="n"/>
      <c r="Y952" s="117" t="n"/>
      <c r="Z952" s="117" t="n"/>
      <c r="AA952" s="118" t="n"/>
      <c r="AB952" s="119" t="n"/>
      <c r="AC952" s="120" t="n"/>
      <c r="AD952" s="120" t="n"/>
      <c r="AE952" s="120" t="n"/>
    </row>
    <row r="953" ht="15" customHeight="1" s="72">
      <c r="A953" s="117" t="n"/>
      <c r="B953" s="117" t="n"/>
      <c r="C953" s="118" t="n"/>
      <c r="D953" s="118" t="n"/>
      <c r="E953" s="118" t="n"/>
      <c r="F953" s="123" t="n"/>
      <c r="G953" s="119" t="n"/>
      <c r="H953" s="123" t="n"/>
      <c r="I953" s="123" t="n"/>
      <c r="J953" s="125" t="n"/>
      <c r="K953" s="120" t="n"/>
      <c r="N953" s="117" t="n"/>
      <c r="O953" s="117" t="n"/>
      <c r="P953" s="117" t="n"/>
      <c r="Q953" s="117" t="n"/>
      <c r="R953" s="118" t="n"/>
      <c r="S953" s="119" t="n"/>
      <c r="T953" s="120" t="n"/>
      <c r="U953" s="123" t="n"/>
      <c r="V953" s="123" t="n"/>
      <c r="Y953" s="117" t="n"/>
      <c r="Z953" s="117" t="n"/>
      <c r="AA953" s="118" t="n"/>
      <c r="AB953" s="119" t="n"/>
      <c r="AC953" s="120" t="n"/>
      <c r="AD953" s="120" t="n"/>
      <c r="AE953" s="120" t="n"/>
    </row>
    <row r="954" ht="15" customHeight="1" s="72">
      <c r="A954" s="117" t="n"/>
      <c r="B954" s="117" t="n"/>
      <c r="C954" s="118" t="n"/>
      <c r="D954" s="118" t="n"/>
      <c r="E954" s="118" t="n"/>
      <c r="F954" s="123" t="n"/>
      <c r="G954" s="119" t="n"/>
      <c r="H954" s="123" t="n"/>
      <c r="I954" s="123" t="n"/>
      <c r="J954" s="125" t="n"/>
      <c r="K954" s="120" t="n"/>
      <c r="N954" s="117" t="n"/>
      <c r="O954" s="117" t="n"/>
      <c r="P954" s="117" t="n"/>
      <c r="Q954" s="117" t="n"/>
      <c r="R954" s="118" t="n"/>
      <c r="S954" s="119" t="n"/>
      <c r="T954" s="120" t="n"/>
      <c r="U954" s="123" t="n"/>
      <c r="V954" s="123" t="n"/>
      <c r="Y954" s="117" t="n"/>
      <c r="Z954" s="117" t="n"/>
      <c r="AA954" s="118" t="n"/>
      <c r="AB954" s="119" t="n"/>
      <c r="AC954" s="120" t="n"/>
      <c r="AD954" s="120" t="n"/>
      <c r="AE954" s="120" t="n"/>
    </row>
    <row r="955" ht="15" customHeight="1" s="72">
      <c r="A955" s="117" t="n"/>
      <c r="B955" s="117" t="n"/>
      <c r="C955" s="118" t="n"/>
      <c r="D955" s="118" t="n"/>
      <c r="E955" s="118" t="n"/>
      <c r="F955" s="123" t="n"/>
      <c r="G955" s="119" t="n"/>
      <c r="H955" s="123" t="n"/>
      <c r="I955" s="123" t="n"/>
      <c r="J955" s="125" t="n"/>
      <c r="K955" s="120" t="n"/>
      <c r="N955" s="117" t="n"/>
      <c r="O955" s="117" t="n"/>
      <c r="P955" s="117" t="n"/>
      <c r="Q955" s="117" t="n"/>
      <c r="R955" s="118" t="n"/>
      <c r="S955" s="119" t="n"/>
      <c r="T955" s="120" t="n"/>
      <c r="U955" s="123" t="n"/>
      <c r="V955" s="123" t="n"/>
      <c r="Y955" s="117" t="n"/>
      <c r="Z955" s="117" t="n"/>
      <c r="AA955" s="118" t="n"/>
      <c r="AB955" s="119" t="n"/>
      <c r="AC955" s="120" t="n"/>
      <c r="AD955" s="120" t="n"/>
      <c r="AE955" s="120" t="n"/>
    </row>
    <row r="956" ht="15" customHeight="1" s="72">
      <c r="A956" s="117" t="n"/>
      <c r="B956" s="117" t="n"/>
      <c r="C956" s="118" t="n"/>
      <c r="D956" s="118" t="n"/>
      <c r="E956" s="118" t="n"/>
      <c r="F956" s="123" t="n"/>
      <c r="G956" s="119" t="n"/>
      <c r="H956" s="123" t="n"/>
      <c r="I956" s="123" t="n"/>
      <c r="J956" s="125" t="n"/>
      <c r="K956" s="120" t="n"/>
      <c r="N956" s="117" t="n"/>
      <c r="O956" s="117" t="n"/>
      <c r="P956" s="117" t="n"/>
      <c r="Q956" s="117" t="n"/>
      <c r="R956" s="118" t="n"/>
      <c r="S956" s="119" t="n"/>
      <c r="T956" s="120" t="n"/>
      <c r="U956" s="123" t="n"/>
      <c r="V956" s="123" t="n"/>
      <c r="Y956" s="117" t="n"/>
      <c r="Z956" s="117" t="n"/>
      <c r="AA956" s="118" t="n"/>
      <c r="AB956" s="119" t="n"/>
      <c r="AC956" s="120" t="n"/>
      <c r="AD956" s="120" t="n"/>
      <c r="AE956" s="120" t="n"/>
    </row>
    <row r="957" ht="15" customHeight="1" s="72">
      <c r="A957" s="117" t="n"/>
      <c r="B957" s="117" t="n"/>
      <c r="C957" s="118" t="n"/>
      <c r="D957" s="118" t="n"/>
      <c r="E957" s="118" t="n"/>
      <c r="F957" s="123" t="n"/>
      <c r="G957" s="119" t="n"/>
      <c r="H957" s="123" t="n"/>
      <c r="I957" s="123" t="n"/>
      <c r="J957" s="125" t="n"/>
      <c r="K957" s="120" t="n"/>
      <c r="N957" s="117" t="n"/>
      <c r="O957" s="117" t="n"/>
      <c r="P957" s="117" t="n"/>
      <c r="Q957" s="117" t="n"/>
      <c r="R957" s="118" t="n"/>
      <c r="S957" s="119" t="n"/>
      <c r="T957" s="120" t="n"/>
      <c r="U957" s="123" t="n"/>
      <c r="V957" s="123" t="n"/>
      <c r="Y957" s="117" t="n"/>
      <c r="Z957" s="117" t="n"/>
      <c r="AA957" s="118" t="n"/>
      <c r="AB957" s="119" t="n"/>
      <c r="AC957" s="120" t="n"/>
      <c r="AD957" s="120" t="n"/>
      <c r="AE957" s="120" t="n"/>
    </row>
    <row r="958" ht="15" customHeight="1" s="72">
      <c r="A958" s="117" t="n"/>
      <c r="B958" s="117" t="n"/>
      <c r="C958" s="118" t="n"/>
      <c r="D958" s="118" t="n"/>
      <c r="E958" s="118" t="n"/>
      <c r="F958" s="123" t="n"/>
      <c r="G958" s="119" t="n"/>
      <c r="H958" s="123" t="n"/>
      <c r="I958" s="123" t="n"/>
      <c r="J958" s="125" t="n"/>
      <c r="K958" s="120" t="n"/>
      <c r="N958" s="117" t="n"/>
      <c r="O958" s="117" t="n"/>
      <c r="P958" s="117" t="n"/>
      <c r="Q958" s="117" t="n"/>
      <c r="R958" s="118" t="n"/>
      <c r="S958" s="119" t="n"/>
      <c r="T958" s="120" t="n"/>
      <c r="U958" s="123" t="n"/>
      <c r="V958" s="123" t="n"/>
      <c r="Y958" s="117" t="n"/>
      <c r="Z958" s="117" t="n"/>
      <c r="AA958" s="118" t="n"/>
      <c r="AB958" s="119" t="n"/>
      <c r="AC958" s="120" t="n"/>
      <c r="AD958" s="120" t="n"/>
      <c r="AE958" s="120" t="n"/>
    </row>
    <row r="959" ht="15" customHeight="1" s="72">
      <c r="A959" s="117" t="n"/>
      <c r="B959" s="117" t="n"/>
      <c r="C959" s="118" t="n"/>
      <c r="D959" s="118" t="n"/>
      <c r="E959" s="118" t="n"/>
      <c r="F959" s="123" t="n"/>
      <c r="G959" s="119" t="n"/>
      <c r="H959" s="123" t="n"/>
      <c r="I959" s="123" t="n"/>
      <c r="J959" s="125" t="n"/>
      <c r="K959" s="120" t="n"/>
      <c r="N959" s="117" t="n"/>
      <c r="O959" s="117" t="n"/>
      <c r="P959" s="117" t="n"/>
      <c r="Q959" s="117" t="n"/>
      <c r="R959" s="118" t="n"/>
      <c r="S959" s="119" t="n"/>
      <c r="T959" s="120" t="n"/>
      <c r="U959" s="123" t="n"/>
      <c r="V959" s="123" t="n"/>
      <c r="Y959" s="117" t="n"/>
      <c r="Z959" s="117" t="n"/>
      <c r="AA959" s="118" t="n"/>
      <c r="AB959" s="119" t="n"/>
      <c r="AC959" s="120" t="n"/>
      <c r="AD959" s="120" t="n"/>
      <c r="AE959" s="120" t="n"/>
    </row>
    <row r="960" ht="15" customHeight="1" s="72">
      <c r="A960" s="117" t="n"/>
      <c r="B960" s="117" t="n"/>
      <c r="C960" s="118" t="n"/>
      <c r="D960" s="118" t="n"/>
      <c r="E960" s="118" t="n"/>
      <c r="F960" s="123" t="n"/>
      <c r="G960" s="119" t="n"/>
      <c r="H960" s="123" t="n"/>
      <c r="I960" s="123" t="n"/>
      <c r="J960" s="125" t="n"/>
      <c r="K960" s="120" t="n"/>
      <c r="N960" s="117" t="n"/>
      <c r="O960" s="117" t="n"/>
      <c r="P960" s="117" t="n"/>
      <c r="Q960" s="117" t="n"/>
      <c r="R960" s="118" t="n"/>
      <c r="S960" s="119" t="n"/>
      <c r="T960" s="120" t="n"/>
      <c r="U960" s="123" t="n"/>
      <c r="V960" s="123" t="n"/>
      <c r="Y960" s="117" t="n"/>
      <c r="Z960" s="117" t="n"/>
      <c r="AA960" s="118" t="n"/>
      <c r="AB960" s="119" t="n"/>
      <c r="AC960" s="120" t="n"/>
      <c r="AD960" s="120" t="n"/>
      <c r="AE960" s="120" t="n"/>
    </row>
    <row r="961" ht="15" customHeight="1" s="72">
      <c r="A961" s="117" t="n"/>
      <c r="B961" s="117" t="n"/>
      <c r="C961" s="118" t="n"/>
      <c r="D961" s="118" t="n"/>
      <c r="E961" s="118" t="n"/>
      <c r="F961" s="123" t="n"/>
      <c r="G961" s="119" t="n"/>
      <c r="H961" s="123" t="n"/>
      <c r="I961" s="123" t="n"/>
      <c r="J961" s="125" t="n"/>
      <c r="K961" s="120" t="n"/>
      <c r="N961" s="117" t="n"/>
      <c r="O961" s="117" t="n"/>
      <c r="P961" s="117" t="n"/>
      <c r="Q961" s="117" t="n"/>
      <c r="R961" s="118" t="n"/>
      <c r="S961" s="119" t="n"/>
      <c r="T961" s="120" t="n"/>
      <c r="U961" s="123" t="n"/>
      <c r="V961" s="123" t="n"/>
      <c r="Y961" s="117" t="n"/>
      <c r="Z961" s="117" t="n"/>
      <c r="AA961" s="118" t="n"/>
      <c r="AB961" s="119" t="n"/>
      <c r="AC961" s="120" t="n"/>
      <c r="AD961" s="120" t="n"/>
      <c r="AE961" s="120" t="n"/>
    </row>
    <row r="962" ht="15" customHeight="1" s="72">
      <c r="A962" s="117" t="n"/>
      <c r="B962" s="117" t="n"/>
      <c r="C962" s="118" t="n"/>
      <c r="D962" s="118" t="n"/>
      <c r="E962" s="118" t="n"/>
      <c r="F962" s="123" t="n"/>
      <c r="G962" s="119" t="n"/>
      <c r="H962" s="123" t="n"/>
      <c r="I962" s="123" t="n"/>
      <c r="J962" s="125" t="n"/>
      <c r="K962" s="120" t="n"/>
      <c r="N962" s="117" t="n"/>
      <c r="O962" s="117" t="n"/>
      <c r="P962" s="117" t="n"/>
      <c r="Q962" s="117" t="n"/>
      <c r="R962" s="118" t="n"/>
      <c r="S962" s="119" t="n"/>
      <c r="T962" s="120" t="n"/>
      <c r="U962" s="123" t="n"/>
      <c r="V962" s="123" t="n"/>
      <c r="Y962" s="117" t="n"/>
      <c r="Z962" s="117" t="n"/>
      <c r="AA962" s="118" t="n"/>
      <c r="AB962" s="119" t="n"/>
      <c r="AC962" s="120" t="n"/>
      <c r="AD962" s="120" t="n"/>
      <c r="AE962" s="120" t="n"/>
    </row>
    <row r="963" ht="15" customHeight="1" s="72">
      <c r="A963" s="117" t="n"/>
      <c r="B963" s="117" t="n"/>
      <c r="C963" s="118" t="n"/>
      <c r="D963" s="118" t="n"/>
      <c r="E963" s="118" t="n"/>
      <c r="F963" s="123" t="n"/>
      <c r="G963" s="119" t="n"/>
      <c r="H963" s="123" t="n"/>
      <c r="I963" s="123" t="n"/>
      <c r="J963" s="125" t="n"/>
      <c r="K963" s="120" t="n"/>
      <c r="N963" s="117" t="n"/>
      <c r="O963" s="117" t="n"/>
      <c r="P963" s="117" t="n"/>
      <c r="Q963" s="117" t="n"/>
      <c r="R963" s="118" t="n"/>
      <c r="S963" s="119" t="n"/>
      <c r="T963" s="120" t="n"/>
      <c r="U963" s="123" t="n"/>
      <c r="V963" s="123" t="n"/>
      <c r="Y963" s="117" t="n"/>
      <c r="Z963" s="117" t="n"/>
      <c r="AA963" s="118" t="n"/>
      <c r="AB963" s="119" t="n"/>
      <c r="AC963" s="120" t="n"/>
      <c r="AD963" s="120" t="n"/>
      <c r="AE963" s="120" t="n"/>
    </row>
    <row r="964" ht="15" customHeight="1" s="72">
      <c r="A964" s="117" t="n"/>
      <c r="B964" s="117" t="n"/>
      <c r="C964" s="118" t="n"/>
      <c r="D964" s="118" t="n"/>
      <c r="E964" s="118" t="n"/>
      <c r="F964" s="123" t="n"/>
      <c r="G964" s="119" t="n"/>
      <c r="H964" s="123" t="n"/>
      <c r="I964" s="123" t="n"/>
      <c r="J964" s="125" t="n"/>
      <c r="K964" s="120" t="n"/>
      <c r="N964" s="117" t="n"/>
      <c r="O964" s="117" t="n"/>
      <c r="P964" s="117" t="n"/>
      <c r="Q964" s="117" t="n"/>
      <c r="R964" s="118" t="n"/>
      <c r="S964" s="119" t="n"/>
      <c r="T964" s="120" t="n"/>
      <c r="U964" s="123" t="n"/>
      <c r="V964" s="123" t="n"/>
      <c r="Y964" s="117" t="n"/>
      <c r="Z964" s="117" t="n"/>
      <c r="AA964" s="118" t="n"/>
      <c r="AB964" s="119" t="n"/>
      <c r="AC964" s="120" t="n"/>
      <c r="AD964" s="120" t="n"/>
      <c r="AE964" s="120" t="n"/>
    </row>
    <row r="965" ht="15" customHeight="1" s="72">
      <c r="A965" s="117" t="n"/>
      <c r="B965" s="117" t="n"/>
      <c r="C965" s="118" t="n"/>
      <c r="D965" s="118" t="n"/>
      <c r="E965" s="118" t="n"/>
      <c r="F965" s="123" t="n"/>
      <c r="G965" s="119" t="n"/>
      <c r="H965" s="123" t="n"/>
      <c r="I965" s="123" t="n"/>
      <c r="J965" s="125" t="n"/>
      <c r="K965" s="120" t="n"/>
      <c r="N965" s="117" t="n"/>
      <c r="O965" s="117" t="n"/>
      <c r="P965" s="117" t="n"/>
      <c r="Q965" s="117" t="n"/>
      <c r="R965" s="118" t="n"/>
      <c r="S965" s="119" t="n"/>
      <c r="T965" s="120" t="n"/>
      <c r="U965" s="123" t="n"/>
      <c r="V965" s="123" t="n"/>
      <c r="Y965" s="117" t="n"/>
      <c r="Z965" s="117" t="n"/>
      <c r="AA965" s="118" t="n"/>
      <c r="AB965" s="119" t="n"/>
      <c r="AC965" s="120" t="n"/>
      <c r="AD965" s="120" t="n"/>
      <c r="AE965" s="120" t="n"/>
    </row>
    <row r="966" ht="15" customHeight="1" s="72">
      <c r="A966" s="117" t="n"/>
      <c r="B966" s="117" t="n"/>
      <c r="C966" s="118" t="n"/>
      <c r="D966" s="118" t="n"/>
      <c r="E966" s="118" t="n"/>
      <c r="F966" s="123" t="n"/>
      <c r="G966" s="119" t="n"/>
      <c r="H966" s="123" t="n"/>
      <c r="I966" s="123" t="n"/>
      <c r="J966" s="125" t="n"/>
      <c r="K966" s="120" t="n"/>
      <c r="N966" s="117" t="n"/>
      <c r="O966" s="117" t="n"/>
      <c r="P966" s="117" t="n"/>
      <c r="Q966" s="117" t="n"/>
      <c r="R966" s="118" t="n"/>
      <c r="S966" s="119" t="n"/>
      <c r="T966" s="120" t="n"/>
      <c r="U966" s="123" t="n"/>
      <c r="V966" s="123" t="n"/>
      <c r="Y966" s="117" t="n"/>
      <c r="Z966" s="117" t="n"/>
      <c r="AA966" s="118" t="n"/>
      <c r="AB966" s="119" t="n"/>
      <c r="AC966" s="120" t="n"/>
      <c r="AD966" s="120" t="n"/>
      <c r="AE966" s="120" t="n"/>
    </row>
    <row r="967" ht="15" customHeight="1" s="72">
      <c r="A967" s="117" t="n"/>
      <c r="B967" s="117" t="n"/>
      <c r="C967" s="118" t="n"/>
      <c r="D967" s="118" t="n"/>
      <c r="E967" s="118" t="n"/>
      <c r="F967" s="123" t="n"/>
      <c r="G967" s="119" t="n"/>
      <c r="H967" s="123" t="n"/>
      <c r="I967" s="123" t="n"/>
      <c r="J967" s="125" t="n"/>
      <c r="K967" s="120" t="n"/>
      <c r="N967" s="117" t="n"/>
      <c r="O967" s="117" t="n"/>
      <c r="P967" s="117" t="n"/>
      <c r="Q967" s="117" t="n"/>
      <c r="R967" s="118" t="n"/>
      <c r="S967" s="119" t="n"/>
      <c r="T967" s="120" t="n"/>
      <c r="U967" s="123" t="n"/>
      <c r="V967" s="123" t="n"/>
      <c r="Y967" s="117" t="n"/>
      <c r="Z967" s="117" t="n"/>
      <c r="AA967" s="118" t="n"/>
      <c r="AB967" s="119" t="n"/>
      <c r="AC967" s="120" t="n"/>
      <c r="AD967" s="120" t="n"/>
      <c r="AE967" s="120" t="n"/>
    </row>
    <row r="968" ht="15" customHeight="1" s="72">
      <c r="A968" s="117" t="n"/>
      <c r="B968" s="117" t="n"/>
      <c r="C968" s="118" t="n"/>
      <c r="D968" s="118" t="n"/>
      <c r="E968" s="118" t="n"/>
      <c r="F968" s="123" t="n"/>
      <c r="G968" s="119" t="n"/>
      <c r="H968" s="123" t="n"/>
      <c r="I968" s="123" t="n"/>
      <c r="J968" s="125" t="n"/>
      <c r="K968" s="120" t="n"/>
      <c r="N968" s="117" t="n"/>
      <c r="O968" s="117" t="n"/>
      <c r="P968" s="117" t="n"/>
      <c r="Q968" s="117" t="n"/>
      <c r="R968" s="118" t="n"/>
      <c r="S968" s="119" t="n"/>
      <c r="T968" s="120" t="n"/>
      <c r="U968" s="123" t="n"/>
      <c r="V968" s="123" t="n"/>
      <c r="Y968" s="117" t="n"/>
      <c r="Z968" s="117" t="n"/>
      <c r="AA968" s="118" t="n"/>
      <c r="AB968" s="119" t="n"/>
      <c r="AC968" s="120" t="n"/>
      <c r="AD968" s="120" t="n"/>
      <c r="AE968" s="120" t="n"/>
    </row>
    <row r="969" ht="15" customHeight="1" s="72">
      <c r="A969" s="117" t="n"/>
      <c r="B969" s="117" t="n"/>
      <c r="C969" s="118" t="n"/>
      <c r="D969" s="118" t="n"/>
      <c r="E969" s="118" t="n"/>
      <c r="F969" s="123" t="n"/>
      <c r="G969" s="119" t="n"/>
      <c r="H969" s="123" t="n"/>
      <c r="I969" s="123" t="n"/>
      <c r="J969" s="125" t="n"/>
      <c r="K969" s="120" t="n"/>
      <c r="N969" s="117" t="n"/>
      <c r="O969" s="117" t="n"/>
      <c r="P969" s="117" t="n"/>
      <c r="Q969" s="117" t="n"/>
      <c r="R969" s="118" t="n"/>
      <c r="S969" s="119" t="n"/>
      <c r="T969" s="120" t="n"/>
      <c r="U969" s="123" t="n"/>
      <c r="V969" s="123" t="n"/>
      <c r="Y969" s="117" t="n"/>
      <c r="Z969" s="117" t="n"/>
      <c r="AA969" s="118" t="n"/>
      <c r="AB969" s="119" t="n"/>
      <c r="AC969" s="120" t="n"/>
      <c r="AD969" s="120" t="n"/>
      <c r="AE969" s="120" t="n"/>
    </row>
    <row r="970" ht="15" customHeight="1" s="72">
      <c r="A970" s="117" t="n"/>
      <c r="B970" s="117" t="n"/>
      <c r="C970" s="118" t="n"/>
      <c r="D970" s="118" t="n"/>
      <c r="E970" s="118" t="n"/>
      <c r="F970" s="123" t="n"/>
      <c r="G970" s="119" t="n"/>
      <c r="H970" s="123" t="n"/>
      <c r="I970" s="123" t="n"/>
      <c r="J970" s="125" t="n"/>
      <c r="K970" s="120" t="n"/>
      <c r="N970" s="117" t="n"/>
      <c r="O970" s="117" t="n"/>
      <c r="P970" s="117" t="n"/>
      <c r="Q970" s="117" t="n"/>
      <c r="R970" s="118" t="n"/>
      <c r="S970" s="119" t="n"/>
      <c r="T970" s="120" t="n"/>
      <c r="U970" s="123" t="n"/>
      <c r="V970" s="123" t="n"/>
      <c r="Y970" s="117" t="n"/>
      <c r="Z970" s="117" t="n"/>
      <c r="AA970" s="118" t="n"/>
      <c r="AB970" s="119" t="n"/>
      <c r="AC970" s="120" t="n"/>
      <c r="AD970" s="120" t="n"/>
      <c r="AE970" s="120" t="n"/>
    </row>
    <row r="971" ht="15" customHeight="1" s="72">
      <c r="A971" s="117" t="n"/>
      <c r="B971" s="117" t="n"/>
      <c r="C971" s="118" t="n"/>
      <c r="D971" s="118" t="n"/>
      <c r="E971" s="118" t="n"/>
      <c r="F971" s="123" t="n"/>
      <c r="G971" s="119" t="n"/>
      <c r="H971" s="123" t="n"/>
      <c r="I971" s="123" t="n"/>
      <c r="J971" s="125" t="n"/>
      <c r="K971" s="120" t="n"/>
      <c r="N971" s="117" t="n"/>
      <c r="O971" s="117" t="n"/>
      <c r="P971" s="117" t="n"/>
      <c r="Q971" s="117" t="n"/>
      <c r="R971" s="118" t="n"/>
      <c r="S971" s="119" t="n"/>
      <c r="T971" s="120" t="n"/>
      <c r="U971" s="123" t="n"/>
      <c r="V971" s="123" t="n"/>
      <c r="Y971" s="117" t="n"/>
      <c r="Z971" s="117" t="n"/>
      <c r="AA971" s="118" t="n"/>
      <c r="AB971" s="119" t="n"/>
      <c r="AC971" s="120" t="n"/>
      <c r="AD971" s="120" t="n"/>
      <c r="AE971" s="120" t="n"/>
    </row>
    <row r="972" ht="15" customHeight="1" s="72">
      <c r="A972" s="117" t="n"/>
      <c r="B972" s="117" t="n"/>
      <c r="C972" s="118" t="n"/>
      <c r="D972" s="118" t="n"/>
      <c r="E972" s="118" t="n"/>
      <c r="F972" s="123" t="n"/>
      <c r="G972" s="119" t="n"/>
      <c r="H972" s="123" t="n"/>
      <c r="I972" s="123" t="n"/>
      <c r="J972" s="125" t="n"/>
      <c r="K972" s="120" t="n"/>
      <c r="N972" s="117" t="n"/>
      <c r="O972" s="117" t="n"/>
      <c r="P972" s="117" t="n"/>
      <c r="Q972" s="117" t="n"/>
      <c r="R972" s="118" t="n"/>
      <c r="S972" s="119" t="n"/>
      <c r="T972" s="120" t="n"/>
      <c r="U972" s="123" t="n"/>
      <c r="V972" s="123" t="n"/>
      <c r="Y972" s="117" t="n"/>
      <c r="Z972" s="117" t="n"/>
      <c r="AA972" s="118" t="n"/>
      <c r="AB972" s="119" t="n"/>
      <c r="AC972" s="120" t="n"/>
      <c r="AD972" s="120" t="n"/>
      <c r="AE972" s="120" t="n"/>
    </row>
    <row r="973" ht="15" customHeight="1" s="72">
      <c r="A973" s="117" t="n"/>
      <c r="B973" s="117" t="n"/>
      <c r="C973" s="118" t="n"/>
      <c r="D973" s="118" t="n"/>
      <c r="E973" s="118" t="n"/>
      <c r="F973" s="123" t="n"/>
      <c r="G973" s="119" t="n"/>
      <c r="H973" s="123" t="n"/>
      <c r="I973" s="123" t="n"/>
      <c r="J973" s="125" t="n"/>
      <c r="K973" s="120" t="n"/>
      <c r="N973" s="117" t="n"/>
      <c r="O973" s="117" t="n"/>
      <c r="P973" s="117" t="n"/>
      <c r="Q973" s="117" t="n"/>
      <c r="R973" s="118" t="n"/>
      <c r="S973" s="119" t="n"/>
      <c r="T973" s="120" t="n"/>
      <c r="U973" s="123" t="n"/>
      <c r="V973" s="123" t="n"/>
      <c r="Y973" s="117" t="n"/>
      <c r="Z973" s="117" t="n"/>
      <c r="AA973" s="118" t="n"/>
      <c r="AB973" s="119" t="n"/>
      <c r="AC973" s="120" t="n"/>
      <c r="AD973" s="120" t="n"/>
      <c r="AE973" s="120" t="n"/>
    </row>
    <row r="974" ht="15" customHeight="1" s="72">
      <c r="A974" s="117" t="n"/>
      <c r="B974" s="117" t="n"/>
      <c r="C974" s="118" t="n"/>
      <c r="D974" s="118" t="n"/>
      <c r="E974" s="118" t="n"/>
      <c r="F974" s="123" t="n"/>
      <c r="G974" s="119" t="n"/>
      <c r="H974" s="123" t="n"/>
      <c r="I974" s="123" t="n"/>
      <c r="J974" s="125" t="n"/>
      <c r="K974" s="120" t="n"/>
      <c r="N974" s="117" t="n"/>
      <c r="O974" s="117" t="n"/>
      <c r="P974" s="117" t="n"/>
      <c r="Q974" s="117" t="n"/>
      <c r="R974" s="118" t="n"/>
      <c r="S974" s="119" t="n"/>
      <c r="T974" s="120" t="n"/>
      <c r="U974" s="123" t="n"/>
      <c r="V974" s="123" t="n"/>
      <c r="Y974" s="117" t="n"/>
      <c r="Z974" s="117" t="n"/>
      <c r="AA974" s="118" t="n"/>
      <c r="AB974" s="119" t="n"/>
      <c r="AC974" s="120" t="n"/>
      <c r="AD974" s="120" t="n"/>
      <c r="AE974" s="120" t="n"/>
    </row>
    <row r="975" ht="15" customHeight="1" s="72">
      <c r="A975" s="117" t="n"/>
      <c r="B975" s="117" t="n"/>
      <c r="C975" s="118" t="n"/>
      <c r="D975" s="118" t="n"/>
      <c r="E975" s="118" t="n"/>
      <c r="F975" s="123" t="n"/>
      <c r="G975" s="119" t="n"/>
      <c r="H975" s="123" t="n"/>
      <c r="I975" s="123" t="n"/>
      <c r="J975" s="125" t="n"/>
      <c r="K975" s="120" t="n"/>
      <c r="N975" s="117" t="n"/>
      <c r="O975" s="117" t="n"/>
      <c r="P975" s="117" t="n"/>
      <c r="Q975" s="117" t="n"/>
      <c r="R975" s="118" t="n"/>
      <c r="S975" s="119" t="n"/>
      <c r="T975" s="120" t="n"/>
      <c r="U975" s="123" t="n"/>
      <c r="V975" s="123" t="n"/>
      <c r="Y975" s="117" t="n"/>
      <c r="Z975" s="117" t="n"/>
      <c r="AA975" s="118" t="n"/>
      <c r="AB975" s="119" t="n"/>
      <c r="AC975" s="120" t="n"/>
      <c r="AD975" s="120" t="n"/>
      <c r="AE975" s="120" t="n"/>
    </row>
    <row r="976" ht="15" customHeight="1" s="72">
      <c r="A976" s="117" t="n"/>
      <c r="B976" s="117" t="n"/>
      <c r="C976" s="118" t="n"/>
      <c r="D976" s="118" t="n"/>
      <c r="E976" s="118" t="n"/>
      <c r="F976" s="123" t="n"/>
      <c r="G976" s="119" t="n"/>
      <c r="H976" s="123" t="n"/>
      <c r="I976" s="123" t="n"/>
      <c r="J976" s="125" t="n"/>
      <c r="K976" s="120" t="n"/>
      <c r="N976" s="117" t="n"/>
      <c r="O976" s="117" t="n"/>
      <c r="P976" s="117" t="n"/>
      <c r="Q976" s="117" t="n"/>
      <c r="R976" s="118" t="n"/>
      <c r="S976" s="119" t="n"/>
      <c r="T976" s="120" t="n"/>
      <c r="U976" s="123" t="n"/>
      <c r="V976" s="123" t="n"/>
      <c r="Y976" s="117" t="n"/>
      <c r="Z976" s="117" t="n"/>
      <c r="AA976" s="118" t="n"/>
      <c r="AB976" s="119" t="n"/>
      <c r="AC976" s="120" t="n"/>
      <c r="AD976" s="120" t="n"/>
      <c r="AE976" s="120" t="n"/>
    </row>
    <row r="977" ht="15" customHeight="1" s="72">
      <c r="A977" s="117" t="n"/>
      <c r="B977" s="117" t="n"/>
      <c r="C977" s="118" t="n"/>
      <c r="D977" s="118" t="n"/>
      <c r="E977" s="118" t="n"/>
      <c r="F977" s="123" t="n"/>
      <c r="G977" s="119" t="n"/>
      <c r="H977" s="123" t="n"/>
      <c r="I977" s="123" t="n"/>
      <c r="J977" s="125" t="n"/>
      <c r="K977" s="120" t="n"/>
      <c r="N977" s="117" t="n"/>
      <c r="O977" s="117" t="n"/>
      <c r="P977" s="117" t="n"/>
      <c r="Q977" s="117" t="n"/>
      <c r="R977" s="118" t="n"/>
      <c r="S977" s="119" t="n"/>
      <c r="T977" s="120" t="n"/>
      <c r="U977" s="123" t="n"/>
      <c r="V977" s="123" t="n"/>
      <c r="Y977" s="117" t="n"/>
      <c r="Z977" s="117" t="n"/>
      <c r="AA977" s="118" t="n"/>
      <c r="AB977" s="119" t="n"/>
      <c r="AC977" s="120" t="n"/>
      <c r="AD977" s="120" t="n"/>
      <c r="AE977" s="120" t="n"/>
    </row>
    <row r="978" ht="15" customHeight="1" s="72">
      <c r="A978" s="117" t="n"/>
      <c r="B978" s="117" t="n"/>
      <c r="C978" s="118" t="n"/>
      <c r="D978" s="118" t="n"/>
      <c r="E978" s="118" t="n"/>
      <c r="F978" s="123" t="n"/>
      <c r="G978" s="119" t="n"/>
      <c r="H978" s="123" t="n"/>
      <c r="I978" s="123" t="n"/>
      <c r="J978" s="125" t="n"/>
      <c r="K978" s="120" t="n"/>
      <c r="N978" s="117" t="n"/>
      <c r="O978" s="117" t="n"/>
      <c r="P978" s="117" t="n"/>
      <c r="Q978" s="117" t="n"/>
      <c r="R978" s="118" t="n"/>
      <c r="S978" s="119" t="n"/>
      <c r="T978" s="120" t="n"/>
      <c r="U978" s="123" t="n"/>
      <c r="V978" s="123" t="n"/>
      <c r="Y978" s="117" t="n"/>
      <c r="Z978" s="117" t="n"/>
      <c r="AA978" s="118" t="n"/>
      <c r="AB978" s="119" t="n"/>
      <c r="AC978" s="120" t="n"/>
      <c r="AD978" s="120" t="n"/>
      <c r="AE978" s="120" t="n"/>
    </row>
    <row r="979" ht="15" customHeight="1" s="72">
      <c r="A979" s="117" t="n"/>
      <c r="B979" s="117" t="n"/>
      <c r="C979" s="118" t="n"/>
      <c r="D979" s="118" t="n"/>
      <c r="E979" s="118" t="n"/>
      <c r="F979" s="123" t="n"/>
      <c r="G979" s="119" t="n"/>
      <c r="H979" s="123" t="n"/>
      <c r="I979" s="123" t="n"/>
      <c r="J979" s="125" t="n"/>
      <c r="K979" s="120" t="n"/>
      <c r="N979" s="117" t="n"/>
      <c r="O979" s="117" t="n"/>
      <c r="P979" s="117" t="n"/>
      <c r="Q979" s="117" t="n"/>
      <c r="R979" s="118" t="n"/>
      <c r="S979" s="119" t="n"/>
      <c r="T979" s="120" t="n"/>
      <c r="U979" s="123" t="n"/>
      <c r="V979" s="123" t="n"/>
      <c r="Y979" s="117" t="n"/>
      <c r="Z979" s="117" t="n"/>
      <c r="AA979" s="118" t="n"/>
      <c r="AB979" s="119" t="n"/>
      <c r="AC979" s="120" t="n"/>
      <c r="AD979" s="120" t="n"/>
      <c r="AE979" s="120" t="n"/>
    </row>
    <row r="980" ht="15" customHeight="1" s="72">
      <c r="A980" s="117" t="n"/>
      <c r="B980" s="117" t="n"/>
      <c r="C980" s="118" t="n"/>
      <c r="D980" s="118" t="n"/>
      <c r="E980" s="118" t="n"/>
      <c r="F980" s="123" t="n"/>
      <c r="G980" s="119" t="n"/>
      <c r="H980" s="123" t="n"/>
      <c r="I980" s="123" t="n"/>
      <c r="J980" s="125" t="n"/>
      <c r="K980" s="120" t="n"/>
      <c r="N980" s="117" t="n"/>
      <c r="O980" s="117" t="n"/>
      <c r="P980" s="117" t="n"/>
      <c r="Q980" s="117" t="n"/>
      <c r="R980" s="118" t="n"/>
      <c r="S980" s="119" t="n"/>
      <c r="T980" s="120" t="n"/>
      <c r="U980" s="123" t="n"/>
      <c r="V980" s="123" t="n"/>
      <c r="Y980" s="117" t="n"/>
      <c r="Z980" s="117" t="n"/>
      <c r="AA980" s="118" t="n"/>
      <c r="AB980" s="119" t="n"/>
      <c r="AC980" s="120" t="n"/>
      <c r="AD980" s="120" t="n"/>
      <c r="AE980" s="120" t="n"/>
    </row>
    <row r="981" ht="15" customHeight="1" s="72">
      <c r="A981" s="117" t="n"/>
      <c r="B981" s="117" t="n"/>
      <c r="C981" s="118" t="n"/>
      <c r="D981" s="118" t="n"/>
      <c r="E981" s="118" t="n"/>
      <c r="F981" s="123" t="n"/>
      <c r="G981" s="119" t="n"/>
      <c r="H981" s="123" t="n"/>
      <c r="I981" s="123" t="n"/>
      <c r="J981" s="125" t="n"/>
      <c r="K981" s="120" t="n"/>
      <c r="N981" s="117" t="n"/>
      <c r="O981" s="117" t="n"/>
      <c r="P981" s="117" t="n"/>
      <c r="Q981" s="117" t="n"/>
      <c r="R981" s="118" t="n"/>
      <c r="S981" s="119" t="n"/>
      <c r="T981" s="120" t="n"/>
      <c r="U981" s="123" t="n"/>
      <c r="V981" s="123" t="n"/>
      <c r="Y981" s="117" t="n"/>
      <c r="Z981" s="117" t="n"/>
      <c r="AA981" s="118" t="n"/>
      <c r="AB981" s="119" t="n"/>
      <c r="AC981" s="120" t="n"/>
      <c r="AD981" s="120" t="n"/>
      <c r="AE981" s="120" t="n"/>
    </row>
    <row r="982" ht="15" customHeight="1" s="72">
      <c r="A982" s="117" t="n"/>
      <c r="B982" s="117" t="n"/>
      <c r="C982" s="118" t="n"/>
      <c r="D982" s="118" t="n"/>
      <c r="E982" s="118" t="n"/>
      <c r="F982" s="123" t="n"/>
      <c r="G982" s="119" t="n"/>
      <c r="H982" s="123" t="n"/>
      <c r="I982" s="123" t="n"/>
      <c r="J982" s="125" t="n"/>
      <c r="K982" s="120" t="n"/>
      <c r="N982" s="117" t="n"/>
      <c r="O982" s="117" t="n"/>
      <c r="P982" s="117" t="n"/>
      <c r="Q982" s="117" t="n"/>
      <c r="R982" s="118" t="n"/>
      <c r="S982" s="119" t="n"/>
      <c r="T982" s="120" t="n"/>
      <c r="U982" s="123" t="n"/>
      <c r="V982" s="123" t="n"/>
      <c r="Y982" s="117" t="n"/>
      <c r="Z982" s="117" t="n"/>
      <c r="AA982" s="118" t="n"/>
      <c r="AB982" s="119" t="n"/>
      <c r="AC982" s="120" t="n"/>
      <c r="AD982" s="120" t="n"/>
      <c r="AE982" s="120" t="n"/>
    </row>
    <row r="983" ht="15" customHeight="1" s="72">
      <c r="A983" s="117" t="n"/>
      <c r="B983" s="117" t="n"/>
      <c r="C983" s="118" t="n"/>
      <c r="D983" s="118" t="n"/>
      <c r="E983" s="118" t="n"/>
      <c r="F983" s="123" t="n"/>
      <c r="G983" s="119" t="n"/>
      <c r="H983" s="123" t="n"/>
      <c r="I983" s="123" t="n"/>
      <c r="J983" s="125" t="n"/>
      <c r="K983" s="120" t="n"/>
      <c r="N983" s="117" t="n"/>
      <c r="O983" s="117" t="n"/>
      <c r="P983" s="117" t="n"/>
      <c r="Q983" s="117" t="n"/>
      <c r="R983" s="118" t="n"/>
      <c r="S983" s="119" t="n"/>
      <c r="T983" s="120" t="n"/>
      <c r="U983" s="123" t="n"/>
      <c r="V983" s="123" t="n"/>
      <c r="Y983" s="117" t="n"/>
      <c r="Z983" s="117" t="n"/>
      <c r="AA983" s="118" t="n"/>
      <c r="AB983" s="119" t="n"/>
      <c r="AC983" s="120" t="n"/>
      <c r="AD983" s="120" t="n"/>
      <c r="AE983" s="120" t="n"/>
    </row>
    <row r="984" ht="15" customHeight="1" s="72">
      <c r="A984" s="117" t="n"/>
      <c r="B984" s="117" t="n"/>
      <c r="C984" s="118" t="n"/>
      <c r="D984" s="118" t="n"/>
      <c r="E984" s="118" t="n"/>
      <c r="F984" s="123" t="n"/>
      <c r="G984" s="119" t="n"/>
      <c r="H984" s="123" t="n"/>
      <c r="I984" s="123" t="n"/>
      <c r="J984" s="125" t="n"/>
      <c r="K984" s="120" t="n"/>
      <c r="N984" s="117" t="n"/>
      <c r="O984" s="117" t="n"/>
      <c r="P984" s="117" t="n"/>
      <c r="Q984" s="117" t="n"/>
      <c r="R984" s="118" t="n"/>
      <c r="S984" s="119" t="n"/>
      <c r="T984" s="120" t="n"/>
      <c r="U984" s="123" t="n"/>
      <c r="V984" s="123" t="n"/>
      <c r="Y984" s="117" t="n"/>
      <c r="Z984" s="117" t="n"/>
      <c r="AA984" s="118" t="n"/>
      <c r="AB984" s="119" t="n"/>
      <c r="AC984" s="120" t="n"/>
      <c r="AD984" s="120" t="n"/>
      <c r="AE984" s="120" t="n"/>
    </row>
    <row r="985" ht="15" customHeight="1" s="72">
      <c r="A985" s="117" t="n"/>
      <c r="B985" s="117" t="n"/>
      <c r="C985" s="118" t="n"/>
      <c r="D985" s="118" t="n"/>
      <c r="E985" s="118" t="n"/>
      <c r="F985" s="123" t="n"/>
      <c r="G985" s="119" t="n"/>
      <c r="H985" s="123" t="n"/>
      <c r="I985" s="123" t="n"/>
      <c r="J985" s="125" t="n"/>
      <c r="K985" s="120" t="n"/>
      <c r="N985" s="117" t="n"/>
      <c r="O985" s="117" t="n"/>
      <c r="P985" s="117" t="n"/>
      <c r="Q985" s="117" t="n"/>
      <c r="R985" s="118" t="n"/>
      <c r="S985" s="119" t="n"/>
      <c r="T985" s="120" t="n"/>
      <c r="U985" s="123" t="n"/>
      <c r="V985" s="123" t="n"/>
      <c r="Y985" s="117" t="n"/>
      <c r="Z985" s="117" t="n"/>
      <c r="AA985" s="118" t="n"/>
      <c r="AB985" s="119" t="n"/>
      <c r="AC985" s="120" t="n"/>
      <c r="AD985" s="120" t="n"/>
      <c r="AE985" s="120" t="n"/>
    </row>
    <row r="986" ht="15" customHeight="1" s="72">
      <c r="A986" s="117" t="n"/>
      <c r="B986" s="117" t="n"/>
      <c r="C986" s="118" t="n"/>
      <c r="D986" s="118" t="n"/>
      <c r="E986" s="118" t="n"/>
      <c r="F986" s="123" t="n"/>
      <c r="G986" s="119" t="n"/>
      <c r="H986" s="123" t="n"/>
      <c r="I986" s="123" t="n"/>
      <c r="J986" s="125" t="n"/>
      <c r="K986" s="120" t="n"/>
      <c r="N986" s="117" t="n"/>
      <c r="O986" s="117" t="n"/>
      <c r="P986" s="117" t="n"/>
      <c r="Q986" s="117" t="n"/>
      <c r="R986" s="118" t="n"/>
      <c r="S986" s="119" t="n"/>
      <c r="T986" s="120" t="n"/>
      <c r="U986" s="123" t="n"/>
      <c r="V986" s="123" t="n"/>
      <c r="Y986" s="117" t="n"/>
      <c r="Z986" s="117" t="n"/>
      <c r="AA986" s="118" t="n"/>
      <c r="AB986" s="119" t="n"/>
      <c r="AC986" s="120" t="n"/>
      <c r="AD986" s="120" t="n"/>
      <c r="AE986" s="120" t="n"/>
    </row>
    <row r="987" ht="15" customHeight="1" s="72">
      <c r="A987" s="117" t="n"/>
      <c r="B987" s="117" t="n"/>
      <c r="C987" s="118" t="n"/>
      <c r="D987" s="118" t="n"/>
      <c r="E987" s="118" t="n"/>
      <c r="F987" s="123" t="n"/>
      <c r="G987" s="119" t="n"/>
      <c r="H987" s="123" t="n"/>
      <c r="I987" s="123" t="n"/>
      <c r="J987" s="125" t="n"/>
      <c r="K987" s="120" t="n"/>
      <c r="N987" s="117" t="n"/>
      <c r="O987" s="117" t="n"/>
      <c r="P987" s="117" t="n"/>
      <c r="Q987" s="117" t="n"/>
      <c r="R987" s="118" t="n"/>
      <c r="S987" s="119" t="n"/>
      <c r="T987" s="120" t="n"/>
      <c r="U987" s="123" t="n"/>
      <c r="V987" s="123" t="n"/>
      <c r="Y987" s="117" t="n"/>
      <c r="Z987" s="117" t="n"/>
      <c r="AA987" s="118" t="n"/>
      <c r="AB987" s="119" t="n"/>
      <c r="AC987" s="120" t="n"/>
      <c r="AD987" s="120" t="n"/>
      <c r="AE987" s="120" t="n"/>
    </row>
    <row r="988" ht="15" customHeight="1" s="72">
      <c r="A988" s="117" t="n"/>
      <c r="B988" s="117" t="n"/>
      <c r="C988" s="118" t="n"/>
      <c r="D988" s="118" t="n"/>
      <c r="E988" s="118" t="n"/>
      <c r="F988" s="123" t="n"/>
      <c r="G988" s="119" t="n"/>
      <c r="H988" s="123" t="n"/>
      <c r="I988" s="123" t="n"/>
      <c r="J988" s="125" t="n"/>
      <c r="K988" s="120" t="n"/>
      <c r="N988" s="117" t="n"/>
      <c r="O988" s="117" t="n"/>
      <c r="P988" s="117" t="n"/>
      <c r="Q988" s="117" t="n"/>
      <c r="R988" s="118" t="n"/>
      <c r="S988" s="119" t="n"/>
      <c r="T988" s="120" t="n"/>
      <c r="U988" s="123" t="n"/>
      <c r="V988" s="123" t="n"/>
      <c r="Y988" s="117" t="n"/>
      <c r="Z988" s="117" t="n"/>
      <c r="AA988" s="118" t="n"/>
      <c r="AB988" s="119" t="n"/>
      <c r="AC988" s="120" t="n"/>
      <c r="AD988" s="120" t="n"/>
      <c r="AE988" s="120" t="n"/>
    </row>
    <row r="989" ht="15" customHeight="1" s="72">
      <c r="A989" s="117" t="n"/>
      <c r="B989" s="117" t="n"/>
      <c r="C989" s="118" t="n"/>
      <c r="D989" s="118" t="n"/>
      <c r="E989" s="118" t="n"/>
      <c r="F989" s="123" t="n"/>
      <c r="G989" s="119" t="n"/>
      <c r="H989" s="123" t="n"/>
      <c r="I989" s="123" t="n"/>
      <c r="J989" s="125" t="n"/>
      <c r="K989" s="120" t="n"/>
      <c r="N989" s="117" t="n"/>
      <c r="O989" s="117" t="n"/>
      <c r="P989" s="117" t="n"/>
      <c r="Q989" s="117" t="n"/>
      <c r="R989" s="118" t="n"/>
      <c r="S989" s="119" t="n"/>
      <c r="T989" s="120" t="n"/>
      <c r="U989" s="123" t="n"/>
      <c r="V989" s="123" t="n"/>
      <c r="Y989" s="117" t="n"/>
      <c r="Z989" s="117" t="n"/>
      <c r="AA989" s="118" t="n"/>
      <c r="AB989" s="119" t="n"/>
      <c r="AC989" s="120" t="n"/>
      <c r="AD989" s="120" t="n"/>
      <c r="AE989" s="120" t="n"/>
    </row>
    <row r="990" ht="15" customHeight="1" s="72">
      <c r="A990" s="117" t="n"/>
      <c r="B990" s="117" t="n"/>
      <c r="C990" s="118" t="n"/>
      <c r="D990" s="118" t="n"/>
      <c r="E990" s="118" t="n"/>
      <c r="F990" s="123" t="n"/>
      <c r="G990" s="119" t="n"/>
      <c r="H990" s="123" t="n"/>
      <c r="I990" s="123" t="n"/>
      <c r="J990" s="125" t="n"/>
      <c r="K990" s="120" t="n"/>
      <c r="N990" s="117" t="n"/>
      <c r="O990" s="117" t="n"/>
      <c r="P990" s="117" t="n"/>
      <c r="Q990" s="117" t="n"/>
      <c r="R990" s="118" t="n"/>
      <c r="S990" s="119" t="n"/>
      <c r="T990" s="120" t="n"/>
      <c r="U990" s="123" t="n"/>
      <c r="V990" s="123" t="n"/>
      <c r="Y990" s="117" t="n"/>
      <c r="Z990" s="117" t="n"/>
      <c r="AA990" s="118" t="n"/>
      <c r="AB990" s="119" t="n"/>
      <c r="AC990" s="120" t="n"/>
      <c r="AD990" s="120" t="n"/>
      <c r="AE990" s="120" t="n"/>
    </row>
    <row r="991" ht="15" customHeight="1" s="72">
      <c r="A991" s="117" t="n"/>
      <c r="B991" s="117" t="n"/>
      <c r="C991" s="118" t="n"/>
      <c r="D991" s="118" t="n"/>
      <c r="E991" s="118" t="n"/>
      <c r="F991" s="123" t="n"/>
      <c r="G991" s="119" t="n"/>
      <c r="H991" s="123" t="n"/>
      <c r="I991" s="123" t="n"/>
      <c r="J991" s="125" t="n"/>
      <c r="K991" s="120" t="n"/>
      <c r="N991" s="117" t="n"/>
      <c r="O991" s="117" t="n"/>
      <c r="P991" s="117" t="n"/>
      <c r="Q991" s="117" t="n"/>
      <c r="R991" s="118" t="n"/>
      <c r="S991" s="119" t="n"/>
      <c r="T991" s="120" t="n"/>
      <c r="U991" s="123" t="n"/>
      <c r="V991" s="123" t="n"/>
      <c r="Y991" s="117" t="n"/>
      <c r="Z991" s="117" t="n"/>
      <c r="AA991" s="118" t="n"/>
      <c r="AB991" s="119" t="n"/>
      <c r="AC991" s="120" t="n"/>
      <c r="AD991" s="120" t="n"/>
      <c r="AE991" s="120" t="n"/>
    </row>
    <row r="992" ht="15" customHeight="1" s="72">
      <c r="A992" s="117" t="n"/>
      <c r="B992" s="117" t="n"/>
      <c r="C992" s="118" t="n"/>
      <c r="D992" s="118" t="n"/>
      <c r="E992" s="118" t="n"/>
      <c r="F992" s="123" t="n"/>
      <c r="G992" s="119" t="n"/>
      <c r="H992" s="123" t="n"/>
      <c r="I992" s="123" t="n"/>
      <c r="J992" s="125" t="n"/>
      <c r="K992" s="120" t="n"/>
      <c r="N992" s="117" t="n"/>
      <c r="O992" s="117" t="n"/>
      <c r="P992" s="117" t="n"/>
      <c r="Q992" s="117" t="n"/>
      <c r="R992" s="118" t="n"/>
      <c r="S992" s="119" t="n"/>
      <c r="T992" s="120" t="n"/>
      <c r="U992" s="123" t="n"/>
      <c r="V992" s="123" t="n"/>
      <c r="Y992" s="117" t="n"/>
      <c r="Z992" s="117" t="n"/>
      <c r="AA992" s="118" t="n"/>
      <c r="AB992" s="119" t="n"/>
      <c r="AC992" s="120" t="n"/>
      <c r="AD992" s="120" t="n"/>
      <c r="AE992" s="120" t="n"/>
    </row>
    <row r="993" ht="15" customHeight="1" s="72">
      <c r="A993" s="117" t="n"/>
      <c r="B993" s="117" t="n"/>
      <c r="C993" s="118" t="n"/>
      <c r="D993" s="118" t="n"/>
      <c r="E993" s="118" t="n"/>
      <c r="F993" s="123" t="n"/>
      <c r="G993" s="119" t="n"/>
      <c r="H993" s="123" t="n"/>
      <c r="I993" s="123" t="n"/>
      <c r="J993" s="125" t="n"/>
      <c r="K993" s="120" t="n"/>
      <c r="N993" s="117" t="n"/>
      <c r="O993" s="117" t="n"/>
      <c r="P993" s="117" t="n"/>
      <c r="Q993" s="117" t="n"/>
      <c r="R993" s="118" t="n"/>
      <c r="S993" s="119" t="n"/>
      <c r="T993" s="120" t="n"/>
      <c r="U993" s="123" t="n"/>
      <c r="V993" s="123" t="n"/>
      <c r="Y993" s="117" t="n"/>
      <c r="Z993" s="117" t="n"/>
      <c r="AA993" s="118" t="n"/>
      <c r="AB993" s="119" t="n"/>
      <c r="AC993" s="120" t="n"/>
      <c r="AD993" s="120" t="n"/>
      <c r="AE993" s="120" t="n"/>
    </row>
    <row r="994" ht="15" customHeight="1" s="72">
      <c r="A994" s="117" t="n"/>
      <c r="B994" s="117" t="n"/>
      <c r="C994" s="118" t="n"/>
      <c r="D994" s="118" t="n"/>
      <c r="E994" s="118" t="n"/>
      <c r="F994" s="123" t="n"/>
      <c r="G994" s="119" t="n"/>
      <c r="H994" s="123" t="n"/>
      <c r="I994" s="123" t="n"/>
      <c r="J994" s="125" t="n"/>
      <c r="K994" s="120" t="n"/>
      <c r="N994" s="117" t="n"/>
      <c r="O994" s="117" t="n"/>
      <c r="P994" s="117" t="n"/>
      <c r="Q994" s="117" t="n"/>
      <c r="R994" s="118" t="n"/>
      <c r="S994" s="119" t="n"/>
      <c r="T994" s="120" t="n"/>
      <c r="U994" s="123" t="n"/>
      <c r="V994" s="123" t="n"/>
      <c r="Y994" s="117" t="n"/>
      <c r="Z994" s="117" t="n"/>
      <c r="AA994" s="118" t="n"/>
      <c r="AB994" s="119" t="n"/>
      <c r="AC994" s="120" t="n"/>
      <c r="AD994" s="120" t="n"/>
      <c r="AE994" s="120" t="n"/>
    </row>
    <row r="995" ht="15" customHeight="1" s="72">
      <c r="A995" s="117" t="n"/>
      <c r="B995" s="117" t="n"/>
      <c r="C995" s="118" t="n"/>
      <c r="D995" s="118" t="n"/>
      <c r="E995" s="118" t="n"/>
      <c r="F995" s="123" t="n"/>
      <c r="G995" s="119" t="n"/>
      <c r="H995" s="123" t="n"/>
      <c r="I995" s="123" t="n"/>
      <c r="J995" s="125" t="n"/>
      <c r="K995" s="120" t="n"/>
      <c r="N995" s="117" t="n"/>
      <c r="O995" s="117" t="n"/>
      <c r="P995" s="117" t="n"/>
      <c r="Q995" s="117" t="n"/>
      <c r="R995" s="118" t="n"/>
      <c r="S995" s="119" t="n"/>
      <c r="T995" s="120" t="n"/>
      <c r="U995" s="123" t="n"/>
      <c r="V995" s="123" t="n"/>
      <c r="Y995" s="117" t="n"/>
      <c r="Z995" s="117" t="n"/>
      <c r="AA995" s="118" t="n"/>
      <c r="AB995" s="119" t="n"/>
      <c r="AC995" s="120" t="n"/>
      <c r="AD995" s="120" t="n"/>
      <c r="AE995" s="120" t="n"/>
    </row>
    <row r="996" ht="15" customHeight="1" s="72">
      <c r="A996" s="117" t="n"/>
      <c r="B996" s="117" t="n"/>
      <c r="C996" s="118" t="n"/>
      <c r="D996" s="118" t="n"/>
      <c r="E996" s="118" t="n"/>
      <c r="F996" s="123" t="n"/>
      <c r="G996" s="119" t="n"/>
      <c r="H996" s="123" t="n"/>
      <c r="I996" s="123" t="n"/>
      <c r="J996" s="125" t="n"/>
      <c r="K996" s="120" t="n"/>
      <c r="N996" s="117" t="n"/>
      <c r="O996" s="117" t="n"/>
      <c r="P996" s="117" t="n"/>
      <c r="Q996" s="117" t="n"/>
      <c r="R996" s="118" t="n"/>
      <c r="S996" s="119" t="n"/>
      <c r="T996" s="120" t="n"/>
      <c r="U996" s="123" t="n"/>
      <c r="V996" s="123" t="n"/>
      <c r="Y996" s="117" t="n"/>
      <c r="Z996" s="117" t="n"/>
      <c r="AA996" s="118" t="n"/>
      <c r="AB996" s="119" t="n"/>
      <c r="AC996" s="120" t="n"/>
      <c r="AD996" s="120" t="n"/>
      <c r="AE996" s="120" t="n"/>
    </row>
    <row r="997" ht="15" customHeight="1" s="72">
      <c r="A997" s="117" t="n"/>
      <c r="B997" s="117" t="n"/>
      <c r="C997" s="118" t="n"/>
      <c r="D997" s="118" t="n"/>
      <c r="E997" s="118" t="n"/>
      <c r="F997" s="123" t="n"/>
      <c r="G997" s="119" t="n"/>
      <c r="H997" s="123" t="n"/>
      <c r="I997" s="123" t="n"/>
      <c r="J997" s="125" t="n"/>
      <c r="K997" s="120" t="n"/>
      <c r="N997" s="117" t="n"/>
      <c r="O997" s="117" t="n"/>
      <c r="P997" s="117" t="n"/>
      <c r="Q997" s="117" t="n"/>
      <c r="R997" s="118" t="n"/>
      <c r="S997" s="119" t="n"/>
      <c r="T997" s="120" t="n"/>
      <c r="U997" s="123" t="n"/>
      <c r="V997" s="123" t="n"/>
      <c r="Y997" s="117" t="n"/>
      <c r="Z997" s="117" t="n"/>
      <c r="AA997" s="118" t="n"/>
      <c r="AB997" s="119" t="n"/>
      <c r="AC997" s="120" t="n"/>
      <c r="AD997" s="120" t="n"/>
      <c r="AE997" s="120" t="n"/>
    </row>
    <row r="998" ht="15" customHeight="1" s="72">
      <c r="A998" s="117" t="n"/>
      <c r="B998" s="117" t="n"/>
      <c r="C998" s="118" t="n"/>
      <c r="D998" s="118" t="n"/>
      <c r="E998" s="118" t="n"/>
      <c r="F998" s="123" t="n"/>
      <c r="G998" s="119" t="n"/>
      <c r="H998" s="123" t="n"/>
      <c r="I998" s="123" t="n"/>
      <c r="J998" s="125" t="n"/>
      <c r="K998" s="120" t="n"/>
      <c r="N998" s="117" t="n"/>
      <c r="O998" s="117" t="n"/>
      <c r="P998" s="117" t="n"/>
      <c r="Q998" s="117" t="n"/>
      <c r="R998" s="118" t="n"/>
      <c r="S998" s="119" t="n"/>
      <c r="T998" s="120" t="n"/>
      <c r="U998" s="123" t="n"/>
      <c r="V998" s="123" t="n"/>
      <c r="Y998" s="117" t="n"/>
      <c r="Z998" s="117" t="n"/>
      <c r="AA998" s="118" t="n"/>
      <c r="AB998" s="119" t="n"/>
      <c r="AC998" s="120" t="n"/>
      <c r="AD998" s="120" t="n"/>
      <c r="AE998" s="120" t="n"/>
    </row>
    <row r="999" ht="15" customHeight="1" s="72">
      <c r="A999" s="117" t="n"/>
      <c r="B999" s="117" t="n"/>
      <c r="C999" s="118" t="n"/>
      <c r="D999" s="118" t="n"/>
      <c r="E999" s="118" t="n"/>
      <c r="F999" s="123" t="n"/>
      <c r="G999" s="119" t="n"/>
      <c r="H999" s="123" t="n"/>
      <c r="I999" s="123" t="n"/>
      <c r="J999" s="125" t="n"/>
      <c r="K999" s="120" t="n"/>
      <c r="N999" s="117" t="n"/>
      <c r="O999" s="117" t="n"/>
      <c r="P999" s="117" t="n"/>
      <c r="Q999" s="117" t="n"/>
      <c r="R999" s="118" t="n"/>
      <c r="S999" s="119" t="n"/>
      <c r="T999" s="120" t="n"/>
      <c r="U999" s="123" t="n"/>
      <c r="V999" s="123" t="n"/>
      <c r="Y999" s="117" t="n"/>
      <c r="Z999" s="117" t="n"/>
      <c r="AA999" s="118" t="n"/>
      <c r="AB999" s="119" t="n"/>
      <c r="AC999" s="120" t="n"/>
      <c r="AD999" s="120" t="n"/>
      <c r="AE999" s="120" t="n"/>
    </row>
    <row r="1000" ht="15" customHeight="1" s="72">
      <c r="A1000" s="117" t="n"/>
      <c r="B1000" s="117" t="n"/>
      <c r="C1000" s="118" t="n"/>
      <c r="D1000" s="118" t="n"/>
      <c r="E1000" s="118" t="n"/>
      <c r="F1000" s="123" t="n"/>
      <c r="G1000" s="119" t="n"/>
      <c r="H1000" s="123" t="n"/>
      <c r="I1000" s="123" t="n"/>
      <c r="J1000" s="125" t="n"/>
      <c r="K1000" s="120" t="n"/>
      <c r="N1000" s="117" t="n"/>
      <c r="O1000" s="117" t="n"/>
      <c r="P1000" s="117" t="n"/>
      <c r="Q1000" s="117" t="n"/>
      <c r="R1000" s="118" t="n"/>
      <c r="S1000" s="119" t="n"/>
      <c r="T1000" s="120" t="n"/>
      <c r="U1000" s="123" t="n"/>
      <c r="V1000" s="123" t="n"/>
      <c r="Y1000" s="117" t="n"/>
      <c r="Z1000" s="117" t="n"/>
      <c r="AA1000" s="118" t="n"/>
      <c r="AB1000" s="119" t="n"/>
      <c r="AC1000" s="120" t="n"/>
      <c r="AD1000" s="120" t="n"/>
      <c r="AE1000" s="120" t="n"/>
    </row>
    <row r="1001" ht="15" customHeight="1" s="72">
      <c r="A1001" s="117" t="n"/>
      <c r="B1001" s="117" t="n"/>
      <c r="C1001" s="118" t="n"/>
      <c r="D1001" s="118" t="n"/>
      <c r="E1001" s="118" t="n"/>
      <c r="F1001" s="123" t="n"/>
      <c r="G1001" s="119" t="n"/>
      <c r="H1001" s="123" t="n"/>
      <c r="I1001" s="123" t="n"/>
      <c r="J1001" s="125" t="n"/>
      <c r="K1001" s="120" t="n"/>
      <c r="N1001" s="117" t="n"/>
      <c r="O1001" s="117" t="n"/>
      <c r="P1001" s="117" t="n"/>
      <c r="Q1001" s="117" t="n"/>
      <c r="R1001" s="118" t="n"/>
      <c r="S1001" s="119" t="n"/>
      <c r="T1001" s="120" t="n"/>
      <c r="U1001" s="123" t="n"/>
      <c r="V1001" s="123" t="n"/>
      <c r="Y1001" s="117" t="n"/>
      <c r="Z1001" s="117" t="n"/>
      <c r="AA1001" s="118" t="n"/>
      <c r="AB1001" s="119" t="n"/>
      <c r="AC1001" s="120" t="n"/>
      <c r="AD1001" s="120" t="n"/>
      <c r="AE1001" s="120" t="n"/>
    </row>
    <row r="1002" ht="15" customHeight="1" s="72">
      <c r="A1002" s="117" t="n"/>
      <c r="B1002" s="117" t="n"/>
      <c r="C1002" s="118" t="n"/>
      <c r="D1002" s="118" t="n"/>
      <c r="E1002" s="118" t="n"/>
      <c r="F1002" s="123" t="n"/>
      <c r="G1002" s="119" t="n"/>
      <c r="H1002" s="123" t="n"/>
      <c r="I1002" s="123" t="n"/>
      <c r="J1002" s="125" t="n"/>
      <c r="K1002" s="120" t="n"/>
      <c r="N1002" s="117" t="n"/>
      <c r="O1002" s="117" t="n"/>
      <c r="P1002" s="117" t="n"/>
      <c r="Q1002" s="117" t="n"/>
      <c r="R1002" s="118" t="n"/>
      <c r="S1002" s="119" t="n"/>
      <c r="T1002" s="120" t="n"/>
      <c r="U1002" s="123" t="n"/>
      <c r="V1002" s="123" t="n"/>
      <c r="Y1002" s="117" t="n"/>
      <c r="Z1002" s="117" t="n"/>
      <c r="AA1002" s="118" t="n"/>
      <c r="AB1002" s="119" t="n"/>
      <c r="AC1002" s="120" t="n"/>
      <c r="AD1002" s="120" t="n"/>
      <c r="AE1002" s="120" t="n"/>
    </row>
    <row r="1003" ht="15" customHeight="1" s="72">
      <c r="A1003" s="117" t="n"/>
      <c r="B1003" s="117" t="n"/>
      <c r="C1003" s="118" t="n"/>
      <c r="D1003" s="118" t="n"/>
      <c r="E1003" s="118" t="n"/>
      <c r="F1003" s="123" t="n"/>
      <c r="G1003" s="119" t="n"/>
      <c r="H1003" s="123" t="n"/>
      <c r="I1003" s="123" t="n"/>
      <c r="J1003" s="125" t="n"/>
      <c r="K1003" s="120" t="n"/>
      <c r="N1003" s="117" t="n"/>
      <c r="O1003" s="117" t="n"/>
      <c r="P1003" s="117" t="n"/>
      <c r="Q1003" s="117" t="n"/>
      <c r="R1003" s="118" t="n"/>
      <c r="S1003" s="119" t="n"/>
      <c r="T1003" s="120" t="n"/>
      <c r="U1003" s="123" t="n"/>
      <c r="V1003" s="123" t="n"/>
      <c r="Y1003" s="117" t="n"/>
      <c r="Z1003" s="117" t="n"/>
      <c r="AA1003" s="118" t="n"/>
      <c r="AB1003" s="119" t="n"/>
      <c r="AC1003" s="120" t="n"/>
      <c r="AD1003" s="120" t="n"/>
      <c r="AE1003" s="120" t="n"/>
    </row>
    <row r="1004" ht="15" customHeight="1" s="72">
      <c r="A1004" s="117" t="n"/>
      <c r="B1004" s="117" t="n"/>
      <c r="C1004" s="118" t="n"/>
      <c r="D1004" s="118" t="n"/>
      <c r="E1004" s="118" t="n"/>
      <c r="F1004" s="123" t="n"/>
      <c r="G1004" s="119" t="n"/>
      <c r="H1004" s="123" t="n"/>
      <c r="I1004" s="123" t="n"/>
      <c r="J1004" s="125" t="n"/>
      <c r="K1004" s="120" t="n"/>
      <c r="N1004" s="117" t="n"/>
      <c r="O1004" s="117" t="n"/>
      <c r="P1004" s="117" t="n"/>
      <c r="Q1004" s="117" t="n"/>
      <c r="R1004" s="118" t="n"/>
      <c r="S1004" s="119" t="n"/>
      <c r="T1004" s="120" t="n"/>
      <c r="U1004" s="123" t="n"/>
      <c r="V1004" s="123" t="n"/>
      <c r="Y1004" s="117" t="n"/>
      <c r="Z1004" s="117" t="n"/>
      <c r="AA1004" s="118" t="n"/>
      <c r="AB1004" s="119" t="n"/>
      <c r="AC1004" s="120" t="n"/>
      <c r="AD1004" s="120" t="n"/>
      <c r="AE1004" s="120" t="n"/>
    </row>
    <row r="1005" ht="15" customHeight="1" s="72">
      <c r="A1005" s="117" t="n"/>
      <c r="B1005" s="117" t="n"/>
      <c r="C1005" s="117" t="n"/>
      <c r="D1005" s="117" t="n"/>
      <c r="E1005" s="117" t="n"/>
      <c r="G1005" s="117" t="n"/>
      <c r="N1005" s="117" t="n"/>
      <c r="O1005" s="117" t="n"/>
      <c r="P1005" s="117" t="n"/>
      <c r="Q1005" s="117" t="n"/>
      <c r="R1005" s="117" t="n"/>
      <c r="S1005" s="117" t="n"/>
      <c r="Y1005" s="117" t="n"/>
      <c r="Z1005" s="117" t="n"/>
      <c r="AA1005" s="117" t="n"/>
      <c r="AB1005" s="11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3"/>
  </cols>
  <sheetData>
    <row r="1" ht="15" customHeight="1" s="72">
      <c r="A1" s="98" t="inlineStr">
        <is>
          <t>VARYANS — reçete versiyon köprüsü</t>
        </is>
      </c>
    </row>
    <row r="3" ht="15" customHeight="1" s="72">
      <c r="A3" s="98" t="inlineStr">
        <is>
          <t>versiyon</t>
        </is>
      </c>
      <c r="B3" s="98" t="inlineStr">
        <is>
          <t>varyans_tl</t>
        </is>
      </c>
      <c r="C3" s="98" t="inlineStr">
        <is>
          <t>aciklama</t>
        </is>
      </c>
    </row>
    <row r="4" ht="15" customHeight="1" s="72">
      <c r="A4" s="98" t="inlineStr">
        <is>
          <t>v1</t>
        </is>
      </c>
      <c r="B4" s="137" t="n">
        <v>0</v>
      </c>
      <c r="C4" s="98" t="inlineStr">
        <is>
          <t>baz reçete</t>
        </is>
      </c>
    </row>
    <row r="5" ht="15" customHeight="1" s="72">
      <c r="A5" s="98" t="inlineStr">
        <is>
          <t>v2</t>
        </is>
      </c>
      <c r="B5" s="137" t="n">
        <v>12.5</v>
      </c>
      <c r="C5" s="98" t="inlineStr">
        <is>
          <t>zam yansıtma varyansı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8" min="1" max="1"/>
    <col width="12" customWidth="1" style="98" min="2" max="2"/>
    <col width="40" customWidth="1" style="98" min="3" max="3"/>
    <col width="32" customWidth="1" style="98" min="4" max="4"/>
    <col width="18" customWidth="1" style="98" min="5" max="5"/>
  </cols>
  <sheetData>
    <row r="1" ht="25.5" customHeight="1" s="72">
      <c r="A1" s="99" t="inlineStr">
        <is>
          <t>DEGISIKLIK KAYDI — Mutfak Kayıp/Kaçak Hesaplayıcı</t>
        </is>
      </c>
    </row>
    <row r="3" ht="15.75" customHeight="1" s="72">
      <c r="A3" s="105" t="inlineStr">
        <is>
          <t>Değişiklik Kaydı</t>
        </is>
      </c>
    </row>
    <row r="4" ht="30" customHeight="1" s="72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2">
      <c r="A5" s="128" t="inlineStr">
        <is>
          <t>10.08.2026</t>
        </is>
      </c>
      <c r="B5" s="128" t="inlineStr">
        <is>
          <t>1.0.0</t>
        </is>
      </c>
      <c r="C5" s="128" t="inlineStr">
        <is>
          <t>İlk üretim</t>
        </is>
      </c>
      <c r="D5" s="128" t="inlineStr">
        <is>
          <t>Ürünün yayına hazırlanması</t>
        </is>
      </c>
      <c r="E5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  <col width="16" customWidth="1" style="98" min="3" max="3"/>
  </cols>
  <sheetData>
    <row r="1" ht="25.5" customHeight="1" s="72">
      <c r="A1" s="99" t="inlineStr">
        <is>
          <t>LISTELER — Mutfak Kayıp/Kaçak Hesaplayıcı</t>
        </is>
      </c>
    </row>
    <row r="3" ht="15" customHeight="1" s="72">
      <c r="A3" s="102" t="inlineStr">
        <is>
          <t>Bağlı Listeler</t>
        </is>
      </c>
    </row>
    <row r="4" ht="54.75" customHeight="1" s="72">
      <c r="A4" s="101" t="inlineStr">
        <is>
          <t>Bu sayfadaki listeler açılır menüleri besler; yeni seçenek eklemek için sarı hücrelere yazın.</t>
        </is>
      </c>
    </row>
    <row r="6" ht="15" customHeight="1" s="72">
      <c r="A6" s="133" t="inlineStr">
        <is>
          <t>Hammaddeler</t>
        </is>
      </c>
    </row>
    <row r="7" ht="15" customHeight="1" s="72">
      <c r="A7" s="154" t="inlineStr">
        <is>
          <t>Un</t>
        </is>
      </c>
      <c r="C7" s="154" t="inlineStr">
        <is>
          <t>kg</t>
        </is>
      </c>
    </row>
    <row r="8" ht="15" customHeight="1" s="72">
      <c r="A8" s="154" t="inlineStr">
        <is>
          <t>Yumurta</t>
        </is>
      </c>
      <c r="C8" s="154" t="inlineStr">
        <is>
          <t>gr</t>
        </is>
      </c>
    </row>
    <row r="9" ht="15" customHeight="1" s="72">
      <c r="A9" s="154" t="inlineStr">
        <is>
          <t>Tereyağı</t>
        </is>
      </c>
      <c r="C9" s="154" t="inlineStr">
        <is>
          <t>lt</t>
        </is>
      </c>
    </row>
    <row r="10" ht="15" customHeight="1" s="72">
      <c r="A10" s="154" t="inlineStr">
        <is>
          <t>Peynir</t>
        </is>
      </c>
      <c r="C10" s="154" t="inlineStr">
        <is>
          <t>adet</t>
        </is>
      </c>
    </row>
    <row r="11" ht="15" customHeight="1" s="72">
      <c r="A11" s="154" t="inlineStr">
        <is>
          <t>Zeytin</t>
        </is>
      </c>
      <c r="C11" s="154" t="inlineStr">
        <is>
          <t>paket</t>
        </is>
      </c>
    </row>
    <row r="12" ht="15" customHeight="1" s="72">
      <c r="A12" s="154" t="inlineStr">
        <is>
          <t>Salça</t>
        </is>
      </c>
      <c r="C12" s="154" t="inlineStr">
        <is>
          <t>m</t>
        </is>
      </c>
    </row>
    <row r="13" ht="15" customHeight="1" s="72">
      <c r="A13" s="154" t="inlineStr">
        <is>
          <t>Et</t>
        </is>
      </c>
    </row>
    <row r="14" ht="15" customHeight="1" s="72">
      <c r="A14" s="154" t="inlineStr">
        <is>
          <t>Tavuk</t>
        </is>
      </c>
    </row>
    <row r="15" ht="15" customHeight="1" s="72">
      <c r="A15" s="154" t="inlineStr">
        <is>
          <t>Patates</t>
        </is>
      </c>
    </row>
    <row r="16" ht="15" customHeight="1" s="72">
      <c r="A16" s="154" t="inlineStr">
        <is>
          <t>Domates</t>
        </is>
      </c>
    </row>
    <row r="17" ht="15" customHeight="1" s="72">
      <c r="A17" s="154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24" customWidth="1" style="98" min="2" max="2"/>
    <col width="12" customWidth="1" style="98" min="3" max="3"/>
    <col width="10" customWidth="1" style="98" min="4" max="5"/>
    <col width="60" customWidth="1" style="98" min="6" max="6"/>
    <col width="22" customWidth="1" style="98" min="7" max="7"/>
    <col width="16" customWidth="1" style="98" min="8" max="8"/>
    <col width="18" customWidth="1" style="98" min="9" max="9"/>
  </cols>
  <sheetData>
    <row r="1" ht="25.5" customHeight="1" s="72">
      <c r="A1" s="99" t="inlineStr">
        <is>
          <t>AYARLAR — Mutfak Kayıp/Kaçak Hesaplayıcı</t>
        </is>
      </c>
    </row>
    <row r="3" ht="15" customHeight="1" s="72">
      <c r="A3" s="102" t="inlineStr">
        <is>
          <t>Sistem Ayarları ve Eşikler</t>
        </is>
      </c>
    </row>
    <row r="4" ht="54.75" customHeight="1" s="72">
      <c r="A4" s="101" t="inlineStr">
        <is>
          <t>Tüm sabitler bu sayfadadır. Eşikler, senaryo çarpanları ve oranları güncelleyin; değişen her değer tüm hesaplamalara anında yansır.</t>
        </is>
      </c>
    </row>
    <row r="6" ht="30" customHeight="1" s="72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alt</t>
        </is>
      </c>
      <c r="E6" s="111" t="inlineStr">
        <is>
          <t>ust</t>
        </is>
      </c>
      <c r="F6" s="111" t="inlineStr">
        <is>
          <t>aciklama</t>
        </is>
      </c>
      <c r="G6" s="111" t="inlineStr">
        <is>
          <t>kaynak</t>
        </is>
      </c>
      <c r="H6" s="111" t="inlineStr">
        <is>
          <t>yururluk_tarihi</t>
        </is>
      </c>
      <c r="I6" s="111" t="inlineStr">
        <is>
          <t>dogrulama_tarihi</t>
        </is>
      </c>
    </row>
    <row r="7" ht="25.5" customHeight="1" s="72">
      <c r="A7" s="155" t="inlineStr">
        <is>
          <t>MutfakFirmaUnvan</t>
        </is>
      </c>
      <c r="B7" s="156" t="inlineStr">
        <is>
          <t>Örnek Lokanta A.Ş.</t>
        </is>
      </c>
      <c r="C7" s="104" t="inlineStr">
        <is>
          <t>Metin</t>
        </is>
      </c>
      <c r="D7" s="157" t="n"/>
      <c r="E7" s="157" t="n"/>
      <c r="F7" s="109" t="inlineStr">
        <is>
          <t>Firma unvanı rapor başlığında görünür.</t>
        </is>
      </c>
      <c r="G7" s="104" t="inlineStr">
        <is>
          <t>Kullanıcı</t>
        </is>
      </c>
      <c r="H7" s="158" t="n">
        <v>46244</v>
      </c>
      <c r="I7" s="158" t="n">
        <v>46244</v>
      </c>
    </row>
    <row r="8" ht="25.5" customHeight="1" s="72">
      <c r="A8" s="155" t="inlineStr">
        <is>
          <t>MutfakRaporTarihi</t>
        </is>
      </c>
      <c r="B8" s="159" t="n">
        <v>46244</v>
      </c>
      <c r="C8" s="104" t="inlineStr">
        <is>
          <t>Tarih</t>
        </is>
      </c>
      <c r="D8" s="157" t="n"/>
      <c r="E8" s="157" t="n"/>
      <c r="F8" s="109" t="inlineStr">
        <is>
          <t>Raporun dayanak tarihi.</t>
        </is>
      </c>
      <c r="G8" s="104" t="inlineStr">
        <is>
          <t>Kullanıcı</t>
        </is>
      </c>
      <c r="H8" s="158" t="n">
        <v>46244</v>
      </c>
      <c r="I8" s="158" t="n">
        <v>46244</v>
      </c>
    </row>
    <row r="9" ht="25.5" customHeight="1" s="72">
      <c r="A9" s="155" t="inlineStr">
        <is>
          <t>MutfakRaporHazirlayan</t>
        </is>
      </c>
      <c r="B9" s="156" t="inlineStr">
        <is>
          <t>Mutfak ve Mali İşler Yöneticisi</t>
        </is>
      </c>
      <c r="C9" s="104" t="inlineStr">
        <is>
          <t>Metin</t>
        </is>
      </c>
      <c r="D9" s="157" t="n"/>
      <c r="E9" s="157" t="n"/>
      <c r="F9" s="109" t="inlineStr">
        <is>
          <t>Raporu hazırlayan kişi.</t>
        </is>
      </c>
      <c r="G9" s="104" t="inlineStr">
        <is>
          <t>Kullanıcı</t>
        </is>
      </c>
      <c r="H9" s="158" t="n">
        <v>46244</v>
      </c>
      <c r="I9" s="158" t="n">
        <v>46244</v>
      </c>
    </row>
    <row r="10" ht="25.5" customHeight="1" s="72">
      <c r="A10" s="155" t="inlineStr">
        <is>
          <t>MutfakDosyaSurumu</t>
        </is>
      </c>
      <c r="B10" s="156" t="inlineStr">
        <is>
          <t>1.0.0</t>
        </is>
      </c>
      <c r="C10" s="104" t="inlineStr">
        <is>
          <t>Metin</t>
        </is>
      </c>
      <c r="D10" s="157" t="n"/>
      <c r="E10" s="157" t="n"/>
      <c r="F10" s="109" t="inlineStr">
        <is>
          <t>Dosya sürümü.</t>
        </is>
      </c>
      <c r="G10" s="104" t="inlineStr">
        <is>
          <t>Kullanıcı</t>
        </is>
      </c>
      <c r="H10" s="158" t="n">
        <v>46244</v>
      </c>
      <c r="I10" s="158" t="n">
        <v>46244</v>
      </c>
    </row>
    <row r="11" ht="25.5" customHeight="1" s="72">
      <c r="A11" s="155" t="inlineStr">
        <is>
          <t>MutfakInceleEsik</t>
        </is>
      </c>
      <c r="B11" s="160" t="n">
        <v>0.03</v>
      </c>
      <c r="C11" s="104" t="inlineStr">
        <is>
          <t>Oran</t>
        </is>
      </c>
      <c r="D11" s="157" t="n">
        <v>0</v>
      </c>
      <c r="E11" s="157" t="n">
        <v>1</v>
      </c>
      <c r="F11" s="109" t="inlineStr">
        <is>
          <t>Toplam kayıp oranının inceleme eşiği (%3).</t>
        </is>
      </c>
      <c r="G11" s="104" t="inlineStr">
        <is>
          <t>Varsayım</t>
        </is>
      </c>
      <c r="H11" s="158" t="n">
        <v>46244</v>
      </c>
      <c r="I11" s="158" t="n">
        <v>46244</v>
      </c>
    </row>
    <row r="12" ht="25.5" customHeight="1" s="72">
      <c r="A12" s="155" t="inlineStr">
        <is>
          <t>MutfakKritikEsik</t>
        </is>
      </c>
      <c r="B12" s="160" t="n">
        <v>0.08</v>
      </c>
      <c r="C12" s="104" t="inlineStr">
        <is>
          <t>Oran</t>
        </is>
      </c>
      <c r="D12" s="157" t="n">
        <v>0</v>
      </c>
      <c r="E12" s="157" t="n">
        <v>1</v>
      </c>
      <c r="F12" s="109" t="inlineStr">
        <is>
          <t>Toplam kayıp oranının kritik eşiği (%8).</t>
        </is>
      </c>
      <c r="G12" s="104" t="inlineStr">
        <is>
          <t>Varsayım</t>
        </is>
      </c>
      <c r="H12" s="158" t="n">
        <v>46244</v>
      </c>
      <c r="I12" s="158" t="n">
        <v>46244</v>
      </c>
    </row>
    <row r="13" ht="25.5" customHeight="1" s="72">
      <c r="A13" s="155" t="inlineStr">
        <is>
          <t>MutfakKaliteIyi</t>
        </is>
      </c>
      <c r="B13" s="161" t="n">
        <v>90</v>
      </c>
      <c r="C13" s="104" t="inlineStr">
        <is>
          <t>Puan</t>
        </is>
      </c>
      <c r="D13" s="157" t="n">
        <v>0</v>
      </c>
      <c r="E13" s="157" t="n">
        <v>100</v>
      </c>
      <c r="F13" s="109" t="inlineStr">
        <is>
          <t>Yüksek kalite skoru eşiği.</t>
        </is>
      </c>
      <c r="G13" s="104" t="inlineStr">
        <is>
          <t>Varsayım</t>
        </is>
      </c>
      <c r="H13" s="158" t="n">
        <v>46244</v>
      </c>
      <c r="I13" s="158" t="n">
        <v>46244</v>
      </c>
    </row>
    <row r="14" ht="25.5" customHeight="1" s="72">
      <c r="A14" s="155" t="inlineStr">
        <is>
          <t>MutfakKaliteOrta</t>
        </is>
      </c>
      <c r="B14" s="161" t="n">
        <v>70</v>
      </c>
      <c r="C14" s="104" t="inlineStr">
        <is>
          <t>Puan</t>
        </is>
      </c>
      <c r="D14" s="157" t="n">
        <v>0</v>
      </c>
      <c r="E14" s="157" t="n">
        <v>100</v>
      </c>
      <c r="F14" s="109" t="inlineStr">
        <is>
          <t>Orta kalite skoru eşiği.</t>
        </is>
      </c>
      <c r="G14" s="104" t="inlineStr">
        <is>
          <t>Varsayım</t>
        </is>
      </c>
      <c r="H14" s="158" t="n">
        <v>46244</v>
      </c>
      <c r="I14" s="158" t="n">
        <v>46244</v>
      </c>
    </row>
    <row r="15" ht="25.5" customHeight="1" s="72">
      <c r="A15" s="155" t="inlineStr">
        <is>
          <t>MutfakSenIyiKayip</t>
        </is>
      </c>
      <c r="B15" s="160" t="n">
        <v>0.5</v>
      </c>
      <c r="C15" s="104" t="inlineStr">
        <is>
          <t>Oran</t>
        </is>
      </c>
      <c r="D15" s="157" t="n">
        <v>0</v>
      </c>
      <c r="E15" s="157" t="n">
        <v>3</v>
      </c>
      <c r="F15" s="109" t="inlineStr">
        <is>
          <t>İyimser senaryo kayıp çarpanı.</t>
        </is>
      </c>
      <c r="G15" s="104" t="inlineStr">
        <is>
          <t>Varsayım</t>
        </is>
      </c>
      <c r="H15" s="158" t="n">
        <v>46244</v>
      </c>
      <c r="I15" s="158" t="n">
        <v>46244</v>
      </c>
    </row>
    <row r="16" ht="25.5" customHeight="1" s="72">
      <c r="A16" s="155" t="inlineStr">
        <is>
          <t>MutfakSenBazKayip</t>
        </is>
      </c>
      <c r="B16" s="160" t="n">
        <v>1</v>
      </c>
      <c r="C16" s="104" t="inlineStr">
        <is>
          <t>Oran</t>
        </is>
      </c>
      <c r="D16" s="157" t="n">
        <v>0</v>
      </c>
      <c r="E16" s="157" t="n">
        <v>3</v>
      </c>
      <c r="F16" s="109" t="inlineStr">
        <is>
          <t>Baz senaryo kayıp çarpanı.</t>
        </is>
      </c>
      <c r="G16" s="104" t="inlineStr">
        <is>
          <t>Varsayım</t>
        </is>
      </c>
      <c r="H16" s="158" t="n">
        <v>46244</v>
      </c>
      <c r="I16" s="158" t="n">
        <v>46244</v>
      </c>
    </row>
    <row r="17" ht="25.5" customHeight="1" s="72">
      <c r="A17" s="155" t="inlineStr">
        <is>
          <t>MutfakSenKotuKayip</t>
        </is>
      </c>
      <c r="B17" s="160" t="n">
        <v>1.5</v>
      </c>
      <c r="C17" s="104" t="inlineStr">
        <is>
          <t>Oran</t>
        </is>
      </c>
      <c r="D17" s="157" t="n">
        <v>0</v>
      </c>
      <c r="E17" s="157" t="n">
        <v>3</v>
      </c>
      <c r="F17" s="109" t="inlineStr">
        <is>
          <t>Kötümser senaryo kayıp çarpanı.</t>
        </is>
      </c>
      <c r="G17" s="104" t="inlineStr">
        <is>
          <t>Varsayım</t>
        </is>
      </c>
      <c r="H17" s="158" t="n">
        <v>46244</v>
      </c>
      <c r="I17" s="158" t="n">
        <v>46244</v>
      </c>
    </row>
    <row r="18" ht="25.5" customHeight="1" s="72">
      <c r="A18" s="155" t="inlineStr">
        <is>
          <t>MutfakSenKritikKayip</t>
        </is>
      </c>
      <c r="B18" s="160" t="n">
        <v>2</v>
      </c>
      <c r="C18" s="104" t="inlineStr">
        <is>
          <t>Oran</t>
        </is>
      </c>
      <c r="D18" s="157" t="n">
        <v>0</v>
      </c>
      <c r="E18" s="157" t="n">
        <v>3</v>
      </c>
      <c r="F18" s="109" t="inlineStr">
        <is>
          <t>Kritik senaryo kayıp çarpanı.</t>
        </is>
      </c>
      <c r="G18" s="104" t="inlineStr">
        <is>
          <t>Varsayım</t>
        </is>
      </c>
      <c r="H18" s="158" t="n">
        <v>46244</v>
      </c>
      <c r="I18" s="158" t="n">
        <v>46244</v>
      </c>
    </row>
    <row r="19" ht="25.5" customHeight="1" s="72">
      <c r="A19" s="155" t="inlineStr">
        <is>
          <t>MutfakTahminCarpan</t>
        </is>
      </c>
      <c r="B19" s="161" t="n">
        <v>1.645</v>
      </c>
      <c r="C19" s="104" t="inlineStr">
        <is>
          <t>Çarpan</t>
        </is>
      </c>
      <c r="D19" s="157" t="n">
        <v>0</v>
      </c>
      <c r="E19" s="157" t="n">
        <v>10</v>
      </c>
      <c r="F19" s="109" t="inlineStr">
        <is>
          <t>Tahmin güven bandı çarpanı (%90 normal dağılım).</t>
        </is>
      </c>
      <c r="G19" s="104" t="inlineStr">
        <is>
          <t>Varsayım</t>
        </is>
      </c>
      <c r="H19" s="158" t="n">
        <v>46244</v>
      </c>
      <c r="I19" s="158" t="n">
        <v>46244</v>
      </c>
    </row>
    <row r="20" ht="25.5" customHeight="1" s="72">
      <c r="A20" s="155" t="inlineStr">
        <is>
          <t>MutfakTahminDonem</t>
        </is>
      </c>
      <c r="B20" s="161" t="n">
        <v>5</v>
      </c>
      <c r="C20" s="104" t="inlineStr">
        <is>
          <t>Dönem</t>
        </is>
      </c>
      <c r="D20" s="157" t="n">
        <v>1</v>
      </c>
      <c r="E20" s="157" t="n">
        <v>12</v>
      </c>
      <c r="F20" s="109" t="inlineStr">
        <is>
          <t>Gelecek dönem tahmin noktası.</t>
        </is>
      </c>
      <c r="G20" s="104" t="inlineStr">
        <is>
          <t>Varsayım</t>
        </is>
      </c>
      <c r="H20" s="158" t="n">
        <v>46244</v>
      </c>
      <c r="I20" s="158" t="n">
        <v>46244</v>
      </c>
    </row>
    <row r="21" ht="25.5" customHeight="1" s="72">
      <c r="A21" s="155" t="inlineStr">
        <is>
          <t>MutfakTornadoEtOran</t>
        </is>
      </c>
      <c r="B21" s="160" t="n">
        <v>0.1</v>
      </c>
      <c r="C21" s="104" t="inlineStr">
        <is>
          <t>Oran</t>
        </is>
      </c>
      <c r="D21" s="157" t="n">
        <v>0</v>
      </c>
      <c r="E21" s="157" t="n">
        <v>0.5</v>
      </c>
      <c r="F21" s="109" t="inlineStr">
        <is>
          <t>Et birim maliyeti tornado adımı (%10).</t>
        </is>
      </c>
      <c r="G21" s="104" t="inlineStr">
        <is>
          <t>Varsayım</t>
        </is>
      </c>
      <c r="H21" s="158" t="n">
        <v>46244</v>
      </c>
      <c r="I21" s="158" t="n">
        <v>46244</v>
      </c>
    </row>
    <row r="22" ht="25.5" customHeight="1" s="72">
      <c r="A22" s="155" t="inlineStr">
        <is>
          <t>MutfakTornadoFireOran</t>
        </is>
      </c>
      <c r="B22" s="160" t="n">
        <v>0.05</v>
      </c>
      <c r="C22" s="104" t="inlineStr">
        <is>
          <t>Oran</t>
        </is>
      </c>
      <c r="D22" s="157" t="n">
        <v>0</v>
      </c>
      <c r="E22" s="157" t="n">
        <v>0.5</v>
      </c>
      <c r="F22" s="109" t="inlineStr">
        <is>
          <t>Fire/kayıp tornado adımı.</t>
        </is>
      </c>
      <c r="G22" s="104" t="inlineStr">
        <is>
          <t>Varsayım</t>
        </is>
      </c>
      <c r="H22" s="158" t="n">
        <v>46244</v>
      </c>
      <c r="I22" s="158" t="n">
        <v>46244</v>
      </c>
    </row>
    <row r="23" ht="25.5" customHeight="1" s="72">
      <c r="A23" s="155" t="inlineStr">
        <is>
          <t>MutfakP90Oran</t>
        </is>
      </c>
      <c r="B23" s="160" t="n">
        <v>0.9</v>
      </c>
      <c r="C23" s="104" t="inlineStr">
        <is>
          <t>Oran</t>
        </is>
      </c>
      <c r="D23" s="157" t="n">
        <v>0</v>
      </c>
      <c r="E23" s="157" t="n">
        <v>1</v>
      </c>
      <c r="F23" s="109" t="inlineStr">
        <is>
          <t>Birim maliyet dağılımında üst yüzdelik dilimin oranı.</t>
        </is>
      </c>
      <c r="G23" s="104" t="inlineStr">
        <is>
          <t>Varsayım</t>
        </is>
      </c>
      <c r="H23" s="158" t="n">
        <v>46244</v>
      </c>
      <c r="I23" s="158" t="n">
        <v>46244</v>
      </c>
    </row>
    <row r="24" ht="25.5" customHeight="1" s="72">
      <c r="A24" s="155" t="inlineStr">
        <is>
          <t>MutfakYuksekKayipEsik</t>
        </is>
      </c>
      <c r="B24" s="162" t="n">
        <v>50000</v>
      </c>
      <c r="C24" s="104" t="inlineStr">
        <is>
          <t>TL</t>
        </is>
      </c>
      <c r="D24" s="157" t="n">
        <v>0</v>
      </c>
      <c r="E24" s="157" t="n">
        <v>1000000000</v>
      </c>
      <c r="F24" s="109" t="inlineStr">
        <is>
          <t>Yüksek kayıp tutarı kontrol eşiği.</t>
        </is>
      </c>
      <c r="G24" s="104" t="inlineStr">
        <is>
          <t>Varsayım</t>
        </is>
      </c>
      <c r="H24" s="158" t="n">
        <v>46244</v>
      </c>
      <c r="I24" s="158" t="n">
        <v>46244</v>
      </c>
    </row>
    <row r="25" ht="25.5" customHeight="1" s="72">
      <c r="A25" s="155" t="inlineStr">
        <is>
          <t>MutfakAksiyon1_ACIKLAMA</t>
        </is>
      </c>
      <c r="B25" s="163" t="inlineStr">
        <is>
          <t>Toplam kayıp oranı kritik eşiğin üzerinde; kayıp yoğunlaşan hammaddelerde sayım, tartım ve fire prosedürünü denetleyin.</t>
        </is>
      </c>
      <c r="C25" s="104" t="inlineStr">
        <is>
          <t>Metin</t>
        </is>
      </c>
      <c r="D25" s="157" t="n"/>
      <c r="E25" s="157" t="n"/>
      <c r="F25" s="109" t="inlineStr">
        <is>
          <t>KRİTİK KAYIP kararında gösterilen ilk öneri.</t>
        </is>
      </c>
      <c r="G25" s="104" t="inlineStr">
        <is>
          <t>Varsayım</t>
        </is>
      </c>
      <c r="H25" s="158" t="n">
        <v>46244</v>
      </c>
      <c r="I25" s="158" t="n">
        <v>46244</v>
      </c>
    </row>
    <row r="26" ht="25.5" customHeight="1" s="72">
      <c r="A26" s="155" t="inlineStr">
        <is>
          <t>MutfakAksiyon2_ACIKLAMA</t>
        </is>
      </c>
      <c r="B26" s="163" t="inlineStr">
        <is>
          <t>Kayıp oranı inceleme aralığında; yüksek kayıplı kalemlerde alım, depolama ve porsiyon kontrolünü gözden geçirin.</t>
        </is>
      </c>
      <c r="C26" s="104" t="inlineStr">
        <is>
          <t>Metin</t>
        </is>
      </c>
      <c r="D26" s="157" t="n"/>
      <c r="E26" s="157" t="n"/>
      <c r="F26" s="109" t="inlineStr">
        <is>
          <t>İNCELE kararında gösterilen ikinci öneri.</t>
        </is>
      </c>
      <c r="G26" s="104" t="inlineStr">
        <is>
          <t>Varsayım</t>
        </is>
      </c>
      <c r="H26" s="158" t="n">
        <v>46244</v>
      </c>
      <c r="I26" s="158" t="n">
        <v>46244</v>
      </c>
    </row>
    <row r="27" ht="25.5" customHeight="1" s="72">
      <c r="A27" s="155" t="inlineStr">
        <is>
          <t>MutfakAksiyon3_ACIKLAMA</t>
        </is>
      </c>
      <c r="B27" s="163" t="inlineStr">
        <is>
          <t>Kayıp kontrol altında; dönemlik mutabakatı sürdürerek kayıp eğilimini izlemeye devam edin.</t>
        </is>
      </c>
      <c r="C27" s="104" t="inlineStr">
        <is>
          <t>Metin</t>
        </is>
      </c>
      <c r="D27" s="157" t="n"/>
      <c r="E27" s="157" t="n"/>
      <c r="F27" s="109" t="inlineStr">
        <is>
          <t>KONTROL ALTINDA kararında gösterilen üçüncü öneri.</t>
        </is>
      </c>
      <c r="G27" s="104" t="inlineStr">
        <is>
          <t>Varsayım</t>
        </is>
      </c>
      <c r="H27" s="158" t="n">
        <v>46244</v>
      </c>
      <c r="I27" s="158" t="n">
        <v>46244</v>
      </c>
    </row>
    <row r="29" ht="25.5" customHeight="1" s="72">
      <c r="A29" s="164" t="inlineStr">
        <is>
          <t>MutfakPanelSatir_1</t>
        </is>
      </c>
      <c r="B29" s="165" t="n">
        <v>1</v>
      </c>
      <c r="C29" s="104" t="inlineStr">
        <is>
          <t>Satır</t>
        </is>
      </c>
      <c r="F29" s="109" t="inlineStr">
        <is>
          <t>PANO'daki grafiğin ürün sırası (1. veri).</t>
        </is>
      </c>
      <c r="G29" s="104" t="inlineStr">
        <is>
          <t>Kullanıcı</t>
        </is>
      </c>
      <c r="H29" s="158" t="n">
        <v>46244</v>
      </c>
      <c r="I29" s="158" t="n">
        <v>46244</v>
      </c>
    </row>
    <row r="30" ht="25.5" customHeight="1" s="72">
      <c r="A30" s="164" t="inlineStr">
        <is>
          <t>MutfakPanelSatir_2</t>
        </is>
      </c>
      <c r="B30" s="165" t="n">
        <v>2</v>
      </c>
      <c r="C30" s="104" t="inlineStr">
        <is>
          <t>Satır</t>
        </is>
      </c>
      <c r="F30" s="109" t="inlineStr">
        <is>
          <t>PANO'daki grafiğin ürün sırası (2. veri).</t>
        </is>
      </c>
      <c r="G30" s="104" t="inlineStr">
        <is>
          <t>Kullanıcı</t>
        </is>
      </c>
      <c r="H30" s="158" t="n">
        <v>46244</v>
      </c>
      <c r="I30" s="158" t="n">
        <v>46244</v>
      </c>
    </row>
    <row r="31" ht="25.5" customHeight="1" s="72">
      <c r="A31" s="164" t="inlineStr">
        <is>
          <t>MutfakPanelSatir_3</t>
        </is>
      </c>
      <c r="B31" s="165" t="n">
        <v>3</v>
      </c>
      <c r="C31" s="104" t="inlineStr">
        <is>
          <t>Satır</t>
        </is>
      </c>
      <c r="F31" s="109" t="inlineStr">
        <is>
          <t>PANO'daki grafiğin ürün sırası (3. veri).</t>
        </is>
      </c>
      <c r="G31" s="104" t="inlineStr">
        <is>
          <t>Kullanıcı</t>
        </is>
      </c>
      <c r="H31" s="158" t="n">
        <v>46244</v>
      </c>
      <c r="I31" s="158" t="n">
        <v>46244</v>
      </c>
    </row>
    <row r="32" ht="25.5" customHeight="1" s="72">
      <c r="A32" s="164" t="inlineStr">
        <is>
          <t>MutfakPanelSatir_4</t>
        </is>
      </c>
      <c r="B32" s="165" t="n">
        <v>4</v>
      </c>
      <c r="C32" s="104" t="inlineStr">
        <is>
          <t>Satır</t>
        </is>
      </c>
      <c r="F32" s="109" t="inlineStr">
        <is>
          <t>PANO'daki grafiğin ürün sırası (4. veri).</t>
        </is>
      </c>
      <c r="G32" s="104" t="inlineStr">
        <is>
          <t>Kullanıcı</t>
        </is>
      </c>
      <c r="H32" s="158" t="n">
        <v>46244</v>
      </c>
      <c r="I32" s="158" t="n">
        <v>46244</v>
      </c>
    </row>
    <row r="33" ht="25.5" customHeight="1" s="72">
      <c r="A33" s="164" t="inlineStr">
        <is>
          <t>MutfakPanelSatir_5</t>
        </is>
      </c>
      <c r="B33" s="165" t="n">
        <v>5</v>
      </c>
      <c r="C33" s="104" t="inlineStr">
        <is>
          <t>Satır</t>
        </is>
      </c>
      <c r="F33" s="109" t="inlineStr">
        <is>
          <t>PANO'daki grafiğin ürün sırası (5. veri).</t>
        </is>
      </c>
      <c r="G33" s="104" t="inlineStr">
        <is>
          <t>Kullanıcı</t>
        </is>
      </c>
      <c r="H33" s="158" t="n">
        <v>46244</v>
      </c>
      <c r="I33" s="158" t="n">
        <v>46244</v>
      </c>
    </row>
    <row r="34" ht="25.5" customHeight="1" s="72">
      <c r="A34" s="164" t="inlineStr">
        <is>
          <t>MutfakPanelSatir_6</t>
        </is>
      </c>
      <c r="B34" s="165" t="n">
        <v>6</v>
      </c>
      <c r="C34" s="104" t="inlineStr">
        <is>
          <t>Satır</t>
        </is>
      </c>
      <c r="F34" s="109" t="inlineStr">
        <is>
          <t>PANO'daki grafiğin ürün sırası (6. veri).</t>
        </is>
      </c>
      <c r="G34" s="104" t="inlineStr">
        <is>
          <t>Kullanıcı</t>
        </is>
      </c>
      <c r="H34" s="158" t="n">
        <v>46244</v>
      </c>
      <c r="I34" s="158" t="n">
        <v>46244</v>
      </c>
    </row>
    <row r="42" ht="15" customHeight="1" s="72">
      <c r="J42" s="98" t="inlineStr">
        <is>
          <t>birim_donusum</t>
        </is>
      </c>
      <c r="K42" s="98" t="inlineStr">
        <is>
          <t>kaynak_birim</t>
        </is>
      </c>
      <c r="L42" s="98" t="inlineStr">
        <is>
          <t>hedef_birim</t>
        </is>
      </c>
      <c r="M42" s="98" t="inlineStr">
        <is>
          <t>katsayi</t>
        </is>
      </c>
    </row>
    <row r="43" ht="15" customHeight="1" s="72">
      <c r="J43" s="98" t="inlineStr">
        <is>
          <t>DONUSUM</t>
        </is>
      </c>
      <c r="K43" s="98" t="inlineStr">
        <is>
          <t>kg</t>
        </is>
      </c>
      <c r="L43" s="98" t="inlineStr">
        <is>
          <t>g</t>
        </is>
      </c>
      <c r="M43" s="137" t="n">
        <v>1000</v>
      </c>
    </row>
    <row r="44" ht="15" customHeight="1" s="72">
      <c r="J44" s="98" t="inlineStr">
        <is>
          <t>DONUSUM</t>
        </is>
      </c>
      <c r="K44" s="98" t="inlineStr">
        <is>
          <t>lt</t>
        </is>
      </c>
      <c r="L44" s="98" t="inlineStr">
        <is>
          <t>ml</t>
        </is>
      </c>
      <c r="M44" s="137" t="n">
        <v>1000</v>
      </c>
    </row>
    <row r="45" ht="15" customHeight="1" s="72">
      <c r="J45" s="98" t="inlineStr">
        <is>
          <t>DONUSUM</t>
        </is>
      </c>
      <c r="K45" s="98" t="inlineStr">
        <is>
          <t>adet</t>
        </is>
      </c>
      <c r="L45" s="98" t="inlineStr">
        <is>
          <t>adet</t>
        </is>
      </c>
      <c r="M45" s="137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4">
    <dataValidation sqref="B11" showDropDown="0" showInputMessage="0" showErrorMessage="1" allowBlank="0" errorTitle="Değer aralık dışı" error="Toplam kayıp oranının inceleme eşiği (%3)." promptTitle="MutfakInceleEsik" prompt="Toplam kayıp oranının inceleme eşiği (%3)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Toplam kayıp oranının kritik eşiği (%8)." promptTitle="MutfakKritikEsik" prompt="Toplam kayıp oranının kritik eşiği (%8)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Yüksek kalite skoru eşiği." promptTitle="MutfakKaliteIyi" prompt="Yüksek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Orta kalite skoru eşiği." promptTitle="MutfakKaliteOrta" prompt="Orta kalite skoru eşiği." type="decimal" errorStyle="stop" operator="between">
      <formula1>0</formula1>
      <formula2>100</formula2>
    </dataValidation>
    <dataValidation sqref="B15" showDropDown="0" showInputMessage="0" showErrorMessage="1" allowBlank="0" errorTitle="Değer aralık dışı" error="İyimser senaryo kayıp çarpanı." promptTitle="MutfakSenIyiKayip" prompt="İyimser senaryo kayıp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Baz senaryo kayıp çarpanı." promptTitle="MutfakSenBazKayip" prompt="Baz senaryo kayıp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ötümser senaryo kayıp çarpanı." promptTitle="MutfakSenKotuKayip" prompt="Kötümser senaryo kayıp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Kritik senaryo kayıp çarpanı." promptTitle="MutfakSenKritikKayip" prompt="Kritik senaryo kayıp çarpanı." type="decimal" errorStyle="stop" operator="between">
      <formula1>0</formula1>
      <formula2>3</formula2>
    </dataValidation>
    <dataValidation sqref="B19" showDropDown="0" showInputMessage="0" showErrorMessage="1" allowBlank="0" errorTitle="Değer aralık dışı" error="Tahmin güven bandı çarpanı (%90 normal dağılım)." promptTitle="MutfakTahminCarpan" prompt="Tahmin güven bandı çarpanı (%90 normal dağılım)." type="decimal" errorStyle="stop" operator="between">
      <formula1>0</formula1>
      <formula2>10</formula2>
    </dataValidation>
    <dataValidation sqref="B20" showDropDown="0" showInputMessage="0" showErrorMessage="1" allowBlank="0" errorTitle="Değer aralık dışı" error="Gelecek dönem tahmin noktası." promptTitle="MutfakTahminDonem" prompt="Gelecek dönem tahmin noktası." type="decimal" errorStyle="stop" operator="between">
      <formula1>1</formula1>
      <formula2>12</formula2>
    </dataValidation>
    <dataValidation sqref="B21" showDropDown="0" showInputMessage="0" showErrorMessage="1" allowBlank="0" errorTitle="Değer aralık dışı" error="Et birim maliyeti tornado adımı (%10)." promptTitle="MutfakTornadoEtOran" prompt="Et birim maliyeti tornado adımı (%10)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Fire/kayıp tornado adımı." promptTitle="MutfakTornadoFireOran" prompt="Fire/kayıp tornado adımı." type="decimal" errorStyle="stop" operator="between">
      <formula1>0</formula1>
      <formula2>0.5</formula2>
    </dataValidation>
    <dataValidation sqref="B23" showDropDown="0" showInputMessage="0" showErrorMessage="1" allowBlank="0" errorTitle="Değer aralık dışı" error="Birim maliyet dağılımında üst yüzdelik dilimin oranı." promptTitle="MutfakP90Oran" prompt="Birim maliyet dağılımında üst yüzdelik dilimin oranı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Yüksek kayıp tutarı kontrol eşiği." promptTitle="MutfakYuksekKayipEsik" prompt="Yüksek kayıp tutarı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110" customWidth="1" style="98" min="2" max="2"/>
  </cols>
  <sheetData>
    <row r="1" ht="25.5" customHeight="1" s="72">
      <c r="A1" s="99" t="inlineStr">
        <is>
          <t>KILAVUZ — Mutfak Kayıp/Kaçak Hesaplayıcı</t>
        </is>
      </c>
    </row>
    <row r="3" ht="15.75" customHeight="1" s="72">
      <c r="A3" s="105" t="inlineStr">
        <is>
          <t>Kullanım Kılavuzu</t>
        </is>
      </c>
    </row>
    <row r="5" ht="55.5" customHeight="1" s="72">
      <c r="A5" s="136" t="inlineStr">
        <is>
          <t>Veri girişi</t>
        </is>
      </c>
      <c r="B5" s="103" t="inlineStr">
        <is>
          <t>URUN_LISTESI sayfasında ürün kodu/adı, satış adedi ve birim satış fiyatını; RECETE sayfasında her ürünün hammadde ihtiyacını; STOK sayfasında dönem başı, alım ve dönem sonu stoklarını sarı hücrelere girin. Tutarlar otomatik hesaplanır.</t>
        </is>
      </c>
    </row>
    <row r="6" ht="55.5" customHeight="1" s="72">
      <c r="A6" s="136" t="inlineStr">
        <is>
          <t>Teorik ve fiili tüketim</t>
        </is>
      </c>
      <c r="B6" s="103" t="inlineStr">
        <is>
          <t>Teorik tüketim, satış adedinin reçetedeki hammadde miktarıyla çarpılmasıyla ürün bazında toplanır. Fiili tüketim ise dönem başı + alım − dönem sonu stoktur. Kayıp, fiili − teorik farkın pozitif kısmıdır.</t>
        </is>
      </c>
    </row>
    <row r="7" ht="55.5" customHeight="1" s="72">
      <c r="A7" s="136" t="inlineStr">
        <is>
          <t>Kayıp tutarı ve oranı</t>
        </is>
      </c>
      <c r="B7" s="103" t="inlineStr">
        <is>
          <t>Kayıp miktarı birim maliyetle çarpılarak kayıp tutarı bulunur; kayıp oranı kaybın teorik tüketime bölümüdür. Toplam kayıp, kâr katkısından düşülerek net kâr katkısı üretilir.</t>
        </is>
      </c>
    </row>
    <row r="8" ht="55.5" customHeight="1" s="72">
      <c r="A8" s="136" t="inlineStr">
        <is>
          <t>Karar ve aksiyon</t>
        </is>
      </c>
      <c r="B8" s="103" t="inlineStr">
        <is>
          <t>KARAR sayfası toplam kayıp oranını eşiklerle karşılaştırır; KONTROL ALTINDA / DÜŞÜK KAYIP / İNCELE / KRİTİK KAYIP kararını gerekçesiyle üretir ve önerilen aksiyonları gösterir.</t>
        </is>
      </c>
    </row>
    <row r="9" ht="55.5" customHeight="1" s="72">
      <c r="A9" s="136" t="inlineStr">
        <is>
          <t>Oranlar ve senaryolar</t>
        </is>
      </c>
      <c r="B9" s="103" t="inlineStr">
        <is>
          <t>AYARLAR sayfasından inceleme/kritik eşikleri, senaryo ve tornado çarpanlarını güncelleyin; PANO ve SENARYO_DUYARLILIK anında güncellenir.</t>
        </is>
      </c>
    </row>
    <row r="10" ht="55.5" customHeight="1" s="72">
      <c r="A10" s="136" t="inlineStr">
        <is>
          <t>Güven ve karar kalitesi</t>
        </is>
      </c>
      <c r="B10" s="103" t="inlineStr">
        <is>
          <t>Veri kalite skoru girişlerin tamlığını ölçer. Stok verisi yokken karar VERİ YOK; negatif girişte DURDUR üretir. Verileriniz cihazınızdan çıkmaz; dosya tamamen çevrimdışıdır.</t>
        </is>
      </c>
    </row>
    <row r="11" ht="55.5" customHeight="1" s="72">
      <c r="A11" s="136" t="inlineStr">
        <is>
          <t>Uyumluluk</t>
        </is>
      </c>
      <c r="B11" s="103" t="inlineStr">
        <is>
          <t>Excel 2016-365 (Windows ve Mac), LibreOffice ve Google Sheets ile uyumludur. Makro içermez; formüller ayrıştırıcı ile denetlenmiştir.</t>
        </is>
      </c>
    </row>
    <row r="12" ht="55.5" customHeight="1" s="72">
      <c r="A12" s="136" t="inlineStr">
        <is>
          <t>Karar kuralları</t>
        </is>
      </c>
      <c r="B12" s="103" t="inlineStr">
        <is>
          <t>KARAR sayfasındaki sonuç şu kurallarla üretilir: (1) stok verisi yoksa VERİ YOK; (2) negatif stok girişi varsa DURDUR; (3) kayıp oranı kritik eşiğin üzerindeyse KRİTİK KAYIP; (4) oran inceleme aralığındaysa İNCELE; (5) oran sıfırın üzerinde ama eşiğin altındaysa DÜŞÜK KAYIP; (6) aksi durumda KONTROL ALTINDA. Gerekçe, kararın altında makine tarafından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11:T11"/>
    <mergeCell ref="B5:T5"/>
    <mergeCell ref="B8:T8"/>
    <mergeCell ref="B7:T7"/>
    <mergeCell ref="B9:T9"/>
    <mergeCell ref="B12:T12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2026-08-10T17:45:56Z</dcterms:created>
  <dcterms:modified xmlns:dcterms="http://purl.org/dc/terms/" xmlns:xsi="http://www.w3.org/2001/XMLSchema-instance" xsi:type="dcterms:W3CDTF">2026-09-25T14:56:00Z</dcterms:modified>
  <cp:revision>0</cp:revision>
</cp:coreProperties>
</file>