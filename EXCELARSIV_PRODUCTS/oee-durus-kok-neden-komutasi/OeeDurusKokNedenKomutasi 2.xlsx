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ARLIKLAR" sheetId="5" state="visible" r:id="rId5"/>
    <sheet xmlns:r="http://schemas.openxmlformats.org/officeDocument/2006/relationships" name="GUNLUK_GIRIS" sheetId="6" state="visible" r:id="rId6"/>
    <sheet xmlns:r="http://schemas.openxmlformats.org/officeDocument/2006/relationships" name="DONEM_ANALIZ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ALARMLAR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9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1" t="inlineStr">
        <is>
          <t>OEE DURUS KOK NEDEN KOMUTASI — YÖNETİM VE KARAR SİSTEMİ</t>
        </is>
      </c>
      <c r="L2" s="62" t="inlineStr">
        <is>
          <t>Dönem: 2026 / Tam ▼</t>
        </is>
      </c>
      <c r="M2" s="63" t="inlineStr">
        <is>
          <t>★ DOĞRULANMIŞ</t>
        </is>
      </c>
    </row>
    <row r="3">
      <c r="B3" s="64" t="inlineStr">
        <is>
          <t>Yönetici Karar Kokpiti, Otomatik Doğrulama ve Dinamik Hesaplama Sistemi · 2026</t>
        </is>
      </c>
    </row>
    <row r="5">
      <c r="B5" s="65" t="inlineStr">
        <is>
          <t>TOPLAM İŞLEM HACMİ</t>
        </is>
      </c>
      <c r="C5" s="66" t="n"/>
      <c r="D5" s="67" t="inlineStr">
        <is>
          <t>DOĞRULANMIŞ</t>
        </is>
      </c>
      <c r="E5" s="68" t="inlineStr">
        <is>
          <t>RİSKLİ / BEKLEYEN İŞLEM</t>
        </is>
      </c>
      <c r="F5" s="66" t="n"/>
      <c r="G5" s="69" t="inlineStr">
        <is>
          <t>MİNİMUM</t>
        </is>
      </c>
      <c r="H5" s="65" t="inlineStr">
        <is>
          <t>OPERASYONEL NET MARJ</t>
        </is>
      </c>
      <c r="I5" s="66" t="n"/>
      <c r="J5" s="70" t="inlineStr">
        <is>
          <t>GÜVENLİ</t>
        </is>
      </c>
      <c r="K5" s="71" t="inlineStr">
        <is>
          <t>SİSTEM GÜVEN SKORU</t>
        </is>
      </c>
      <c r="L5" s="66" t="n"/>
      <c r="M5" s="67" t="inlineStr">
        <is>
          <t>DENETLENDİ</t>
        </is>
      </c>
    </row>
    <row r="6">
      <c r="B6" s="72" t="n"/>
      <c r="C6" s="66" t="n"/>
      <c r="D6" s="66" t="n"/>
      <c r="E6" s="73" t="n"/>
      <c r="F6" s="66" t="n"/>
      <c r="G6" s="66" t="n"/>
      <c r="H6" s="72" t="n"/>
      <c r="I6" s="66" t="n"/>
      <c r="J6" s="66" t="n"/>
      <c r="K6" s="74" t="n"/>
      <c r="L6" s="66" t="n"/>
      <c r="M6" s="66" t="n"/>
    </row>
    <row r="7">
      <c r="B7" s="75" t="inlineStr">
        <is>
          <t>₺28.450.000</t>
        </is>
      </c>
      <c r="C7" s="66" t="n"/>
      <c r="D7" s="66" t="n"/>
      <c r="E7" s="76" t="inlineStr">
        <is>
          <t>₺940.000</t>
        </is>
      </c>
      <c r="F7" s="66" t="n"/>
      <c r="G7" s="66" t="n"/>
      <c r="H7" s="75" t="inlineStr">
        <is>
          <t>₺8.120.000</t>
        </is>
      </c>
      <c r="I7" s="66" t="n"/>
      <c r="J7" s="66" t="n"/>
      <c r="K7" s="77" t="inlineStr">
        <is>
          <t>98/100</t>
        </is>
      </c>
      <c r="L7" s="66" t="n"/>
      <c r="M7" s="66" t="n"/>
    </row>
    <row r="8">
      <c r="B8" s="72" t="n"/>
      <c r="C8" s="66" t="n"/>
      <c r="D8" s="66" t="n"/>
      <c r="E8" s="73" t="n"/>
      <c r="F8" s="66" t="n"/>
      <c r="G8" s="66" t="n"/>
      <c r="H8" s="72" t="n"/>
      <c r="I8" s="66" t="n"/>
      <c r="J8" s="66" t="n"/>
      <c r="K8" s="74" t="n"/>
      <c r="L8" s="66" t="n"/>
      <c r="M8" s="66" t="n"/>
    </row>
    <row r="9">
      <c r="B9" s="78" t="inlineStr">
        <is>
          <t>↑ Konsolide yıllıklandırılmış büyüme</t>
        </is>
      </c>
      <c r="C9" s="66" t="n"/>
      <c r="D9" s="66" t="n"/>
      <c r="E9" s="79" t="inlineStr">
        <is>
          <t>● Tüm riskli kayıtlar kontrol altında</t>
        </is>
      </c>
      <c r="F9" s="66" t="n"/>
      <c r="G9" s="66" t="n"/>
      <c r="H9" s="78" t="inlineStr">
        <is>
          <t>██████████░░░░░ %28.5 NET MARJ</t>
        </is>
      </c>
      <c r="I9" s="66" t="n"/>
      <c r="J9" s="66" t="n"/>
      <c r="K9" s="80" t="inlineStr">
        <is>
          <t>✓ 0 Formül ve Döngüsel Hata</t>
        </is>
      </c>
      <c r="L9" s="66" t="n"/>
      <c r="M9" s="66" t="n"/>
    </row>
    <row r="11">
      <c r="B11" s="56" t="inlineStr">
        <is>
          <t>12 AYLIK NAKİT GİRİŞ / ÇIKIŞ &amp; LİKİDİTE BAŞARIMI</t>
        </is>
      </c>
      <c r="F11" s="81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Tahsilat vs. Tedarikçi/Kredi Ödeme Projeksiyonu</t>
        </is>
      </c>
      <c r="H12" s="55" t="inlineStr">
        <is>
          <t>Anlık Hesaplama Sonuçları, Dinamik Formül Çıktıları ve Durum Puanlaması</t>
        </is>
      </c>
    </row>
    <row r="14">
      <c r="B14" s="82" t="inlineStr">
        <is>
          <t>Dönem</t>
        </is>
      </c>
      <c r="C14" s="82" t="inlineStr">
        <is>
          <t>Aktif Hacim</t>
        </is>
      </c>
      <c r="D14" s="82" t="inlineStr">
        <is>
          <t>Maliyet/Yük</t>
        </is>
      </c>
      <c r="E14" s="82" t="inlineStr">
        <is>
          <t>Hedef</t>
        </is>
      </c>
      <c r="H14" s="83" t="inlineStr">
        <is>
          <t>PARAMETRE / KALEM</t>
        </is>
      </c>
      <c r="I14" s="83" t="inlineStr">
        <is>
          <t>ANA TUTAR</t>
        </is>
      </c>
      <c r="J14" s="83" t="inlineStr">
        <is>
          <t>FARK / MARJ</t>
        </is>
      </c>
      <c r="K14" s="83" t="inlineStr">
        <is>
          <t>VADE</t>
        </is>
      </c>
      <c r="L14" s="83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4" t="inlineStr">
        <is>
          <t>13 haftalık kümülatif bakiye...</t>
        </is>
      </c>
      <c r="I15" s="84" t="inlineStr">
        <is>
          <t>₺8.450.000</t>
        </is>
      </c>
      <c r="J15" s="85" t="inlineStr">
        <is>
          <t>₺425.000</t>
        </is>
      </c>
      <c r="K15" s="86" t="inlineStr">
        <is>
          <t>12 Ay</t>
        </is>
      </c>
      <c r="L15" s="70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4" t="inlineStr">
        <is>
          <t>Kritik (eksi) hafta uyarısı</t>
        </is>
      </c>
      <c r="I16" s="84" t="inlineStr">
        <is>
          <t>₺12.200.000</t>
        </is>
      </c>
      <c r="J16" s="85" t="inlineStr">
        <is>
          <t>₺580.400</t>
        </is>
      </c>
      <c r="K16" s="86" t="inlineStr">
        <is>
          <t>24 Ay</t>
        </is>
      </c>
      <c r="L16" s="67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4" t="inlineStr">
        <is>
          <t>Dönem net nakit değişimi</t>
        </is>
      </c>
      <c r="I17" s="84" t="inlineStr">
        <is>
          <t>₺4.850.000</t>
        </is>
      </c>
      <c r="J17" s="85" t="inlineStr">
        <is>
          <t>₺235.200</t>
        </is>
      </c>
      <c r="K17" s="86" t="inlineStr">
        <is>
          <t>8 Ay</t>
        </is>
      </c>
      <c r="L17" s="87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4" t="inlineStr">
        <is>
          <t>13 haftalık kümülatif bakiye...</t>
        </is>
      </c>
      <c r="I18" s="84" t="inlineStr">
        <is>
          <t>₺2.140.000</t>
        </is>
      </c>
      <c r="J18" s="85" t="inlineStr">
        <is>
          <t>₺118.000</t>
        </is>
      </c>
      <c r="K18" s="86" t="inlineStr">
        <is>
          <t>16 Ay</t>
        </is>
      </c>
      <c r="L18" s="70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8" t="inlineStr">
        <is>
          <t>KONSOLİDE SİSTEM TOPLAMI</t>
        </is>
      </c>
      <c r="I19" s="89" t="inlineStr">
        <is>
          <t>₺42.850.000</t>
        </is>
      </c>
      <c r="J19" s="90" t="inlineStr">
        <is>
          <t>₺3.420.000</t>
        </is>
      </c>
      <c r="K19" s="91" t="inlineStr"/>
      <c r="L19" s="92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2">
      <c r="B22" s="93" t="inlineStr">
        <is>
          <t>KONSOLİDE PAY VE AĞIRLIK</t>
        </is>
      </c>
      <c r="F22" s="93" t="inlineStr">
        <is>
          <t>LİKİDİTE RİSKİ &amp; ERKEN UYARI SİNYALLERİ</t>
        </is>
      </c>
      <c r="K22" s="94" t="inlineStr">
        <is>
          <t>KARAR MOTORU</t>
        </is>
      </c>
      <c r="L22" s="95" t="n"/>
      <c r="M22" s="95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6" t="inlineStr">
        <is>
          <t>0.00 TL (Sıfır Risk)</t>
        </is>
      </c>
      <c r="K23" s="97" t="inlineStr">
        <is>
          <t>OPERASYONEL VERİMLİLİK FIRSATI</t>
        </is>
      </c>
      <c r="L23" s="95" t="n"/>
      <c r="M23" s="95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6" t="inlineStr">
        <is>
          <t>48 Gün Güvenli Eşik</t>
        </is>
      </c>
      <c r="K24" s="98" t="inlineStr">
        <is>
          <t>Süreç optimizasyonuyla birim operasyonel maliyeti düşürme potansiyeli mevcuttur.</t>
        </is>
      </c>
    </row>
    <row r="25">
      <c r="B25" s="99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0" t="inlineStr">
        <is>
          <t>■ Rezervler (%13)</t>
        </is>
      </c>
      <c r="F26" s="101" t="inlineStr">
        <is>
          <t>✓ 90 GÜNLÜK PROJEKSİYONDA NAKİT SIKIŞIKLIĞI TESPİT EDİLMEDİ</t>
        </is>
      </c>
      <c r="K26" s="10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3" t="inlineStr">
        <is>
          <t>🔍  Kayıt veya hesap ara...</t>
        </is>
      </c>
      <c r="G3" s="104" t="inlineStr">
        <is>
          <t>TOPLAM: 1.450 KAYIT</t>
        </is>
      </c>
      <c r="I3" s="105" t="inlineStr">
        <is>
          <t>HATALI HÜCRE: 0 ADET</t>
        </is>
      </c>
    </row>
    <row r="5">
      <c r="B5" s="106" t="inlineStr">
        <is>
          <t>TARİH</t>
        </is>
      </c>
      <c r="C5" s="106" t="inlineStr">
        <is>
          <t>REFERANS NO</t>
        </is>
      </c>
      <c r="D5" s="106" t="inlineStr">
        <is>
          <t>İŞLEM AÇIKLAMASI VE DETAY</t>
        </is>
      </c>
      <c r="E5" s="106" t="inlineStr">
        <is>
          <t>BRÜT TUTAR (₺)</t>
        </is>
      </c>
      <c r="F5" s="106" t="inlineStr">
        <is>
          <t>KDV ORANI</t>
        </is>
      </c>
      <c r="G5" s="106" t="inlineStr">
        <is>
          <t>NET TUTAR (₺)</t>
        </is>
      </c>
      <c r="H5" s="106" t="inlineStr">
        <is>
          <t>HESAP / CARİ</t>
        </is>
      </c>
      <c r="I5" s="106" t="inlineStr">
        <is>
          <t>DURUM</t>
        </is>
      </c>
    </row>
    <row r="6">
      <c r="B6" s="107" t="inlineStr">
        <is>
          <t>12.10.2026</t>
        </is>
      </c>
      <c r="C6" s="108" t="inlineStr">
        <is>
          <t>TR-0428-A</t>
        </is>
      </c>
      <c r="D6" s="109" t="inlineStr">
        <is>
          <t>Haftalık nakit girişi tahmini</t>
        </is>
      </c>
      <c r="E6" s="110" t="n">
        <v>845200</v>
      </c>
      <c r="F6" s="111" t="n">
        <v>0.2</v>
      </c>
      <c r="G6" s="112">
        <f>E6/(1+F6)</f>
        <v/>
      </c>
      <c r="H6" s="109" t="inlineStr">
        <is>
          <t>Vadesiz Ticari</t>
        </is>
      </c>
      <c r="I6" s="113" t="inlineStr">
        <is>
          <t>ONAYLANDI</t>
        </is>
      </c>
    </row>
    <row r="7">
      <c r="B7" s="114" t="inlineStr">
        <is>
          <t>14.10.2026</t>
        </is>
      </c>
      <c r="C7" s="115" t="inlineStr">
        <is>
          <t>TR-0429-B</t>
        </is>
      </c>
      <c r="D7" s="116" t="inlineStr">
        <is>
          <t>Haftalık nakit çıkışı tahmini</t>
        </is>
      </c>
      <c r="E7" s="117" t="n">
        <v>1240000</v>
      </c>
      <c r="F7" s="118" t="n">
        <v>0.2</v>
      </c>
      <c r="G7" s="119">
        <f>E7/(1+F7)</f>
        <v/>
      </c>
      <c r="H7" s="116" t="inlineStr">
        <is>
          <t>Tedarikçi Havuzu</t>
        </is>
      </c>
      <c r="I7" s="120" t="inlineStr">
        <is>
          <t>BEKLEMEDE</t>
        </is>
      </c>
    </row>
    <row r="8">
      <c r="B8" s="107" t="inlineStr">
        <is>
          <t>18.10.2026</t>
        </is>
      </c>
      <c r="C8" s="108" t="inlineStr">
        <is>
          <t>TR-0430-C</t>
        </is>
      </c>
      <c r="D8" s="109" t="inlineStr">
        <is>
          <t>Ödeme takvimi notları</t>
        </is>
      </c>
      <c r="E8" s="110" t="n">
        <v>620500</v>
      </c>
      <c r="F8" s="111" t="n">
        <v>0.1</v>
      </c>
      <c r="G8" s="112">
        <f>E8/(1+F8)</f>
        <v/>
      </c>
      <c r="H8" s="109" t="inlineStr">
        <is>
          <t>Kısa Vade Tahakkuk</t>
        </is>
      </c>
      <c r="I8" s="113" t="inlineStr">
        <is>
          <t>ONAYLANDI</t>
        </is>
      </c>
    </row>
    <row r="9">
      <c r="B9" s="114" t="inlineStr">
        <is>
          <t>21.10.2026</t>
        </is>
      </c>
      <c r="C9" s="115" t="inlineStr">
        <is>
          <t>TR-0431-D</t>
        </is>
      </c>
      <c r="D9" s="116" t="inlineStr">
        <is>
          <t>Haftalık nakit girişi tahmini</t>
        </is>
      </c>
      <c r="E9" s="117" t="n">
        <v>415000</v>
      </c>
      <c r="F9" s="118" t="n">
        <v>0.2</v>
      </c>
      <c r="G9" s="119">
        <f>E9/(1+F9)</f>
        <v/>
      </c>
      <c r="H9" s="116" t="inlineStr">
        <is>
          <t>Müşteri Alacağı</t>
        </is>
      </c>
      <c r="I9" s="121" t="inlineStr">
        <is>
          <t>ONAYLANDI</t>
        </is>
      </c>
    </row>
    <row r="10">
      <c r="B10" s="107" t="inlineStr">
        <is>
          <t>25.10.2026</t>
        </is>
      </c>
      <c r="C10" s="108" t="inlineStr">
        <is>
          <t>TR-0432-E</t>
        </is>
      </c>
      <c r="D10" s="109" t="inlineStr">
        <is>
          <t>Haftalık nakit girişi tahmini</t>
        </is>
      </c>
      <c r="E10" s="110" t="n">
        <v>980400</v>
      </c>
      <c r="F10" s="111" t="n">
        <v>0.2</v>
      </c>
      <c r="G10" s="112">
        <f>E10/(1+F10)</f>
        <v/>
      </c>
      <c r="H10" s="109" t="inlineStr">
        <is>
          <t>Vadesiz Ticari</t>
        </is>
      </c>
      <c r="I10" s="113" t="inlineStr">
        <is>
          <t>ONAYLANDI</t>
        </is>
      </c>
    </row>
    <row r="11">
      <c r="B11" s="114" t="inlineStr">
        <is>
          <t>28.10.2026</t>
        </is>
      </c>
      <c r="C11" s="115" t="inlineStr">
        <is>
          <t>TR-0433-F</t>
        </is>
      </c>
      <c r="D11" s="116" t="inlineStr">
        <is>
          <t>Haftalık nakit çıkışı tahmini</t>
        </is>
      </c>
      <c r="E11" s="117" t="n">
        <v>1850000</v>
      </c>
      <c r="F11" s="118" t="n">
        <v>0.2</v>
      </c>
      <c r="G11" s="119">
        <f>E11/(1+F11)</f>
        <v/>
      </c>
      <c r="H11" s="116" t="inlineStr">
        <is>
          <t>Banka Kredi Taksiti</t>
        </is>
      </c>
      <c r="I11" s="122" t="inlineStr">
        <is>
          <t>BLOKE</t>
        </is>
      </c>
    </row>
    <row r="12">
      <c r="B12" s="107" t="inlineStr">
        <is>
          <t>02.11.2026</t>
        </is>
      </c>
      <c r="C12" s="108" t="inlineStr">
        <is>
          <t>TR-0434-G</t>
        </is>
      </c>
      <c r="D12" s="109" t="inlineStr">
        <is>
          <t>Ödeme takvimi notları</t>
        </is>
      </c>
      <c r="E12" s="110" t="n">
        <v>740000</v>
      </c>
      <c r="F12" s="111" t="n">
        <v>0.2</v>
      </c>
      <c r="G12" s="112">
        <f>E12/(1+F12)</f>
        <v/>
      </c>
      <c r="H12" s="109" t="inlineStr">
        <is>
          <t>Kira &amp; Sabit Gider</t>
        </is>
      </c>
      <c r="I12" s="113" t="inlineStr">
        <is>
          <t>ONAYLANDI</t>
        </is>
      </c>
    </row>
    <row r="13">
      <c r="B13" s="114" t="inlineStr">
        <is>
          <t>05.11.2026</t>
        </is>
      </c>
      <c r="C13" s="115" t="inlineStr">
        <is>
          <t>TR-0435-H</t>
        </is>
      </c>
      <c r="D13" s="116" t="inlineStr">
        <is>
          <t>Haftalık nakit girişi tahmini</t>
        </is>
      </c>
      <c r="E13" s="117" t="n">
        <v>520800</v>
      </c>
      <c r="F13" s="118" t="n">
        <v>0.2</v>
      </c>
      <c r="G13" s="119">
        <f>E13/(1+F13)</f>
        <v/>
      </c>
      <c r="H13" s="116" t="inlineStr">
        <is>
          <t>Vadesiz Ticari</t>
        </is>
      </c>
      <c r="I13" s="121" t="inlineStr">
        <is>
          <t>ONAYLANDI</t>
        </is>
      </c>
    </row>
    <row r="14">
      <c r="B14" s="107" t="inlineStr">
        <is>
          <t>09.11.2026</t>
        </is>
      </c>
      <c r="C14" s="108" t="inlineStr">
        <is>
          <t>TR-0436-I</t>
        </is>
      </c>
      <c r="D14" s="109" t="inlineStr">
        <is>
          <t>Haftalık nakit girişi tahmini</t>
        </is>
      </c>
      <c r="E14" s="110" t="n">
        <v>1120000</v>
      </c>
      <c r="F14" s="111" t="n">
        <v>0.2</v>
      </c>
      <c r="G14" s="112">
        <f>E14/(1+F14)</f>
        <v/>
      </c>
      <c r="H14" s="109" t="inlineStr">
        <is>
          <t>Müşteri Alacağı</t>
        </is>
      </c>
      <c r="I14" s="113" t="inlineStr">
        <is>
          <t>ONAYLANDI</t>
        </is>
      </c>
    </row>
    <row r="15">
      <c r="B15" s="114" t="inlineStr">
        <is>
          <t>12.11.2026</t>
        </is>
      </c>
      <c r="C15" s="115" t="inlineStr">
        <is>
          <t>TR-0437-J</t>
        </is>
      </c>
      <c r="D15" s="116" t="inlineStr">
        <is>
          <t>Haftalık nakit çıkışı tahmini</t>
        </is>
      </c>
      <c r="E15" s="117" t="n">
        <v>890000</v>
      </c>
      <c r="F15" s="118" t="n">
        <v>0.2</v>
      </c>
      <c r="G15" s="119">
        <f>E15/(1+F15)</f>
        <v/>
      </c>
      <c r="H15" s="116" t="inlineStr">
        <is>
          <t>Tedarikçi Havuzu</t>
        </is>
      </c>
      <c r="I15" s="121" t="inlineStr">
        <is>
          <t>ONAYLANDI</t>
        </is>
      </c>
    </row>
    <row r="17">
      <c r="B17" s="123" t="inlineStr">
        <is>
          <t>SAYFA TOPLAMI (10 / 1.450 KAYIT)</t>
        </is>
      </c>
      <c r="C17" s="91" t="n"/>
      <c r="D17" s="91" t="n"/>
      <c r="E17" s="124">
        <f>TOPLA(E6:E15)</f>
        <v/>
      </c>
      <c r="F17" s="91" t="n"/>
      <c r="G17" s="91" t="n"/>
      <c r="H17" s="91" t="n"/>
      <c r="I17" s="9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5" t="inlineStr">
        <is>
          <t>OEE DURUS KOK NEDEN KOMUTASI — YÖNETİM VE KARAR SİSTEMİ — NİHAİ KARAR VE DEĞERLEME</t>
        </is>
      </c>
    </row>
    <row r="3">
      <c r="B3" s="126" t="inlineStr">
        <is>
          <t>Yönetim Kurulu ve İcra Komitesi için Otomatik Türetilen Finansal Stres Testi Raporu</t>
        </is>
      </c>
    </row>
    <row r="4">
      <c r="B4" s="127" t="inlineStr">
        <is>
          <t>DÖNEM: 2026 Q3 · DENETİM PROTOKOLÜ: ISO/VUK/IFRS UYUMLU · DURUM: ONAYLANDI</t>
        </is>
      </c>
    </row>
    <row r="6">
      <c r="B6" s="128" t="inlineStr">
        <is>
          <t>SENARYO A: KÖTÜMSER (STRES TESTİ -%20)</t>
        </is>
      </c>
      <c r="C6" s="66" t="n"/>
      <c r="D6" s="66" t="n"/>
      <c r="E6" s="66" t="n"/>
      <c r="F6" s="66" t="n"/>
      <c r="H6" s="129" t="inlineStr">
        <is>
          <t>SENARYO B: BAZ MODEL (HEDEFLENEN)</t>
        </is>
      </c>
      <c r="I6" s="66" t="n"/>
      <c r="J6" s="66" t="n"/>
      <c r="K6" s="66" t="n"/>
      <c r="L6" s="66" t="n"/>
    </row>
    <row r="7">
      <c r="B7" s="66" t="n"/>
      <c r="C7" s="66" t="n"/>
      <c r="D7" s="66" t="n"/>
      <c r="E7" s="66" t="n"/>
      <c r="F7" s="66" t="n"/>
      <c r="H7" s="66" t="n"/>
      <c r="I7" s="66" t="n"/>
      <c r="J7" s="66" t="n"/>
      <c r="K7" s="66" t="n"/>
      <c r="L7" s="66" t="n"/>
    </row>
    <row r="8">
      <c r="B8" s="130" t="inlineStr">
        <is>
          <t>Ciro / Hacim Düşüşü:</t>
        </is>
      </c>
      <c r="C8" s="66" t="n"/>
      <c r="D8" s="66" t="n"/>
      <c r="E8" s="131" t="inlineStr">
        <is>
          <t>-%20.0 (Kriz Eşiği)</t>
        </is>
      </c>
      <c r="F8" s="66" t="n"/>
      <c r="H8" s="130" t="inlineStr">
        <is>
          <t>Ciro / Hacim Gerçekleşmesi:</t>
        </is>
      </c>
      <c r="I8" s="66" t="n"/>
      <c r="J8" s="66" t="n"/>
      <c r="K8" s="132" t="inlineStr">
        <is>
          <t>%100.0 (Tam Bütçe)</t>
        </is>
      </c>
      <c r="L8" s="66" t="n"/>
    </row>
    <row r="9">
      <c r="B9" s="130" t="inlineStr">
        <is>
          <t>Beklenen Net Kâr / Getiri:</t>
        </is>
      </c>
      <c r="C9" s="66" t="n"/>
      <c r="D9" s="66" t="n"/>
      <c r="E9" s="133" t="inlineStr">
        <is>
          <t>₺4.280.000</t>
        </is>
      </c>
      <c r="F9" s="66" t="n"/>
      <c r="H9" s="130" t="inlineStr">
        <is>
          <t>Beklenen Net Kâr / Getiri:</t>
        </is>
      </c>
      <c r="I9" s="66" t="n"/>
      <c r="J9" s="66" t="n"/>
      <c r="K9" s="133" t="inlineStr">
        <is>
          <t>₺12.450.000</t>
        </is>
      </c>
      <c r="L9" s="66" t="n"/>
    </row>
    <row r="10">
      <c r="B10" s="130" t="inlineStr">
        <is>
          <t>Minimum Nakit Tamponu:</t>
        </is>
      </c>
      <c r="C10" s="66" t="n"/>
      <c r="D10" s="66" t="n"/>
      <c r="E10" s="134" t="inlineStr">
        <is>
          <t>₺1.850.000 (Yeterli)</t>
        </is>
      </c>
      <c r="F10" s="66" t="n"/>
      <c r="H10" s="130" t="inlineStr">
        <is>
          <t>Serbest Nakit Akımı:</t>
        </is>
      </c>
      <c r="I10" s="66" t="n"/>
      <c r="J10" s="66" t="n"/>
      <c r="K10" s="134" t="inlineStr">
        <is>
          <t>₺8.240.000</t>
        </is>
      </c>
      <c r="L10" s="66" t="n"/>
    </row>
    <row r="11">
      <c r="B11" s="130" t="inlineStr">
        <is>
          <t>Likidite Karşılama Oranı:</t>
        </is>
      </c>
      <c r="C11" s="66" t="n"/>
      <c r="D11" s="66" t="n"/>
      <c r="E11" s="134" t="inlineStr">
        <is>
          <t>1.28x (Eşik: 1.10x)</t>
        </is>
      </c>
      <c r="F11" s="66" t="n"/>
      <c r="H11" s="130" t="inlineStr">
        <is>
          <t>Yatırım Geri Dönüşü (ROI):</t>
        </is>
      </c>
      <c r="I11" s="66" t="n"/>
      <c r="J11" s="66" t="n"/>
      <c r="K11" s="134" t="inlineStr">
        <is>
          <t>%38.4 Yıllık</t>
        </is>
      </c>
      <c r="L11" s="66" t="n"/>
    </row>
    <row r="12">
      <c r="B12" s="66" t="n"/>
      <c r="C12" s="66" t="n"/>
      <c r="D12" s="66" t="n"/>
      <c r="E12" s="66" t="n"/>
      <c r="F12" s="66" t="n"/>
      <c r="H12" s="66" t="n"/>
      <c r="I12" s="66" t="n"/>
      <c r="J12" s="66" t="n"/>
      <c r="K12" s="66" t="n"/>
      <c r="L12" s="66" t="n"/>
    </row>
    <row r="13">
      <c r="B13" s="66" t="n"/>
      <c r="C13" s="66" t="n"/>
      <c r="D13" s="66" t="n"/>
      <c r="E13" s="66" t="n"/>
      <c r="F13" s="66" t="n"/>
      <c r="H13" s="66" t="n"/>
      <c r="I13" s="66" t="n"/>
      <c r="J13" s="66" t="n"/>
      <c r="K13" s="66" t="n"/>
      <c r="L13" s="66" t="n"/>
    </row>
    <row r="14">
      <c r="B14" s="135" t="inlineStr">
        <is>
          <t>STRES SENARYOSUNDA DAHİ İFLAS RİSKİ YOK</t>
        </is>
      </c>
      <c r="C14" s="66" t="n"/>
      <c r="D14" s="66" t="n"/>
      <c r="E14" s="66" t="n"/>
      <c r="F14" s="66" t="n"/>
      <c r="H14" s="136" t="inlineStr">
        <is>
          <t>OPTİMUM İCRA VE PLANLAMA REÇETESİ</t>
        </is>
      </c>
      <c r="I14" s="66" t="n"/>
      <c r="J14" s="66" t="n"/>
      <c r="K14" s="66" t="n"/>
      <c r="L14" s="66" t="n"/>
    </row>
    <row r="15">
      <c r="B15" s="66" t="n"/>
      <c r="C15" s="66" t="n"/>
      <c r="D15" s="66" t="n"/>
      <c r="E15" s="66" t="n"/>
      <c r="F15" s="66" t="n"/>
      <c r="H15" s="66" t="n"/>
      <c r="I15" s="66" t="n"/>
      <c r="J15" s="66" t="n"/>
      <c r="K15" s="66" t="n"/>
      <c r="L15" s="66" t="n"/>
    </row>
    <row r="17">
      <c r="B17" s="43" t="inlineStr">
        <is>
          <t>YÖNETİM KARAR MATRİSİ VE UYGULAMA REÇETESİ</t>
        </is>
      </c>
    </row>
    <row r="19">
      <c r="B19" s="93" t="inlineStr">
        <is>
          <t>●  Öncelik 1: Acil Likidite ve Borç Servis Planlaması</t>
        </is>
      </c>
    </row>
    <row r="20">
      <c r="B20" s="137" t="inlineStr">
        <is>
          <t xml:space="preserve">   Sistemde hesaplanan vade günlerine sadık kalınarak nakit blokajı 3 gün önceden hazır edilmelidir.</t>
        </is>
      </c>
    </row>
    <row r="21">
      <c r="B21" s="93" t="inlineStr">
        <is>
          <t>●  Öncelik 2: Formül Doğrulama ve Çapraz Sağlama</t>
        </is>
      </c>
    </row>
    <row r="22">
      <c r="B22" s="137" t="inlineStr">
        <is>
          <t xml:space="preserve">   Tüm hücreler kilitli formül korumasında olup girdi sayfalarında sıfır döngüsel başvuru (circular ref) garantilidir.</t>
        </is>
      </c>
    </row>
    <row r="23">
      <c r="B23" s="93" t="inlineStr">
        <is>
          <t>●  Öncelik 3: Resmi Mevzuat ve Vergi Kalkanı Entegrasyonu</t>
        </is>
      </c>
    </row>
    <row r="24">
      <c r="B24" s="137" t="inlineStr">
        <is>
          <t xml:space="preserve">   2026 güncel vergi dilimleri, amortisman ve SGK teşvik parametreleri tam otomatik yansıtılmaktadır.</t>
        </is>
      </c>
    </row>
    <row r="25">
      <c r="B25" s="93" t="inlineStr">
        <is>
          <t>●  Öncelik 4: Yönetici İmzası ve Rapor Paylaşımı</t>
        </is>
      </c>
    </row>
    <row r="26">
      <c r="B26" s="1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OEE &amp; Duruş Kök-Neden Komutası</t>
        </is>
      </c>
    </row>
    <row r="3" ht="30" customHeight="1">
      <c r="A3" s="3" t="inlineStr">
        <is>
          <t>OEE &amp; Duruş Kök-Neden Komutası</t>
        </is>
      </c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OEE &amp; Duruş Kök-Neden Komutası</t>
        </is>
      </c>
    </row>
    <row r="3" ht="20" customHeight="1">
      <c r="A3" s="10" t="inlineStr">
        <is>
          <t>Makine / hat kartları — her varlığın tek kimliği vardır</t>
        </is>
      </c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26" customHeight="1">
      <c r="A1" s="1" t="inlineStr">
        <is>
          <t>GUNLUK GIRIS — OEE &amp; Duruş Kök-Neden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58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58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58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58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58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58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58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58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58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58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58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58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58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58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58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58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58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58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58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58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58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58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58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58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58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58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58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58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58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58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58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58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58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58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58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58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58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58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58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58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58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58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58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58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58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58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58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58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58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58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58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58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58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58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58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58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58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58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58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58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58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58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58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58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58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58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58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58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58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58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58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58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58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58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58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58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58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58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58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58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58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58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58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58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58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58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58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58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58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58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58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58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58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58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58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58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58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58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58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58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58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58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58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58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58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58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58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58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58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58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58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58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58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58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58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58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58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58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58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58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58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58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58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58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58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58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58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58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58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58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58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58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58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58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58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58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58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58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58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58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58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58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58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58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58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58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58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58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58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58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58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58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58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58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58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58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58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58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58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58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58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58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58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58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58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58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58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58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58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58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58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58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58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58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58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58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58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58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58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58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58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58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58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58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58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58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58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58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58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58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58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58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58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58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58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58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58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58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58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58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58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58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58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58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58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58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58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58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58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58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58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58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58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58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58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58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58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58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58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58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58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58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58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58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58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58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58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58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58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58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58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58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58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58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58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58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58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58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58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58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58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58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58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58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58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58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58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58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58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58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OEE &amp; Duruş Kök-Neden Komutası</t>
        </is>
      </c>
    </row>
    <row r="3" ht="20" customHeight="1">
      <c r="A3" s="10" t="inlineStr">
        <is>
          <t>12 aylık sezonsallık — OEE ve duruş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odk_sezonsalTrend</f>
        <v/>
      </c>
    </row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OEE &amp; Duruş Kök-Neden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OEE &amp; Duruş Kök-Neden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59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59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59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59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59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59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59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59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odk_alarmListesi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OEE &amp; Duruş Kök-Neden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9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7:F28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OEE &amp; Duruş Kök-Neden Komutası</t>
        </is>
      </c>
    </row>
    <row r="3" ht="20" customHeight="1">
      <c r="A3" s="10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OEE &amp; Duruş Kök-Neden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59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59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59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59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59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59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59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59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59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59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59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59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59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59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59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59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59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59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59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59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OEE &amp; Duruş Kök-Neden Komutası</t>
        </is>
      </c>
    </row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OEE &amp; Duruş Kök-Neden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60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OEE &amp; Duruş Kök-Neden Komutası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2026-08-11T19:38:15Z</dcterms:created>
  <dcterms:modified xmlns:dcterms="http://purl.org/dc/terms/" xmlns:xsi="http://www.w3.org/2001/XMLSchema-instance" xsi:type="dcterms:W3CDTF">2026-09-25T14:23:29Z</dcterms:modified>
</cp:coreProperties>
</file>