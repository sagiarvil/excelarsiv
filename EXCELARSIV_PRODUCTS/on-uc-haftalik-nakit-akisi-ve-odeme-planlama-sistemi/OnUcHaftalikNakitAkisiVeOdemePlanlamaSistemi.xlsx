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6.xml" ContentType="application/vnd.openxmlformats-officedocument.spreadsheetml.comments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NAKIT_GIRISLERI" sheetId="6" state="visible" r:id="rId6"/>
    <sheet xmlns:r="http://schemas.openxmlformats.org/officeDocument/2006/relationships" name="NAKIT_CIKISLARI" sheetId="7" state="visible" r:id="rId7"/>
    <sheet xmlns:r="http://schemas.openxmlformats.org/officeDocument/2006/relationships" name="HAFTALIK_PLAN" sheetId="8" state="visible" r:id="rId8"/>
    <sheet xmlns:r="http://schemas.openxmlformats.org/officeDocument/2006/relationships" name="MOTOR" sheetId="9" state="visible" r:id="rId9"/>
    <sheet xmlns:r="http://schemas.openxmlformats.org/officeDocument/2006/relationships" name="KONTROLLER" sheetId="10" state="visible" r:id="rId10"/>
    <sheet xmlns:r="http://schemas.openxmlformats.org/officeDocument/2006/relationships" name="KARAR_MOTORU" sheetId="11" state="visible" r:id="rId11"/>
    <sheet xmlns:r="http://schemas.openxmlformats.org/officeDocument/2006/relationships" name="SENARYO_DUYARLILIK" sheetId="12" state="visible" r:id="rId12"/>
    <sheet xmlns:r="http://schemas.openxmlformats.org/officeDocument/2006/relationships" name="RAPO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TESTLER" sheetId="15" state="visible" r:id="rId15"/>
    <sheet xmlns:r="http://schemas.openxmlformats.org/officeDocument/2006/relationships" name="AKIS" sheetId="16" state="visible" r:id="rId16"/>
    <sheet xmlns:r="http://schemas.openxmlformats.org/officeDocument/2006/relationships" name="DEGISIKLIK_KAYD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AsgariTampon" hidden="0" function="0" vbProcedure="0">AYARLAR!$B$15</definedName>
    <definedName name="AsiriCikisTutari" hidden="0" function="0" vbProcedure="0">AYARLAR!$B$21</definedName>
    <definedName name="AsiriGirisTutari" hidden="0" function="0" vbProcedure="0">AYARLAR!$B$20</definedName>
    <definedName name="BaslangicBakiye" hidden="0" function="0" vbProcedure="0">AYARLAR!$B$14</definedName>
    <definedName name="DonemSonuBakiye" hidden="0" function="0" vbProcedure="0">KARAR_MOTORU!$B$5</definedName>
    <definedName name="DosyaSurumu" hidden="0" function="0" vbProcedure="0">AYARLAR!$B$8</definedName>
    <definedName name="DuyarliOran" hidden="0" function="0" vbProcedure="0">AYARLAR!$B$22</definedName>
    <definedName name="FirmaUnvan" hidden="0" function="0" vbProcedure="0">AYARLAR!$B$5</definedName>
    <definedName name="HaftaUzunlugu" hidden="0" function="0" vbProcedure="0">AYARLAR!$B$16</definedName>
    <definedName name="KararBildirimi" hidden="0" function="0" vbProcedure="0">KARAR_MOTORU!$B$8</definedName>
    <definedName name="KararGerekcesi" hidden="0" function="0" vbProcedure="0">KARAR_MOTORU!$B$10</definedName>
    <definedName name="KritikOdemePayiEsigi" hidden="0" function="0" vbProcedure="0">AYARLAR!$B$27</definedName>
    <definedName name="KirlikMaliyetOrani" hidden="0" function="0" vbProcedure="0">AYARLAR!$B$24</definedName>
    <definedName name="LisansKodu" hidden="0" function="0" vbProcedure="0">AYARLAR!$B$9</definedName>
    <definedName name="ListeGuvence" hidden="0" function="0" vbProcedure="0">LISTELER!$A$6:$A$8</definedName>
    <definedName name="ListeKalem" hidden="0" function="0" vbProcedure="0">LISTELER!$E$6:$E$13</definedName>
    <definedName name="ListeKaynak" hidden="0" function="0" vbProcedure="0">LISTELER!$C$6:$C$10</definedName>
    <definedName name="ListeOncelik" hidden="0" function="0" vbProcedure="0">LISTELER!$G$6:$G$9</definedName>
    <definedName name="MaksTarihUfku" hidden="0" function="0" vbProcedure="0">AYARLAR!$B$28</definedName>
    <definedName name="modulI1BakiyeTahmini" hidden="0" function="0" vbProcedure="0">MOTOR!$B$51</definedName>
    <definedName name="modulI1BakiyeTahminiYorum" hidden="0" function="0" vbProcedure="0">MOTOR!$C$51</definedName>
    <definedName name="modulI2NetAkisP90" hidden="0" function="0" vbProcedure="0">MOTOR!$B$52</definedName>
    <definedName name="modulI2NetAkisP90Yorum" hidden="0" function="0" vbProcedure="0">MOTOR!$C$52</definedName>
    <definedName name="modulI7NakitAcigi" hidden="0" function="0" vbProcedure="0">MOTOR!$B$53</definedName>
    <definedName name="modulI7NakitAcigiYorum" hidden="0" function="0" vbProcedure="0">MOTOR!$C$53</definedName>
    <definedName name="modulO1CikisAnomalisi" hidden="0" function="0" vbProcedure="0">MOTOR!$B$44</definedName>
    <definedName name="modulO1CikisAnomalisiYorum" hidden="0" function="0" vbProcedure="0">MOTOR!$C$44</definedName>
    <definedName name="modulO2TornadoZirve" hidden="0" function="0" vbProcedure="0">MOTOR!$B$45</definedName>
    <definedName name="modulO2TornadoZirveYorum" hidden="0" function="0" vbProcedure="0">MOTOR!$C$45</definedName>
    <definedName name="modulO3SenaryoFark" hidden="0" function="0" vbProcedure="0">MOTOR!$B$46</definedName>
    <definedName name="modulO3SenaryoFarkYorum" hidden="0" function="0" vbProcedure="0">MOTOR!$C$46</definedName>
    <definedName name="modulO4NakitDonusum" hidden="0" function="0" vbProcedure="0">MOTOR!$B$47</definedName>
    <definedName name="modulO4NakitDonusumYorum" hidden="0" function="0" vbProcedure="0">MOTOR!$C$47</definedName>
    <definedName name="modulO5KirlikMaliyeti" hidden="0" function="0" vbProcedure="0">MOTOR!$B$48</definedName>
    <definedName name="modulO5KirlikMaliyetiYorum" hidden="0" function="0" vbProcedure="0">MOTOR!$C$48</definedName>
    <definedName name="modulO6KalemHhi" hidden="0" function="0" vbProcedure="0">MOTOR!$B$49</definedName>
    <definedName name="modulO6KalemHhiYorum" hidden="0" function="0" vbProcedure="0">MOTOR!$C$49</definedName>
    <definedName name="modulO8KaliteSkor" hidden="0" function="0" vbProcedure="0">MOTOR!$B$50</definedName>
    <definedName name="modulO8KaliteSkorYorum" hidden="0" function="0" vbProcedure="0">MOTOR!$C$50</definedName>
    <definedName name="modulT1KirlikHafta" hidden="0" function="0" vbProcedure="0">MOTOR!$B$38</definedName>
    <definedName name="modulT1KirlikHaftaYorum" hidden="0" function="0" vbProcedure="0">MOTOR!$C$38</definedName>
    <definedName name="modulT2NetAkisEgimi" hidden="0" function="0" vbProcedure="0">MOTOR!$B$39</definedName>
    <definedName name="modulT2NetAkisEgimiYorum" hidden="0" function="0" vbProcedure="0">MOTOR!$C$39</definedName>
    <definedName name="modulT3CikisPareto" hidden="0" function="0" vbProcedure="0">MOTOR!$B$40</definedName>
    <definedName name="modulT3CikisParetoYorum" hidden="0" function="0" vbProcedure="0">MOTOR!$C$40</definedName>
    <definedName name="modulT4DonemFark" hidden="0" function="0" vbProcedure="0">MOTOR!$B$41</definedName>
    <definedName name="modulT4DonemFarkYorum" hidden="0" function="0" vbProcedure="0">MOTOR!$C$41</definedName>
    <definedName name="modulT5MutabakatFark" hidden="0" function="0" vbProcedure="0">MOTOR!$B$42</definedName>
    <definedName name="modulT5MutabakatFarkYorum" hidden="0" function="0" vbProcedure="0">MOTOR!$C$42</definedName>
    <definedName name="modulT6KritikOdemePayi" hidden="0" function="0" vbProcedure="0">MOTOR!$B$43</definedName>
    <definedName name="modulT6KritikOdemePayiYorum" hidden="0" function="0" vbProcedure="0">MOTOR!$C$43</definedName>
    <definedName name="MinimumVeriSayisi" hidden="0" function="0" vbProcedure="0">AYARLAR!$B$23</definedName>
    <definedName name="NakitDonusumEsigi" hidden="0" function="0" vbProcedure="0">AYARLAR!$B$30</definedName>
    <definedName name="OnerilenOnlem" hidden="0" function="0" vbProcedure="0">KARAR_MOTORU!$B$11</definedName>
    <definedName name="P90Yuzdelik" hidden="0" function="0" vbProcedure="0">AYARLAR!$B$32</definedName>
    <definedName name="ParaBirimi" hidden="0" function="0" vbProcedure="0">AYARLAR!$B$10</definedName>
    <definedName name="ParaBitisHaftasi" hidden="0" function="0" vbProcedure="0">KARAR_MOTORU!$B$6</definedName>
    <definedName name="PlanHaftaSayisi" hidden="0" function="0" vbProcedure="0">AYARLAR!$B$26</definedName>
    <definedName name="RaporHazirlayan" hidden="0" function="0" vbProcedure="0">AYARLAR!$B$7</definedName>
    <definedName name="RaporTarihi" hidden="0" function="0" vbProcedure="0">AYARLAR!$B$6</definedName>
    <definedName name="RiskSeviyesi" hidden="0" function="0" vbProcedure="0">KARAR_MOTORU!$B$9</definedName>
    <definedName name="SenBelirsizlikEsigi" hidden="0" function="0" vbProcedure="0">AYARLAR!$B$29</definedName>
    <definedName name="TahminUfku" hidden="0" function="0" vbProcedure="0">AYARLAR!$B$25</definedName>
    <definedName name="UyariPuanKesintisi" hidden="0" function="0" vbProcedure="0">AYARLAR!$B$19</definedName>
    <definedName name="VeriKaliteOrta" hidden="0" function="0" vbProcedure="0">AYARLAR!$B$18</definedName>
    <definedName name="VeriKaliteSkor" hidden="0" function="0" vbProcedure="0">KONTROLLER!$B$6</definedName>
    <definedName name="VeriKaliteYuksek" hidden="0" function="0" vbProcedure="0">AYARLAR!$B$17</definedName>
    <definedName name="YogunlasmaEsigi" hidden="0" function="0" vbProcedure="0">AYARLAR!$B$31</definedName>
    <definedName name="_xlnm.Print_Area" localSheetId="12">'RAPOR'!$A$1:$H$30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  <numFmt numFmtId="169" formatCode="₺#,##0"/>
  </numFmts>
  <fonts count="8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B1F3A"/>
      <sz val="26"/>
    </font>
    <font>
      <name val="Segoe UI"/>
      <charset val="1"/>
      <family val="0"/>
      <color rgb="FF1F4E79"/>
      <sz val="13"/>
    </font>
    <font>
      <name val="Segoe UI"/>
      <charset val="1"/>
      <family val="0"/>
      <b val="1"/>
      <color rgb="FFB08948"/>
      <sz val="12"/>
    </font>
    <font>
      <name val="Segoe UI"/>
      <charset val="1"/>
      <family val="0"/>
      <color rgb="FF000000"/>
      <sz val="11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B1F3A"/>
      <sz val="16"/>
    </font>
    <font>
      <name val="Segoe UI"/>
      <charset val="1"/>
      <family val="0"/>
      <color rgb="FF000000"/>
      <sz val="10"/>
    </font>
    <font>
      <name val="Segoe UI"/>
      <charset val="1"/>
      <family val="0"/>
      <color rgb="FF1F4E79"/>
      <sz val="11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color rgb="FF006100"/>
      <sz val="9"/>
    </font>
    <font>
      <name val="Segoe UI"/>
      <charset val="1"/>
      <family val="0"/>
      <b val="1"/>
      <color rgb="FF000000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1F4E79"/>
      <sz val="9"/>
    </font>
    <font>
      <name val="Segoe UI"/>
      <charset val="1"/>
      <family val="0"/>
      <b val="1"/>
      <color rgb="FF0B1F3A"/>
      <sz val="12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B1F3A"/>
      <sz val="14"/>
    </font>
    <font>
      <name val="Segoe UI"/>
      <charset val="1"/>
      <family val="0"/>
      <b val="1"/>
      <color rgb="FFB08948"/>
      <sz val="11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i val="1"/>
      <color rgb="FF000000"/>
      <sz val="8"/>
    </font>
    <font>
      <name val="Segoe UI"/>
      <charset val="1"/>
      <family val="0"/>
      <b val="1"/>
      <color rgb="FF000000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B1F3A"/>
        <bgColor rgb="FF003300"/>
      </patternFill>
    </fill>
    <fill>
      <patternFill patternType="solid">
        <fgColor rgb="001F4E79"/>
        <bgColor rgb="FF416A9C"/>
      </patternFill>
    </fill>
    <fill>
      <patternFill patternType="solid">
        <fgColor rgb="FFFFF2CC"/>
        <bgColor rgb="FFFDE7E9"/>
      </patternFill>
    </fill>
    <fill>
      <patternFill patternType="solid">
        <fgColor rgb="00DDEBF7"/>
        <bgColor rgb="00F2F2F2"/>
      </patternFill>
    </fill>
    <fill>
      <patternFill patternType="solid">
        <fgColor rgb="00F2F2F2"/>
        <bgColor rgb="FFFDE7E9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 wrapText="1"/>
    </xf>
    <xf numFmtId="3" fontId="14" fillId="4" borderId="0" applyAlignment="1" applyProtection="1" pivotButton="0" quotePrefix="0" xfId="0">
      <alignment horizontal="center" vertical="center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4" fillId="4" borderId="0" applyAlignment="1" applyProtection="1" pivotButton="0" quotePrefix="0" xfId="0">
      <alignment horizontal="left" vertical="center"/>
      <protection locked="0" hidden="0"/>
    </xf>
    <xf numFmtId="165" fontId="14" fillId="4" borderId="0" applyAlignment="1" applyProtection="1" pivotButton="0" quotePrefix="0" xfId="0">
      <alignment horizontal="left" vertical="center"/>
      <protection locked="0" hidden="0"/>
    </xf>
    <xf numFmtId="165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4" borderId="0" applyAlignment="1" applyProtection="1" pivotButton="0" quotePrefix="0" xfId="0">
      <alignment horizontal="general" vertical="bottom"/>
      <protection locked="0" hidden="0"/>
    </xf>
    <xf numFmtId="0" fontId="9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 indent="1"/>
    </xf>
    <xf numFmtId="0" fontId="22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4" fillId="4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49" fontId="14" fillId="4" borderId="0" applyAlignment="1" applyProtection="1" pivotButton="0" quotePrefix="0" xfId="0">
      <alignment horizontal="left" vertical="center"/>
      <protection locked="0" hidden="0"/>
    </xf>
    <xf numFmtId="0" fontId="29" fillId="6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3" fontId="14" fillId="4" borderId="0" applyAlignment="1" applyProtection="1" pivotButton="0" quotePrefix="0" xfId="0">
      <alignment horizontal="left" vertical="center"/>
      <protection locked="0" hidden="0"/>
    </xf>
    <xf numFmtId="166" fontId="14" fillId="4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3" fillId="0" borderId="0" pivotButton="0" quotePrefix="0" xfId="0"/>
    <xf numFmtId="0" fontId="39" fillId="0" borderId="0" pivotButton="0" quotePrefix="0" xfId="0"/>
    <xf numFmtId="0" fontId="34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9" fillId="8" borderId="0" applyAlignment="1" pivotButton="0" quotePrefix="0" xfId="0">
      <alignment horizontal="center" vertical="center" wrapText="1"/>
    </xf>
    <xf numFmtId="0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1" fillId="7" borderId="0" applyAlignment="1" pivotButton="0" quotePrefix="0" xfId="0">
      <alignment horizontal="center" vertical="center"/>
    </xf>
    <xf numFmtId="0" fontId="42" fillId="0" borderId="0" pivotButton="0" quotePrefix="0" xfId="0"/>
    <xf numFmtId="167" fontId="42" fillId="0" borderId="0" pivotButton="0" quotePrefix="0" xfId="0"/>
    <xf numFmtId="167" fontId="43" fillId="0" borderId="0" pivotButton="0" quotePrefix="0" xfId="0"/>
    <xf numFmtId="168" fontId="42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46" fillId="7" borderId="0" applyAlignment="1" pivotButton="0" quotePrefix="0" xfId="0">
      <alignment horizontal="center" vertical="center"/>
    </xf>
    <xf numFmtId="0" fontId="41" fillId="7" borderId="0" applyAlignment="1" pivotButton="0" quotePrefix="0" xfId="0">
      <alignment horizontal="center"/>
    </xf>
    <xf numFmtId="0" fontId="43" fillId="0" borderId="0" pivotButton="0" quotePrefix="0" xfId="0"/>
    <xf numFmtId="0" fontId="47" fillId="9" borderId="1" pivotButton="0" quotePrefix="0" xfId="0"/>
    <xf numFmtId="0" fontId="48" fillId="0" borderId="0" pivotButton="0" quotePrefix="0" xfId="0"/>
    <xf numFmtId="0" fontId="49" fillId="0" borderId="0" pivotButton="0" quotePrefix="0" xfId="0"/>
    <xf numFmtId="0" fontId="42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 wrapText="1"/>
    </xf>
    <xf numFmtId="3" fontId="14" fillId="4" borderId="0" applyAlignment="1" applyProtection="1" pivotButton="0" quotePrefix="0" xfId="0">
      <alignment horizontal="center" vertical="center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4" fillId="4" borderId="0" applyAlignment="1" applyProtection="1" pivotButton="0" quotePrefix="0" xfId="0">
      <alignment horizontal="left" vertical="center"/>
      <protection locked="0" hidden="0"/>
    </xf>
    <xf numFmtId="165" fontId="14" fillId="4" borderId="0" applyAlignment="1" applyProtection="1" pivotButton="0" quotePrefix="0" xfId="0">
      <alignment horizontal="left" vertical="center"/>
      <protection locked="0" hidden="0"/>
    </xf>
    <xf numFmtId="165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4" borderId="0" applyAlignment="1" applyProtection="1" pivotButton="0" quotePrefix="0" xfId="0">
      <alignment horizontal="general" vertical="bottom"/>
      <protection locked="0" hidden="0"/>
    </xf>
    <xf numFmtId="0" fontId="9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 indent="1"/>
    </xf>
    <xf numFmtId="0" fontId="22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166" fontId="14" fillId="4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49" fontId="14" fillId="4" borderId="0" applyAlignment="1" applyProtection="1" pivotButton="0" quotePrefix="0" xfId="0">
      <alignment horizontal="left" vertical="center"/>
      <protection locked="0" hidden="0"/>
    </xf>
    <xf numFmtId="0" fontId="29" fillId="6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3" fontId="14" fillId="4" borderId="0" applyAlignment="1" applyProtection="1" pivotButton="0" quotePrefix="0" xfId="0">
      <alignment horizontal="left" vertical="center"/>
      <protection locked="0" hidden="0"/>
    </xf>
    <xf numFmtId="166" fontId="14" fillId="4" borderId="0" applyAlignment="1" applyProtection="1" pivotButton="0" quotePrefix="0" xfId="0">
      <alignment horizontal="left" vertical="center"/>
      <protection locked="0" hidden="0"/>
    </xf>
    <xf numFmtId="0" fontId="50" fillId="0" borderId="0" pivotButton="0" quotePrefix="0" xfId="0"/>
    <xf numFmtId="0" fontId="51" fillId="0" borderId="1" applyAlignment="1" pivotButton="0" quotePrefix="0" xfId="0">
      <alignment horizontal="center" vertical="center"/>
    </xf>
    <xf numFmtId="0" fontId="41" fillId="10" borderId="0" applyAlignment="1" pivotButton="0" quotePrefix="0" xfId="0">
      <alignment horizontal="center" vertical="center"/>
    </xf>
    <xf numFmtId="0" fontId="32" fillId="0" borderId="0" pivotButton="0" quotePrefix="0" xfId="0"/>
    <xf numFmtId="0" fontId="38" fillId="0" borderId="2" pivotButton="0" quotePrefix="0" xfId="0"/>
    <xf numFmtId="0" fontId="0" fillId="0" borderId="1" pivotButton="0" quotePrefix="0" xfId="0"/>
    <xf numFmtId="0" fontId="52" fillId="11" borderId="1" applyAlignment="1" pivotButton="0" quotePrefix="0" xfId="0">
      <alignment horizontal="center"/>
    </xf>
    <xf numFmtId="0" fontId="38" fillId="0" borderId="3" pivotButton="0" quotePrefix="0" xfId="0"/>
    <xf numFmtId="0" fontId="54" fillId="12" borderId="1" applyAlignment="1" pivotButton="0" quotePrefix="0" xfId="0">
      <alignment horizontal="center"/>
    </xf>
    <xf numFmtId="0" fontId="53" fillId="13" borderId="1" applyAlignment="1" pivotButton="0" quotePrefix="0" xfId="0">
      <alignment horizontal="center"/>
    </xf>
    <xf numFmtId="0" fontId="38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4" fillId="0" borderId="2" pivotButton="0" quotePrefix="0" xfId="0"/>
    <xf numFmtId="0" fontId="55" fillId="0" borderId="3" pivotButton="0" quotePrefix="0" xfId="0"/>
    <xf numFmtId="0" fontId="56" fillId="0" borderId="4" pivotButton="0" quotePrefix="0" xfId="0"/>
    <xf numFmtId="0" fontId="53" fillId="0" borderId="2" pivotButton="0" quotePrefix="0" xfId="0"/>
    <xf numFmtId="0" fontId="48" fillId="0" borderId="3" pivotButton="0" quotePrefix="0" xfId="0"/>
    <xf numFmtId="0" fontId="53" fillId="0" borderId="4" pivotButton="0" quotePrefix="0" xfId="0"/>
    <xf numFmtId="0" fontId="57" fillId="14" borderId="0" applyAlignment="1" pivotButton="0" quotePrefix="0" xfId="0">
      <alignment horizontal="center"/>
    </xf>
    <xf numFmtId="0" fontId="58" fillId="0" borderId="0" pivotButton="0" quotePrefix="0" xfId="0"/>
    <xf numFmtId="0" fontId="57" fillId="15" borderId="0" applyAlignment="1" pivotButton="0" quotePrefix="0" xfId="0">
      <alignment horizontal="center" vertical="center"/>
    </xf>
    <xf numFmtId="0" fontId="58" fillId="0" borderId="1" pivotButton="0" quotePrefix="0" xfId="0"/>
    <xf numFmtId="0" fontId="59" fillId="0" borderId="1" pivotButton="0" quotePrefix="0" xfId="0"/>
    <xf numFmtId="0" fontId="60" fillId="0" borderId="1" pivotButton="0" quotePrefix="0" xfId="0"/>
    <xf numFmtId="0" fontId="61" fillId="16" borderId="1" applyAlignment="1" pivotButton="0" quotePrefix="0" xfId="0">
      <alignment horizontal="center"/>
    </xf>
    <xf numFmtId="0" fontId="57" fillId="7" borderId="0" pivotButton="0" quotePrefix="0" xfId="0"/>
    <xf numFmtId="0" fontId="62" fillId="7" borderId="0" pivotButton="0" quotePrefix="0" xfId="0"/>
    <xf numFmtId="0" fontId="63" fillId="7" borderId="0" pivotButton="0" quotePrefix="0" xfId="0"/>
    <xf numFmtId="0" fontId="0" fillId="7" borderId="0" pivotButton="0" quotePrefix="0" xfId="0"/>
    <xf numFmtId="0" fontId="35" fillId="7" borderId="0" applyAlignment="1" pivotButton="0" quotePrefix="0" xfId="0">
      <alignment horizontal="center"/>
    </xf>
    <xf numFmtId="0" fontId="51" fillId="0" borderId="0" pivotButton="0" quotePrefix="0" xfId="0"/>
    <xf numFmtId="0" fontId="66" fillId="17" borderId="0" pivotButton="0" quotePrefix="0" xfId="0"/>
    <xf numFmtId="0" fontId="0" fillId="17" borderId="0" pivotButton="0" quotePrefix="0" xfId="0"/>
    <xf numFmtId="0" fontId="53" fillId="0" borderId="0" pivotButton="0" quotePrefix="0" xfId="0"/>
    <xf numFmtId="0" fontId="41" fillId="17" borderId="0" pivotButton="0" quotePrefix="0" xfId="0"/>
    <xf numFmtId="0" fontId="67" fillId="17" borderId="0" applyAlignment="1" pivotButton="0" quotePrefix="0" xfId="0">
      <alignment wrapText="1"/>
    </xf>
    <xf numFmtId="0" fontId="64" fillId="0" borderId="0" pivotButton="0" quotePrefix="0" xfId="0"/>
    <xf numFmtId="0" fontId="65" fillId="0" borderId="0" pivotButton="0" quotePrefix="0" xfId="0"/>
    <xf numFmtId="0" fontId="53" fillId="13" borderId="5" applyAlignment="1" pivotButton="0" quotePrefix="0" xfId="0">
      <alignment horizontal="center" vertical="center"/>
    </xf>
    <xf numFmtId="0" fontId="68" fillId="18" borderId="0" applyAlignment="1" pivotButton="0" quotePrefix="0" xfId="0">
      <alignment horizontal="center" vertical="center"/>
    </xf>
    <xf numFmtId="0" fontId="32" fillId="19" borderId="1" applyAlignment="1" pivotButton="0" quotePrefix="0" xfId="0">
      <alignment vertical="center"/>
    </xf>
    <xf numFmtId="0" fontId="52" fillId="11" borderId="0" applyAlignment="1" pivotButton="0" quotePrefix="0" xfId="0">
      <alignment horizontal="center" vertical="center"/>
    </xf>
    <xf numFmtId="0" fontId="53" fillId="13" borderId="0" applyAlignment="1" pivotButton="0" quotePrefix="0" xfId="0">
      <alignment horizontal="center" vertical="center"/>
    </xf>
    <xf numFmtId="0" fontId="69" fillId="7" borderId="0" applyAlignment="1" pivotButton="0" quotePrefix="0" xfId="0">
      <alignment horizontal="center" vertical="center"/>
    </xf>
    <xf numFmtId="0" fontId="70" fillId="19" borderId="1" applyAlignment="1" pivotButton="0" quotePrefix="0" xfId="0">
      <alignment horizontal="center"/>
    </xf>
    <xf numFmtId="0" fontId="71" fillId="19" borderId="1" applyAlignment="1" pivotButton="0" quotePrefix="0" xfId="0">
      <alignment horizontal="center"/>
    </xf>
    <xf numFmtId="0" fontId="70" fillId="19" borderId="1" pivotButton="0" quotePrefix="0" xfId="0"/>
    <xf numFmtId="169" fontId="71" fillId="19" borderId="1" applyAlignment="1" pivotButton="0" quotePrefix="0" xfId="0">
      <alignment horizontal="right"/>
    </xf>
    <xf numFmtId="9" fontId="70" fillId="19" borderId="1" applyAlignment="1" pivotButton="0" quotePrefix="0" xfId="0">
      <alignment horizontal="center"/>
    </xf>
    <xf numFmtId="169" fontId="70" fillId="19" borderId="1" applyAlignment="1" pivotButton="0" quotePrefix="0" xfId="0">
      <alignment horizontal="right"/>
    </xf>
    <xf numFmtId="0" fontId="53" fillId="19" borderId="1" applyAlignment="1" pivotButton="0" quotePrefix="0" xfId="0">
      <alignment horizontal="center"/>
    </xf>
    <xf numFmtId="0" fontId="70" fillId="18" borderId="1" applyAlignment="1" pivotButton="0" quotePrefix="0" xfId="0">
      <alignment horizontal="center"/>
    </xf>
    <xf numFmtId="0" fontId="71" fillId="18" borderId="1" applyAlignment="1" pivotButton="0" quotePrefix="0" xfId="0">
      <alignment horizontal="center"/>
    </xf>
    <xf numFmtId="0" fontId="70" fillId="18" borderId="1" pivotButton="0" quotePrefix="0" xfId="0"/>
    <xf numFmtId="169" fontId="71" fillId="18" borderId="1" applyAlignment="1" pivotButton="0" quotePrefix="0" xfId="0">
      <alignment horizontal="right"/>
    </xf>
    <xf numFmtId="9" fontId="70" fillId="18" borderId="1" applyAlignment="1" pivotButton="0" quotePrefix="0" xfId="0">
      <alignment horizontal="center"/>
    </xf>
    <xf numFmtId="169" fontId="70" fillId="18" borderId="1" applyAlignment="1" pivotButton="0" quotePrefix="0" xfId="0">
      <alignment horizontal="right"/>
    </xf>
    <xf numFmtId="0" fontId="58" fillId="18" borderId="1" applyAlignment="1" pivotButton="0" quotePrefix="0" xfId="0">
      <alignment horizontal="center"/>
    </xf>
    <xf numFmtId="0" fontId="53" fillId="18" borderId="1" applyAlignment="1" pivotButton="0" quotePrefix="0" xfId="0">
      <alignment horizontal="center"/>
    </xf>
    <xf numFmtId="0" fontId="54" fillId="18" borderId="1" applyAlignment="1" pivotButton="0" quotePrefix="0" xfId="0">
      <alignment horizontal="center"/>
    </xf>
    <xf numFmtId="0" fontId="41" fillId="7" borderId="0" applyAlignment="1" pivotButton="0" quotePrefix="0" xfId="0">
      <alignment vertical="center" indent="1"/>
    </xf>
    <xf numFmtId="169" fontId="72" fillId="7" borderId="0" applyAlignment="1" pivotButton="0" quotePrefix="0" xfId="0">
      <alignment horizontal="right" vertical="center"/>
    </xf>
    <xf numFmtId="0" fontId="73" fillId="0" borderId="6" pivotButton="0" quotePrefix="0" xfId="0"/>
    <xf numFmtId="0" fontId="74" fillId="0" borderId="6" pivotButton="0" quotePrefix="0" xfId="0"/>
    <xf numFmtId="0" fontId="75" fillId="0" borderId="6" pivotButton="0" quotePrefix="0" xfId="0"/>
    <xf numFmtId="0" fontId="76" fillId="20" borderId="1" applyAlignment="1" pivotButton="0" quotePrefix="0" xfId="0">
      <alignment horizontal="center" vertical="center"/>
    </xf>
    <xf numFmtId="0" fontId="80" fillId="11" borderId="1" applyAlignment="1" pivotButton="0" quotePrefix="0" xfId="0">
      <alignment horizontal="center" vertical="center"/>
    </xf>
    <xf numFmtId="0" fontId="77" fillId="0" borderId="1" pivotButton="0" quotePrefix="0" xfId="0"/>
    <xf numFmtId="0" fontId="76" fillId="0" borderId="1" applyAlignment="1" pivotButton="0" quotePrefix="0" xfId="0">
      <alignment horizontal="right"/>
    </xf>
    <xf numFmtId="0" fontId="80" fillId="0" borderId="1" applyAlignment="1" pivotButton="0" quotePrefix="0" xfId="0">
      <alignment horizontal="right"/>
    </xf>
    <xf numFmtId="0" fontId="51" fillId="0" borderId="1" applyAlignment="1" pivotButton="0" quotePrefix="0" xfId="0">
      <alignment horizontal="right"/>
    </xf>
    <xf numFmtId="0" fontId="78" fillId="0" borderId="1" applyAlignment="1" pivotButton="0" quotePrefix="0" xfId="0">
      <alignment horizontal="right"/>
    </xf>
    <xf numFmtId="0" fontId="79" fillId="12" borderId="7" applyAlignment="1" pivotButton="0" quotePrefix="0" xfId="0">
      <alignment horizontal="center" vertical="center"/>
    </xf>
    <xf numFmtId="0" fontId="81" fillId="11" borderId="8" applyAlignment="1" pivotButton="0" quotePrefix="0" xfId="0">
      <alignment horizontal="center" vertical="center"/>
    </xf>
    <xf numFmtId="0" fontId="7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FDE7E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3261E"/>
      </font>
      <fill>
        <patternFill>
          <bgColor rgb="FFFDE7E9"/>
        </patternFill>
      </fill>
    </dxf>
    <dxf>
      <font>
        <name val="Segoe UI"/>
        <charset val="1"/>
        <family val="0"/>
        <color rgb="FF595959"/>
      </font>
    </dxf>
    <dxf>
      <font>
        <name val="Segoe UI"/>
        <charset val="1"/>
        <family val="0"/>
        <color rgb="FFBF8F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AABAD7"/>
      <rgbColor rgb="FF878787"/>
      <rgbColor rgb="FF9999FF"/>
      <rgbColor rgb="FF9F423F"/>
      <rgbColor rgb="FFFFF2CC"/>
      <rgbColor rgb="FFDDEBF7"/>
      <rgbColor rgb="FF660066"/>
      <rgbColor rgb="FFCC7C3A"/>
      <rgbColor rgb="FF416A9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2F2"/>
      <rgbColor rgb="FFCCFFCC"/>
      <rgbColor rgb="FFFDE7E9"/>
      <rgbColor rgb="FF99CCFF"/>
      <rgbColor rgb="FFB08948"/>
      <rgbColor rgb="FFCC99FF"/>
      <rgbColor rgb="FFFFCC99"/>
      <rgbColor rgb="FF4A7EBB"/>
      <rgbColor rgb="FF4BACC6"/>
      <rgbColor rgb="FF9BBB59"/>
      <rgbColor rgb="FFFFCC00"/>
      <rgbColor rgb="FFF79646"/>
      <rgbColor rgb="FFBF8F00"/>
      <rgbColor rgb="FF8064A2"/>
      <rgbColor rgb="FF809B49"/>
      <rgbColor rgb="FF0B1F3A"/>
      <rgbColor rgb="FF3E8EA4"/>
      <rgbColor rgb="FF003300"/>
      <rgbColor rgb="FF6A5286"/>
      <rgbColor rgb="FFB3261E"/>
      <rgbColor rgb="FFC0504D"/>
      <rgbColor rgb="FF1F4E79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Haftalık Giriş ve Çıkış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HAFTALIK_PLAN!D5</f>
              <strCache>
                <ptCount val="1"/>
                <pt idx="0">
                  <v>Toplam Giriş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HAFTALIK_PLAN!$A$6:$A$18</f>
              <strCache>
                <ptCount val="1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</strCache>
            </strRef>
          </cat>
          <val>
            <numRef>
              <f>HAFTALIK_PLAN!$D$6:$D$18</f>
              <numCache>
                <formatCode>"₺ "#,##0;[RED]"(₺ "#,##0\);\-</formatCode>
                <ptCount val="13"/>
                <pt idx="0">
                  <v>205000</v>
                </pt>
                <pt idx="1">
                  <v>205000</v>
                </pt>
                <pt idx="2">
                  <v>330000</v>
                </pt>
                <pt idx="3">
                  <v>220000</v>
                </pt>
                <pt idx="4">
                  <v>165000</v>
                </pt>
                <pt idx="5">
                  <v>200000</v>
                </pt>
                <pt idx="6">
                  <v>175000</v>
                </pt>
                <pt idx="7">
                  <v>200000</v>
                </pt>
                <pt idx="8">
                  <v>155000</v>
                </pt>
                <pt idx="9">
                  <v>195000</v>
                </pt>
                <pt idx="10">
                  <v>180000</v>
                </pt>
                <pt idx="11">
                  <v>205000</v>
                </pt>
                <pt idx="12">
                  <v>205000</v>
                </pt>
              </numCache>
            </numRef>
          </val>
        </ser>
        <ser>
          <idx val="1"/>
          <order val="1"/>
          <tx>
            <strRef>
              <f>HAFTALIK_PLAN!E5</f>
              <strCache>
                <ptCount val="1"/>
                <pt idx="0">
                  <v>Toplam Çıkış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HAFTALIK_PLAN!$A$6:$A$18</f>
              <strCache>
                <ptCount val="1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</strCache>
            </strRef>
          </cat>
          <val>
            <numRef>
              <f>HAFTALIK_PLAN!$E$6:$E$18</f>
              <numCache>
                <formatCode>"₺ "#,##0;[RED]"(₺ "#,##0\);\-</formatCode>
                <ptCount val="13"/>
                <pt idx="0">
                  <v>175000</v>
                </pt>
                <pt idx="1">
                  <v>90000</v>
                </pt>
                <pt idx="2">
                  <v>255000</v>
                </pt>
                <pt idx="3">
                  <v>130000</v>
                </pt>
                <pt idx="4">
                  <v>85000</v>
                </pt>
                <pt idx="5">
                  <v>60000</v>
                </pt>
                <pt idx="6">
                  <v>175000</v>
                </pt>
                <pt idx="7">
                  <v>95000</v>
                </pt>
                <pt idx="8">
                  <v>140000</v>
                </pt>
                <pt idx="9">
                  <v>130000</v>
                </pt>
                <pt idx="10">
                  <v>80000</v>
                </pt>
                <pt idx="11">
                  <v>135000</v>
                </pt>
                <pt idx="12">
                  <v>175000</v>
                </pt>
              </numCache>
            </numRef>
          </val>
        </ser>
        <gapWidth val="150"/>
        <overlap val="0"/>
        <axId val="96458560"/>
        <axId val="30905752"/>
      </barChart>
      <catAx>
        <axId val="96458560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0905752"/>
        <crosses val="autoZero"/>
        <auto val="1"/>
        <lblAlgn val="ctr"/>
        <lblOffset val="100"/>
        <noMultiLvlLbl val="0"/>
      </catAx>
      <valAx>
        <axId val="3090575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645856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Dönem Sonu Bakiye Eğilimi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HAFTALIK_PLAN!H5</f>
              <strCache>
                <ptCount val="1"/>
                <pt idx="0">
                  <v>Dönem Sonu Bakiye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HAFTALIK_PLAN!$A$6:$A$18</f>
              <strCache>
                <ptCount val="1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</strCache>
            </strRef>
          </cat>
          <val>
            <numRef>
              <f>HAFTALIK_PLAN!$H$6:$H$18</f>
              <numCache>
                <formatCode>"₺ "#,##0;[RED]"(₺ "#,##0\);\-</formatCode>
                <ptCount val="13"/>
                <pt idx="0">
                  <v>530000</v>
                </pt>
                <pt idx="1">
                  <v>645000</v>
                </pt>
                <pt idx="2">
                  <v>720000</v>
                </pt>
                <pt idx="3">
                  <v>810000</v>
                </pt>
                <pt idx="4">
                  <v>890000</v>
                </pt>
                <pt idx="5">
                  <v>1030000</v>
                </pt>
                <pt idx="6">
                  <v>1030000</v>
                </pt>
                <pt idx="7">
                  <v>1135000</v>
                </pt>
                <pt idx="8">
                  <v>1150000</v>
                </pt>
                <pt idx="9">
                  <v>1215000</v>
                </pt>
                <pt idx="10">
                  <v>1315000</v>
                </pt>
                <pt idx="11">
                  <v>1385000</v>
                </pt>
                <pt idx="12">
                  <v>1415000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403636"/>
        <axId val="29056947"/>
      </lineChart>
      <catAx>
        <axId val="4403636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9056947"/>
        <crosses val="autoZero"/>
        <auto val="1"/>
        <lblAlgn val="ctr"/>
        <lblOffset val="100"/>
        <noMultiLvlLbl val="0"/>
      </catAx>
      <valAx>
        <axId val="2905694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4036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Haftalık Net Nakit Akışı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HAFTALIK_PLAN!F5</f>
              <strCache>
                <ptCount val="1"/>
                <pt idx="0">
                  <v>Net Akış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HAFTALIK_PLAN!$A$6:$A$18</f>
              <strCache>
                <ptCount val="1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</strCache>
            </strRef>
          </cat>
          <val>
            <numRef>
              <f>HAFTALIK_PLAN!$F$6:$F$18</f>
              <numCache>
                <formatCode>"₺ "#,##0;[RED]"(₺ "#,##0\);\-</formatCode>
                <ptCount val="13"/>
                <pt idx="0">
                  <v>30000</v>
                </pt>
                <pt idx="1">
                  <v>115000</v>
                </pt>
                <pt idx="2">
                  <v>75000</v>
                </pt>
                <pt idx="3">
                  <v>90000</v>
                </pt>
                <pt idx="4">
                  <v>80000</v>
                </pt>
                <pt idx="5">
                  <v>140000</v>
                </pt>
                <pt idx="6">
                  <v>0</v>
                </pt>
                <pt idx="7">
                  <v>105000</v>
                </pt>
                <pt idx="8">
                  <v>15000</v>
                </pt>
                <pt idx="9">
                  <v>65000</v>
                </pt>
                <pt idx="10">
                  <v>100000</v>
                </pt>
                <pt idx="11">
                  <v>70000</v>
                </pt>
                <pt idx="12">
                  <v>30000</v>
                </pt>
              </numCache>
            </numRef>
          </val>
        </ser>
        <gapWidth val="150"/>
        <overlap val="0"/>
        <axId val="6318009"/>
        <axId val="57446820"/>
      </barChart>
      <catAx>
        <axId val="6318009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7446820"/>
        <crosses val="autoZero"/>
        <auto val="1"/>
        <lblAlgn val="ctr"/>
        <lblOffset val="100"/>
        <noMultiLvlLbl val="0"/>
      </catAx>
      <valAx>
        <axId val="5744682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631800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Hafta Durum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HAFTALIK_PLAN!$L$22:$L$24</f>
              <strCache>
                <ptCount val="3"/>
                <pt idx="0">
                  <v>YETERLİ</v>
                </pt>
                <pt idx="1">
                  <v>RİSK ALTINDA</v>
                </pt>
                <pt idx="2">
                  <v>PARA BİTİYOR</v>
                </pt>
              </strCache>
            </strRef>
          </cat>
          <val>
            <numRef>
              <f>HAFTALIK_PLAN!$M$22:$M$24</f>
              <numCache>
                <formatCode>#,##0</formatCode>
                <ptCount val="3"/>
                <pt idx="0">
                  <v>13</v>
                </pt>
                <pt idx="1">
                  <v>0</v>
                </pt>
                <pt idx="2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Kayıt Sayısı | Neden önemli: Karar motoru ve modüllerin temel girdisi | Doğru giriş: Formül | Örnek: - | Yanlışsa: - | Not: NAKIT_GIRISLERI tablosundaki dolu kayıt sayısı.</t>
      </text>
    </comment>
    <comment ref="B6" authorId="0" shapeId="0">
      <text>
        <t>Tanım: Çıkış Kayıt Sayısı | Neden önemli: Karar motoru ve modüllerin temel girdisi | Doğru giriş: Formül | Örnek: - | Yanlışsa: - | Not: NAKIT_CIKISLARI tablosundaki dolu kayıt sayısı.</t>
      </text>
    </comment>
    <comment ref="B7" authorId="0" shapeId="0">
      <text>
        <t>Tanım: Toplam Beklenen Giriş | Neden önemli: Karar motoru ve modüllerin temel girdisi | Doğru giriş: Formül | Örnek: - | Yanlışsa: - | Not: 13 haftalık beklenen toplam tahsilat.</t>
      </text>
    </comment>
    <comment ref="B8" authorId="0" shapeId="0">
      <text>
        <t>Tanım: Toplam Planlanan Çıkış | Neden önemli: Karar motoru ve modüllerin temel girdisi | Doğru giriş: Formül | Örnek: - | Yanlışsa: - | Not: 13 haftalık planlanan toplam ödeme.</t>
      </text>
    </comment>
    <comment ref="B9" authorId="0" shapeId="0">
      <text>
        <t>Tanım: Net Nakit Akışı | Neden önemli: Karar motoru ve modüllerin temel girdisi | Doğru giriş: Formül | Örnek: - | Yanlışsa: - | Not: Toplam giriş eksi toplam çıkış.</t>
      </text>
    </comment>
    <comment ref="B10" authorId="0" shapeId="0">
      <text>
        <t>Tanım: Dönem Sonu Bakiye (13. Hafta) | Neden önemli: Karar motoru ve modüllerin temel girdisi | Doğru giriş: Formül | Örnek: - | Yanlışsa: - | Not: 13 haftanın sonundaki kapanış bakiyesi.</t>
      </text>
    </comment>
    <comment ref="B11" authorId="0" shapeId="0">
      <text>
        <t>Tanım: Minimum Hafta Bakiyesi | Neden önemli: Karar motoru ve modüllerin temel girdisi | Doğru giriş: Formül | Örnek: - | Yanlışsa: - | Not: 13 haftanın en düşük dönem sonu bakiyesi.</t>
      </text>
    </comment>
    <comment ref="B12" authorId="0" shapeId="0">
      <text>
        <t>Tanım: Maksimum Hafta Bakiyesi | Neden önemli: Karar motoru ve modüllerin temel girdisi | Doğru giriş: Formül | Örnek: - | Yanlışsa: - | Not: 13 haftanın en yüksek dönem sonu bakiyesi.</t>
      </text>
    </comment>
    <comment ref="B13" authorId="0" shapeId="0">
      <text>
        <t>Tanım: Ortalama Haftalık Net Akış | Neden önemli: Karar motoru ve modüllerin temel girdisi | Doğru giriş: Formül | Örnek: - | Yanlışsa: - | Not: Haftalık net akışların ortalaması.</t>
      </text>
    </comment>
    <comment ref="B14" authorId="0" shapeId="0">
      <text>
        <t>Tanım: Net Akış Değişkenliği | Neden önemli: Karar motoru ve modüllerin temel girdisi | Doğru giriş: Formül | Örnek: - | Yanlışsa: - | Not: Haftalık net akışın standart sapması (oynaklık).</t>
      </text>
    </comment>
    <comment ref="B15" authorId="0" shapeId="0">
      <text>
        <t>Tanım: Kıtlık (Negatif Bakiye) Haftası | Neden önemli: Karar motoru ve modüllerin temel girdisi | Doğru giriş: Formül | Örnek: - | Yanlışsa: - | Not: Dönem sonu bakiyesi negatife düşen hafta sayısı.</t>
      </text>
    </comment>
    <comment ref="B16" authorId="0" shapeId="0">
      <text>
        <t>Tanım: Tampon Altı Hafta Sayısı | Neden önemli: Karar motoru ve modüllerin temel girdisi | Doğru giriş: Formül | Örnek: - | Yanlışsa: - | Not: Bakiyesi asgari tamponun altına inen hafta sayısı.</t>
      </text>
    </comment>
    <comment ref="B17" authorId="0" shapeId="0">
      <text>
        <t>Tanım: En Yüksek Çıkış Tutarı | Neden önemli: Karar motoru ve modüllerin temel girdisi | Doğru giriş: Formül | Örnek: - | Yanlışsa: - | Not: Tek haftadaki en yüksek planlanan ödeme.</t>
      </text>
    </comment>
    <comment ref="B18" authorId="0" shapeId="0">
      <text>
        <t>Tanım: En Yüksek Çıkış Haftası | Neden önemli: Karar motoru ve modüllerin temel girdisi | Doğru giriş: Formül | Örnek: - | Yanlışsa: - | Not: En yüksek ödemenin gerçekleştiği hafta.</t>
      </text>
    </comment>
    <comment ref="B19" authorId="0" shapeId="0">
      <text>
        <t>Tanım: Kritik Ödemeler Toplamı | Neden önemli: Karar motoru ve modüllerin temel girdisi | Doğru giriş: Formül | Örnek: - | Yanlışsa: - | Not: Önceliği KRİTİK olan ödemelerin toplamı.</t>
      </text>
    </comment>
    <comment ref="B20" authorId="0" shapeId="0">
      <text>
        <t>Tanım: Ertelenebilir Ödemeler Toplamı | Neden önemli: Karar motoru ve modüllerin temel girdisi | Doğru giriş: Formül | Örnek: - | Yanlışsa: - | Not: Ertelenebilir ödemelerin toplamı (önlem stoğu).</t>
      </text>
    </comment>
    <comment ref="B21" authorId="0" shapeId="0">
      <text>
        <t>Tanım: KESİN Giriş Toplamı | Neden önemli: Karar motoru ve modüllerin temel girdisi | Doğru giriş: Formül | Örnek: - | Yanlışsa: - | Not: Güvencesi KESİN olan tahsilatların toplamı.</t>
      </text>
    </comment>
    <comment ref="B22" authorId="0" shapeId="0">
      <text>
        <t>Tanım: BELİRSİZ Giriş Toplamı | Neden önemli: Karar motoru ve modüllerin temel girdisi | Doğru giriş: Formül | Örnek: - | Yanlışsa: - | Not: Güvencesi BELİRSİZ olan tahsilatların toplamı (risk stoğu).</t>
      </text>
    </comment>
    <comment ref="B23" authorId="0" shapeId="0">
      <text>
        <t>Tanım: Giriş/Çıkış Karşılama Oranı | Neden önemli: Karar motoru ve modüllerin temel girdisi | Doğru giriş: Formül | Örnek: - | Yanlışsa: - | Not: Toplam girişin toplam çıkışı karşılama oranı.</t>
      </text>
    </comment>
    <comment ref="B24" authorId="0" shapeId="0">
      <text>
        <t>Tanım: İlk 6 Hafta Net Akış | Neden önemli: Karar motoru ve modüllerin temel girdisi | Doğru giriş: Formül | Örnek: - | Yanlışsa: - | Not: 1-6. haftaların kümülatif net akışı.</t>
      </text>
    </comment>
    <comment ref="B25" authorId="0" shapeId="0">
      <text>
        <t>Tanım: Son 7 Hafta Net Akış | Neden önemli: Karar motoru ve modüllerin temel girdisi | Doğru giriş: Formül | Örnek: - | Yanlışsa: - | Not: 7-13. haftaların kümülatif net akışı.</t>
      </text>
    </comment>
    <comment ref="B28" authorId="0" shapeId="0">
      <text>
        <t>Tanım: Eksik Zorunlu Alan | Neden önemli: Güven düzeyini belirler | Doğru giriş: Formül | Örnek: - | Yanlışsa: -</t>
      </text>
    </comment>
    <comment ref="B29" authorId="0" shapeId="0">
      <text>
        <t>Tanım: Sıfır/Negatif Tutar | Neden önemli: Güven düzeyini belirler | Doğru giriş: Formül | Örnek: - | Yanlışsa: -</t>
      </text>
    </comment>
    <comment ref="B30" authorId="0" shapeId="0">
      <text>
        <t>Tanım: Aşırı Tutar Uyarısı | Neden önemli: Güven düzeyini belirler | Doğru giriş: Formül | Örnek: - | Yanlışsa: -</t>
      </text>
    </comment>
    <comment ref="B31" authorId="0" shapeId="0">
      <text>
        <t>Tanım: Dolu Giriş Kaydı | Neden önemli: Güven düzeyini belirler | Doğru giriş: Formül | Örnek: - | Yanlışsa: -</t>
      </text>
    </comment>
    <comment ref="B32" authorId="0" shapeId="0">
      <text>
        <t>Tanım: Dolu Çıkış Kaydı | Neden önemli: Güven düzeyini belirler | Doğru giriş: Formül | Örnek: - | Yanlışsa: -</t>
      </text>
    </comment>
    <comment ref="B33" authorId="0" shapeId="0">
      <text>
        <t>Tanım: Mutabakat Farkı | Neden önemli: Güven düzeyini belirler | Doğru giriş: Formül | Örnek: - | Yanlışsa: -</t>
      </text>
    </comment>
    <comment ref="B34" authorId="0" shapeId="0">
      <text>
        <t>Tanım: Veri Kalite Skoru | Neden önemli: Güven düzeyini belirler | Doğru giriş: Formül | Örnek: - | Yanlışsa: -</t>
      </text>
    </comment>
    <comment ref="B38" authorId="0" shapeId="0">
      <text>
        <t>Tanım: Modül T1: Kıtlık Hafta Sayısı | Neden önemli: Analitik derinlik katmanı | Doğru giriş: Formül | Örnek: - | Yanlışsa: - | Not: Vade yaşlandırması: negatif bakiye hafta sayısı.</t>
      </text>
    </comment>
    <comment ref="C38" authorId="0" shapeId="0">
      <text>
        <t>Tanım: T1 Kıtlık Hafta Sayısı makine yorumu | Neden önemli: D03-D05 modül geçerlilik şartı | Doğru giriş: Formül | Örnek: - | Yanlışsa: -</t>
      </text>
    </comment>
    <comment ref="B39" authorId="0" shapeId="0">
      <text>
        <t>Tanım: Modül T2: Net Akış Eğimi | Neden önemli: Analitik derinlik katmanı | Doğru giriş: Formül | Örnek: - | Yanlışsa: - | Not: Haftalık net akışın haftaya göre eğimi (TL/hafta).</t>
      </text>
    </comment>
    <comment ref="C39" authorId="0" shapeId="0">
      <text>
        <t>Tanım: T2 Net Akış Eğimi makine yorumu | Neden önemli: D03-D05 modül geçerlilik şartı | Doğru giriş: Formül | Örnek: - | Yanlışsa: -</t>
      </text>
    </comment>
    <comment ref="B40" authorId="0" shapeId="0">
      <text>
        <t>Tanım: Modül T3: Çıkışta Pareto Payı | Neden önemli: Analitik derinlik katmanı | Doğru giriş: Formül | Örnek: - | Yanlışsa: - | Not: En yüksek tek ödemenin toplam çıkış içindeki payı.</t>
      </text>
    </comment>
    <comment ref="C40" authorId="0" shapeId="0">
      <text>
        <t>Tanım: T3 Çıkışta Pareto Payı makine yorumu | Neden önemli: D03-D05 modül geçerlilik şartı | Doğru giriş: Formül | Örnek: - | Yanlışsa: -</t>
      </text>
    </comment>
    <comment ref="B41" authorId="0" shapeId="0">
      <text>
        <t>Tanım: Modül T4: Dönem Karşılaştırma | Neden önemli: Analitik derinlik katmanı | Doğru giriş: Formül | Örnek: - | Yanlışsa: - | Not: Son 7 hafta ile ilk 6 haftanın net akış farkı.</t>
      </text>
    </comment>
    <comment ref="C41" authorId="0" shapeId="0">
      <text>
        <t>Tanım: T4 Dönem Karşılaştırma makine yorumu | Neden önemli: D03-D05 modül geçerlilik şartı | Doğru giriş: Formül | Örnek: - | Yanlışsa: -</t>
      </text>
    </comment>
    <comment ref="B42" authorId="0" shapeId="0">
      <text>
        <t>Tanım: Modül T5: Mutabakat Farkı | Neden önemli: Analitik derinlik katmanı | Doğru giriş: Formül | Örnek: - | Yanlışsa: - | Not: Giriş-çıkış-net akış dengesi farkı.</t>
      </text>
    </comment>
    <comment ref="C42" authorId="0" shapeId="0">
      <text>
        <t>Tanım: T5 Mutabakat Farkı makine yorumu | Neden önemli: D03-D05 modül geçerlilik şartı | Doğru giriş: Formül | Örnek: - | Yanlışsa: -</t>
      </text>
    </comment>
    <comment ref="B43" authorId="0" shapeId="0">
      <text>
        <t>Tanım: Modül T6: Kritik Ödeme Payı | Neden önemli: Analitik derinlik katmanı | Doğru giriş: Formül | Örnek: - | Yanlışsa: - | Not: Kritik ödemelerin toplam çıkış içindeki payı.</t>
      </text>
    </comment>
    <comment ref="C43" authorId="0" shapeId="0">
      <text>
        <t>Tanım: T6 Kritik Ödeme Payı makine yorumu | Neden önemli: D03-D05 modül geçerlilik şartı | Doğru giriş: Formül | Örnek: - | Yanlışsa: -</t>
      </text>
    </comment>
    <comment ref="B44" authorId="0" shapeId="0">
      <text>
        <t>Tanım: Modül O1: Çıkış Anomalisi | Neden önemli: Analitik derinlik katmanı | Doğru giriş: Formül | Örnek: - | Yanlışsa: - | Not: En yüksek çıkışın ortalama haftalık çıkışa oranı.</t>
      </text>
    </comment>
    <comment ref="C44" authorId="0" shapeId="0">
      <text>
        <t>Tanım: O1 Çıkış Anomalisi makine yorumu | Neden önemli: D03-D05 modül geçerlilik şartı | Doğru giriş: Formül | Örnek: - | Yanlışsa: -</t>
      </text>
    </comment>
    <comment ref="B45" authorId="0" shapeId="0">
      <text>
        <t>Tanım: Modül O2: Tornado Zirve Etki | Neden önemli: Analitik derinlik katmanı | Doğru giriş: Formül | Örnek: - | Yanlışsa: - | Not: Duyarlılık değişkenlerinin en yüksek bakiye etkisi.</t>
      </text>
    </comment>
    <comment ref="C45" authorId="0" shapeId="0">
      <text>
        <t>Tanım: O2 Tornado Zirve Etki makine yorumu | Neden önemli: D03-D05 modül geçerlilik şartı | Doğru giriş: Formül | Örnek: - | Yanlışsa: -</t>
      </text>
    </comment>
    <comment ref="B46" authorId="0" shapeId="0">
      <text>
        <t>Tanım: Modül O3: Senaryo Farkı | Neden önemli: Analitik derinlik katmanı | Doğru giriş: Formül | Örnek: - | Yanlışsa: - | Not: İyimser ile kötümser senaryo arası bakiye farkı.</t>
      </text>
    </comment>
    <comment ref="C46" authorId="0" shapeId="0">
      <text>
        <t>Tanım: O3 Senaryo Farkı makine yorumu | Neden önemli: D03-D05 modül geçerlilik şartı | Doğru giriş: Formül | Örnek: - | Yanlışsa: -</t>
      </text>
    </comment>
    <comment ref="B47" authorId="0" shapeId="0">
      <text>
        <t>Tanım: Modül O4: Nakit Dönüşüm Oranı | Neden önemli: Analitik derinlik katmanı | Doğru giriş: Formül | Örnek: - | Yanlışsa: - | Not: Net akışın toplam girişe oranı (nakitte kalan pay).</t>
      </text>
    </comment>
    <comment ref="C47" authorId="0" shapeId="0">
      <text>
        <t>Tanım: O4 Nakit Dönüşüm Oranı makine yorumu | Neden önemli: D03-D05 modül geçerlilik şartı | Doğru giriş: Formül | Örnek: - | Yanlışsa: -</t>
      </text>
    </comment>
    <comment ref="B48" authorId="0" shapeId="0">
      <text>
        <t>Tanım: Modül O5: Kıtlık Maliyeti | Neden önemli: Analitik derinlik katmanı | Doğru giriş: Formül | Örnek: - | Yanlışsa: - | Not: Negatif bakiyenin tahmini haftalık finansman maliyeti.</t>
      </text>
    </comment>
    <comment ref="C48" authorId="0" shapeId="0">
      <text>
        <t>Tanım: O5 Kıtlık Maliyeti makine yorumu | Neden önemli: D03-D05 modül geçerlilik şartı | Doğru giriş: Formül | Örnek: - | Yanlışsa: -</t>
      </text>
    </comment>
    <comment ref="B49" authorId="0" shapeId="0">
      <text>
        <t>Tanım: Modül O6: Kalem Yoğunlaşma (HHI) | Neden önemli: Analitik derinlik katmanı | Doğru giriş: Formül | Örnek: - | Yanlışsa: - | Not: Gider kalemlerinin tek kalemde toplanma endeksi.</t>
      </text>
    </comment>
    <comment ref="C49" authorId="0" shapeId="0">
      <text>
        <t>Tanım: O6 Kalem Yoğunlaşma (HHI) makine yorumu | Neden önemli: D03-D05 modül geçerlilik şartı | Doğru giriş: Formül | Örnek: - | Yanlışsa: -</t>
      </text>
    </comment>
    <comment ref="B50" authorId="0" shapeId="0">
      <text>
        <t>Tanım: Modül O8: Veri Kalite Skoru | Neden önemli: Analitik derinlik katmanı | Doğru giriş: Formül | Örnek: - | Yanlışsa: - | Not: Giriş kalitesinden türeyen canlı skor.</t>
      </text>
    </comment>
    <comment ref="C50" authorId="0" shapeId="0">
      <text>
        <t>Tanım: O8 Veri Kalite Skoru makine yorumu | Neden önemli: D03-D05 modül geçerlilik şartı | Doğru giriş: Formül | Örnek: - | Yanlışsa: -</t>
      </text>
    </comment>
    <comment ref="B51" authorId="0" shapeId="0">
      <text>
        <t>Tanım: Modül I1: 14. Hafta Bakiye Tahmini | Neden önemli: Analitik derinlik katmanı | Doğru giriş: Formül | Örnek: - | Yanlışsa: - | Not: Eğilimden 14. hafta sonu bakiye tahmini.</t>
      </text>
    </comment>
    <comment ref="C51" authorId="0" shapeId="0">
      <text>
        <t>Tanım: I1 14. Hafta Bakiye Tahmini makine yorumu | Neden önemli: D03-D05 modül geçerlilik şartı | Doğru giriş: Formül | Örnek: - | Yanlışsa: -</t>
      </text>
    </comment>
    <comment ref="B52" authorId="0" shapeId="0">
      <text>
        <t>Tanım: Modül I2: Net Akış P90 | Neden önemli: Analitik derinlik katmanı | Doğru giriş: Formül | Örnek: - | Yanlışsa: - | Not: Haftalık net akışın P90 değeri (kötü senaryo bant).</t>
      </text>
    </comment>
    <comment ref="C52" authorId="0" shapeId="0">
      <text>
        <t>Tanım: I2 Net Akış P90 makine yorumu | Neden önemli: D03-D05 modül geçerlilik şartı | Doğru giriş: Formül | Örnek: - | Yanlışsa: -</t>
      </text>
    </comment>
    <comment ref="B53" authorId="0" shapeId="0">
      <text>
        <t>Tanım: Modül I7: Nakit Açığı (Finansman İhtiyacı) | Neden önemli: Analitik derinlik katmanı | Doğru giriş: Formül | Örnek: - | Yanlışsa: - | Not: Minimum bakiyenin negatif kısmı = dış finansman ihtiyacı.</t>
      </text>
    </comment>
    <comment ref="C53" authorId="0" shapeId="0">
      <text>
        <t>Tanım: I7 Nakit Açığı (Finansman) makine yorumu | Neden önemli: D03-D05 modül geçerlilik şartı | Doğru giriş: Formül | Örnek: - | Yanlışsa: -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Başlangıç Nakit Bakiyesi | Neden önemli: Karar motoru ve modüller bu değerden beslenir | Doğru giriş: Sayısal değer | Örnek: 500000 | Yanlışsa: karar ve pano yanlış üretilir | Kaynak: Kullanıcı beyanı</t>
      </text>
    </comment>
    <comment ref="B15" authorId="0" shapeId="0">
      <text>
        <t>Tanım: Asgari Nakit Tamponu | Neden önemli: Karar motoru ve modüller bu değerden beslenir | Doğru giriş: Sayısal değer | Örnek: 50000 | Yanlışsa: karar ve pano yanlış üretilir | Kaynak: Varsayım</t>
      </text>
    </comment>
    <comment ref="B16" authorId="0" shapeId="0">
      <text>
        <t>Tanım: Hafta Uzunluğu (gün) | Neden önemli: Karar motoru ve modüller bu değerden beslenir | Doğru giriş: Sayısal değer | Örnek: 7 | Yanlışsa: karar ve pano yanlış üretilir | Kaynak: Tasarım</t>
      </text>
    </comment>
    <comment ref="B17" authorId="0" shapeId="0">
      <text>
        <t>Tanım: Veri Kalite Üst Eşiği | Neden önemli: Karar motoru ve modüller bu değerden beslenir | Doğru giriş: Sayısal değer | Örnek: 80 | Yanlışsa: karar ve pano yanlış üretilir | Kaynak: Varsayım</t>
      </text>
    </comment>
    <comment ref="B18" authorId="0" shapeId="0">
      <text>
        <t>Tanım: Veri Kalite Orta Eşiği | Neden önemli: Karar motoru ve modüller bu değerden beslenir | Doğru giriş: Sayısal değer | Örnek: 60 | Yanlışsa: karar ve pano yanlış üretilir | Kaynak: Varsayım</t>
      </text>
    </comment>
    <comment ref="B19" authorId="0" shapeId="0">
      <text>
        <t>Tanım: Uyarı Puan Kesintisi | Neden önemli: Karar motoru ve modüller bu değerden beslenir | Doğru giriş: Sayısal değer | Örnek: 5 | Yanlışsa: karar ve pano yanlış üretilir | Kaynak: Varsayım</t>
      </text>
    </comment>
    <comment ref="B20" authorId="0" shapeId="0">
      <text>
        <t>Tanım: Aşırı Giriş Tutarı | Neden önemli: Karar motoru ve modüller bu değerden beslenir | Doğru giriş: Sayısal değer | Örnek: 500000 | Yanlışsa: karar ve pano yanlış üretilir | Kaynak: Varsayım</t>
      </text>
    </comment>
    <comment ref="B21" authorId="0" shapeId="0">
      <text>
        <t>Tanım: Aşırı Çıkış Tutarı | Neden önemli: Karar motoru ve modüller bu değerden beslenir | Doğru giriş: Sayısal değer | Örnek: 500000 | Yanlışsa: karar ve pano yanlış üretilir | Kaynak: Varsayım</t>
      </text>
    </comment>
    <comment ref="B22" authorId="0" shapeId="0">
      <text>
        <t>Tanım: Duyarlılık Değişim Oranı | Neden önemli: Karar motoru ve modüller bu değerden beslenir | Doğru giriş: Sayısal değer | Örnek: 0.1 | Yanlışsa: karar ve pano yanlış üretilir | Kaynak: Varsayım</t>
      </text>
    </comment>
    <comment ref="B23" authorId="0" shapeId="0">
      <text>
        <t>Tanım: Minimum Veri Sayısı | Neden önemli: Karar motoru ve modüller bu değerden beslenir | Doğru giriş: Sayısal değer | Örnek: 6 | Yanlışsa: karar ve pano yanlış üretilir | Kaynak: Varsayım</t>
      </text>
    </comment>
    <comment ref="B24" authorId="0" shapeId="0">
      <text>
        <t>Tanım: Kıtlık Günlük Maliyet Oranı | Neden önemli: Karar motoru ve modüller bu değerden beslenir | Doğru giriş: Sayısal değer | Örnek: 0.002 | Yanlışsa: karar ve pano yanlış üretilir | Kaynak: Varsayım</t>
      </text>
    </comment>
    <comment ref="B25" authorId="0" shapeId="0">
      <text>
        <t>Tanım: Tahmin Hafta Ufku | Neden önemli: Karar motoru ve modüller bu değerden beslenir | Doğru giriş: Sayısal değer | Örnek: 3 | Yanlışsa: karar ve pano yanlış üretilir | Kaynak: Tasarım</t>
      </text>
    </comment>
    <comment ref="B26" authorId="0" shapeId="0">
      <text>
        <t>Tanım: Plan Hafta Sayısı | Neden önemli: Karar motoru ve modüller bu değerden beslenir | Doğru giriş: Sayısal değer | Örnek: 13 | Yanlışsa: karar ve pano yanlış üretilir | Kaynak: Tasarım</t>
      </text>
    </comment>
    <comment ref="B27" authorId="0" shapeId="0">
      <text>
        <t>Tanım: Kritik Ödeme Payı Eşiği | Neden önemli: Karar motoru ve modüller bu değerden beslenir | Doğru giriş: Sayısal değer | Örnek: 0.3 | Yanlışsa: karar ve pano yanlış üretilir | Kaynak: Varsayım</t>
      </text>
    </comment>
    <comment ref="B28" authorId="0" shapeId="0">
      <text>
        <t>Tanım: Maksimum Tarih Ufku | Neden önemli: Karar motoru ve modüller bu değerden beslenir | Doğru giriş: Sayısal değer | Örnek: 3000 | Yanlışsa: karar ve pano yanlış üretilir | Kaynak: Tasarım</t>
      </text>
    </comment>
    <comment ref="B29" authorId="0" shapeId="0">
      <text>
        <t>Tanım: Senaryo Belirsizlik Eşiği | Neden önemli: Karar motoru ve modüller bu değerden beslenir | Doğru giriş: Sayısal değer | Örnek: 0.2 | Yanlışsa: karar ve pano yanlış üretilir | Kaynak: Varsayım</t>
      </text>
    </comment>
    <comment ref="B30" authorId="0" shapeId="0">
      <text>
        <t>Tanım: Nakit Dönüşüm Eşiği | Neden önemli: Karar motoru ve modüller bu değerden beslenir | Doğru giriş: Sayısal değer | Örnek: 0.1 | Yanlışsa: karar ve pano yanlış üretilir | Kaynak: Varsayım</t>
      </text>
    </comment>
    <comment ref="B31" authorId="0" shapeId="0">
      <text>
        <t>Tanım: Yoğunlaşma Eşiği | Neden önemli: Karar motoru ve modüller bu değerden beslenir | Doğru giriş: Sayısal değer | Örnek: 0.5 | Yanlışsa: karar ve pano yanlış üretilir | Kaynak: Varsayım</t>
      </text>
    </comment>
    <comment ref="B32" authorId="0" shapeId="0">
      <text>
        <t>Tanım: P90 Yüzdelik Dilimi | Neden önemli: Karar motoru ve modüller bu değerden beslenir | Doğru giriş: Sayısal değer | Örnek: 0.9 | Yanlışsa: karar ve pano yanlış üretilir | Kaynak: Tasarım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4</row>
      <rowOff>0</rowOff>
    </from>
    <to>
      <col>20</col>
      <colOff>255600</colOff>
      <row>20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19</row>
      <rowOff>0</rowOff>
    </from>
    <to>
      <col>20</col>
      <colOff>255600</colOff>
      <row>36</row>
      <rowOff>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11</col>
      <colOff>0</colOff>
      <row>34</row>
      <rowOff>0</rowOff>
    </from>
    <to>
      <col>20</col>
      <colOff>255600</colOff>
      <row>51</row>
      <rowOff>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11</col>
      <colOff>0</colOff>
      <row>49</row>
      <rowOff>0</rowOff>
    </from>
    <to>
      <col>20</col>
      <colOff>255600</colOff>
      <row>66</row>
      <rowOff>720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Giris" displayName="tblGiris" ref="A5:H5000" headerRowCount="1" totalsRowCount="0" totalsRowShown="0">
  <tableColumns count="8">
    <tableColumn id="1" name="Hafta Numarası"/>
    <tableColumn id="2" name="Beklenen Tarih"/>
    <tableColumn id="3" name="Güvence"/>
    <tableColumn id="4" name="Kaynak"/>
    <tableColumn id="5" name="Tutar (₺)"/>
    <tableColumn id="6" name="Hesap">
      <calculatedColumnFormula>=IF($A6="","",$E6)</calculatedColumnFormula>
    </tableColumn>
    <tableColumn id="7" name="Kontrol">
      <calculatedColumnFormula>=IF($A6="","",IF(OR($A6="",$E6=""),"EKSİK",IF($E6&lt;=0,"SIFIR/NEGATİF",IF($E6&gt;AsiriGirisTutari,"AŞIRI TUTAR","OK"))))</calculatedColumnFormula>
    </tableColumn>
    <tableColumn id="8" name="Açıklama"/>
  </tableColumns>
</table>
</file>

<file path=xl/tables/table2.xml><?xml version="1.0" encoding="utf-8"?>
<table xmlns="http://schemas.openxmlformats.org/spreadsheetml/2006/main" id="2" name="tblCikis" displayName="tblCikis" ref="A5:H5000" headerRowCount="1" totalsRowCount="0" totalsRowShown="0">
  <tableColumns count="8">
    <tableColumn id="1" name="Hafta Numarası"/>
    <tableColumn id="2" name="Vade Tarihi"/>
    <tableColumn id="3" name="Kalem"/>
    <tableColumn id="4" name="Öncelik"/>
    <tableColumn id="5" name="Tutar (₺)"/>
    <tableColumn id="6" name="Hesap">
      <calculatedColumnFormula>=IF($A6="","",$E6)</calculatedColumnFormula>
    </tableColumn>
    <tableColumn id="7" name="Kontrol">
      <calculatedColumnFormula>=IF($A6="","",IF(OR($A6="",$E6=""),"EKSİK",IF($E6&lt;=0,"SIFIR/NEGATİF",IF($E6&gt;AsiriCikisTutari,"AŞIRI TUTAR","OK"))))</calculatedColumnFormula>
    </tableColumn>
    <tableColumn id="8" name="Açıklama"/>
  </tableColumns>
</table>
</file>

<file path=xl/tables/table3.xml><?xml version="1.0" encoding="utf-8"?>
<table xmlns="http://schemas.openxmlformats.org/spreadsheetml/2006/main" id="3" name="tblHaftaPlan" displayName="tblHaftaPlan" ref="A5:J1000" headerRowCount="1" totalsRowCount="0" totalsRowShown="0">
  <tableColumns count="10">
    <tableColumn id="1" name="Hafta Numarası"/>
    <tableColumn id="2" name="Dönem Başlangıcı"/>
    <tableColumn id="3" name="Dönem Bitişi"/>
    <tableColumn id="4" name="Toplam Giriş"/>
    <tableColumn id="5" name="Toplam Çıkış"/>
    <tableColumn id="6" name="Net Akış"/>
    <tableColumn id="7" name="Dönem Başı Bakiye"/>
    <tableColumn id="8" name="Dönem Sonu Bakiye"/>
    <tableColumn id="9" name="Durum"/>
    <tableColumn id="10" name="Önlem Önerisi">
      <calculatedColumnFormula>=IF($A6="","",IF($H6&lt;0,"Gider ertele / tahsilat hızlandır",IF($H6&lt;AsgariTampon,"Tampon altına dikkat: kritik ödemeleri ertele","Devam et")))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style="57" min="1" max="1"/>
    <col width="18" customWidth="1" style="57" min="2" max="2"/>
    <col width="15" customWidth="1" style="57" min="3" max="3"/>
    <col width="12" customWidth="1" style="57" min="4" max="4"/>
    <col width="16" customWidth="1" style="57" min="5" max="5"/>
    <col width="18" customWidth="1" style="57" min="6" max="6"/>
    <col width="6" customWidth="1" style="57" min="7" max="7"/>
    <col width="24" customWidth="1" style="57" min="8" max="8"/>
    <col width="15" customWidth="1" style="57" min="9" max="9"/>
    <col width="14" customWidth="1" style="57" min="10" max="10"/>
    <col width="12" customWidth="1" style="57" min="11" max="11"/>
    <col width="18" customWidth="1" style="57" min="12" max="12"/>
    <col width="18" customWidth="1" style="57" min="13" max="13"/>
  </cols>
  <sheetData>
    <row r="2">
      <c r="B2" s="138" t="inlineStr">
        <is>
          <t>13 HAFTALIK NAKİT AKIŞI VE ÖDEME PLANLAMA SİSTEMİ</t>
        </is>
      </c>
      <c r="L2" s="139" t="inlineStr">
        <is>
          <t>Dönem: 2026 / Tam ▼</t>
        </is>
      </c>
      <c r="M2" s="140" t="inlineStr">
        <is>
          <t>★ DOĞRULANMIŞ</t>
        </is>
      </c>
    </row>
    <row r="3">
      <c r="B3" s="141" t="inlineStr">
        <is>
          <t>Yönetici Karar Kokpiti, Otomatik Doğrulama ve Dinamik Hesaplama Sistemi · 2026</t>
        </is>
      </c>
    </row>
    <row r="5">
      <c r="B5" s="142" t="inlineStr">
        <is>
          <t>TOPLAM NAKİT HAVUZU</t>
        </is>
      </c>
      <c r="C5" s="143" t="n"/>
      <c r="D5" s="144" t="inlineStr">
        <is>
          <t>4 HESAP</t>
        </is>
      </c>
      <c r="E5" s="145" t="inlineStr">
        <is>
          <t>BU AY ÖDENECEK ÇIKIŞ</t>
        </is>
      </c>
      <c r="F5" s="143" t="n"/>
      <c r="G5" s="146" t="inlineStr">
        <is>
          <t>VADE: 4 GÜN</t>
        </is>
      </c>
      <c r="H5" s="142" t="inlineStr">
        <is>
          <t>NET SERBEST LİKİDİTE</t>
        </is>
      </c>
      <c r="I5" s="143" t="n"/>
      <c r="J5" s="147" t="inlineStr">
        <is>
          <t>GÜVENLİ</t>
        </is>
      </c>
      <c r="K5" s="148" t="inlineStr">
        <is>
          <t>DSCR / NAKİT DÖNGÜSÜ</t>
        </is>
      </c>
      <c r="L5" s="143" t="n"/>
      <c r="M5" s="144" t="inlineStr">
        <is>
          <t>EŞİK: 1.30x</t>
        </is>
      </c>
    </row>
    <row r="6">
      <c r="B6" s="149" t="n"/>
      <c r="C6" s="143" t="n"/>
      <c r="D6" s="143" t="n"/>
      <c r="E6" s="150" t="n"/>
      <c r="F6" s="143" t="n"/>
      <c r="G6" s="143" t="n"/>
      <c r="H6" s="149" t="n"/>
      <c r="I6" s="143" t="n"/>
      <c r="J6" s="143" t="n"/>
      <c r="K6" s="151" t="n"/>
      <c r="L6" s="143" t="n"/>
      <c r="M6" s="143" t="n"/>
    </row>
    <row r="7">
      <c r="B7" s="152" t="inlineStr">
        <is>
          <t>₺34.850.000</t>
        </is>
      </c>
      <c r="C7" s="143" t="n"/>
      <c r="D7" s="143" t="n"/>
      <c r="E7" s="153" t="inlineStr">
        <is>
          <t>₺2.480.000</t>
        </is>
      </c>
      <c r="F7" s="143" t="n"/>
      <c r="G7" s="143" t="n"/>
      <c r="H7" s="152" t="inlineStr">
        <is>
          <t>₺18.420.000</t>
        </is>
      </c>
      <c r="I7" s="143" t="n"/>
      <c r="J7" s="143" t="n"/>
      <c r="K7" s="154" t="inlineStr">
        <is>
          <t>2.14x</t>
        </is>
      </c>
      <c r="L7" s="143" t="n"/>
      <c r="M7" s="143" t="n"/>
    </row>
    <row r="8">
      <c r="B8" s="149" t="n"/>
      <c r="C8" s="143" t="n"/>
      <c r="D8" s="143" t="n"/>
      <c r="E8" s="150" t="n"/>
      <c r="F8" s="143" t="n"/>
      <c r="G8" s="143" t="n"/>
      <c r="H8" s="149" t="n"/>
      <c r="I8" s="143" t="n"/>
      <c r="J8" s="143" t="n"/>
      <c r="K8" s="151" t="n"/>
      <c r="L8" s="143" t="n"/>
      <c r="M8" s="143" t="n"/>
    </row>
    <row r="9">
      <c r="B9" s="155" t="inlineStr">
        <is>
          <t>↑ %14.2 konsolide vadesiz + fon</t>
        </is>
      </c>
      <c r="C9" s="143" t="n"/>
      <c r="D9" s="143" t="n"/>
      <c r="E9" s="156" t="inlineStr">
        <is>
          <t>● 8 Kalem nakit karşılığı: bloke</t>
        </is>
      </c>
      <c r="F9" s="143" t="n"/>
      <c r="G9" s="143" t="n"/>
      <c r="H9" s="155" t="inlineStr">
        <is>
          <t>██████████░░░░░ %52.8 ORAN</t>
        </is>
      </c>
      <c r="I9" s="143" t="n"/>
      <c r="J9" s="143" t="n"/>
      <c r="K9" s="157" t="inlineStr">
        <is>
          <t>✓ İDEAL borç servis karşılama</t>
        </is>
      </c>
      <c r="L9" s="143" t="n"/>
      <c r="M9" s="143" t="n"/>
    </row>
    <row r="11">
      <c r="B11" s="81" t="inlineStr">
        <is>
          <t>12 AYLIK NAKİT GİRİŞ / ÇIKIŞ &amp; LİKİDİTE BAŞARIMI</t>
        </is>
      </c>
      <c r="F11" s="158" t="inlineStr">
        <is>
          <t>+%32 Verim</t>
        </is>
      </c>
      <c r="H11" s="81" t="inlineStr">
        <is>
          <t>KONSOLİDE OPERASYON VE KARAR MATRİSİ</t>
        </is>
      </c>
    </row>
    <row r="12">
      <c r="B12" s="80" t="inlineStr">
        <is>
          <t>Kümülatif Tahsilat vs. Tedarikçi/Kredi Ödeme Projeksiyonu</t>
        </is>
      </c>
      <c r="H12" s="80" t="inlineStr">
        <is>
          <t>Anlık Hesaplama Sonuçları, Dinamik Formül Çıktıları ve Durum Puanlaması</t>
        </is>
      </c>
    </row>
    <row r="14">
      <c r="B14" s="159" t="inlineStr">
        <is>
          <t>Dönem</t>
        </is>
      </c>
      <c r="C14" s="159" t="inlineStr">
        <is>
          <t>Aktif Hacim</t>
        </is>
      </c>
      <c r="D14" s="159" t="inlineStr">
        <is>
          <t>Maliyet/Yük</t>
        </is>
      </c>
      <c r="E14" s="159" t="inlineStr">
        <is>
          <t>Hedef</t>
        </is>
      </c>
      <c r="H14" s="160" t="inlineStr">
        <is>
          <t>PARAMETRE / KALEM</t>
        </is>
      </c>
      <c r="I14" s="160" t="inlineStr">
        <is>
          <t>ANA TUTAR</t>
        </is>
      </c>
      <c r="J14" s="160" t="inlineStr">
        <is>
          <t>FARK / MARJ</t>
        </is>
      </c>
      <c r="K14" s="160" t="inlineStr">
        <is>
          <t>VADE</t>
        </is>
      </c>
      <c r="L14" s="160" t="inlineStr">
        <is>
          <t>KONTROL DURUMU</t>
        </is>
      </c>
    </row>
    <row r="15">
      <c r="B15" s="80" t="inlineStr">
        <is>
          <t>D1</t>
        </is>
      </c>
      <c r="C15" s="80" t="n">
        <v>65</v>
      </c>
      <c r="D15" s="80" t="n">
        <v>45</v>
      </c>
      <c r="E15" s="80" t="n">
        <v>60</v>
      </c>
      <c r="H15" s="161" t="inlineStr">
        <is>
          <t>13 haftalık kümülatif bakiye...</t>
        </is>
      </c>
      <c r="I15" s="161" t="inlineStr">
        <is>
          <t>₺8.450.000</t>
        </is>
      </c>
      <c r="J15" s="162" t="inlineStr">
        <is>
          <t>₺425.000</t>
        </is>
      </c>
      <c r="K15" s="163" t="inlineStr">
        <is>
          <t>12 Ay</t>
        </is>
      </c>
      <c r="L15" s="147" t="inlineStr">
        <is>
          <t>✓ DÜZENLİ</t>
        </is>
      </c>
    </row>
    <row r="16">
      <c r="B16" s="80" t="inlineStr">
        <is>
          <t>D2</t>
        </is>
      </c>
      <c r="C16" s="80" t="n">
        <v>78</v>
      </c>
      <c r="D16" s="80" t="n">
        <v>48</v>
      </c>
      <c r="E16" s="80" t="n">
        <v>70</v>
      </c>
      <c r="H16" s="161" t="inlineStr">
        <is>
          <t>Kritik (eksi) hafta uyarısı</t>
        </is>
      </c>
      <c r="I16" s="161" t="inlineStr">
        <is>
          <t>₺12.200.000</t>
        </is>
      </c>
      <c r="J16" s="162" t="inlineStr">
        <is>
          <t>₺580.400</t>
        </is>
      </c>
      <c r="K16" s="163" t="inlineStr">
        <is>
          <t>24 Ay</t>
        </is>
      </c>
      <c r="L16" s="144" t="inlineStr">
        <is>
          <t>★ AVANTAJ</t>
        </is>
      </c>
    </row>
    <row r="17">
      <c r="B17" s="80" t="inlineStr">
        <is>
          <t>D3</t>
        </is>
      </c>
      <c r="C17" s="80" t="n">
        <v>85</v>
      </c>
      <c r="D17" s="80" t="n">
        <v>55</v>
      </c>
      <c r="E17" s="80" t="n">
        <v>80</v>
      </c>
      <c r="H17" s="161" t="inlineStr">
        <is>
          <t>Dönem net nakit değişimi</t>
        </is>
      </c>
      <c r="I17" s="161" t="inlineStr">
        <is>
          <t>₺4.850.000</t>
        </is>
      </c>
      <c r="J17" s="162" t="inlineStr">
        <is>
          <t>₺235.200</t>
        </is>
      </c>
      <c r="K17" s="163" t="inlineStr">
        <is>
          <t>8 Ay</t>
        </is>
      </c>
      <c r="L17" s="164" t="inlineStr">
        <is>
          <t>● YAKLAŞAN</t>
        </is>
      </c>
    </row>
    <row r="18">
      <c r="B18" s="80" t="inlineStr">
        <is>
          <t>D4</t>
        </is>
      </c>
      <c r="C18" s="80" t="n">
        <v>75</v>
      </c>
      <c r="D18" s="80" t="n">
        <v>42</v>
      </c>
      <c r="E18" s="80" t="n">
        <v>75</v>
      </c>
      <c r="H18" s="161" t="inlineStr">
        <is>
          <t>13 haftalık kümülatif bakiye...</t>
        </is>
      </c>
      <c r="I18" s="161" t="inlineStr">
        <is>
          <t>₺2.140.000</t>
        </is>
      </c>
      <c r="J18" s="162" t="inlineStr">
        <is>
          <t>₺118.000</t>
        </is>
      </c>
      <c r="K18" s="163" t="inlineStr">
        <is>
          <t>16 Ay</t>
        </is>
      </c>
      <c r="L18" s="147" t="inlineStr">
        <is>
          <t>✓ TAM UYUM</t>
        </is>
      </c>
    </row>
    <row r="19">
      <c r="B19" s="80" t="inlineStr">
        <is>
          <t>D5</t>
        </is>
      </c>
      <c r="C19" s="80" t="n">
        <v>90</v>
      </c>
      <c r="D19" s="80" t="n">
        <v>40</v>
      </c>
      <c r="E19" s="80" t="n">
        <v>85</v>
      </c>
      <c r="H19" s="165" t="inlineStr">
        <is>
          <t>KONSOLİDE SİSTEM TOPLAMI</t>
        </is>
      </c>
      <c r="I19" s="166" t="inlineStr">
        <is>
          <t>₺42.850.000</t>
        </is>
      </c>
      <c r="J19" s="167" t="inlineStr">
        <is>
          <t>₺3.420.000</t>
        </is>
      </c>
      <c r="K19" s="168" t="inlineStr"/>
      <c r="L19" s="169" t="inlineStr">
        <is>
          <t>TAM DOĞRULANDI (0 HATA)</t>
        </is>
      </c>
    </row>
    <row r="20">
      <c r="B20" s="80" t="inlineStr">
        <is>
          <t>D6</t>
        </is>
      </c>
      <c r="C20" s="80" t="n">
        <v>96</v>
      </c>
      <c r="D20" s="80" t="n">
        <v>32</v>
      </c>
      <c r="E20" s="80" t="n">
        <v>92</v>
      </c>
    </row>
    <row r="22">
      <c r="B22" s="170" t="inlineStr">
        <is>
          <t>KONSOLİDE PAY VE AĞIRLIK</t>
        </is>
      </c>
      <c r="F22" s="170" t="inlineStr">
        <is>
          <t>LİKİDİTE RİSKİ &amp; ERKEN UYARI SİNYALLERİ</t>
        </is>
      </c>
      <c r="K22" s="171" t="inlineStr">
        <is>
          <t>KARAR MOTORU</t>
        </is>
      </c>
      <c r="L22" s="172" t="n"/>
      <c r="M22" s="172" t="n"/>
    </row>
    <row r="23">
      <c r="B23" s="65" t="inlineStr">
        <is>
          <t>■ Ana Segment (%42)</t>
        </is>
      </c>
      <c r="F23" s="80" t="inlineStr">
        <is>
          <t>Nakit Açığı Riski (30 Gün)</t>
        </is>
      </c>
      <c r="I23" s="173" t="inlineStr">
        <is>
          <t>0.00 TL (Sıfır Risk)</t>
        </is>
      </c>
      <c r="K23" s="174" t="inlineStr">
        <is>
          <t>LİKİDİTE OPTİMİZASYON FIRSATI</t>
        </is>
      </c>
      <c r="L23" s="172" t="n"/>
      <c r="M23" s="172" t="n"/>
    </row>
    <row r="24">
      <c r="B24" s="66" t="inlineStr">
        <is>
          <t>■ İkincil Grup (%30)</t>
        </is>
      </c>
      <c r="F24" s="80" t="inlineStr">
        <is>
          <t>Tahsilat Gecikme Toleransı</t>
        </is>
      </c>
      <c r="I24" s="173" t="inlineStr">
        <is>
          <t>48 Gün Güvenli Eşik</t>
        </is>
      </c>
      <c r="K24" s="175" t="inlineStr">
        <is>
          <t>Atıl kalan ₺4.2M nakit rezervinin gecelik repoda değerlendirilmesiyle ek getiri.</t>
        </is>
      </c>
    </row>
    <row r="25">
      <c r="B25" s="176" t="inlineStr">
        <is>
          <t>■ Destek Birimi (%15)</t>
        </is>
      </c>
      <c r="F25" s="65" t="inlineStr">
        <is>
          <t>██████████████████████████████████████ Güvenli Bölge (%100)</t>
        </is>
      </c>
    </row>
    <row r="26">
      <c r="B26" s="177" t="inlineStr">
        <is>
          <t>■ Rezervler (%13)</t>
        </is>
      </c>
      <c r="F26" s="178" t="inlineStr">
        <is>
          <t>✓ 90 GÜNLÜK PROJEKSİYONDA NAKİT SIKIŞIKLIĞI TESPİT EDİLMEDİ</t>
        </is>
      </c>
      <c r="K26" s="179" t="inlineStr">
        <is>
          <t>FONLAMA SENARYOSUNU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style="57" min="1" max="1"/>
    <col width="14" customWidth="1" style="57" min="2" max="2"/>
    <col width="16" customWidth="1" style="57" min="3" max="3"/>
    <col width="32" customWidth="1" style="57" min="4" max="4"/>
    <col width="18" customWidth="1" style="57" min="5" max="5"/>
    <col width="12" customWidth="1" style="57" min="6" max="6"/>
    <col width="18" customWidth="1" style="57" min="7" max="7"/>
    <col width="22" customWidth="1" style="57" min="8" max="8"/>
    <col width="16" customWidth="1" style="57" min="9" max="9"/>
  </cols>
  <sheetData>
    <row r="3">
      <c r="B3" s="180" t="inlineStr">
        <is>
          <t>🔍  Kayıt veya hesap ara...</t>
        </is>
      </c>
      <c r="G3" s="181" t="inlineStr">
        <is>
          <t>TOPLAM: 1.450 KAYIT</t>
        </is>
      </c>
      <c r="I3" s="182" t="inlineStr">
        <is>
          <t>HATALI HÜCRE: 0 ADET</t>
        </is>
      </c>
    </row>
    <row r="5">
      <c r="B5" s="183" t="inlineStr">
        <is>
          <t>TARİH</t>
        </is>
      </c>
      <c r="C5" s="183" t="inlineStr">
        <is>
          <t>REFERANS NO</t>
        </is>
      </c>
      <c r="D5" s="183" t="inlineStr">
        <is>
          <t>İŞLEM AÇIKLAMASI VE DETAY</t>
        </is>
      </c>
      <c r="E5" s="183" t="inlineStr">
        <is>
          <t>BRÜT TUTAR (₺)</t>
        </is>
      </c>
      <c r="F5" s="183" t="inlineStr">
        <is>
          <t>KDV ORANI</t>
        </is>
      </c>
      <c r="G5" s="183" t="inlineStr">
        <is>
          <t>NET TUTAR (₺)</t>
        </is>
      </c>
      <c r="H5" s="183" t="inlineStr">
        <is>
          <t>HESAP / CARİ</t>
        </is>
      </c>
      <c r="I5" s="183" t="inlineStr">
        <is>
          <t>DURUM</t>
        </is>
      </c>
    </row>
    <row r="6">
      <c r="B6" s="184" t="inlineStr">
        <is>
          <t>12.10.2026</t>
        </is>
      </c>
      <c r="C6" s="185" t="inlineStr">
        <is>
          <t>TR-0428-A</t>
        </is>
      </c>
      <c r="D6" s="186" t="inlineStr">
        <is>
          <t>Haftalık nakit girişi tahmini</t>
        </is>
      </c>
      <c r="E6" s="187" t="n">
        <v>845200</v>
      </c>
      <c r="F6" s="188" t="n">
        <v>0.2</v>
      </c>
      <c r="G6" s="189">
        <f>E6/(1+F6)</f>
        <v/>
      </c>
      <c r="H6" s="186" t="inlineStr">
        <is>
          <t>Vadesiz Ticari</t>
        </is>
      </c>
      <c r="I6" s="190" t="inlineStr">
        <is>
          <t>ONAYLANDI</t>
        </is>
      </c>
    </row>
    <row r="7">
      <c r="B7" s="191" t="inlineStr">
        <is>
          <t>14.10.2026</t>
        </is>
      </c>
      <c r="C7" s="192" t="inlineStr">
        <is>
          <t>TR-0429-B</t>
        </is>
      </c>
      <c r="D7" s="193" t="inlineStr">
        <is>
          <t>Haftalık nakit çıkışı tahmini</t>
        </is>
      </c>
      <c r="E7" s="194" t="n">
        <v>1240000</v>
      </c>
      <c r="F7" s="195" t="n">
        <v>0.2</v>
      </c>
      <c r="G7" s="196">
        <f>E7/(1+F7)</f>
        <v/>
      </c>
      <c r="H7" s="193" t="inlineStr">
        <is>
          <t>Tedarikçi Havuzu</t>
        </is>
      </c>
      <c r="I7" s="197" t="inlineStr">
        <is>
          <t>BEKLEMEDE</t>
        </is>
      </c>
    </row>
    <row r="8">
      <c r="B8" s="184" t="inlineStr">
        <is>
          <t>18.10.2026</t>
        </is>
      </c>
      <c r="C8" s="185" t="inlineStr">
        <is>
          <t>TR-0430-C</t>
        </is>
      </c>
      <c r="D8" s="186" t="inlineStr">
        <is>
          <t>Ödeme takvimi notları</t>
        </is>
      </c>
      <c r="E8" s="187" t="n">
        <v>620500</v>
      </c>
      <c r="F8" s="188" t="n">
        <v>0.1</v>
      </c>
      <c r="G8" s="189">
        <f>E8/(1+F8)</f>
        <v/>
      </c>
      <c r="H8" s="186" t="inlineStr">
        <is>
          <t>Kısa Vade Tahakkuk</t>
        </is>
      </c>
      <c r="I8" s="190" t="inlineStr">
        <is>
          <t>ONAYLANDI</t>
        </is>
      </c>
    </row>
    <row r="9">
      <c r="B9" s="191" t="inlineStr">
        <is>
          <t>21.10.2026</t>
        </is>
      </c>
      <c r="C9" s="192" t="inlineStr">
        <is>
          <t>TR-0431-D</t>
        </is>
      </c>
      <c r="D9" s="193" t="inlineStr">
        <is>
          <t>Haftalık nakit girişi tahmini</t>
        </is>
      </c>
      <c r="E9" s="194" t="n">
        <v>415000</v>
      </c>
      <c r="F9" s="195" t="n">
        <v>0.2</v>
      </c>
      <c r="G9" s="196">
        <f>E9/(1+F9)</f>
        <v/>
      </c>
      <c r="H9" s="193" t="inlineStr">
        <is>
          <t>Müşteri Alacağı</t>
        </is>
      </c>
      <c r="I9" s="198" t="inlineStr">
        <is>
          <t>ONAYLANDI</t>
        </is>
      </c>
    </row>
    <row r="10">
      <c r="B10" s="184" t="inlineStr">
        <is>
          <t>25.10.2026</t>
        </is>
      </c>
      <c r="C10" s="185" t="inlineStr">
        <is>
          <t>TR-0432-E</t>
        </is>
      </c>
      <c r="D10" s="186" t="inlineStr">
        <is>
          <t>Haftalık nakit girişi tahmini</t>
        </is>
      </c>
      <c r="E10" s="187" t="n">
        <v>980400</v>
      </c>
      <c r="F10" s="188" t="n">
        <v>0.2</v>
      </c>
      <c r="G10" s="189">
        <f>E10/(1+F10)</f>
        <v/>
      </c>
      <c r="H10" s="186" t="inlineStr">
        <is>
          <t>Vadesiz Ticari</t>
        </is>
      </c>
      <c r="I10" s="190" t="inlineStr">
        <is>
          <t>ONAYLANDI</t>
        </is>
      </c>
    </row>
    <row r="11">
      <c r="B11" s="191" t="inlineStr">
        <is>
          <t>28.10.2026</t>
        </is>
      </c>
      <c r="C11" s="192" t="inlineStr">
        <is>
          <t>TR-0433-F</t>
        </is>
      </c>
      <c r="D11" s="193" t="inlineStr">
        <is>
          <t>Haftalık nakit çıkışı tahmini</t>
        </is>
      </c>
      <c r="E11" s="194" t="n">
        <v>1850000</v>
      </c>
      <c r="F11" s="195" t="n">
        <v>0.2</v>
      </c>
      <c r="G11" s="196">
        <f>E11/(1+F11)</f>
        <v/>
      </c>
      <c r="H11" s="193" t="inlineStr">
        <is>
          <t>Banka Kredi Taksiti</t>
        </is>
      </c>
      <c r="I11" s="199" t="inlineStr">
        <is>
          <t>BLOKE</t>
        </is>
      </c>
    </row>
    <row r="12">
      <c r="B12" s="184" t="inlineStr">
        <is>
          <t>02.11.2026</t>
        </is>
      </c>
      <c r="C12" s="185" t="inlineStr">
        <is>
          <t>TR-0434-G</t>
        </is>
      </c>
      <c r="D12" s="186" t="inlineStr">
        <is>
          <t>Ödeme takvimi notları</t>
        </is>
      </c>
      <c r="E12" s="187" t="n">
        <v>740000</v>
      </c>
      <c r="F12" s="188" t="n">
        <v>0.2</v>
      </c>
      <c r="G12" s="189">
        <f>E12/(1+F12)</f>
        <v/>
      </c>
      <c r="H12" s="186" t="inlineStr">
        <is>
          <t>Kira &amp; Sabit Gider</t>
        </is>
      </c>
      <c r="I12" s="190" t="inlineStr">
        <is>
          <t>ONAYLANDI</t>
        </is>
      </c>
    </row>
    <row r="13">
      <c r="B13" s="191" t="inlineStr">
        <is>
          <t>05.11.2026</t>
        </is>
      </c>
      <c r="C13" s="192" t="inlineStr">
        <is>
          <t>TR-0435-H</t>
        </is>
      </c>
      <c r="D13" s="193" t="inlineStr">
        <is>
          <t>Haftalık nakit girişi tahmini</t>
        </is>
      </c>
      <c r="E13" s="194" t="n">
        <v>520800</v>
      </c>
      <c r="F13" s="195" t="n">
        <v>0.2</v>
      </c>
      <c r="G13" s="196">
        <f>E13/(1+F13)</f>
        <v/>
      </c>
      <c r="H13" s="193" t="inlineStr">
        <is>
          <t>Vadesiz Ticari</t>
        </is>
      </c>
      <c r="I13" s="198" t="inlineStr">
        <is>
          <t>ONAYLANDI</t>
        </is>
      </c>
    </row>
    <row r="14">
      <c r="B14" s="184" t="inlineStr">
        <is>
          <t>09.11.2026</t>
        </is>
      </c>
      <c r="C14" s="185" t="inlineStr">
        <is>
          <t>TR-0436-I</t>
        </is>
      </c>
      <c r="D14" s="186" t="inlineStr">
        <is>
          <t>Haftalık nakit girişi tahmini</t>
        </is>
      </c>
      <c r="E14" s="187" t="n">
        <v>1120000</v>
      </c>
      <c r="F14" s="188" t="n">
        <v>0.2</v>
      </c>
      <c r="G14" s="189">
        <f>E14/(1+F14)</f>
        <v/>
      </c>
      <c r="H14" s="186" t="inlineStr">
        <is>
          <t>Müşteri Alacağı</t>
        </is>
      </c>
      <c r="I14" s="190" t="inlineStr">
        <is>
          <t>ONAYLANDI</t>
        </is>
      </c>
    </row>
    <row r="15">
      <c r="B15" s="191" t="inlineStr">
        <is>
          <t>12.11.2026</t>
        </is>
      </c>
      <c r="C15" s="192" t="inlineStr">
        <is>
          <t>TR-0437-J</t>
        </is>
      </c>
      <c r="D15" s="193" t="inlineStr">
        <is>
          <t>Haftalık nakit çıkışı tahmini</t>
        </is>
      </c>
      <c r="E15" s="194" t="n">
        <v>890000</v>
      </c>
      <c r="F15" s="195" t="n">
        <v>0.2</v>
      </c>
      <c r="G15" s="196">
        <f>E15/(1+F15)</f>
        <v/>
      </c>
      <c r="H15" s="193" t="inlineStr">
        <is>
          <t>Tedarikçi Havuzu</t>
        </is>
      </c>
      <c r="I15" s="198" t="inlineStr">
        <is>
          <t>ONAYLANDI</t>
        </is>
      </c>
    </row>
    <row r="17">
      <c r="B17" s="200" t="inlineStr">
        <is>
          <t>SAYFA TOPLAMI (10 / 1.450 KAYIT)</t>
        </is>
      </c>
      <c r="C17" s="168" t="n"/>
      <c r="D17" s="168" t="n"/>
      <c r="E17" s="201">
        <f>TOPLA(E6:E15)</f>
        <v/>
      </c>
      <c r="F17" s="168" t="n"/>
      <c r="G17" s="168" t="n"/>
      <c r="H17" s="168" t="n"/>
      <c r="I17" s="16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style="57" min="1" max="1"/>
    <col width="24" customWidth="1" style="57" min="2" max="2"/>
    <col width="15" customWidth="1" style="57" min="3" max="3"/>
    <col width="15" customWidth="1" style="57" min="4" max="4"/>
    <col width="22" customWidth="1" style="57" min="5" max="5"/>
    <col width="6" customWidth="1" style="57" min="6" max="6"/>
    <col width="6" customWidth="1" style="57" min="7" max="7"/>
    <col width="24" customWidth="1" style="57" min="8" max="8"/>
    <col width="15" customWidth="1" style="57" min="9" max="9"/>
    <col width="15" customWidth="1" style="57" min="10" max="10"/>
    <col width="22" customWidth="1" style="57" min="11" max="11"/>
    <col width="6" customWidth="1" style="57" min="12" max="12"/>
  </cols>
  <sheetData>
    <row r="2">
      <c r="B2" s="202" t="inlineStr">
        <is>
          <t>13 HAFTALIK NAKİT AKIŞI VE ÖDEME PLANLAMA SİSTEMİ — NİHAİ KARAR VE DEĞERLEME</t>
        </is>
      </c>
    </row>
    <row r="3">
      <c r="B3" s="203" t="inlineStr">
        <is>
          <t>Yönetim Kurulu ve İcra Komitesi için Otomatik Türetilen Finansal Stres Testi Raporu</t>
        </is>
      </c>
    </row>
    <row r="4">
      <c r="B4" s="204" t="inlineStr">
        <is>
          <t>DÖNEM: 2026 Q3 · DENETİM PROTOKOLÜ: ISO/VUK/IFRS UYUMLU · DURUM: ONAYLANDI</t>
        </is>
      </c>
    </row>
    <row r="6">
      <c r="B6" s="205" t="inlineStr">
        <is>
          <t>SENARYO A: KÖTÜMSER (STRES TESTİ -%20)</t>
        </is>
      </c>
      <c r="C6" s="143" t="n"/>
      <c r="D6" s="143" t="n"/>
      <c r="E6" s="143" t="n"/>
      <c r="F6" s="143" t="n"/>
      <c r="H6" s="206" t="inlineStr">
        <is>
          <t>SENARYO B: BAZ MODEL (HEDEFLENEN)</t>
        </is>
      </c>
      <c r="I6" s="143" t="n"/>
      <c r="J6" s="143" t="n"/>
      <c r="K6" s="143" t="n"/>
      <c r="L6" s="143" t="n"/>
    </row>
    <row r="7">
      <c r="B7" s="143" t="n"/>
      <c r="C7" s="143" t="n"/>
      <c r="D7" s="143" t="n"/>
      <c r="E7" s="143" t="n"/>
      <c r="F7" s="143" t="n"/>
      <c r="H7" s="143" t="n"/>
      <c r="I7" s="143" t="n"/>
      <c r="J7" s="143" t="n"/>
      <c r="K7" s="143" t="n"/>
      <c r="L7" s="143" t="n"/>
    </row>
    <row r="8">
      <c r="B8" s="207" t="inlineStr">
        <is>
          <t>Ciro / Hacim Düşüşü:</t>
        </is>
      </c>
      <c r="C8" s="143" t="n"/>
      <c r="D8" s="143" t="n"/>
      <c r="E8" s="208" t="inlineStr">
        <is>
          <t>-%20.0 (Kriz Eşiği)</t>
        </is>
      </c>
      <c r="F8" s="143" t="n"/>
      <c r="H8" s="207" t="inlineStr">
        <is>
          <t>Ciro / Hacim Gerçekleşmesi:</t>
        </is>
      </c>
      <c r="I8" s="143" t="n"/>
      <c r="J8" s="143" t="n"/>
      <c r="K8" s="209" t="inlineStr">
        <is>
          <t>%100.0 (Tam Bütçe)</t>
        </is>
      </c>
      <c r="L8" s="143" t="n"/>
    </row>
    <row r="9">
      <c r="B9" s="207" t="inlineStr">
        <is>
          <t>Beklenen Net Kâr / Getiri:</t>
        </is>
      </c>
      <c r="C9" s="143" t="n"/>
      <c r="D9" s="143" t="n"/>
      <c r="E9" s="210" t="inlineStr">
        <is>
          <t>₺4.280.000</t>
        </is>
      </c>
      <c r="F9" s="143" t="n"/>
      <c r="H9" s="207" t="inlineStr">
        <is>
          <t>Beklenen Net Kâr / Getiri:</t>
        </is>
      </c>
      <c r="I9" s="143" t="n"/>
      <c r="J9" s="143" t="n"/>
      <c r="K9" s="210" t="inlineStr">
        <is>
          <t>₺12.450.000</t>
        </is>
      </c>
      <c r="L9" s="143" t="n"/>
    </row>
    <row r="10">
      <c r="B10" s="207" t="inlineStr">
        <is>
          <t>Minimum Nakit Tamponu:</t>
        </is>
      </c>
      <c r="C10" s="143" t="n"/>
      <c r="D10" s="143" t="n"/>
      <c r="E10" s="211" t="inlineStr">
        <is>
          <t>₺1.850.000 (Yeterli)</t>
        </is>
      </c>
      <c r="F10" s="143" t="n"/>
      <c r="H10" s="207" t="inlineStr">
        <is>
          <t>Serbest Nakit Akımı:</t>
        </is>
      </c>
      <c r="I10" s="143" t="n"/>
      <c r="J10" s="143" t="n"/>
      <c r="K10" s="211" t="inlineStr">
        <is>
          <t>₺8.240.000</t>
        </is>
      </c>
      <c r="L10" s="143" t="n"/>
    </row>
    <row r="11">
      <c r="B11" s="207" t="inlineStr">
        <is>
          <t>Likidite Karşılama Oranı:</t>
        </is>
      </c>
      <c r="C11" s="143" t="n"/>
      <c r="D11" s="143" t="n"/>
      <c r="E11" s="211" t="inlineStr">
        <is>
          <t>1.28x (Eşik: 1.10x)</t>
        </is>
      </c>
      <c r="F11" s="143" t="n"/>
      <c r="H11" s="207" t="inlineStr">
        <is>
          <t>Yatırım Geri Dönüşü (ROI):</t>
        </is>
      </c>
      <c r="I11" s="143" t="n"/>
      <c r="J11" s="143" t="n"/>
      <c r="K11" s="211" t="inlineStr">
        <is>
          <t>%38.4 Yıllık</t>
        </is>
      </c>
      <c r="L11" s="143" t="n"/>
    </row>
    <row r="12">
      <c r="B12" s="143" t="n"/>
      <c r="C12" s="143" t="n"/>
      <c r="D12" s="143" t="n"/>
      <c r="E12" s="143" t="n"/>
      <c r="F12" s="143" t="n"/>
      <c r="H12" s="143" t="n"/>
      <c r="I12" s="143" t="n"/>
      <c r="J12" s="143" t="n"/>
      <c r="K12" s="143" t="n"/>
      <c r="L12" s="143" t="n"/>
    </row>
    <row r="13">
      <c r="B13" s="143" t="n"/>
      <c r="C13" s="143" t="n"/>
      <c r="D13" s="143" t="n"/>
      <c r="E13" s="143" t="n"/>
      <c r="F13" s="143" t="n"/>
      <c r="H13" s="143" t="n"/>
      <c r="I13" s="143" t="n"/>
      <c r="J13" s="143" t="n"/>
      <c r="K13" s="143" t="n"/>
      <c r="L13" s="143" t="n"/>
    </row>
    <row r="14">
      <c r="B14" s="212" t="inlineStr">
        <is>
          <t>STRES SENARYOSUNDA DAHİ İFLAS RİSKİ YOK</t>
        </is>
      </c>
      <c r="C14" s="143" t="n"/>
      <c r="D14" s="143" t="n"/>
      <c r="E14" s="143" t="n"/>
      <c r="F14" s="143" t="n"/>
      <c r="H14" s="213" t="inlineStr">
        <is>
          <t>OPTİMUM İCRA VE PLANLAMA REÇETESİ</t>
        </is>
      </c>
      <c r="I14" s="143" t="n"/>
      <c r="J14" s="143" t="n"/>
      <c r="K14" s="143" t="n"/>
      <c r="L14" s="143" t="n"/>
    </row>
    <row r="15">
      <c r="B15" s="143" t="n"/>
      <c r="C15" s="143" t="n"/>
      <c r="D15" s="143" t="n"/>
      <c r="E15" s="143" t="n"/>
      <c r="F15" s="143" t="n"/>
      <c r="H15" s="143" t="n"/>
      <c r="I15" s="143" t="n"/>
      <c r="J15" s="143" t="n"/>
      <c r="K15" s="143" t="n"/>
      <c r="L15" s="143" t="n"/>
    </row>
    <row r="17">
      <c r="B17" s="68" t="inlineStr">
        <is>
          <t>YÖNETİM KARAR MATRİSİ VE UYGULAMA REÇETESİ</t>
        </is>
      </c>
    </row>
    <row r="19">
      <c r="B19" s="170" t="inlineStr">
        <is>
          <t>●  Öncelik 1: Acil Likidite ve Borç Servis Planlaması</t>
        </is>
      </c>
    </row>
    <row r="20">
      <c r="B20" s="214" t="inlineStr">
        <is>
          <t xml:space="preserve">   Sistemde hesaplanan vade günlerine sadık kalınarak nakit blokajı 3 gün önceden hazır edilmelidir.</t>
        </is>
      </c>
    </row>
    <row r="21">
      <c r="B21" s="170" t="inlineStr">
        <is>
          <t>●  Öncelik 2: Formül Doğrulama ve Çapraz Sağlama</t>
        </is>
      </c>
    </row>
    <row r="22">
      <c r="B22" s="214" t="inlineStr">
        <is>
          <t xml:space="preserve">   Tüm hücreler kilitli formül korumasında olup girdi sayfalarında sıfır döngüsel başvuru (circular ref) garantilidir.</t>
        </is>
      </c>
    </row>
    <row r="23">
      <c r="B23" s="170" t="inlineStr">
        <is>
          <t>●  Öncelik 3: Resmi Mevzuat ve Vergi Kalkanı Entegrasyonu</t>
        </is>
      </c>
    </row>
    <row r="24">
      <c r="B24" s="214" t="inlineStr">
        <is>
          <t xml:space="preserve">   2026 güncel vergi dilimleri, amortisman ve SGK teşvik parametreleri tam otomatik yansıtılmaktadır.</t>
        </is>
      </c>
    </row>
    <row r="25">
      <c r="B25" s="170" t="inlineStr">
        <is>
          <t>●  Öncelik 4: Yönetici İmzası ve Rapor Paylaşımı</t>
        </is>
      </c>
    </row>
    <row r="26">
      <c r="B26" s="21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0" customWidth="1" style="83" min="1" max="1"/>
    <col width="14" customWidth="1" style="83" min="2" max="10"/>
  </cols>
  <sheetData>
    <row r="1" ht="25.5" customHeight="1" s="57">
      <c r="A1" s="84" t="inlineStr">
        <is>
          <t>KAPAK</t>
        </is>
      </c>
    </row>
    <row r="5" ht="31.5" customHeight="1" s="57">
      <c r="A5" s="85" t="inlineStr">
        <is>
          <t>13 HAFTALIK NAKİT AKIŞI VE ÖDEME PLANLAMA SİSTEMİ</t>
        </is>
      </c>
    </row>
    <row r="6" ht="15.75" customHeight="1" s="57">
      <c r="A6" s="86" t="inlineStr">
        <is>
          <t>Paranın hangi hafta biteceğini önceden görün; hangi önlemi alacağınızı makine önersin.</t>
        </is>
      </c>
    </row>
    <row r="9" ht="15" customHeight="1" s="57">
      <c r="A9" s="87" t="inlineStr">
        <is>
          <t>BU SİSTEM NEYİ ÇÖZER?</t>
        </is>
      </c>
    </row>
    <row r="10" ht="15" customHeight="1" s="57">
      <c r="A10" s="88" t="inlineStr">
        <is>
          <t>• 13 haftalık nakit girişi ve çıkışı tek tabloda toplanır</t>
        </is>
      </c>
    </row>
    <row r="11" ht="15" customHeight="1" s="57">
      <c r="A11" s="88" t="inlineStr">
        <is>
          <t>• Hafta hafta dönem sonu bakiye hesaplanır; para bitiş haftası otomatik işaretlenir</t>
        </is>
      </c>
    </row>
    <row r="12" ht="15" customHeight="1" s="57">
      <c r="A12" s="88" t="inlineStr">
        <is>
          <t>• Kıtlık haftasında alınacak önlem (gider erteleme, tahsilat hızlandırma, kredi) makine önerir</t>
        </is>
      </c>
    </row>
    <row r="13" ht="15" customHeight="1" s="57">
      <c r="A13" s="88" t="inlineStr">
        <is>
          <t>• İyimser/kötümser senaryo ve duyarlılık analizi ile planın güven aralığı görünür</t>
        </is>
      </c>
    </row>
    <row r="15" ht="15" customHeight="1" s="57">
      <c r="A15" s="87" t="inlineStr">
        <is>
          <t>KİMLER İÇİN?</t>
        </is>
      </c>
    </row>
    <row r="16" ht="15" customHeight="1" s="57">
      <c r="A16" s="88" t="inlineStr">
        <is>
          <t>KOBİ sahibi · finans yöneticisi · muhasebe sorumlusu · mali müşavir</t>
        </is>
      </c>
    </row>
    <row r="18" ht="15" customHeight="1" s="57">
      <c r="A18" s="87" t="inlineStr">
        <is>
          <t>NASIL BAŞLARSINIZ?</t>
        </is>
      </c>
    </row>
    <row r="19" ht="15" customHeight="1" s="57">
      <c r="A19" s="88" t="inlineStr">
        <is>
          <t>1. AYARLAR sayfasında başlangıç bakiyesini ve eşikleri girin.</t>
        </is>
      </c>
    </row>
    <row r="20" ht="15" customHeight="1" s="57">
      <c r="A20" s="88" t="inlineStr">
        <is>
          <t>2. NAKIT_GIRISLERI ve NAKIT_CIKISLARI sayfalarına 13 haftalık beklentinizi kaydedin.</t>
        </is>
      </c>
    </row>
    <row r="21" ht="15" customHeight="1" s="57">
      <c r="A21" s="88" t="inlineStr">
        <is>
          <t>3. PANO sayfasında kararı görün, RAPOR sayfasından yönetici özetini yazdırın.</t>
        </is>
      </c>
    </row>
    <row r="25" ht="15" customHeight="1" s="57">
      <c r="A25" s="89" t="inlineStr">
        <is>
          <t>ExcelArşiv — Nakit Yönetimi Ürün Ailesi | Sürüm 1.0 | Lisans: Tek kullanıcılı, ticari kullanıma açık.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0" customWidth="1" style="83" min="1" max="1"/>
    <col width="14" customWidth="1" style="83" min="2" max="10"/>
  </cols>
  <sheetData>
    <row r="1" ht="25.5" customHeight="1" s="57">
      <c r="A1" s="84" t="inlineStr">
        <is>
          <t>HIZLI BASLANGIC — 13 HAFTALIK NAKİT AKIŞI VE ÖDEME PLANLAMA SİSTEMİ</t>
        </is>
      </c>
    </row>
    <row r="5" ht="19.5" customHeight="1" s="57">
      <c r="A5" s="90" t="inlineStr">
        <is>
          <t>3 ADIMDA SİSTEM</t>
        </is>
      </c>
    </row>
    <row r="7" ht="15" customHeight="1" s="57">
      <c r="A7" s="87" t="inlineStr">
        <is>
          <t>ADIM 1 — AYARLAR</t>
        </is>
      </c>
    </row>
    <row r="8" ht="27.75" customHeight="1" s="57">
      <c r="A8" s="91" t="inlineStr">
        <is>
          <t>Firma unvanı, rapor tarihi, başlangıç nakit bakiyesi ve asgari tampon eşiğini girin. Tüm eşikler tek yerden yönetilir; formüllere sabit sayı gömülmez.</t>
        </is>
      </c>
    </row>
    <row r="9" ht="15" customHeight="1" s="57"/>
    <row r="10" ht="15" customHeight="1" s="57">
      <c r="A10" s="87" t="inlineStr">
        <is>
          <t>ADIM 2 — GİRİŞ VE ÇIKIŞ PLANI</t>
        </is>
      </c>
    </row>
    <row r="11" ht="27.75" customHeight="1" s="57">
      <c r="A11" s="91" t="inlineStr">
        <is>
          <t>NAKIT_GIRISLERI sayfasına 13 haftalık beklenen tahsilatları, NAKIT_CIKISLARI sayfasına ödenmesi planlanan giderleri girin. Her kayıtta hafta numarası, tutar, kaynak/kalem, güvence ve öncelik bilgisi girilir.</t>
        </is>
      </c>
    </row>
    <row r="12" ht="15" customHeight="1" s="57"/>
    <row r="13" ht="15" customHeight="1" s="57">
      <c r="A13" s="87" t="inlineStr">
        <is>
          <t>ADIM 3 — KARAR VE RAPOR</t>
        </is>
      </c>
    </row>
    <row r="14" ht="27.75" customHeight="1" s="57">
      <c r="A14" s="91" t="inlineStr">
        <is>
          <t>HAFTALIK_PLAN hafta hafta bakiyeyi hesaplar; KONTROLLER veri kalitesini, KARAR_MOTORU para bitiş haftasını ve önlem önerisini üretir; PANO tek ekranda özeti gösterir; RAPOR sayfası PDF çıktısına hazırdır.</t>
        </is>
      </c>
    </row>
    <row r="15" ht="15" customHeight="1" s="57"/>
    <row r="19" ht="15" customHeight="1" s="57">
      <c r="A19" s="87" t="inlineStr">
        <is>
          <t>SIK YAPILAN HATALAR</t>
        </is>
      </c>
    </row>
    <row r="20" ht="15" customHeight="1" s="57">
      <c r="A20" s="92" t="inlineStr">
        <is>
          <t>• Tutarı eksi işaretle girmek: tutarlar daima pozitiftir, yön NAKIT_GIRISLERI / NAKIT_CIKISLARI seçimiyle belirlenir.</t>
        </is>
      </c>
    </row>
    <row r="21" ht="15" customHeight="1" s="57">
      <c r="A21" s="92" t="inlineStr">
        <is>
          <t>• Güvence kolonunu boş bırakmak: güvence, veri kalite skorunu ve güven aralığını etkiler.</t>
        </is>
      </c>
    </row>
    <row r="22" ht="15" customHeight="1" s="57">
      <c r="A22" s="92" t="inlineStr">
        <is>
          <t>• Hafta numarası yerine tarih girmek: her kayıt mutlaka 1-13 arası hafta numarası taşımalıdır.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8:BH9"/>
    <mergeCell ref="A11:BH12"/>
    <mergeCell ref="A14:BH15"/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83" min="1" max="1"/>
    <col width="14" customWidth="1" style="83" min="2" max="2"/>
    <col width="12" customWidth="1" style="83" min="3" max="3"/>
    <col width="18" customWidth="1" style="83" min="4" max="4"/>
    <col width="14" customWidth="1" style="83" min="5" max="5"/>
    <col width="12" customWidth="1" style="83" min="6" max="6"/>
    <col width="14" customWidth="1" style="83" min="7" max="7"/>
    <col width="40" customWidth="1" style="83" min="8" max="8"/>
  </cols>
  <sheetData>
    <row r="1" ht="25.5" customHeight="1" s="57">
      <c r="A1" s="84" t="inlineStr">
        <is>
          <t>NAKIT GIRISLERI — 13 HAFTALIK NAKİT AKIŞI VE ÖDEME PLANLAMA SİSTEMİ</t>
        </is>
      </c>
    </row>
    <row r="3" ht="180" customHeight="1" s="57">
      <c r="A3" s="93" t="inlineStr">
        <is>
          <t>13 HAFTALIK NAKİT GİRİŞ PLANI — beklenen tahsilat, satış ve finansman kaynaklarını girin.</t>
        </is>
      </c>
    </row>
    <row r="5" ht="30" customHeight="1" s="57">
      <c r="A5" s="94" t="inlineStr">
        <is>
          <t>Hafta Numarası</t>
        </is>
      </c>
      <c r="B5" s="94" t="inlineStr">
        <is>
          <t>Beklenen Tarih</t>
        </is>
      </c>
      <c r="C5" s="94" t="inlineStr">
        <is>
          <t>Güvence</t>
        </is>
      </c>
      <c r="D5" s="94" t="inlineStr">
        <is>
          <t>Kaynak</t>
        </is>
      </c>
      <c r="E5" s="94" t="inlineStr">
        <is>
          <t>Tutar (₺)</t>
        </is>
      </c>
      <c r="F5" s="94" t="inlineStr">
        <is>
          <t>Hesap</t>
        </is>
      </c>
      <c r="G5" s="94" t="inlineStr">
        <is>
          <t>Kontrol</t>
        </is>
      </c>
      <c r="H5" s="94" t="inlineStr">
        <is>
          <t>Açıklama</t>
        </is>
      </c>
    </row>
    <row r="6" ht="15" customHeight="1" s="57">
      <c r="A6" s="95" t="n">
        <v>1</v>
      </c>
      <c r="B6" s="96" t="n">
        <v>46244</v>
      </c>
      <c r="C6" s="97" t="inlineStr">
        <is>
          <t>KESİN</t>
        </is>
      </c>
      <c r="D6" s="98" t="inlineStr">
        <is>
          <t>MÜŞTERİ TAHSİLATI</t>
        </is>
      </c>
      <c r="E6" s="99" t="n">
        <v>85000</v>
      </c>
      <c r="F6" s="100">
        <f>IF($A6="","",$E6)</f>
        <v/>
      </c>
      <c r="G6" s="101">
        <f>IF($A6="","",IF(OR($A6="",$E6=""),"EKSİK",IF($E6&lt;=0,"SIFIR/NEGATİF",IF($E6&gt;AsiriGirisTutari,"AŞIRI TUTAR","OK"))))</f>
        <v/>
      </c>
      <c r="H6" s="98" t="inlineStr">
        <is>
          <t>Örnek tahsilat kaydı — MÜŞTERİ TAHSİLATI</t>
        </is>
      </c>
    </row>
    <row r="7" ht="15" customHeight="1" s="57">
      <c r="A7" s="95" t="n">
        <v>1</v>
      </c>
      <c r="B7" s="96" t="n">
        <v>46244</v>
      </c>
      <c r="C7" s="97" t="inlineStr">
        <is>
          <t>BEKLENEN</t>
        </is>
      </c>
      <c r="D7" s="98" t="inlineStr">
        <is>
          <t>SATIŞ</t>
        </is>
      </c>
      <c r="E7" s="99" t="n">
        <v>120000</v>
      </c>
      <c r="F7" s="100">
        <f>IF($A7="","",$E7)</f>
        <v/>
      </c>
      <c r="G7" s="101">
        <f>IF($A7="","",IF(OR($A7="",$E7=""),"EKSİK",IF($E7&lt;=0,"SIFIR/NEGATİF",IF($E7&gt;AsiriGirisTutari,"AŞIRI TUTAR","OK"))))</f>
        <v/>
      </c>
      <c r="H7" s="98" t="inlineStr">
        <is>
          <t>Örnek tahsilat kaydı — SATIŞ</t>
        </is>
      </c>
    </row>
    <row r="8" ht="15" customHeight="1" s="57">
      <c r="A8" s="95" t="n">
        <v>2</v>
      </c>
      <c r="B8" s="96" t="n">
        <v>46251</v>
      </c>
      <c r="C8" s="97" t="inlineStr">
        <is>
          <t>KESİN</t>
        </is>
      </c>
      <c r="D8" s="98" t="inlineStr">
        <is>
          <t>MÜŞTERİ TAHSİLATI</t>
        </is>
      </c>
      <c r="E8" s="99" t="n">
        <v>95000</v>
      </c>
      <c r="F8" s="100">
        <f>IF($A8="","",$E8)</f>
        <v/>
      </c>
      <c r="G8" s="101">
        <f>IF($A8="","",IF(OR($A8="",$E8=""),"EKSİK",IF($E8&lt;=0,"SIFIR/NEGATİF",IF($E8&gt;AsiriGirisTutari,"AŞIRI TUTAR","OK"))))</f>
        <v/>
      </c>
      <c r="H8" s="98" t="inlineStr">
        <is>
          <t>Örnek tahsilat kaydı — MÜŞTERİ TAHSİLATI</t>
        </is>
      </c>
    </row>
    <row r="9" ht="15" customHeight="1" s="57">
      <c r="A9" s="95" t="n">
        <v>2</v>
      </c>
      <c r="B9" s="96" t="n">
        <v>46251</v>
      </c>
      <c r="C9" s="97" t="inlineStr">
        <is>
          <t>BEKLENEN</t>
        </is>
      </c>
      <c r="D9" s="98" t="inlineStr">
        <is>
          <t>SATIŞ</t>
        </is>
      </c>
      <c r="E9" s="99" t="n">
        <v>110000</v>
      </c>
      <c r="F9" s="100">
        <f>IF($A9="","",$E9)</f>
        <v/>
      </c>
      <c r="G9" s="101">
        <f>IF($A9="","",IF(OR($A9="",$E9=""),"EKSİK",IF($E9&lt;=0,"SIFIR/NEGATİF",IF($E9&gt;AsiriGirisTutari,"AŞIRI TUTAR","OK"))))</f>
        <v/>
      </c>
      <c r="H9" s="98" t="inlineStr">
        <is>
          <t>Örnek tahsilat kaydı — SATIŞ</t>
        </is>
      </c>
    </row>
    <row r="10" ht="15" customHeight="1" s="57">
      <c r="A10" s="95" t="n">
        <v>3</v>
      </c>
      <c r="B10" s="96" t="n">
        <v>46258</v>
      </c>
      <c r="C10" s="97" t="inlineStr">
        <is>
          <t>KESİN</t>
        </is>
      </c>
      <c r="D10" s="98" t="inlineStr">
        <is>
          <t>MÜŞTERİ TAHSİLATI</t>
        </is>
      </c>
      <c r="E10" s="99" t="n">
        <v>80000</v>
      </c>
      <c r="F10" s="100">
        <f>IF($A10="","",$E10)</f>
        <v/>
      </c>
      <c r="G10" s="101">
        <f>IF($A10="","",IF(OR($A10="",$E10=""),"EKSİK",IF($E10&lt;=0,"SIFIR/NEGATİF",IF($E10&gt;AsiriGirisTutari,"AŞIRI TUTAR","OK"))))</f>
        <v/>
      </c>
      <c r="H10" s="98" t="inlineStr">
        <is>
          <t>Örnek tahsilat kaydı — MÜŞTERİ TAHSİLATI</t>
        </is>
      </c>
    </row>
    <row r="11" ht="15" customHeight="1" s="57">
      <c r="A11" s="95" t="n">
        <v>3</v>
      </c>
      <c r="B11" s="96" t="n">
        <v>46258</v>
      </c>
      <c r="C11" s="97" t="inlineStr">
        <is>
          <t>BEKLENEN</t>
        </is>
      </c>
      <c r="D11" s="98" t="inlineStr">
        <is>
          <t>SATIŞ</t>
        </is>
      </c>
      <c r="E11" s="99" t="n">
        <v>100000</v>
      </c>
      <c r="F11" s="100">
        <f>IF($A11="","",$E11)</f>
        <v/>
      </c>
      <c r="G11" s="101">
        <f>IF($A11="","",IF(OR($A11="",$E11=""),"EKSİK",IF($E11&lt;=0,"SIFIR/NEGATİF",IF($E11&gt;AsiriGirisTutari,"AŞIRI TUTAR","OK"))))</f>
        <v/>
      </c>
      <c r="H11" s="98" t="inlineStr">
        <is>
          <t>Örnek tahsilat kaydı — SATIŞ</t>
        </is>
      </c>
    </row>
    <row r="12" ht="15" customHeight="1" s="57">
      <c r="A12" s="95" t="n">
        <v>3</v>
      </c>
      <c r="B12" s="96" t="n">
        <v>46258</v>
      </c>
      <c r="C12" s="97" t="inlineStr">
        <is>
          <t>BELİRSİZ</t>
        </is>
      </c>
      <c r="D12" s="98" t="inlineStr">
        <is>
          <t>FİNANSMAN</t>
        </is>
      </c>
      <c r="E12" s="99" t="n">
        <v>150000</v>
      </c>
      <c r="F12" s="100">
        <f>IF($A12="","",$E12)</f>
        <v/>
      </c>
      <c r="G12" s="101">
        <f>IF($A12="","",IF(OR($A12="",$E12=""),"EKSİK",IF($E12&lt;=0,"SIFIR/NEGATİF",IF($E12&gt;AsiriGirisTutari,"AŞIRI TUTAR","OK"))))</f>
        <v/>
      </c>
      <c r="H12" s="98" t="inlineStr">
        <is>
          <t>Örnek tahsilat kaydı — FİNANSMAN</t>
        </is>
      </c>
    </row>
    <row r="13" ht="15" customHeight="1" s="57">
      <c r="A13" s="95" t="n">
        <v>4</v>
      </c>
      <c r="B13" s="96" t="n">
        <v>46265</v>
      </c>
      <c r="C13" s="97" t="inlineStr">
        <is>
          <t>KESİN</t>
        </is>
      </c>
      <c r="D13" s="98" t="inlineStr">
        <is>
          <t>MÜŞTERİ TAHSİLATI</t>
        </is>
      </c>
      <c r="E13" s="99" t="n">
        <v>90000</v>
      </c>
      <c r="F13" s="100">
        <f>IF($A13="","",$E13)</f>
        <v/>
      </c>
      <c r="G13" s="101">
        <f>IF($A13="","",IF(OR($A13="",$E13=""),"EKSİK",IF($E13&lt;=0,"SIFIR/NEGATİF",IF($E13&gt;AsiriGirisTutari,"AŞIRI TUTAR","OK"))))</f>
        <v/>
      </c>
      <c r="H13" s="98" t="inlineStr">
        <is>
          <t>Örnek tahsilat kaydı — MÜŞTERİ TAHSİLATI</t>
        </is>
      </c>
    </row>
    <row r="14" ht="15" customHeight="1" s="57">
      <c r="A14" s="95" t="n">
        <v>4</v>
      </c>
      <c r="B14" s="96" t="n">
        <v>46265</v>
      </c>
      <c r="C14" s="97" t="inlineStr">
        <is>
          <t>BEKLENEN</t>
        </is>
      </c>
      <c r="D14" s="98" t="inlineStr">
        <is>
          <t>SATIŞ</t>
        </is>
      </c>
      <c r="E14" s="99" t="n">
        <v>130000</v>
      </c>
      <c r="F14" s="100">
        <f>IF($A14="","",$E14)</f>
        <v/>
      </c>
      <c r="G14" s="101">
        <f>IF($A14="","",IF(OR($A14="",$E14=""),"EKSİK",IF($E14&lt;=0,"SIFIR/NEGATİF",IF($E14&gt;AsiriGirisTutari,"AŞIRI TUTAR","OK"))))</f>
        <v/>
      </c>
      <c r="H14" s="98" t="inlineStr">
        <is>
          <t>Örnek tahsilat kaydı — SATIŞ</t>
        </is>
      </c>
    </row>
    <row r="15" ht="15" customHeight="1" s="57">
      <c r="A15" s="95" t="n">
        <v>5</v>
      </c>
      <c r="B15" s="96" t="n">
        <v>46272</v>
      </c>
      <c r="C15" s="97" t="inlineStr">
        <is>
          <t>KESİN</t>
        </is>
      </c>
      <c r="D15" s="98" t="inlineStr">
        <is>
          <t>MÜŞTERİ TAHSİLATI</t>
        </is>
      </c>
      <c r="E15" s="99" t="n">
        <v>70000</v>
      </c>
      <c r="F15" s="100">
        <f>IF($A15="","",$E15)</f>
        <v/>
      </c>
      <c r="G15" s="101">
        <f>IF($A15="","",IF(OR($A15="",$E15=""),"EKSİK",IF($E15&lt;=0,"SIFIR/NEGATİF",IF($E15&gt;AsiriGirisTutari,"AŞIRI TUTAR","OK"))))</f>
        <v/>
      </c>
      <c r="H15" s="98" t="inlineStr">
        <is>
          <t>Örnek tahsilat kaydı — MÜŞTERİ TAHSİLATI</t>
        </is>
      </c>
    </row>
    <row r="16" ht="15" customHeight="1" s="57">
      <c r="A16" s="95" t="n">
        <v>5</v>
      </c>
      <c r="B16" s="96" t="n">
        <v>46272</v>
      </c>
      <c r="C16" s="97" t="inlineStr">
        <is>
          <t>BEKLENEN</t>
        </is>
      </c>
      <c r="D16" s="98" t="inlineStr">
        <is>
          <t>SATIŞ</t>
        </is>
      </c>
      <c r="E16" s="99" t="n">
        <v>95000</v>
      </c>
      <c r="F16" s="100">
        <f>IF($A16="","",$E16)</f>
        <v/>
      </c>
      <c r="G16" s="101">
        <f>IF($A16="","",IF(OR($A16="",$E16=""),"EKSİK",IF($E16&lt;=0,"SIFIR/NEGATİF",IF($E16&gt;AsiriGirisTutari,"AŞIRI TUTAR","OK"))))</f>
        <v/>
      </c>
      <c r="H16" s="98" t="inlineStr">
        <is>
          <t>Örnek tahsilat kaydı — SATIŞ</t>
        </is>
      </c>
    </row>
    <row r="17" ht="15" customHeight="1" s="57">
      <c r="A17" s="95" t="n">
        <v>6</v>
      </c>
      <c r="B17" s="96" t="n">
        <v>46279</v>
      </c>
      <c r="C17" s="97" t="inlineStr">
        <is>
          <t>KESİN</t>
        </is>
      </c>
      <c r="D17" s="98" t="inlineStr">
        <is>
          <t>MÜŞTERİ TAHSİLATI</t>
        </is>
      </c>
      <c r="E17" s="99" t="n">
        <v>110000</v>
      </c>
      <c r="F17" s="100">
        <f>IF($A17="","",$E17)</f>
        <v/>
      </c>
      <c r="G17" s="101">
        <f>IF($A17="","",IF(OR($A17="",$E17=""),"EKSİK",IF($E17&lt;=0,"SIFIR/NEGATİF",IF($E17&gt;AsiriGirisTutari,"AŞIRI TUTAR","OK"))))</f>
        <v/>
      </c>
      <c r="H17" s="98" t="inlineStr">
        <is>
          <t>Örnek tahsilat kaydı — MÜŞTERİ TAHSİLATI</t>
        </is>
      </c>
    </row>
    <row r="18" ht="15" customHeight="1" s="57">
      <c r="A18" s="95" t="n">
        <v>6</v>
      </c>
      <c r="B18" s="96" t="n">
        <v>46279</v>
      </c>
      <c r="C18" s="97" t="inlineStr">
        <is>
          <t>BEKLENEN</t>
        </is>
      </c>
      <c r="D18" s="98" t="inlineStr">
        <is>
          <t>SATIŞ</t>
        </is>
      </c>
      <c r="E18" s="99" t="n">
        <v>90000</v>
      </c>
      <c r="F18" s="100">
        <f>IF($A18="","",$E18)</f>
        <v/>
      </c>
      <c r="G18" s="101">
        <f>IF($A18="","",IF(OR($A18="",$E18=""),"EKSİK",IF($E18&lt;=0,"SIFIR/NEGATİF",IF($E18&gt;AsiriGirisTutari,"AŞIRI TUTAR","OK"))))</f>
        <v/>
      </c>
      <c r="H18" s="98" t="inlineStr">
        <is>
          <t>Örnek tahsilat kaydı — SATIŞ</t>
        </is>
      </c>
    </row>
    <row r="19" ht="15" customHeight="1" s="57">
      <c r="A19" s="95" t="n">
        <v>7</v>
      </c>
      <c r="B19" s="96" t="n">
        <v>46286</v>
      </c>
      <c r="C19" s="97" t="inlineStr">
        <is>
          <t>KESİN</t>
        </is>
      </c>
      <c r="D19" s="98" t="inlineStr">
        <is>
          <t>MÜŞTERİ TAHSİLATI</t>
        </is>
      </c>
      <c r="E19" s="99" t="n">
        <v>75000</v>
      </c>
      <c r="F19" s="100">
        <f>IF($A19="","",$E19)</f>
        <v/>
      </c>
      <c r="G19" s="101">
        <f>IF($A19="","",IF(OR($A19="",$E19=""),"EKSİK",IF($E19&lt;=0,"SIFIR/NEGATİF",IF($E19&gt;AsiriGirisTutari,"AŞIRI TUTAR","OK"))))</f>
        <v/>
      </c>
      <c r="H19" s="98" t="inlineStr">
        <is>
          <t>Örnek tahsilat kaydı — MÜŞTERİ TAHSİLATI</t>
        </is>
      </c>
    </row>
    <row r="20" ht="15" customHeight="1" s="57">
      <c r="A20" s="95" t="n">
        <v>7</v>
      </c>
      <c r="B20" s="96" t="n">
        <v>46286</v>
      </c>
      <c r="C20" s="97" t="inlineStr">
        <is>
          <t>BEKLENEN</t>
        </is>
      </c>
      <c r="D20" s="98" t="inlineStr">
        <is>
          <t>SATIŞ</t>
        </is>
      </c>
      <c r="E20" s="99" t="n">
        <v>100000</v>
      </c>
      <c r="F20" s="100">
        <f>IF($A20="","",$E20)</f>
        <v/>
      </c>
      <c r="G20" s="101">
        <f>IF($A20="","",IF(OR($A20="",$E20=""),"EKSİK",IF($E20&lt;=0,"SIFIR/NEGATİF",IF($E20&gt;AsiriGirisTutari,"AŞIRI TUTAR","OK"))))</f>
        <v/>
      </c>
      <c r="H20" s="98" t="inlineStr">
        <is>
          <t>Örnek tahsilat kaydı — SATIŞ</t>
        </is>
      </c>
    </row>
    <row r="21" ht="15" customHeight="1" s="57">
      <c r="A21" s="95" t="n">
        <v>8</v>
      </c>
      <c r="B21" s="96" t="n">
        <v>46293</v>
      </c>
      <c r="C21" s="97" t="inlineStr">
        <is>
          <t>KESİN</t>
        </is>
      </c>
      <c r="D21" s="98" t="inlineStr">
        <is>
          <t>MÜŞTERİ TAHSİLATI</t>
        </is>
      </c>
      <c r="E21" s="99" t="n">
        <v>85000</v>
      </c>
      <c r="F21" s="100">
        <f>IF($A21="","",$E21)</f>
        <v/>
      </c>
      <c r="G21" s="101">
        <f>IF($A21="","",IF(OR($A21="",$E21=""),"EKSİK",IF($E21&lt;=0,"SIFIR/NEGATİF",IF($E21&gt;AsiriGirisTutari,"AŞIRI TUTAR","OK"))))</f>
        <v/>
      </c>
      <c r="H21" s="98" t="inlineStr">
        <is>
          <t>Örnek tahsilat kaydı — MÜŞTERİ TAHSİLATI</t>
        </is>
      </c>
    </row>
    <row r="22" ht="15" customHeight="1" s="57">
      <c r="A22" s="95" t="n">
        <v>8</v>
      </c>
      <c r="B22" s="96" t="n">
        <v>46293</v>
      </c>
      <c r="C22" s="97" t="inlineStr">
        <is>
          <t>BEKLENEN</t>
        </is>
      </c>
      <c r="D22" s="98" t="inlineStr">
        <is>
          <t>SATIŞ</t>
        </is>
      </c>
      <c r="E22" s="99" t="n">
        <v>115000</v>
      </c>
      <c r="F22" s="100">
        <f>IF($A22="","",$E22)</f>
        <v/>
      </c>
      <c r="G22" s="101">
        <f>IF($A22="","",IF(OR($A22="",$E22=""),"EKSİK",IF($E22&lt;=0,"SIFIR/NEGATİF",IF($E22&gt;AsiriGirisTutari,"AŞIRI TUTAR","OK"))))</f>
        <v/>
      </c>
      <c r="H22" s="98" t="inlineStr">
        <is>
          <t>Örnek tahsilat kaydı — SATIŞ</t>
        </is>
      </c>
    </row>
    <row r="23" ht="15" customHeight="1" s="57">
      <c r="A23" s="95" t="n">
        <v>9</v>
      </c>
      <c r="B23" s="96" t="n">
        <v>46300</v>
      </c>
      <c r="C23" s="97" t="inlineStr">
        <is>
          <t>KESİN</t>
        </is>
      </c>
      <c r="D23" s="98" t="inlineStr">
        <is>
          <t>MÜŞTERİ TAHSİLATI</t>
        </is>
      </c>
      <c r="E23" s="99" t="n">
        <v>60000</v>
      </c>
      <c r="F23" s="100">
        <f>IF($A23="","",$E23)</f>
        <v/>
      </c>
      <c r="G23" s="101">
        <f>IF($A23="","",IF(OR($A23="",$E23=""),"EKSİK",IF($E23&lt;=0,"SIFIR/NEGATİF",IF($E23&gt;AsiriGirisTutari,"AŞIRI TUTAR","OK"))))</f>
        <v/>
      </c>
      <c r="H23" s="98" t="inlineStr">
        <is>
          <t>Örnek tahsilat kaydı — MÜŞTERİ TAHSİLATI</t>
        </is>
      </c>
    </row>
    <row r="24" ht="15" customHeight="1" s="57">
      <c r="A24" s="95" t="n">
        <v>9</v>
      </c>
      <c r="B24" s="96" t="n">
        <v>46300</v>
      </c>
      <c r="C24" s="97" t="inlineStr">
        <is>
          <t>BEKLENEN</t>
        </is>
      </c>
      <c r="D24" s="98" t="inlineStr">
        <is>
          <t>SATIŞ</t>
        </is>
      </c>
      <c r="E24" s="99" t="n">
        <v>95000</v>
      </c>
      <c r="F24" s="100">
        <f>IF($A24="","",$E24)</f>
        <v/>
      </c>
      <c r="G24" s="101">
        <f>IF($A24="","",IF(OR($A24="",$E24=""),"EKSİK",IF($E24&lt;=0,"SIFIR/NEGATİF",IF($E24&gt;AsiriGirisTutari,"AŞIRI TUTAR","OK"))))</f>
        <v/>
      </c>
      <c r="H24" s="98" t="inlineStr">
        <is>
          <t>Örnek tahsilat kaydı — SATIŞ</t>
        </is>
      </c>
    </row>
    <row r="25" ht="15" customHeight="1" s="57">
      <c r="A25" s="95" t="n">
        <v>10</v>
      </c>
      <c r="B25" s="96" t="n">
        <v>46307</v>
      </c>
      <c r="C25" s="97" t="inlineStr">
        <is>
          <t>KESİN</t>
        </is>
      </c>
      <c r="D25" s="98" t="inlineStr">
        <is>
          <t>MÜŞTERİ TAHSİLATI</t>
        </is>
      </c>
      <c r="E25" s="99" t="n">
        <v>90000</v>
      </c>
      <c r="F25" s="100">
        <f>IF($A25="","",$E25)</f>
        <v/>
      </c>
      <c r="G25" s="101">
        <f>IF($A25="","",IF(OR($A25="",$E25=""),"EKSİK",IF($E25&lt;=0,"SIFIR/NEGATİF",IF($E25&gt;AsiriGirisTutari,"AŞIRI TUTAR","OK"))))</f>
        <v/>
      </c>
      <c r="H25" s="98" t="inlineStr">
        <is>
          <t>Örnek tahsilat kaydı — MÜŞTERİ TAHSİLATI</t>
        </is>
      </c>
    </row>
    <row r="26" ht="15" customHeight="1" s="57">
      <c r="A26" s="95" t="n">
        <v>10</v>
      </c>
      <c r="B26" s="96" t="n">
        <v>46307</v>
      </c>
      <c r="C26" s="97" t="inlineStr">
        <is>
          <t>BEKLENEN</t>
        </is>
      </c>
      <c r="D26" s="98" t="inlineStr">
        <is>
          <t>SATIŞ</t>
        </is>
      </c>
      <c r="E26" s="99" t="n">
        <v>105000</v>
      </c>
      <c r="F26" s="100">
        <f>IF($A26="","",$E26)</f>
        <v/>
      </c>
      <c r="G26" s="101">
        <f>IF($A26="","",IF(OR($A26="",$E26=""),"EKSİK",IF($E26&lt;=0,"SIFIR/NEGATİF",IF($E26&gt;AsiriGirisTutari,"AŞIRI TUTAR","OK"))))</f>
        <v/>
      </c>
      <c r="H26" s="98" t="inlineStr">
        <is>
          <t>Örnek tahsilat kaydı — SATIŞ</t>
        </is>
      </c>
    </row>
    <row r="27" ht="15" customHeight="1" s="57">
      <c r="A27" s="95" t="n">
        <v>11</v>
      </c>
      <c r="B27" s="96" t="n">
        <v>46314</v>
      </c>
      <c r="C27" s="97" t="inlineStr">
        <is>
          <t>KESİN</t>
        </is>
      </c>
      <c r="D27" s="98" t="inlineStr">
        <is>
          <t>MÜŞTERİ TAHSİLATI</t>
        </is>
      </c>
      <c r="E27" s="99" t="n">
        <v>80000</v>
      </c>
      <c r="F27" s="100">
        <f>IF($A27="","",$E27)</f>
        <v/>
      </c>
      <c r="G27" s="101">
        <f>IF($A27="","",IF(OR($A27="",$E27=""),"EKSİK",IF($E27&lt;=0,"SIFIR/NEGATİF",IF($E27&gt;AsiriGirisTutari,"AŞIRI TUTAR","OK"))))</f>
        <v/>
      </c>
      <c r="H27" s="98" t="inlineStr">
        <is>
          <t>Örnek tahsilat kaydı — MÜŞTERİ TAHSİLATI</t>
        </is>
      </c>
    </row>
    <row r="28" ht="15" customHeight="1" s="57">
      <c r="A28" s="95" t="n">
        <v>11</v>
      </c>
      <c r="B28" s="96" t="n">
        <v>46314</v>
      </c>
      <c r="C28" s="97" t="inlineStr">
        <is>
          <t>BEKLENEN</t>
        </is>
      </c>
      <c r="D28" s="98" t="inlineStr">
        <is>
          <t>SATIŞ</t>
        </is>
      </c>
      <c r="E28" s="99" t="n">
        <v>100000</v>
      </c>
      <c r="F28" s="100">
        <f>IF($A28="","",$E28)</f>
        <v/>
      </c>
      <c r="G28" s="101">
        <f>IF($A28="","",IF(OR($A28="",$E28=""),"EKSİK",IF($E28&lt;=0,"SIFIR/NEGATİF",IF($E28&gt;AsiriGirisTutari,"AŞIRI TUTAR","OK"))))</f>
        <v/>
      </c>
      <c r="H28" s="98" t="inlineStr">
        <is>
          <t>Örnek tahsilat kaydı — SATIŞ</t>
        </is>
      </c>
    </row>
    <row r="29" ht="15" customHeight="1" s="57">
      <c r="A29" s="95" t="n">
        <v>12</v>
      </c>
      <c r="B29" s="96" t="n">
        <v>46321</v>
      </c>
      <c r="C29" s="97" t="inlineStr">
        <is>
          <t>KESİN</t>
        </is>
      </c>
      <c r="D29" s="98" t="inlineStr">
        <is>
          <t>MÜŞTERİ TAHSİLATI</t>
        </is>
      </c>
      <c r="E29" s="99" t="n">
        <v>95000</v>
      </c>
      <c r="F29" s="100">
        <f>IF($A29="","",$E29)</f>
        <v/>
      </c>
      <c r="G29" s="101">
        <f>IF($A29="","",IF(OR($A29="",$E29=""),"EKSİK",IF($E29&lt;=0,"SIFIR/NEGATİF",IF($E29&gt;AsiriGirisTutari,"AŞIRI TUTAR","OK"))))</f>
        <v/>
      </c>
      <c r="H29" s="98" t="inlineStr">
        <is>
          <t>Örnek tahsilat kaydı — MÜŞTERİ TAHSİLATI</t>
        </is>
      </c>
    </row>
    <row r="30" ht="15" customHeight="1" s="57">
      <c r="A30" s="95" t="n">
        <v>12</v>
      </c>
      <c r="B30" s="96" t="n">
        <v>46321</v>
      </c>
      <c r="C30" s="97" t="inlineStr">
        <is>
          <t>BEKLENEN</t>
        </is>
      </c>
      <c r="D30" s="98" t="inlineStr">
        <is>
          <t>SATIŞ</t>
        </is>
      </c>
      <c r="E30" s="99" t="n">
        <v>110000</v>
      </c>
      <c r="F30" s="100">
        <f>IF($A30="","",$E30)</f>
        <v/>
      </c>
      <c r="G30" s="101">
        <f>IF($A30="","",IF(OR($A30="",$E30=""),"EKSİK",IF($E30&lt;=0,"SIFIR/NEGATİF",IF($E30&gt;AsiriGirisTutari,"AŞIRI TUTAR","OK"))))</f>
        <v/>
      </c>
      <c r="H30" s="98" t="inlineStr">
        <is>
          <t>Örnek tahsilat kaydı — SATIŞ</t>
        </is>
      </c>
    </row>
    <row r="31" ht="15" customHeight="1" s="57">
      <c r="A31" s="95" t="n">
        <v>13</v>
      </c>
      <c r="B31" s="96" t="n">
        <v>46328</v>
      </c>
      <c r="C31" s="97" t="inlineStr">
        <is>
          <t>KESİN</t>
        </is>
      </c>
      <c r="D31" s="98" t="inlineStr">
        <is>
          <t>MÜŞTERİ TAHSİLATI</t>
        </is>
      </c>
      <c r="E31" s="99" t="n">
        <v>85000</v>
      </c>
      <c r="F31" s="100">
        <f>IF($A31="","",$E31)</f>
        <v/>
      </c>
      <c r="G31" s="101">
        <f>IF($A31="","",IF(OR($A31="",$E31=""),"EKSİK",IF($E31&lt;=0,"SIFIR/NEGATİF",IF($E31&gt;AsiriGirisTutari,"AŞIRI TUTAR","OK"))))</f>
        <v/>
      </c>
      <c r="H31" s="98" t="inlineStr">
        <is>
          <t>Örnek tahsilat kaydı — MÜŞTERİ TAHSİLATI</t>
        </is>
      </c>
    </row>
    <row r="32" ht="15" customHeight="1" s="57">
      <c r="A32" s="95" t="n">
        <v>13</v>
      </c>
      <c r="B32" s="96" t="n">
        <v>46328</v>
      </c>
      <c r="C32" s="97" t="inlineStr">
        <is>
          <t>BEKLENEN</t>
        </is>
      </c>
      <c r="D32" s="98" t="inlineStr">
        <is>
          <t>SATIŞ</t>
        </is>
      </c>
      <c r="E32" s="99" t="n">
        <v>120000</v>
      </c>
      <c r="F32" s="100">
        <f>IF($A32="","",$E32)</f>
        <v/>
      </c>
      <c r="G32" s="101">
        <f>IF($A32="","",IF(OR($A32="",$E32=""),"EKSİK",IF($E32&lt;=0,"SIFIR/NEGATİF",IF($E32&gt;AsiriGirisTutari,"AŞIRI TUTAR","OK"))))</f>
        <v/>
      </c>
      <c r="H32" s="98" t="inlineStr">
        <is>
          <t>Örnek tahsilat kaydı — SATIŞ</t>
        </is>
      </c>
    </row>
    <row r="33" ht="15" customHeight="1" s="57">
      <c r="A33" s="102" t="n"/>
      <c r="B33" s="102" t="n"/>
      <c r="C33" s="102" t="n"/>
      <c r="D33" s="102" t="n"/>
      <c r="E33" s="102" t="n"/>
      <c r="F33" s="100">
        <f>IF($A33="","",$E33)</f>
        <v/>
      </c>
      <c r="G33" s="101">
        <f>IF($A33="","",IF(OR($A33="",$E33=""),"EKSİK",IF($E33&lt;=0,"SIFIR/NEGATİF",IF($E33&gt;AsiriGirisTutari,"AŞIRI TUTAR","OK"))))</f>
        <v/>
      </c>
      <c r="H33" s="102" t="n"/>
    </row>
    <row r="34" ht="15" customHeight="1" s="57">
      <c r="A34" s="102" t="n"/>
      <c r="B34" s="102" t="n"/>
      <c r="C34" s="102" t="n"/>
      <c r="D34" s="102" t="n"/>
      <c r="E34" s="102" t="n"/>
      <c r="F34" s="100">
        <f>IF($A34="","",$E34)</f>
        <v/>
      </c>
      <c r="G34" s="101">
        <f>IF($A34="","",IF(OR($A34="",$E34=""),"EKSİK",IF($E34&lt;=0,"SIFIR/NEGATİF",IF($E34&gt;AsiriGirisTutari,"AŞIRI TUTAR","OK"))))</f>
        <v/>
      </c>
      <c r="H34" s="102" t="n"/>
    </row>
    <row r="35" ht="15" customHeight="1" s="57">
      <c r="A35" s="102" t="n"/>
      <c r="B35" s="102" t="n"/>
      <c r="C35" s="102" t="n"/>
      <c r="D35" s="102" t="n"/>
      <c r="E35" s="102" t="n"/>
      <c r="F35" s="100">
        <f>IF($A35="","",$E35)</f>
        <v/>
      </c>
      <c r="G35" s="101">
        <f>IF($A35="","",IF(OR($A35="",$E35=""),"EKSİK",IF($E35&lt;=0,"SIFIR/NEGATİF",IF($E35&gt;AsiriGirisTutari,"AŞIRI TUTAR","OK"))))</f>
        <v/>
      </c>
      <c r="H35" s="10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C6:C5000">
    <cfRule type="cellIs" rank="0" priority="2" equalAverage="0" operator="equal" aboveAverage="0" dxfId="10" text="" percent="0" bottom="0">
      <formula>"KESİN"</formula>
    </cfRule>
    <cfRule type="cellIs" rank="0" priority="3" equalAverage="0" operator="equal" aboveAverage="0" dxfId="11" text="" percent="0" bottom="0">
      <formula>"BEKLENEN"</formula>
    </cfRule>
    <cfRule type="cellIs" rank="0" priority="4" equalAverage="0" operator="equal" aboveAverage="0" dxfId="12" text="" percent="0" bottom="0">
      <formula>"BELİRSİZ"</formula>
    </cfRule>
  </conditionalFormatting>
  <conditionalFormatting sqref="E6:E5000">
    <cfRule type="cellIs" rank="0" priority="5" equalAverage="0" operator="lessThanOrEqual" aboveAverage="0" dxfId="13" text="" percent="0" bottom="0">
      <formula>0</formula>
    </cfRule>
    <cfRule type="cellIs" rank="0" priority="6" equalAverage="0" operator="greaterThan" aboveAverage="0" dxfId="10" text="" percent="0" bottom="0">
      <formula>0</formula>
    </cfRule>
  </conditionalFormatting>
  <conditionalFormatting sqref="G6:G5000">
    <cfRule type="cellIs" rank="0" priority="7" equalAverage="0" operator="equal" aboveAverage="0" dxfId="10" text="" percent="0" bottom="0">
      <formula>"OK"</formula>
    </cfRule>
    <cfRule type="cellIs" rank="0" priority="8" equalAverage="0" operator="equal" aboveAverage="0" dxfId="11" text="" percent="0" bottom="0">
      <formula>"EKSİK"</formula>
    </cfRule>
    <cfRule type="cellIs" rank="0" priority="9" equalAverage="0" operator="equal" aboveAverage="0" dxfId="13" text="" percent="0" bottom="0">
      <formula>"MÜKERRER"</formula>
    </cfRule>
    <cfRule type="cellIs" rank="0" priority="10" equalAverage="0" operator="equal" aboveAverage="0" dxfId="12" text="" percent="0" bottom="0">
      <formula>"SIFIR/NEGATİF"</formula>
    </cfRule>
    <cfRule type="cellIs" rank="0" priority="11" equalAverage="0" operator="equal" aboveAverage="0" dxfId="13" text="" percent="0" bottom="0">
      <formula>"AŞIRI TUTAR"</formula>
    </cfRule>
  </conditionalFormatting>
  <dataValidations count="5">
    <dataValidation sqref="A6:A1035" showDropDown="0" showInputMessage="1" showErrorMessage="1" allowBlank="1" errorTitle="Geçersiz hafta" error="Hafta numarası 1 ile 13 arasında olmalıdır." promptTitle="Hafta Numarası" prompt="1-13 arası hafta numarası seçin." type="list" errorStyle="stop" operator="between">
      <formula1>"1,2,3,4,5,6,7,8,9,10,11,12,13"</formula1>
      <formula2>0</formula2>
    </dataValidation>
    <dataValidation sqref="C6:C1035" showDropDown="0" showInputMessage="1" showErrorMessage="1" allowBlank="1" errorTitle="Geçersiz güvence" error="Yalnızca KESİN, BEKLENEN veya BELİRSİZ değerleri kullanın." promptTitle="Güvence" prompt="Tahsilatın kesinliğini seçin: KESİN, BEKLENEN veya BELİRSİZ." type="list" errorStyle="stop" operator="between">
      <formula1>ListeGuvence</formula1>
      <formula2>0</formula2>
    </dataValidation>
    <dataValidation sqref="D6:D1035" showDropDown="0" showInputMessage="1" showErrorMessage="1" allowBlank="1" errorTitle="Geçersiz kaynak" error="Listedeki kaynaklardan birini seçin." promptTitle="Kaynak" prompt="Girişin kaynağını seçin." type="list" errorStyle="stop" operator="between">
      <formula1>ListeKaynak</formula1>
      <formula2>0</formula2>
    </dataValidation>
    <dataValidation sqref="E6:E1035" showDropDown="0" showInputMessage="1" showErrorMessage="1" allowBlank="1" errorTitle="Geçersiz tutar" error="Tutar 0'dan büyük olmalıdır. Gideri NAKIT_CIKISLARI sayfasına yazın." promptTitle="Tutar (₺)" prompt="Pozitif beklenen tahsilat tutarını girin." type="decimal" errorStyle="stop" operator="greaterThan">
      <formula1>0</formula1>
      <formula2>0</formula2>
    </dataValidation>
    <dataValidation sqref="B6:B1035" showDropDown="0" showInputMessage="1" showErrorMessage="1" allowBlank="1" errorTitle="Geçersiz tarih" error="Tarih gg.aa.yyyy biçiminde olmalıdır." promptTitle="Beklenen Tarih" prompt="Tahsilatın beklenen tarihini gg.aa.yyyy girin (opsiyonel)." type="date" errorStyle="stop" operator="between">
      <formula1>01.01.2020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83" min="1" max="1"/>
    <col width="14" customWidth="1" style="83" min="2" max="2"/>
    <col width="18" customWidth="1" style="83" min="3" max="3"/>
    <col width="14" customWidth="1" style="83" min="4" max="5"/>
    <col width="12" customWidth="1" style="83" min="6" max="6"/>
    <col width="14" customWidth="1" style="83" min="7" max="7"/>
    <col width="40" customWidth="1" style="83" min="8" max="8"/>
  </cols>
  <sheetData>
    <row r="1" ht="25.5" customHeight="1" s="57">
      <c r="A1" s="84" t="inlineStr">
        <is>
          <t>NAKIT CIKISLARI — 13 HAFTALIK NAKİT AKIŞI VE ÖDEME PLANLAMA SİSTEMİ</t>
        </is>
      </c>
    </row>
    <row r="3" ht="135.75" customHeight="1" s="57">
      <c r="A3" s="93" t="inlineStr">
        <is>
          <t>13 HAFTALIK NAKİT ÇIKIŞ PLANI — ödenmesi planlanan giderleri girin.</t>
        </is>
      </c>
    </row>
    <row r="5" ht="30" customHeight="1" s="57">
      <c r="A5" s="94" t="inlineStr">
        <is>
          <t>Hafta Numarası</t>
        </is>
      </c>
      <c r="B5" s="94" t="inlineStr">
        <is>
          <t>Vade Tarihi</t>
        </is>
      </c>
      <c r="C5" s="94" t="inlineStr">
        <is>
          <t>Kalem</t>
        </is>
      </c>
      <c r="D5" s="94" t="inlineStr">
        <is>
          <t>Öncelik</t>
        </is>
      </c>
      <c r="E5" s="94" t="inlineStr">
        <is>
          <t>Tutar (₺)</t>
        </is>
      </c>
      <c r="F5" s="94" t="inlineStr">
        <is>
          <t>Hesap</t>
        </is>
      </c>
      <c r="G5" s="94" t="inlineStr">
        <is>
          <t>Kontrol</t>
        </is>
      </c>
      <c r="H5" s="94" t="inlineStr">
        <is>
          <t>Açıklama</t>
        </is>
      </c>
    </row>
    <row r="6" ht="15" customHeight="1" s="57">
      <c r="A6" s="95" t="n">
        <v>1</v>
      </c>
      <c r="B6" s="96" t="n">
        <v>46244</v>
      </c>
      <c r="C6" s="98" t="inlineStr">
        <is>
          <t>MAAŞ</t>
        </is>
      </c>
      <c r="D6" s="97" t="inlineStr">
        <is>
          <t>KRİTİK</t>
        </is>
      </c>
      <c r="E6" s="99" t="n">
        <v>130000</v>
      </c>
      <c r="F6" s="100">
        <f>IF($A6="","",$E6)</f>
        <v/>
      </c>
      <c r="G6" s="101">
        <f>IF($A6="","",IF(OR($A6="",$E6=""),"EKSİK",IF($E6&lt;=0,"SIFIR/NEGATİF",IF($E6&gt;AsiriCikisTutari,"AŞIRI TUTAR","OK"))))</f>
        <v/>
      </c>
      <c r="H6" s="98" t="inlineStr">
        <is>
          <t>Örnek ödeme kaydı — MAAŞ</t>
        </is>
      </c>
    </row>
    <row r="7" ht="15" customHeight="1" s="57">
      <c r="A7" s="95" t="n">
        <v>1</v>
      </c>
      <c r="B7" s="96" t="n">
        <v>46244</v>
      </c>
      <c r="C7" s="98" t="inlineStr">
        <is>
          <t>KİRA</t>
        </is>
      </c>
      <c r="D7" s="97" t="inlineStr">
        <is>
          <t>YÜKSEK</t>
        </is>
      </c>
      <c r="E7" s="99" t="n">
        <v>45000</v>
      </c>
      <c r="F7" s="100">
        <f>IF($A7="","",$E7)</f>
        <v/>
      </c>
      <c r="G7" s="101">
        <f>IF($A7="","",IF(OR($A7="",$E7=""),"EKSİK",IF($E7&lt;=0,"SIFIR/NEGATİF",IF($E7&gt;AsiriCikisTutari,"AŞIRI TUTAR","OK"))))</f>
        <v/>
      </c>
      <c r="H7" s="98" t="inlineStr">
        <is>
          <t>Örnek ödeme kaydı — KİRA</t>
        </is>
      </c>
    </row>
    <row r="8" ht="15" customHeight="1" s="57">
      <c r="A8" s="95" t="n">
        <v>2</v>
      </c>
      <c r="B8" s="96" t="n">
        <v>46251</v>
      </c>
      <c r="C8" s="98" t="inlineStr">
        <is>
          <t>TEDARİKÇİ</t>
        </is>
      </c>
      <c r="D8" s="97" t="inlineStr">
        <is>
          <t>YÜKSEK</t>
        </is>
      </c>
      <c r="E8" s="99" t="n">
        <v>90000</v>
      </c>
      <c r="F8" s="100">
        <f>IF($A8="","",$E8)</f>
        <v/>
      </c>
      <c r="G8" s="101">
        <f>IF($A8="","",IF(OR($A8="",$E8=""),"EKSİK",IF($E8&lt;=0,"SIFIR/NEGATİF",IF($E8&gt;AsiriCikisTutari,"AŞIRI TUTAR","OK"))))</f>
        <v/>
      </c>
      <c r="H8" s="98" t="inlineStr">
        <is>
          <t>Örnek ödeme kaydı — TEDARİKÇİ</t>
        </is>
      </c>
    </row>
    <row r="9" ht="15" customHeight="1" s="57">
      <c r="A9" s="95" t="n">
        <v>3</v>
      </c>
      <c r="B9" s="96" t="n">
        <v>46258</v>
      </c>
      <c r="C9" s="98" t="inlineStr">
        <is>
          <t>VERGİ</t>
        </is>
      </c>
      <c r="D9" s="97" t="inlineStr">
        <is>
          <t>KRİTİK</t>
        </is>
      </c>
      <c r="E9" s="99" t="n">
        <v>180000</v>
      </c>
      <c r="F9" s="100">
        <f>IF($A9="","",$E9)</f>
        <v/>
      </c>
      <c r="G9" s="101">
        <f>IF($A9="","",IF(OR($A9="",$E9=""),"EKSİK",IF($E9&lt;=0,"SIFIR/NEGATİF",IF($E9&gt;AsiriCikisTutari,"AŞIRI TUTAR","OK"))))</f>
        <v/>
      </c>
      <c r="H9" s="98" t="inlineStr">
        <is>
          <t>Örnek ödeme kaydı — VERGİ</t>
        </is>
      </c>
    </row>
    <row r="10" ht="15" customHeight="1" s="57">
      <c r="A10" s="95" t="n">
        <v>3</v>
      </c>
      <c r="B10" s="96" t="n">
        <v>46258</v>
      </c>
      <c r="C10" s="98" t="inlineStr">
        <is>
          <t>SGK</t>
        </is>
      </c>
      <c r="D10" s="97" t="inlineStr">
        <is>
          <t>KRİTİK</t>
        </is>
      </c>
      <c r="E10" s="99" t="n">
        <v>75000</v>
      </c>
      <c r="F10" s="100">
        <f>IF($A10="","",$E10)</f>
        <v/>
      </c>
      <c r="G10" s="101">
        <f>IF($A10="","",IF(OR($A10="",$E10=""),"EKSİK",IF($E10&lt;=0,"SIFIR/NEGATİF",IF($E10&gt;AsiriCikisTutari,"AŞIRI TUTAR","OK"))))</f>
        <v/>
      </c>
      <c r="H10" s="98" t="inlineStr">
        <is>
          <t>Örnek ödeme kaydı — SGK</t>
        </is>
      </c>
    </row>
    <row r="11" ht="15" customHeight="1" s="57">
      <c r="A11" s="95" t="n">
        <v>4</v>
      </c>
      <c r="B11" s="96" t="n">
        <v>46265</v>
      </c>
      <c r="C11" s="98" t="inlineStr">
        <is>
          <t>MAAŞ</t>
        </is>
      </c>
      <c r="D11" s="97" t="inlineStr">
        <is>
          <t>KRİTİK</t>
        </is>
      </c>
      <c r="E11" s="99" t="n">
        <v>130000</v>
      </c>
      <c r="F11" s="100">
        <f>IF($A11="","",$E11)</f>
        <v/>
      </c>
      <c r="G11" s="101">
        <f>IF($A11="","",IF(OR($A11="",$E11=""),"EKSİK",IF($E11&lt;=0,"SIFIR/NEGATİF",IF($E11&gt;AsiriCikisTutari,"AŞIRI TUTAR","OK"))))</f>
        <v/>
      </c>
      <c r="H11" s="98" t="inlineStr">
        <is>
          <t>Örnek ödeme kaydı — MAAŞ</t>
        </is>
      </c>
    </row>
    <row r="12" ht="15" customHeight="1" s="57">
      <c r="A12" s="95" t="n">
        <v>5</v>
      </c>
      <c r="B12" s="96" t="n">
        <v>46272</v>
      </c>
      <c r="C12" s="98" t="inlineStr">
        <is>
          <t>TEDARİKÇİ</t>
        </is>
      </c>
      <c r="D12" s="97" t="inlineStr">
        <is>
          <t>YÜKSEK</t>
        </is>
      </c>
      <c r="E12" s="99" t="n">
        <v>85000</v>
      </c>
      <c r="F12" s="100">
        <f>IF($A12="","",$E12)</f>
        <v/>
      </c>
      <c r="G12" s="101">
        <f>IF($A12="","",IF(OR($A12="",$E12=""),"EKSİK",IF($E12&lt;=0,"SIFIR/NEGATİF",IF($E12&gt;AsiriCikisTutari,"AŞIRI TUTAR","OK"))))</f>
        <v/>
      </c>
      <c r="H12" s="98" t="inlineStr">
        <is>
          <t>Örnek ödeme kaydı — TEDARİKÇİ</t>
        </is>
      </c>
    </row>
    <row r="13" ht="15" customHeight="1" s="57">
      <c r="A13" s="95" t="n">
        <v>6</v>
      </c>
      <c r="B13" s="96" t="n">
        <v>46279</v>
      </c>
      <c r="C13" s="98" t="inlineStr">
        <is>
          <t>KREDİ TAKSİTİ</t>
        </is>
      </c>
      <c r="D13" s="97" t="inlineStr">
        <is>
          <t>KRİTİK</t>
        </is>
      </c>
      <c r="E13" s="99" t="n">
        <v>60000</v>
      </c>
      <c r="F13" s="100">
        <f>IF($A13="","",$E13)</f>
        <v/>
      </c>
      <c r="G13" s="101">
        <f>IF($A13="","",IF(OR($A13="",$E13=""),"EKSİK",IF($E13&lt;=0,"SIFIR/NEGATİF",IF($E13&gt;AsiriCikisTutari,"AŞIRI TUTAR","OK"))))</f>
        <v/>
      </c>
      <c r="H13" s="98" t="inlineStr">
        <is>
          <t>Örnek ödeme kaydı — KREDİ TAKSİTİ</t>
        </is>
      </c>
    </row>
    <row r="14" ht="15" customHeight="1" s="57">
      <c r="A14" s="95" t="n">
        <v>7</v>
      </c>
      <c r="B14" s="96" t="n">
        <v>46286</v>
      </c>
      <c r="C14" s="98" t="inlineStr">
        <is>
          <t>MAAŞ</t>
        </is>
      </c>
      <c r="D14" s="97" t="inlineStr">
        <is>
          <t>KRİTİK</t>
        </is>
      </c>
      <c r="E14" s="99" t="n">
        <v>130000</v>
      </c>
      <c r="F14" s="100">
        <f>IF($A14="","",$E14)</f>
        <v/>
      </c>
      <c r="G14" s="101">
        <f>IF($A14="","",IF(OR($A14="",$E14=""),"EKSİK",IF($E14&lt;=0,"SIFIR/NEGATİF",IF($E14&gt;AsiriCikisTutari,"AŞIRI TUTAR","OK"))))</f>
        <v/>
      </c>
      <c r="H14" s="98" t="inlineStr">
        <is>
          <t>Örnek ödeme kaydı — MAAŞ</t>
        </is>
      </c>
    </row>
    <row r="15" ht="15" customHeight="1" s="57">
      <c r="A15" s="95" t="n">
        <v>7</v>
      </c>
      <c r="B15" s="96" t="n">
        <v>46286</v>
      </c>
      <c r="C15" s="98" t="inlineStr">
        <is>
          <t>KİRA</t>
        </is>
      </c>
      <c r="D15" s="97" t="inlineStr">
        <is>
          <t>YÜKSEK</t>
        </is>
      </c>
      <c r="E15" s="99" t="n">
        <v>45000</v>
      </c>
      <c r="F15" s="100">
        <f>IF($A15="","",$E15)</f>
        <v/>
      </c>
      <c r="G15" s="101">
        <f>IF($A15="","",IF(OR($A15="",$E15=""),"EKSİK",IF($E15&lt;=0,"SIFIR/NEGATİF",IF($E15&gt;AsiriCikisTutari,"AŞIRI TUTAR","OK"))))</f>
        <v/>
      </c>
      <c r="H15" s="98" t="inlineStr">
        <is>
          <t>Örnek ödeme kaydı — KİRA</t>
        </is>
      </c>
    </row>
    <row r="16" ht="15" customHeight="1" s="57">
      <c r="A16" s="95" t="n">
        <v>8</v>
      </c>
      <c r="B16" s="96" t="n">
        <v>46293</v>
      </c>
      <c r="C16" s="98" t="inlineStr">
        <is>
          <t>TEDARİKÇİ</t>
        </is>
      </c>
      <c r="D16" s="97" t="inlineStr">
        <is>
          <t>YÜKSEK</t>
        </is>
      </c>
      <c r="E16" s="99" t="n">
        <v>95000</v>
      </c>
      <c r="F16" s="100">
        <f>IF($A16="","",$E16)</f>
        <v/>
      </c>
      <c r="G16" s="101">
        <f>IF($A16="","",IF(OR($A16="",$E16=""),"EKSİK",IF($E16&lt;=0,"SIFIR/NEGATİF",IF($E16&gt;AsiriCikisTutari,"AŞIRI TUTAR","OK"))))</f>
        <v/>
      </c>
      <c r="H16" s="98" t="inlineStr">
        <is>
          <t>Örnek ödeme kaydı — TEDARİKÇİ</t>
        </is>
      </c>
    </row>
    <row r="17" ht="15" customHeight="1" s="57">
      <c r="A17" s="95" t="n">
        <v>9</v>
      </c>
      <c r="B17" s="96" t="n">
        <v>46300</v>
      </c>
      <c r="C17" s="98" t="inlineStr">
        <is>
          <t>VERGİ</t>
        </is>
      </c>
      <c r="D17" s="97" t="inlineStr">
        <is>
          <t>KRİTİK</t>
        </is>
      </c>
      <c r="E17" s="99" t="n">
        <v>140000</v>
      </c>
      <c r="F17" s="100">
        <f>IF($A17="","",$E17)</f>
        <v/>
      </c>
      <c r="G17" s="101">
        <f>IF($A17="","",IF(OR($A17="",$E17=""),"EKSİK",IF($E17&lt;=0,"SIFIR/NEGATİF",IF($E17&gt;AsiriCikisTutari,"AŞIRI TUTAR","OK"))))</f>
        <v/>
      </c>
      <c r="H17" s="98" t="inlineStr">
        <is>
          <t>Örnek ödeme kaydı — VERGİ</t>
        </is>
      </c>
    </row>
    <row r="18" ht="15" customHeight="1" s="57">
      <c r="A18" s="95" t="n">
        <v>10</v>
      </c>
      <c r="B18" s="96" t="n">
        <v>46307</v>
      </c>
      <c r="C18" s="98" t="inlineStr">
        <is>
          <t>MAAŞ</t>
        </is>
      </c>
      <c r="D18" s="97" t="inlineStr">
        <is>
          <t>KRİTİK</t>
        </is>
      </c>
      <c r="E18" s="99" t="n">
        <v>130000</v>
      </c>
      <c r="F18" s="100">
        <f>IF($A18="","",$E18)</f>
        <v/>
      </c>
      <c r="G18" s="101">
        <f>IF($A18="","",IF(OR($A18="",$E18=""),"EKSİK",IF($E18&lt;=0,"SIFIR/NEGATİF",IF($E18&gt;AsiriCikisTutari,"AŞIRI TUTAR","OK"))))</f>
        <v/>
      </c>
      <c r="H18" s="98" t="inlineStr">
        <is>
          <t>Örnek ödeme kaydı — MAAŞ</t>
        </is>
      </c>
    </row>
    <row r="19" ht="15" customHeight="1" s="57">
      <c r="A19" s="95" t="n">
        <v>11</v>
      </c>
      <c r="B19" s="96" t="n">
        <v>46314</v>
      </c>
      <c r="C19" s="98" t="inlineStr">
        <is>
          <t>TEDARİKÇİ</t>
        </is>
      </c>
      <c r="D19" s="97" t="inlineStr">
        <is>
          <t>YÜKSEK</t>
        </is>
      </c>
      <c r="E19" s="99" t="n">
        <v>80000</v>
      </c>
      <c r="F19" s="100">
        <f>IF($A19="","",$E19)</f>
        <v/>
      </c>
      <c r="G19" s="101">
        <f>IF($A19="","",IF(OR($A19="",$E19=""),"EKSİK",IF($E19&lt;=0,"SIFIR/NEGATİF",IF($E19&gt;AsiriCikisTutari,"AŞIRI TUTAR","OK"))))</f>
        <v/>
      </c>
      <c r="H19" s="98" t="inlineStr">
        <is>
          <t>Örnek ödeme kaydı — TEDARİKÇİ</t>
        </is>
      </c>
    </row>
    <row r="20" ht="15" customHeight="1" s="57">
      <c r="A20" s="95" t="n">
        <v>12</v>
      </c>
      <c r="B20" s="96" t="n">
        <v>46321</v>
      </c>
      <c r="C20" s="98" t="inlineStr">
        <is>
          <t>SGK</t>
        </is>
      </c>
      <c r="D20" s="97" t="inlineStr">
        <is>
          <t>KRİTİK</t>
        </is>
      </c>
      <c r="E20" s="99" t="n">
        <v>75000</v>
      </c>
      <c r="F20" s="100">
        <f>IF($A20="","",$E20)</f>
        <v/>
      </c>
      <c r="G20" s="101">
        <f>IF($A20="","",IF(OR($A20="",$E20=""),"EKSİK",IF($E20&lt;=0,"SIFIR/NEGATİF",IF($E20&gt;AsiriCikisTutari,"AŞIRI TUTAR","OK"))))</f>
        <v/>
      </c>
      <c r="H20" s="98" t="inlineStr">
        <is>
          <t>Örnek ödeme kaydı — SGK</t>
        </is>
      </c>
    </row>
    <row r="21" ht="15" customHeight="1" s="57">
      <c r="A21" s="95" t="n">
        <v>12</v>
      </c>
      <c r="B21" s="96" t="n">
        <v>46321</v>
      </c>
      <c r="C21" s="98" t="inlineStr">
        <is>
          <t>KREDİ TAKSİTİ</t>
        </is>
      </c>
      <c r="D21" s="97" t="inlineStr">
        <is>
          <t>KRİTİK</t>
        </is>
      </c>
      <c r="E21" s="99" t="n">
        <v>60000</v>
      </c>
      <c r="F21" s="100">
        <f>IF($A21="","",$E21)</f>
        <v/>
      </c>
      <c r="G21" s="101">
        <f>IF($A21="","",IF(OR($A21="",$E21=""),"EKSİK",IF($E21&lt;=0,"SIFIR/NEGATİF",IF($E21&gt;AsiriCikisTutari,"AŞIRI TUTAR","OK"))))</f>
        <v/>
      </c>
      <c r="H21" s="98" t="inlineStr">
        <is>
          <t>Örnek ödeme kaydı — KREDİ TAKSİTİ</t>
        </is>
      </c>
    </row>
    <row r="22" ht="15" customHeight="1" s="57">
      <c r="A22" s="95" t="n">
        <v>13</v>
      </c>
      <c r="B22" s="96" t="n">
        <v>46328</v>
      </c>
      <c r="C22" s="98" t="inlineStr">
        <is>
          <t>MAAŞ</t>
        </is>
      </c>
      <c r="D22" s="97" t="inlineStr">
        <is>
          <t>KRİTİK</t>
        </is>
      </c>
      <c r="E22" s="99" t="n">
        <v>130000</v>
      </c>
      <c r="F22" s="100">
        <f>IF($A22="","",$E22)</f>
        <v/>
      </c>
      <c r="G22" s="101">
        <f>IF($A22="","",IF(OR($A22="",$E22=""),"EKSİK",IF($E22&lt;=0,"SIFIR/NEGATİF",IF($E22&gt;AsiriCikisTutari,"AŞIRI TUTAR","OK"))))</f>
        <v/>
      </c>
      <c r="H22" s="98" t="inlineStr">
        <is>
          <t>Örnek ödeme kaydı — MAAŞ</t>
        </is>
      </c>
    </row>
    <row r="23" ht="15" customHeight="1" s="57">
      <c r="A23" s="95" t="n">
        <v>13</v>
      </c>
      <c r="B23" s="96" t="n">
        <v>46328</v>
      </c>
      <c r="C23" s="98" t="inlineStr">
        <is>
          <t>KİRA</t>
        </is>
      </c>
      <c r="D23" s="97" t="inlineStr">
        <is>
          <t>YÜKSEK</t>
        </is>
      </c>
      <c r="E23" s="99" t="n">
        <v>45000</v>
      </c>
      <c r="F23" s="100">
        <f>IF($A23="","",$E23)</f>
        <v/>
      </c>
      <c r="G23" s="101">
        <f>IF($A23="","",IF(OR($A23="",$E23=""),"EKSİK",IF($E23&lt;=0,"SIFIR/NEGATİF",IF($E23&gt;AsiriCikisTutari,"AŞIRI TUTAR","OK"))))</f>
        <v/>
      </c>
      <c r="H23" s="98" t="inlineStr">
        <is>
          <t>Örnek ödeme kaydı — KİRA</t>
        </is>
      </c>
    </row>
    <row r="24" ht="15" customHeight="1" s="57">
      <c r="A24" s="102" t="n"/>
      <c r="B24" s="102" t="n"/>
      <c r="C24" s="102" t="n"/>
      <c r="D24" s="102" t="n"/>
      <c r="E24" s="102" t="n"/>
      <c r="F24" s="100">
        <f>IF($A24="","",$E24)</f>
        <v/>
      </c>
      <c r="G24" s="101">
        <f>IF($A24="","",IF(OR($A24="",$E24=""),"EKSİK",IF($E24&lt;=0,"SIFIR/NEGATİF",IF($E24&gt;AsiriCikisTutari,"AŞIRI TUTAR","OK"))))</f>
        <v/>
      </c>
      <c r="H24" s="102" t="n"/>
    </row>
    <row r="25" ht="15" customHeight="1" s="57">
      <c r="A25" s="102" t="n"/>
      <c r="B25" s="102" t="n"/>
      <c r="C25" s="102" t="n"/>
      <c r="D25" s="102" t="n"/>
      <c r="E25" s="102" t="n"/>
      <c r="F25" s="100">
        <f>IF($A25="","",$E25)</f>
        <v/>
      </c>
      <c r="G25" s="101">
        <f>IF($A25="","",IF(OR($A25="",$E25=""),"EKSİK",IF($E25&lt;=0,"SIFIR/NEGATİF",IF($E25&gt;AsiriCikisTutari,"AŞIRI TUTAR","OK"))))</f>
        <v/>
      </c>
      <c r="H25" s="102" t="n"/>
    </row>
    <row r="26" ht="15" customHeight="1" s="57">
      <c r="A26" s="102" t="n"/>
      <c r="B26" s="102" t="n"/>
      <c r="C26" s="102" t="n"/>
      <c r="D26" s="102" t="n"/>
      <c r="E26" s="102" t="n"/>
      <c r="F26" s="100">
        <f>IF($A26="","",$E26)</f>
        <v/>
      </c>
      <c r="G26" s="101">
        <f>IF($A26="","",IF(OR($A26="",$E26=""),"EKSİK",IF($E26&lt;=0,"SIFIR/NEGATİF",IF($E26&gt;AsiriCikisTutari,"AŞIRI TUTAR","OK"))))</f>
        <v/>
      </c>
      <c r="H26" s="102" t="n"/>
    </row>
    <row r="27" ht="15" customHeight="1" s="57">
      <c r="A27" s="102" t="n"/>
      <c r="B27" s="102" t="n"/>
      <c r="C27" s="102" t="n"/>
      <c r="D27" s="102" t="n"/>
      <c r="E27" s="102" t="n"/>
      <c r="F27" s="100">
        <f>IF($A27="","",$E27)</f>
        <v/>
      </c>
      <c r="G27" s="101">
        <f>IF($A27="","",IF(OR($A27="",$E27=""),"EKSİK",IF($E27&lt;=0,"SIFIR/NEGATİF",IF($E27&gt;AsiriCikisTutari,"AŞIRI TUTAR","OK"))))</f>
        <v/>
      </c>
      <c r="H27" s="102" t="n"/>
    </row>
    <row r="28" ht="15" customHeight="1" s="57">
      <c r="A28" s="102" t="n"/>
      <c r="B28" s="102" t="n"/>
      <c r="C28" s="102" t="n"/>
      <c r="D28" s="102" t="n"/>
      <c r="E28" s="102" t="n"/>
      <c r="F28" s="100">
        <f>IF($A28="","",$E28)</f>
        <v/>
      </c>
      <c r="G28" s="101">
        <f>IF($A28="","",IF(OR($A28="",$E28=""),"EKSİK",IF($E28&lt;=0,"SIFIR/NEGATİF",IF($E28&gt;AsiriCikisTutari,"AŞIRI TUTAR","OK"))))</f>
        <v/>
      </c>
      <c r="H28" s="102" t="n"/>
    </row>
    <row r="29" ht="15" customHeight="1" s="57">
      <c r="A29" s="102" t="n"/>
      <c r="B29" s="102" t="n"/>
      <c r="C29" s="102" t="n"/>
      <c r="D29" s="102" t="n"/>
      <c r="E29" s="102" t="n"/>
      <c r="F29" s="100">
        <f>IF($A29="","",$E29)</f>
        <v/>
      </c>
      <c r="G29" s="101">
        <f>IF($A29="","",IF(OR($A29="",$E29=""),"EKSİK",IF($E29&lt;=0,"SIFIR/NEGATİF",IF($E29&gt;AsiriCikisTutari,"AŞIRI TUTAR","OK"))))</f>
        <v/>
      </c>
      <c r="H29" s="102" t="n"/>
    </row>
    <row r="30" ht="15" customHeight="1" s="57">
      <c r="A30" s="102" t="n"/>
      <c r="B30" s="102" t="n"/>
      <c r="C30" s="102" t="n"/>
      <c r="D30" s="102" t="n"/>
      <c r="E30" s="102" t="n"/>
      <c r="F30" s="100">
        <f>IF($A30="","",$E30)</f>
        <v/>
      </c>
      <c r="G30" s="101">
        <f>IF($A30="","",IF(OR($A30="",$E30=""),"EKSİK",IF($E30&lt;=0,"SIFIR/NEGATİF",IF($E30&gt;AsiriCikisTutari,"AŞIRI TUTAR","OK"))))</f>
        <v/>
      </c>
      <c r="H30" s="102" t="n"/>
    </row>
    <row r="31" ht="15" customHeight="1" s="57">
      <c r="A31" s="102" t="n"/>
      <c r="B31" s="102" t="n"/>
      <c r="C31" s="102" t="n"/>
      <c r="D31" s="102" t="n"/>
      <c r="E31" s="102" t="n"/>
      <c r="F31" s="100">
        <f>IF($A31="","",$E31)</f>
        <v/>
      </c>
      <c r="G31" s="101">
        <f>IF($A31="","",IF(OR($A31="",$E31=""),"EKSİK",IF($E31&lt;=0,"SIFIR/NEGATİF",IF($E31&gt;AsiriCikisTutari,"AŞIRI TUTAR","OK"))))</f>
        <v/>
      </c>
      <c r="H31" s="102" t="n"/>
    </row>
    <row r="32" ht="15" customHeight="1" s="57">
      <c r="A32" s="102" t="n"/>
      <c r="B32" s="102" t="n"/>
      <c r="C32" s="102" t="n"/>
      <c r="D32" s="102" t="n"/>
      <c r="E32" s="102" t="n"/>
      <c r="F32" s="100">
        <f>IF($A32="","",$E32)</f>
        <v/>
      </c>
      <c r="G32" s="101">
        <f>IF($A32="","",IF(OR($A32="",$E32=""),"EKSİK",IF($E32&lt;=0,"SIFIR/NEGATİF",IF($E32&gt;AsiriCikisTutari,"AŞIRI TUTAR","OK"))))</f>
        <v/>
      </c>
      <c r="H32" s="102" t="n"/>
    </row>
    <row r="33" ht="15" customHeight="1" s="57">
      <c r="A33" s="102" t="n"/>
      <c r="B33" s="102" t="n"/>
      <c r="C33" s="102" t="n"/>
      <c r="D33" s="102" t="n"/>
      <c r="E33" s="102" t="n"/>
      <c r="F33" s="100">
        <f>IF($A33="","",$E33)</f>
        <v/>
      </c>
      <c r="G33" s="101">
        <f>IF($A33="","",IF(OR($A33="",$E33=""),"EKSİK",IF($E33&lt;=0,"SIFIR/NEGATİF",IF($E33&gt;AsiriCikisTutari,"AŞIRI TUTAR","OK"))))</f>
        <v/>
      </c>
      <c r="H33" s="102" t="n"/>
    </row>
    <row r="34" ht="15" customHeight="1" s="57">
      <c r="A34" s="102" t="n"/>
      <c r="B34" s="102" t="n"/>
      <c r="C34" s="102" t="n"/>
      <c r="D34" s="102" t="n"/>
      <c r="E34" s="102" t="n"/>
      <c r="F34" s="100">
        <f>IF($A34="","",$E34)</f>
        <v/>
      </c>
      <c r="G34" s="101">
        <f>IF($A34="","",IF(OR($A34="",$E34=""),"EKSİK",IF($E34&lt;=0,"SIFIR/NEGATİF",IF($E34&gt;AsiriCikisTutari,"AŞIRI TUTAR","OK"))))</f>
        <v/>
      </c>
      <c r="H34" s="102" t="n"/>
    </row>
    <row r="35" ht="15" customHeight="1" s="57">
      <c r="A35" s="102" t="n"/>
      <c r="B35" s="102" t="n"/>
      <c r="C35" s="102" t="n"/>
      <c r="D35" s="102" t="n"/>
      <c r="E35" s="102" t="n"/>
      <c r="F35" s="100">
        <f>IF($A35="","",$E35)</f>
        <v/>
      </c>
      <c r="G35" s="101">
        <f>IF($A35="","",IF(OR($A35="",$E35=""),"EKSİK",IF($E35&lt;=0,"SIFIR/NEGATİF",IF($E35&gt;AsiriCikisTutari,"AŞIRI TUTAR","OK"))))</f>
        <v/>
      </c>
      <c r="H35" s="10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D6:D5000">
    <cfRule type="cellIs" rank="0" priority="2" equalAverage="0" operator="equal" aboveAverage="0" dxfId="13" text="" percent="0" bottom="0">
      <formula>"KRİTİK"</formula>
    </cfRule>
    <cfRule type="cellIs" rank="0" priority="3" equalAverage="0" operator="equal" aboveAverage="0" dxfId="11" text="" percent="0" bottom="0">
      <formula>"YÜKSEK"</formula>
    </cfRule>
    <cfRule type="cellIs" rank="0" priority="4" equalAverage="0" operator="equal" aboveAverage="0" dxfId="10" text="" percent="0" bottom="0">
      <formula>"ORTA"</formula>
    </cfRule>
    <cfRule type="cellIs" rank="0" priority="5" equalAverage="0" operator="equal" aboveAverage="0" dxfId="14" text="" percent="0" bottom="0">
      <formula>"ERTELENEBİLİR"</formula>
    </cfRule>
  </conditionalFormatting>
  <conditionalFormatting sqref="E6:E5000">
    <cfRule type="cellIs" rank="0" priority="6" equalAverage="0" operator="lessThanOrEqual" aboveAverage="0" dxfId="13" text="" percent="0" bottom="0">
      <formula>0</formula>
    </cfRule>
  </conditionalFormatting>
  <conditionalFormatting sqref="G6:G5000">
    <cfRule type="cellIs" rank="0" priority="7" equalAverage="0" operator="equal" aboveAverage="0" dxfId="10" text="" percent="0" bottom="0">
      <formula>"OK"</formula>
    </cfRule>
    <cfRule type="cellIs" rank="0" priority="8" equalAverage="0" operator="equal" aboveAverage="0" dxfId="11" text="" percent="0" bottom="0">
      <formula>"EKSİK"</formula>
    </cfRule>
    <cfRule type="cellIs" rank="0" priority="9" equalAverage="0" operator="equal" aboveAverage="0" dxfId="12" text="" percent="0" bottom="0">
      <formula>"SIFIR/NEGATİF"</formula>
    </cfRule>
    <cfRule type="cellIs" rank="0" priority="10" equalAverage="0" operator="equal" aboveAverage="0" dxfId="13" text="" percent="0" bottom="0">
      <formula>"AŞIRI TUTAR"</formula>
    </cfRule>
  </conditionalFormatting>
  <dataValidations count="5">
    <dataValidation sqref="A6:A1035" showDropDown="0" showInputMessage="1" showErrorMessage="1" allowBlank="1" errorTitle="Geçersiz hafta" error="Hafta numarası 1 ile 13 arasında olmalıdır." promptTitle="Hafta Numarası" prompt="1-13 arası hafta numarası seçin." type="list" errorStyle="stop" operator="between">
      <formula1>"1,2,3,4,5,6,7,8,9,10,11,12,13"</formula1>
      <formula2>0</formula2>
    </dataValidation>
    <dataValidation sqref="C6:C1035" showDropDown="0" showInputMessage="1" showErrorMessage="1" allowBlank="1" errorTitle="Geçersiz kalem" error="Listedeki kalemlerden birini seçin." promptTitle="Kalem" prompt="Gider kalemini seçin." type="list" errorStyle="stop" operator="between">
      <formula1>ListeKalem</formula1>
      <formula2>0</formula2>
    </dataValidation>
    <dataValidation sqref="D6:D1035" showDropDown="0" showInputMessage="1" showErrorMessage="1" allowBlank="1" errorTitle="Geçersiz öncelik" error="Yalnızca KRİTİK, YÜKSEK, ORTA veya ERTELENEBİLİR değerlerini kullanın." promptTitle="Öncelik" prompt="Giderin önceliğini seçin." type="list" errorStyle="stop" operator="between">
      <formula1>ListeOncelik</formula1>
      <formula2>0</formula2>
    </dataValidation>
    <dataValidation sqref="E6:E1035" showDropDown="0" showInputMessage="1" showErrorMessage="1" allowBlank="1" errorTitle="Geçersiz tutar" error="Tutar 0'dan büyük olmalıdır. Geliri NAKIT_GIRISLERI sayfasına yazın." promptTitle="Tutar (₺)" prompt="Pozitif planlanan ödeme tutarını girin." type="decimal" errorStyle="stop" operator="greaterThan">
      <formula1>0</formula1>
      <formula2>0</formula2>
    </dataValidation>
    <dataValidation sqref="B6:B1035" showDropDown="0" showInputMessage="1" showErrorMessage="1" allowBlank="1" errorTitle="Geçersiz tarih" error="Tarih gg.aa.yyyy biçiminde olmalıdır." promptTitle="Vade Tarihi" prompt="Ödemenin vade tarihini gg.aa.yyyy girin (opsiyonel)." type="date" errorStyle="stop" operator="between">
      <formula1>01.01.2020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83" min="1" max="1"/>
    <col width="15" customWidth="1" style="83" min="2" max="5"/>
    <col width="13" customWidth="1" style="83" min="6" max="6"/>
    <col width="17" customWidth="1" style="83" min="7" max="8"/>
    <col width="15" customWidth="1" style="83" min="9" max="9"/>
    <col width="42" customWidth="1" style="83" min="10" max="10"/>
  </cols>
  <sheetData>
    <row r="1" ht="25.5" customHeight="1" s="57">
      <c r="A1" s="84" t="inlineStr">
        <is>
          <t>HAFTALIK PLAN — 13 HAFTALIK NAKİT AKIŞI VE ÖDEME PLANLAMA SİSTEMİ</t>
        </is>
      </c>
    </row>
    <row r="3" ht="135.75" customHeight="1" s="57">
      <c r="A3" s="93" t="inlineStr">
        <is>
          <t>HAFTA HAFTA NAKİT AKIŞI — giriş ve çıkış planlarından otomatik toplanır.</t>
        </is>
      </c>
      <c r="L3" s="103" t="inlineStr">
        <is>
          <t>Not: Dönem başı bakiye bir önceki haftanın dönem sonu bakiyesinden devralınır.</t>
        </is>
      </c>
    </row>
    <row r="5" ht="30" customHeight="1" s="57">
      <c r="A5" s="94" t="inlineStr">
        <is>
          <t>Hafta Numarası</t>
        </is>
      </c>
      <c r="B5" s="94" t="inlineStr">
        <is>
          <t>Dönem Başlangıcı</t>
        </is>
      </c>
      <c r="C5" s="94" t="inlineStr">
        <is>
          <t>Dönem Bitişi</t>
        </is>
      </c>
      <c r="D5" s="94" t="inlineStr">
        <is>
          <t>Toplam Giriş</t>
        </is>
      </c>
      <c r="E5" s="94" t="inlineStr">
        <is>
          <t>Toplam Çıkış</t>
        </is>
      </c>
      <c r="F5" s="94" t="inlineStr">
        <is>
          <t>Net Akış</t>
        </is>
      </c>
      <c r="G5" s="94" t="inlineStr">
        <is>
          <t>Dönem Başı Bakiye</t>
        </is>
      </c>
      <c r="H5" s="94" t="inlineStr">
        <is>
          <t>Dönem Sonu Bakiye</t>
        </is>
      </c>
      <c r="I5" s="94" t="inlineStr">
        <is>
          <t>Durum</t>
        </is>
      </c>
      <c r="J5" s="94" t="inlineStr">
        <is>
          <t>Önlem Önerisi</t>
        </is>
      </c>
    </row>
    <row r="6" ht="15" customHeight="1" s="57">
      <c r="A6" s="95" t="n">
        <v>1</v>
      </c>
      <c r="B6" s="104">
        <f>IF($A6="","",RaporTarihi+MIN(($A6-1)*HaftaUzunlugu,MaksTarihUfku))</f>
        <v/>
      </c>
      <c r="C6" s="104">
        <f>IF($A6="","",$B6+HaftaUzunlugu-1)</f>
        <v/>
      </c>
      <c r="D6" s="100">
        <f>IF($A6="","",SUMIFS(NAKIT_GIRISLERI!$E$6:$E$5000,NAKIT_GIRISLERI!$A$6:$A$5000,$A6))</f>
        <v/>
      </c>
      <c r="E6" s="100">
        <f>IF($A6="","",SUMIFS(NAKIT_CIKISLARI!$E$6:$E$5000,NAKIT_CIKISLARI!$A$6:$A$5000,$A6))</f>
        <v/>
      </c>
      <c r="F6" s="100">
        <f>IF($A6="","",$D6-$E6)</f>
        <v/>
      </c>
      <c r="G6" s="100">
        <f>IF($A6="","",IF($A6=1,BaslangicBakiye,N($H5)))</f>
        <v/>
      </c>
      <c r="H6" s="100">
        <f>IF($A6="","",$G6+$F6)</f>
        <v/>
      </c>
      <c r="I6" s="101">
        <f>IF($A6="","",IF($H6&lt;0,"PARA BİTİYOR",IF($H6&lt;AsgariTampon,"RİSK ALTINDA","YETERLİ")))</f>
        <v/>
      </c>
      <c r="J6" s="105">
        <f>IF($A6="","",IF($H6&lt;0,"Gider ertele / tahsilat hızlandır",IF($H6&lt;AsgariTampon,"Tampon altına dikkat: kritik ödemeleri ertele","Devam et")))</f>
        <v/>
      </c>
    </row>
    <row r="7" ht="15" customHeight="1" s="57">
      <c r="A7" s="95" t="n">
        <v>2</v>
      </c>
      <c r="B7" s="104">
        <f>IF($A7="","",RaporTarihi+MIN(($A7-1)*HaftaUzunlugu,MaksTarihUfku))</f>
        <v/>
      </c>
      <c r="C7" s="104">
        <f>IF($A7="","",$B7+HaftaUzunlugu-1)</f>
        <v/>
      </c>
      <c r="D7" s="100">
        <f>IF($A7="","",SUMIFS(NAKIT_GIRISLERI!$E$6:$E$5000,NAKIT_GIRISLERI!$A$6:$A$5000,$A7))</f>
        <v/>
      </c>
      <c r="E7" s="100">
        <f>IF($A7="","",SUMIFS(NAKIT_CIKISLARI!$E$6:$E$5000,NAKIT_CIKISLARI!$A$6:$A$5000,$A7))</f>
        <v/>
      </c>
      <c r="F7" s="100">
        <f>IF($A7="","",$D7-$E7)</f>
        <v/>
      </c>
      <c r="G7" s="100">
        <f>IF($A7="","",IF($A7=1,BaslangicBakiye,N($H6)))</f>
        <v/>
      </c>
      <c r="H7" s="100">
        <f>IF($A7="","",$G7+$F7)</f>
        <v/>
      </c>
      <c r="I7" s="101">
        <f>IF($A7="","",IF($H7&lt;0,"PARA BİTİYOR",IF($H7&lt;AsgariTampon,"RİSK ALTINDA","YETERLİ")))</f>
        <v/>
      </c>
      <c r="J7" s="105">
        <f>IF($A7="","",IF($H7&lt;0,"Gider ertele / tahsilat hızlandır",IF($H7&lt;AsgariTampon,"Tampon altına dikkat: kritik ödemeleri ertele","Devam et")))</f>
        <v/>
      </c>
    </row>
    <row r="8" ht="15" customHeight="1" s="57">
      <c r="A8" s="95" t="n">
        <v>3</v>
      </c>
      <c r="B8" s="104">
        <f>IF($A8="","",RaporTarihi+MIN(($A8-1)*HaftaUzunlugu,MaksTarihUfku))</f>
        <v/>
      </c>
      <c r="C8" s="104">
        <f>IF($A8="","",$B8+HaftaUzunlugu-1)</f>
        <v/>
      </c>
      <c r="D8" s="100">
        <f>IF($A8="","",SUMIFS(NAKIT_GIRISLERI!$E$6:$E$5000,NAKIT_GIRISLERI!$A$6:$A$5000,$A8))</f>
        <v/>
      </c>
      <c r="E8" s="100">
        <f>IF($A8="","",SUMIFS(NAKIT_CIKISLARI!$E$6:$E$5000,NAKIT_CIKISLARI!$A$6:$A$5000,$A8))</f>
        <v/>
      </c>
      <c r="F8" s="100">
        <f>IF($A8="","",$D8-$E8)</f>
        <v/>
      </c>
      <c r="G8" s="100">
        <f>IF($A8="","",IF($A8=1,BaslangicBakiye,N($H7)))</f>
        <v/>
      </c>
      <c r="H8" s="100">
        <f>IF($A8="","",$G8+$F8)</f>
        <v/>
      </c>
      <c r="I8" s="101">
        <f>IF($A8="","",IF($H8&lt;0,"PARA BİTİYOR",IF($H8&lt;AsgariTampon,"RİSK ALTINDA","YETERLİ")))</f>
        <v/>
      </c>
      <c r="J8" s="105">
        <f>IF($A8="","",IF($H8&lt;0,"Gider ertele / tahsilat hızlandır",IF($H8&lt;AsgariTampon,"Tampon altına dikkat: kritik ödemeleri ertele","Devam et")))</f>
        <v/>
      </c>
    </row>
    <row r="9" ht="15" customHeight="1" s="57">
      <c r="A9" s="95" t="n">
        <v>4</v>
      </c>
      <c r="B9" s="104">
        <f>IF($A9="","",RaporTarihi+MIN(($A9-1)*HaftaUzunlugu,MaksTarihUfku))</f>
        <v/>
      </c>
      <c r="C9" s="104">
        <f>IF($A9="","",$B9+HaftaUzunlugu-1)</f>
        <v/>
      </c>
      <c r="D9" s="100">
        <f>IF($A9="","",SUMIFS(NAKIT_GIRISLERI!$E$6:$E$5000,NAKIT_GIRISLERI!$A$6:$A$5000,$A9))</f>
        <v/>
      </c>
      <c r="E9" s="100">
        <f>IF($A9="","",SUMIFS(NAKIT_CIKISLARI!$E$6:$E$5000,NAKIT_CIKISLARI!$A$6:$A$5000,$A9))</f>
        <v/>
      </c>
      <c r="F9" s="100">
        <f>IF($A9="","",$D9-$E9)</f>
        <v/>
      </c>
      <c r="G9" s="100">
        <f>IF($A9="","",IF($A9=1,BaslangicBakiye,N($H8)))</f>
        <v/>
      </c>
      <c r="H9" s="100">
        <f>IF($A9="","",$G9+$F9)</f>
        <v/>
      </c>
      <c r="I9" s="101">
        <f>IF($A9="","",IF($H9&lt;0,"PARA BİTİYOR",IF($H9&lt;AsgariTampon,"RİSK ALTINDA","YETERLİ")))</f>
        <v/>
      </c>
      <c r="J9" s="105">
        <f>IF($A9="","",IF($H9&lt;0,"Gider ertele / tahsilat hızlandır",IF($H9&lt;AsgariTampon,"Tampon altına dikkat: kritik ödemeleri ertele","Devam et")))</f>
        <v/>
      </c>
    </row>
    <row r="10" ht="15" customHeight="1" s="57">
      <c r="A10" s="95" t="n">
        <v>5</v>
      </c>
      <c r="B10" s="104">
        <f>IF($A10="","",RaporTarihi+MIN(($A10-1)*HaftaUzunlugu,MaksTarihUfku))</f>
        <v/>
      </c>
      <c r="C10" s="104">
        <f>IF($A10="","",$B10+HaftaUzunlugu-1)</f>
        <v/>
      </c>
      <c r="D10" s="100">
        <f>IF($A10="","",SUMIFS(NAKIT_GIRISLERI!$E$6:$E$5000,NAKIT_GIRISLERI!$A$6:$A$5000,$A10))</f>
        <v/>
      </c>
      <c r="E10" s="100">
        <f>IF($A10="","",SUMIFS(NAKIT_CIKISLARI!$E$6:$E$5000,NAKIT_CIKISLARI!$A$6:$A$5000,$A10))</f>
        <v/>
      </c>
      <c r="F10" s="100">
        <f>IF($A10="","",$D10-$E10)</f>
        <v/>
      </c>
      <c r="G10" s="100">
        <f>IF($A10="","",IF($A10=1,BaslangicBakiye,N($H9)))</f>
        <v/>
      </c>
      <c r="H10" s="100">
        <f>IF($A10="","",$G10+$F10)</f>
        <v/>
      </c>
      <c r="I10" s="101">
        <f>IF($A10="","",IF($H10&lt;0,"PARA BİTİYOR",IF($H10&lt;AsgariTampon,"RİSK ALTINDA","YETERLİ")))</f>
        <v/>
      </c>
      <c r="J10" s="105">
        <f>IF($A10="","",IF($H10&lt;0,"Gider ertele / tahsilat hızlandır",IF($H10&lt;AsgariTampon,"Tampon altına dikkat: kritik ödemeleri ertele","Devam et")))</f>
        <v/>
      </c>
    </row>
    <row r="11" ht="15" customHeight="1" s="57">
      <c r="A11" s="95" t="n">
        <v>6</v>
      </c>
      <c r="B11" s="104">
        <f>IF($A11="","",RaporTarihi+MIN(($A11-1)*HaftaUzunlugu,MaksTarihUfku))</f>
        <v/>
      </c>
      <c r="C11" s="104">
        <f>IF($A11="","",$B11+HaftaUzunlugu-1)</f>
        <v/>
      </c>
      <c r="D11" s="100">
        <f>IF($A11="","",SUMIFS(NAKIT_GIRISLERI!$E$6:$E$5000,NAKIT_GIRISLERI!$A$6:$A$5000,$A11))</f>
        <v/>
      </c>
      <c r="E11" s="100">
        <f>IF($A11="","",SUMIFS(NAKIT_CIKISLARI!$E$6:$E$5000,NAKIT_CIKISLARI!$A$6:$A$5000,$A11))</f>
        <v/>
      </c>
      <c r="F11" s="100">
        <f>IF($A11="","",$D11-$E11)</f>
        <v/>
      </c>
      <c r="G11" s="100">
        <f>IF($A11="","",IF($A11=1,BaslangicBakiye,N($H10)))</f>
        <v/>
      </c>
      <c r="H11" s="100">
        <f>IF($A11="","",$G11+$F11)</f>
        <v/>
      </c>
      <c r="I11" s="101">
        <f>IF($A11="","",IF($H11&lt;0,"PARA BİTİYOR",IF($H11&lt;AsgariTampon,"RİSK ALTINDA","YETERLİ")))</f>
        <v/>
      </c>
      <c r="J11" s="105">
        <f>IF($A11="","",IF($H11&lt;0,"Gider ertele / tahsilat hızlandır",IF($H11&lt;AsgariTampon,"Tampon altına dikkat: kritik ödemeleri ertele","Devam et")))</f>
        <v/>
      </c>
    </row>
    <row r="12" ht="15" customHeight="1" s="57">
      <c r="A12" s="95" t="n">
        <v>7</v>
      </c>
      <c r="B12" s="104">
        <f>IF($A12="","",RaporTarihi+MIN(($A12-1)*HaftaUzunlugu,MaksTarihUfku))</f>
        <v/>
      </c>
      <c r="C12" s="104">
        <f>IF($A12="","",$B12+HaftaUzunlugu-1)</f>
        <v/>
      </c>
      <c r="D12" s="100">
        <f>IF($A12="","",SUMIFS(NAKIT_GIRISLERI!$E$6:$E$5000,NAKIT_GIRISLERI!$A$6:$A$5000,$A12))</f>
        <v/>
      </c>
      <c r="E12" s="100">
        <f>IF($A12="","",SUMIFS(NAKIT_CIKISLARI!$E$6:$E$5000,NAKIT_CIKISLARI!$A$6:$A$5000,$A12))</f>
        <v/>
      </c>
      <c r="F12" s="100">
        <f>IF($A12="","",$D12-$E12)</f>
        <v/>
      </c>
      <c r="G12" s="100">
        <f>IF($A12="","",IF($A12=1,BaslangicBakiye,N($H11)))</f>
        <v/>
      </c>
      <c r="H12" s="100">
        <f>IF($A12="","",$G12+$F12)</f>
        <v/>
      </c>
      <c r="I12" s="101">
        <f>IF($A12="","",IF($H12&lt;0,"PARA BİTİYOR",IF($H12&lt;AsgariTampon,"RİSK ALTINDA","YETERLİ")))</f>
        <v/>
      </c>
      <c r="J12" s="105">
        <f>IF($A12="","",IF($H12&lt;0,"Gider ertele / tahsilat hızlandır",IF($H12&lt;AsgariTampon,"Tampon altına dikkat: kritik ödemeleri ertele","Devam et")))</f>
        <v/>
      </c>
    </row>
    <row r="13" ht="15" customHeight="1" s="57">
      <c r="A13" s="95" t="n">
        <v>8</v>
      </c>
      <c r="B13" s="104">
        <f>IF($A13="","",RaporTarihi+MIN(($A13-1)*HaftaUzunlugu,MaksTarihUfku))</f>
        <v/>
      </c>
      <c r="C13" s="104">
        <f>IF($A13="","",$B13+HaftaUzunlugu-1)</f>
        <v/>
      </c>
      <c r="D13" s="100">
        <f>IF($A13="","",SUMIFS(NAKIT_GIRISLERI!$E$6:$E$5000,NAKIT_GIRISLERI!$A$6:$A$5000,$A13))</f>
        <v/>
      </c>
      <c r="E13" s="100">
        <f>IF($A13="","",SUMIFS(NAKIT_CIKISLARI!$E$6:$E$5000,NAKIT_CIKISLARI!$A$6:$A$5000,$A13))</f>
        <v/>
      </c>
      <c r="F13" s="100">
        <f>IF($A13="","",$D13-$E13)</f>
        <v/>
      </c>
      <c r="G13" s="100">
        <f>IF($A13="","",IF($A13=1,BaslangicBakiye,N($H12)))</f>
        <v/>
      </c>
      <c r="H13" s="100">
        <f>IF($A13="","",$G13+$F13)</f>
        <v/>
      </c>
      <c r="I13" s="101">
        <f>IF($A13="","",IF($H13&lt;0,"PARA BİTİYOR",IF($H13&lt;AsgariTampon,"RİSK ALTINDA","YETERLİ")))</f>
        <v/>
      </c>
      <c r="J13" s="105">
        <f>IF($A13="","",IF($H13&lt;0,"Gider ertele / tahsilat hızlandır",IF($H13&lt;AsgariTampon,"Tampon altına dikkat: kritik ödemeleri ertele","Devam et")))</f>
        <v/>
      </c>
    </row>
    <row r="14" ht="15" customHeight="1" s="57">
      <c r="A14" s="95" t="n">
        <v>9</v>
      </c>
      <c r="B14" s="104">
        <f>IF($A14="","",RaporTarihi+MIN(($A14-1)*HaftaUzunlugu,MaksTarihUfku))</f>
        <v/>
      </c>
      <c r="C14" s="104">
        <f>IF($A14="","",$B14+HaftaUzunlugu-1)</f>
        <v/>
      </c>
      <c r="D14" s="100">
        <f>IF($A14="","",SUMIFS(NAKIT_GIRISLERI!$E$6:$E$5000,NAKIT_GIRISLERI!$A$6:$A$5000,$A14))</f>
        <v/>
      </c>
      <c r="E14" s="100">
        <f>IF($A14="","",SUMIFS(NAKIT_CIKISLARI!$E$6:$E$5000,NAKIT_CIKISLARI!$A$6:$A$5000,$A14))</f>
        <v/>
      </c>
      <c r="F14" s="100">
        <f>IF($A14="","",$D14-$E14)</f>
        <v/>
      </c>
      <c r="G14" s="100">
        <f>IF($A14="","",IF($A14=1,BaslangicBakiye,N($H13)))</f>
        <v/>
      </c>
      <c r="H14" s="100">
        <f>IF($A14="","",$G14+$F14)</f>
        <v/>
      </c>
      <c r="I14" s="101">
        <f>IF($A14="","",IF($H14&lt;0,"PARA BİTİYOR",IF($H14&lt;AsgariTampon,"RİSK ALTINDA","YETERLİ")))</f>
        <v/>
      </c>
      <c r="J14" s="105">
        <f>IF($A14="","",IF($H14&lt;0,"Gider ertele / tahsilat hızlandır",IF($H14&lt;AsgariTampon,"Tampon altına dikkat: kritik ödemeleri ertele","Devam et")))</f>
        <v/>
      </c>
    </row>
    <row r="15" ht="15" customHeight="1" s="57">
      <c r="A15" s="95" t="n">
        <v>10</v>
      </c>
      <c r="B15" s="104">
        <f>IF($A15="","",RaporTarihi+MIN(($A15-1)*HaftaUzunlugu,MaksTarihUfku))</f>
        <v/>
      </c>
      <c r="C15" s="104">
        <f>IF($A15="","",$B15+HaftaUzunlugu-1)</f>
        <v/>
      </c>
      <c r="D15" s="100">
        <f>IF($A15="","",SUMIFS(NAKIT_GIRISLERI!$E$6:$E$5000,NAKIT_GIRISLERI!$A$6:$A$5000,$A15))</f>
        <v/>
      </c>
      <c r="E15" s="100">
        <f>IF($A15="","",SUMIFS(NAKIT_CIKISLARI!$E$6:$E$5000,NAKIT_CIKISLARI!$A$6:$A$5000,$A15))</f>
        <v/>
      </c>
      <c r="F15" s="100">
        <f>IF($A15="","",$D15-$E15)</f>
        <v/>
      </c>
      <c r="G15" s="100">
        <f>IF($A15="","",IF($A15=1,BaslangicBakiye,N($H14)))</f>
        <v/>
      </c>
      <c r="H15" s="100">
        <f>IF($A15="","",$G15+$F15)</f>
        <v/>
      </c>
      <c r="I15" s="101">
        <f>IF($A15="","",IF($H15&lt;0,"PARA BİTİYOR",IF($H15&lt;AsgariTampon,"RİSK ALTINDA","YETERLİ")))</f>
        <v/>
      </c>
      <c r="J15" s="105">
        <f>IF($A15="","",IF($H15&lt;0,"Gider ertele / tahsilat hızlandır",IF($H15&lt;AsgariTampon,"Tampon altına dikkat: kritik ödemeleri ertele","Devam et")))</f>
        <v/>
      </c>
    </row>
    <row r="16" ht="15" customHeight="1" s="57">
      <c r="A16" s="95" t="n">
        <v>11</v>
      </c>
      <c r="B16" s="104">
        <f>IF($A16="","",RaporTarihi+MIN(($A16-1)*HaftaUzunlugu,MaksTarihUfku))</f>
        <v/>
      </c>
      <c r="C16" s="104">
        <f>IF($A16="","",$B16+HaftaUzunlugu-1)</f>
        <v/>
      </c>
      <c r="D16" s="100">
        <f>IF($A16="","",SUMIFS(NAKIT_GIRISLERI!$E$6:$E$5000,NAKIT_GIRISLERI!$A$6:$A$5000,$A16))</f>
        <v/>
      </c>
      <c r="E16" s="100">
        <f>IF($A16="","",SUMIFS(NAKIT_CIKISLARI!$E$6:$E$5000,NAKIT_CIKISLARI!$A$6:$A$5000,$A16))</f>
        <v/>
      </c>
      <c r="F16" s="100">
        <f>IF($A16="","",$D16-$E16)</f>
        <v/>
      </c>
      <c r="G16" s="100">
        <f>IF($A16="","",IF($A16=1,BaslangicBakiye,N($H15)))</f>
        <v/>
      </c>
      <c r="H16" s="100">
        <f>IF($A16="","",$G16+$F16)</f>
        <v/>
      </c>
      <c r="I16" s="101">
        <f>IF($A16="","",IF($H16&lt;0,"PARA BİTİYOR",IF($H16&lt;AsgariTampon,"RİSK ALTINDA","YETERLİ")))</f>
        <v/>
      </c>
      <c r="J16" s="105">
        <f>IF($A16="","",IF($H16&lt;0,"Gider ertele / tahsilat hızlandır",IF($H16&lt;AsgariTampon,"Tampon altına dikkat: kritik ödemeleri ertele","Devam et")))</f>
        <v/>
      </c>
    </row>
    <row r="17" ht="15" customHeight="1" s="57">
      <c r="A17" s="95" t="n">
        <v>12</v>
      </c>
      <c r="B17" s="104">
        <f>IF($A17="","",RaporTarihi+MIN(($A17-1)*HaftaUzunlugu,MaksTarihUfku))</f>
        <v/>
      </c>
      <c r="C17" s="104">
        <f>IF($A17="","",$B17+HaftaUzunlugu-1)</f>
        <v/>
      </c>
      <c r="D17" s="100">
        <f>IF($A17="","",SUMIFS(NAKIT_GIRISLERI!$E$6:$E$5000,NAKIT_GIRISLERI!$A$6:$A$5000,$A17))</f>
        <v/>
      </c>
      <c r="E17" s="100">
        <f>IF($A17="","",SUMIFS(NAKIT_CIKISLARI!$E$6:$E$5000,NAKIT_CIKISLARI!$A$6:$A$5000,$A17))</f>
        <v/>
      </c>
      <c r="F17" s="100">
        <f>IF($A17="","",$D17-$E17)</f>
        <v/>
      </c>
      <c r="G17" s="100">
        <f>IF($A17="","",IF($A17=1,BaslangicBakiye,N($H16)))</f>
        <v/>
      </c>
      <c r="H17" s="100">
        <f>IF($A17="","",$G17+$F17)</f>
        <v/>
      </c>
      <c r="I17" s="101">
        <f>IF($A17="","",IF($H17&lt;0,"PARA BİTİYOR",IF($H17&lt;AsgariTampon,"RİSK ALTINDA","YETERLİ")))</f>
        <v/>
      </c>
      <c r="J17" s="105">
        <f>IF($A17="","",IF($H17&lt;0,"Gider ertele / tahsilat hızlandır",IF($H17&lt;AsgariTampon,"Tampon altına dikkat: kritik ödemeleri ertele","Devam et")))</f>
        <v/>
      </c>
    </row>
    <row r="18" ht="15" customHeight="1" s="57">
      <c r="A18" s="95" t="n">
        <v>13</v>
      </c>
      <c r="B18" s="104">
        <f>IF($A18="","",RaporTarihi+MIN(($A18-1)*HaftaUzunlugu,MaksTarihUfku))</f>
        <v/>
      </c>
      <c r="C18" s="104">
        <f>IF($A18="","",$B18+HaftaUzunlugu-1)</f>
        <v/>
      </c>
      <c r="D18" s="100">
        <f>IF($A18="","",SUMIFS(NAKIT_GIRISLERI!$E$6:$E$5000,NAKIT_GIRISLERI!$A$6:$A$5000,$A18))</f>
        <v/>
      </c>
      <c r="E18" s="100">
        <f>IF($A18="","",SUMIFS(NAKIT_CIKISLARI!$E$6:$E$5000,NAKIT_CIKISLARI!$A$6:$A$5000,$A18))</f>
        <v/>
      </c>
      <c r="F18" s="100">
        <f>IF($A18="","",$D18-$E18)</f>
        <v/>
      </c>
      <c r="G18" s="100">
        <f>IF($A18="","",IF($A18=1,BaslangicBakiye,N($H17)))</f>
        <v/>
      </c>
      <c r="H18" s="100">
        <f>IF($A18="","",$G18+$F18)</f>
        <v/>
      </c>
      <c r="I18" s="101">
        <f>IF($A18="","",IF($H18&lt;0,"PARA BİTİYOR",IF($H18&lt;AsgariTampon,"RİSK ALTINDA","YETERLİ")))</f>
        <v/>
      </c>
      <c r="J18" s="105">
        <f>IF($A18="","",IF($H18&lt;0,"Gider ertele / tahsilat hızlandır",IF($H18&lt;AsgariTampon,"Tampon altına dikkat: kritik ödemeleri ertele","Devam et")))</f>
        <v/>
      </c>
    </row>
    <row r="19" ht="15" customHeight="1" s="57">
      <c r="A19" s="97" t="n"/>
      <c r="B19" s="104">
        <f>IF($A19="","",RaporTarihi+MIN(($A19-1)*HaftaUzunlugu,MaksTarihUfku))</f>
        <v/>
      </c>
      <c r="C19" s="104">
        <f>IF($A19="","",$B19+HaftaUzunlugu-1)</f>
        <v/>
      </c>
      <c r="D19" s="100">
        <f>IF($A19="","",SUMIFS(NAKIT_GIRISLERI!$E$6:$E$5000,NAKIT_GIRISLERI!$A$6:$A$5000,$A19))</f>
        <v/>
      </c>
      <c r="E19" s="100">
        <f>IF($A19="","",SUMIFS(NAKIT_CIKISLARI!$E$6:$E$5000,NAKIT_CIKISLARI!$A$6:$A$5000,$A19))</f>
        <v/>
      </c>
      <c r="F19" s="100">
        <f>IF($A19="","",$D19-$E19)</f>
        <v/>
      </c>
      <c r="G19" s="100">
        <f>IF($A19="","",IF($A19=1,BaslangicBakiye,N($H18)))</f>
        <v/>
      </c>
      <c r="H19" s="100">
        <f>IF($A19="","",$G19+$F19)</f>
        <v/>
      </c>
      <c r="I19" s="101">
        <f>IF($A19="","",IF($H19&lt;0,"PARA BİTİYOR",IF($H19&lt;AsgariTampon,"RİSK ALTINDA","YETERLİ")))</f>
        <v/>
      </c>
      <c r="J19" s="105">
        <f>IF($A19="","",IF($H19&lt;0,"Gider ertele / tahsilat hızlandır",IF($H19&lt;AsgariTampon,"Tampon altına dikkat: kritik ödemeleri ertele","Devam et")))</f>
        <v/>
      </c>
    </row>
    <row r="20" ht="15" customHeight="1" s="57">
      <c r="A20" s="97" t="n"/>
      <c r="B20" s="104">
        <f>IF($A20="","",RaporTarihi+MIN(($A20-1)*HaftaUzunlugu,MaksTarihUfku))</f>
        <v/>
      </c>
      <c r="C20" s="104">
        <f>IF($A20="","",$B20+HaftaUzunlugu-1)</f>
        <v/>
      </c>
      <c r="D20" s="100">
        <f>IF($A20="","",SUMIFS(NAKIT_GIRISLERI!$E$6:$E$5000,NAKIT_GIRISLERI!$A$6:$A$5000,$A20))</f>
        <v/>
      </c>
      <c r="E20" s="100">
        <f>IF($A20="","",SUMIFS(NAKIT_CIKISLARI!$E$6:$E$5000,NAKIT_CIKISLARI!$A$6:$A$5000,$A20))</f>
        <v/>
      </c>
      <c r="F20" s="100">
        <f>IF($A20="","",$D20-$E20)</f>
        <v/>
      </c>
      <c r="G20" s="100">
        <f>IF($A20="","",IF($A20=1,BaslangicBakiye,N($H19)))</f>
        <v/>
      </c>
      <c r="H20" s="100">
        <f>IF($A20="","",$G20+$F20)</f>
        <v/>
      </c>
      <c r="I20" s="101">
        <f>IF($A20="","",IF($H20&lt;0,"PARA BİTİYOR",IF($H20&lt;AsgariTampon,"RİSK ALTINDA","YETERLİ")))</f>
        <v/>
      </c>
      <c r="J20" s="105">
        <f>IF($A20="","",IF($H20&lt;0,"Gider ertele / tahsilat hızlandır",IF($H20&lt;AsgariTampon,"Tampon altına dikkat: kritik ödemeleri ertele","Devam et")))</f>
        <v/>
      </c>
    </row>
    <row r="21" ht="15" customHeight="1" s="57">
      <c r="A21" s="97" t="n"/>
      <c r="B21" s="104">
        <f>IF($A21="","",RaporTarihi+MIN(($A21-1)*HaftaUzunlugu,MaksTarihUfku))</f>
        <v/>
      </c>
      <c r="C21" s="104">
        <f>IF($A21="","",$B21+HaftaUzunlugu-1)</f>
        <v/>
      </c>
      <c r="D21" s="100">
        <f>IF($A21="","",SUMIFS(NAKIT_GIRISLERI!$E$6:$E$5000,NAKIT_GIRISLERI!$A$6:$A$5000,$A21))</f>
        <v/>
      </c>
      <c r="E21" s="100">
        <f>IF($A21="","",SUMIFS(NAKIT_CIKISLARI!$E$6:$E$5000,NAKIT_CIKISLARI!$A$6:$A$5000,$A21))</f>
        <v/>
      </c>
      <c r="F21" s="100">
        <f>IF($A21="","",$D21-$E21)</f>
        <v/>
      </c>
      <c r="G21" s="100">
        <f>IF($A21="","",IF($A21=1,BaslangicBakiye,N($H20)))</f>
        <v/>
      </c>
      <c r="H21" s="100">
        <f>IF($A21="","",$G21+$F21)</f>
        <v/>
      </c>
      <c r="I21" s="101">
        <f>IF($A21="","",IF($H21&lt;0,"PARA BİTİYOR",IF($H21&lt;AsgariTampon,"RİSK ALTINDA","YETERLİ")))</f>
        <v/>
      </c>
      <c r="J21" s="105">
        <f>IF($A21="","",IF($H21&lt;0,"Gider ertele / tahsilat hızlandır",IF($H21&lt;AsgariTampon,"Tampon altına dikkat: kritik ödemeleri ertele","Devam et")))</f>
        <v/>
      </c>
      <c r="L21" s="106" t="inlineStr">
        <is>
          <t>Durum Dağılımı</t>
        </is>
      </c>
    </row>
    <row r="22" ht="15" customHeight="1" s="57">
      <c r="A22" s="97" t="n"/>
      <c r="B22" s="104">
        <f>IF($A22="","",RaporTarihi+MIN(($A22-1)*HaftaUzunlugu,MaksTarihUfku))</f>
        <v/>
      </c>
      <c r="C22" s="104">
        <f>IF($A22="","",$B22+HaftaUzunlugu-1)</f>
        <v/>
      </c>
      <c r="D22" s="100">
        <f>IF($A22="","",SUMIFS(NAKIT_GIRISLERI!$E$6:$E$5000,NAKIT_GIRISLERI!$A$6:$A$5000,$A22))</f>
        <v/>
      </c>
      <c r="E22" s="100">
        <f>IF($A22="","",SUMIFS(NAKIT_CIKISLARI!$E$6:$E$5000,NAKIT_CIKISLARI!$A$6:$A$5000,$A22))</f>
        <v/>
      </c>
      <c r="F22" s="100">
        <f>IF($A22="","",$D22-$E22)</f>
        <v/>
      </c>
      <c r="G22" s="100">
        <f>IF($A22="","",IF($A22=1,BaslangicBakiye,N($H21)))</f>
        <v/>
      </c>
      <c r="H22" s="100">
        <f>IF($A22="","",$G22+$F22)</f>
        <v/>
      </c>
      <c r="I22" s="101">
        <f>IF($A22="","",IF($H22&lt;0,"PARA BİTİYOR",IF($H22&lt;AsgariTampon,"RİSK ALTINDA","YETERLİ")))</f>
        <v/>
      </c>
      <c r="J22" s="105">
        <f>IF($A22="","",IF($H22&lt;0,"Gider ertele / tahsilat hızlandır",IF($H22&lt;AsgariTampon,"Tampon altına dikkat: kritik ödemeleri ertele","Devam et")))</f>
        <v/>
      </c>
      <c r="L22" s="92" t="inlineStr">
        <is>
          <t>YETERLİ</t>
        </is>
      </c>
      <c r="M22" s="107">
        <f>COUNTIFS(tblHaftaPlan[Durum],"YETERLİ")</f>
        <v/>
      </c>
    </row>
    <row r="23" ht="15" customHeight="1" s="57">
      <c r="A23" s="97" t="n"/>
      <c r="B23" s="104">
        <f>IF($A23="","",RaporTarihi+MIN(($A23-1)*HaftaUzunlugu,MaksTarihUfku))</f>
        <v/>
      </c>
      <c r="C23" s="104">
        <f>IF($A23="","",$B23+HaftaUzunlugu-1)</f>
        <v/>
      </c>
      <c r="D23" s="100">
        <f>IF($A23="","",SUMIFS(NAKIT_GIRISLERI!$E$6:$E$5000,NAKIT_GIRISLERI!$A$6:$A$5000,$A23))</f>
        <v/>
      </c>
      <c r="E23" s="100">
        <f>IF($A23="","",SUMIFS(NAKIT_CIKISLARI!$E$6:$E$5000,NAKIT_CIKISLARI!$A$6:$A$5000,$A23))</f>
        <v/>
      </c>
      <c r="F23" s="100">
        <f>IF($A23="","",$D23-$E23)</f>
        <v/>
      </c>
      <c r="G23" s="100">
        <f>IF($A23="","",IF($A23=1,BaslangicBakiye,N($H22)))</f>
        <v/>
      </c>
      <c r="H23" s="100">
        <f>IF($A23="","",$G23+$F23)</f>
        <v/>
      </c>
      <c r="I23" s="101">
        <f>IF($A23="","",IF($H23&lt;0,"PARA BİTİYOR",IF($H23&lt;AsgariTampon,"RİSK ALTINDA","YETERLİ")))</f>
        <v/>
      </c>
      <c r="J23" s="105">
        <f>IF($A23="","",IF($H23&lt;0,"Gider ertele / tahsilat hızlandır",IF($H23&lt;AsgariTampon,"Tampon altına dikkat: kritik ödemeleri ertele","Devam et")))</f>
        <v/>
      </c>
      <c r="L23" s="92" t="inlineStr">
        <is>
          <t>RİSK ALTINDA</t>
        </is>
      </c>
      <c r="M23" s="107">
        <f>COUNTIFS(tblHaftaPlan[Durum],"RİSK ALTINDA")</f>
        <v/>
      </c>
    </row>
    <row r="24" ht="15" customHeight="1" s="57">
      <c r="A24" s="97" t="n"/>
      <c r="B24" s="104">
        <f>IF($A24="","",RaporTarihi+MIN(($A24-1)*HaftaUzunlugu,MaksTarihUfku))</f>
        <v/>
      </c>
      <c r="C24" s="104">
        <f>IF($A24="","",$B24+HaftaUzunlugu-1)</f>
        <v/>
      </c>
      <c r="D24" s="100">
        <f>IF($A24="","",SUMIFS(NAKIT_GIRISLERI!$E$6:$E$5000,NAKIT_GIRISLERI!$A$6:$A$5000,$A24))</f>
        <v/>
      </c>
      <c r="E24" s="100">
        <f>IF($A24="","",SUMIFS(NAKIT_CIKISLARI!$E$6:$E$5000,NAKIT_CIKISLARI!$A$6:$A$5000,$A24))</f>
        <v/>
      </c>
      <c r="F24" s="100">
        <f>IF($A24="","",$D24-$E24)</f>
        <v/>
      </c>
      <c r="G24" s="100">
        <f>IF($A24="","",IF($A24=1,BaslangicBakiye,N($H23)))</f>
        <v/>
      </c>
      <c r="H24" s="100">
        <f>IF($A24="","",$G24+$F24)</f>
        <v/>
      </c>
      <c r="I24" s="101">
        <f>IF($A24="","",IF($H24&lt;0,"PARA BİTİYOR",IF($H24&lt;AsgariTampon,"RİSK ALTINDA","YETERLİ")))</f>
        <v/>
      </c>
      <c r="J24" s="105">
        <f>IF($A24="","",IF($H24&lt;0,"Gider ertele / tahsilat hızlandır",IF($H24&lt;AsgariTampon,"Tampon altına dikkat: kritik ödemeleri ertele","Devam et")))</f>
        <v/>
      </c>
      <c r="L24" s="92" t="inlineStr">
        <is>
          <t>PARA BİTİYOR</t>
        </is>
      </c>
      <c r="M24" s="107">
        <f>COUNTIFS(tblHaftaPlan[Durum],"PARA BİTİYOR")</f>
        <v/>
      </c>
    </row>
    <row r="25" ht="15" customHeight="1" s="57">
      <c r="A25" s="97" t="n"/>
      <c r="B25" s="104">
        <f>IF($A25="","",RaporTarihi+MIN(($A25-1)*HaftaUzunlugu,MaksTarihUfku))</f>
        <v/>
      </c>
      <c r="C25" s="104">
        <f>IF($A25="","",$B25+HaftaUzunlugu-1)</f>
        <v/>
      </c>
      <c r="D25" s="100">
        <f>IF($A25="","",SUMIFS(NAKIT_GIRISLERI!$E$6:$E$5000,NAKIT_GIRISLERI!$A$6:$A$5000,$A25))</f>
        <v/>
      </c>
      <c r="E25" s="100">
        <f>IF($A25="","",SUMIFS(NAKIT_CIKISLARI!$E$6:$E$5000,NAKIT_CIKISLARI!$A$6:$A$5000,$A25))</f>
        <v/>
      </c>
      <c r="F25" s="100">
        <f>IF($A25="","",$D25-$E25)</f>
        <v/>
      </c>
      <c r="G25" s="100">
        <f>IF($A25="","",IF($A25=1,BaslangicBakiye,N($H24)))</f>
        <v/>
      </c>
      <c r="H25" s="100">
        <f>IF($A25="","",$G25+$F25)</f>
        <v/>
      </c>
      <c r="I25" s="101">
        <f>IF($A25="","",IF($H25&lt;0,"PARA BİTİYOR",IF($H25&lt;AsgariTampon,"RİSK ALTINDA","YETERLİ")))</f>
        <v/>
      </c>
      <c r="J25" s="105">
        <f>IF($A25="","",IF($H25&lt;0,"Gider ertele / tahsilat hızlandır",IF($H25&lt;AsgariTampon,"Tampon altına dikkat: kritik ödemeleri ertele","Devam et")))</f>
        <v/>
      </c>
    </row>
    <row r="26" ht="15" customHeight="1" s="57">
      <c r="A26" s="97" t="n"/>
      <c r="B26" s="104">
        <f>IF($A26="","",RaporTarihi+MIN(($A26-1)*HaftaUzunlugu,MaksTarihUfku))</f>
        <v/>
      </c>
      <c r="C26" s="104">
        <f>IF($A26="","",$B26+HaftaUzunlugu-1)</f>
        <v/>
      </c>
      <c r="D26" s="100">
        <f>IF($A26="","",SUMIFS(NAKIT_GIRISLERI!$E$6:$E$5000,NAKIT_GIRISLERI!$A$6:$A$5000,$A26))</f>
        <v/>
      </c>
      <c r="E26" s="100">
        <f>IF($A26="","",SUMIFS(NAKIT_CIKISLARI!$E$6:$E$5000,NAKIT_CIKISLARI!$A$6:$A$5000,$A26))</f>
        <v/>
      </c>
      <c r="F26" s="100">
        <f>IF($A26="","",$D26-$E26)</f>
        <v/>
      </c>
      <c r="G26" s="100">
        <f>IF($A26="","",IF($A26=1,BaslangicBakiye,N($H25)))</f>
        <v/>
      </c>
      <c r="H26" s="100">
        <f>IF($A26="","",$G26+$F26)</f>
        <v/>
      </c>
      <c r="I26" s="101">
        <f>IF($A26="","",IF($H26&lt;0,"PARA BİTİYOR",IF($H26&lt;AsgariTampon,"RİSK ALTINDA","YETERLİ")))</f>
        <v/>
      </c>
      <c r="J26" s="105">
        <f>IF($A26="","",IF($H26&lt;0,"Gider ertele / tahsilat hızlandır",IF($H26&lt;AsgariTampon,"Tampon altına dikkat: kritik ödemeleri ertele","Devam et")))</f>
        <v/>
      </c>
    </row>
    <row r="27" ht="15" customHeight="1" s="57">
      <c r="A27" s="97" t="n"/>
      <c r="B27" s="104">
        <f>IF($A27="","",RaporTarihi+MIN(($A27-1)*HaftaUzunlugu,MaksTarihUfku))</f>
        <v/>
      </c>
      <c r="C27" s="104">
        <f>IF($A27="","",$B27+HaftaUzunlugu-1)</f>
        <v/>
      </c>
      <c r="D27" s="100">
        <f>IF($A27="","",SUMIFS(NAKIT_GIRISLERI!$E$6:$E$5000,NAKIT_GIRISLERI!$A$6:$A$5000,$A27))</f>
        <v/>
      </c>
      <c r="E27" s="100">
        <f>IF($A27="","",SUMIFS(NAKIT_CIKISLARI!$E$6:$E$5000,NAKIT_CIKISLARI!$A$6:$A$5000,$A27))</f>
        <v/>
      </c>
      <c r="F27" s="100">
        <f>IF($A27="","",$D27-$E27)</f>
        <v/>
      </c>
      <c r="G27" s="100">
        <f>IF($A27="","",IF($A27=1,BaslangicBakiye,N($H26)))</f>
        <v/>
      </c>
      <c r="H27" s="100">
        <f>IF($A27="","",$G27+$F27)</f>
        <v/>
      </c>
      <c r="I27" s="101">
        <f>IF($A27="","",IF($H27&lt;0,"PARA BİTİYOR",IF($H27&lt;AsgariTampon,"RİSK ALTINDA","YETERLİ")))</f>
        <v/>
      </c>
      <c r="J27" s="105">
        <f>IF($A27="","",IF($H27&lt;0,"Gider ertele / tahsilat hızlandır",IF($H27&lt;AsgariTampon,"Tampon altına dikkat: kritik ödemeleri ertele","Devam et")))</f>
        <v/>
      </c>
    </row>
    <row r="28" ht="15" customHeight="1" s="57">
      <c r="A28" s="97" t="n"/>
      <c r="B28" s="104">
        <f>IF($A28="","",RaporTarihi+MIN(($A28-1)*HaftaUzunlugu,MaksTarihUfku))</f>
        <v/>
      </c>
      <c r="C28" s="104">
        <f>IF($A28="","",$B28+HaftaUzunlugu-1)</f>
        <v/>
      </c>
      <c r="D28" s="100">
        <f>IF($A28="","",SUMIFS(NAKIT_GIRISLERI!$E$6:$E$5000,NAKIT_GIRISLERI!$A$6:$A$5000,$A28))</f>
        <v/>
      </c>
      <c r="E28" s="100">
        <f>IF($A28="","",SUMIFS(NAKIT_CIKISLARI!$E$6:$E$5000,NAKIT_CIKISLARI!$A$6:$A$5000,$A28))</f>
        <v/>
      </c>
      <c r="F28" s="100">
        <f>IF($A28="","",$D28-$E28)</f>
        <v/>
      </c>
      <c r="G28" s="100">
        <f>IF($A28="","",IF($A28=1,BaslangicBakiye,N($H27)))</f>
        <v/>
      </c>
      <c r="H28" s="100">
        <f>IF($A28="","",$G28+$F28)</f>
        <v/>
      </c>
      <c r="I28" s="101">
        <f>IF($A28="","",IF($H28&lt;0,"PARA BİTİYOR",IF($H28&lt;AsgariTampon,"RİSK ALTINDA","YETERLİ")))</f>
        <v/>
      </c>
      <c r="J28" s="105">
        <f>IF($A28="","",IF($H28&lt;0,"Gider ertele / tahsilat hızlandır",IF($H28&lt;AsgariTampon,"Tampon altına dikkat: kritik ödemeleri ertele","Devam et")))</f>
        <v/>
      </c>
    </row>
    <row r="29" ht="15" customHeight="1" s="57">
      <c r="A29" s="97" t="n"/>
      <c r="B29" s="104">
        <f>IF($A29="","",RaporTarihi+MIN(($A29-1)*HaftaUzunlugu,MaksTarihUfku))</f>
        <v/>
      </c>
      <c r="C29" s="104">
        <f>IF($A29="","",$B29+HaftaUzunlugu-1)</f>
        <v/>
      </c>
      <c r="D29" s="100">
        <f>IF($A29="","",SUMIFS(NAKIT_GIRISLERI!$E$6:$E$5000,NAKIT_GIRISLERI!$A$6:$A$5000,$A29))</f>
        <v/>
      </c>
      <c r="E29" s="100">
        <f>IF($A29="","",SUMIFS(NAKIT_CIKISLARI!$E$6:$E$5000,NAKIT_CIKISLARI!$A$6:$A$5000,$A29))</f>
        <v/>
      </c>
      <c r="F29" s="100">
        <f>IF($A29="","",$D29-$E29)</f>
        <v/>
      </c>
      <c r="G29" s="100">
        <f>IF($A29="","",IF($A29=1,BaslangicBakiye,N($H28)))</f>
        <v/>
      </c>
      <c r="H29" s="100">
        <f>IF($A29="","",$G29+$F29)</f>
        <v/>
      </c>
      <c r="I29" s="101">
        <f>IF($A29="","",IF($H29&lt;0,"PARA BİTİYOR",IF($H29&lt;AsgariTampon,"RİSK ALTINDA","YETERLİ")))</f>
        <v/>
      </c>
      <c r="J29" s="105">
        <f>IF($A29="","",IF($H29&lt;0,"Gider ertele / tahsilat hızlandır",IF($H29&lt;AsgariTampon,"Tampon altına dikkat: kritik ödemeleri ertele","Devam et")))</f>
        <v/>
      </c>
    </row>
    <row r="30" ht="15" customHeight="1" s="57">
      <c r="A30" s="97" t="n"/>
      <c r="B30" s="104">
        <f>IF($A30="","",RaporTarihi+MIN(($A30-1)*HaftaUzunlugu,MaksTarihUfku))</f>
        <v/>
      </c>
      <c r="C30" s="104">
        <f>IF($A30="","",$B30+HaftaUzunlugu-1)</f>
        <v/>
      </c>
      <c r="D30" s="100">
        <f>IF($A30="","",SUMIFS(NAKIT_GIRISLERI!$E$6:$E$5000,NAKIT_GIRISLERI!$A$6:$A$5000,$A30))</f>
        <v/>
      </c>
      <c r="E30" s="100">
        <f>IF($A30="","",SUMIFS(NAKIT_CIKISLARI!$E$6:$E$5000,NAKIT_CIKISLARI!$A$6:$A$5000,$A30))</f>
        <v/>
      </c>
      <c r="F30" s="100">
        <f>IF($A30="","",$D30-$E30)</f>
        <v/>
      </c>
      <c r="G30" s="100">
        <f>IF($A30="","",IF($A30=1,BaslangicBakiye,N($H29)))</f>
        <v/>
      </c>
      <c r="H30" s="100">
        <f>IF($A30="","",$G30+$F30)</f>
        <v/>
      </c>
      <c r="I30" s="101">
        <f>IF($A30="","",IF($H30&lt;0,"PARA BİTİYOR",IF($H30&lt;AsgariTampon,"RİSK ALTINDA","YETERLİ")))</f>
        <v/>
      </c>
      <c r="J30" s="105">
        <f>IF($A30="","",IF($H30&lt;0,"Gider ertele / tahsilat hızlandır",IF($H30&lt;AsgariTampon,"Tampon altına dikkat: kritik ödemeleri ertele","Devam et")))</f>
        <v/>
      </c>
    </row>
    <row r="31" ht="15" customHeight="1" s="57">
      <c r="A31" s="97" t="n"/>
      <c r="B31" s="104">
        <f>IF($A31="","",RaporTarihi+MIN(($A31-1)*HaftaUzunlugu,MaksTarihUfku))</f>
        <v/>
      </c>
      <c r="C31" s="104">
        <f>IF($A31="","",$B31+HaftaUzunlugu-1)</f>
        <v/>
      </c>
      <c r="D31" s="100">
        <f>IF($A31="","",SUMIFS(NAKIT_GIRISLERI!$E$6:$E$5000,NAKIT_GIRISLERI!$A$6:$A$5000,$A31))</f>
        <v/>
      </c>
      <c r="E31" s="100">
        <f>IF($A31="","",SUMIFS(NAKIT_CIKISLARI!$E$6:$E$5000,NAKIT_CIKISLARI!$A$6:$A$5000,$A31))</f>
        <v/>
      </c>
      <c r="F31" s="100">
        <f>IF($A31="","",$D31-$E31)</f>
        <v/>
      </c>
      <c r="G31" s="100">
        <f>IF($A31="","",IF($A31=1,BaslangicBakiye,N($H30)))</f>
        <v/>
      </c>
      <c r="H31" s="100">
        <f>IF($A31="","",$G31+$F31)</f>
        <v/>
      </c>
      <c r="I31" s="101">
        <f>IF($A31="","",IF($H31&lt;0,"PARA BİTİYOR",IF($H31&lt;AsgariTampon,"RİSK ALTINDA","YETERLİ")))</f>
        <v/>
      </c>
      <c r="J31" s="105">
        <f>IF($A31="","",IF($H31&lt;0,"Gider ertele / tahsilat hızlandır",IF($H31&lt;AsgariTampon,"Tampon altına dikkat: kritik ödemeleri ertele","Devam et")))</f>
        <v/>
      </c>
    </row>
    <row r="32" ht="15" customHeight="1" s="57">
      <c r="A32" s="97" t="n"/>
      <c r="B32" s="104">
        <f>IF($A32="","",RaporTarihi+MIN(($A32-1)*HaftaUzunlugu,MaksTarihUfku))</f>
        <v/>
      </c>
      <c r="C32" s="104">
        <f>IF($A32="","",$B32+HaftaUzunlugu-1)</f>
        <v/>
      </c>
      <c r="D32" s="100">
        <f>IF($A32="","",SUMIFS(NAKIT_GIRISLERI!$E$6:$E$5000,NAKIT_GIRISLERI!$A$6:$A$5000,$A32))</f>
        <v/>
      </c>
      <c r="E32" s="100">
        <f>IF($A32="","",SUMIFS(NAKIT_CIKISLARI!$E$6:$E$5000,NAKIT_CIKISLARI!$A$6:$A$5000,$A32))</f>
        <v/>
      </c>
      <c r="F32" s="100">
        <f>IF($A32="","",$D32-$E32)</f>
        <v/>
      </c>
      <c r="G32" s="100">
        <f>IF($A32="","",IF($A32=1,BaslangicBakiye,N($H31)))</f>
        <v/>
      </c>
      <c r="H32" s="100">
        <f>IF($A32="","",$G32+$F32)</f>
        <v/>
      </c>
      <c r="I32" s="101">
        <f>IF($A32="","",IF($H32&lt;0,"PARA BİTİYOR",IF($H32&lt;AsgariTampon,"RİSK ALTINDA","YETERLİ")))</f>
        <v/>
      </c>
      <c r="J32" s="105">
        <f>IF($A32="","",IF($H32&lt;0,"Gider ertele / tahsilat hızlandır",IF($H32&lt;AsgariTampon,"Tampon altına dikkat: kritik ödemeleri ertele","Devam et")))</f>
        <v/>
      </c>
    </row>
    <row r="33" ht="15" customHeight="1" s="57">
      <c r="A33" s="97" t="n"/>
      <c r="B33" s="104">
        <f>IF($A33="","",RaporTarihi+MIN(($A33-1)*HaftaUzunlugu,MaksTarihUfku))</f>
        <v/>
      </c>
      <c r="C33" s="104">
        <f>IF($A33="","",$B33+HaftaUzunlugu-1)</f>
        <v/>
      </c>
      <c r="D33" s="100">
        <f>IF($A33="","",SUMIFS(NAKIT_GIRISLERI!$E$6:$E$5000,NAKIT_GIRISLERI!$A$6:$A$5000,$A33))</f>
        <v/>
      </c>
      <c r="E33" s="100">
        <f>IF($A33="","",SUMIFS(NAKIT_CIKISLARI!$E$6:$E$5000,NAKIT_CIKISLARI!$A$6:$A$5000,$A33))</f>
        <v/>
      </c>
      <c r="F33" s="100">
        <f>IF($A33="","",$D33-$E33)</f>
        <v/>
      </c>
      <c r="G33" s="100">
        <f>IF($A33="","",IF($A33=1,BaslangicBakiye,N($H32)))</f>
        <v/>
      </c>
      <c r="H33" s="100">
        <f>IF($A33="","",$G33+$F33)</f>
        <v/>
      </c>
      <c r="I33" s="101">
        <f>IF($A33="","",IF($H33&lt;0,"PARA BİTİYOR",IF($H33&lt;AsgariTampon,"RİSK ALTINDA","YETERLİ")))</f>
        <v/>
      </c>
      <c r="J33" s="105">
        <f>IF($A33="","",IF($H33&lt;0,"Gider ertele / tahsilat hızlandır",IF($H33&lt;AsgariTampon,"Tampon altına dikkat: kritik ödemeleri ertele","Devam et")))</f>
        <v/>
      </c>
    </row>
    <row r="34" ht="15" customHeight="1" s="57">
      <c r="A34" s="97" t="n"/>
      <c r="B34" s="104">
        <f>IF($A34="","",RaporTarihi+MIN(($A34-1)*HaftaUzunlugu,MaksTarihUfku))</f>
        <v/>
      </c>
      <c r="C34" s="104">
        <f>IF($A34="","",$B34+HaftaUzunlugu-1)</f>
        <v/>
      </c>
      <c r="D34" s="100">
        <f>IF($A34="","",SUMIFS(NAKIT_GIRISLERI!$E$6:$E$5000,NAKIT_GIRISLERI!$A$6:$A$5000,$A34))</f>
        <v/>
      </c>
      <c r="E34" s="100">
        <f>IF($A34="","",SUMIFS(NAKIT_CIKISLARI!$E$6:$E$5000,NAKIT_CIKISLARI!$A$6:$A$5000,$A34))</f>
        <v/>
      </c>
      <c r="F34" s="100">
        <f>IF($A34="","",$D34-$E34)</f>
        <v/>
      </c>
      <c r="G34" s="100">
        <f>IF($A34="","",IF($A34=1,BaslangicBakiye,N($H33)))</f>
        <v/>
      </c>
      <c r="H34" s="100">
        <f>IF($A34="","",$G34+$F34)</f>
        <v/>
      </c>
      <c r="I34" s="101">
        <f>IF($A34="","",IF($H34&lt;0,"PARA BİTİYOR",IF($H34&lt;AsgariTampon,"RİSK ALTINDA","YETERLİ")))</f>
        <v/>
      </c>
      <c r="J34" s="105">
        <f>IF($A34="","",IF($H34&lt;0,"Gider ertele / tahsilat hızlandır",IF($H34&lt;AsgariTampon,"Tampon altına dikkat: kritik ödemeleri ertele","Devam et")))</f>
        <v/>
      </c>
    </row>
    <row r="35" ht="15" customHeight="1" s="57">
      <c r="A35" s="97" t="n"/>
      <c r="B35" s="104">
        <f>IF($A35="","",RaporTarihi+MIN(($A35-1)*HaftaUzunlugu,MaksTarihUfku))</f>
        <v/>
      </c>
      <c r="C35" s="104">
        <f>IF($A35="","",$B35+HaftaUzunlugu-1)</f>
        <v/>
      </c>
      <c r="D35" s="100">
        <f>IF($A35="","",SUMIFS(NAKIT_GIRISLERI!$E$6:$E$5000,NAKIT_GIRISLERI!$A$6:$A$5000,$A35))</f>
        <v/>
      </c>
      <c r="E35" s="100">
        <f>IF($A35="","",SUMIFS(NAKIT_CIKISLARI!$E$6:$E$5000,NAKIT_CIKISLARI!$A$6:$A$5000,$A35))</f>
        <v/>
      </c>
      <c r="F35" s="100">
        <f>IF($A35="","",$D35-$E35)</f>
        <v/>
      </c>
      <c r="G35" s="100">
        <f>IF($A35="","",IF($A35=1,BaslangicBakiye,N($H34)))</f>
        <v/>
      </c>
      <c r="H35" s="100">
        <f>IF($A35="","",$G35+$F35)</f>
        <v/>
      </c>
      <c r="I35" s="101">
        <f>IF($A35="","",IF($H35&lt;0,"PARA BİTİYOR",IF($H35&lt;AsgariTampon,"RİSK ALTINDA","YETERLİ")))</f>
        <v/>
      </c>
      <c r="J35" s="105">
        <f>IF($A35="","",IF($H35&lt;0,"Gider ertele / tahsilat hızlandır",IF($H35&lt;AsgariTampon,"Tampon altına dikkat: kritik ödemeleri ertele","Devam et")))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F6:F1000">
    <cfRule type="cellIs" rank="0" priority="2" equalAverage="0" operator="lessThan" aboveAverage="0" dxfId="12" text="" percent="0" bottom="0">
      <formula>0</formula>
    </cfRule>
    <cfRule type="cellIs" rank="0" priority="3" equalAverage="0" operator="greaterThan" aboveAverage="0" dxfId="10" text="" percent="0" bottom="0">
      <formula>0</formula>
    </cfRule>
  </conditionalFormatting>
  <conditionalFormatting sqref="G6:G1000">
    <cfRule type="cellIs" rank="0" priority="4" equalAverage="0" operator="lessThan" aboveAverage="0" dxfId="13" text="" percent="0" bottom="0">
      <formula>0</formula>
    </cfRule>
  </conditionalFormatting>
  <conditionalFormatting sqref="H6:H1000">
    <cfRule type="cellIs" rank="0" priority="5" equalAverage="0" operator="lessThan" aboveAverage="0" dxfId="13" text="" percent="0" bottom="0">
      <formula>0</formula>
    </cfRule>
    <cfRule type="cellIs" rank="0" priority="6" equalAverage="0" operator="greaterThanOrEqual" aboveAverage="0" dxfId="10" text="" percent="0" bottom="0">
      <formula>0</formula>
    </cfRule>
  </conditionalFormatting>
  <conditionalFormatting sqref="I6:I1000">
    <cfRule type="cellIs" rank="0" priority="7" equalAverage="0" operator="equal" aboveAverage="0" dxfId="10" text="" percent="0" bottom="0">
      <formula>"YETERLİ"</formula>
    </cfRule>
    <cfRule type="cellIs" rank="0" priority="8" equalAverage="0" operator="equal" aboveAverage="0" dxfId="11" text="" percent="0" bottom="0">
      <formula>"RİSK ALTINDA"</formula>
    </cfRule>
    <cfRule type="cellIs" rank="0" priority="9" equalAverage="0" operator="equal" aboveAverage="0" dxfId="13" text="" percent="0" bottom="0">
      <formula>"PARA BİTİYOR"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83" min="1" max="1"/>
    <col width="28" customWidth="1" style="83" min="2" max="2"/>
    <col width="95" customWidth="1" style="83" min="3" max="3"/>
    <col width="18" customWidth="1" style="83" min="4" max="4"/>
  </cols>
  <sheetData>
    <row r="1" ht="25.5" customHeight="1" s="57">
      <c r="A1" s="84" t="inlineStr">
        <is>
          <t>MOTOR — 13 HAFTALIK NAKİT AKIŞI VE ÖDEME PLANLAMA SİSTEMİ</t>
        </is>
      </c>
    </row>
    <row r="2" ht="19.5" customHeight="1" s="57">
      <c r="A2" s="108" t="inlineStr">
        <is>
          <t>Hesaplama motoru: tüm ara hesaplar ve analitik modüller ad tanımlı hücrelerden beslenir. Değerler giriş tablolarından canlı hesaplanır; sabit sayı formüle gömülmez.</t>
        </is>
      </c>
    </row>
    <row r="4" ht="15" customHeight="1" s="57">
      <c r="A4" s="109" t="inlineStr">
        <is>
          <t>TEMEL ARA HESAPLAR</t>
        </is>
      </c>
    </row>
    <row r="5" ht="15" customHeight="1" s="57">
      <c r="A5" s="110" t="inlineStr">
        <is>
          <t>Giriş Kayıt Sayısı</t>
        </is>
      </c>
      <c r="B5" s="111">
        <f>IFERROR(COUNTIFS(tblGiris[Hafta Numarası],"&gt;0"),0)</f>
        <v/>
      </c>
    </row>
    <row r="6" ht="15" customHeight="1" s="57">
      <c r="A6" s="110" t="inlineStr">
        <is>
          <t>Çıkış Kayıt Sayısı</t>
        </is>
      </c>
      <c r="B6" s="111">
        <f>IFERROR(COUNTIFS(tblCikis[Hafta Numarası],"&gt;0"),0)</f>
        <v/>
      </c>
    </row>
    <row r="7" ht="15" customHeight="1" s="57">
      <c r="A7" s="110" t="inlineStr">
        <is>
          <t>Toplam Beklenen Giriş</t>
        </is>
      </c>
      <c r="B7" s="112">
        <f>IFERROR(SUM(tblGiris[Tutar (₺)]),0)</f>
        <v/>
      </c>
    </row>
    <row r="8" ht="15" customHeight="1" s="57">
      <c r="A8" s="110" t="inlineStr">
        <is>
          <t>Toplam Planlanan Çıkış</t>
        </is>
      </c>
      <c r="B8" s="112">
        <f>IFERROR(SUM(tblCikis[Tutar (₺)]),0)</f>
        <v/>
      </c>
    </row>
    <row r="9" ht="15" customHeight="1" s="57">
      <c r="A9" s="110" t="inlineStr">
        <is>
          <t>Net Nakit Akışı</t>
        </is>
      </c>
      <c r="B9" s="112">
        <f>B7-B8</f>
        <v/>
      </c>
    </row>
    <row r="10" ht="15" customHeight="1" s="57">
      <c r="A10" s="110" t="inlineStr">
        <is>
          <t>Dönem Sonu Bakiye (13. Hafta)</t>
        </is>
      </c>
      <c r="B10" s="112">
        <f>KARAR_MOTORU!$B$5</f>
        <v/>
      </c>
    </row>
    <row r="11" ht="15" customHeight="1" s="57">
      <c r="A11" s="110" t="inlineStr">
        <is>
          <t>Minimum Hafta Bakiyesi</t>
        </is>
      </c>
      <c r="B11" s="112">
        <f>IFERROR(MIN(tblHaftaPlan[Dönem Sonu Bakiye]),0)</f>
        <v/>
      </c>
    </row>
    <row r="12" ht="15" customHeight="1" s="57">
      <c r="A12" s="110" t="inlineStr">
        <is>
          <t>Maksimum Hafta Bakiyesi</t>
        </is>
      </c>
      <c r="B12" s="112">
        <f>IFERROR(MAX(tblHaftaPlan[Dönem Sonu Bakiye]),0)</f>
        <v/>
      </c>
    </row>
    <row r="13" ht="15" customHeight="1" s="57">
      <c r="A13" s="110" t="inlineStr">
        <is>
          <t>Ortalama Haftalık Net Akış</t>
        </is>
      </c>
      <c r="B13" s="112">
        <f>IFERROR(AVERAGE(tblHaftaPlan[Net Akış]),0)</f>
        <v/>
      </c>
    </row>
    <row r="14" ht="15" customHeight="1" s="57">
      <c r="A14" s="110" t="inlineStr">
        <is>
          <t>Net Akış Değişkenliği</t>
        </is>
      </c>
      <c r="B14" s="112">
        <f>IFERROR(stdev.p(tblHaftaPlan[Net Akış]),0)</f>
        <v/>
      </c>
    </row>
    <row r="15" ht="15" customHeight="1" s="57">
      <c r="A15" s="110" t="inlineStr">
        <is>
          <t>Kıtlık (Negatif Bakiye) Haftası</t>
        </is>
      </c>
      <c r="B15" s="111">
        <f>IFERROR(COUNTIF(tblHaftaPlan[Dönem Sonu Bakiye],"&lt;0"),0)</f>
        <v/>
      </c>
    </row>
    <row r="16" ht="15" customHeight="1" s="57">
      <c r="A16" s="110" t="inlineStr">
        <is>
          <t>Tampon Altı Hafta Sayısı</t>
        </is>
      </c>
      <c r="B16" s="111">
        <f>IFERROR(COUNTIF(tblHaftaPlan[Dönem Sonu Bakiye],"&lt;"&amp;AsgariTampon),0)</f>
        <v/>
      </c>
    </row>
    <row r="17" ht="15" customHeight="1" s="57">
      <c r="A17" s="110" t="inlineStr">
        <is>
          <t>En Yüksek Çıkış Tutarı</t>
        </is>
      </c>
      <c r="B17" s="112">
        <f>IFERROR(MAX(tblHaftaPlan[Toplam Çıkış]),0)</f>
        <v/>
      </c>
    </row>
    <row r="18" ht="15" customHeight="1" s="57">
      <c r="A18" s="110" t="inlineStr">
        <is>
          <t>En Yüksek Çıkış Haftası</t>
        </is>
      </c>
      <c r="B18" s="111">
        <f>IFERROR(INDEX(tblHaftaPlan[Hafta Numarası],MATCH(B17,tblHaftaPlan[Toplam Çıkış],0)),0)</f>
        <v/>
      </c>
    </row>
    <row r="19" ht="15" customHeight="1" s="57">
      <c r="A19" s="110" t="inlineStr">
        <is>
          <t>Kritik Ödemeler Toplamı</t>
        </is>
      </c>
      <c r="B19" s="112">
        <f>IFERROR(SUMIFS(tblCikis[Tutar (₺)],tblCikis[Öncelik],"KRİTİK"),0)</f>
        <v/>
      </c>
    </row>
    <row r="20" ht="15" customHeight="1" s="57">
      <c r="A20" s="110" t="inlineStr">
        <is>
          <t>Ertelenebilir Ödemeler Toplamı</t>
        </is>
      </c>
      <c r="B20" s="112">
        <f>IFERROR(SUMIFS(tblCikis[Tutar (₺)],tblCikis[Öncelik],"ERTELENEBİLİR"),0)</f>
        <v/>
      </c>
    </row>
    <row r="21" ht="15" customHeight="1" s="57">
      <c r="A21" s="110" t="inlineStr">
        <is>
          <t>KESİN Giriş Toplamı</t>
        </is>
      </c>
      <c r="B21" s="112">
        <f>IFERROR(SUMIFS(tblGiris[Tutar (₺)],tblGiris[Güvence],"KESİN"),0)</f>
        <v/>
      </c>
    </row>
    <row r="22" ht="15" customHeight="1" s="57">
      <c r="A22" s="110" t="inlineStr">
        <is>
          <t>BELİRSİZ Giriş Toplamı</t>
        </is>
      </c>
      <c r="B22" s="112">
        <f>IFERROR(SUMIFS(tblGiris[Tutar (₺)],tblGiris[Güvence],"BELİRSİZ"),0)</f>
        <v/>
      </c>
    </row>
    <row r="23" ht="15" customHeight="1" s="57">
      <c r="A23" s="110" t="inlineStr">
        <is>
          <t>Giriş/Çıkış Karşılama Oranı</t>
        </is>
      </c>
      <c r="B23" s="113">
        <f>IFERROR(B7/MAX(1,B8),0)</f>
        <v/>
      </c>
    </row>
    <row r="24" ht="15" customHeight="1" s="57">
      <c r="A24" s="110" t="inlineStr">
        <is>
          <t>İlk 6 Hafta Net Akış</t>
        </is>
      </c>
      <c r="B24" s="112">
        <f>IFERROR(SUMIFS(tblHaftaPlan[Net Akış],tblHaftaPlan[Hafta Numarası],"&lt;=6"),0)</f>
        <v/>
      </c>
    </row>
    <row r="25" ht="15" customHeight="1" s="57">
      <c r="A25" s="110" t="inlineStr">
        <is>
          <t>Son 7 Hafta Net Akış</t>
        </is>
      </c>
      <c r="B25" s="112">
        <f>IFERROR(SUMIFS(tblHaftaPlan[Net Akış],tblHaftaPlan[Hafta Numarası],"&gt;6"),0)</f>
        <v/>
      </c>
    </row>
    <row r="28" ht="15" customHeight="1" s="57">
      <c r="A28" s="110" t="inlineStr">
        <is>
          <t>Eksik Zorunlu Alan</t>
        </is>
      </c>
      <c r="B28" s="111">
        <f>KONTROLLER!$B$14</f>
        <v/>
      </c>
    </row>
    <row r="29" ht="15" customHeight="1" s="57">
      <c r="A29" s="110" t="inlineStr">
        <is>
          <t>Sıfır/Negatif Tutar</t>
        </is>
      </c>
      <c r="B29" s="111">
        <f>KONTROLLER!$B$15</f>
        <v/>
      </c>
    </row>
    <row r="30" ht="15" customHeight="1" s="57">
      <c r="A30" s="110" t="inlineStr">
        <is>
          <t>Aşırı Tutar Uyarısı</t>
        </is>
      </c>
      <c r="B30" s="111">
        <f>KONTROLLER!$B$16</f>
        <v/>
      </c>
    </row>
    <row r="31" ht="15" customHeight="1" s="57">
      <c r="A31" s="110" t="inlineStr">
        <is>
          <t>Dolu Giriş Kaydı</t>
        </is>
      </c>
      <c r="B31" s="111">
        <f>B5</f>
        <v/>
      </c>
    </row>
    <row r="32" ht="15" customHeight="1" s="57">
      <c r="A32" s="110" t="inlineStr">
        <is>
          <t>Dolu Çıkış Kaydı</t>
        </is>
      </c>
      <c r="B32" s="111">
        <f>B6</f>
        <v/>
      </c>
    </row>
    <row r="33" ht="15" customHeight="1" s="57">
      <c r="A33" s="110" t="inlineStr">
        <is>
          <t>Mutabakat Farkı</t>
        </is>
      </c>
      <c r="B33" s="112">
        <f>IFERROR(ABS(B7-B8-B9),0)</f>
        <v/>
      </c>
    </row>
    <row r="34" ht="15" customHeight="1" s="57">
      <c r="A34" s="110" t="inlineStr">
        <is>
          <t>Veri Kalite Skoru</t>
        </is>
      </c>
      <c r="B34" s="111">
        <f>KONTROLLER!$B$6</f>
        <v/>
      </c>
    </row>
    <row r="37" ht="15" customHeight="1" s="57">
      <c r="A37" s="109" t="inlineStr">
        <is>
          <t>ANALİTİK MODÜL HESAPLARI</t>
        </is>
      </c>
    </row>
    <row r="38" ht="15" customHeight="1" s="57">
      <c r="A38" s="110" t="inlineStr">
        <is>
          <t>Modül T1: Kıtlık Hafta Sayısı</t>
        </is>
      </c>
      <c r="B38" s="111">
        <f>B15</f>
        <v/>
      </c>
      <c r="C38" s="114">
        <f>_xlfn.TEXTJOIN(" | ",TRUE(),"T1: Negatif bakiye haftası "&amp;modulT1KirlikHafta,IF(modulT1KirlikHafta&gt;0,"nakit kıtlığı öngörülüyor, önlem planı kurun","kıtlık haftası öngörülmüyor"))</f>
        <v/>
      </c>
    </row>
    <row r="39" ht="15" customHeight="1" s="57">
      <c r="A39" s="110" t="inlineStr">
        <is>
          <t>Modül T2: Net Akış Eğimi</t>
        </is>
      </c>
      <c r="B39" s="112">
        <f>IFERROR(SLOPE(tblHaftaPlan[Net Akış],tblHaftaPlan[Hafta Numarası]),0)</f>
        <v/>
      </c>
      <c r="C39" s="114">
        <f>_xlfn.TEXTJOIN(" | ",TRUE(),"T2: Net akış eğimi "&amp;TEXT(modulT2NetAkisEgimi,"#,##0")&amp;" TL/hafta",IF(modulT2NetAkisEgimi&lt;0,"nakit dengesi kötüleşiyor, gider yapısını gözden geçirin","nakit dengesi iyileşiyor"))</f>
        <v/>
      </c>
    </row>
    <row r="40" ht="15" customHeight="1" s="57">
      <c r="A40" s="110" t="inlineStr">
        <is>
          <t>Modül T3: Çıkışta Pareto Payı</t>
        </is>
      </c>
      <c r="B40" s="113">
        <f>IFERROR(B17/MAX(1,B8),0)</f>
        <v/>
      </c>
      <c r="C40" s="114">
        <f>_xlfn.TEXTJOIN(" | ",TRUE(),"T3: En yüksek tek ödeme toplam çıkışın %"&amp;TEXT(modulT3CikisPareto*100,"0")&amp;"ı",IF(modulT3CikisPareto&gt;KritikOdemePayiEsigi,"ödemeler tek kalemde yoğun, tedarikçi koşullarını müzakere edin","ödeme dağılımı dengeli"))</f>
        <v/>
      </c>
    </row>
    <row r="41" ht="15" customHeight="1" s="57">
      <c r="A41" s="110" t="inlineStr">
        <is>
          <t>Modül T4: Dönem Karşılaştırma</t>
        </is>
      </c>
      <c r="B41" s="112">
        <f>B25-B24</f>
        <v/>
      </c>
      <c r="C41" s="114">
        <f>_xlfn.TEXTJOIN(" | ",TRUE(),"T4: Son 7 hafta net akışı ilk 6 haftadan "&amp;TEXT(ABS(modulT4DonemFark),"#,##0")&amp;" TL farklı",IF(modulT4DonemFark&lt;0,"dönem sonuna doğru nakit baskısı artıyor","dönem sonu nakit dengesi iyileşiyor"))</f>
        <v/>
      </c>
    </row>
    <row r="42" ht="15" customHeight="1" s="57">
      <c r="A42" s="110" t="inlineStr">
        <is>
          <t>Modül T5: Mutabakat Farkı</t>
        </is>
      </c>
      <c r="B42" s="112">
        <f>B33</f>
        <v/>
      </c>
      <c r="C42" s="114">
        <f>_xlfn.TEXTJOIN(" | ",TRUE(),"T5: Giriş-çıkış-bakiye mutabakat farkı "&amp;TEXT(modulT5MutabakatFark,"#,##0")&amp;" TL",IF(modulT5MutabakatFark&gt;0,"kayıtlar arasında dengesizlik var, giriş/çıkış planlarını denetleyin","mutabakat uyumlu"))</f>
        <v/>
      </c>
    </row>
    <row r="43" ht="15" customHeight="1" s="57">
      <c r="A43" s="110" t="inlineStr">
        <is>
          <t>Modül T6: Kritik Ödeme Payı</t>
        </is>
      </c>
      <c r="B43" s="113">
        <f>IFERROR(B19/MAX(1,B8),0)</f>
        <v/>
      </c>
      <c r="C43" s="114">
        <f>_xlfn.TEXTJOIN(" | ",TRUE(),"T6: Kritik ödemeler toplam çıkışın %"&amp;TEXT(modulT6KritikOdemePayi*100,"0")&amp;"ı",IF(modulT6KritikOdemePayi&gt;KritikOdemePayiEsigi,"kritik yük yüksek, erteleme alanı dar","kritik yük yönetilebilir"))</f>
        <v/>
      </c>
    </row>
    <row r="44" ht="15" customHeight="1" s="57">
      <c r="A44" s="110" t="inlineStr">
        <is>
          <t>Modül O1: Çıkış Anomalisi</t>
        </is>
      </c>
      <c r="B44" s="111">
        <f>IFERROR(B17/MAX(1,B13),0)</f>
        <v/>
      </c>
      <c r="C44" s="114">
        <f>_xlfn.TEXTJOIN(" | ",TRUE(),"O1: En yüksek çıkış ortalamanın "&amp;TEXT(modulO1CikisAnomalisi,"0.0")&amp;" katı",IF(modulO1CikisAnomalisi&gt;2,"tek haftada balon ödeme var, ödeme tarihini dağıtın","haftalık çıkış dağılımı dengeli"))</f>
        <v/>
      </c>
    </row>
    <row r="45" ht="15" customHeight="1" s="57">
      <c r="A45" s="110" t="inlineStr">
        <is>
          <t>Modül O2: Tornado Zirve Etki</t>
        </is>
      </c>
      <c r="B45" s="112">
        <f>IFERROR(MAX(DuyarliOran*B7,DuyarliOran*B8,DuyarliOran*B19),0)</f>
        <v/>
      </c>
      <c r="C45" s="114">
        <f>_xlfn.TEXTJOIN(" | ",TRUE(),"O2: Duyarlılık değişkenlerinin en yüksek etkisi "&amp;TEXT(modulO2TornadoZirve,"#,##0")&amp;" TL",IF(modulO2TornadoZirve&gt;AsgariTampon,"tek değişken tamponu tüketebilir, senaryoları izleyin","duyarlılık etkisi sınırlı"))</f>
        <v/>
      </c>
    </row>
    <row r="46" ht="15" customHeight="1" s="57">
      <c r="A46" s="110" t="inlineStr">
        <is>
          <t>Modül O3: Senaryo Farkı</t>
        </is>
      </c>
      <c r="B46" s="112">
        <f>IFERROR(ABS(SENARYO_DUYARLILIK!$B$7-SENARYO_DUYARLILIK!$B$8),0)</f>
        <v/>
      </c>
      <c r="C46" s="114">
        <f>_xlfn.TEXTJOIN(" | ",TRUE(),"O3: İyimser-kötümser bakiye farkı "&amp;TEXT(modulO3SenaryoFark,"#,##0")&amp;" TL",IF(modulO3SenaryoFark&gt;B10*SenBelirsizlikEsigi,"senaryo belirsizliği yüksek, tahsilat güvencesini artırın","senaryo aralığı kabul edilebilir"))</f>
        <v/>
      </c>
    </row>
    <row r="47" ht="15" customHeight="1" s="57">
      <c r="A47" s="110" t="inlineStr">
        <is>
          <t>Modül O4: Nakit Dönüşüm Oranı</t>
        </is>
      </c>
      <c r="B47" s="113">
        <f>IFERROR(B9/MAX(1,B7),0)</f>
        <v/>
      </c>
      <c r="C47" s="114">
        <f>_xlfn.TEXTJOIN(" | ",TRUE(),"O4: Gelen her 100 TL'nin "&amp;TEXT(modulO4NakitDonusum*100,"0")&amp;" TL'si dönem sonunda kalıyor",IF(modulO4NakitDonusum&lt;NakitDonusumEsigi,"nakit üretimi zayıf, maliyet yapısını yeniden kurun","nakit dönüşümü sağlıklı"))</f>
        <v/>
      </c>
    </row>
    <row r="48" ht="15" customHeight="1" s="57">
      <c r="A48" s="110" t="inlineStr">
        <is>
          <t>Modül O5: Kıtlık Maliyeti</t>
        </is>
      </c>
      <c r="B48" s="112">
        <f>IFERROR(MAX(0,-B11)*KirlikMaliyetOrani*HaftaUzunlugu,0)</f>
        <v/>
      </c>
      <c r="C48" s="114">
        <f>_xlfn.TEXTJOIN(" | ",TRUE(),"O5: Negatif bakiye tahmini finansman maliyeti "&amp;TEXT(modulO5KirlikMaliyeti,"#,##0")&amp;" TL",IF(modulO5KirlikMaliyeti&gt;0,"kıtlık maliyeti doğuyor, finansmanı önceden temin edin","kıtlık maliyeti yok"))</f>
        <v/>
      </c>
    </row>
    <row r="49" ht="15" customHeight="1" s="57">
      <c r="A49" s="110" t="inlineStr">
        <is>
          <t>Modül O6: Kalem Yoğunlaşma (HHI)</t>
        </is>
      </c>
      <c r="B49" s="111">
        <f>IFERROR((SUMIFS(tblCikis[Tutar (₺)],tblCikis[Kalem],"MAAŞ")^2+SUMIFS(tblCikis[Tutar (₺)],tblCikis[Kalem],"KİRA")^2+SUMIFS(tblCikis[Tutar (₺)],tblCikis[Kalem],"VERGİ")^2+SUMIFS(tblCikis[Tutar (₺)],tblCikis[Kalem],"SGK")^2+SUMIFS(tblCikis[Tutar (₺)],tblCikis[Kalem],"TEDARİKÇİ")^2+SUMIFS(tblCikis[Tutar (₺)],tblCikis[Kalem],"KREDİ TAKSİTİ")^2+SUMIFS(tblCikis[Tutar (₺)],tblCikis[Kalem],"FATURA")^2+SUMIFS(tblCikis[Tutar (₺)],tblCikis[Kalem],"DİĞER")^2)/MAX(1,B8^2),0)</f>
        <v/>
      </c>
      <c r="C49" s="114">
        <f>_xlfn.TEXTJOIN(" | ",TRUE(),"O6: Gider yoğunlaşma endeksi "&amp;TEXT(modulO6KalemHhi,"0.00")&amp;"",IF(modulO6KalemHhi&gt;YogunlasmaEsigi,"ödemeler tek kalemde yoğun, alternatif tedarikçi geliştirin","kalem dağılımı dengeli"))</f>
        <v/>
      </c>
    </row>
    <row r="50" ht="15" customHeight="1" s="57">
      <c r="A50" s="110" t="inlineStr">
        <is>
          <t>Modül O8: Veri Kalite Skoru</t>
        </is>
      </c>
      <c r="B50" s="111">
        <f>KONTROLLER!$B$6</f>
        <v/>
      </c>
      <c r="C50" s="114">
        <f>_xlfn.TEXTJOIN(" | ",TRUE(),"O8: Veri kalite skoru "&amp;TEXT(modulO8KaliteSkor,"0")&amp;"/100",IF(modulO8KaliteSkor&gt;=VeriKaliteYuksek,"girdi kalitesi yüksek","kalite düşük, girişleri tamamlayın"))</f>
        <v/>
      </c>
    </row>
    <row r="51" ht="15" customHeight="1" s="57">
      <c r="A51" s="110" t="inlineStr">
        <is>
          <t>Modül I1: 14. Hafta Bakiye Tahmini</t>
        </is>
      </c>
      <c r="B51" s="112">
        <f>IFERROR(B10+_xlfn.FORECAST.LINEAR(PlanHaftaSayisi+TahminUfku,tblHaftaPlan[Net Akış],tblHaftaPlan[Hafta Numarası]),0)</f>
        <v/>
      </c>
      <c r="C51" s="114">
        <f>_xlfn.TEXTJOIN(" | ",TRUE(),"I1: 14. hafta sonu bakiye tahmini "&amp;TEXT(modulI1BakiyeTahmini,"#,##0")&amp;" TL",IF(modulI1BakiyeTahmini&lt;AsgariTampon,"tahmini bakiye tamponun altında, önlem alın","tahmini bakiye tampon üzerinde"))</f>
        <v/>
      </c>
    </row>
    <row r="52" ht="15" customHeight="1" s="57">
      <c r="A52" s="110" t="inlineStr">
        <is>
          <t>Modül I2: Net Akış P90</t>
        </is>
      </c>
      <c r="B52" s="112">
        <f>IFERROR(_xlfn.PERCENTILE.INC(tblHaftaPlan[Net Akış],P90Yuzdelik),0)</f>
        <v/>
      </c>
      <c r="C52" s="114">
        <f>_xlfn.TEXTJOIN(" | ",TRUE(),"I2: Haftalık net akış P90 "&amp;TEXT(modulI2NetAkisP90,"#,##0")&amp;" TL",IF(modulI2NetAkisP90&lt;0,"kötü senaryoda haftalık nakit kaybı oluşuyor","kötü senaryo bandı pozitif"))</f>
        <v/>
      </c>
    </row>
    <row r="53" ht="15" customHeight="1" s="57">
      <c r="A53" s="110" t="inlineStr">
        <is>
          <t>Modül I7: Nakit Açığı (Finansman İhtiyacı)</t>
        </is>
      </c>
      <c r="B53" s="112">
        <f>IFERROR(MAX(0,-B11),0)</f>
        <v/>
      </c>
      <c r="C53" s="114">
        <f>_xlfn.TEXTJOIN(" | ",TRUE(),"I7: Dış finansman ihtiyacı "&amp;TEXT(modulI7NakitAcigi,"#,##0")&amp;" TL",IF(modulI7NakitAcigi&gt;0,"finansman ihtiyacı doğuyor, kredi/tahsilat önlemlerini başlatın","dış finansman ihtiyacı yok"))</f>
        <v/>
      </c>
    </row>
    <row r="55" ht="19.5" customHeight="1" s="57">
      <c r="A55" s="108" t="inlineStr">
        <is>
          <t>Tüm hesaplar AYARLAR parametrelerinden beslenir; veri yokken 0 ve güvenli dönüş yapar.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J1"/>
    <mergeCell ref="A55:AN55"/>
    <mergeCell ref="A2:A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83" min="1" max="1"/>
    <col width="22" customWidth="1" style="83" min="2" max="2"/>
  </cols>
  <sheetData>
    <row r="1" ht="25.5" customHeight="1" s="57">
      <c r="A1" s="84" t="inlineStr">
        <is>
          <t>KONTROLLER — 13 HAFTALIK NAKİT AKIŞI VE ÖDEME PLANLAMA SİSTEMİ</t>
        </is>
      </c>
    </row>
    <row r="3" ht="15" customHeight="1" s="57">
      <c r="A3" s="115" t="inlineStr">
        <is>
          <t>VERİ KALİTESİ VE SİSTEM SAĞLIĞI</t>
        </is>
      </c>
    </row>
    <row r="6" ht="15" customHeight="1" s="57">
      <c r="A6" s="116" t="inlineStr">
        <is>
          <t>Veri Kalite Skoru</t>
        </is>
      </c>
      <c r="B6" s="117">
        <f>ROUND(100-(B14+B15+B16)*UyariPuanKesintisi,0)</f>
        <v/>
      </c>
    </row>
    <row r="7" ht="15" customHeight="1" s="57">
      <c r="A7" s="116" t="inlineStr">
        <is>
          <t>Durum</t>
        </is>
      </c>
      <c r="B7" s="118">
        <f>IF(B6&gt;=VeriKaliteYuksek,"SAĞLIKLI",IF(B6&gt;=VeriKaliteOrta,"İZLEME GEREKLİ","DÜZELTME GEREKLİ"))</f>
        <v/>
      </c>
    </row>
    <row r="8" ht="15" customHeight="1" s="57">
      <c r="A8" s="116" t="inlineStr">
        <is>
          <t>Genel Karar</t>
        </is>
      </c>
      <c r="B8" s="118">
        <f>IF(B6&gt;=VeriKaliteYuksek,"UYGUN",IF(B6&gt;=VeriKaliteOrta,"İNCELE","DURDUR"))</f>
        <v/>
      </c>
    </row>
    <row r="9" ht="15" customHeight="1" s="57">
      <c r="A9" s="119" t="inlineStr">
        <is>
          <t>Kayıt Sayısı (Giriş)</t>
        </is>
      </c>
      <c r="B9" s="117">
        <f>COUNTIFS(NAKIT_GIRISLERI!$A$6:$A$5000,"&gt;0")</f>
        <v/>
      </c>
    </row>
    <row r="10" ht="15" customHeight="1" s="57">
      <c r="A10" s="119" t="inlineStr">
        <is>
          <t>Kayıt Sayısı (Çıkış)</t>
        </is>
      </c>
      <c r="B10" s="117">
        <f>COUNTIFS(NAKIT_CIKISLARI!$A$6:$A$5000,"&gt;0")</f>
        <v/>
      </c>
    </row>
    <row r="11" ht="15" customHeight="1" s="57">
      <c r="A11" s="119" t="inlineStr">
        <is>
          <t>Toplam Beklenen Giriş</t>
        </is>
      </c>
      <c r="B11" s="120">
        <f>SUM(NAKIT_GIRISLERI!$E$6:$E$5000)</f>
        <v/>
      </c>
    </row>
    <row r="12" ht="15" customHeight="1" s="57">
      <c r="A12" s="119" t="inlineStr">
        <is>
          <t>Toplam Planlanan Çıkış</t>
        </is>
      </c>
      <c r="B12" s="120">
        <f>SUM(NAKIT_CIKISLARI!$E$6:$E$5000)</f>
        <v/>
      </c>
    </row>
    <row r="13" ht="15" customHeight="1" s="57">
      <c r="A13" s="119" t="inlineStr">
        <is>
          <t>Net Nakit Akışı</t>
        </is>
      </c>
      <c r="B13" s="120">
        <f>SUM(NAKIT_GIRISLERI!$E$6:$E$5000)-SUM(NAKIT_CIKISLARI!$E$6:$E$5000)</f>
        <v/>
      </c>
    </row>
    <row r="14" ht="15" customHeight="1" s="57">
      <c r="A14" s="119" t="inlineStr">
        <is>
          <t>Eksik Zorunlu Alan</t>
        </is>
      </c>
      <c r="B14" s="117">
        <f>COUNTIF(NAKIT_GIRISLERI!$G$6:$G$5000,"EKSİK")+COUNTIF(NAKIT_CIKISLARI!$G$6:$G$5000,"EKSİK")</f>
        <v/>
      </c>
    </row>
    <row r="15" ht="15" customHeight="1" s="57">
      <c r="A15" s="119" t="inlineStr">
        <is>
          <t>Sıfır/Negatif Tutar</t>
        </is>
      </c>
      <c r="B15" s="117">
        <f>COUNTIF(NAKIT_GIRISLERI!$G$6:$G$5000,"SIFIR/NEGATİF")+COUNTIF(NAKIT_CIKISLARI!$G$6:$G$5000,"SIFIR/NEGATİF")</f>
        <v/>
      </c>
    </row>
    <row r="16" ht="15" customHeight="1" s="57">
      <c r="A16" s="119" t="inlineStr">
        <is>
          <t>Aşırı Tutar Uyarısı</t>
        </is>
      </c>
      <c r="B16" s="117">
        <f>COUNTIF(NAKIT_GIRISLERI!$G$6:$G$5000,"AŞIRI TUTAR")+COUNTIF(NAKIT_CIKISLARI!$G$6:$G$5000,"AŞIRI TUTAR")</f>
        <v/>
      </c>
    </row>
    <row r="17" ht="15" customHeight="1" s="57">
      <c r="A17" s="119" t="inlineStr">
        <is>
          <t>Mutabakat Tutuyor</t>
        </is>
      </c>
      <c r="B17" s="118">
        <f>IF(B14+B15+B16=0,"UYGUN","SAĞLAM DEĞİL")</f>
        <v/>
      </c>
    </row>
    <row r="22" ht="36.75" customHeight="1" s="57">
      <c r="A22" s="103" t="inlineStr">
        <is>
          <t>Not: Mutabakat kontrolü, giriş ve çıkış kayıtlarının kural ihlali sayısını ölçer; her ihlal veri kalite skorundan düşer.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B6">
    <cfRule type="cellIs" rank="0" priority="2" equalAverage="0" operator="lessThan" aboveAverage="0" dxfId="13" text="" percent="0" bottom="0">
      <formula>50</formula>
    </cfRule>
    <cfRule type="cellIs" rank="0" priority="3" equalAverage="0" operator="between" aboveAverage="0" dxfId="11" text="" percent="0" bottom="0">
      <formula>50</formula>
      <formula>80</formula>
    </cfRule>
    <cfRule type="cellIs" rank="0" priority="4" equalAverage="0" operator="greaterThanOrEqual" aboveAverage="0" dxfId="10" text="" percent="0" bottom="0">
      <formula>80</formula>
    </cfRule>
  </conditionalFormatting>
  <conditionalFormatting sqref="B7">
    <cfRule type="cellIs" rank="0" priority="5" equalAverage="0" operator="equal" aboveAverage="0" dxfId="10" text="" percent="0" bottom="0">
      <formula>"SAĞLIKLI"</formula>
    </cfRule>
    <cfRule type="cellIs" rank="0" priority="6" equalAverage="0" operator="equal" aboveAverage="0" dxfId="11" text="" percent="0" bottom="0">
      <formula>"İZLEME GEREKLİ"</formula>
    </cfRule>
    <cfRule type="cellIs" rank="0" priority="7" equalAverage="0" operator="equal" aboveAverage="0" dxfId="12" text="" percent="0" bottom="0">
      <formula>"DÜZELTME GEREKLİ"</formula>
    </cfRule>
  </conditionalFormatting>
  <conditionalFormatting sqref="B8">
    <cfRule type="cellIs" rank="0" priority="8" equalAverage="0" operator="equal" aboveAverage="0" dxfId="10" text="" percent="0" bottom="0">
      <formula>"UYGUN"</formula>
    </cfRule>
    <cfRule type="cellIs" rank="0" priority="9" equalAverage="0" operator="equal" aboveAverage="0" dxfId="11" text="" percent="0" bottom="0">
      <formula>"İNCELE"</formula>
    </cfRule>
    <cfRule type="cellIs" rank="0" priority="10" equalAverage="0" operator="equal" aboveAverage="0" dxfId="13" text="" percent="0" bottom="0">
      <formula>"DURDUR"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83" min="1" max="1"/>
    <col width="60" customWidth="1" style="83" min="2" max="2"/>
  </cols>
  <sheetData>
    <row r="1" ht="25.5" customHeight="1" s="57">
      <c r="A1" s="84" t="inlineStr">
        <is>
          <t>KARAR MOTORU — 13 HAFTALIK NAKİT AKIŞI VE ÖDEME PLANLAMA SİSTEMİ</t>
        </is>
      </c>
    </row>
    <row r="3" ht="52.5" customHeight="1" s="57">
      <c r="A3" s="121" t="inlineStr">
        <is>
          <t>KARAR MOTORU — hangi hafta para bitecek, hangi önlem alınmalı</t>
        </is>
      </c>
    </row>
    <row r="5" ht="15" customHeight="1" s="57">
      <c r="A5" s="119" t="inlineStr">
        <is>
          <t>Dönem Sonu Bakiye (13. Hafta)</t>
        </is>
      </c>
      <c r="B5" s="120">
        <f>BaslangicBakiye+SUM(NAKIT_GIRISLERI!$E$6:$E$5000)-SUM(NAKIT_CIKISLARI!$E$6:$E$5000)</f>
        <v/>
      </c>
    </row>
    <row r="6" ht="15" customHeight="1" s="57">
      <c r="A6" s="119" t="inlineStr">
        <is>
          <t>Para Bitiş Haftası</t>
        </is>
      </c>
      <c r="B6" s="117">
        <f>IFERROR(_xlfn.MINIFS(HAFTALIK_PLAN!$A$6:$A$18,HAFTALIK_PLAN!$H$6:$H$18,"&lt;0"),0)</f>
        <v/>
      </c>
    </row>
    <row r="7" ht="15" customHeight="1" s="57">
      <c r="A7" s="119" t="inlineStr">
        <is>
          <t>İlk Risk Haftası</t>
        </is>
      </c>
      <c r="B7" s="117">
        <f>IFERROR(_xlfn.MINIFS(HAFTALIK_PLAN!$A$6:$A$18,HAFTALIK_PLAN!$H$6:$H$18,"&lt;"&amp;AsgariTampon),0)</f>
        <v/>
      </c>
    </row>
    <row r="8" ht="15" customHeight="1" s="57">
      <c r="A8" s="116" t="inlineStr">
        <is>
          <t>Karar</t>
        </is>
      </c>
      <c r="B8" s="118">
        <f>IF(B18&lt;MinimumVeriSayisi,"VERİ YOK",IF(B6&gt;0,"DURDUR",IF(B7&gt;0,"İNCELE",IF(B5&gt;=AsgariTampon,"UYGUN","İNCELE"))))</f>
        <v/>
      </c>
    </row>
    <row r="9" ht="15" customHeight="1" s="57">
      <c r="A9" s="116" t="inlineStr">
        <is>
          <t>Risk Seviyesi</t>
        </is>
      </c>
      <c r="B9" s="118">
        <f>IF(B8="VERİ YOK","BELİRSİZ",IF(B8="DURDUR","KRİTİK",IF(B8="İNCELE","YÜKSEK","DÜŞÜK")))</f>
        <v/>
      </c>
    </row>
    <row r="10" ht="15" customHeight="1" s="57">
      <c r="A10" s="116" t="inlineStr">
        <is>
          <t>Karar Gerekçesi</t>
        </is>
      </c>
      <c r="B10" s="118">
        <f>IF(B8="VERİ YOK","Karar için yeterli giriş/çıkış kaydı girilmedi; en az "&amp;MinimumVeriSayisi&amp;" kayıt beklenir.",_xlfn.TEXTJOIN(" | ",TRUE(),"Dönem sonu bakiye "&amp;TEXT(B5,"#,##0")&amp;" TL",IF(B6&gt;0,"para "&amp;B6&amp;". haftada bitiyor","para bitiş riski yok"),IF(B7&gt;0,"tampon eşiği "&amp;B7&amp;". haftada aşılıyor","tampon korunuyor")))</f>
        <v/>
      </c>
    </row>
    <row r="11" ht="15" customHeight="1" s="57">
      <c r="A11" s="116" t="inlineStr">
        <is>
          <t>Önerilen Önlem</t>
        </is>
      </c>
      <c r="B11" s="118">
        <f>IF(B8="VERİ YOK","Önce giriş ve çıkış planlarını eksiksiz doldurun",IF(B6&gt;0,"Nakit akışı "&amp;B6&amp;". haftada tükeniyor: kritik ödemeleri erteleyin, tahsilatı hızlandırın, kısa vadeli kredi değerlendirin",IF(B7&gt;0,"Tampon eşiği aşılıyor: ertelenebilir giderleri listeleyin, tahsilat takvimini öne çekin","Plan sağlıklı: mevcut akış korunmalı")))</f>
        <v/>
      </c>
    </row>
    <row r="12" ht="15" customHeight="1" s="57">
      <c r="A12" s="119" t="inlineStr">
        <is>
          <t>Toplam Beklenen Giriş</t>
        </is>
      </c>
      <c r="B12" s="120">
        <f>SUM(NAKIT_GIRISLERI!$E$6:$E$5000)</f>
        <v/>
      </c>
    </row>
    <row r="13" ht="15" customHeight="1" s="57">
      <c r="A13" s="119" t="inlineStr">
        <is>
          <t>Toplam Planlanan Çıkış</t>
        </is>
      </c>
      <c r="B13" s="120">
        <f>SUM(NAKIT_CIKISLARI!$E$6:$E$5000)</f>
        <v/>
      </c>
    </row>
    <row r="14" ht="15" customHeight="1" s="57">
      <c r="A14" s="119" t="inlineStr">
        <is>
          <t>Net Nakit Akışı</t>
        </is>
      </c>
      <c r="B14" s="120">
        <f>B12-B13</f>
        <v/>
      </c>
    </row>
    <row r="15" ht="15" customHeight="1" s="57">
      <c r="A15" s="119" t="inlineStr">
        <is>
          <t>En Yüksek Çıkış Haftası</t>
        </is>
      </c>
      <c r="B15" s="117">
        <f>IFERROR(INDEX(HAFTALIK_PLAN!$A$6:$A$18,MATCH(MAX(HAFTALIK_PLAN!$E$6:$E$18),HAFTALIK_PLAN!$E$6:$E$18,0)),0)</f>
        <v/>
      </c>
    </row>
    <row r="16" ht="15" customHeight="1" s="57">
      <c r="A16" s="119" t="inlineStr">
        <is>
          <t>En Kritik Ödemeler</t>
        </is>
      </c>
      <c r="B16" s="120">
        <f>SUMIFS(NAKIT_CIKISLARI!$E$6:$E$5000,NAKIT_CIKISLARI!$D$6:$D$5000,"KRİTİK")</f>
        <v/>
      </c>
    </row>
    <row r="17" ht="15" customHeight="1" s="57">
      <c r="A17" s="119" t="inlineStr">
        <is>
          <t>Ertelenebilir Ödemeler</t>
        </is>
      </c>
      <c r="B17" s="120">
        <f>SUMIFS(NAKIT_CIKISLARI!$E$6:$E$5000,NAKIT_CIKISLARI!$D$6:$D$5000,"ERTELENEBİLİR")</f>
        <v/>
      </c>
    </row>
    <row r="18" ht="15" customHeight="1" s="57">
      <c r="A18" s="119" t="inlineStr">
        <is>
          <t>Kayıt Sayısı (Giriş+Çıkış)</t>
        </is>
      </c>
      <c r="B18" s="117">
        <f>KONTROLLER!$B$9+KONTROLLER!$B$10</f>
        <v/>
      </c>
    </row>
    <row r="23" ht="60.75" customHeight="1" s="57">
      <c r="A23" s="103" t="inlineStr">
        <is>
          <t>Not: Karar, kayıt sayısı, dönem sonu bakiyesi ve tampon eşiğine göre makine tarafından üretilir; gerekçesi 'Karar Gerekçesi' satırında görünür. Tüm eşikler AYARLAR sayfasından yönetilir.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B6">
    <cfRule type="cellIs" rank="0" priority="2" equalAverage="0" operator="greaterThan" aboveAverage="0" dxfId="13" text="" percent="0" bottom="0">
      <formula>0</formula>
    </cfRule>
    <cfRule type="cellIs" rank="0" priority="3" equalAverage="0" operator="equal" aboveAverage="0" dxfId="10" text="" percent="0" bottom="0">
      <formula>0</formula>
    </cfRule>
  </conditionalFormatting>
  <conditionalFormatting sqref="B7">
    <cfRule type="cellIs" rank="0" priority="4" equalAverage="0" operator="greaterThan" aboveAverage="0" dxfId="11" text="" percent="0" bottom="0">
      <formula>0</formula>
    </cfRule>
  </conditionalFormatting>
  <conditionalFormatting sqref="B8">
    <cfRule type="cellIs" rank="0" priority="5" equalAverage="0" operator="equal" aboveAverage="0" dxfId="10" text="" percent="0" bottom="0">
      <formula>"UYGUN"</formula>
    </cfRule>
    <cfRule type="cellIs" rank="0" priority="6" equalAverage="0" operator="equal" aboveAverage="0" dxfId="11" text="" percent="0" bottom="0">
      <formula>"İNCELE"</formula>
    </cfRule>
    <cfRule type="cellIs" rank="0" priority="7" equalAverage="0" operator="equal" aboveAverage="0" dxfId="13" text="" percent="0" bottom="0">
      <formula>"DURDUR"</formula>
    </cfRule>
  </conditionalFormatting>
  <conditionalFormatting sqref="B9">
    <cfRule type="cellIs" rank="0" priority="8" equalAverage="0" operator="equal" aboveAverage="0" dxfId="12" text="" percent="0" bottom="0">
      <formula>"KRİTİK"</formula>
    </cfRule>
    <cfRule type="cellIs" rank="0" priority="9" equalAverage="0" operator="equal" aboveAverage="0" dxfId="11" text="" percent="0" bottom="0">
      <formula>"YÜKSEK"</formula>
    </cfRule>
    <cfRule type="cellIs" rank="0" priority="10" equalAverage="0" operator="equal" aboveAverage="0" dxfId="15" text="" percent="0" bottom="0">
      <formula>"ORTA"</formula>
    </cfRule>
    <cfRule type="cellIs" rank="0" priority="11" equalAverage="0" operator="equal" aboveAverage="0" dxfId="10" text="" percent="0" bottom="0">
      <formula>"DÜŞÜK"</formula>
    </cfRule>
  </conditionalFormatting>
  <conditionalFormatting sqref="B13">
    <cfRule type="cellIs" rank="0" priority="12" equalAverage="0" operator="lessThan" aboveAverage="0" dxfId="13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83" min="1" max="1"/>
    <col width="18" customWidth="1" style="83" min="2" max="3"/>
    <col width="20" customWidth="1" style="83" min="4" max="4"/>
  </cols>
  <sheetData>
    <row r="1" ht="25.5" customHeight="1" s="57">
      <c r="A1" s="84" t="inlineStr">
        <is>
          <t>SENARYO DUYARLILIK — 13 HAFTALIK NAKİT AKIŞI VE ÖDEME PLANLAMA SİSTEMİ</t>
        </is>
      </c>
    </row>
    <row r="3" ht="15" customHeight="1" s="57">
      <c r="A3" s="115" t="inlineStr">
        <is>
          <t>SENARYO VE DUYARLILIK ANALİZİ</t>
        </is>
      </c>
    </row>
    <row r="5" ht="15" customHeight="1" s="57">
      <c r="A5" s="119" t="inlineStr">
        <is>
          <t>Baz Dönem Sonu Bakiye</t>
        </is>
      </c>
      <c r="B5" s="120">
        <f>KARAR_MOTORU!$B$5</f>
        <v/>
      </c>
    </row>
    <row r="6" ht="15" customHeight="1" s="57">
      <c r="A6" s="119" t="inlineStr">
        <is>
          <t>Giriş Artış Oranı</t>
        </is>
      </c>
      <c r="B6" s="124" t="n">
        <v>0.1</v>
      </c>
    </row>
    <row r="7" ht="15" customHeight="1" s="57">
      <c r="A7" s="119" t="inlineStr">
        <is>
          <t>İyimser Bakiye</t>
        </is>
      </c>
      <c r="B7" s="120">
        <f>B5*(1+B6)</f>
        <v/>
      </c>
    </row>
    <row r="8" ht="15" customHeight="1" s="57">
      <c r="A8" s="119" t="inlineStr">
        <is>
          <t>Kötümser Bakiye</t>
        </is>
      </c>
      <c r="B8" s="120">
        <f>B5*(1-B6)</f>
        <v/>
      </c>
    </row>
    <row r="9" ht="15" customHeight="1" s="57">
      <c r="A9" s="119" t="inlineStr">
        <is>
          <t>Çıkış Artış Oranı</t>
        </is>
      </c>
      <c r="B9" s="124" t="n">
        <v>0.1</v>
      </c>
    </row>
    <row r="10" ht="15" customHeight="1" s="57">
      <c r="A10" s="119" t="inlineStr">
        <is>
          <t>Kötümser (Çıkış +%10) Bakiye</t>
        </is>
      </c>
      <c r="B10" s="120">
        <f>B5*(1-B9)</f>
        <v/>
      </c>
    </row>
    <row r="11" ht="15" customHeight="1" s="57">
      <c r="A11" s="119" t="inlineStr">
        <is>
          <t>Kritik Ödeme Artış Oranı</t>
        </is>
      </c>
      <c r="B11" s="124" t="n">
        <v>0.1</v>
      </c>
    </row>
    <row r="12" ht="15" customHeight="1" s="57">
      <c r="A12" s="119" t="inlineStr">
        <is>
          <t>Kötümser (Kritik +%10) Bakiye</t>
        </is>
      </c>
      <c r="B12" s="120">
        <f>B5*(1-B11)</f>
        <v/>
      </c>
    </row>
    <row r="14" ht="15" customHeight="1" s="57">
      <c r="A14" s="125" t="inlineStr">
        <is>
          <t>MARJİNAL ETKİ (Tornado)</t>
        </is>
      </c>
    </row>
    <row r="15" ht="15" customHeight="1" s="57">
      <c r="A15" s="106" t="inlineStr">
        <is>
          <t>Değişken</t>
        </is>
      </c>
      <c r="B15" s="106" t="inlineStr">
        <is>
          <t>Değişim</t>
        </is>
      </c>
      <c r="C15" s="106" t="inlineStr">
        <is>
          <t>Bakiye Etkisi</t>
        </is>
      </c>
      <c r="D15" s="106" t="inlineStr">
        <is>
          <t>Yeni Bakiye</t>
        </is>
      </c>
    </row>
    <row r="16" ht="15" customHeight="1" s="57">
      <c r="A16" s="119" t="inlineStr">
        <is>
          <t>Girişler +%10</t>
        </is>
      </c>
      <c r="B16" s="126">
        <f>B6</f>
        <v/>
      </c>
      <c r="C16" s="100">
        <f>B5*B16</f>
        <v/>
      </c>
      <c r="D16" s="100">
        <f>B5+B16</f>
        <v/>
      </c>
    </row>
    <row r="17" ht="15" customHeight="1" s="57">
      <c r="A17" s="119" t="inlineStr">
        <is>
          <t>Çıkışlar +%10</t>
        </is>
      </c>
      <c r="B17" s="126">
        <f>B9</f>
        <v/>
      </c>
      <c r="C17" s="100">
        <f>-B5*B17</f>
        <v/>
      </c>
      <c r="D17" s="100">
        <f>B5+B17</f>
        <v/>
      </c>
    </row>
    <row r="18" ht="15" customHeight="1" s="57">
      <c r="A18" s="119" t="inlineStr">
        <is>
          <t>Kritik Ödemeler +%10</t>
        </is>
      </c>
      <c r="B18" s="126">
        <f>B11</f>
        <v/>
      </c>
      <c r="C18" s="100">
        <f>-B5*B18</f>
        <v/>
      </c>
      <c r="D18" s="100">
        <f>B5+B18</f>
        <v/>
      </c>
    </row>
    <row r="19" ht="15" customHeight="1" s="57">
      <c r="A19" s="119" t="inlineStr">
        <is>
          <t>Güvence Düşük Girişler (-%10)</t>
        </is>
      </c>
      <c r="B19" s="126">
        <f>-B6</f>
        <v/>
      </c>
      <c r="C19" s="100">
        <f>B5*B19</f>
        <v/>
      </c>
      <c r="D19" s="100">
        <f>B5+B19</f>
        <v/>
      </c>
    </row>
    <row r="21" ht="48.75" customHeight="1" s="57">
      <c r="A21" s="103" t="inlineStr">
        <is>
          <t>Not: Senaryo oranları sarı hücrelerden girilir; her değişim bakiyeye doğrudan yansır. Tornado satırları bu oranlardan beslenir ve etkiyi TL olarak sıralar.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B5">
    <cfRule type="cellIs" rank="0" priority="2" equalAverage="0" operator="lessThan" aboveAverage="0" dxfId="13" text="" percent="0" bottom="0">
      <formula>0</formula>
    </cfRule>
  </conditionalFormatting>
  <conditionalFormatting sqref="B7">
    <cfRule type="cellIs" rank="0" priority="3" equalAverage="0" operator="lessThan" aboveAverage="0" dxfId="13" text="" percent="0" bottom="0">
      <formula>0</formula>
    </cfRule>
  </conditionalFormatting>
  <conditionalFormatting sqref="B9">
    <cfRule type="cellIs" rank="0" priority="4" equalAverage="0" operator="lessThan" aboveAverage="0" dxfId="13" text="" percent="0" bottom="0">
      <formula>0</formula>
    </cfRule>
  </conditionalFormatting>
  <conditionalFormatting sqref="E6:E17">
    <cfRule type="cellIs" rank="0" priority="5" equalAverage="0" operator="lessThan" aboveAverage="0" dxfId="12" text="" percent="0" bottom="0">
      <formula>0</formula>
    </cfRule>
    <cfRule type="cellIs" rank="0" priority="6" equalAverage="0" operator="greaterThan" aboveAverage="0" dxfId="1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83" min="1" max="1"/>
    <col width="30" customWidth="1" style="83" min="2" max="2"/>
  </cols>
  <sheetData>
    <row r="1" ht="25.5" customHeight="1" s="57">
      <c r="A1" s="84" t="inlineStr">
        <is>
          <t>RAPOR — 13 HAFTALIK NAKİT AKIŞI VE ÖDEME PLANLAMA SİSTEMİ</t>
        </is>
      </c>
    </row>
    <row r="3" ht="19.5" customHeight="1" s="57">
      <c r="A3" s="90" t="inlineStr">
        <is>
          <t>YÖNETİCİ NAKİT AKIŞ RAPORU</t>
        </is>
      </c>
    </row>
    <row r="4" ht="15" customHeight="1" s="57">
      <c r="A4" s="119" t="inlineStr">
        <is>
          <t>Rapor Tarihi</t>
        </is>
      </c>
      <c r="B4" s="127">
        <f>RaporTarihi</f>
        <v/>
      </c>
    </row>
    <row r="5" ht="15" customHeight="1" s="57">
      <c r="A5" s="119" t="inlineStr">
        <is>
          <t>Firma</t>
        </is>
      </c>
      <c r="B5" s="101">
        <f>FirmaUnvan</f>
        <v/>
      </c>
    </row>
    <row r="6" ht="15" customHeight="1" s="57">
      <c r="A6" s="119" t="inlineStr">
        <is>
          <t>Hazırlayan</t>
        </is>
      </c>
      <c r="B6" s="101">
        <f>RaporHazirlayan</f>
        <v/>
      </c>
    </row>
    <row r="8" ht="15" customHeight="1" s="57">
      <c r="A8" s="125" t="inlineStr">
        <is>
          <t>ANA SONUÇ</t>
        </is>
      </c>
    </row>
    <row r="9" ht="15" customHeight="1" s="57">
      <c r="A9" s="119" t="inlineStr">
        <is>
          <t>Dönem Sonu Bakiye (13. Hafta)</t>
        </is>
      </c>
      <c r="B9" s="120">
        <f>KARAR_MOTORU!$B$5</f>
        <v/>
      </c>
    </row>
    <row r="10" ht="15" customHeight="1" s="57">
      <c r="A10" s="119" t="inlineStr">
        <is>
          <t>Net Nakit Akışı</t>
        </is>
      </c>
      <c r="B10" s="100">
        <f>KARAR_MOTORU!$B$14</f>
        <v/>
      </c>
    </row>
    <row r="11" ht="15" customHeight="1" s="57">
      <c r="A11" s="119" t="inlineStr">
        <is>
          <t>Para Bitiş Haftası</t>
        </is>
      </c>
      <c r="B11" s="101">
        <f>IF(KARAR_MOTORU!$B$6&gt;0,KARAR_MOTORU!$B$6&amp;". hafta","Yok")</f>
        <v/>
      </c>
    </row>
    <row r="12" ht="15" customHeight="1" s="57">
      <c r="A12" s="119" t="inlineStr">
        <is>
          <t>Karar</t>
        </is>
      </c>
      <c r="B12" s="118">
        <f>KARAR_MOTORU!$B$8</f>
        <v/>
      </c>
    </row>
    <row r="13" ht="15" customHeight="1" s="57">
      <c r="A13" s="119" t="inlineStr">
        <is>
          <t>Risk Seviyesi</t>
        </is>
      </c>
      <c r="B13" s="118">
        <f>KARAR_MOTORU!$B$9</f>
        <v/>
      </c>
    </row>
    <row r="14" ht="15" customHeight="1" s="57">
      <c r="A14" s="119" t="inlineStr">
        <is>
          <t>Önerilen Önlem</t>
        </is>
      </c>
      <c r="B14" s="128">
        <f>KARAR_MOTORU!$B$11</f>
        <v/>
      </c>
    </row>
    <row r="15" ht="41.25" customHeight="1" s="57">
      <c r="A15" s="119" t="inlineStr">
        <is>
          <t>Karar Gerekçesi</t>
        </is>
      </c>
      <c r="B15" s="128">
        <f>KARAR_MOTORU!$B$10</f>
        <v/>
      </c>
    </row>
    <row r="16" ht="15" customHeight="1" s="57">
      <c r="A16" s="125" t="inlineStr">
        <is>
          <t>ÖNEMLİ VARSAYIMLAR VE UYARILAR</t>
        </is>
      </c>
    </row>
    <row r="17" ht="27.75" customHeight="1" s="57">
      <c r="A17" s="119" t="inlineStr">
        <is>
          <t>1. Güvence düşük girişler gerçekleşmeyebilir; iyimser/kötümser bant PANO senaryosunda görülür.</t>
        </is>
      </c>
    </row>
    <row r="18" ht="27.75" customHeight="1" s="57">
      <c r="A18" s="119" t="inlineStr">
        <is>
          <t>2. Bu rapor karar destek amaçlıdır; kesin finansal tavsiye değildir.</t>
        </is>
      </c>
    </row>
    <row r="19" ht="27.75" customHeight="1" s="57">
      <c r="A19" s="119" t="inlineStr">
        <is>
          <t>3. Tüm eşikler AYARLAR sayfasında tanımlıdır; değişiklik sonrası rapor otomatik güncellenir.</t>
        </is>
      </c>
    </row>
    <row r="21" ht="24.75" customHeight="1" s="57">
      <c r="A21" s="103" t="inlineStr">
        <is>
          <t>Hazırlayan: ExcelArşiv — Sürüm 1.0 | Tek kullanıcılı ticari lisans.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&amp;L13 Haftalık Nakit Akışı ve Ödeme Planlama Sistemi — RAPOR&amp;CExcelArşiv&amp;RSayfa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83" min="1" max="1"/>
    <col width="12" customWidth="1" style="83" min="2" max="2"/>
    <col width="14" customWidth="1" style="83" min="3" max="3"/>
    <col width="18" customWidth="1" style="83" min="4" max="4"/>
    <col width="20" customWidth="1" style="83" min="5" max="5"/>
  </cols>
  <sheetData>
    <row r="1" ht="25.5" customHeight="1" s="57">
      <c r="A1" s="84" t="inlineStr">
        <is>
          <t>ORNEK VERI — 13 HAFTALIK NAKİT AKIŞI VE ÖDEME PLANLAMA SİSTEMİ</t>
        </is>
      </c>
    </row>
    <row r="3" ht="90.75" customHeight="1" s="57">
      <c r="A3" s="93" t="inlineStr">
        <is>
          <t>ÖRNEK VERİ — otomasyon ve içe aktarma için yapı</t>
        </is>
      </c>
    </row>
    <row r="5" ht="30" customHeight="1" s="57">
      <c r="A5" s="94" t="inlineStr">
        <is>
          <t>Hafta Numarası</t>
        </is>
      </c>
      <c r="B5" s="94" t="inlineStr">
        <is>
          <t>Yön</t>
        </is>
      </c>
      <c r="C5" s="94" t="inlineStr">
        <is>
          <t>Tutar (₺)</t>
        </is>
      </c>
      <c r="D5" s="94" t="inlineStr">
        <is>
          <t>Güvence/Öncelik</t>
        </is>
      </c>
      <c r="E5" s="94" t="inlineStr">
        <is>
          <t>Kaynak/Kalem</t>
        </is>
      </c>
    </row>
    <row r="6" ht="15" customHeight="1" s="57">
      <c r="A6" s="129" t="n">
        <v>1</v>
      </c>
      <c r="B6" s="130" t="inlineStr">
        <is>
          <t>GİRİŞ</t>
        </is>
      </c>
      <c r="C6" s="131" t="n">
        <v>85000</v>
      </c>
      <c r="D6" s="130" t="inlineStr">
        <is>
          <t>KESİN</t>
        </is>
      </c>
      <c r="E6" s="92" t="inlineStr">
        <is>
          <t>MÜŞTERİ TAHSİLATI</t>
        </is>
      </c>
    </row>
    <row r="7" ht="15" customHeight="1" s="57">
      <c r="A7" s="129" t="n">
        <v>1</v>
      </c>
      <c r="B7" s="130" t="inlineStr">
        <is>
          <t>ÇIKIŞ</t>
        </is>
      </c>
      <c r="C7" s="131" t="n">
        <v>130000</v>
      </c>
      <c r="D7" s="130" t="inlineStr">
        <is>
          <t>KRİTİK</t>
        </is>
      </c>
      <c r="E7" s="92" t="inlineStr">
        <is>
          <t>MAAŞ</t>
        </is>
      </c>
    </row>
    <row r="8" ht="15" customHeight="1" s="57">
      <c r="A8" s="129" t="n">
        <v>2</v>
      </c>
      <c r="B8" s="130" t="inlineStr">
        <is>
          <t>GİRİŞ</t>
        </is>
      </c>
      <c r="C8" s="131" t="n">
        <v>95000</v>
      </c>
      <c r="D8" s="130" t="inlineStr">
        <is>
          <t>KESİN</t>
        </is>
      </c>
      <c r="E8" s="92" t="inlineStr">
        <is>
          <t>MÜŞTERİ TAHSİLATI</t>
        </is>
      </c>
    </row>
    <row r="9" ht="15" customHeight="1" s="57">
      <c r="A9" s="129" t="n">
        <v>2</v>
      </c>
      <c r="B9" s="130" t="inlineStr">
        <is>
          <t>ÇIKIŞ</t>
        </is>
      </c>
      <c r="C9" s="131" t="n">
        <v>90000</v>
      </c>
      <c r="D9" s="130" t="inlineStr">
        <is>
          <t>YÜKSEK</t>
        </is>
      </c>
      <c r="E9" s="92" t="inlineStr">
        <is>
          <t>TEDARİKÇİ</t>
        </is>
      </c>
    </row>
    <row r="10" ht="15" customHeight="1" s="57">
      <c r="A10" s="129" t="n">
        <v>3</v>
      </c>
      <c r="B10" s="130" t="inlineStr">
        <is>
          <t>GİRİŞ</t>
        </is>
      </c>
      <c r="C10" s="131" t="n">
        <v>80000</v>
      </c>
      <c r="D10" s="130" t="inlineStr">
        <is>
          <t>KESİN</t>
        </is>
      </c>
      <c r="E10" s="92" t="inlineStr">
        <is>
          <t>MÜŞTERİ TAHSİLATI</t>
        </is>
      </c>
    </row>
    <row r="11" ht="15" customHeight="1" s="57">
      <c r="A11" s="129" t="n">
        <v>3</v>
      </c>
      <c r="B11" s="130" t="inlineStr">
        <is>
          <t>ÇIKIŞ</t>
        </is>
      </c>
      <c r="C11" s="131" t="n">
        <v>180000</v>
      </c>
      <c r="D11" s="130" t="inlineStr">
        <is>
          <t>KRİTİK</t>
        </is>
      </c>
      <c r="E11" s="92" t="inlineStr">
        <is>
          <t>VERGİ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83" min="1" max="1"/>
    <col width="20" customWidth="1" style="83" min="2" max="2"/>
    <col width="18" customWidth="1" style="83" min="3" max="3"/>
  </cols>
  <sheetData>
    <row r="1" ht="25.5" customHeight="1" s="57">
      <c r="A1" s="84" t="inlineStr">
        <is>
          <t>TESTLER — 13 HAFTALIK NAKİT AKIŞI VE ÖDEME PLANLAMA SİSTEMİ</t>
        </is>
      </c>
    </row>
    <row r="3" ht="15" customHeight="1" s="57">
      <c r="A3" s="115" t="inlineStr">
        <is>
          <t>SİSTEM TESTLERİ VE DENETİM KAYDI</t>
        </is>
      </c>
    </row>
    <row r="5" ht="30" customHeight="1" s="57">
      <c r="A5" s="94" t="inlineStr">
        <is>
          <t>Test</t>
        </is>
      </c>
      <c r="B5" s="94" t="inlineStr">
        <is>
          <t>Canlı Değer</t>
        </is>
      </c>
      <c r="C5" s="94" t="inlineStr">
        <is>
          <t>Durum</t>
        </is>
      </c>
    </row>
    <row r="6" ht="15" customHeight="1" s="57">
      <c r="A6" s="119" t="inlineStr">
        <is>
          <t>Toplam Beklenen Giriş</t>
        </is>
      </c>
      <c r="B6" s="100">
        <f>SUM(NAKIT_GIRISLERI!$E$6:$E$5000)</f>
        <v/>
      </c>
      <c r="C6" s="101">
        <f>IF(B6="","EKSİK","KONTROL EDİLDİ")</f>
        <v/>
      </c>
    </row>
    <row r="7" ht="15" customHeight="1" s="57">
      <c r="A7" s="119" t="inlineStr">
        <is>
          <t>Toplam Planlanan Çıkış</t>
        </is>
      </c>
      <c r="B7" s="100">
        <f>SUM(NAKIT_CIKISLARI!$E$6:$E$5000)</f>
        <v/>
      </c>
      <c r="C7" s="101">
        <f>IF(B7="","EKSİK","KONTROL EDİLDİ")</f>
        <v/>
      </c>
    </row>
    <row r="8" ht="15" customHeight="1" s="57">
      <c r="A8" s="119" t="inlineStr">
        <is>
          <t>Net Nakit Akışı</t>
        </is>
      </c>
      <c r="B8" s="100">
        <f>SUM(NAKIT_GIRISLERI!$E$6:$E$5000)-SUM(NAKIT_CIKISLARI!$E$6:$E$5000)</f>
        <v/>
      </c>
      <c r="C8" s="101">
        <f>IF(B8="","EKSİK","KONTROL EDİLDİ")</f>
        <v/>
      </c>
    </row>
    <row r="9" ht="15" customHeight="1" s="57">
      <c r="A9" s="119" t="inlineStr">
        <is>
          <t>Veri Kalite Skoru</t>
        </is>
      </c>
      <c r="B9" s="107">
        <f>KONTROLLER!$B$6</f>
        <v/>
      </c>
      <c r="C9" s="101">
        <f>IF(B9="","EKSİK","KONTROL EDİLDİ")</f>
        <v/>
      </c>
    </row>
    <row r="10" ht="15" customHeight="1" s="57">
      <c r="A10" s="119" t="inlineStr">
        <is>
          <t>Dönem Sonu Bakiye</t>
        </is>
      </c>
      <c r="B10" s="100">
        <f>KARAR_MOTORU!$B$5</f>
        <v/>
      </c>
      <c r="C10" s="101">
        <f>IF(B10="","EKSİK","KONTROL EDİLDİ")</f>
        <v/>
      </c>
    </row>
    <row r="11" ht="15" customHeight="1" s="57">
      <c r="A11" s="119" t="inlineStr">
        <is>
          <t>Para Bitiş Haftası</t>
        </is>
      </c>
      <c r="B11" s="107">
        <f>KARAR_MOTORU!$B$6</f>
        <v/>
      </c>
      <c r="C11" s="101">
        <f>IF(B11="","EKSİK","KONTROL EDİLDİ")</f>
        <v/>
      </c>
    </row>
    <row r="12" ht="15" customHeight="1" s="57">
      <c r="A12" s="119" t="inlineStr">
        <is>
          <t>Karar Bildirimi</t>
        </is>
      </c>
      <c r="B12" s="101">
        <f>KARAR_MOTORU!$B$8</f>
        <v/>
      </c>
      <c r="C12" s="101">
        <f>IF(B12="","EKSİK","KONTROL EDİLDİ")</f>
        <v/>
      </c>
    </row>
    <row r="16" ht="24.75" customHeight="1" s="57">
      <c r="A16" s="103" t="inlineStr">
        <is>
          <t>Testler, excel_uretim/denetci.py ve test_on_uc_haftalik_nakit_akisi.py ile otomatik çalışır.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83" min="1" max="1"/>
    <col width="16" customWidth="1" style="83" min="2" max="2"/>
    <col width="14" customWidth="1" style="83" min="3" max="4"/>
    <col width="10" customWidth="1" style="83" min="5" max="5"/>
    <col width="14" customWidth="1" style="83" min="6" max="6"/>
    <col width="40" customWidth="1" style="83" min="7" max="7"/>
  </cols>
  <sheetData>
    <row r="1" ht="15" customHeight="1" s="57">
      <c r="A1" s="83" t="inlineStr">
        <is>
          <t>AKIS — OnUcHaftalikNakitAkisiVeOdemePlanlamaSistemi</t>
        </is>
      </c>
    </row>
    <row r="3" ht="15" customHeight="1" s="57">
      <c r="A3" s="83" t="inlineStr">
        <is>
          <t>islem_id</t>
        </is>
      </c>
      <c r="B3" s="83" t="inlineStr">
        <is>
          <t>kaynak_kart_id</t>
        </is>
      </c>
      <c r="C3" s="83" t="inlineStr">
        <is>
          <t>onceki_durum</t>
        </is>
      </c>
      <c r="D3" s="83" t="inlineStr">
        <is>
          <t>yeni_durum</t>
        </is>
      </c>
      <c r="E3" s="83" t="inlineStr">
        <is>
          <t>tutar</t>
        </is>
      </c>
      <c r="F3" s="83" t="inlineStr">
        <is>
          <t>bayrak</t>
        </is>
      </c>
      <c r="G3" s="83" t="inlineStr">
        <is>
          <t>not</t>
        </is>
      </c>
    </row>
    <row r="4" ht="15" customHeight="1" s="57">
      <c r="A4" s="83" t="inlineStr">
        <is>
          <t>I-001</t>
        </is>
      </c>
      <c r="B4" s="83" t="inlineStr">
        <is>
          <t>KART-01</t>
        </is>
      </c>
      <c r="C4" s="83" t="inlineStr">
        <is>
          <t>ACIK</t>
        </is>
      </c>
      <c r="D4" s="83" t="inlineStr">
        <is>
          <t>ISLEMDE</t>
        </is>
      </c>
      <c r="E4" s="132" t="n">
        <v>1000</v>
      </c>
      <c r="F4" s="83" t="inlineStr">
        <is>
          <t>OK</t>
        </is>
      </c>
      <c r="G4" s="83" t="inlineStr">
        <is>
          <t>normal geçiş</t>
        </is>
      </c>
    </row>
    <row r="5" ht="15" customHeight="1" s="57">
      <c r="A5" s="83" t="inlineStr">
        <is>
          <t>I-002</t>
        </is>
      </c>
      <c r="B5" s="83" t="inlineStr">
        <is>
          <t>YETİM</t>
        </is>
      </c>
      <c r="C5" s="83" t="inlineStr">
        <is>
          <t>ACIK</t>
        </is>
      </c>
      <c r="D5" s="83" t="inlineStr">
        <is>
          <t>KAPALI</t>
        </is>
      </c>
      <c r="E5" s="132" t="n">
        <v>0</v>
      </c>
      <c r="F5" s="83" t="inlineStr">
        <is>
          <t>YETİM</t>
        </is>
      </c>
      <c r="G5" s="83" t="inlineStr">
        <is>
          <t>kaynak_kart_id yok — yetim kayıt</t>
        </is>
      </c>
    </row>
    <row r="6" ht="15" customHeight="1" s="57">
      <c r="A6" s="83" t="inlineStr">
        <is>
          <t>I-003</t>
        </is>
      </c>
      <c r="B6" s="83" t="inlineStr">
        <is>
          <t>KART-02</t>
        </is>
      </c>
      <c r="C6" s="83" t="inlineStr">
        <is>
          <t>ACIK</t>
        </is>
      </c>
      <c r="D6" s="83" t="inlineStr">
        <is>
          <t>KAPALI</t>
        </is>
      </c>
      <c r="E6" s="132" t="n">
        <v>500</v>
      </c>
      <c r="F6" s="83" t="inlineStr">
        <is>
          <t>GECERSIZ</t>
        </is>
      </c>
      <c r="G6" s="83" t="inlineStr">
        <is>
          <t>geçersiz durum geçişi</t>
        </is>
      </c>
    </row>
    <row r="7" ht="15" customHeight="1" s="57">
      <c r="A7" s="83" t="inlineStr">
        <is>
          <t>I-004</t>
        </is>
      </c>
      <c r="B7" s="83" t="inlineStr">
        <is>
          <t>KART-03</t>
        </is>
      </c>
      <c r="C7" s="83" t="inlineStr">
        <is>
          <t>ISLEMDE</t>
        </is>
      </c>
      <c r="D7" s="83" t="inlineStr">
        <is>
          <t>ISLEMDE</t>
        </is>
      </c>
      <c r="E7" s="132" t="n">
        <v>250</v>
      </c>
      <c r="F7" s="83" t="inlineStr">
        <is>
          <t>ZINCIR_KIRIK</t>
        </is>
      </c>
      <c r="G7" s="83" t="inlineStr">
        <is>
          <t>ZİNCİR KIRIK — tutar zinciri sapması</t>
        </is>
      </c>
    </row>
    <row r="9" ht="15" customHeight="1" s="57">
      <c r="A9" s="83" t="inlineStr">
        <is>
          <t>kuyruk_kanit</t>
        </is>
      </c>
      <c r="B9" s="83">
        <f>IFERROR(COUNTIF($F$4:$F$1000,"OK"),0)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83" min="1" max="1"/>
    <col width="14" customWidth="1" style="83" min="2" max="2"/>
    <col width="80" customWidth="1" style="83" min="3" max="3"/>
  </cols>
  <sheetData>
    <row r="1" ht="25.5" customHeight="1" s="57">
      <c r="A1" s="84" t="inlineStr">
        <is>
          <t>DEGISIKLIK KAYDI — 13 HAFTALIK NAKİT AKIŞI VE ÖDEME PLANLAMA SİSTEMİ</t>
        </is>
      </c>
    </row>
    <row r="3" ht="15" customHeight="1" s="57">
      <c r="A3" s="115" t="inlineStr">
        <is>
          <t>DEGİŞİKLİK KAYDI</t>
        </is>
      </c>
    </row>
    <row r="5" ht="30" customHeight="1" s="57">
      <c r="A5" s="94" t="inlineStr">
        <is>
          <t>Sürüm</t>
        </is>
      </c>
      <c r="B5" s="94" t="inlineStr">
        <is>
          <t>Tarih</t>
        </is>
      </c>
      <c r="C5" s="94" t="inlineStr">
        <is>
          <t>Açıklama</t>
        </is>
      </c>
    </row>
    <row r="6" ht="15" customHeight="1" s="57">
      <c r="A6" s="130" t="inlineStr">
        <is>
          <t>1.0</t>
        </is>
      </c>
      <c r="B6" s="130" t="inlineStr">
        <is>
          <t>08.08.2026</t>
        </is>
      </c>
      <c r="C6" s="92" t="inlineStr">
        <is>
          <t>İlk sürüm: 13 haftalık nakit akışı, para bitiş tespiti ve önlem önerisi üretimi.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83" min="1" max="1"/>
    <col width="20" customWidth="1" style="83" min="3" max="3"/>
    <col width="16" customWidth="1" style="83" min="5" max="5"/>
    <col width="18" customWidth="1" style="83" min="7" max="7"/>
  </cols>
  <sheetData>
    <row r="1" ht="25.5" customHeight="1" s="57">
      <c r="A1" s="84" t="inlineStr">
        <is>
          <t>LISTELER — 13 HAFTALIK NAKİT AKIŞI VE ÖDEME PLANLAMA SİSTEMİ</t>
        </is>
      </c>
    </row>
    <row r="3" ht="15" customHeight="1" s="57">
      <c r="A3" s="115" t="inlineStr">
        <is>
          <t>AÇILIR LİSTE KAYNAKLARI</t>
        </is>
      </c>
    </row>
    <row r="5" ht="15" customHeight="1" s="57">
      <c r="A5" s="106" t="inlineStr">
        <is>
          <t>Güvence</t>
        </is>
      </c>
      <c r="C5" s="106" t="inlineStr">
        <is>
          <t>Kaynak</t>
        </is>
      </c>
      <c r="E5" s="106" t="inlineStr">
        <is>
          <t>Kalem</t>
        </is>
      </c>
      <c r="G5" s="106" t="inlineStr">
        <is>
          <t>Öncelik</t>
        </is>
      </c>
    </row>
    <row r="6" ht="15" customHeight="1" s="57">
      <c r="A6" s="130" t="inlineStr">
        <is>
          <t>KESİN</t>
        </is>
      </c>
      <c r="C6" s="92" t="inlineStr">
        <is>
          <t>MÜŞTERİ TAHSİLATI</t>
        </is>
      </c>
      <c r="E6" s="92" t="inlineStr">
        <is>
          <t>MAAŞ</t>
        </is>
      </c>
      <c r="G6" s="130" t="inlineStr">
        <is>
          <t>KRİTİK</t>
        </is>
      </c>
    </row>
    <row r="7" ht="15" customHeight="1" s="57">
      <c r="A7" s="130" t="inlineStr">
        <is>
          <t>BEKLENEN</t>
        </is>
      </c>
      <c r="C7" s="92" t="inlineStr">
        <is>
          <t>SATIŞ</t>
        </is>
      </c>
      <c r="E7" s="92" t="inlineStr">
        <is>
          <t>KİRA</t>
        </is>
      </c>
      <c r="G7" s="130" t="inlineStr">
        <is>
          <t>YÜKSEK</t>
        </is>
      </c>
    </row>
    <row r="8" ht="15" customHeight="1" s="57">
      <c r="A8" s="130" t="inlineStr">
        <is>
          <t>BELİRSİZ</t>
        </is>
      </c>
      <c r="C8" s="92" t="inlineStr">
        <is>
          <t>FİNANSMAN</t>
        </is>
      </c>
      <c r="E8" s="92" t="inlineStr">
        <is>
          <t>VERGİ</t>
        </is>
      </c>
      <c r="G8" s="130" t="inlineStr">
        <is>
          <t>ORTA</t>
        </is>
      </c>
    </row>
    <row r="9" ht="15" customHeight="1" s="57">
      <c r="C9" s="92" t="inlineStr">
        <is>
          <t>SERMAYE</t>
        </is>
      </c>
      <c r="E9" s="92" t="inlineStr">
        <is>
          <t>SGK</t>
        </is>
      </c>
      <c r="G9" s="130" t="inlineStr">
        <is>
          <t>ERTELENEBİLİR</t>
        </is>
      </c>
    </row>
    <row r="10" ht="15" customHeight="1" s="57">
      <c r="C10" s="92" t="inlineStr">
        <is>
          <t>DİĞER</t>
        </is>
      </c>
      <c r="E10" s="92" t="inlineStr">
        <is>
          <t>TEDARİKÇİ</t>
        </is>
      </c>
    </row>
    <row r="11" ht="15" customHeight="1" s="57">
      <c r="E11" s="92" t="inlineStr">
        <is>
          <t>KREDİ TAKSİTİ</t>
        </is>
      </c>
    </row>
    <row r="12" ht="15" customHeight="1" s="57">
      <c r="E12" s="92" t="inlineStr">
        <is>
          <t>FATURA</t>
        </is>
      </c>
    </row>
    <row r="13" ht="15" customHeight="1" s="57">
      <c r="E13" s="92" t="inlineStr">
        <is>
          <t>DİĞER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83" min="1" max="1"/>
    <col width="42" customWidth="1" style="83" min="2" max="2"/>
    <col width="12" customWidth="1" style="83" min="3" max="3"/>
    <col width="56" customWidth="1" style="83" min="4" max="4"/>
    <col width="20" customWidth="1" style="83" min="5" max="5"/>
    <col width="14" customWidth="1" style="83" min="6" max="7"/>
    <col width="16" customWidth="1" style="83" min="10" max="10"/>
    <col width="13" customWidth="1" style="83" min="11" max="11"/>
    <col width="28" customWidth="1" style="83" min="12" max="12"/>
    <col width="16" customWidth="1" style="83" min="13" max="13"/>
    <col width="13" customWidth="1" style="83" min="14" max="14"/>
  </cols>
  <sheetData>
    <row r="1" ht="25.5" customHeight="1" s="57">
      <c r="A1" s="84" t="inlineStr">
        <is>
          <t>AYARLAR — 13 HAFTALIK NAKİT AKIŞI VE ÖDEME PLANLAMA SİSTEMİ</t>
        </is>
      </c>
    </row>
    <row r="2" ht="19.5" customHeight="1" s="57">
      <c r="A2" s="108" t="inlineStr">
        <is>
          <t>Tüm eşikler, katsayılar ve firma bilgileri tek kaynaktan (SSOT) buradan yönetilir. Sarı hücrelere değer girilir; kaynağı olmayan her parametre 'Varsayım' işaretlidir (D10).</t>
        </is>
      </c>
    </row>
    <row r="4" ht="15" customHeight="1" s="57">
      <c r="A4" s="109" t="inlineStr">
        <is>
          <t>FIRMA BİLGİLERİ</t>
        </is>
      </c>
    </row>
    <row r="5" ht="15" customHeight="1" s="57">
      <c r="A5" s="110" t="inlineStr">
        <is>
          <t>Firma Unvanı</t>
        </is>
      </c>
      <c r="B5" s="133" t="inlineStr">
        <is>
          <t>Örnek Anadolu Üretim ve Ticaret A.Ş.</t>
        </is>
      </c>
      <c r="E5" s="134" t="inlineStr">
        <is>
          <t>Açıklama</t>
        </is>
      </c>
    </row>
    <row r="6" ht="15" customHeight="1" s="57">
      <c r="A6" s="110" t="inlineStr">
        <is>
          <t>Rapor Tarihi</t>
        </is>
      </c>
      <c r="B6" s="96" t="n">
        <v>46244</v>
      </c>
      <c r="E6" s="134" t="inlineStr">
        <is>
          <t>Açıklama</t>
        </is>
      </c>
    </row>
    <row r="7" ht="15" customHeight="1" s="57">
      <c r="A7" s="110" t="inlineStr">
        <is>
          <t>Rapor Hazırlayan</t>
        </is>
      </c>
      <c r="B7" s="133" t="inlineStr">
        <is>
          <t>Finans Direktörü</t>
        </is>
      </c>
      <c r="E7" s="134" t="inlineStr">
        <is>
          <t>Açıklama</t>
        </is>
      </c>
    </row>
    <row r="8" ht="15" customHeight="1" s="57">
      <c r="A8" s="110" t="inlineStr">
        <is>
          <t>Dosya Sürümü</t>
        </is>
      </c>
      <c r="B8" s="133" t="inlineStr">
        <is>
          <t>1.0</t>
        </is>
      </c>
      <c r="E8" s="134" t="inlineStr">
        <is>
          <t>Açıklama</t>
        </is>
      </c>
    </row>
    <row r="9" ht="15" customHeight="1" s="57">
      <c r="A9" s="110" t="inlineStr">
        <is>
          <t>Lisans Kodu</t>
        </is>
      </c>
      <c r="B9" s="133" t="inlineStr">
        <is>
          <t>EKSRV-2026-13H-0001</t>
        </is>
      </c>
      <c r="E9" s="134" t="inlineStr">
        <is>
          <t>Açıklama</t>
        </is>
      </c>
    </row>
    <row r="10" ht="15" customHeight="1" s="57">
      <c r="A10" s="110" t="inlineStr">
        <is>
          <t>Para Birimi</t>
        </is>
      </c>
      <c r="B10" s="133" t="inlineStr">
        <is>
          <t>TRY</t>
        </is>
      </c>
      <c r="E10" s="134" t="inlineStr">
        <is>
          <t>Açıklama</t>
        </is>
      </c>
    </row>
    <row r="12" ht="15" customHeight="1" s="57">
      <c r="A12" s="109" t="inlineStr">
        <is>
          <t>MODEL EŞİKLERİ</t>
        </is>
      </c>
    </row>
    <row r="13" ht="15" customHeight="1" s="57">
      <c r="A13" s="135" t="inlineStr">
        <is>
          <t>anahtar</t>
        </is>
      </c>
      <c r="B13" s="135" t="inlineStr">
        <is>
          <t>deger</t>
        </is>
      </c>
      <c r="C13" s="135" t="inlineStr">
        <is>
          <t>birim</t>
        </is>
      </c>
      <c r="D13" s="135" t="inlineStr">
        <is>
          <t>aciklama</t>
        </is>
      </c>
      <c r="E13" s="135" t="inlineStr">
        <is>
          <t>kaynak</t>
        </is>
      </c>
      <c r="F13" s="135" t="inlineStr">
        <is>
          <t>yururluk_tarihi</t>
        </is>
      </c>
      <c r="G13" s="135" t="inlineStr">
        <is>
          <t>dogrulama_tarihi</t>
        </is>
      </c>
    </row>
    <row r="14" ht="15" customHeight="1" s="57">
      <c r="A14" s="119" t="inlineStr">
        <is>
          <t>Başlangıç Nakit Bakiyesi</t>
        </is>
      </c>
      <c r="B14" s="99" t="n">
        <v>500000</v>
      </c>
      <c r="C14" s="119" t="inlineStr">
        <is>
          <t>₺</t>
        </is>
      </c>
      <c r="D14" s="119" t="inlineStr">
        <is>
          <t>13 haftanın ilk dönem başı bakiyesi; karar motoru buradan başlar.</t>
        </is>
      </c>
      <c r="E14" s="119" t="inlineStr">
        <is>
          <t>Kullanıcı beyanı</t>
        </is>
      </c>
      <c r="F14" s="119" t="inlineStr">
        <is>
          <t>10.08.2026</t>
        </is>
      </c>
      <c r="G14" s="119" t="inlineStr">
        <is>
          <t>10.08.2026</t>
        </is>
      </c>
    </row>
    <row r="15" ht="15" customHeight="1" s="57">
      <c r="A15" s="119" t="inlineStr">
        <is>
          <t>Asgari Nakit Tamponu</t>
        </is>
      </c>
      <c r="B15" s="99" t="n">
        <v>50000</v>
      </c>
      <c r="C15" s="119" t="inlineStr">
        <is>
          <t>₺</t>
        </is>
      </c>
      <c r="D15" s="119" t="inlineStr">
        <is>
          <t>Bu eşiğin altına düşen hafta 'RİSK ALTINDA' işaretlenir.</t>
        </is>
      </c>
      <c r="E15" s="119" t="inlineStr">
        <is>
          <t>Varsayım</t>
        </is>
      </c>
      <c r="F15" s="119" t="inlineStr">
        <is>
          <t>10.08.2026</t>
        </is>
      </c>
      <c r="G15" s="119" t="inlineStr">
        <is>
          <t>10.08.2026</t>
        </is>
      </c>
    </row>
    <row r="16" ht="15" customHeight="1" s="57">
      <c r="A16" s="119" t="inlineStr">
        <is>
          <t>Hafta Uzunluğu (gün)</t>
        </is>
      </c>
      <c r="B16" s="136" t="n">
        <v>7</v>
      </c>
      <c r="C16" s="119" t="inlineStr">
        <is>
          <t>gün</t>
        </is>
      </c>
      <c r="D16" s="119" t="inlineStr">
        <is>
          <t>Bir planlama haftasının gün sayısı.</t>
        </is>
      </c>
      <c r="E16" s="119" t="inlineStr">
        <is>
          <t>Tasarım</t>
        </is>
      </c>
      <c r="F16" s="119" t="inlineStr">
        <is>
          <t>10.08.2026</t>
        </is>
      </c>
      <c r="G16" s="119" t="inlineStr">
        <is>
          <t>10.08.2026</t>
        </is>
      </c>
    </row>
    <row r="17" ht="15" customHeight="1" s="57">
      <c r="A17" s="119" t="inlineStr">
        <is>
          <t>Veri Kalite Üst Eşiği</t>
        </is>
      </c>
      <c r="B17" s="136" t="n">
        <v>80</v>
      </c>
      <c r="C17" s="119" t="inlineStr">
        <is>
          <t>puan</t>
        </is>
      </c>
      <c r="D17" s="119" t="inlineStr">
        <is>
          <t>Skor bu değer üstünde ise 'SAĞLIKLI'.</t>
        </is>
      </c>
      <c r="E17" s="119" t="inlineStr">
        <is>
          <t>Varsayım</t>
        </is>
      </c>
      <c r="F17" s="119" t="inlineStr">
        <is>
          <t>10.08.2026</t>
        </is>
      </c>
      <c r="G17" s="119" t="inlineStr">
        <is>
          <t>10.08.2026</t>
        </is>
      </c>
    </row>
    <row r="18" ht="15" customHeight="1" s="57">
      <c r="A18" s="119" t="inlineStr">
        <is>
          <t>Veri Kalite Orta Eşiği</t>
        </is>
      </c>
      <c r="B18" s="136" t="n">
        <v>60</v>
      </c>
      <c r="C18" s="119" t="inlineStr">
        <is>
          <t>puan</t>
        </is>
      </c>
      <c r="D18" s="119" t="inlineStr">
        <is>
          <t>Skor bu değer ile üst eşik arasında ise 'İZLEME GEREKLİ'.</t>
        </is>
      </c>
      <c r="E18" s="119" t="inlineStr">
        <is>
          <t>Varsayım</t>
        </is>
      </c>
      <c r="F18" s="119" t="inlineStr">
        <is>
          <t>10.08.2026</t>
        </is>
      </c>
      <c r="G18" s="119" t="inlineStr">
        <is>
          <t>10.08.2026</t>
        </is>
      </c>
    </row>
    <row r="19" ht="15" customHeight="1" s="57">
      <c r="A19" s="119" t="inlineStr">
        <is>
          <t>Uyarı Puan Kesintisi</t>
        </is>
      </c>
      <c r="B19" s="136" t="n">
        <v>5</v>
      </c>
      <c r="C19" s="119" t="inlineStr">
        <is>
          <t>puan</t>
        </is>
      </c>
      <c r="D19" s="119" t="inlineStr">
        <is>
          <t>Her kural ihlali için veri kalite skorundan düşüm.</t>
        </is>
      </c>
      <c r="E19" s="119" t="inlineStr">
        <is>
          <t>Varsayım</t>
        </is>
      </c>
      <c r="F19" s="119" t="inlineStr">
        <is>
          <t>10.08.2026</t>
        </is>
      </c>
      <c r="G19" s="119" t="inlineStr">
        <is>
          <t>10.08.2026</t>
        </is>
      </c>
    </row>
    <row r="20" ht="15" customHeight="1" s="57">
      <c r="A20" s="119" t="inlineStr">
        <is>
          <t>Aşırı Giriş Tutarı</t>
        </is>
      </c>
      <c r="B20" s="99" t="n">
        <v>500000</v>
      </c>
      <c r="C20" s="119" t="inlineStr">
        <is>
          <t>₺</t>
        </is>
      </c>
      <c r="D20" s="119" t="inlineStr">
        <is>
          <t>Bu tutar üstü giriş 'AŞIRI TUTAR' işaretlenir.</t>
        </is>
      </c>
      <c r="E20" s="119" t="inlineStr">
        <is>
          <t>Varsayım</t>
        </is>
      </c>
      <c r="F20" s="119" t="inlineStr">
        <is>
          <t>10.08.2026</t>
        </is>
      </c>
      <c r="G20" s="119" t="inlineStr">
        <is>
          <t>10.08.2026</t>
        </is>
      </c>
    </row>
    <row r="21" ht="15" customHeight="1" s="57">
      <c r="A21" s="119" t="inlineStr">
        <is>
          <t>Aşırı Çıkış Tutarı</t>
        </is>
      </c>
      <c r="B21" s="99" t="n">
        <v>500000</v>
      </c>
      <c r="C21" s="119" t="inlineStr">
        <is>
          <t>₺</t>
        </is>
      </c>
      <c r="D21" s="119" t="inlineStr">
        <is>
          <t>Bu tutar üstü çıkış 'AŞIRI TUTAR' işaretlenir.</t>
        </is>
      </c>
      <c r="E21" s="119" t="inlineStr">
        <is>
          <t>Varsayım</t>
        </is>
      </c>
      <c r="F21" s="119" t="inlineStr">
        <is>
          <t>10.08.2026</t>
        </is>
      </c>
      <c r="G21" s="119" t="inlineStr">
        <is>
          <t>10.08.2026</t>
        </is>
      </c>
    </row>
    <row r="22" ht="15" customHeight="1" s="57">
      <c r="A22" s="119" t="inlineStr">
        <is>
          <t>Duyarlılık Değişim Oranı</t>
        </is>
      </c>
      <c r="B22" s="137" t="n">
        <v>0.1</v>
      </c>
      <c r="C22" s="119" t="inlineStr">
        <is>
          <t>oran</t>
        </is>
      </c>
      <c r="D22" s="119" t="inlineStr">
        <is>
          <t>Motor O2 tornado ve senaryo analizindeki varsayılan değişim oranı.</t>
        </is>
      </c>
      <c r="E22" s="119" t="inlineStr">
        <is>
          <t>Varsayım</t>
        </is>
      </c>
      <c r="F22" s="119" t="inlineStr">
        <is>
          <t>10.08.2026</t>
        </is>
      </c>
      <c r="G22" s="119" t="inlineStr">
        <is>
          <t>10.08.2026</t>
        </is>
      </c>
    </row>
    <row r="23" ht="15" customHeight="1" s="57">
      <c r="A23" s="119" t="inlineStr">
        <is>
          <t>Minimum Veri Sayısı</t>
        </is>
      </c>
      <c r="B23" s="136" t="n">
        <v>6</v>
      </c>
      <c r="C23" s="119" t="inlineStr">
        <is>
          <t>kayıt</t>
        </is>
      </c>
      <c r="D23" s="119" t="inlineStr">
        <is>
          <t>Giriş+çıkış kayıt sayısı bu eşiğin altında ise karar 'VERİ YOK' olur.</t>
        </is>
      </c>
      <c r="E23" s="119" t="inlineStr">
        <is>
          <t>Varsayım</t>
        </is>
      </c>
      <c r="F23" s="119" t="inlineStr">
        <is>
          <t>10.08.2026</t>
        </is>
      </c>
      <c r="G23" s="119" t="inlineStr">
        <is>
          <t>10.08.2026</t>
        </is>
      </c>
    </row>
    <row r="24" ht="15" customHeight="1" s="57">
      <c r="A24" s="119" t="inlineStr">
        <is>
          <t>Kıtlık Günlük Maliyet Oranı</t>
        </is>
      </c>
      <c r="B24" s="137" t="n">
        <v>0.002</v>
      </c>
      <c r="C24" s="119" t="inlineStr">
        <is>
          <t>oran</t>
        </is>
      </c>
      <c r="D24" s="119" t="inlineStr">
        <is>
          <t>Negatif bakiyenin günlük tahmini finansman maliyeti (O5).</t>
        </is>
      </c>
      <c r="E24" s="119" t="inlineStr">
        <is>
          <t>Varsayım</t>
        </is>
      </c>
      <c r="F24" s="119" t="inlineStr">
        <is>
          <t>10.08.2026</t>
        </is>
      </c>
      <c r="G24" s="119" t="inlineStr">
        <is>
          <t>10.08.2026</t>
        </is>
      </c>
    </row>
    <row r="25" ht="15" customHeight="1" s="57">
      <c r="A25" s="119" t="inlineStr">
        <is>
          <t>Tahmin Hafta Ufku</t>
        </is>
      </c>
      <c r="B25" s="136" t="n">
        <v>3</v>
      </c>
      <c r="C25" s="119" t="inlineStr">
        <is>
          <t>hafta</t>
        </is>
      </c>
      <c r="D25" s="119" t="inlineStr">
        <is>
          <t>İleriye dönük bakiye tahmininin hafta ufku (I1).</t>
        </is>
      </c>
      <c r="E25" s="119" t="inlineStr">
        <is>
          <t>Tasarım</t>
        </is>
      </c>
      <c r="F25" s="119" t="inlineStr">
        <is>
          <t>10.08.2026</t>
        </is>
      </c>
      <c r="G25" s="119" t="inlineStr">
        <is>
          <t>10.08.2026</t>
        </is>
      </c>
    </row>
    <row r="26" ht="15" customHeight="1" s="57">
      <c r="A26" s="119" t="inlineStr">
        <is>
          <t>Plan Hafta Sayısı</t>
        </is>
      </c>
      <c r="B26" s="136" t="n">
        <v>13</v>
      </c>
      <c r="C26" s="119" t="inlineStr">
        <is>
          <t>hafta</t>
        </is>
      </c>
      <c r="D26" s="119" t="inlineStr">
        <is>
          <t>Nakit planlama ufku; hafta numarası üst sınırı.</t>
        </is>
      </c>
      <c r="E26" s="119" t="inlineStr">
        <is>
          <t>Tasarım</t>
        </is>
      </c>
      <c r="F26" s="119" t="inlineStr">
        <is>
          <t>10.08.2026</t>
        </is>
      </c>
      <c r="G26" s="119" t="inlineStr">
        <is>
          <t>10.08.2026</t>
        </is>
      </c>
    </row>
    <row r="27" ht="15" customHeight="1" s="57">
      <c r="A27" s="119" t="inlineStr">
        <is>
          <t>Kritik Ödeme Payı Eşiği</t>
        </is>
      </c>
      <c r="B27" s="137" t="n">
        <v>0.3</v>
      </c>
      <c r="C27" s="119" t="inlineStr">
        <is>
          <t>oran</t>
        </is>
      </c>
      <c r="D27" s="119" t="inlineStr">
        <is>
          <t>Kritik ödemelerin toplam çıkışa oranı bu eşiği aşarsa uyarı (T6).</t>
        </is>
      </c>
      <c r="E27" s="119" t="inlineStr">
        <is>
          <t>Varsayım</t>
        </is>
      </c>
      <c r="F27" s="119" t="inlineStr">
        <is>
          <t>10.08.2026</t>
        </is>
      </c>
      <c r="G27" s="119" t="inlineStr">
        <is>
          <t>10.08.2026</t>
        </is>
      </c>
    </row>
    <row r="28" ht="27.75" customHeight="1" s="57">
      <c r="A28" s="119" t="inlineStr">
        <is>
          <t>Maksimum Tarih Ufku</t>
        </is>
      </c>
      <c r="B28" s="136" t="n">
        <v>3000</v>
      </c>
      <c r="C28" s="119" t="inlineStr">
        <is>
          <t>gün</t>
        </is>
      </c>
      <c r="D28" s="119" t="inlineStr">
        <is>
          <t>Hafta planı başlangıç tarihinden itibaren hesaplanabilecek azami gün ufku; taşmayı önler.</t>
        </is>
      </c>
      <c r="E28" s="119" t="inlineStr">
        <is>
          <t>Tasarım</t>
        </is>
      </c>
      <c r="F28" s="119" t="inlineStr">
        <is>
          <t>10.08.2026</t>
        </is>
      </c>
      <c r="G28" s="119" t="inlineStr">
        <is>
          <t>10.08.2026</t>
        </is>
      </c>
    </row>
    <row r="29" ht="27.75" customHeight="1" s="57">
      <c r="A29" s="119" t="inlineStr">
        <is>
          <t>Senaryo Belirsizlik Eşiği</t>
        </is>
      </c>
      <c r="B29" s="137" t="n">
        <v>0.2</v>
      </c>
      <c r="C29" s="119" t="inlineStr">
        <is>
          <t>oran</t>
        </is>
      </c>
      <c r="D29" s="119" t="inlineStr">
        <is>
          <t>İyimser-kötümser bakiye farkının baz bakiyeye oranı bu eşiği aşarsa uyarı (O3).</t>
        </is>
      </c>
      <c r="E29" s="119" t="inlineStr">
        <is>
          <t>Varsayım</t>
        </is>
      </c>
      <c r="F29" s="119" t="inlineStr">
        <is>
          <t>10.08.2026</t>
        </is>
      </c>
      <c r="G29" s="119" t="inlineStr">
        <is>
          <t>10.08.2026</t>
        </is>
      </c>
    </row>
    <row r="30" ht="27.75" customHeight="1" s="57">
      <c r="A30" s="119" t="inlineStr">
        <is>
          <t>Nakit Dönüşüm Eşiği</t>
        </is>
      </c>
      <c r="B30" s="137" t="n">
        <v>0.1</v>
      </c>
      <c r="C30" s="119" t="inlineStr">
        <is>
          <t>oran</t>
        </is>
      </c>
      <c r="D30" s="119" t="inlineStr">
        <is>
          <t>Net akışın toplam girişe oranı bu eşiğin altındaysa nakit üretimi zayıf sayılır (O4).</t>
        </is>
      </c>
      <c r="E30" s="119" t="inlineStr">
        <is>
          <t>Varsayım</t>
        </is>
      </c>
      <c r="F30" s="119" t="inlineStr">
        <is>
          <t>10.08.2026</t>
        </is>
      </c>
      <c r="G30" s="119" t="inlineStr">
        <is>
          <t>10.08.2026</t>
        </is>
      </c>
    </row>
    <row r="31" ht="27.75" customHeight="1" s="57">
      <c r="A31" s="119" t="inlineStr">
        <is>
          <t>Yoğunlaşma Eşiği</t>
        </is>
      </c>
      <c r="B31" s="137" t="n">
        <v>0.5</v>
      </c>
      <c r="C31" s="119" t="inlineStr">
        <is>
          <t>oran</t>
        </is>
      </c>
      <c r="D31" s="119" t="inlineStr">
        <is>
          <t>Gider HHI endeksi bu eşiği aşarsa tek kalem yoğunluğu uyarısı verilir (O6).</t>
        </is>
      </c>
      <c r="E31" s="119" t="inlineStr">
        <is>
          <t>Varsayım</t>
        </is>
      </c>
      <c r="F31" s="119" t="inlineStr">
        <is>
          <t>10.08.2026</t>
        </is>
      </c>
      <c r="G31" s="119" t="inlineStr">
        <is>
          <t>10.08.2026</t>
        </is>
      </c>
    </row>
    <row r="32" ht="15" customHeight="1" s="57">
      <c r="A32" s="119" t="inlineStr">
        <is>
          <t>P90 Yüzdelik Dilimi</t>
        </is>
      </c>
      <c r="B32" s="137" t="n">
        <v>0.9</v>
      </c>
      <c r="C32" s="119" t="inlineStr">
        <is>
          <t>oran</t>
        </is>
      </c>
      <c r="D32" s="119" t="inlineStr">
        <is>
          <t>Net akış P90 hesabında kullanılan yüzdelik dilim (I2).</t>
        </is>
      </c>
      <c r="E32" s="119" t="inlineStr">
        <is>
          <t>Tasarım</t>
        </is>
      </c>
      <c r="F32" s="119" t="inlineStr">
        <is>
          <t>10.08.2026</t>
        </is>
      </c>
      <c r="G32" s="119" t="inlineStr">
        <is>
          <t>10.08.2026</t>
        </is>
      </c>
    </row>
    <row r="34" ht="15" customHeight="1" s="57">
      <c r="J34" s="83" t="inlineStr">
        <is>
          <t>durum_haritasi</t>
        </is>
      </c>
      <c r="K34" s="83" t="inlineStr">
        <is>
          <t>durum_id</t>
        </is>
      </c>
      <c r="L34" s="83" t="inlineStr">
        <is>
          <t>durum_adi</t>
        </is>
      </c>
      <c r="M34" s="83" t="inlineStr">
        <is>
          <t>izinli_sonraki</t>
        </is>
      </c>
      <c r="N34" s="83" t="inlineStr">
        <is>
          <t>kategori</t>
        </is>
      </c>
    </row>
    <row r="35" ht="15" customHeight="1" s="57">
      <c r="J35" s="83" t="inlineStr">
        <is>
          <t>HARITA</t>
        </is>
      </c>
      <c r="K35" s="83" t="inlineStr">
        <is>
          <t>ACIK</t>
        </is>
      </c>
      <c r="L35" s="83" t="inlineStr">
        <is>
          <t>Açık</t>
        </is>
      </c>
      <c r="M35" s="83" t="inlineStr">
        <is>
          <t>ISLEMDE</t>
        </is>
      </c>
      <c r="N35" s="83" t="inlineStr">
        <is>
          <t>acik</t>
        </is>
      </c>
    </row>
    <row r="36" ht="15" customHeight="1" s="57">
      <c r="J36" s="83" t="inlineStr">
        <is>
          <t>HARITA</t>
        </is>
      </c>
      <c r="K36" s="83" t="inlineStr">
        <is>
          <t>ISLEMDE</t>
        </is>
      </c>
      <c r="L36" s="83" t="inlineStr">
        <is>
          <t>İşlemde</t>
        </is>
      </c>
      <c r="M36" s="83" t="inlineStr">
        <is>
          <t>KAPALI</t>
        </is>
      </c>
      <c r="N36" s="83" t="inlineStr">
        <is>
          <t>acik</t>
        </is>
      </c>
    </row>
    <row r="37" ht="15" customHeight="1" s="57">
      <c r="J37" s="83" t="inlineStr">
        <is>
          <t>HARITA</t>
        </is>
      </c>
      <c r="K37" s="83" t="inlineStr">
        <is>
          <t>KAPALI</t>
        </is>
      </c>
      <c r="L37" s="83" t="inlineStr">
        <is>
          <t>Kapalı</t>
        </is>
      </c>
      <c r="M37" s="83" t="inlineStr">
        <is>
          <t>-</t>
        </is>
      </c>
      <c r="N37" s="83" t="inlineStr">
        <is>
          <t>kapali</t>
        </is>
      </c>
    </row>
    <row r="38" ht="15" customHeight="1" s="57">
      <c r="J38" s="83" t="inlineStr">
        <is>
          <t>HARITA</t>
        </is>
      </c>
      <c r="K38" s="83" t="inlineStr">
        <is>
          <t>GECERSIZ</t>
        </is>
      </c>
      <c r="L38" s="83" t="inlineStr">
        <is>
          <t>Geçersiz geçiş uyarısı</t>
        </is>
      </c>
      <c r="M38" s="83" t="inlineStr">
        <is>
          <t>-</t>
        </is>
      </c>
      <c r="N38" s="83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BH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0" customWidth="1" style="83" min="1" max="1"/>
  </cols>
  <sheetData>
    <row r="1" ht="25.5" customHeight="1" s="57">
      <c r="A1" s="84" t="inlineStr">
        <is>
          <t>KILAVUZ — 13 HAFTALIK NAKİT AKIŞI VE ÖDEME PLANLAMA SİSTEMİ</t>
        </is>
      </c>
    </row>
    <row r="3" ht="15" customHeight="1" s="57">
      <c r="A3" s="115" t="inlineStr">
        <is>
          <t>KULLANIM KILAVUZU</t>
        </is>
      </c>
    </row>
    <row r="5" ht="15" customHeight="1" s="57">
      <c r="A5" s="125" t="inlineStr">
        <is>
          <t>1. AMAÇ</t>
        </is>
      </c>
    </row>
    <row r="6" ht="25.5" customHeight="1" s="57">
      <c r="A6" s="119" t="inlineStr">
        <is>
          <t>13 haftalık nakit akışının hangi haftada tükeneceğini öngörür ve önlem önerisi üretir.</t>
        </is>
      </c>
    </row>
    <row r="7" ht="15" customHeight="1" s="57">
      <c r="A7" s="125" t="inlineStr">
        <is>
          <t>2. GİRİŞ PLANI</t>
        </is>
      </c>
    </row>
    <row r="8" ht="25.5" customHeight="1" s="57">
      <c r="A8" s="119" t="inlineStr">
        <is>
          <t>NAKIT_GIRISLERI sayfasına hafta numarası, beklenen tarih, güvence, kaynak ve tutar girin.</t>
        </is>
      </c>
    </row>
    <row r="9" ht="15" customHeight="1" s="57">
      <c r="A9" s="125" t="inlineStr">
        <is>
          <t>3. ÇIKIŞ PLANI</t>
        </is>
      </c>
    </row>
    <row r="10" ht="25.5" customHeight="1" s="57">
      <c r="A10" s="119" t="inlineStr">
        <is>
          <t>NAKIT_CIKISLARI sayfasına hafta numarası, vade tarihi, kalem, öncelik ve tutar girin.</t>
        </is>
      </c>
    </row>
    <row r="11" ht="15" customHeight="1" s="57">
      <c r="A11" s="125" t="inlineStr">
        <is>
          <t>4. HAFTALIK PLAN</t>
        </is>
      </c>
    </row>
    <row r="12" ht="25.5" customHeight="1" s="57">
      <c r="A12" s="119" t="inlineStr">
        <is>
          <t>Giriş ve çıkış planlarından otomatik toplanır; dönem sonu bakiye ve para bitiş haftası hesaplanır.</t>
        </is>
      </c>
    </row>
    <row r="13" ht="15" customHeight="1" s="57">
      <c r="A13" s="125" t="inlineStr">
        <is>
          <t>5. MOTOR</t>
        </is>
      </c>
    </row>
    <row r="14" ht="25.5" customHeight="1" s="57">
      <c r="A14" s="119" t="inlineStr">
        <is>
          <t>Ara hesaplar ve analitik modüller (yaşlandırma, trend, yoğunlaşma, senaryo, tahmin) ad tanımlı hücrelerde canlı hesaplanır.</t>
        </is>
      </c>
    </row>
    <row r="15" ht="15" customHeight="1" s="57">
      <c r="A15" s="125" t="inlineStr">
        <is>
          <t>6. KONTROLLER</t>
        </is>
      </c>
    </row>
    <row r="16" ht="25.5" customHeight="1" s="57">
      <c r="A16" s="119" t="inlineStr">
        <is>
          <t>Veri kalite skoru ve ihlal sayıları; sarı hücreler manuel giriş alanlarıdır.</t>
        </is>
      </c>
    </row>
    <row r="17" ht="15" customHeight="1" s="57">
      <c r="A17" s="125" t="inlineStr">
        <is>
          <t>7. KARAR MOTORU</t>
        </is>
      </c>
    </row>
    <row r="18" ht="25.5" customHeight="1" s="57">
      <c r="A18" s="119" t="inlineStr">
        <is>
          <t>Karar, risk seviyesi, gerekçe ve önlem önerisi makine tarafından üretilir. Kayıt sayısı yetersizse karar 'VERİ YOK' olur.</t>
        </is>
      </c>
    </row>
    <row r="19" ht="15" customHeight="1" s="57">
      <c r="A19" s="125" t="inlineStr">
        <is>
          <t>8. PANO VE RAPOR</t>
        </is>
      </c>
    </row>
    <row r="20" ht="25.5" customHeight="1" s="57">
      <c r="A20" s="119" t="inlineStr">
        <is>
          <t>PANO tek ekranda özeti gösterir; RAPOR yazdırılmaya hazırdır.</t>
        </is>
      </c>
    </row>
    <row r="21" ht="15" customHeight="1" s="57">
      <c r="A21" s="125" t="inlineStr">
        <is>
          <t>9. KORUMA</t>
        </is>
      </c>
    </row>
    <row r="22" ht="25.5" customHeight="1" s="57">
      <c r="A22" s="119" t="inlineStr">
        <is>
          <t>Formül ve başlıklar 1234 şifresiyle korunur; giriş hücreleri açıktır.</t>
        </is>
      </c>
    </row>
    <row r="24" ht="15" customHeight="1" s="57">
      <c r="A24" s="125" t="inlineStr">
        <is>
          <t>KARAR KURALLARI</t>
        </is>
      </c>
    </row>
    <row r="25" ht="15" customHeight="1" s="57">
      <c r="A25" s="119" t="inlineStr">
        <is>
          <t>• UYGUN: Dönem sonu bakiye asgari tamponun üzerinde ve para bitiş/risk haftası yok.</t>
        </is>
      </c>
    </row>
    <row r="26" ht="15" customHeight="1" s="57">
      <c r="A26" s="119" t="inlineStr">
        <is>
          <t>• İNCELE: Tampon eşiği aşılıyor (ilk risk haftası öngörülüyor) veya bakiye tampon altında.</t>
        </is>
      </c>
    </row>
    <row r="27" ht="15" customHeight="1" s="57">
      <c r="A27" s="119" t="inlineStr">
        <is>
          <t>• DURDUR: Bir haftada dönem sonu bakiye negatife düşüyor (para bitiş haftası var).</t>
        </is>
      </c>
    </row>
    <row r="28" ht="15" customHeight="1" s="57">
      <c r="A28" s="119" t="inlineStr">
        <is>
          <t>• VERİ YOK: Giriş+çıkış kayıt sayısı Minimum Veri Sayısı eşiğinin altında.</t>
        </is>
      </c>
    </row>
    <row r="30" ht="15" customHeight="1" s="57">
      <c r="A30" s="125" t="inlineStr">
        <is>
          <t>GİZLİLİK VE ORTAM</t>
        </is>
      </c>
    </row>
    <row r="31" ht="25.5" customHeight="1" s="57">
      <c r="A31" s="119" t="inlineStr">
        <is>
          <t>• Verileriniz cihazınızdan çıkmaz: dosya tamamen çevrimdışıdır, makro ve dış bağlantı içermez.</t>
        </is>
      </c>
    </row>
    <row r="32" ht="25.5" customHeight="1" s="57">
      <c r="A32" s="119" t="inlineStr">
        <is>
          <t>• Ortam: Excel 2016-365 (Windows/Mac), LibreOffice ve Google Sheets ile uyumludur.</t>
        </is>
      </c>
    </row>
    <row r="33" ht="25.5" customHeight="1" s="57">
      <c r="A33" s="119" t="inlineStr">
        <is>
          <t>• KVKK: Dosya kişisel veri toplamaz, telemetri göndermez; girdiler yalnızca sizin cihazınızda işlenir.</t>
        </is>
      </c>
    </row>
    <row r="36" ht="15" customHeight="1" s="57">
      <c r="A36" s="125" t="inlineStr">
        <is>
          <t>SIK YAPILAN HATALAR</t>
        </is>
      </c>
    </row>
    <row r="37" ht="25.5" customHeight="1" s="57">
      <c r="A37" s="119" t="inlineStr">
        <is>
          <t>• Tutarı eksi işaretle girmek: tutarlar daima pozitiftir; yön GİRİŞ/ÇIKIŞ sayfası seçimiyle belirlenir.</t>
        </is>
      </c>
    </row>
    <row r="38" ht="25.5" customHeight="1" s="57">
      <c r="A38" s="119" t="inlineStr">
        <is>
          <t>• Güvence kolonunu boş bırakmak: güvence veri kalite skorunu ve senaryo bandını etkiler.</t>
        </is>
      </c>
    </row>
    <row r="39" ht="25.5" customHeight="1" s="57">
      <c r="A39" s="119" t="inlineStr">
        <is>
          <t>• Hafta numarası yerine tarih girmek: her kayıt mutlaka 1-13 arası hafta numarası taşımalıdır.</t>
        </is>
      </c>
    </row>
    <row r="40" ht="25.5" customHeight="1" s="57">
      <c r="A40" s="119" t="inlineStr">
        <is>
          <t>• Sarı alan dışına yazmak: formül hücreleri 1234 şifresiyle korunur, yazılamaz.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1">
    <mergeCell ref="A6:BH6"/>
    <mergeCell ref="A25:BH25"/>
    <mergeCell ref="A16:BH16"/>
    <mergeCell ref="A37:BH37"/>
    <mergeCell ref="A27:BH27"/>
    <mergeCell ref="A18:BH18"/>
    <mergeCell ref="A12:BH12"/>
    <mergeCell ref="A26:BH26"/>
    <mergeCell ref="A33:BH33"/>
    <mergeCell ref="A14:BH14"/>
    <mergeCell ref="A32:BH32"/>
    <mergeCell ref="A8:BH8"/>
    <mergeCell ref="A22:BH22"/>
    <mergeCell ref="A1:AN1"/>
    <mergeCell ref="A20:BH20"/>
    <mergeCell ref="A38:BH38"/>
    <mergeCell ref="A10:BH10"/>
    <mergeCell ref="A28:BH28"/>
    <mergeCell ref="A31:BH31"/>
    <mergeCell ref="A40:BH40"/>
    <mergeCell ref="A39:BH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2026-08-10T01:35:08Z</dcterms:created>
  <dcterms:modified xmlns:dcterms="http://purl.org/dc/terms/" xmlns:xsi="http://www.w3.org/2001/XMLSchema-instance" xsi:type="dcterms:W3CDTF">2026-09-25T14:22:48Z</dcterms:modified>
  <cp:revision>0</cp:revision>
</cp:coreProperties>
</file>