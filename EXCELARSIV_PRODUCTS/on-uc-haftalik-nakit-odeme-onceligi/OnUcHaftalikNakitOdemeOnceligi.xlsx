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KARTLAR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RAPOR" sheetId="9" state="visible" r:id="rId9"/>
    <sheet xmlns:r="http://schemas.openxmlformats.org/officeDocument/2006/relationships" name="KONTROLLER" sheetId="10" state="visible" r:id="rId10"/>
    <sheet xmlns:r="http://schemas.openxmlformats.org/officeDocument/2006/relationships" name="ORNEK_VERI" sheetId="11" state="visible" r:id="rId11"/>
    <sheet xmlns:r="http://schemas.openxmlformats.org/officeDocument/2006/relationships" name="LISTELER" sheetId="12" state="visible" r:id="rId12"/>
    <sheet xmlns:r="http://schemas.openxmlformats.org/officeDocument/2006/relationships" name="AYARLAR" sheetId="13" state="visible" r:id="rId13"/>
    <sheet xmlns:r="http://schemas.openxmlformats.org/officeDocument/2006/relationships" name="KILAVUZ" sheetId="14" state="visible" r:id="rId14"/>
  </sheets>
  <definedNames>
    <definedName name="raporTarihi">AYARLAR!$B$6</definedName>
    <definedName name="zincirTolerans">AYARLAR!$B$7</definedName>
    <definedName name="onh_esikGecikmeGun">AYARLAR!$B$8</definedName>
    <definedName name="onh_esikGeciken">AYARLAR!$B$9</definedName>
    <definedName name="onh_gecikmeOranGun">AYARLAR!$B$10</definedName>
    <definedName name="onh_senaryoTemkinli">AYARLAR!$B$11</definedName>
    <definedName name="onh_senaryoBaz">AYARLAR!$B$12</definedName>
    <definedName name="onh_senaryoIyimser">AYARLAR!$B$13</definedName>
    <definedName name="onh_tornadoOran">AYARLAR!$B$14</definedName>
    <definedName name="onh_yuzdelikOran">AYARLAR!$B$15</definedName>
    <definedName name="onh_olcekHedef">AYARLAR!$B$16</definedName>
    <definedName name="onh_azamiTutar">AYARLAR!$B$17</definedName>
    <definedName name="onh_durumHaritasi">AYARLAR!$B$18</definedName>
    <definedName name="onh_kuyrukOzeti_metin">AYARLAR!$B$19</definedName>
    <definedName name="onh_kapaliDusum_metin">AYARLAR!$B$20</definedName>
    <definedName name="onh_kanitRaporu_metin">AYARLAR!$B$21</definedName>
    <definedName name="onh_dosyaSurumu">AYARLAR!$B$22</definedName>
    <definedName name="onh_firmaUnvan">AYARLAR!$B$23</definedName>
    <definedName name="onh_acikAdet">AYARLAR!$I$38</definedName>
    <definedName name="onh_acikTutar">AYARLAR!$I$39</definedName>
    <definedName name="onh_gecikenAdet">AYARLAR!$I$40</definedName>
    <definedName name="onh_gecikmeMaliyeti">AYARLAR!$I$41</definedName>
    <definedName name="onh_yetimKayit">AYARLAR!$I$42</definedName>
    <definedName name="onh_gecersizGecis">AYARLAR!$I$43</definedName>
    <definedName name="onh_zincirKirik">AYARLAR!$I$44</definedName>
    <definedName name="onh_yasKova">AYARLAR!$I$45</definedName>
    <definedName name="onh_tahminAralik">AYARLAR!$I$46</definedName>
    <definedName name="onh_senaryoKarsilastirma">AYARLAR!$I$47</definedName>
    <definedName name="onh_tornadoZirve">AYARLAR!$I$48</definedName>
    <definedName name="onh_oncelikSkoru">AYARLAR!$I$49</definedName>
    <definedName name="onh_paretoGecikme">AYARLAR!$I$50</definedName>
    <definedName name="onh_kapaliDusum">AYARLAR!$I$51</definedName>
    <definedName name="onh_kuyrukOzeti">AYARLAR!$I$52</definedName>
    <definedName name="onh_kanitRaporu">AYARLAR!$I$53</definedName>
    <definedName name="onh_sonrakiKimlik">AYARLAR!$I$54</definedName>
    <definedName name="onh_yorumYas">AYARLAR!$I$57</definedName>
    <definedName name="onh_yorumGecikme">AYARLAR!$I$58</definedName>
    <definedName name="onh_yorumTahmin">AYARLAR!$I$59</definedName>
    <definedName name="onh_yorumSenaryo">AYARLAR!$I$60</definedName>
    <definedName name="onh_yorumTornado">AYARLAR!$I$61</definedName>
    <definedName name="onh_yorumOncelik">AYARLAR!$I$62</definedName>
    <definedName name="onh_yorumPareto">AYARLAR!$I$63</definedName>
    <definedName name="ListeDurumlar">LISTELER!$A$7:$A$11</definedName>
    <definedName name="ListeIzinliGecis">LISTELER!$C$7:$C$13</definedName>
    <definedName name="ListeEvetHayir">LISTELER!$E$7:$E$8</definedName>
    <definedName name="ListeOncelik">LISTELER!$I$7:$I$9</definedName>
    <definedName name="_xlnm.Print_Area" localSheetId="8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ALN-00009 | Risk: Elle çakışma</t>
      </text>
    </comment>
    <comment ref="A6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6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6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6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7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7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7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8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8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8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9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9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9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0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0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0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1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1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1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2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2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2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Ödeme kuyruğu ve nakit kararını etkiler | Doğru kullanım: ALN-##### formatında | Örnek: hücredeki örnek değere bakın | Risk: Yanlış giriş hatalı karar üretir</t>
      </text>
    </comment>
    <comment ref="B13" authorId="0" shapeId="0">
      <text>
        <t>Tanım: Unvan | Neden önemli: Ödeme kuyruğu ve nakit kararını etkiler | Doğru kullanım: Taşeron/firma unvanı | Örnek: hücredeki örnek değere bakın | Risk: Yanlış giriş hatalı karar üretir</t>
      </text>
    </comment>
    <comment ref="C13" authorId="0" shapeId="0">
      <text>
        <t>Tanım: Tür | Neden önemli: Ödeme kuyruğu ve nakit kararını etkiler | Doğru kullanım: Alacaklı türü | Örnek: hücredeki örnek değere bakın | Risk: Yanlış giriş hatalı karar üretir</t>
      </text>
    </comment>
    <comment ref="D13" authorId="0" shapeId="0">
      <text>
        <t>Tanım: Şehir | Neden önemli: Ödeme kuyruğu ve nakit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Ödeme kuyruğu ve nakit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Ödeme kuyruğu ve nakit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Ödeme kuyruğu ve nakit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Ödeme kuyruğu ve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Tur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1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1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1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1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1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1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1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1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1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1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1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1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4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4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4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4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4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4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4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4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4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4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4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4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5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5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5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5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5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5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5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5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5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5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5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5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6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6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6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6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6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6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6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6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6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6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6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6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7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7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7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7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7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7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7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7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7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7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7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7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8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8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8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8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8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8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8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8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8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8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8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8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29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29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29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29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29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29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29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29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29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29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29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29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0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0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0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0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0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0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0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0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0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0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0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0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1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1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1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1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1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1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1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1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1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1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1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1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2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2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2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2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2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2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2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2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2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2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2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2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Ödeme kuyruğu ve nakit kararını etkiler | Doğru kullanım: ODM-##### | Örnek: hücredeki örnek değere bakın | Risk: Yanlış giriş hatalı karar üretir</t>
      </text>
    </comment>
    <comment ref="B33" authorId="0" shapeId="0">
      <text>
        <t>Tanım: Kaynak Kart | Neden önemli: Ödeme kuyruğu ve nakit kararını etkiler | Doğru kullanım: KARTLAR'daki KartId | Örnek: hücredeki örnek değere bakın | Risk: Yanlış giriş hatalı karar üretir</t>
      </text>
    </comment>
    <comment ref="C33" authorId="0" shapeId="0">
      <text>
        <t>Tanım: Tarih | Neden önemli: Ödeme kuyruğu ve nakit kararını etkiler | Doğru kullanım: Olay tarihi | Örnek: hücredeki örnek değere bakın | Risk: Yanlış giriş hatalı karar üretir</t>
      </text>
    </comment>
    <comment ref="D33" authorId="0" shapeId="0">
      <text>
        <t>Tanım: Önceki Durum | Neden önemli: Ödeme kuyruğu ve nakit kararını etkiler | Doğru kullanım: Önceki durum_id | Örnek: hücredeki örnek değere bakın | Risk: Yanlış giriş hatalı karar üretir</t>
      </text>
    </comment>
    <comment ref="E33" authorId="0" shapeId="0">
      <text>
        <t>Tanım: Durum | Neden önemli: Ödeme kuyruğu ve nakit kararını etkiler | Doğru kullanım: Durum haritasından seçin | Örnek: hücredeki örnek değere bakın | Risk: Yanlış giriş hatalı karar üretir</t>
      </text>
    </comment>
    <comment ref="F33" authorId="0" shapeId="0">
      <text>
        <t>Tanım: Planlanan | Neden önemli: Ödeme kuyruğu ve nakit kararını etkiler | Doğru kullanım: Planlanan tutar TL | Örnek: hücredeki örnek değere bakın | Risk: Yanlış giriş hatalı karar üretir</t>
      </text>
    </comment>
    <comment ref="G33" authorId="0" shapeId="0">
      <text>
        <t>Tanım: Onaylanan | Neden önemli: Ödeme kuyruğu ve nakit kararını etkiler | Doğru kullanım: Onaylanan tutar TL | Örnek: hücredeki örnek değere bakın | Risk: Yanlış giriş hatalı karar üretir</t>
      </text>
    </comment>
    <comment ref="H33" authorId="0" shapeId="0">
      <text>
        <t>Tanım: Ödeme | Neden önemli: Ödeme kuyruğu ve nakit kararını etkiler | Doğru kullanım: Ödenen tutar TL | Örnek: hücredeki örnek değere bakın | Risk: Yanlış giriş hatalı karar üretir</t>
      </text>
    </comment>
    <comment ref="I33" authorId="0" shapeId="0">
      <text>
        <t>Tanım: Tutar | Neden önemli: Ödeme kuyruğu ve nakit kararını etkiler | Doğru kullanım: Kuyruk tutarı TL | Örnek: hücredeki örnek değere bakın | Risk: Yanlış giriş hatalı karar üretir</t>
      </text>
    </comment>
    <comment ref="J33" authorId="0" shapeId="0">
      <text>
        <t>Tanım: Hafta | Neden önemli: Ödeme kuyruğu ve nakit kararını etkiler | Doğru kullanım: 1-13 hafta numarası | Örnek: hücredeki örnek değere bakın | Risk: Yanlış giriş hatalı karar üretir</t>
      </text>
    </comment>
    <comment ref="K33" authorId="0" shapeId="0">
      <text>
        <t>Tanım: Öncelik | Neden önemli: Ödeme kuyruğu ve nakit kararını etkiler | Doğru kullanım: KRİTİK/YÜKSEK/NORMAL | Örnek: hücredeki örnek değere bakın | Risk: Yanlış giriş hatalı karar üretir</t>
      </text>
    </comment>
    <comment ref="L33" authorId="0" shapeId="0">
      <text>
        <t>Tanım: Dönem | Neden önemli: Ödeme kuyruğu ve nakit kararını etkiler | Doğru kullanım: YYYY-W## | Örnek: hücredeki örnek değere bakın | Risk: Yanlış giriş hatalı karar üretir</t>
      </text>
    </comment>
    <comment ref="M33" authorId="0" shapeId="0">
      <text>
        <t>Tanım: Açıklama | Neden önemli: Ödeme kuyruğu ve nakit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5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5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5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5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5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5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5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5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5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5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6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6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6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6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6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6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6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6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6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6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7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7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7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7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7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7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7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7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7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7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8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8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8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8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8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8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8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8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8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8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19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19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19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19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19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19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19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19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19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19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0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0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0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0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0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0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0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0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0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0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1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1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1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1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1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1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1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1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1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1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2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2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2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2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2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2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2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2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2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2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3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3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3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3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3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3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3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3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3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3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6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6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6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6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6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6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6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6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6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6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7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7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7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7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7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7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7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7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7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7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8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8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8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8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8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8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8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8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8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8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49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49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49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49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49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49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49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49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49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49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0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0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0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0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0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0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0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0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0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0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1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1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1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1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1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1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1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1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1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1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2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2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2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2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2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2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2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2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2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2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3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3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3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3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3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3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3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3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3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3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4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4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4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4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4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4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4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4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4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4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Ödeme kuyruğu ve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Ödeme kuyruğu ve nakit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Ödeme kuyruğu ve nakit kararını etkiler | Doğru kullanım: Manuel giriş | Örnek: hücredeki örnek değere bakın | Risk: Yanlış giriş hatalı karar üretir</t>
      </text>
    </comment>
    <comment ref="D255" authorId="0" shapeId="0">
      <text>
        <t>Tanım: OncekiDurum | Neden önemli: Ödeme kuyruğu ve nakit kararını etkiler | Doğru kullanım: Manuel giriş | Örnek: hücredeki örnek değere bakın | Risk: Yanlış giriş hatalı karar üretir</t>
      </text>
    </comment>
    <comment ref="E255" authorId="0" shapeId="0">
      <text>
        <t>Tanım: Durum | Neden önemli: Ödeme kuyruğu ve nakit kararını etkiler | Doğru kullanım: Manuel giriş | Örnek: hücredeki örnek değere bakın | Risk: Yanlış giriş hatalı karar üretir</t>
      </text>
    </comment>
    <comment ref="F255" authorId="0" shapeId="0">
      <text>
        <t>Tanım: Planlanan | Neden önemli: Ödeme kuyruğu ve nakit kararını etkiler | Doğru kullanım: Manuel giriş | Örnek: hücredeki örnek değere bakın | Risk: Yanlış giriş hatalı karar üretir</t>
      </text>
    </comment>
    <comment ref="G255" authorId="0" shapeId="0">
      <text>
        <t>Tanım: Onaylanan | Neden önemli: Ödeme kuyruğu ve nakit kararını etkiler | Doğru kullanım: Manuel giriş | Örnek: hücredeki örnek değere bakın | Risk: Yanlış giriş hatalı karar üretir</t>
      </text>
    </comment>
    <comment ref="H255" authorId="0" shapeId="0">
      <text>
        <t>Tanım: Odeme | Neden önemli: Ödeme kuyruğu ve nakit kararını etkiler | Doğru kullanım: Manuel giriş | Örnek: hücredeki örnek değere bakın | Risk: Yanlış giriş hatalı karar üretir</t>
      </text>
    </comment>
    <comment ref="I255" authorId="0" shapeId="0">
      <text>
        <t>Tanım: Tutar | Neden önemli: Ödeme kuyruğu ve nakit kararını etkiler | Doğru kullanım: Manuel giriş | Örnek: hücredeki örnek değere bakın | Risk: Yanlış giriş hatalı karar üretir</t>
      </text>
    </comment>
    <comment ref="J255" authorId="0" shapeId="0">
      <text>
        <t>Tanım: HaftaNo | Neden önemli: Ödeme kuyruğu ve nakit kararını etkiler | Doğru kullanım: Manuel giriş | Örnek: hücredeki örnek değere bakın | Risk: Yanlış giriş hatalı karar üretir</t>
      </text>
    </comment>
    <comment ref="K255" authorId="0" shapeId="0">
      <text>
        <t>Tanım: OncelikSinif | Neden önemli: Ödeme kuyruğu ve nakit kararını etkiler | Doğru kullanım: Manuel giriş | Örnek: hücredeki örnek değere bakın | Risk: Yanlış giriş hatalı karar üretir</t>
      </text>
    </comment>
    <comment ref="L255" authorId="0" shapeId="0">
      <text>
        <t>Tanım: Donem | Neden önemli: Ödeme kuyruğu ve nakit kararını etkiler | Doğru kullanım: Manuel giriş | Örnek: hücredeki örnek değere bakın | Risk: Yanlış giriş hatalı karar üretir</t>
      </text>
    </comment>
    <comment ref="M255" authorId="0" shapeId="0">
      <text>
        <t>Tanım: Aciklama | Neden önemli: Ödeme kuyruğu ve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7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7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8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Ödeme kuyruğu ve nakit kararını etkiler | Doğru kullanım: EVET/HAYIR | Örnek: hücredeki örnek değere bakın | Risk: Yanlış giriş hatalı karar üretir</t>
      </text>
    </comment>
    <comment ref="G8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8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9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9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I9" authorId="0" shapeId="0">
      <text>
        <t>Tanım: Öncelik | Neden önemli: Ödeme kuyruğu ve nakit kararını etkiler | Doğru kullanım: Öncelik sınıfı | Örnek: hücredeki örnek değere bakın | Risk: Yanlış giriş hatalı karar üretir</t>
      </text>
    </comment>
    <comment ref="A10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0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A11" authorId="0" shapeId="0">
      <text>
        <t>Tanım: Durum | Neden önemli: Ödeme kuyruğu ve nakit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1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2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  <comment ref="G12" authorId="0" shapeId="0">
      <text>
        <t>Tanım: Tür | Neden önemli: Ödeme kuyruğu ve nakit kararını etkiler | Doğru kullanım: Branş listesi | Örnek: hücredeki örnek değere bakın | Risk: Yanlış giriş hatalı karar üretir</t>
      </text>
    </comment>
    <comment ref="C13" authorId="0" shapeId="0">
      <text>
        <t>Tanım: Geçiş | Neden önemli: Ödeme kuyruğu ve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Ödeme kuyruğu ve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Ödeme kuyruğu ve nakit kararını etkiler | Doğru kullanım: ZİNCİR KIRIK eşiği | Örnek: hücredeki örnek değere bakın | Risk: Yanlış giriş hatalı karar üretir</t>
      </text>
    </comment>
    <comment ref="B8" authorId="0" shapeId="0">
      <text>
        <t>Tanım: onh_esikGecikmeGun | Neden önemli: Ödeme kuyruğu ve nakit kararını etkiler | Doğru kullanım: Gecikme eşiği | Örnek: hücredeki örnek değere bakın | Risk: Yanlış giriş hatalı karar üretir</t>
      </text>
    </comment>
    <comment ref="B9" authorId="0" shapeId="0">
      <text>
        <t>Tanım: onh_esikGeciken | Neden önemli: Ödeme kuyruğu ve nakit kararını etkiler | Doğru kullanım: Karar eşiği geciken | Örnek: hücredeki örnek değere bakın | Risk: Yanlış giriş hatalı karar üretir</t>
      </text>
    </comment>
    <comment ref="B10" authorId="0" shapeId="0">
      <text>
        <t>Tanım: onh_gecikmeOranGun | Neden önemli: Ödeme kuyruğu ve nakit kararını etkiler | Doğru kullanım: Günlük gecikme maliyeti oranı | Örnek: hücredeki örnek değere bakın | Risk: Yanlış giriş hatalı karar üretir</t>
      </text>
    </comment>
    <comment ref="B11" authorId="0" shapeId="0">
      <text>
        <t>Tanım: onh_senaryoTemkinli | Neden önemli: Ödeme kuyruğu ve nakit kararını etkiler | Doğru kullanım: Temkinli çarpan | Örnek: hücredeki örnek değere bakın | Risk: Yanlış giriş hatalı karar üretir</t>
      </text>
    </comment>
    <comment ref="B12" authorId="0" shapeId="0">
      <text>
        <t>Tanım: onh_senaryoBaz | Neden önemli: Ödeme kuyruğu ve nakit kararını etkiler | Doğru kullanım: Baz çarpan | Örnek: hücredeki örnek değere bakın | Risk: Yanlış giriş hatalı karar üretir</t>
      </text>
    </comment>
    <comment ref="B13" authorId="0" shapeId="0">
      <text>
        <t>Tanım: onh_senaryoIyimser | Neden önemli: Ödeme kuyruğu ve nakit kararını etkiler | Doğru kullanım: İyimser çarpan | Örnek: hücredeki örnek değere bakın | Risk: Yanlış giriş hatalı karar üretir</t>
      </text>
    </comment>
    <comment ref="B14" authorId="0" shapeId="0">
      <text>
        <t>Tanım: onh_tornadoOran | Neden önemli: Ödeme kuyruğu ve nakit kararını etkiler | Doğru kullanım: Tornado etki oranı | Örnek: hücredeki örnek değere bakın | Risk: Yanlış giriş hatalı karar üretir</t>
      </text>
    </comment>
    <comment ref="B15" authorId="0" shapeId="0">
      <text>
        <t>Tanım: onh_yuzdelikOran | Neden önemli: Ödeme kuyruğu ve nakit kararını etkiler | Doğru kullanım: PERCENTILE oranı | Örnek: hücredeki örnek değere bakın | Risk: Yanlış giriş hatalı karar üretir</t>
      </text>
    </comment>
    <comment ref="B16" authorId="0" shapeId="0">
      <text>
        <t>Tanım: onh_olcekHedef | Neden önemli: Ödeme kuyruğu ve nakit kararını etkiler | Doğru kullanım: Ölçek sözleşmesi | Örnek: hücredeki örnek değere bakın | Risk: Yanlış giriş hatalı karar üretir</t>
      </text>
    </comment>
    <comment ref="B17" authorId="0" shapeId="0">
      <text>
        <t>Tanım: onh_azamiTutar | Neden önemli: Ödeme kuyruğu ve nakit kararını etkiler | Doğru kullanım: Azami makul | Örnek: hücredeki örnek değere bakın | Risk: Yanlış giriş hatalı karar üretir</t>
      </text>
    </comment>
    <comment ref="B18" authorId="0" shapeId="0">
      <text>
        <t>Tanım: onh_durumHaritasi | Neden önemli: Ödeme kuyruğu ve nakit kararını etkiler | Doğru kullanım: Durum makinesi kaynağı | Örnek: hücredeki örnek değere bakın | Risk: Yanlış giriş hatalı karar üretir</t>
      </text>
    </comment>
    <comment ref="B19" authorId="0" shapeId="0">
      <text>
        <t>Tanım: onh_kuyrukOzeti | Neden önemli: Ödeme kuyruğu ve nakit kararını etkiler | Doğru kullanım: Kuyruk görünümü | Örnek: hücredeki örnek değere bakın | Risk: Yanlış giriş hatalı karar üretir</t>
      </text>
    </comment>
    <comment ref="B20" authorId="0" shapeId="0">
      <text>
        <t>Tanım: onh_kapaliDusum | Neden önemli: Ödeme kuyruğu ve nakit kararını etkiler | Doğru kullanım: Kapalı düşüm kuralı | Örnek: hücredeki örnek değere bakın | Risk: Yanlış giriş hatalı karar üretir</t>
      </text>
    </comment>
    <comment ref="B21" authorId="0" shapeId="0">
      <text>
        <t>Tanım: onh_kanitRaporu | Neden önemli: Ödeme kuyruğu ve nakit kararını etkiler | Doğru kullanım: Kanıt raporu | Örnek: hücredeki örnek değere bakın | Risk: Yanlış giriş hatalı karar üretir</t>
      </text>
    </comment>
    <comment ref="B22" authorId="0" shapeId="0">
      <text>
        <t>Tanım: onh_dosyaSurumu | Neden önemli: Ödeme kuyruğu ve nakit kararını etkiler | Doğru kullanım: Ürün sürümü | Örnek: hücredeki örnek değere bakın | Risk: Yanlış giriş hatalı karar üretir</t>
      </text>
    </comment>
    <comment ref="B23" authorId="0" shapeId="0">
      <text>
        <t>Tanım: onh_firmaUnvan | Neden önemli: Ödeme kuyruğu ve nakit kararını etkiler | Doğru kullanım: Firma Unvanı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Tur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Planlanan"/>
    <tableColumn id="7" name="Onaylanan"/>
    <tableColumn id="8" name="Odeme"/>
    <tableColumn id="9" name="Tutar"/>
    <tableColumn id="10" name="HaftaNo"/>
    <tableColumn id="11" name="OncelikSinif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Row],[Planlanan]]="",tblAkis[[#This Row],[Onaylanan]]=""),"",IF(ABS(tblAkis[[#This Row],[Onaylanan]]-tblAkis[[#This Row],[Planlanan]])&gt;zincirTolerans,"ZİNCİR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7" t="inlineStr">
        <is>
          <t>13 HAFTALIK NAKİT AKIŞI VE ÖDEME PLANLAMA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NAKİT HAVUZU</t>
        </is>
      </c>
      <c r="C5" s="72" t="n"/>
      <c r="D5" s="73" t="inlineStr">
        <is>
          <t>4 HESAP</t>
        </is>
      </c>
      <c r="E5" s="74" t="inlineStr">
        <is>
          <t>BU AY ÖDENECEK ÇIKIŞ</t>
        </is>
      </c>
      <c r="F5" s="72" t="n"/>
      <c r="G5" s="75" t="inlineStr">
        <is>
          <t>VADE: 4 GÜN</t>
        </is>
      </c>
      <c r="H5" s="71" t="inlineStr">
        <is>
          <t>NET SERBEST LİKİDİTE</t>
        </is>
      </c>
      <c r="I5" s="72" t="n"/>
      <c r="J5" s="76" t="inlineStr">
        <is>
          <t>GÜVENLİ</t>
        </is>
      </c>
      <c r="K5" s="77" t="inlineStr">
        <is>
          <t>DSCR / NAKİT DÖNGÜSÜ</t>
        </is>
      </c>
      <c r="L5" s="72" t="n"/>
      <c r="M5" s="73" t="inlineStr">
        <is>
          <t>EŞİK: 1.30x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₺34.850.000</t>
        </is>
      </c>
      <c r="C7" s="72" t="n"/>
      <c r="D7" s="72" t="n"/>
      <c r="E7" s="82" t="inlineStr">
        <is>
          <t>₺2.480.000</t>
        </is>
      </c>
      <c r="F7" s="72" t="n"/>
      <c r="G7" s="72" t="n"/>
      <c r="H7" s="81" t="inlineStr">
        <is>
          <t>₺18.420.000</t>
        </is>
      </c>
      <c r="I7" s="72" t="n"/>
      <c r="J7" s="72" t="n"/>
      <c r="K7" s="83" t="inlineStr">
        <is>
          <t>2.14x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vadesiz + fon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%52.8 ORAN</t>
        </is>
      </c>
      <c r="I9" s="72" t="n"/>
      <c r="J9" s="72" t="n"/>
      <c r="K9" s="86" t="inlineStr">
        <is>
          <t>✓ İDEAL borç servis karşılama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LİKİDİTE OPTİMİZASYON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Atıl kalan ₺4.2M nakit rezervinin gecelik repoda değerlendirilmesiyle ek getiri.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nakit girişi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nakit çıkışı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nakit girişi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nakit girişi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nakit çıkışı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nakit girişi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nakit girişi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nakit çıkışı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31" t="inlineStr">
        <is>
          <t>13 HAFTALIK NAKİT AKIŞI VE ÖDEME PLANLAMA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13 Haftalık Nakit + Ödeme Önceliği</t>
        </is>
      </c>
    </row>
    <row r="3" ht="30" customHeight="1">
      <c r="A3" s="3" t="inlineStr">
        <is>
          <t>13 Haftalık Nakit + Ödeme Önceliği</t>
        </is>
      </c>
    </row>
    <row r="4">
      <c r="A4" s="4" t="inlineStr">
        <is>
          <t>13 haftalık nakit çıkışlarını durum makinesi, ödeme önceliği ve yaşlandırma ile yönetir; plan–onay–ödeme tutar zincirini görünür kılar; haftalık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Planlandı → Onaylandı → Ertelendi → Ödeme / İptal</t>
        </is>
      </c>
    </row>
    <row r="8">
      <c r="A8" s="6" t="inlineStr">
        <is>
          <t>• Ödeme kuyruğu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Planlanan→Onaylanan→Ödeme tutar zinciri + öncelik skoru</t>
        </is>
      </c>
    </row>
    <row r="11">
      <c r="A11" s="6" t="inlineStr">
        <is>
          <t>• 13 haftalık nakit kanıt raporu — CFO / ortak sunumuna uygun</t>
        </is>
      </c>
    </row>
    <row r="13">
      <c r="A13" s="5" t="inlineStr">
        <is>
          <t>Kimler için?</t>
        </is>
      </c>
    </row>
    <row r="14">
      <c r="A14" s="7" t="inlineStr">
        <is>
          <t>• CFO ve mali işler — haftalık ödeme önceliği</t>
        </is>
      </c>
    </row>
    <row r="15">
      <c r="A15" s="7" t="inlineStr">
        <is>
          <t>• Muhasebe — kuyruk güncelleme</t>
        </is>
      </c>
    </row>
    <row r="16">
      <c r="A16" s="7" t="inlineStr">
        <is>
          <t>• Ortak — nakit açığı görünürlüğü</t>
        </is>
      </c>
    </row>
    <row r="18">
      <c r="A18" s="5" t="inlineStr">
        <is>
          <t>Nasıl başlanır?</t>
        </is>
      </c>
    </row>
    <row r="19">
      <c r="A19" s="8" t="inlineStr">
        <is>
          <t>1) KARTLAR'a alacaklı/tedarikçi kartı girin. 2) AKIS'e ödeme olaylarını yazın. 3) KUYRUKLAR ve PANO'dan haftanın önceliğini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13 Haftalık Nakit + Ödeme Önceliği</t>
        </is>
      </c>
    </row>
    <row r="3" ht="20" customHeight="1">
      <c r="A3" s="22" t="inlineStr">
        <is>
          <t>Alacaklı / tedarikçi kartları — her kaydın tek kimliği vardır</t>
        </is>
      </c>
    </row>
    <row r="4">
      <c r="A4" s="11" t="inlineStr">
        <is>
          <t>Sonraki Kimlik</t>
        </is>
      </c>
      <c r="B4" s="24">
        <f>onh_sonrakiKimlik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Tur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ALN-00001</t>
        </is>
      </c>
      <c r="B6" s="26" t="inlineStr">
        <is>
          <t>Atlas Tedarik Ltd.</t>
        </is>
      </c>
      <c r="C6" s="26" t="inlineStr">
        <is>
          <t>Tedarikçi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ALN-00002</t>
        </is>
      </c>
      <c r="B7" s="26" t="inlineStr">
        <is>
          <t>Demir Finans A.Ş.</t>
        </is>
      </c>
      <c r="C7" s="26" t="inlineStr">
        <is>
          <t>Kredi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ALN-00003</t>
        </is>
      </c>
      <c r="B8" s="26" t="inlineStr">
        <is>
          <t>Nova Enerji</t>
        </is>
      </c>
      <c r="C8" s="26" t="inlineStr">
        <is>
          <t>Enerji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ALN-00004</t>
        </is>
      </c>
      <c r="B9" s="26" t="inlineStr">
        <is>
          <t>Proje Personel</t>
        </is>
      </c>
      <c r="C9" s="26" t="inlineStr">
        <is>
          <t>Bordro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ALN-00005</t>
        </is>
      </c>
      <c r="B10" s="26" t="inlineStr">
        <is>
          <t>Su Vergi Büro</t>
        </is>
      </c>
      <c r="C10" s="26" t="inlineStr">
        <is>
          <t>Vergi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ALN-00006</t>
        </is>
      </c>
      <c r="B11" s="26" t="inlineStr">
        <is>
          <t>Cephe Kira A.Ş.</t>
        </is>
      </c>
      <c r="C11" s="26" t="inlineStr">
        <is>
          <t>Kira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ALN-00007</t>
        </is>
      </c>
      <c r="B12" s="26" t="inlineStr">
        <is>
          <t>Zemin Sigorta</t>
        </is>
      </c>
      <c r="C12" s="26" t="inlineStr">
        <is>
          <t>Sigorta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ALN-00008</t>
        </is>
      </c>
      <c r="B13" s="26" t="inlineStr">
        <is>
          <t>İskele Lojistik</t>
        </is>
      </c>
      <c r="C13" s="26" t="inlineStr">
        <is>
          <t>Lojistik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ALN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Tür" error="Geçersiz" promptTitle="Tür" prompt="Tür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13 Haftalık Nakit + Ödeme Önceliği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Planlanan</t>
        </is>
      </c>
      <c r="G5" s="25" t="inlineStr">
        <is>
          <t>Onaylanan</t>
        </is>
      </c>
      <c r="H5" s="25" t="inlineStr">
        <is>
          <t>Odeme</t>
        </is>
      </c>
      <c r="I5" s="25" t="inlineStr">
        <is>
          <t>Tutar</t>
        </is>
      </c>
      <c r="J5" s="25" t="inlineStr">
        <is>
          <t>HaftaNo</t>
        </is>
      </c>
      <c r="K5" s="25" t="inlineStr">
        <is>
          <t>OncelikSinif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ODM-00001</t>
        </is>
      </c>
      <c r="B6" s="26" t="inlineStr">
        <is>
          <t>ALN-00001</t>
        </is>
      </c>
      <c r="C6" s="29" t="n">
        <v>46241</v>
      </c>
      <c r="D6" s="26" t="n"/>
      <c r="E6" s="26" t="inlineStr">
        <is>
          <t>PLAN</t>
        </is>
      </c>
      <c r="F6" s="27" t="n">
        <v>89500</v>
      </c>
      <c r="G6" s="27" t="n">
        <v>89500</v>
      </c>
      <c r="H6" s="27" t="n">
        <v>0</v>
      </c>
      <c r="I6" s="27" t="n">
        <v>89500</v>
      </c>
      <c r="J6" s="30" t="n">
        <v>1</v>
      </c>
      <c r="K6" s="26" t="inlineStr">
        <is>
          <t>KRİTİK</t>
        </is>
      </c>
      <c r="L6" s="26" t="inlineStr">
        <is>
          <t>2026-W32</t>
        </is>
      </c>
      <c r="M6" s="26" t="inlineStr">
        <is>
          <t>Ödeme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IF($A6="","",IF(OR($F6="",$G6=""),"",IF(ABS($G6-$F6)&gt;zincirTolerans,"ZİNCİR KIRIK","OK")))</f>
        <v/>
      </c>
      <c r="S6" s="28">
        <f>IF($A6="","",1)</f>
        <v/>
      </c>
    </row>
    <row r="7">
      <c r="A7" s="26" t="inlineStr">
        <is>
          <t>ODM-00002</t>
        </is>
      </c>
      <c r="B7" s="26" t="inlineStr">
        <is>
          <t>ALN-00002</t>
        </is>
      </c>
      <c r="C7" s="29" t="n">
        <v>46238</v>
      </c>
      <c r="D7" s="26" t="inlineStr">
        <is>
          <t>PLAN</t>
        </is>
      </c>
      <c r="E7" s="26" t="inlineStr">
        <is>
          <t>ONAY</t>
        </is>
      </c>
      <c r="F7" s="27" t="n">
        <v>99000</v>
      </c>
      <c r="G7" s="27" t="n">
        <v>99000</v>
      </c>
      <c r="H7" s="27" t="n">
        <v>0</v>
      </c>
      <c r="I7" s="27" t="n">
        <v>99000</v>
      </c>
      <c r="J7" s="30" t="n">
        <v>2</v>
      </c>
      <c r="K7" s="26" t="inlineStr">
        <is>
          <t>YÜKSEK</t>
        </is>
      </c>
      <c r="L7" s="26" t="inlineStr">
        <is>
          <t>2026-W32</t>
        </is>
      </c>
      <c r="M7" s="26" t="inlineStr">
        <is>
          <t>Ödeme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IF($A7="","",IF(OR($F7="",$G7=""),"",IF(ABS($G7-$F7)&gt;zincirTolerans,"ZİNCİR KIRIK","OK")))</f>
        <v/>
      </c>
      <c r="S7" s="28">
        <f>IF($A7="","",1)</f>
        <v/>
      </c>
    </row>
    <row r="8">
      <c r="A8" s="26" t="inlineStr">
        <is>
          <t>ODM-00003</t>
        </is>
      </c>
      <c r="B8" s="26" t="inlineStr">
        <is>
          <t>ALN-00003</t>
        </is>
      </c>
      <c r="C8" s="29" t="n">
        <v>46235</v>
      </c>
      <c r="D8" s="26" t="inlineStr">
        <is>
          <t>ONAY</t>
        </is>
      </c>
      <c r="E8" s="26" t="inlineStr">
        <is>
          <t>ERTELE</t>
        </is>
      </c>
      <c r="F8" s="27" t="n">
        <v>108500</v>
      </c>
      <c r="G8" s="27" t="n">
        <v>108500</v>
      </c>
      <c r="H8" s="27" t="n">
        <v>0</v>
      </c>
      <c r="I8" s="27" t="n">
        <v>108500</v>
      </c>
      <c r="J8" s="30" t="n">
        <v>3</v>
      </c>
      <c r="K8" s="26" t="inlineStr">
        <is>
          <t>NORMAL</t>
        </is>
      </c>
      <c r="L8" s="26" t="inlineStr">
        <is>
          <t>2026-W32</t>
        </is>
      </c>
      <c r="M8" s="26" t="inlineStr">
        <is>
          <t>Ödeme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IF($A8="","",IF(OR($F8="",$G8=""),"",IF(ABS($G8-$F8)&gt;zincirTolerans,"ZİNCİR KIRIK","OK")))</f>
        <v/>
      </c>
      <c r="S8" s="28">
        <f>IF($A8="","",1)</f>
        <v/>
      </c>
    </row>
    <row r="9">
      <c r="A9" s="26" t="inlineStr">
        <is>
          <t>ODM-00004</t>
        </is>
      </c>
      <c r="B9" s="26" t="inlineStr">
        <is>
          <t>ALN-00004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118000</v>
      </c>
      <c r="G9" s="27" t="n">
        <v>118000</v>
      </c>
      <c r="H9" s="27" t="n">
        <v>118000</v>
      </c>
      <c r="I9" s="27" t="n">
        <v>118000</v>
      </c>
      <c r="J9" s="30" t="n">
        <v>4</v>
      </c>
      <c r="K9" s="26" t="inlineStr">
        <is>
          <t>KRİTİK</t>
        </is>
      </c>
      <c r="L9" s="26" t="inlineStr">
        <is>
          <t>2026-W32</t>
        </is>
      </c>
      <c r="M9" s="26" t="inlineStr">
        <is>
          <t>Ödeme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IF($A9="","",IF(OR($F9="",$G9=""),"",IF(ABS($G9-$F9)&gt;zincirTolerans,"ZİNCİR KIRIK","OK")))</f>
        <v/>
      </c>
      <c r="S9" s="28">
        <f>IF($A9="","",1)</f>
        <v/>
      </c>
    </row>
    <row r="10">
      <c r="A10" s="26" t="inlineStr">
        <is>
          <t>ODM-00005</t>
        </is>
      </c>
      <c r="B10" s="26" t="inlineStr">
        <is>
          <t>ALN-00005</t>
        </is>
      </c>
      <c r="C10" s="29" t="n">
        <v>46229</v>
      </c>
      <c r="D10" s="26" t="inlineStr">
        <is>
          <t>ONAY</t>
        </is>
      </c>
      <c r="E10" s="26" t="inlineStr">
        <is>
          <t>IPTAL</t>
        </is>
      </c>
      <c r="F10" s="27" t="n">
        <v>127500</v>
      </c>
      <c r="G10" s="27" t="n">
        <v>127500</v>
      </c>
      <c r="H10" s="27" t="n">
        <v>0</v>
      </c>
      <c r="I10" s="27" t="n">
        <v>127500</v>
      </c>
      <c r="J10" s="30" t="n">
        <v>5</v>
      </c>
      <c r="K10" s="26" t="inlineStr">
        <is>
          <t>NORMAL</t>
        </is>
      </c>
      <c r="L10" s="26" t="inlineStr">
        <is>
          <t>2026-W32</t>
        </is>
      </c>
      <c r="M10" s="26" t="inlineStr">
        <is>
          <t>Ödeme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IF($A10="","",IF(OR($F10="",$G10=""),"",IF(ABS($G10-$F10)&gt;zincirTolerans,"ZİNCİR KIRIK","OK")))</f>
        <v/>
      </c>
      <c r="S10" s="28">
        <f>IF($A10="","",1)</f>
        <v/>
      </c>
    </row>
    <row r="11">
      <c r="A11" s="26" t="inlineStr">
        <is>
          <t>ODM-00006</t>
        </is>
      </c>
      <c r="B11" s="26" t="inlineStr">
        <is>
          <t>ALN-00006</t>
        </is>
      </c>
      <c r="C11" s="29" t="n">
        <v>46226</v>
      </c>
      <c r="D11" s="26" t="inlineStr">
        <is>
          <t>PLAN</t>
        </is>
      </c>
      <c r="E11" s="26" t="inlineStr">
        <is>
          <t>ONAY</t>
        </is>
      </c>
      <c r="F11" s="27" t="n">
        <v>137000</v>
      </c>
      <c r="G11" s="27" t="n">
        <v>137000</v>
      </c>
      <c r="H11" s="27" t="n">
        <v>0</v>
      </c>
      <c r="I11" s="27" t="n">
        <v>137000</v>
      </c>
      <c r="J11" s="30" t="n">
        <v>6</v>
      </c>
      <c r="K11" s="26" t="inlineStr">
        <is>
          <t>YÜKSEK</t>
        </is>
      </c>
      <c r="L11" s="26" t="inlineStr">
        <is>
          <t>2026-W32</t>
        </is>
      </c>
      <c r="M11" s="26" t="inlineStr">
        <is>
          <t>Ödeme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IF($A11="","",IF(OR($F11="",$G11=""),"",IF(ABS($G11-$F11)&gt;zincirTolerans,"ZİNCİR KIRIK","OK")))</f>
        <v/>
      </c>
      <c r="S11" s="28">
        <f>IF($A11="","",1)</f>
        <v/>
      </c>
    </row>
    <row r="12">
      <c r="A12" s="26" t="inlineStr">
        <is>
          <t>ODM-00007</t>
        </is>
      </c>
      <c r="B12" s="26" t="inlineStr">
        <is>
          <t>ALN-00007</t>
        </is>
      </c>
      <c r="C12" s="29" t="n">
        <v>46223</v>
      </c>
      <c r="D12" s="26" t="n"/>
      <c r="E12" s="26" t="inlineStr">
        <is>
          <t>PLAN</t>
        </is>
      </c>
      <c r="F12" s="27" t="n">
        <v>146500</v>
      </c>
      <c r="G12" s="27" t="n">
        <v>146500</v>
      </c>
      <c r="H12" s="27" t="n">
        <v>0</v>
      </c>
      <c r="I12" s="27" t="n">
        <v>146500</v>
      </c>
      <c r="J12" s="30" t="n">
        <v>7</v>
      </c>
      <c r="K12" s="26" t="inlineStr">
        <is>
          <t>KRİTİK</t>
        </is>
      </c>
      <c r="L12" s="26" t="inlineStr">
        <is>
          <t>2026-W32</t>
        </is>
      </c>
      <c r="M12" s="26" t="inlineStr">
        <is>
          <t>Ödeme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IF($A12="","",IF(OR($F12="",$G12=""),"",IF(ABS($G12-$F12)&gt;zincirTolerans,"ZİNCİR KIRIK","OK")))</f>
        <v/>
      </c>
      <c r="S12" s="28">
        <f>IF($A12="","",1)</f>
        <v/>
      </c>
    </row>
    <row r="13">
      <c r="A13" s="26" t="inlineStr">
        <is>
          <t>ODM-00008</t>
        </is>
      </c>
      <c r="B13" s="26" t="inlineStr">
        <is>
          <t>ALN-00008</t>
        </is>
      </c>
      <c r="C13" s="29" t="n">
        <v>46220</v>
      </c>
      <c r="D13" s="26" t="inlineStr">
        <is>
          <t>ONAY</t>
        </is>
      </c>
      <c r="E13" s="26" t="inlineStr">
        <is>
          <t>ERTELE</t>
        </is>
      </c>
      <c r="F13" s="27" t="n">
        <v>156000</v>
      </c>
      <c r="G13" s="27" t="n">
        <v>156000</v>
      </c>
      <c r="H13" s="27" t="n">
        <v>0</v>
      </c>
      <c r="I13" s="27" t="n">
        <v>156000</v>
      </c>
      <c r="J13" s="30" t="n">
        <v>8</v>
      </c>
      <c r="K13" s="26" t="inlineStr">
        <is>
          <t>NORMAL</t>
        </is>
      </c>
      <c r="L13" s="26" t="inlineStr">
        <is>
          <t>2026-W32</t>
        </is>
      </c>
      <c r="M13" s="26" t="inlineStr">
        <is>
          <t>Ödeme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IF($A13="","",IF(OR($F13="",$G13=""),"",IF(ABS($G13-$F13)&gt;zincirTolerans,"ZİNCİR KIRIK","OK")))</f>
        <v/>
      </c>
      <c r="S13" s="28">
        <f>IF($A13="","",1)</f>
        <v/>
      </c>
    </row>
    <row r="14">
      <c r="A14" s="26" t="inlineStr">
        <is>
          <t>ODM-00009</t>
        </is>
      </c>
      <c r="B14" s="26" t="inlineStr">
        <is>
          <t>ALN-00001</t>
        </is>
      </c>
      <c r="C14" s="29" t="n">
        <v>46217</v>
      </c>
      <c r="D14" s="26" t="n"/>
      <c r="E14" s="26" t="inlineStr">
        <is>
          <t>PLAN</t>
        </is>
      </c>
      <c r="F14" s="27" t="n">
        <v>165500</v>
      </c>
      <c r="G14" s="27" t="n">
        <v>165500</v>
      </c>
      <c r="H14" s="27" t="n">
        <v>0</v>
      </c>
      <c r="I14" s="27" t="n">
        <v>165500</v>
      </c>
      <c r="J14" s="30" t="n">
        <v>9</v>
      </c>
      <c r="K14" s="26" t="inlineStr">
        <is>
          <t>KRİTİK</t>
        </is>
      </c>
      <c r="L14" s="26" t="inlineStr">
        <is>
          <t>2026-W32</t>
        </is>
      </c>
      <c r="M14" s="26" t="inlineStr">
        <is>
          <t>Ödeme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IF($A14="","",IF(OR($F14="",$G14=""),"",IF(ABS($G14-$F14)&gt;zincirTolerans,"ZİNCİR KIRIK","OK")))</f>
        <v/>
      </c>
      <c r="S14" s="28">
        <f>IF($A14="","",1)</f>
        <v/>
      </c>
    </row>
    <row r="15">
      <c r="A15" s="26" t="inlineStr">
        <is>
          <t>ODM-00010</t>
        </is>
      </c>
      <c r="B15" s="26" t="inlineStr">
        <is>
          <t>ALN-00002</t>
        </is>
      </c>
      <c r="C15" s="29" t="n">
        <v>46214</v>
      </c>
      <c r="D15" s="26" t="inlineStr">
        <is>
          <t>PLAN</t>
        </is>
      </c>
      <c r="E15" s="26" t="inlineStr">
        <is>
          <t>ONAY</t>
        </is>
      </c>
      <c r="F15" s="27" t="n">
        <v>175000</v>
      </c>
      <c r="G15" s="27" t="n">
        <v>175000</v>
      </c>
      <c r="H15" s="27" t="n">
        <v>0</v>
      </c>
      <c r="I15" s="27" t="n">
        <v>175000</v>
      </c>
      <c r="J15" s="30" t="n">
        <v>10</v>
      </c>
      <c r="K15" s="26" t="inlineStr">
        <is>
          <t>YÜKSEK</t>
        </is>
      </c>
      <c r="L15" s="26" t="inlineStr">
        <is>
          <t>2026-W32</t>
        </is>
      </c>
      <c r="M15" s="26" t="inlineStr">
        <is>
          <t>Ödeme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IF($A15="","",IF(OR($F15="",$G15=""),"",IF(ABS($G15-$F15)&gt;zincirTolerans,"ZİNCİR KIRIK","OK")))</f>
        <v/>
      </c>
      <c r="S15" s="28">
        <f>IF($A15="","",1)</f>
        <v/>
      </c>
    </row>
    <row r="16">
      <c r="A16" s="26" t="inlineStr">
        <is>
          <t>ODM-00011</t>
        </is>
      </c>
      <c r="B16" s="26" t="inlineStr">
        <is>
          <t>ALN-00003</t>
        </is>
      </c>
      <c r="C16" s="29" t="n">
        <v>46211</v>
      </c>
      <c r="D16" s="26" t="inlineStr">
        <is>
          <t>ONAY</t>
        </is>
      </c>
      <c r="E16" s="26" t="inlineStr">
        <is>
          <t>ERTELE</t>
        </is>
      </c>
      <c r="F16" s="27" t="n">
        <v>184500</v>
      </c>
      <c r="G16" s="27" t="n">
        <v>184500</v>
      </c>
      <c r="H16" s="27" t="n">
        <v>0</v>
      </c>
      <c r="I16" s="27" t="n">
        <v>184500</v>
      </c>
      <c r="J16" s="30" t="n">
        <v>11</v>
      </c>
      <c r="K16" s="26" t="inlineStr">
        <is>
          <t>NORMAL</t>
        </is>
      </c>
      <c r="L16" s="26" t="inlineStr">
        <is>
          <t>2026-W32</t>
        </is>
      </c>
      <c r="M16" s="26" t="inlineStr">
        <is>
          <t>Ödeme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IF($A16="","",IF(OR($F16="",$G16=""),"",IF(ABS($G16-$F16)&gt;zincirTolerans,"ZİNCİR KIRIK","OK")))</f>
        <v/>
      </c>
      <c r="S16" s="28">
        <f>IF($A16="","",1)</f>
        <v/>
      </c>
    </row>
    <row r="17">
      <c r="A17" s="26" t="inlineStr">
        <is>
          <t>ODM-00012</t>
        </is>
      </c>
      <c r="B17" s="26" t="inlineStr">
        <is>
          <t>ALN-00004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194000</v>
      </c>
      <c r="G17" s="27" t="n">
        <v>236000</v>
      </c>
      <c r="H17" s="27" t="n">
        <v>236000</v>
      </c>
      <c r="I17" s="27" t="n">
        <v>236000</v>
      </c>
      <c r="J17" s="30" t="n">
        <v>12</v>
      </c>
      <c r="K17" s="26" t="inlineStr">
        <is>
          <t>KRİTİK</t>
        </is>
      </c>
      <c r="L17" s="26" t="inlineStr">
        <is>
          <t>2026-W32</t>
        </is>
      </c>
      <c r="M17" s="26" t="inlineStr">
        <is>
          <t>Ödeme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IF($A17="","",IF(OR($F17="",$G17=""),"",IF(ABS($G17-$F17)&gt;zincirTolerans,"ZİNCİR KIRIK","OK")))</f>
        <v/>
      </c>
      <c r="S17" s="28">
        <f>IF($A17="","",1)</f>
        <v/>
      </c>
    </row>
    <row r="18">
      <c r="A18" s="26" t="inlineStr">
        <is>
          <t>ODM-00013</t>
        </is>
      </c>
      <c r="B18" s="26" t="inlineStr">
        <is>
          <t>ALN-00005</t>
        </is>
      </c>
      <c r="C18" s="29" t="n">
        <v>46205</v>
      </c>
      <c r="D18" s="26" t="inlineStr">
        <is>
          <t>ONAY</t>
        </is>
      </c>
      <c r="E18" s="26" t="inlineStr">
        <is>
          <t>IPTAL</t>
        </is>
      </c>
      <c r="F18" s="27" t="n">
        <v>203500</v>
      </c>
      <c r="G18" s="27" t="n">
        <v>203500</v>
      </c>
      <c r="H18" s="27" t="n">
        <v>0</v>
      </c>
      <c r="I18" s="27" t="n">
        <v>203500</v>
      </c>
      <c r="J18" s="30" t="n">
        <v>13</v>
      </c>
      <c r="K18" s="26" t="inlineStr">
        <is>
          <t>NORMAL</t>
        </is>
      </c>
      <c r="L18" s="26" t="inlineStr">
        <is>
          <t>2026-W32</t>
        </is>
      </c>
      <c r="M18" s="26" t="inlineStr">
        <is>
          <t>Ödeme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IF($A18="","",IF(OR($F18="",$G18=""),"",IF(ABS($G18-$F18)&gt;zincirTolerans,"ZİNCİR KIRIK","OK")))</f>
        <v/>
      </c>
      <c r="S18" s="28">
        <f>IF($A18="","",1)</f>
        <v/>
      </c>
    </row>
    <row r="19">
      <c r="A19" s="26" t="inlineStr">
        <is>
          <t>ODM-00014</t>
        </is>
      </c>
      <c r="B19" s="26" t="inlineStr">
        <is>
          <t>ALN-00006</t>
        </is>
      </c>
      <c r="C19" s="29" t="n">
        <v>46202</v>
      </c>
      <c r="D19" s="26" t="inlineStr">
        <is>
          <t>PLAN</t>
        </is>
      </c>
      <c r="E19" s="26" t="inlineStr">
        <is>
          <t>ONAY</t>
        </is>
      </c>
      <c r="F19" s="27" t="n">
        <v>213000</v>
      </c>
      <c r="G19" s="27" t="n">
        <v>213000</v>
      </c>
      <c r="H19" s="27" t="n">
        <v>0</v>
      </c>
      <c r="I19" s="27" t="n">
        <v>213000</v>
      </c>
      <c r="J19" s="30" t="n">
        <v>1</v>
      </c>
      <c r="K19" s="26" t="inlineStr">
        <is>
          <t>YÜKSEK</t>
        </is>
      </c>
      <c r="L19" s="26" t="inlineStr">
        <is>
          <t>2026-W32</t>
        </is>
      </c>
      <c r="M19" s="26" t="inlineStr">
        <is>
          <t>Ödeme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IF($A19="","",IF(OR($F19="",$G19=""),"",IF(ABS($G19-$F19)&gt;zincirTolerans,"ZİNCİR KIRIK","OK")))</f>
        <v/>
      </c>
      <c r="S19" s="28">
        <f>IF($A19="","",1)</f>
        <v/>
      </c>
    </row>
    <row r="20">
      <c r="A20" s="26" t="inlineStr">
        <is>
          <t>ODM-00015</t>
        </is>
      </c>
      <c r="B20" s="26" t="inlineStr">
        <is>
          <t>ALN-00007</t>
        </is>
      </c>
      <c r="C20" s="29" t="n">
        <v>46199</v>
      </c>
      <c r="D20" s="26" t="n"/>
      <c r="E20" s="26" t="inlineStr">
        <is>
          <t>PLAN</t>
        </is>
      </c>
      <c r="F20" s="27" t="n">
        <v>222500</v>
      </c>
      <c r="G20" s="27" t="n">
        <v>222500</v>
      </c>
      <c r="H20" s="27" t="n">
        <v>0</v>
      </c>
      <c r="I20" s="27" t="n">
        <v>222500</v>
      </c>
      <c r="J20" s="30" t="n">
        <v>2</v>
      </c>
      <c r="K20" s="26" t="inlineStr">
        <is>
          <t>KRİTİK</t>
        </is>
      </c>
      <c r="L20" s="26" t="inlineStr">
        <is>
          <t>2026-W32</t>
        </is>
      </c>
      <c r="M20" s="26" t="inlineStr">
        <is>
          <t>Ödeme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IF($A20="","",IF(OR($F20="",$G20=""),"",IF(ABS($G20-$F20)&gt;zincirTolerans,"ZİNCİR KIRIK","OK")))</f>
        <v/>
      </c>
      <c r="S20" s="28">
        <f>IF($A20="","",1)</f>
        <v/>
      </c>
    </row>
    <row r="21">
      <c r="A21" s="26" t="inlineStr">
        <is>
          <t>ODM-00016</t>
        </is>
      </c>
      <c r="B21" s="26" t="inlineStr">
        <is>
          <t>ALN-00008</t>
        </is>
      </c>
      <c r="C21" s="29" t="n">
        <v>46196</v>
      </c>
      <c r="D21" s="26" t="inlineStr">
        <is>
          <t>ONAY</t>
        </is>
      </c>
      <c r="E21" s="26" t="inlineStr">
        <is>
          <t>ERTELE</t>
        </is>
      </c>
      <c r="F21" s="27" t="n">
        <v>232000</v>
      </c>
      <c r="G21" s="27" t="n">
        <v>232000</v>
      </c>
      <c r="H21" s="27" t="n">
        <v>0</v>
      </c>
      <c r="I21" s="27" t="n">
        <v>232000</v>
      </c>
      <c r="J21" s="30" t="n">
        <v>3</v>
      </c>
      <c r="K21" s="26" t="inlineStr">
        <is>
          <t>NORMAL</t>
        </is>
      </c>
      <c r="L21" s="26" t="inlineStr">
        <is>
          <t>2026-W32</t>
        </is>
      </c>
      <c r="M21" s="26" t="inlineStr">
        <is>
          <t>Ödeme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IF($A21="","",IF(OR($F21="",$G21=""),"",IF(ABS($G21-$F21)&gt;zincirTolerans,"ZİNCİR KIRIK","OK")))</f>
        <v/>
      </c>
      <c r="S21" s="28">
        <f>IF($A21="","",1)</f>
        <v/>
      </c>
    </row>
    <row r="22">
      <c r="A22" s="26" t="inlineStr">
        <is>
          <t>ODM-00017</t>
        </is>
      </c>
      <c r="B22" s="26" t="inlineStr">
        <is>
          <t>ALN-00001</t>
        </is>
      </c>
      <c r="C22" s="29" t="n">
        <v>46193</v>
      </c>
      <c r="D22" s="26" t="n"/>
      <c r="E22" s="26" t="inlineStr">
        <is>
          <t>PLAN</t>
        </is>
      </c>
      <c r="F22" s="27" t="n">
        <v>241500</v>
      </c>
      <c r="G22" s="27" t="n">
        <v>241500</v>
      </c>
      <c r="H22" s="27" t="n">
        <v>0</v>
      </c>
      <c r="I22" s="27" t="n">
        <v>241500</v>
      </c>
      <c r="J22" s="30" t="n">
        <v>4</v>
      </c>
      <c r="K22" s="26" t="inlineStr">
        <is>
          <t>KRİTİK</t>
        </is>
      </c>
      <c r="L22" s="26" t="inlineStr">
        <is>
          <t>2026-W32</t>
        </is>
      </c>
      <c r="M22" s="26" t="inlineStr">
        <is>
          <t>Ödeme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IF($A22="","",IF(OR($F22="",$G22=""),"",IF(ABS($G22-$F22)&gt;zincirTolerans,"ZİNCİR KIRIK","OK")))</f>
        <v/>
      </c>
      <c r="S22" s="28">
        <f>IF($A22="","",1)</f>
        <v/>
      </c>
    </row>
    <row r="23">
      <c r="A23" s="26" t="inlineStr">
        <is>
          <t>ODM-00018</t>
        </is>
      </c>
      <c r="B23" s="26" t="inlineStr">
        <is>
          <t>ALN-00002</t>
        </is>
      </c>
      <c r="C23" s="29" t="n">
        <v>46190</v>
      </c>
      <c r="D23" s="26" t="inlineStr">
        <is>
          <t>PLAN</t>
        </is>
      </c>
      <c r="E23" s="26" t="inlineStr">
        <is>
          <t>ODEME</t>
        </is>
      </c>
      <c r="F23" s="27" t="n">
        <v>251000</v>
      </c>
      <c r="G23" s="27" t="n">
        <v>251000</v>
      </c>
      <c r="H23" s="27" t="n">
        <v>251000</v>
      </c>
      <c r="I23" s="27" t="n">
        <v>251000</v>
      </c>
      <c r="J23" s="30" t="n">
        <v>5</v>
      </c>
      <c r="K23" s="26" t="inlineStr">
        <is>
          <t>YÜKSEK</t>
        </is>
      </c>
      <c r="L23" s="26" t="inlineStr">
        <is>
          <t>2026-W32</t>
        </is>
      </c>
      <c r="M23" s="26" t="inlineStr">
        <is>
          <t>Ödeme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IF($A23="","",IF(OR($F23="",$G23=""),"",IF(ABS($G23-$F23)&gt;zincirTolerans,"ZİNCİR KIRIK","OK")))</f>
        <v/>
      </c>
      <c r="S23" s="28">
        <f>IF($A23="","",1)</f>
        <v/>
      </c>
    </row>
    <row r="24">
      <c r="A24" s="26" t="inlineStr">
        <is>
          <t>ODM-00019</t>
        </is>
      </c>
      <c r="B24" s="26" t="inlineStr">
        <is>
          <t>ALN-00003</t>
        </is>
      </c>
      <c r="C24" s="29" t="n">
        <v>46187</v>
      </c>
      <c r="D24" s="26" t="inlineStr">
        <is>
          <t>ONAY</t>
        </is>
      </c>
      <c r="E24" s="26" t="inlineStr">
        <is>
          <t>ERTELE</t>
        </is>
      </c>
      <c r="F24" s="27" t="n">
        <v>260500</v>
      </c>
      <c r="G24" s="27" t="n">
        <v>302500</v>
      </c>
      <c r="H24" s="27" t="n">
        <v>0</v>
      </c>
      <c r="I24" s="27" t="n">
        <v>302500</v>
      </c>
      <c r="J24" s="30" t="n">
        <v>6</v>
      </c>
      <c r="K24" s="26" t="inlineStr">
        <is>
          <t>NORMAL</t>
        </is>
      </c>
      <c r="L24" s="26" t="inlineStr">
        <is>
          <t>2026-W32</t>
        </is>
      </c>
      <c r="M24" s="26" t="inlineStr">
        <is>
          <t>Ödeme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IF($A24="","",IF(OR($F24="",$G24=""),"",IF(ABS($G24-$F24)&gt;zincirTolerans,"ZİNCİR KIRIK","OK")))</f>
        <v/>
      </c>
      <c r="S24" s="28">
        <f>IF($A24="","",1)</f>
        <v/>
      </c>
    </row>
    <row r="25">
      <c r="A25" s="26" t="inlineStr">
        <is>
          <t>ODM-00020</t>
        </is>
      </c>
      <c r="B25" s="26" t="inlineStr">
        <is>
          <t>ALN-00004</t>
        </is>
      </c>
      <c r="C25" s="29" t="n">
        <v>46184</v>
      </c>
      <c r="D25" s="26" t="inlineStr">
        <is>
          <t>ODEME</t>
        </is>
      </c>
      <c r="E25" s="26" t="inlineStr">
        <is>
          <t>ONAY</t>
        </is>
      </c>
      <c r="F25" s="27" t="n">
        <v>270000</v>
      </c>
      <c r="G25" s="27" t="n">
        <v>270000</v>
      </c>
      <c r="H25" s="27" t="n">
        <v>0</v>
      </c>
      <c r="I25" s="27" t="n">
        <v>270000</v>
      </c>
      <c r="J25" s="30" t="n">
        <v>7</v>
      </c>
      <c r="K25" s="26" t="inlineStr">
        <is>
          <t>KRİTİK</t>
        </is>
      </c>
      <c r="L25" s="26" t="inlineStr">
        <is>
          <t>2026-W32</t>
        </is>
      </c>
      <c r="M25" s="26" t="inlineStr">
        <is>
          <t>Ödeme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IF($A25="","",IF(OR($F25="",$G25=""),"",IF(ABS($G25-$F25)&gt;zincirTolerans,"ZİNCİR KIRIK","OK")))</f>
        <v/>
      </c>
      <c r="S25" s="28">
        <f>IF($A25="","",1)</f>
        <v/>
      </c>
    </row>
    <row r="26">
      <c r="A26" s="26" t="inlineStr">
        <is>
          <t>ODM-00021</t>
        </is>
      </c>
      <c r="B26" s="26" t="inlineStr">
        <is>
          <t>ALN-00005</t>
        </is>
      </c>
      <c r="C26" s="29" t="n">
        <v>46181</v>
      </c>
      <c r="D26" s="26" t="inlineStr">
        <is>
          <t>ONAY</t>
        </is>
      </c>
      <c r="E26" s="26" t="inlineStr">
        <is>
          <t>IPTAL</t>
        </is>
      </c>
      <c r="F26" s="27" t="n">
        <v>279500</v>
      </c>
      <c r="G26" s="27" t="n">
        <v>279500</v>
      </c>
      <c r="H26" s="27" t="n">
        <v>0</v>
      </c>
      <c r="I26" s="27" t="n">
        <v>279500</v>
      </c>
      <c r="J26" s="30" t="n">
        <v>8</v>
      </c>
      <c r="K26" s="26" t="inlineStr">
        <is>
          <t>NORMAL</t>
        </is>
      </c>
      <c r="L26" s="26" t="inlineStr">
        <is>
          <t>2026-W32</t>
        </is>
      </c>
      <c r="M26" s="26" t="inlineStr">
        <is>
          <t>Ödeme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IF($A26="","",IF(OR($F26="",$G26=""),"",IF(ABS($G26-$F26)&gt;zincirTolerans,"ZİNCİR KIRIK","OK")))</f>
        <v/>
      </c>
      <c r="S26" s="28">
        <f>IF($A26="","",1)</f>
        <v/>
      </c>
    </row>
    <row r="27">
      <c r="A27" s="26" t="inlineStr">
        <is>
          <t>ODM-00022</t>
        </is>
      </c>
      <c r="B27" s="26" t="n"/>
      <c r="C27" s="29" t="n">
        <v>46178</v>
      </c>
      <c r="D27" s="26" t="inlineStr">
        <is>
          <t>PLAN</t>
        </is>
      </c>
      <c r="E27" s="26" t="inlineStr">
        <is>
          <t>ONAY</t>
        </is>
      </c>
      <c r="F27" s="27" t="n">
        <v>289000</v>
      </c>
      <c r="G27" s="27" t="n">
        <v>289000</v>
      </c>
      <c r="H27" s="27" t="n">
        <v>0</v>
      </c>
      <c r="I27" s="27" t="n">
        <v>289000</v>
      </c>
      <c r="J27" s="30" t="n">
        <v>9</v>
      </c>
      <c r="K27" s="26" t="inlineStr">
        <is>
          <t>YÜKSEK</t>
        </is>
      </c>
      <c r="L27" s="26" t="inlineStr">
        <is>
          <t>2026-W32</t>
        </is>
      </c>
      <c r="M27" s="26" t="inlineStr">
        <is>
          <t>Ödeme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IF($A27="","",IF(OR($F27="",$G27=""),"",IF(ABS($G27-$F27)&gt;zincirTolerans,"ZİNCİR KIRIK","OK")))</f>
        <v/>
      </c>
      <c r="S27" s="28">
        <f>IF($A27="","",1)</f>
        <v/>
      </c>
    </row>
    <row r="28">
      <c r="A28" s="26" t="inlineStr">
        <is>
          <t>ODM-00023</t>
        </is>
      </c>
      <c r="B28" s="26" t="inlineStr">
        <is>
          <t>ALN-00007</t>
        </is>
      </c>
      <c r="C28" s="29" t="n">
        <v>46175</v>
      </c>
      <c r="D28" s="26" t="n"/>
      <c r="E28" s="26" t="inlineStr">
        <is>
          <t>PLAN</t>
        </is>
      </c>
      <c r="F28" s="27" t="n">
        <v>298500</v>
      </c>
      <c r="G28" s="27" t="n">
        <v>298500</v>
      </c>
      <c r="H28" s="27" t="n">
        <v>0</v>
      </c>
      <c r="I28" s="27" t="n">
        <v>298500</v>
      </c>
      <c r="J28" s="30" t="n">
        <v>10</v>
      </c>
      <c r="K28" s="26" t="inlineStr">
        <is>
          <t>KRİTİK</t>
        </is>
      </c>
      <c r="L28" s="26" t="inlineStr">
        <is>
          <t>2026-W32</t>
        </is>
      </c>
      <c r="M28" s="26" t="inlineStr">
        <is>
          <t>Ödeme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IF($A28="","",IF(OR($F28="",$G28=""),"",IF(ABS($G28-$F28)&gt;zincirTolerans,"ZİNCİR KIRIK","OK")))</f>
        <v/>
      </c>
      <c r="S28" s="28">
        <f>IF($A28="","",1)</f>
        <v/>
      </c>
    </row>
    <row r="29">
      <c r="A29" s="26" t="inlineStr">
        <is>
          <t>ODM-00024</t>
        </is>
      </c>
      <c r="B29" s="26" t="inlineStr">
        <is>
          <t>ALN-00008</t>
        </is>
      </c>
      <c r="C29" s="29" t="n">
        <v>46172</v>
      </c>
      <c r="D29" s="26" t="inlineStr">
        <is>
          <t>ONAY</t>
        </is>
      </c>
      <c r="E29" s="26" t="inlineStr">
        <is>
          <t>ERTELE</t>
        </is>
      </c>
      <c r="F29" s="27" t="n">
        <v>308000</v>
      </c>
      <c r="G29" s="27" t="n">
        <v>308000</v>
      </c>
      <c r="H29" s="27" t="n">
        <v>0</v>
      </c>
      <c r="I29" s="27" t="n">
        <v>308000</v>
      </c>
      <c r="J29" s="30" t="n">
        <v>11</v>
      </c>
      <c r="K29" s="26" t="inlineStr">
        <is>
          <t>NORMAL</t>
        </is>
      </c>
      <c r="L29" s="26" t="inlineStr">
        <is>
          <t>2026-W32</t>
        </is>
      </c>
      <c r="M29" s="26" t="inlineStr">
        <is>
          <t>Ödeme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IF($A29="","",IF(OR($F29="",$G29=""),"",IF(ABS($G29-$F29)&gt;zincirTolerans,"ZİNCİR KIRIK","OK")))</f>
        <v/>
      </c>
      <c r="S29" s="28">
        <f>IF($A29="","",1)</f>
        <v/>
      </c>
    </row>
    <row r="30">
      <c r="A30" s="26" t="inlineStr">
        <is>
          <t>ODM-00025</t>
        </is>
      </c>
      <c r="B30" s="26" t="inlineStr">
        <is>
          <t>ALN-99999</t>
        </is>
      </c>
      <c r="C30" s="29" t="n">
        <v>46244</v>
      </c>
      <c r="D30" s="26" t="n"/>
      <c r="E30" s="26" t="inlineStr">
        <is>
          <t>PLAN</t>
        </is>
      </c>
      <c r="F30" s="27" t="n">
        <v>317500</v>
      </c>
      <c r="G30" s="27" t="n">
        <v>317500</v>
      </c>
      <c r="H30" s="27" t="n">
        <v>0</v>
      </c>
      <c r="I30" s="27" t="n">
        <v>317500</v>
      </c>
      <c r="J30" s="30" t="n">
        <v>12</v>
      </c>
      <c r="K30" s="26" t="inlineStr">
        <is>
          <t>KRİTİK</t>
        </is>
      </c>
      <c r="L30" s="26" t="inlineStr">
        <is>
          <t>2026-W32</t>
        </is>
      </c>
      <c r="M30" s="26" t="inlineStr">
        <is>
          <t>Ödeme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IF($A30="","",IF(OR($F30="",$G30=""),"",IF(ABS($G30-$F30)&gt;zincirTolerans,"ZİNCİR KIRIK","OK")))</f>
        <v/>
      </c>
      <c r="S30" s="28">
        <f>IF($A30="","",1)</f>
        <v/>
      </c>
    </row>
    <row r="31">
      <c r="A31" s="26" t="inlineStr">
        <is>
          <t>ODM-00026</t>
        </is>
      </c>
      <c r="B31" s="26" t="inlineStr">
        <is>
          <t>ALN-00002</t>
        </is>
      </c>
      <c r="C31" s="29" t="n">
        <v>46241</v>
      </c>
      <c r="D31" s="26" t="inlineStr">
        <is>
          <t>PLAN</t>
        </is>
      </c>
      <c r="E31" s="26" t="inlineStr">
        <is>
          <t>ONAY</t>
        </is>
      </c>
      <c r="F31" s="27" t="n">
        <v>327000</v>
      </c>
      <c r="G31" s="27" t="n">
        <v>327000</v>
      </c>
      <c r="H31" s="27" t="n">
        <v>0</v>
      </c>
      <c r="I31" s="27" t="n">
        <v>327000</v>
      </c>
      <c r="J31" s="30" t="n">
        <v>13</v>
      </c>
      <c r="K31" s="26" t="inlineStr">
        <is>
          <t>YÜKSEK</t>
        </is>
      </c>
      <c r="L31" s="26" t="inlineStr">
        <is>
          <t>2026-W32</t>
        </is>
      </c>
      <c r="M31" s="26" t="inlineStr">
        <is>
          <t>Ödeme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IF($A31="","",IF(OR($F31="",$G31=""),"",IF(ABS($G31-$F31)&gt;zincirTolerans,"ZİNCİR KIRIK","OK")))</f>
        <v/>
      </c>
      <c r="S31" s="28">
        <f>IF($A31="","",1)</f>
        <v/>
      </c>
    </row>
    <row r="32">
      <c r="A32" s="26" t="inlineStr">
        <is>
          <t>ODM-00027</t>
        </is>
      </c>
      <c r="B32" s="26" t="inlineStr">
        <is>
          <t>ALN-00003</t>
        </is>
      </c>
      <c r="C32" s="29" t="n">
        <v>46238</v>
      </c>
      <c r="D32" s="26" t="inlineStr">
        <is>
          <t>ONAY</t>
        </is>
      </c>
      <c r="E32" s="26" t="inlineStr">
        <is>
          <t>ERTELE</t>
        </is>
      </c>
      <c r="F32" s="27" t="n">
        <v>336500</v>
      </c>
      <c r="G32" s="27" t="n">
        <v>336500</v>
      </c>
      <c r="H32" s="27" t="n">
        <v>0</v>
      </c>
      <c r="I32" s="27" t="n">
        <v>336500</v>
      </c>
      <c r="J32" s="30" t="n">
        <v>1</v>
      </c>
      <c r="K32" s="26" t="inlineStr">
        <is>
          <t>NORMAL</t>
        </is>
      </c>
      <c r="L32" s="26" t="inlineStr">
        <is>
          <t>2026-W32</t>
        </is>
      </c>
      <c r="M32" s="26" t="inlineStr">
        <is>
          <t>Ödeme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IF($A32="","",IF(OR($F32="",$G32=""),"",IF(ABS($G32-$F32)&gt;zincirTolerans,"ZİNCİR KIRIK","OK")))</f>
        <v/>
      </c>
      <c r="S32" s="28">
        <f>IF($A32="","",1)</f>
        <v/>
      </c>
    </row>
    <row r="33">
      <c r="A33" s="26" t="inlineStr">
        <is>
          <t>ODM-00028</t>
        </is>
      </c>
      <c r="B33" s="26" t="inlineStr">
        <is>
          <t>ALN-00004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346000</v>
      </c>
      <c r="G33" s="27" t="n">
        <v>346000</v>
      </c>
      <c r="H33" s="27" t="n">
        <v>346000</v>
      </c>
      <c r="I33" s="27" t="n">
        <v>346000</v>
      </c>
      <c r="J33" s="30" t="n">
        <v>2</v>
      </c>
      <c r="K33" s="26" t="inlineStr">
        <is>
          <t>KRİTİK</t>
        </is>
      </c>
      <c r="L33" s="26" t="inlineStr">
        <is>
          <t>2026-W32</t>
        </is>
      </c>
      <c r="M33" s="26" t="inlineStr">
        <is>
          <t>Ödeme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IF($A33="","",IF(OR($F33="",$G33=""),"",IF(ABS($G33-$F33)&gt;zincirTolerans,"ZİNCİR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30" t="n"/>
      <c r="K34" s="26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IF($A34="","",IF(OR($F34="",$G34=""),"",IF(ABS($G34-$F34)&gt;zincirTolerans,"ZİNCİR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30" t="n"/>
      <c r="K35" s="26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IF($A35="","",IF(OR($F35="",$G35=""),"",IF(ABS($G35-$F35)&gt;zincirTolerans,"ZİNCİR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30" t="n"/>
      <c r="K36" s="26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IF($A36="","",IF(OR($F36="",$G36=""),"",IF(ABS($G36-$F36)&gt;zincirTolerans,"ZİNCİR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30" t="n"/>
      <c r="K37" s="26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IF($A37="","",IF(OR($F37="",$G37=""),"",IF(ABS($G37-$F37)&gt;zincirTolerans,"ZİNCİR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30" t="n"/>
      <c r="K38" s="26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IF($A38="","",IF(OR($F38="",$G38=""),"",IF(ABS($G38-$F38)&gt;zincirTolerans,"ZİNCİR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30" t="n"/>
      <c r="K39" s="26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IF($A39="","",IF(OR($F39="",$G39=""),"",IF(ABS($G39-$F39)&gt;zincirTolerans,"ZİNCİR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30" t="n"/>
      <c r="K40" s="26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IF($A40="","",IF(OR($F40="",$G40=""),"",IF(ABS($G40-$F40)&gt;zincirTolerans,"ZİNCİR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30" t="n"/>
      <c r="K41" s="26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IF($A41="","",IF(OR($F41="",$G41=""),"",IF(ABS($G41-$F41)&gt;zincirTolerans,"ZİNCİR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30" t="n"/>
      <c r="K42" s="26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IF($A42="","",IF(OR($F42="",$G42=""),"",IF(ABS($G42-$F42)&gt;zincirTolerans,"ZİNCİR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30" t="n"/>
      <c r="K43" s="26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IF($A43="","",IF(OR($F43="",$G43=""),"",IF(ABS($G43-$F43)&gt;zincirTolerans,"ZİNCİR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30" t="n"/>
      <c r="K44" s="26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IF($A44="","",IF(OR($F44="",$G44=""),"",IF(ABS($G44-$F44)&gt;zincirTolerans,"ZİNCİR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30" t="n"/>
      <c r="K45" s="26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IF($A45="","",IF(OR($F45="",$G45=""),"",IF(ABS($G45-$F45)&gt;zincirTolerans,"ZİNCİR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30" t="n"/>
      <c r="K46" s="26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IF($A46="","",IF(OR($F46="",$G46=""),"",IF(ABS($G46-$F46)&gt;zincirTolerans,"ZİNCİR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30" t="n"/>
      <c r="K47" s="26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IF($A47="","",IF(OR($F47="",$G47=""),"",IF(ABS($G47-$F47)&gt;zincirTolerans,"ZİNCİR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30" t="n"/>
      <c r="K48" s="26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IF($A48="","",IF(OR($F48="",$G48=""),"",IF(ABS($G48-$F48)&gt;zincirTolerans,"ZİNCİR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30" t="n"/>
      <c r="K49" s="26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IF($A49="","",IF(OR($F49="",$G49=""),"",IF(ABS($G49-$F49)&gt;zincirTolerans,"ZİNCİR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30" t="n"/>
      <c r="K50" s="26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IF($A50="","",IF(OR($F50="",$G50=""),"",IF(ABS($G50-$F50)&gt;zincirTolerans,"ZİNCİR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30" t="n"/>
      <c r="K51" s="26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IF($A51="","",IF(OR($F51="",$G51=""),"",IF(ABS($G51-$F51)&gt;zincirTolerans,"ZİNCİR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30" t="n"/>
      <c r="K52" s="26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IF($A52="","",IF(OR($F52="",$G52=""),"",IF(ABS($G52-$F52)&gt;zincirTolerans,"ZİNCİR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30" t="n"/>
      <c r="K53" s="26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IF($A53="","",IF(OR($F53="",$G53=""),"",IF(ABS($G53-$F53)&gt;zincirTolerans,"ZİNCİR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30" t="n"/>
      <c r="K54" s="26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IF($A54="","",IF(OR($F54="",$G54=""),"",IF(ABS($G54-$F54)&gt;zincirTolerans,"ZİNCİR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30" t="n"/>
      <c r="K55" s="26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IF($A55="","",IF(OR($F55="",$G55=""),"",IF(ABS($G55-$F55)&gt;zincirTolerans,"ZİNCİR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30" t="n"/>
      <c r="K56" s="26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IF($A56="","",IF(OR($F56="",$G56=""),"",IF(ABS($G56-$F56)&gt;zincirTolerans,"ZİNCİR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30" t="n"/>
      <c r="K57" s="26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IF($A57="","",IF(OR($F57="",$G57=""),"",IF(ABS($G57-$F57)&gt;zincirTolerans,"ZİNCİR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30" t="n"/>
      <c r="K58" s="26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IF($A58="","",IF(OR($F58="",$G58=""),"",IF(ABS($G58-$F58)&gt;zincirTolerans,"ZİNCİR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30" t="n"/>
      <c r="K59" s="26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IF($A59="","",IF(OR($F59="",$G59=""),"",IF(ABS($G59-$F59)&gt;zincirTolerans,"ZİNCİR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30" t="n"/>
      <c r="K60" s="26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IF($A60="","",IF(OR($F60="",$G60=""),"",IF(ABS($G60-$F60)&gt;zincirTolerans,"ZİNCİR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30" t="n"/>
      <c r="K61" s="26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IF($A61="","",IF(OR($F61="",$G61=""),"",IF(ABS($G61-$F61)&gt;zincirTolerans,"ZİNCİR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30" t="n"/>
      <c r="K62" s="26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IF($A62="","",IF(OR($F62="",$G62=""),"",IF(ABS($G62-$F62)&gt;zincirTolerans,"ZİNCİR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30" t="n"/>
      <c r="K63" s="26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IF($A63="","",IF(OR($F63="",$G63=""),"",IF(ABS($G63-$F63)&gt;zincirTolerans,"ZİNCİR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30" t="n"/>
      <c r="K64" s="26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IF($A64="","",IF(OR($F64="",$G64=""),"",IF(ABS($G64-$F64)&gt;zincirTolerans,"ZİNCİR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30" t="n"/>
      <c r="K65" s="26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IF($A65="","",IF(OR($F65="",$G65=""),"",IF(ABS($G65-$F65)&gt;zincirTolerans,"ZİNCİR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30" t="n"/>
      <c r="K66" s="26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IF($A66="","",IF(OR($F66="",$G66=""),"",IF(ABS($G66-$F66)&gt;zincirTolerans,"ZİNCİR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30" t="n"/>
      <c r="K67" s="26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IF($A67="","",IF(OR($F67="",$G67=""),"",IF(ABS($G67-$F67)&gt;zincirTolerans,"ZİNCİR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30" t="n"/>
      <c r="K68" s="26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IF($A68="","",IF(OR($F68="",$G68=""),"",IF(ABS($G68-$F68)&gt;zincirTolerans,"ZİNCİR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30" t="n"/>
      <c r="K69" s="26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IF($A69="","",IF(OR($F69="",$G69=""),"",IF(ABS($G69-$F69)&gt;zincirTolerans,"ZİNCİR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30" t="n"/>
      <c r="K70" s="26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IF($A70="","",IF(OR($F70="",$G70=""),"",IF(ABS($G70-$F70)&gt;zincirTolerans,"ZİNCİR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30" t="n"/>
      <c r="K71" s="26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IF($A71="","",IF(OR($F71="",$G71=""),"",IF(ABS($G71-$F71)&gt;zincirTolerans,"ZİNCİR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30" t="n"/>
      <c r="K72" s="26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IF($A72="","",IF(OR($F72="",$G72=""),"",IF(ABS($G72-$F72)&gt;zincirTolerans,"ZİNCİR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30" t="n"/>
      <c r="K73" s="26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IF($A73="","",IF(OR($F73="",$G73=""),"",IF(ABS($G73-$F73)&gt;zincirTolerans,"ZİNCİR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30" t="n"/>
      <c r="K74" s="26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IF($A74="","",IF(OR($F74="",$G74=""),"",IF(ABS($G74-$F74)&gt;zincirTolerans,"ZİNCİR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30" t="n"/>
      <c r="K75" s="26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IF($A75="","",IF(OR($F75="",$G75=""),"",IF(ABS($G75-$F75)&gt;zincirTolerans,"ZİNCİR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30" t="n"/>
      <c r="K76" s="26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IF($A76="","",IF(OR($F76="",$G76=""),"",IF(ABS($G76-$F76)&gt;zincirTolerans,"ZİNCİR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30" t="n"/>
      <c r="K77" s="26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IF($A77="","",IF(OR($F77="",$G77=""),"",IF(ABS($G77-$F77)&gt;zincirTolerans,"ZİNCİR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30" t="n"/>
      <c r="K78" s="26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IF($A78="","",IF(OR($F78="",$G78=""),"",IF(ABS($G78-$F78)&gt;zincirTolerans,"ZİNCİR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30" t="n"/>
      <c r="K79" s="26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IF($A79="","",IF(OR($F79="",$G79=""),"",IF(ABS($G79-$F79)&gt;zincirTolerans,"ZİNCİR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30" t="n"/>
      <c r="K80" s="26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IF($A80="","",IF(OR($F80="",$G80=""),"",IF(ABS($G80-$F80)&gt;zincirTolerans,"ZİNCİR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30" t="n"/>
      <c r="K81" s="26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IF($A81="","",IF(OR($F81="",$G81=""),"",IF(ABS($G81-$F81)&gt;zincirTolerans,"ZİNCİR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30" t="n"/>
      <c r="K82" s="26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IF($A82="","",IF(OR($F82="",$G82=""),"",IF(ABS($G82-$F82)&gt;zincirTolerans,"ZİNCİR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30" t="n"/>
      <c r="K83" s="26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IF($A83="","",IF(OR($F83="",$G83=""),"",IF(ABS($G83-$F83)&gt;zincirTolerans,"ZİNCİR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30" t="n"/>
      <c r="K84" s="26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IF($A84="","",IF(OR($F84="",$G84=""),"",IF(ABS($G84-$F84)&gt;zincirTolerans,"ZİNCİR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30" t="n"/>
      <c r="K85" s="26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IF($A85="","",IF(OR($F85="",$G85=""),"",IF(ABS($G85-$F85)&gt;zincirTolerans,"ZİNCİR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30" t="n"/>
      <c r="K86" s="26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IF($A86="","",IF(OR($F86="",$G86=""),"",IF(ABS($G86-$F86)&gt;zincirTolerans,"ZİNCİR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30" t="n"/>
      <c r="K87" s="26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IF($A87="","",IF(OR($F87="",$G87=""),"",IF(ABS($G87-$F87)&gt;zincirTolerans,"ZİNCİR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30" t="n"/>
      <c r="K88" s="26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IF($A88="","",IF(OR($F88="",$G88=""),"",IF(ABS($G88-$F88)&gt;zincirTolerans,"ZİNCİR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30" t="n"/>
      <c r="K89" s="26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IF($A89="","",IF(OR($F89="",$G89=""),"",IF(ABS($G89-$F89)&gt;zincirTolerans,"ZİNCİR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30" t="n"/>
      <c r="K90" s="26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IF($A90="","",IF(OR($F90="",$G90=""),"",IF(ABS($G90-$F90)&gt;zincirTolerans,"ZİNCİR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30" t="n"/>
      <c r="K91" s="26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IF($A91="","",IF(OR($F91="",$G91=""),"",IF(ABS($G91-$F91)&gt;zincirTolerans,"ZİNCİR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30" t="n"/>
      <c r="K92" s="26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IF($A92="","",IF(OR($F92="",$G92=""),"",IF(ABS($G92-$F92)&gt;zincirTolerans,"ZİNCİR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30" t="n"/>
      <c r="K93" s="26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IF($A93="","",IF(OR($F93="",$G93=""),"",IF(ABS($G93-$F93)&gt;zincirTolerans,"ZİNCİR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30" t="n"/>
      <c r="K94" s="26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IF($A94="","",IF(OR($F94="",$G94=""),"",IF(ABS($G94-$F94)&gt;zincirTolerans,"ZİNCİR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30" t="n"/>
      <c r="K95" s="26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IF($A95="","",IF(OR($F95="",$G95=""),"",IF(ABS($G95-$F95)&gt;zincirTolerans,"ZİNCİR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30" t="n"/>
      <c r="K96" s="26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IF($A96="","",IF(OR($F96="",$G96=""),"",IF(ABS($G96-$F96)&gt;zincirTolerans,"ZİNCİR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30" t="n"/>
      <c r="K97" s="26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IF($A97="","",IF(OR($F97="",$G97=""),"",IF(ABS($G97-$F97)&gt;zincirTolerans,"ZİNCİR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30" t="n"/>
      <c r="K98" s="26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IF($A98="","",IF(OR($F98="",$G98=""),"",IF(ABS($G98-$F98)&gt;zincirTolerans,"ZİNCİR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30" t="n"/>
      <c r="K99" s="26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IF($A99="","",IF(OR($F99="",$G99=""),"",IF(ABS($G99-$F99)&gt;zincirTolerans,"ZİNCİR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30" t="n"/>
      <c r="K100" s="26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IF($A100="","",IF(OR($F100="",$G100=""),"",IF(ABS($G100-$F100)&gt;zincirTolerans,"ZİNCİR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30" t="n"/>
      <c r="K101" s="26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IF($A101="","",IF(OR($F101="",$G101=""),"",IF(ABS($G101-$F101)&gt;zincirTolerans,"ZİNCİR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30" t="n"/>
      <c r="K102" s="26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IF($A102="","",IF(OR($F102="",$G102=""),"",IF(ABS($G102-$F102)&gt;zincirTolerans,"ZİNCİR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30" t="n"/>
      <c r="K103" s="26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IF($A103="","",IF(OR($F103="",$G103=""),"",IF(ABS($G103-$F103)&gt;zincirTolerans,"ZİNCİR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30" t="n"/>
      <c r="K104" s="26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IF($A104="","",IF(OR($F104="",$G104=""),"",IF(ABS($G104-$F104)&gt;zincirTolerans,"ZİNCİR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30" t="n"/>
      <c r="K105" s="26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IF($A105="","",IF(OR($F105="",$G105=""),"",IF(ABS($G105-$F105)&gt;zincirTolerans,"ZİNCİR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30" t="n"/>
      <c r="K106" s="26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IF($A106="","",IF(OR($F106="",$G106=""),"",IF(ABS($G106-$F106)&gt;zincirTolerans,"ZİNCİR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30" t="n"/>
      <c r="K107" s="26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IF($A107="","",IF(OR($F107="",$G107=""),"",IF(ABS($G107-$F107)&gt;zincirTolerans,"ZİNCİR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30" t="n"/>
      <c r="K108" s="26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IF($A108="","",IF(OR($F108="",$G108=""),"",IF(ABS($G108-$F108)&gt;zincirTolerans,"ZİNCİR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30" t="n"/>
      <c r="K109" s="26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IF($A109="","",IF(OR($F109="",$G109=""),"",IF(ABS($G109-$F109)&gt;zincirTolerans,"ZİNCİR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30" t="n"/>
      <c r="K110" s="26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IF($A110="","",IF(OR($F110="",$G110=""),"",IF(ABS($G110-$F110)&gt;zincirTolerans,"ZİNCİR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30" t="n"/>
      <c r="K111" s="26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IF($A111="","",IF(OR($F111="",$G111=""),"",IF(ABS($G111-$F111)&gt;zincirTolerans,"ZİNCİR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30" t="n"/>
      <c r="K112" s="26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IF($A112="","",IF(OR($F112="",$G112=""),"",IF(ABS($G112-$F112)&gt;zincirTolerans,"ZİNCİR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30" t="n"/>
      <c r="K113" s="26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IF($A113="","",IF(OR($F113="",$G113=""),"",IF(ABS($G113-$F113)&gt;zincirTolerans,"ZİNCİR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30" t="n"/>
      <c r="K114" s="26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IF($A114="","",IF(OR($F114="",$G114=""),"",IF(ABS($G114-$F114)&gt;zincirTolerans,"ZİNCİR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30" t="n"/>
      <c r="K115" s="26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IF($A115="","",IF(OR($F115="",$G115=""),"",IF(ABS($G115-$F115)&gt;zincirTolerans,"ZİNCİR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30" t="n"/>
      <c r="K116" s="26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IF($A116="","",IF(OR($F116="",$G116=""),"",IF(ABS($G116-$F116)&gt;zincirTolerans,"ZİNCİR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30" t="n"/>
      <c r="K117" s="26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IF($A117="","",IF(OR($F117="",$G117=""),"",IF(ABS($G117-$F117)&gt;zincirTolerans,"ZİNCİR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30" t="n"/>
      <c r="K118" s="26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IF($A118="","",IF(OR($F118="",$G118=""),"",IF(ABS($G118-$F118)&gt;zincirTolerans,"ZİNCİR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30" t="n"/>
      <c r="K119" s="26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IF($A119="","",IF(OR($F119="",$G119=""),"",IF(ABS($G119-$F119)&gt;zincirTolerans,"ZİNCİR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30" t="n"/>
      <c r="K120" s="26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IF($A120="","",IF(OR($F120="",$G120=""),"",IF(ABS($G120-$F120)&gt;zincirTolerans,"ZİNCİR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30" t="n"/>
      <c r="K121" s="26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IF($A121="","",IF(OR($F121="",$G121=""),"",IF(ABS($G121-$F121)&gt;zincirTolerans,"ZİNCİR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30" t="n"/>
      <c r="K122" s="26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IF($A122="","",IF(OR($F122="",$G122=""),"",IF(ABS($G122-$F122)&gt;zincirTolerans,"ZİNCİR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30" t="n"/>
      <c r="K123" s="26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IF($A123="","",IF(OR($F123="",$G123=""),"",IF(ABS($G123-$F123)&gt;zincirTolerans,"ZİNCİR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30" t="n"/>
      <c r="K124" s="26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IF($A124="","",IF(OR($F124="",$G124=""),"",IF(ABS($G124-$F124)&gt;zincirTolerans,"ZİNCİR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30" t="n"/>
      <c r="K125" s="26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IF($A125="","",IF(OR($F125="",$G125=""),"",IF(ABS($G125-$F125)&gt;zincirTolerans,"ZİNCİR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30" t="n"/>
      <c r="K126" s="26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IF($A126="","",IF(OR($F126="",$G126=""),"",IF(ABS($G126-$F126)&gt;zincirTolerans,"ZİNCİR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30" t="n"/>
      <c r="K127" s="26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IF($A127="","",IF(OR($F127="",$G127=""),"",IF(ABS($G127-$F127)&gt;zincirTolerans,"ZİNCİR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30" t="n"/>
      <c r="K128" s="26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IF($A128="","",IF(OR($F128="",$G128=""),"",IF(ABS($G128-$F128)&gt;zincirTolerans,"ZİNCİR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30" t="n"/>
      <c r="K129" s="26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IF($A129="","",IF(OR($F129="",$G129=""),"",IF(ABS($G129-$F129)&gt;zincirTolerans,"ZİNCİR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30" t="n"/>
      <c r="K130" s="26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IF($A130="","",IF(OR($F130="",$G130=""),"",IF(ABS($G130-$F130)&gt;zincirTolerans,"ZİNCİR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30" t="n"/>
      <c r="K131" s="26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IF($A131="","",IF(OR($F131="",$G131=""),"",IF(ABS($G131-$F131)&gt;zincirTolerans,"ZİNCİR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30" t="n"/>
      <c r="K132" s="26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IF($A132="","",IF(OR($F132="",$G132=""),"",IF(ABS($G132-$F132)&gt;zincirTolerans,"ZİNCİR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30" t="n"/>
      <c r="K133" s="26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IF($A133="","",IF(OR($F133="",$G133=""),"",IF(ABS($G133-$F133)&gt;zincirTolerans,"ZİNCİR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30" t="n"/>
      <c r="K134" s="26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IF($A134="","",IF(OR($F134="",$G134=""),"",IF(ABS($G134-$F134)&gt;zincirTolerans,"ZİNCİR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30" t="n"/>
      <c r="K135" s="26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IF($A135="","",IF(OR($F135="",$G135=""),"",IF(ABS($G135-$F135)&gt;zincirTolerans,"ZİNCİR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30" t="n"/>
      <c r="K136" s="26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IF($A136="","",IF(OR($F136="",$G136=""),"",IF(ABS($G136-$F136)&gt;zincirTolerans,"ZİNCİR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30" t="n"/>
      <c r="K137" s="26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IF($A137="","",IF(OR($F137="",$G137=""),"",IF(ABS($G137-$F137)&gt;zincirTolerans,"ZİNCİR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30" t="n"/>
      <c r="K138" s="26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IF($A138="","",IF(OR($F138="",$G138=""),"",IF(ABS($G138-$F138)&gt;zincirTolerans,"ZİNCİR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30" t="n"/>
      <c r="K139" s="26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IF($A139="","",IF(OR($F139="",$G139=""),"",IF(ABS($G139-$F139)&gt;zincirTolerans,"ZİNCİR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30" t="n"/>
      <c r="K140" s="26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IF($A140="","",IF(OR($F140="",$G140=""),"",IF(ABS($G140-$F140)&gt;zincirTolerans,"ZİNCİR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30" t="n"/>
      <c r="K141" s="26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IF($A141="","",IF(OR($F141="",$G141=""),"",IF(ABS($G141-$F141)&gt;zincirTolerans,"ZİNCİR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30" t="n"/>
      <c r="K142" s="26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IF($A142="","",IF(OR($F142="",$G142=""),"",IF(ABS($G142-$F142)&gt;zincirTolerans,"ZİNCİR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30" t="n"/>
      <c r="K143" s="26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IF($A143="","",IF(OR($F143="",$G143=""),"",IF(ABS($G143-$F143)&gt;zincirTolerans,"ZİNCİR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30" t="n"/>
      <c r="K144" s="26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IF($A144="","",IF(OR($F144="",$G144=""),"",IF(ABS($G144-$F144)&gt;zincirTolerans,"ZİNCİR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30" t="n"/>
      <c r="K145" s="26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IF($A145="","",IF(OR($F145="",$G145=""),"",IF(ABS($G145-$F145)&gt;zincirTolerans,"ZİNCİR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30" t="n"/>
      <c r="K146" s="26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IF($A146="","",IF(OR($F146="",$G146=""),"",IF(ABS($G146-$F146)&gt;zincirTolerans,"ZİNCİR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30" t="n"/>
      <c r="K147" s="26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IF($A147="","",IF(OR($F147="",$G147=""),"",IF(ABS($G147-$F147)&gt;zincirTolerans,"ZİNCİR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30" t="n"/>
      <c r="K148" s="26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IF($A148="","",IF(OR($F148="",$G148=""),"",IF(ABS($G148-$F148)&gt;zincirTolerans,"ZİNCİR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30" t="n"/>
      <c r="K149" s="26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IF($A149="","",IF(OR($F149="",$G149=""),"",IF(ABS($G149-$F149)&gt;zincirTolerans,"ZİNCİR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30" t="n"/>
      <c r="K150" s="26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IF($A150="","",IF(OR($F150="",$G150=""),"",IF(ABS($G150-$F150)&gt;zincirTolerans,"ZİNCİR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30" t="n"/>
      <c r="K151" s="26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IF($A151="","",IF(OR($F151="",$G151=""),"",IF(ABS($G151-$F151)&gt;zincirTolerans,"ZİNCİR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30" t="n"/>
      <c r="K152" s="26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IF($A152="","",IF(OR($F152="",$G152=""),"",IF(ABS($G152-$F152)&gt;zincirTolerans,"ZİNCİR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30" t="n"/>
      <c r="K153" s="26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IF($A153="","",IF(OR($F153="",$G153=""),"",IF(ABS($G153-$F153)&gt;zincirTolerans,"ZİNCİR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30" t="n"/>
      <c r="K154" s="26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IF($A154="","",IF(OR($F154="",$G154=""),"",IF(ABS($G154-$F154)&gt;zincirTolerans,"ZİNCİR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30" t="n"/>
      <c r="K155" s="26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IF($A155="","",IF(OR($F155="",$G155=""),"",IF(ABS($G155-$F155)&gt;zincirTolerans,"ZİNCİR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30" t="n"/>
      <c r="K156" s="26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IF($A156="","",IF(OR($F156="",$G156=""),"",IF(ABS($G156-$F156)&gt;zincirTolerans,"ZİNCİR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30" t="n"/>
      <c r="K157" s="26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IF($A157="","",IF(OR($F157="",$G157=""),"",IF(ABS($G157-$F157)&gt;zincirTolerans,"ZİNCİR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30" t="n"/>
      <c r="K158" s="26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IF($A158="","",IF(OR($F158="",$G158=""),"",IF(ABS($G158-$F158)&gt;zincirTolerans,"ZİNCİR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30" t="n"/>
      <c r="K159" s="26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IF($A159="","",IF(OR($F159="",$G159=""),"",IF(ABS($G159-$F159)&gt;zincirTolerans,"ZİNCİR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30" t="n"/>
      <c r="K160" s="26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IF($A160="","",IF(OR($F160="",$G160=""),"",IF(ABS($G160-$F160)&gt;zincirTolerans,"ZİNCİR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30" t="n"/>
      <c r="K161" s="26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IF($A161="","",IF(OR($F161="",$G161=""),"",IF(ABS($G161-$F161)&gt;zincirTolerans,"ZİNCİR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30" t="n"/>
      <c r="K162" s="26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IF($A162="","",IF(OR($F162="",$G162=""),"",IF(ABS($G162-$F162)&gt;zincirTolerans,"ZİNCİR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30" t="n"/>
      <c r="K163" s="26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IF($A163="","",IF(OR($F163="",$G163=""),"",IF(ABS($G163-$F163)&gt;zincirTolerans,"ZİNCİR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30" t="n"/>
      <c r="K164" s="26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IF($A164="","",IF(OR($F164="",$G164=""),"",IF(ABS($G164-$F164)&gt;zincirTolerans,"ZİNCİR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30" t="n"/>
      <c r="K165" s="26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IF($A165="","",IF(OR($F165="",$G165=""),"",IF(ABS($G165-$F165)&gt;zincirTolerans,"ZİNCİR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30" t="n"/>
      <c r="K166" s="26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IF($A166="","",IF(OR($F166="",$G166=""),"",IF(ABS($G166-$F166)&gt;zincirTolerans,"ZİNCİR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30" t="n"/>
      <c r="K167" s="26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IF($A167="","",IF(OR($F167="",$G167=""),"",IF(ABS($G167-$F167)&gt;zincirTolerans,"ZİNCİR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30" t="n"/>
      <c r="K168" s="26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IF($A168="","",IF(OR($F168="",$G168=""),"",IF(ABS($G168-$F168)&gt;zincirTolerans,"ZİNCİR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30" t="n"/>
      <c r="K169" s="26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IF($A169="","",IF(OR($F169="",$G169=""),"",IF(ABS($G169-$F169)&gt;zincirTolerans,"ZİNCİR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30" t="n"/>
      <c r="K170" s="26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IF($A170="","",IF(OR($F170="",$G170=""),"",IF(ABS($G170-$F170)&gt;zincirTolerans,"ZİNCİR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30" t="n"/>
      <c r="K171" s="26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IF($A171="","",IF(OR($F171="",$G171=""),"",IF(ABS($G171-$F171)&gt;zincirTolerans,"ZİNCİR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30" t="n"/>
      <c r="K172" s="26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IF($A172="","",IF(OR($F172="",$G172=""),"",IF(ABS($G172-$F172)&gt;zincirTolerans,"ZİNCİR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30" t="n"/>
      <c r="K173" s="26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IF($A173="","",IF(OR($F173="",$G173=""),"",IF(ABS($G173-$F173)&gt;zincirTolerans,"ZİNCİR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30" t="n"/>
      <c r="K174" s="26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IF($A174="","",IF(OR($F174="",$G174=""),"",IF(ABS($G174-$F174)&gt;zincirTolerans,"ZİNCİR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30" t="n"/>
      <c r="K175" s="26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IF($A175="","",IF(OR($F175="",$G175=""),"",IF(ABS($G175-$F175)&gt;zincirTolerans,"ZİNCİR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30" t="n"/>
      <c r="K176" s="26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IF($A176="","",IF(OR($F176="",$G176=""),"",IF(ABS($G176-$F176)&gt;zincirTolerans,"ZİNCİR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30" t="n"/>
      <c r="K177" s="26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IF($A177="","",IF(OR($F177="",$G177=""),"",IF(ABS($G177-$F177)&gt;zincirTolerans,"ZİNCİR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30" t="n"/>
      <c r="K178" s="26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IF($A178="","",IF(OR($F178="",$G178=""),"",IF(ABS($G178-$F178)&gt;zincirTolerans,"ZİNCİR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30" t="n"/>
      <c r="K179" s="26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IF($A179="","",IF(OR($F179="",$G179=""),"",IF(ABS($G179-$F179)&gt;zincirTolerans,"ZİNCİR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30" t="n"/>
      <c r="K180" s="26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IF($A180="","",IF(OR($F180="",$G180=""),"",IF(ABS($G180-$F180)&gt;zincirTolerans,"ZİNCİR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30" t="n"/>
      <c r="K181" s="26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IF($A181="","",IF(OR($F181="",$G181=""),"",IF(ABS($G181-$F181)&gt;zincirTolerans,"ZİNCİR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30" t="n"/>
      <c r="K182" s="26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IF($A182="","",IF(OR($F182="",$G182=""),"",IF(ABS($G182-$F182)&gt;zincirTolerans,"ZİNCİR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30" t="n"/>
      <c r="K183" s="26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IF($A183="","",IF(OR($F183="",$G183=""),"",IF(ABS($G183-$F183)&gt;zincirTolerans,"ZİNCİR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30" t="n"/>
      <c r="K184" s="26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IF($A184="","",IF(OR($F184="",$G184=""),"",IF(ABS($G184-$F184)&gt;zincirTolerans,"ZİNCİR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30" t="n"/>
      <c r="K185" s="26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IF($A185="","",IF(OR($F185="",$G185=""),"",IF(ABS($G185-$F185)&gt;zincirTolerans,"ZİNCİR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30" t="n"/>
      <c r="K186" s="26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IF($A186="","",IF(OR($F186="",$G186=""),"",IF(ABS($G186-$F186)&gt;zincirTolerans,"ZİNCİR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30" t="n"/>
      <c r="K187" s="26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IF($A187="","",IF(OR($F187="",$G187=""),"",IF(ABS($G187-$F187)&gt;zincirTolerans,"ZİNCİR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30" t="n"/>
      <c r="K188" s="26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IF($A188="","",IF(OR($F188="",$G188=""),"",IF(ABS($G188-$F188)&gt;zincirTolerans,"ZİNCİR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30" t="n"/>
      <c r="K189" s="26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IF($A189="","",IF(OR($F189="",$G189=""),"",IF(ABS($G189-$F189)&gt;zincirTolerans,"ZİNCİR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30" t="n"/>
      <c r="K190" s="26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IF($A190="","",IF(OR($F190="",$G190=""),"",IF(ABS($G190-$F190)&gt;zincirTolerans,"ZİNCİR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30" t="n"/>
      <c r="K191" s="26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IF($A191="","",IF(OR($F191="",$G191=""),"",IF(ABS($G191-$F191)&gt;zincirTolerans,"ZİNCİR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30" t="n"/>
      <c r="K192" s="26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IF($A192="","",IF(OR($F192="",$G192=""),"",IF(ABS($G192-$F192)&gt;zincirTolerans,"ZİNCİR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30" t="n"/>
      <c r="K193" s="26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IF($A193="","",IF(OR($F193="",$G193=""),"",IF(ABS($G193-$F193)&gt;zincirTolerans,"ZİNCİR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30" t="n"/>
      <c r="K194" s="26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IF($A194="","",IF(OR($F194="",$G194=""),"",IF(ABS($G194-$F194)&gt;zincirTolerans,"ZİNCİR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30" t="n"/>
      <c r="K195" s="26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IF($A195="","",IF(OR($F195="",$G195=""),"",IF(ABS($G195-$F195)&gt;zincirTolerans,"ZİNCİR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30" t="n"/>
      <c r="K196" s="26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IF($A196="","",IF(OR($F196="",$G196=""),"",IF(ABS($G196-$F196)&gt;zincirTolerans,"ZİNCİR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30" t="n"/>
      <c r="K197" s="26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IF($A197="","",IF(OR($F197="",$G197=""),"",IF(ABS($G197-$F197)&gt;zincirTolerans,"ZİNCİR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30" t="n"/>
      <c r="K198" s="26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IF($A198="","",IF(OR($F198="",$G198=""),"",IF(ABS($G198-$F198)&gt;zincirTolerans,"ZİNCİR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30" t="n"/>
      <c r="K199" s="26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IF($A199="","",IF(OR($F199="",$G199=""),"",IF(ABS($G199-$F199)&gt;zincirTolerans,"ZİNCİR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30" t="n"/>
      <c r="K200" s="26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IF($A200="","",IF(OR($F200="",$G200=""),"",IF(ABS($G200-$F200)&gt;zincirTolerans,"ZİNCİR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30" t="n"/>
      <c r="K201" s="26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IF($A201="","",IF(OR($F201="",$G201=""),"",IF(ABS($G201-$F201)&gt;zincirTolerans,"ZİNCİR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30" t="n"/>
      <c r="K202" s="26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IF($A202="","",IF(OR($F202="",$G202=""),"",IF(ABS($G202-$F202)&gt;zincirTolerans,"ZİNCİR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30" t="n"/>
      <c r="K203" s="26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IF($A203="","",IF(OR($F203="",$G203=""),"",IF(ABS($G203-$F203)&gt;zincirTolerans,"ZİNCİR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30" t="n"/>
      <c r="K204" s="26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IF($A204="","",IF(OR($F204="",$G204=""),"",IF(ABS($G204-$F204)&gt;zincirTolerans,"ZİNCİR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30" t="n"/>
      <c r="K205" s="26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IF($A205="","",IF(OR($F205="",$G205=""),"",IF(ABS($G205-$F205)&gt;zincirTolerans,"ZİNCİR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30" t="n"/>
      <c r="K206" s="26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IF($A206="","",IF(OR($F206="",$G206=""),"",IF(ABS($G206-$F206)&gt;zincirTolerans,"ZİNCİR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30" t="n"/>
      <c r="K207" s="26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IF($A207="","",IF(OR($F207="",$G207=""),"",IF(ABS($G207-$F207)&gt;zincirTolerans,"ZİNCİR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30" t="n"/>
      <c r="K208" s="26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IF($A208="","",IF(OR($F208="",$G208=""),"",IF(ABS($G208-$F208)&gt;zincirTolerans,"ZİNCİR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30" t="n"/>
      <c r="K209" s="26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IF($A209="","",IF(OR($F209="",$G209=""),"",IF(ABS($G209-$F209)&gt;zincirTolerans,"ZİNCİR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30" t="n"/>
      <c r="K210" s="26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IF($A210="","",IF(OR($F210="",$G210=""),"",IF(ABS($G210-$F210)&gt;zincirTolerans,"ZİNCİR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30" t="n"/>
      <c r="K211" s="26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IF($A211="","",IF(OR($F211="",$G211=""),"",IF(ABS($G211-$F211)&gt;zincirTolerans,"ZİNCİR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30" t="n"/>
      <c r="K212" s="26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IF($A212="","",IF(OR($F212="",$G212=""),"",IF(ABS($G212-$F212)&gt;zincirTolerans,"ZİNCİR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30" t="n"/>
      <c r="K213" s="26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IF($A213="","",IF(OR($F213="",$G213=""),"",IF(ABS($G213-$F213)&gt;zincirTolerans,"ZİNCİR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30" t="n"/>
      <c r="K214" s="26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IF($A214="","",IF(OR($F214="",$G214=""),"",IF(ABS($G214-$F214)&gt;zincirTolerans,"ZİNCİR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30" t="n"/>
      <c r="K215" s="26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IF($A215="","",IF(OR($F215="",$G215=""),"",IF(ABS($G215-$F215)&gt;zincirTolerans,"ZİNCİR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30" t="n"/>
      <c r="K216" s="26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IF($A216="","",IF(OR($F216="",$G216=""),"",IF(ABS($G216-$F216)&gt;zincirTolerans,"ZİNCİR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30" t="n"/>
      <c r="K217" s="26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IF($A217="","",IF(OR($F217="",$G217=""),"",IF(ABS($G217-$F217)&gt;zincirTolerans,"ZİNCİR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30" t="n"/>
      <c r="K218" s="26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IF($A218="","",IF(OR($F218="",$G218=""),"",IF(ABS($G218-$F218)&gt;zincirTolerans,"ZİNCİR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30" t="n"/>
      <c r="K219" s="26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IF($A219="","",IF(OR($F219="",$G219=""),"",IF(ABS($G219-$F219)&gt;zincirTolerans,"ZİNCİR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30" t="n"/>
      <c r="K220" s="26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IF($A220="","",IF(OR($F220="",$G220=""),"",IF(ABS($G220-$F220)&gt;zincirTolerans,"ZİNCİR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30" t="n"/>
      <c r="K221" s="26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IF($A221="","",IF(OR($F221="",$G221=""),"",IF(ABS($G221-$F221)&gt;zincirTolerans,"ZİNCİR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30" t="n"/>
      <c r="K222" s="26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IF($A222="","",IF(OR($F222="",$G222=""),"",IF(ABS($G222-$F222)&gt;zincirTolerans,"ZİNCİR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30" t="n"/>
      <c r="K223" s="26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IF($A223="","",IF(OR($F223="",$G223=""),"",IF(ABS($G223-$F223)&gt;zincirTolerans,"ZİNCİR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30" t="n"/>
      <c r="K224" s="26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IF($A224="","",IF(OR($F224="",$G224=""),"",IF(ABS($G224-$F224)&gt;zincirTolerans,"ZİNCİR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30" t="n"/>
      <c r="K225" s="26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IF($A225="","",IF(OR($F225="",$G225=""),"",IF(ABS($G225-$F225)&gt;zincirTolerans,"ZİNCİR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30" t="n"/>
      <c r="K226" s="26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IF($A226="","",IF(OR($F226="",$G226=""),"",IF(ABS($G226-$F226)&gt;zincirTolerans,"ZİNCİR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30" t="n"/>
      <c r="K227" s="26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IF($A227="","",IF(OR($F227="",$G227=""),"",IF(ABS($G227-$F227)&gt;zincirTolerans,"ZİNCİR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30" t="n"/>
      <c r="K228" s="26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IF($A228="","",IF(OR($F228="",$G228=""),"",IF(ABS($G228-$F228)&gt;zincirTolerans,"ZİNCİR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30" t="n"/>
      <c r="K229" s="26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IF($A229="","",IF(OR($F229="",$G229=""),"",IF(ABS($G229-$F229)&gt;zincirTolerans,"ZİNCİR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30" t="n"/>
      <c r="K230" s="26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IF($A230="","",IF(OR($F230="",$G230=""),"",IF(ABS($G230-$F230)&gt;zincirTolerans,"ZİNCİR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30" t="n"/>
      <c r="K231" s="26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IF($A231="","",IF(OR($F231="",$G231=""),"",IF(ABS($G231-$F231)&gt;zincirTolerans,"ZİNCİR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30" t="n"/>
      <c r="K232" s="26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IF($A232="","",IF(OR($F232="",$G232=""),"",IF(ABS($G232-$F232)&gt;zincirTolerans,"ZİNCİR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30" t="n"/>
      <c r="K233" s="26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IF($A233="","",IF(OR($F233="",$G233=""),"",IF(ABS($G233-$F233)&gt;zincirTolerans,"ZİNCİR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30" t="n"/>
      <c r="K234" s="26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IF($A234="","",IF(OR($F234="",$G234=""),"",IF(ABS($G234-$F234)&gt;zincirTolerans,"ZİNCİR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30" t="n"/>
      <c r="K235" s="26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IF($A235="","",IF(OR($F235="",$G235=""),"",IF(ABS($G235-$F235)&gt;zincirTolerans,"ZİNCİR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30" t="n"/>
      <c r="K236" s="26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IF($A236="","",IF(OR($F236="",$G236=""),"",IF(ABS($G236-$F236)&gt;zincirTolerans,"ZİNCİR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30" t="n"/>
      <c r="K237" s="26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IF($A237="","",IF(OR($F237="",$G237=""),"",IF(ABS($G237-$F237)&gt;zincirTolerans,"ZİNCİR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30" t="n"/>
      <c r="K238" s="26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IF($A238="","",IF(OR($F238="",$G238=""),"",IF(ABS($G238-$F238)&gt;zincirTolerans,"ZİNCİR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30" t="n"/>
      <c r="K239" s="26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IF($A239="","",IF(OR($F239="",$G239=""),"",IF(ABS($G239-$F239)&gt;zincirTolerans,"ZİNCİR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30" t="n"/>
      <c r="K240" s="26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IF($A240="","",IF(OR($F240="",$G240=""),"",IF(ABS($G240-$F240)&gt;zincirTolerans,"ZİNCİR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30" t="n"/>
      <c r="K241" s="26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IF($A241="","",IF(OR($F241="",$G241=""),"",IF(ABS($G241-$F241)&gt;zincirTolerans,"ZİNCİR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30" t="n"/>
      <c r="K242" s="26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IF($A242="","",IF(OR($F242="",$G242=""),"",IF(ABS($G242-$F242)&gt;zincirTolerans,"ZİNCİR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30" t="n"/>
      <c r="K243" s="26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IF($A243="","",IF(OR($F243="",$G243=""),"",IF(ABS($G243-$F243)&gt;zincirTolerans,"ZİNCİR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30" t="n"/>
      <c r="K244" s="26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IF($A244="","",IF(OR($F244="",$G244=""),"",IF(ABS($G244-$F244)&gt;zincirTolerans,"ZİNCİR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30" t="n"/>
      <c r="K245" s="26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IF($A245="","",IF(OR($F245="",$G245=""),"",IF(ABS($G245-$F245)&gt;zincirTolerans,"ZİNCİR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30" t="n"/>
      <c r="K246" s="26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IF($A246="","",IF(OR($F246="",$G246=""),"",IF(ABS($G246-$F246)&gt;zincirTolerans,"ZİNCİR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30" t="n"/>
      <c r="K247" s="26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IF($A247="","",IF(OR($F247="",$G247=""),"",IF(ABS($G247-$F247)&gt;zincirTolerans,"ZİNCİR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30" t="n"/>
      <c r="K248" s="26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IF($A248="","",IF(OR($F248="",$G248=""),"",IF(ABS($G248-$F248)&gt;zincirTolerans,"ZİNCİR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30" t="n"/>
      <c r="K249" s="26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IF($A249="","",IF(OR($F249="",$G249=""),"",IF(ABS($G249-$F249)&gt;zincirTolerans,"ZİNCİR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30" t="n"/>
      <c r="K250" s="26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IF($A250="","",IF(OR($F250="",$G250=""),"",IF(ABS($G250-$F250)&gt;zincirTolerans,"ZİNCİR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30" t="n"/>
      <c r="K251" s="26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IF($A251="","",IF(OR($F251="",$G251=""),"",IF(ABS($G251-$F251)&gt;zincirTolerans,"ZİNCİR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30" t="n"/>
      <c r="K252" s="26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IF($A252="","",IF(OR($F252="",$G252=""),"",IF(ABS($G252-$F252)&gt;zincirTolerans,"ZİNCİR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30" t="n"/>
      <c r="K253" s="26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IF($A253="","",IF(OR($F253="",$G253=""),"",IF(ABS($G253-$F253)&gt;zincirTolerans,"ZİNCİR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30" t="n"/>
      <c r="K254" s="26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IF($A254="","",IF(OR($F254="",$G254=""),"",IF(ABS($G254-$F254)&gt;zincirTolerans,"ZİNCİR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30" t="n"/>
      <c r="K255" s="26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IF($A255="","",IF(OR($F255="",$G255=""),"",IF(ABS($G255-$F255)&gt;zincirTolerans,"ZİNCİR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"PLAN"</formula>
    </cfRule>
    <cfRule type="cellIs" priority="6" operator="equal" dxfId="1">
      <formula>"ERTELE"</formula>
    </cfRule>
    <cfRule type="cellIs" priority="7" operator="equal" dxfId="3">
      <formula>"ONAY"</formula>
    </cfRule>
    <cfRule type="cellIs" priority="8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OD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Planlanan" error="0 veya üzeri" promptTitle="Planlanan" prompt="Planlanan ≥ 0" type="decimal" errorStyle="stop" operator="greaterThanOrEqual">
      <formula1>0</formula1>
    </dataValidation>
    <dataValidation sqref="G6:G255" showDropDown="0" showInputMessage="1" showErrorMessage="1" allowBlank="1" errorTitle="Onaylanan" error="0 veya üzeri" promptTitle="Onaylanan" prompt="Onaylanan ≥ 0" type="decimal" errorStyle="stop" operator="greaterThanOrEqual">
      <formula1>0</formula1>
    </dataValidation>
    <dataValidation sqref="H6:H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J6:J255" showDropDown="0" showInputMessage="1" showErrorMessage="1" allowBlank="1" errorTitle="Hafta" error="1 ile 13 arası" promptTitle="Hafta" prompt="1-13 hafta numarası" type="whole" errorStyle="stop" operator="between">
      <formula1>1</formula1>
      <formula2>13</formula2>
    </dataValidation>
    <dataValidation sqref="K6:K255" showDropDown="0" showInputMessage="1" showErrorMessage="1" allowBlank="1" errorTitle="Liste" error="Listeden seçin" promptTitle="Öncelik" prompt="KRİTİK/YÜKSEK/NORMAL" type="list" errorStyle="stop">
      <formula1>ListeOncelik</formula1>
    </dataValidation>
    <dataValidation sqref="L6:L255" showDropDown="0" showInputMessage="1" showErrorMessage="1" allowBlank="1" errorTitle="Dönem" error="Geçersiz" promptTitle="Dönem" prompt="YYYY-W##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13 Haftalık Nakit + Ödeme Önceliği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7" t="inlineStr">
        <is>
          <t>Planlandı</t>
        </is>
      </c>
      <c r="B6" s="20">
        <f>COUNTIFS(tblAkis[Durum],"PLAN",tblAkis[Tutar],"&gt;0")</f>
        <v/>
      </c>
      <c r="C6" s="21">
        <f>SUMIFS(tblAkis[Tutar],tblAkis[Durum],"PLAN")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Ertelendi</t>
        </is>
      </c>
      <c r="B8" s="20">
        <f>COUNTIFS(tblAkis[Durum],"ERTELE",tblAkis[Tutar],"&gt;0")</f>
        <v/>
      </c>
      <c r="C8" s="21">
        <f>SUMIFS(tblAkis[Tutar],tblAkis[Durum],"ERTELE")</f>
        <v/>
      </c>
    </row>
    <row r="9">
      <c r="A9" s="7" t="inlineStr">
        <is>
          <t>Geciken (açık, yaş&gt;eşik)</t>
        </is>
      </c>
      <c r="B9" s="20">
        <f>COUNTIFS(tblAkis[YasGun],"&gt;"&amp;onh_esikGecikmeGun,tblAkis[Durum],"&lt;&gt;ODEME",tblAkis[Durum],"&lt;&gt;IPTAL",tblAkis[Tutar],"&gt;0")</f>
        <v/>
      </c>
      <c r="C9" s="21">
        <f>SUMIFS(tblAkis[Tutar],tblAkis[YasGun],"&gt;"&amp;onh_esikGecikmeGun,tblAkis[Durum],"&lt;&gt;ODEME",tblAkis[Durum],"&lt;&gt;IPTAL")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onh_kuyrukOzeti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L6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13 Haftalık Nakit + Ödeme Önceliği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3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Planlanan toplam</t>
        </is>
      </c>
      <c r="C9" s="32">
        <f>SUM(tblAkis[Planlanan])</f>
        <v/>
      </c>
    </row>
    <row r="10">
      <c r="A10" s="7" t="inlineStr">
        <is>
          <t>H05</t>
        </is>
      </c>
      <c r="B10" s="7" t="inlineStr">
        <is>
          <t>Onaylanan toplam</t>
        </is>
      </c>
      <c r="C10" s="32">
        <f>SUM(tblAkis[Onaylanan])</f>
        <v/>
      </c>
    </row>
    <row r="11">
      <c r="A11" s="7" t="inlineStr">
        <is>
          <t>H06</t>
        </is>
      </c>
      <c r="B11" s="7" t="inlineStr">
        <is>
          <t>Ödeme toplam</t>
        </is>
      </c>
      <c r="C11" s="32">
        <f>SUM(tblAkis[Odeme])</f>
        <v/>
      </c>
    </row>
    <row r="12">
      <c r="A12" s="7" t="inlineStr">
        <is>
          <t>H07</t>
        </is>
      </c>
      <c r="B12" s="7" t="inlineStr">
        <is>
          <t>Plan-onay farkı</t>
        </is>
      </c>
      <c r="C12" s="32">
        <f>ABS(C10-C9)</f>
        <v/>
      </c>
    </row>
    <row r="13">
      <c r="A13" s="7" t="inlineStr">
        <is>
          <t>H08</t>
        </is>
      </c>
      <c r="B13" s="7" t="inlineStr">
        <is>
          <t>Ödeme oranı</t>
        </is>
      </c>
      <c r="C13" s="34">
        <f>IFERROR(C11/MAX(C10,1),0)</f>
        <v/>
      </c>
    </row>
    <row r="14">
      <c r="A14" s="7" t="inlineStr">
        <is>
          <t>H09</t>
        </is>
      </c>
      <c r="B14" s="7" t="inlineStr">
        <is>
          <t>Plan adet</t>
        </is>
      </c>
      <c r="C14" s="33">
        <f>COUNTIF(tblAkis[Durum],"PLAN")</f>
        <v/>
      </c>
    </row>
    <row r="15">
      <c r="A15" s="7" t="inlineStr">
        <is>
          <t>H10</t>
        </is>
      </c>
      <c r="B15" s="7" t="inlineStr">
        <is>
          <t>Onay adet</t>
        </is>
      </c>
      <c r="C15" s="33">
        <f>COUNTIF(tblAkis[Durum],"ONAY")</f>
        <v/>
      </c>
    </row>
    <row r="16">
      <c r="A16" s="7" t="inlineStr">
        <is>
          <t>H11</t>
        </is>
      </c>
      <c r="B16" s="7" t="inlineStr">
        <is>
          <t>Ertele adet</t>
        </is>
      </c>
      <c r="C16" s="33">
        <f>COUNTIF(tblAkis[Durum],"ERTELE")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3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3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3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3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2">
        <f>SUMIF(tblAkis[Durum],"PLAN",tblAkis[Tutar])+SUMIF(tblAkis[Durum],"ONAY",tblAkis[Tutar])+SUMIF(tblAkis[Durum],"ERTELE",tblAkis[Tutar])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3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3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3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3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3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3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3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3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3">
        <f>COUNTIFS(tblAkis[YasGun],"&gt;"&amp;onh_esikGecikmeGun,tblAkis[Durum],"&lt;&gt;ODEME",tblAkis[Durum],"&lt;&gt;IPTAL",tblAkis[Tutar],"&gt;0")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2">
        <f>SUMIFS(tblAkis[Tutar],tblAkis[YasGun],"&gt;"&amp;onh_esikGecikmeGun,tblAkis[Durum],"&lt;&gt;ODEME",tblAkis[Durum],"&lt;&gt;IPTAL")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2">
        <f>C32*onh_gecikmeOranGun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2">
        <f>C21*onh_senaryoTemkinli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2">
        <f>C21*onh_senaryoBaz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2">
        <f>C21*onh_senaryoIyimser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2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C21*onh_tornadoOran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2">
        <f>SUMIFS(tblAkis[Tutar],tblAkis[Durum],"ONAY",tblAkis[YasGun],"&gt;"&amp;onh_esikGecikmeGun)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IFERROR(C32/MAX(C21,1),0)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2">
        <f>IFERROR(_xlfn.PERCENTILE.INC(tblAkis[Tutar],onh_yuzdelikOran),0)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2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2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3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2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",TRUE,"Plan",C14,"Onay",C15,"Ertele",C16,"Geciken",C31)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Öncelik skoru</t>
        </is>
      </c>
      <c r="C49" s="33">
        <f>IF(C6=0,0,ROUND(C31*3+C22*5+C23*5+C24*5+C16*2+C15,0))</f>
        <v/>
      </c>
    </row>
    <row r="50">
      <c r="A50" s="7" t="inlineStr">
        <is>
          <t>H45</t>
        </is>
      </c>
      <c r="B50" s="7" t="inlineStr">
        <is>
          <t>Karar skoru ham</t>
        </is>
      </c>
      <c r="C50" s="33">
        <f>IF(C6=0,0,MAX(0,100-C22*10-C23*10-C24*10-C31*2))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34">
        <f>IF(C6=0,0,C7/MAX(C6,1))</f>
        <v/>
      </c>
    </row>
    <row r="52">
      <c r="A52" s="7" t="inlineStr">
        <is>
          <t>H47</t>
        </is>
      </c>
      <c r="B52" s="7" t="inlineStr">
        <is>
          <t>Hafta 1-4 tutar</t>
        </is>
      </c>
      <c r="C52" s="32">
        <f>SUMIFS(tblAkis[Tutar],tblAkis[HaftaNo],"&gt;=1",tblAkis[HaftaNo],"&lt;=4")</f>
        <v/>
      </c>
    </row>
    <row r="53">
      <c r="A53" s="7" t="inlineStr">
        <is>
          <t>H48</t>
        </is>
      </c>
      <c r="B53" s="7" t="inlineStr">
        <is>
          <t>Hafta 5-8 tutar</t>
        </is>
      </c>
      <c r="C53" s="32">
        <f>SUMIFS(tblAkis[Tutar],tblAkis[HaftaNo],"&gt;=5",tblAkis[HaftaNo],"&lt;=8")</f>
        <v/>
      </c>
    </row>
    <row r="54">
      <c r="A54" s="7" t="inlineStr">
        <is>
          <t>H49</t>
        </is>
      </c>
      <c r="B54" s="7" t="inlineStr">
        <is>
          <t>Hafta 9-13 tutar</t>
        </is>
      </c>
      <c r="C54" s="32">
        <f>SUMIFS(tblAkis[Tutar],tblAkis[HaftaNo],"&gt;=9",tblAkis[HaftaNo],"&lt;=13")</f>
        <v/>
      </c>
    </row>
    <row r="55">
      <c r="A55" s="7" t="inlineStr">
        <is>
          <t>H50</t>
        </is>
      </c>
      <c r="B55" s="7" t="inlineStr">
        <is>
          <t>Kritik öncelik tutar</t>
        </is>
      </c>
      <c r="C55" s="32">
        <f>SUMIF(tblAkis[OncelikSinif],"KRİTİK",tblAkis[Tutar])</f>
        <v/>
      </c>
    </row>
    <row r="58">
      <c r="A58" s="31" t="inlineStr">
        <is>
          <t>Senaryo</t>
        </is>
      </c>
      <c r="B58" s="31" t="inlineStr">
        <is>
          <t>Çarpan</t>
        </is>
      </c>
      <c r="C58" s="31" t="inlineStr">
        <is>
          <t>Sonuç</t>
        </is>
      </c>
    </row>
    <row r="59">
      <c r="A59" s="7" t="inlineStr">
        <is>
          <t>Temkinli</t>
        </is>
      </c>
      <c r="B59" s="36">
        <f>onh_senaryoTemkinli*IF(COUNTA(tblAkis[IslemId])&gt;=0,1,1)</f>
        <v/>
      </c>
      <c r="C59" s="21">
        <f>C34</f>
        <v/>
      </c>
    </row>
    <row r="60">
      <c r="A60" s="7" t="inlineStr">
        <is>
          <t>Baz</t>
        </is>
      </c>
      <c r="B60" s="36">
        <f>onh_senaryoBaz*IF(COUNTA(tblAkis[IslemId])&gt;=0,1,1)</f>
        <v/>
      </c>
      <c r="C60" s="21">
        <f>C35</f>
        <v/>
      </c>
    </row>
    <row r="61">
      <c r="A61" s="7" t="inlineStr">
        <is>
          <t>İyimser</t>
        </is>
      </c>
      <c r="B61" s="36">
        <f>onh_senaryoIyimser*IF(COUNTA(tblAkis[IslemId])&gt;=0,1,1)</f>
        <v/>
      </c>
      <c r="C61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13 Haftalık Nakit + Ödeme Önceliği</t>
        </is>
      </c>
    </row>
    <row r="3" ht="28" customHeight="1">
      <c r="A3" s="37" t="inlineStr">
        <is>
          <t>13 Haftalık Nakit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Kuyruk</t>
        </is>
      </c>
      <c r="B9" s="33">
        <f>onh_acikAdet</f>
        <v/>
      </c>
    </row>
    <row r="10">
      <c r="A10" s="7" t="inlineStr">
        <is>
          <t>Açık Tutar</t>
        </is>
      </c>
      <c r="B10" s="32">
        <f>onh_acikTutar</f>
        <v/>
      </c>
    </row>
    <row r="11">
      <c r="A11" s="7" t="inlineStr">
        <is>
          <t>Gecikme Maliyeti</t>
        </is>
      </c>
      <c r="B11" s="32">
        <f>onh_gecikmeMaliyeti</f>
        <v/>
      </c>
    </row>
    <row r="12">
      <c r="A12" s="7" t="inlineStr">
        <is>
          <t>Yetim</t>
        </is>
      </c>
      <c r="B12" s="33">
        <f>onh_yetimKayit</f>
        <v/>
      </c>
    </row>
    <row r="13">
      <c r="A13" s="7" t="inlineStr">
        <is>
          <t>Geçersiz Geçiş</t>
        </is>
      </c>
      <c r="B13" s="33">
        <f>onh_gecersizGecis</f>
        <v/>
      </c>
    </row>
    <row r="14">
      <c r="A14" s="7" t="inlineStr">
        <is>
          <t>Zincir Kırık</t>
        </is>
      </c>
      <c r="B14" s="33">
        <f>onh_zincirKirik</f>
        <v/>
      </c>
    </row>
    <row r="15">
      <c r="A15" s="7" t="inlineStr">
        <is>
          <t>Tahmin Aralık</t>
        </is>
      </c>
      <c r="B15" s="32">
        <f>onh_tahminAralik</f>
        <v/>
      </c>
    </row>
    <row r="16">
      <c r="A16" s="7" t="inlineStr">
        <is>
          <t>Kanıt Özeti</t>
        </is>
      </c>
      <c r="B16" s="24">
        <f>onh_kanitRaporu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planlanan/onaylanan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&amp;L13 Haftalık Nakit + Ödeme Önceliği | Kanıt&amp;CExcelArşiv&amp;RSayfa &amp;P / &amp;N</oddFooter>
    <evenHeader/>
    <evenFooter>&amp;L13 Haftalık Nakit + Ödeme Önceliği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13 Haftalık Nakit + Ödeme Önceliği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3">
        <f>COUNTA(tblAkis[IslemId])</f>
        <v/>
      </c>
    </row>
    <row r="6">
      <c r="A6" s="7" t="inlineStr">
        <is>
          <t>Kart sayısı</t>
        </is>
      </c>
      <c r="B6" s="33">
        <f>COUNTA(tblKartlar[KartId])</f>
        <v/>
      </c>
    </row>
    <row r="7">
      <c r="A7" s="7" t="inlineStr">
        <is>
          <t>Plan</t>
        </is>
      </c>
      <c r="B7" s="33">
        <f>COUNTIF(tblAkis[Durum],"PLAN")</f>
        <v/>
      </c>
    </row>
    <row r="8">
      <c r="A8" s="7" t="inlineStr">
        <is>
          <t>Onay</t>
        </is>
      </c>
      <c r="B8" s="33">
        <f>COUNTIF(tblAkis[Durum],"ONAY")</f>
        <v/>
      </c>
    </row>
    <row r="9">
      <c r="A9" s="7" t="inlineStr">
        <is>
          <t>Ertele</t>
        </is>
      </c>
      <c r="B9" s="33">
        <f>COUNTIF(tblAkis[Durum],"ERTELE")</f>
        <v/>
      </c>
    </row>
    <row r="10">
      <c r="A10" s="7" t="inlineStr">
        <is>
          <t>Ödeme</t>
        </is>
      </c>
      <c r="B10" s="33">
        <f>COUNTIF(tblAkis[Durum],"ODEME")</f>
        <v/>
      </c>
    </row>
    <row r="11">
      <c r="A11" s="7" t="inlineStr">
        <is>
          <t>İptal</t>
        </is>
      </c>
      <c r="B11" s="33">
        <f>COUNTIF(tblAkis[Durum],"IPTAL")</f>
        <v/>
      </c>
    </row>
    <row r="12">
      <c r="A12" s="7" t="inlineStr">
        <is>
          <t>Açık toplam</t>
        </is>
      </c>
      <c r="B12" s="33">
        <f>B7+B8+B9</f>
        <v/>
      </c>
    </row>
    <row r="13">
      <c r="A13" s="7" t="inlineStr">
        <is>
          <t>Yetim</t>
        </is>
      </c>
      <c r="B13" s="33">
        <f>onh_yetimKayit</f>
        <v/>
      </c>
    </row>
    <row r="14">
      <c r="A14" s="7" t="inlineStr">
        <is>
          <t>Geçersiz</t>
        </is>
      </c>
      <c r="B14" s="33">
        <f>onh_gecersizGecis</f>
        <v/>
      </c>
    </row>
    <row r="15">
      <c r="A15" s="7" t="inlineStr">
        <is>
          <t>Zincir kırık</t>
        </is>
      </c>
      <c r="B15" s="33">
        <f>onh_zincirKirik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24">
        <f>HESAP!C50</f>
        <v/>
      </c>
    </row>
    <row r="18">
      <c r="A18" s="7" t="inlineStr">
        <is>
          <t>Açık tutar</t>
        </is>
      </c>
      <c r="B18" s="32">
        <f>onh_acikTutar</f>
        <v/>
      </c>
    </row>
    <row r="19">
      <c r="A19" s="7" t="inlineStr">
        <is>
          <t>Gecikme maliyeti</t>
        </is>
      </c>
      <c r="B19" s="32">
        <f>onh_gecikmeMaliyeti</f>
        <v/>
      </c>
    </row>
    <row r="20">
      <c r="A20" s="7" t="inlineStr">
        <is>
          <t>Kapalı düşüm</t>
        </is>
      </c>
      <c r="B20" s="32">
        <f>onh_kapaliDusum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13 Haftalık Nakit + Ödeme Önceliği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Plan/Onay/Ertele/Ödeme/İptal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2" customWidth="1" min="9" max="9"/>
  </cols>
  <sheetData>
    <row r="1" ht="26" customHeight="1">
      <c r="A1" s="1" t="inlineStr">
        <is>
          <t>LISTELER — 13 Haftalık Nakit + Ödeme Önceliği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Tür</t>
        </is>
      </c>
      <c r="I3" s="24" t="inlineStr">
        <is>
          <t>Öncelik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Tur</t>
        </is>
      </c>
      <c r="I6" s="31" t="inlineStr">
        <is>
          <t>Oncelik</t>
        </is>
      </c>
    </row>
    <row r="7">
      <c r="A7" s="26" t="inlineStr">
        <is>
          <t>PLAN</t>
        </is>
      </c>
      <c r="C7" s="26" t="inlineStr">
        <is>
          <t>PLAN|ONAY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KRİTİK</t>
        </is>
      </c>
    </row>
    <row r="8">
      <c r="A8" s="26" t="inlineStr">
        <is>
          <t>ONAY</t>
        </is>
      </c>
      <c r="C8" s="26" t="inlineStr">
        <is>
          <t>PLAN|IPTAL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YÜKSEK</t>
        </is>
      </c>
    </row>
    <row r="9">
      <c r="A9" s="26" t="inlineStr">
        <is>
          <t>ERTELE</t>
        </is>
      </c>
      <c r="C9" s="26" t="inlineStr">
        <is>
          <t>ONAY|ODEME</t>
        </is>
      </c>
      <c r="G9" s="26" t="inlineStr">
        <is>
          <t>Beton</t>
        </is>
      </c>
      <c r="I9" s="26" t="inlineStr">
        <is>
          <t>NORMAL</t>
        </is>
      </c>
    </row>
    <row r="10">
      <c r="A10" s="26" t="inlineStr">
        <is>
          <t>ODEME</t>
        </is>
      </c>
      <c r="C10" s="26" t="inlineStr">
        <is>
          <t>ONAY|ERTELE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C12" s="26" t="inlineStr">
        <is>
          <t>ERTELE|ONAY</t>
        </is>
      </c>
      <c r="G12" s="26" t="inlineStr">
        <is>
          <t>Cephe</t>
        </is>
      </c>
    </row>
    <row r="13">
      <c r="C13" s="26" t="inlineStr">
        <is>
          <t>ERTELE|IPTAL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13 Haftalık Nakit + Ödeme Önceliği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onh_esikGecikmeGun</t>
        </is>
      </c>
      <c r="B8" s="30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onh_esikGeciken</t>
        </is>
      </c>
      <c r="B9" s="30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onh_gecikmeOranGun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onh_senaryoTemkinli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onh_senaryoBaz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onh_senaryoIyimser</t>
        </is>
      </c>
      <c r="B13" s="30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onh_tornadoOran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onh_yuzdelikOran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onh_olcekHedef</t>
        </is>
      </c>
      <c r="B16" s="30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onh_azamiTutar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onh_durumHaritasi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onh_kuyrukOzeti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onh_kapaliDusum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onh_kanitRaporu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onh_dosyaSurumu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onh_firmaUnvan</t>
        </is>
      </c>
      <c r="B23" s="26" t="inlineStr">
        <is>
          <t>Örnek Holding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 Unvanı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PLAN</t>
        </is>
      </c>
      <c r="I28" s="7" t="inlineStr">
        <is>
          <t>Planlandı</t>
        </is>
      </c>
      <c r="J28" s="20" t="n">
        <v>1</v>
      </c>
      <c r="K28" s="7" t="inlineStr">
        <is>
          <t>ONAY|IPTAL</t>
        </is>
      </c>
      <c r="L28" s="7" t="inlineStr">
        <is>
          <t>acik</t>
        </is>
      </c>
    </row>
    <row r="29">
      <c r="H29" s="7" t="inlineStr">
        <is>
          <t>ONAY</t>
        </is>
      </c>
      <c r="I29" s="7" t="inlineStr">
        <is>
          <t>Onaylandı</t>
        </is>
      </c>
      <c r="J29" s="20" t="n">
        <v>2</v>
      </c>
      <c r="K29" s="7" t="inlineStr">
        <is>
          <t>ODEME|ERTELE|IPTAL</t>
        </is>
      </c>
      <c r="L29" s="7" t="inlineStr">
        <is>
          <t>acik</t>
        </is>
      </c>
    </row>
    <row r="30">
      <c r="H30" s="7" t="inlineStr">
        <is>
          <t>ERTELE</t>
        </is>
      </c>
      <c r="I30" s="7" t="inlineStr">
        <is>
          <t>Ertelendi</t>
        </is>
      </c>
      <c r="J30" s="20" t="n">
        <v>3</v>
      </c>
      <c r="K30" s="7" t="inlineStr">
        <is>
          <t>ONAY|IPTAL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1" t="inlineStr">
        <is>
          <t>anahtar</t>
        </is>
      </c>
      <c r="I37" s="31" t="inlineStr">
        <is>
          <t>deger</t>
        </is>
      </c>
    </row>
    <row r="38">
      <c r="H38" s="7" t="inlineStr">
        <is>
          <t>onh_acikAdet</t>
        </is>
      </c>
      <c r="I38" s="8">
        <f>HESAP!C19</f>
        <v/>
      </c>
    </row>
    <row r="39">
      <c r="H39" s="7" t="inlineStr">
        <is>
          <t>onh_acikTutar</t>
        </is>
      </c>
      <c r="I39" s="8">
        <f>HESAP!C21</f>
        <v/>
      </c>
    </row>
    <row r="40">
      <c r="H40" s="7" t="inlineStr">
        <is>
          <t>onh_gecikenAdet</t>
        </is>
      </c>
      <c r="I40" s="8">
        <f>HESAP!C31</f>
        <v/>
      </c>
    </row>
    <row r="41">
      <c r="H41" s="7" t="inlineStr">
        <is>
          <t>onh_gecikmeMaliyeti</t>
        </is>
      </c>
      <c r="I41" s="8">
        <f>HESAP!C33</f>
        <v/>
      </c>
    </row>
    <row r="42">
      <c r="H42" s="7" t="inlineStr">
        <is>
          <t>onh_yetimKayit</t>
        </is>
      </c>
      <c r="I42" s="8">
        <f>HESAP!C22</f>
        <v/>
      </c>
    </row>
    <row r="43">
      <c r="H43" s="7" t="inlineStr">
        <is>
          <t>onh_gecersizGecis</t>
        </is>
      </c>
      <c r="I43" s="8">
        <f>HESAP!C23</f>
        <v/>
      </c>
    </row>
    <row r="44">
      <c r="H44" s="7" t="inlineStr">
        <is>
          <t>onh_zincirKirik</t>
        </is>
      </c>
      <c r="I44" s="8">
        <f>HESAP!C24</f>
        <v/>
      </c>
    </row>
    <row r="45">
      <c r="H45" s="7" t="inlineStr">
        <is>
          <t>onh_yasKova</t>
        </is>
      </c>
      <c r="I45" s="8">
        <f>HESAP!C48</f>
        <v/>
      </c>
    </row>
    <row r="46">
      <c r="H46" s="7" t="inlineStr">
        <is>
          <t>onh_tahminAralik</t>
        </is>
      </c>
      <c r="I46" s="8">
        <f>HESAP!C43</f>
        <v/>
      </c>
    </row>
    <row r="47">
      <c r="H47" s="7" t="inlineStr">
        <is>
          <t>onh_senaryoKarsilastirma</t>
        </is>
      </c>
      <c r="I47" s="8">
        <f>HESAP!C37</f>
        <v/>
      </c>
    </row>
    <row r="48">
      <c r="H48" s="7" t="inlineStr">
        <is>
          <t>onh_tornadoZirve</t>
        </is>
      </c>
      <c r="I48" s="8">
        <f>HESAP!C38</f>
        <v/>
      </c>
    </row>
    <row r="49">
      <c r="H49" s="7" t="inlineStr">
        <is>
          <t>onh_oncelikSkoru</t>
        </is>
      </c>
      <c r="I49" s="8">
        <f>HESAP!C49</f>
        <v/>
      </c>
    </row>
    <row r="50">
      <c r="H50" s="7" t="inlineStr">
        <is>
          <t>onh_paretoGecikme</t>
        </is>
      </c>
      <c r="I50" s="8">
        <f>HESAP!C40</f>
        <v/>
      </c>
    </row>
    <row r="51">
      <c r="H51" s="7" t="inlineStr">
        <is>
          <t>onh_kapaliDusum</t>
        </is>
      </c>
      <c r="I51" s="8">
        <f>HESAP!C20</f>
        <v/>
      </c>
    </row>
    <row r="52">
      <c r="H52" s="7" t="inlineStr">
        <is>
          <t>onh_kuyrukOzeti</t>
        </is>
      </c>
      <c r="I52" s="8">
        <f>HESAP!C47</f>
        <v/>
      </c>
    </row>
    <row r="53">
      <c r="H53" s="7" t="inlineStr">
        <is>
          <t>onh_kanitRaporu</t>
        </is>
      </c>
      <c r="I53" s="8">
        <f>_xlfn.TEXTJOIN(" | ",TRUE,"Açık",HESAP!C19,"Yetim",HESAP!C22,"Zincir",HESAP!C24,"Geciken",HESAP!C31)</f>
        <v/>
      </c>
    </row>
    <row r="54">
      <c r="H54" s="7" t="inlineStr">
        <is>
          <t>onh_sonrakiKimlik</t>
        </is>
      </c>
      <c r="I54" s="8">
        <f>CONCATENATE("ALN-",TEXT(COUNTA(tblKartlar[KartId])+1,"00000"))</f>
        <v/>
      </c>
    </row>
    <row r="56">
      <c r="H56" s="16" t="inlineStr">
        <is>
          <t>Yorumlar</t>
        </is>
      </c>
    </row>
    <row r="57">
      <c r="H57" s="7" t="inlineStr">
        <is>
          <t>onh_yorumYas</t>
        </is>
      </c>
      <c r="I57" s="8">
        <f>_xlfn.TEXTJOIN(" ",TRUE,"Yaş kovaları",onh_yasKova)</f>
        <v/>
      </c>
    </row>
    <row r="58">
      <c r="H58" s="7" t="inlineStr">
        <is>
          <t>onh_yorumGecikme</t>
        </is>
      </c>
      <c r="I58" s="8">
        <f>_xlfn.TEXTJOIN(" ",TRUE,"Gecikme maliyeti",TEXT(onh_gecikmeMaliyeti,"0.00"),"TL")</f>
        <v/>
      </c>
    </row>
    <row r="59">
      <c r="H59" s="7" t="inlineStr">
        <is>
          <t>onh_yorumTahmin</t>
        </is>
      </c>
      <c r="I59" s="8">
        <f>_xlfn.TEXTJOIN(" ",TRUE,"Tahmin aralık",TEXT(onh_tahminAralik,"0.00"),"TL")</f>
        <v/>
      </c>
    </row>
    <row r="60">
      <c r="H60" s="7" t="inlineStr">
        <is>
          <t>onh_yorumSenaryo</t>
        </is>
      </c>
      <c r="I60" s="8">
        <f>_xlfn.TEXTJOIN(" ",TRUE,"Senaryo farkı",TEXT(onh_senaryoKarsilastirma,"0.00"),"TL")</f>
        <v/>
      </c>
    </row>
    <row r="61">
      <c r="H61" s="7" t="inlineStr">
        <is>
          <t>onh_yorumTornado</t>
        </is>
      </c>
      <c r="I61" s="8">
        <f>_xlfn.TEXTJOIN(" ",TRUE,"Tornado zirve",TEXT(onh_tornadoZirve,"0.00"),"TL")</f>
        <v/>
      </c>
    </row>
    <row r="62">
      <c r="H62" s="7" t="inlineStr">
        <is>
          <t>onh_yorumOncelik</t>
        </is>
      </c>
      <c r="I62" s="8">
        <f>_xlfn.TEXTJOIN(" ",TRUE,"Öncelik skoru",TEXT(onh_oncelikSkoru,"0"),"puan")</f>
        <v/>
      </c>
    </row>
    <row r="63">
      <c r="H63" s="7" t="inlineStr">
        <is>
          <t>onh_yorumPareto</t>
        </is>
      </c>
      <c r="I63" s="8">
        <f>_xlfn.TEXTJOIN(" ",TRUE,"Pareto gecikme payı",TEXT(onh_paretoGecikme,"0.0%"))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13 Haftalık Nakit + Ödeme Önceliği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alacaklı/tedarikçi kartı ekleyin; sonraki kimliği kullanın.</t>
        </is>
      </c>
    </row>
    <row r="6">
      <c r="A6" s="8" t="inlineStr">
        <is>
          <t>2. AKIS sayfasına her ödeme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2026-08-10T21:46:45Z</dcterms:created>
  <dcterms:modified xmlns:dcterms="http://purl.org/dc/terms/" xmlns:xsi="http://www.w3.org/2001/XMLSchema-instance" xsi:type="dcterms:W3CDTF">2026-09-25T14:23:25Z</dcterms:modified>
</cp:coreProperties>
</file>