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ose_toplamKkeg">MOTOR!$G$28</definedName>
    <definedName name="ose_borcOrani">MOTOR!$G$29</definedName>
    <definedName name="ose_kabulEdilmeyen">MOTOR!$G$30</definedName>
    <definedName name="ose_kacirilan">MOTOR!$G$28</definedName>
    <definedName name="ose_kararMetni">MOTOR!$G$34</definedName>
    <definedName name="ose_kararGerekce">MOTOR!$G$35</definedName>
    <definedName name="ose_maddeAtifMetni">MOTOR!$G$52</definedName>
    <definedName name="ose_kanitRaporu">MOTOR!$G$53</definedName>
    <definedName name="ose_kuralYilMatris">KURALLAR!$B$17</definedName>
    <definedName name="ose_parmakIzi">AYARLAR!$B$19</definedName>
    <definedName name="ose_senaryoKarsilastirma">SENARYO!$B$11</definedName>
    <definedName name="ose_yorumSenaryo">SENARYO!$B$12</definedName>
    <definedName name="ose_duyarlilikSira">SENARYO!$B$19</definedName>
    <definedName name="ose_yorumDuyarlilik">SENARYO!$B$20</definedName>
    <definedName name="ose_kuralDegisimSenaryo">SENARYO!$B$22</definedName>
    <definedName name="ose_yorumKuralDegisim">SENARYO!$B$23</definedName>
    <definedName name="ose_tahminAralik">SENARYO!$B$32</definedName>
    <definedName name="ose_yorumTahmin">SENARYO!$B$33</definedName>
    <definedName name="ose_vakaDurum">VAKALAR!$B$12</definedName>
    <definedName name="ose_vakaFark">VAKALAR!$B$13</definedName>
    <definedName name="ose_tolerans">AYARLAR!$B$8</definedName>
    <definedName name="ose_kacirilanEsik">AYARLAR!$B$9</definedName>
    <definedName name="ose_senaryoIyi">AYARLAR!$B$10</definedName>
    <definedName name="ose_senaryoKotu">AYARLAR!$B$11</definedName>
    <definedName name="ose_oranArtisPuan">AYARLAR!$B$12</definedName>
    <definedName name="ose_tahminAlt">AYARLAR!$B$13</definedName>
    <definedName name="ose_tahminUst">AYARLAR!$B$14</definedName>
    <definedName name="ose_tornadoHasilat">AYARLAR!$B$15</definedName>
    <definedName name="ose_tornadoMaliyet">AYARLAR!$B$16</definedName>
    <definedName name="ose_payArtisOran">AYARLAR!$B$17</definedName>
    <definedName name="ose_yuzdelikOran">AYARLAR!$B$18</definedName>
    <definedName name="ose_girisBeklenen">AYARLAR!$B$21</definedName>
    <definedName name="ose_riskDusuk">AYARLAR!$B$22</definedName>
    <definedName name="ose_riskOrta">AYARLAR!$B$23</definedName>
    <definedName name="ose_riskYuksek">AYARLAR!$B$24</definedName>
    <definedName name="ose_riskEsikOran">AYARLAR!$B$25</definedName>
    <definedName name="ose_yilTaban">AYARLAR!$B$26</definedName>
    <definedName name="ose_yuvarMax">AYARLAR!$B$27</definedName>
    <definedName name="ose_dayanakCarpan">AYARLAR!$B$28</definedName>
    <definedName name="ose_bazCarpan">AYARLAR!$B$29</definedName>
    <definedName name="ose_sifirCarpan">AYARLAR!$B$30</definedName>
    <definedName name="ose_siraBir">AYARLAR!$B$31</definedName>
    <definedName name="ose_siraIki">AYARLAR!$B$32</definedName>
    <definedName name="ose_siraUc">AYARLAR!$B$33</definedName>
    <definedName name="ose_tahminX">AYARLAR!$B$34</definedName>
    <definedName name="ose_esikSikilastirma">AYARLAR!$B$35</definedName>
    <definedName name="vaka_ozkaynak">AYARLAR!$B$36</definedName>
    <definedName name="vaka_borc">AYARLAR!$B$37</definedName>
    <definedName name="vaka_faiz">AYARLAR!$B$38</definedName>
    <definedName name="vaka_uygulanan">AYARLAR!$B$39</definedName>
    <definedName name="vaka_emsal">AYARLAR!$B$40</definedName>
    <definedName name="vaka_islem">AYARLAR!$B$41</definedName>
    <definedName name="vaka_bedel">AYARLAR!$B$42</definedName>
    <definedName name="ose_modulT1">PANO!$C$11</definedName>
    <definedName name="ose_modulT1Yorum">PANO!$D$11</definedName>
    <definedName name="ose_modulT2">PANO!$C$12</definedName>
    <definedName name="ose_modulT2Yorum">PANO!$D$12</definedName>
    <definedName name="ose_modulO1">PANO!$C$13</definedName>
    <definedName name="ose_modulO1Yorum">PANO!$D$13</definedName>
    <definedName name="ose_modulO6">PANO!$C$16</definedName>
    <definedName name="ose_modulO6Yorum">PANO!$D$16</definedName>
    <definedName name="ose_modulO8">PANO!$C$17</definedName>
    <definedName name="ose_modulO8Yorum">PANO!$D$17</definedName>
    <definedName name="ose_modulI2">PANO!$C$20</definedName>
    <definedName name="ose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3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Borç/Özkaynak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Örtülü sermaye / emsal faiz / TF KKEG riskini etkiler | Doğru kullanım: Sırayla izleyin | Örnek: demo satırına bakın | Yanlışsa: Oran, faiz farkı, TF farkı ve karar bozulur | Kaynak: KVK md.12</t>
      </text>
    </comment>
    <comment ref="A6" authorId="0" shapeId="0">
      <text>
        <t>Tanım: Adım 2 — Karar | Neden önemli: Örtülü sermaye / emsal faiz / TF KKEG riskini etkiler | Doğru kullanım: Sırayla izleyin | Örnek: demo satırına bakın | Yanlışsa: Oran, faiz farkı, TF farkı ve karar bozulur | Kaynak: KVK md.12</t>
      </text>
    </comment>
    <comment ref="A7" authorId="0" shapeId="0">
      <text>
        <t>Tanım: Adım 3 — Kanıt | Neden önemli: Örtülü sermaye / emsal faiz / TF KKEG riskini etkiler | Doğru kullanım: Sırayla izleyin | Örnek: demo satırına bakın | Yanlışsa: Oran, faiz farkı, TF farkı ve karar bozulur | Kaynak: KVK md.12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Örtülü sermaye / emsal faiz / TF KKEG riskini etkiler | Doğru kullanım: Şirket unvanını yazın. | Örnek: demo satırına bakın | Yanlışsa: Oran, faiz farkı, TF farkı ve karar bozulur | Kaynak: KVK md.12</t>
      </text>
    </comment>
    <comment ref="B7" authorId="0" shapeId="0">
      <text>
        <t>Tanım: Dönem | Neden önemli: Örtülü sermaye / emsal faiz / TF KKEG riskini etkiler | Doğru kullanım: Beyan dönemi veya hesap yılı referansını yazın. | Örnek: demo satırına bakın | Yanlışsa: Oran, faiz farkı, TF farkı ve karar bozulur | Kaynak: KVK md.12</t>
      </text>
    </comment>
    <comment ref="B8" authorId="0" shapeId="0">
      <text>
        <t>Tanım: Hesap Yılı | Neden önemli: Örtülü sermaye / emsal faiz / TF KKEG riskini etkiler | Doğru kullanım: 2025, 2026 veya 2027 seçin. | Örnek: demo satırına bakın | Yanlışsa: Oran, faiz farkı, TF farkı ve karar bozulur | Kaynak: KVK md.12</t>
      </text>
    </comment>
    <comment ref="B9" authorId="0" shapeId="0">
      <text>
        <t>Tanım: Özkaynak [₺] | Neden önemli: Örtülü sermaye / emsal faiz / TF KKEG riskini etkiler | Doğru kullanım: Dönem sonu özkaynak tutarını TL girin. | Örnek: demo satırına bakın | Yanlışsa: Oran, faiz farkı, TF farkı ve karar bozulur | Kaynak: KVK md.12</t>
      </text>
    </comment>
    <comment ref="B10" authorId="0" shapeId="0">
      <text>
        <t>Tanım: İlişkili Borç Toplamı [₺] | Neden önemli: Örtülü sermaye / emsal faiz / TF KKEG riskini etkiler | Doğru kullanım: Ortak/ilişkili kişiden borç toplamını TL girin. | Örnek: demo satırına bakın | Yanlışsa: Oran, faiz farkı, TF farkı ve karar bozulur | Kaynak: KVK md.12</t>
      </text>
    </comment>
    <comment ref="B11" authorId="0" shapeId="0">
      <text>
        <t>Tanım: Yıllık Faiz Gideri [₺] | Neden önemli: Örtülü sermaye / emsal faiz / TF KKEG riskini etkiler | Doğru kullanım: İlişkili borçlara isabet eden yıllık faiz giderini TL girin. | Örnek: demo satırına bakın | Yanlışsa: Oran, faiz farkı, TF farkı ve karar bozulur | Kaynak: KVK md.12</t>
      </text>
    </comment>
    <comment ref="B12" authorId="0" shapeId="0">
      <text>
        <t>Tanım: Uygulanan Faiz Oranı [%] | Neden önemli: Örtülü sermaye / emsal faiz / TF KKEG riskini etkiler | Doğru kullanım: Sözleşmede uygulanan faiz oranını yüzde girin. | Örnek: demo satırına bakın | Yanlışsa: Oran, faiz farkı, TF farkı ve karar bozulur | Kaynak: KVK md.12</t>
      </text>
    </comment>
    <comment ref="B13" authorId="0" shapeId="0">
      <text>
        <t>Tanım: Emsal Faiz Oranı (TCMB/AVG) [%] | Neden önemli: Örtülü sermaye / emsal faiz / TF KKEG riskini etkiler | Doğru kullanım: Emsal faiz oranını (TCMB/AVG) yüzde girin. | Örnek: demo satırına bakın | Yanlışsa: Oran, faiz farkı, TF farkı ve karar bozulur | Kaynak: KVK md.12</t>
      </text>
    </comment>
    <comment ref="B14" authorId="0" shapeId="0">
      <text>
        <t>Tanım: İlişkili İşlem Tutarı [₺] | Neden önemli: Örtülü sermaye / emsal faiz / TF KKEG riskini etkiler | Doğru kullanım: İlişkili kişi işlem tutarını TL girin. | Örnek: demo satırına bakın | Yanlışsa: Oran, faiz farkı, TF farkı ve karar bozulur | Kaynak: KVK md.12</t>
      </text>
    </comment>
    <comment ref="B15" authorId="0" shapeId="0">
      <text>
        <t>Tanım: Emsal Bedel [₺] | Neden önemli: Örtülü sermaye / emsal faiz / TF KKEG riskini etkiler | Doğru kullanım: İşlemin emsal bedelini TL girin. | Örnek: demo satırına bakın | Yanlışsa: Oran, faiz farkı, TF farkı ve karar bozulur | Kaynak: KVK md.12</t>
      </text>
    </comment>
    <comment ref="B16" authorId="0" shapeId="0">
      <text>
        <t>Tanım: Yorum Modu (A/B) | Neden önemli: Örtülü sermaye / emsal faiz / TF KKEG riskini etkiler | Doğru kullanım: İlişkili kişi yorumu A (standart) veya B (sıkı +%10 aşan borç) seçin. | Örnek: demo satırına bakın | Yanlışsa: Oran, faiz farkı, TF farkı ve karar bozulur | Kaynak: KVK md.12</t>
      </text>
    </comment>
    <comment ref="A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Örtülü sermaye / emsal faiz / TF KKEG riskini etkiler | Doğru kullanım: Raporu hazırlayan kişinin adını yazın. | Örnek: demo satırına bakın | Yanlışsa: Oran, faiz farkı, TF farkı ve karar bozulur | Kaynak: KVK md.12</t>
      </text>
    </comment>
    <comment ref="B33" authorId="0" shapeId="0">
      <text>
        <t>Tanım: Onay | Neden önemli: Örtülü sermaye / emsal faiz / TF KKEG riskini etkiler | Doğru kullanım: Onaylayan kişinin adını yazın. | Örnek: demo satırına bakın | Yanlışsa: Oran, faiz farkı, TF farkı ve karar bozulur | Kaynak: KVK md.12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özkaynak?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Toplam KKEG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KKEG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6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6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6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6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6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6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6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6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7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7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7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7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7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7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7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7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7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8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8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8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8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8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8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8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8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8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9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9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9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9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9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9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9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9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9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0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10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10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10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10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10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10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10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10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6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6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7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7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7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8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Örtülü sermaye / emsal faiz / TF KKEG riskini etkiler | Doğru kullanım: Aktif hesap yılı | Örnek: demo satırına bakın | Yanlışsa: Oran, faiz farkı, TF farkı ve karar bozulur | Kaynak: KVK md.12</t>
      </text>
    </comment>
    <comment ref="B7" authorId="0" shapeId="0">
      <text>
        <t>Tanım: raporTarihi | Neden önemli: Örtülü sermaye / emsal faiz / TF KKEG riskini etkiler | Doğru kullanım: Rapor tarihi (sabit) | Örnek: demo satırına bakın | Yanlışsa: Oran, faiz farkı, TF farkı ve karar bozulur | Kaynak: KVK md.12</t>
      </text>
    </comment>
    <comment ref="B8" authorId="0" shapeId="0">
      <text>
        <t>Tanım: ose_tolerans | Neden önemli: Örtülü sermaye / emsal faiz / TF KKEG riskini etkiler | Doğru kullanım: Vaka tutarlılık toleransı | Örnek: demo satırına bakın | Yanlışsa: Oran, faiz farkı, TF farkı ve karar bozulur | Kaynak: KVK md.12</t>
      </text>
    </comment>
    <comment ref="B9" authorId="0" shapeId="0">
      <text>
        <t>Tanım: ose_kacirilanEsik | Neden önemli: Örtülü sermaye / emsal faiz / TF KKEG riskini etkiler | Doğru kullanım: PANO KKEG uyarı eşiği | Örnek: demo satırına bakın | Yanlışsa: Oran, faiz farkı, TF farkı ve karar bozulur | Kaynak: KVK md.12</t>
      </text>
    </comment>
    <comment ref="B10" authorId="0" shapeId="0">
      <text>
        <t>Tanım: ose_senaryoIyi | Neden önemli: Örtülü sermaye / emsal faiz / TF KKEG riskini etkiler | Doğru kullanım: Kötümser KKEG çarpanı (yüksek) | Örnek: demo satırına bakın | Yanlışsa: Oran, faiz farkı, TF farkı ve karar bozulur | Kaynak: KVK md.12</t>
      </text>
    </comment>
    <comment ref="B11" authorId="0" shapeId="0">
      <text>
        <t>Tanım: ose_senaryoKotu | Neden önemli: Örtülü sermaye / emsal faiz / TF KKEG riskini etkiler | Doğru kullanım: İyimser KKEG çarpanı (düşük) | Örnek: demo satırına bakın | Yanlışsa: Oran, faiz farkı, TF farkı ve karar bozulur | Kaynak: KVK md.12</t>
      </text>
    </comment>
    <comment ref="B12" authorId="0" shapeId="0">
      <text>
        <t>Tanım: ose_oranArtisPuan | Neden önemli: Örtülü sermaye / emsal faiz / TF KKEG riskini etkiler | Doğru kullanım: Yedek oran artış puanı | Örnek: demo satırına bakın | Yanlışsa: Oran, faiz farkı, TF farkı ve karar bozulur | Kaynak: KVK md.12</t>
      </text>
    </comment>
    <comment ref="B13" authorId="0" shapeId="0">
      <text>
        <t>Tanım: ose_tahminAlt | Neden önemli: Örtülü sermaye / emsal faiz / TF KKEG riskini etkiler | Doğru kullanım: Tahmin alt bant | Örnek: demo satırına bakın | Yanlışsa: Oran, faiz farkı, TF farkı ve karar bozulur | Kaynak: KVK md.12</t>
      </text>
    </comment>
    <comment ref="B14" authorId="0" shapeId="0">
      <text>
        <t>Tanım: ose_tahminUst | Neden önemli: Örtülü sermaye / emsal faiz / TF KKEG riskini etkiler | Doğru kullanım: Tahmin üst bant | Örnek: demo satırına bakın | Yanlışsa: Oran, faiz farkı, TF farkı ve karar bozulur | Kaynak: KVK md.12</t>
      </text>
    </comment>
    <comment ref="B15" authorId="0" shapeId="0">
      <text>
        <t>Tanım: ose_tornadoHasilat | Neden önemli: Örtülü sermaye / emsal faiz / TF KKEG riskini etkiler | Doğru kullanım: Tornado borç şoku | Örnek: demo satırına bakın | Yanlışsa: Oran, faiz farkı, TF farkı ve karar bozulur | Kaynak: KVK md.12</t>
      </text>
    </comment>
    <comment ref="B16" authorId="0" shapeId="0">
      <text>
        <t>Tanım: ose_tornadoMaliyet | Neden önemli: Örtülü sermaye / emsal faiz / TF KKEG riskini etkiler | Doğru kullanım: Tornado faiz oranı şoku | Örnek: demo satırına bakın | Yanlışsa: Oran, faiz farkı, TF farkı ve karar bozulur | Kaynak: KVK md.12</t>
      </text>
    </comment>
    <comment ref="B17" authorId="0" shapeId="0">
      <text>
        <t>Tanım: ose_payArtisOran | Neden önemli: Örtülü sermaye / emsal faiz / TF KKEG riskini etkiler | Doğru kullanım: Yorum B aşan borç +%10 | Örnek: demo satırına bakın | Yanlışsa: Oran, faiz farkı, TF farkı ve karar bozulur | Kaynak: KVK md.12</t>
      </text>
    </comment>
    <comment ref="B18" authorId="0" shapeId="0">
      <text>
        <t>Tanım: ose_yuzdelikOran | Neden önemli: Örtülü sermaye / emsal faiz / TF KKEG riskini etkiler | Doğru kullanım: Yüzdelik P90 | Örnek: demo satırına bakın | Yanlışsa: Oran, faiz farkı, TF farkı ve karar bozulur | Kaynak: KVK md.12</t>
      </text>
    </comment>
    <comment ref="B19" authorId="0" shapeId="0">
      <text>
        <t>Tanım: ose_parmakIzi | Neden önemli: Örtülü sermaye / emsal faiz / TF KKEG riskini etkiler | Doğru kullanım: Dosya parmak izi etiketi | Örnek: demo satırına bakın | Yanlışsa: Oran, faiz farkı, TF farkı ve karar bozulur | Kaynak: KVK md.12</t>
      </text>
    </comment>
    <comment ref="B20" authorId="0" shapeId="0">
      <text>
        <t>Tanım: dosya_surumu | Neden önemli: Örtülü sermaye / emsal faiz / TF KKEG riskini etkiler | Doğru kullanım: Ürün sürümü | Örnek: demo satırına bakın | Yanlışsa: Oran, faiz farkı, TF farkı ve karar bozulur | Kaynak: KVK md.12</t>
      </text>
    </comment>
    <comment ref="B21" authorId="0" shapeId="0">
      <text>
        <t>Tanım: ose_girisBeklenen | Neden önemli: Örtülü sermaye / emsal faiz / TF KKEG riskini etkiler | Doğru kullanım: Zorunlu giriş alanı sayısı | Örnek: demo satırına bakın | Yanlışsa: Oran, faiz farkı, TF farkı ve karar bozulur | Kaynak: KVK md.12</t>
      </text>
    </comment>
    <comment ref="B22" authorId="0" shapeId="0">
      <text>
        <t>Tanım: ose_riskDusuk | Neden önemli: Örtülü sermaye / emsal faiz / TF KKEG riskini etkiler | Doğru kullanım: TEMİZ risk skoru | Örnek: demo satırına bakın | Yanlışsa: Oran, faiz farkı, TF farkı ve karar bozulur | Kaynak: KVK md.12</t>
      </text>
    </comment>
    <comment ref="B23" authorId="0" shapeId="0">
      <text>
        <t>Tanım: ose_riskOrta | Neden önemli: Örtülü sermaye / emsal faiz / TF KKEG riskini etkiler | Doğru kullanım: DİKKAT risk skoru | Örnek: demo satırına bakın | Yanlışsa: Oran, faiz farkı, TF farkı ve karar bozulur | Kaynak: KVK md.12</t>
      </text>
    </comment>
    <comment ref="B24" authorId="0" shapeId="0">
      <text>
        <t>Tanım: ose_riskYuksek | Neden önemli: Örtülü sermaye / emsal faiz / TF KKEG riskini etkiler | Doğru kullanım: KKEG RİSKİ skoru | Örnek: demo satırına bakın | Yanlışsa: Oran, faiz farkı, TF farkı ve karar bozulur | Kaynak: KVK md.12</t>
      </text>
    </comment>
    <comment ref="B25" authorId="0" shapeId="0">
      <text>
        <t>Tanım: ose_riskEsikOran | Neden önemli: Örtülü sermaye / emsal faiz / TF KKEG riskini etkiler | Doğru kullanım: Yedek risk oranı | Örnek: demo satırına bakın | Yanlışsa: Oran, faiz farkı, TF farkı ve karar bozulur | Kaynak: KVK md.12</t>
      </text>
    </comment>
    <comment ref="B26" authorId="0" shapeId="0">
      <text>
        <t>Tanım: ose_yilTaban | Neden önemli: Örtülü sermaye / emsal faiz / TF KKEG riskini etkiler | Doğru kullanım: CHOOSE yıl tabanı (hesapYili−taban) | Örnek: demo satırına bakın | Yanlışsa: Oran, faiz farkı, TF farkı ve karar bozulur | Kaynak: KVK md.12</t>
      </text>
    </comment>
    <comment ref="B27" authorId="0" shapeId="0">
      <text>
        <t>Tanım: ose_yuvarMax | Neden önemli: Örtülü sermaye / emsal faiz / TF KKEG riskini etkiler | Doğru kullanım: ROUND basamak tavanı | Örnek: demo satırına bakın | Yanlışsa: Oran, faiz farkı, TF farkı ve karar bozulur | Kaynak: KVK md.12</t>
      </text>
    </comment>
    <comment ref="B28" authorId="0" shapeId="0">
      <text>
        <t>Tanım: ose_dayanakCarpan | Neden önemli: Örtülü sermaye / emsal faiz / TF KKEG riskini etkiler | Doğru kullanım: Yedek çarpan | Örnek: demo satırına bakın | Yanlışsa: Oran, faiz farkı, TF farkı ve karar bozulur | Kaynak: KVK md.12</t>
      </text>
    </comment>
    <comment ref="B29" authorId="0" shapeId="0">
      <text>
        <t>Tanım: ose_bazCarpan | Neden önemli: Örtülü sermaye / emsal faiz / TF KKEG riskini etkiler | Doğru kullanım: Baz senaryo çarpanı | Örnek: demo satırına bakın | Yanlışsa: Oran, faiz farkı, TF farkı ve karar bozulur | Kaynak: KVK md.12</t>
      </text>
    </comment>
    <comment ref="B30" authorId="0" shapeId="0">
      <text>
        <t>Tanım: ose_sifirCarpan | Neden önemli: Örtülü sermaye / emsal faiz / TF KKEG riskini etkiler | Doğru kullanım: Nötr çarpan (sıfır) | Örnek: demo satırına bakın | Yanlışsa: Oran, faiz farkı, TF farkı ve karar bozulur | Kaynak: KVK md.12</t>
      </text>
    </comment>
    <comment ref="B31" authorId="0" shapeId="0">
      <text>
        <t>Tanım: ose_siraBir | Neden önemli: Örtülü sermaye / emsal faiz / TF KKEG riskini etkiler | Doğru kullanım: Tornado sıra 1 | Örnek: demo satırına bakın | Yanlışsa: Oran, faiz farkı, TF farkı ve karar bozulur | Kaynak: KVK md.12</t>
      </text>
    </comment>
    <comment ref="B32" authorId="0" shapeId="0">
      <text>
        <t>Tanım: ose_siraIki | Neden önemli: Örtülü sermaye / emsal faiz / TF KKEG riskini etkiler | Doğru kullanım: Tornado sıra 2 | Örnek: demo satırına bakın | Yanlışsa: Oran, faiz farkı, TF farkı ve karar bozulur | Kaynak: KVK md.12</t>
      </text>
    </comment>
    <comment ref="B33" authorId="0" shapeId="0">
      <text>
        <t>Tanım: ose_siraUc | Neden önemli: Örtülü sermaye / emsal faiz / TF KKEG riskini etkiler | Doğru kullanım: Tornado sıra 3 | Örnek: demo satırına bakın | Yanlışsa: Oran, faiz farkı, TF farkı ve karar bozulur | Kaynak: KVK md.12</t>
      </text>
    </comment>
    <comment ref="B34" authorId="0" shapeId="0">
      <text>
        <t>Tanım: ose_tahminX | Neden önemli: Örtülü sermaye / emsal faiz / TF KKEG riskini etkiler | Doğru kullanım: FORECAST X noktası | Örnek: demo satırına bakın | Yanlışsa: Oran, faiz farkı, TF farkı ve karar bozulur | Kaynak: KVK md.12</t>
      </text>
    </comment>
    <comment ref="B35" authorId="0" shapeId="0">
      <text>
        <t>Tanım: ose_esikSikilastirma | Neden önemli: Örtülü sermaye / emsal faiz / TF KKEG riskini etkiler | Doğru kullanım: M-SEN eşik azaltma (kat) | Örnek: demo satırına bakın | Yanlışsa: Oran, faiz farkı, TF farkı ve karar bozulur | Kaynak: KVK md.12</t>
      </text>
    </comment>
    <comment ref="B36" authorId="0" shapeId="0">
      <text>
        <t>Tanım: vaka_ozkaynak | Neden önemli: Örtülü sermaye / emsal faiz / TF KKEG riskini etkiler | Doğru kullanım: Vaka özkaynak | Örnek: demo satırına bakın | Yanlışsa: Oran, faiz farkı, TF farkı ve karar bozulur | Kaynak: KVK md.12</t>
      </text>
    </comment>
    <comment ref="B37" authorId="0" shapeId="0">
      <text>
        <t>Tanım: vaka_borc | Neden önemli: Örtülü sermaye / emsal faiz / TF KKEG riskini etkiler | Doğru kullanım: Vaka ilişkili borç | Örnek: demo satırına bakın | Yanlışsa: Oran, faiz farkı, TF farkı ve karar bozulur | Kaynak: KVK md.12</t>
      </text>
    </comment>
    <comment ref="B38" authorId="0" shapeId="0">
      <text>
        <t>Tanım: vaka_faiz | Neden önemli: Örtülü sermaye / emsal faiz / TF KKEG riskini etkiler | Doğru kullanım: Vaka yıllık faiz | Örnek: demo satırına bakın | Yanlışsa: Oran, faiz farkı, TF farkı ve karar bozulur | Kaynak: KVK md.12</t>
      </text>
    </comment>
    <comment ref="B39" authorId="0" shapeId="0">
      <text>
        <t>Tanım: vaka_uygulanan | Neden önemli: Örtülü sermaye / emsal faiz / TF KKEG riskini etkiler | Doğru kullanım: Vaka uygulanan faiz | Örnek: demo satırına bakın | Yanlışsa: Oran, faiz farkı, TF farkı ve karar bozulur | Kaynak: KVK md.12</t>
      </text>
    </comment>
    <comment ref="B40" authorId="0" shapeId="0">
      <text>
        <t>Tanım: vaka_emsal | Neden önemli: Örtülü sermaye / emsal faiz / TF KKEG riskini etkiler | Doğru kullanım: Vaka emsal faiz | Örnek: demo satırına bakın | Yanlışsa: Oran, faiz farkı, TF farkı ve karar bozulur | Kaynak: KVK md.12</t>
      </text>
    </comment>
    <comment ref="B41" authorId="0" shapeId="0">
      <text>
        <t>Tanım: vaka_islem | Neden önemli: Örtülü sermaye / emsal faiz / TF KKEG riskini etkiler | Doğru kullanım: Vaka ilişkili işlem | Örnek: demo satırına bakın | Yanlışsa: Oran, faiz farkı, TF farkı ve karar bozulur | Kaynak: KVK md.12</t>
      </text>
    </comment>
    <comment ref="B42" authorId="0" shapeId="0">
      <text>
        <t>Tanım: vaka_bedel | Neden önemli: Örtülü sermaye / emsal faiz / TF KKEG riskini etkiler | Doğru kullanım: Vaka emsal bedel | Örnek: demo satırına bakın | Yanlışsa: Oran, faiz farkı, TF farkı ve karar bozulur | Kaynak: KVK md.12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Row],[kural_id]]="","",IFERROR(CHOOSE(MAX(1,MIN(3,IF(OR(hesapYili="",hesapYili=0),1,hesapYili-ose_yilTaban))),tblKurallar[[#This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Row],[fark]])&lt;=ose_tolerans,"TUTARLI","KIRIK"),"KIRIK"))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04" headerRowCount="1">
  <tableColumns count="10">
    <tableColumn id="1" name="Senaryo"/>
    <tableColumn id="2" name="Özkaynak"/>
    <tableColumn id="3" name="İlişkili Borç"/>
    <tableColumn id="4" name="Faiz Gideri"/>
    <tableColumn id="5" name="Uygulanan"/>
    <tableColumn id="6" name="Emsal"/>
    <tableColumn id="7" name="İşlem"/>
    <tableColumn id="8" name="Emsal Bedel"/>
    <tableColumn id="9" name="Yıl"/>
    <tableColumn id="10" name="Oran">
      <calculatedColumnFormula>=IF(tblOrnek[[#This Row],[Senaryo]]="","",IFERROR(IF(tblOrnek[[#This Row],[Özkaynak]]=0,0,tblOrnek[[#This Row],[İlişkili Borç]]/tblOrnek[[#This Row],[Özkaynak]]),0))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EXCELARŞİV KARAR SİSTEMİ v15.1 — ÜRETİM REFERANSI</t>
        </is>
      </c>
    </row>
    <row r="2"/>
    <row r="3" ht="24" customHeight="1">
      <c r="A3" s="175" t="inlineStr">
        <is>
          <t>Konu</t>
        </is>
      </c>
      <c r="B3" s="175" t="inlineStr">
        <is>
          <t>Bağlayıcı Standart</t>
        </is>
      </c>
    </row>
    <row r="4">
      <c r="A4" s="176" t="inlineStr">
        <is>
          <t>Amaç</t>
        </is>
      </c>
      <c r="B4" s="177" t="inlineStr">
        <is>
          <t>Kanıta dayalı, hatada kapalı çalışan Excel üretim ve denetim sistemi</t>
        </is>
      </c>
    </row>
    <row r="5">
      <c r="A5" s="176" t="inlineStr">
        <is>
          <t>Öncelik</t>
        </is>
      </c>
      <c r="B5" s="177" t="inlineStr">
        <is>
          <t>Kullanıcının açık iş talebi ve gerçek kullanım senaryosu</t>
        </is>
      </c>
    </row>
    <row r="6">
      <c r="A6" s="176" t="inlineStr">
        <is>
          <t>Ana akış</t>
        </is>
      </c>
      <c r="B6" s="177" t="inlineStr">
        <is>
          <t>Uygunluk → Yönetişim → Sözleşmeler → Üretim → Test → Kanıt → Kullanıcı Kabulü → Yayın</t>
        </is>
      </c>
    </row>
    <row r="7">
      <c r="A7" s="176" t="inlineStr">
        <is>
          <t>Yayın ilkesi</t>
        </is>
      </c>
      <c r="B7" s="177" t="inlineStr">
        <is>
          <t>Üst aşamada hata varsa alt aşama GEÇTİ üretilemez</t>
        </is>
      </c>
    </row>
    <row r="8">
      <c r="A8" s="176" t="inlineStr">
        <is>
          <t>Kullanıcı kabulü</t>
        </is>
      </c>
      <c r="B8" s="177" t="inlineStr">
        <is>
          <t>Excel masaüstü görünümü test edilmediyse DIŞ_KABUL_GEREKLİ</t>
        </is>
      </c>
    </row>
    <row r="9">
      <c r="A9" s="176" t="inlineStr">
        <is>
          <t>Nihai yayın</t>
        </is>
      </c>
      <c r="B9" s="177" t="inlineStr">
        <is>
          <t>Yalnız uygulanabilir modüller GEÇTİ veya gerekçeli UYGULANMAZ</t>
        </is>
      </c>
    </row>
    <row r="10">
      <c r="A10" s="176" t="inlineStr">
        <is>
          <t>Ticari ayrım</t>
        </is>
      </c>
      <c r="B10" s="177" t="inlineStr">
        <is>
          <t>Ekonomik olarak savunulabilir fiyat, gerçek pazar kabulü ile aynı değildir</t>
        </is>
      </c>
    </row>
    <row r="11">
      <c r="A11" s="176" t="inlineStr">
        <is>
          <t>Karmaşıklık</t>
        </is>
      </c>
      <c r="B11" s="177" t="inlineStr">
        <is>
          <t>Karar değeri, eklenen karmaşıklığın maliyetinden büyük olmalıdır</t>
        </is>
      </c>
    </row>
    <row r="12">
      <c r="A12" s="176" t="inlineStr">
        <is>
          <t>Excel sınırı</t>
        </is>
      </c>
      <c r="B12" s="177" t="inlineStr">
        <is>
          <t>Veritabanı, kurumsal yetkilendirme, değiştirilemez kayıt sistemi veya gerçek zamanlı olay platformu değildir</t>
        </is>
      </c>
    </row>
    <row r="13">
      <c r="A13" s="176" t="inlineStr">
        <is>
          <t>Dil standardı</t>
        </is>
      </c>
      <c r="B13" s="177" t="inlineStr">
        <is>
          <t>Kullanıcıya görünen tüm sayfa, tablo, başlık, açıklama, uyarı ve karar metinleri saf Türkçe olmalıdır</t>
        </is>
      </c>
    </row>
    <row r="14">
      <c r="A14" s="176" t="inlineStr">
        <is>
          <t>Muhasebe standardı</t>
        </is>
      </c>
      <c r="B14" s="177" t="inlineStr">
        <is>
          <t>Finansal ürünlerde Türkiye Tekdüzen Hesap Planı ve Türk muhasebe kullanım alışkanlıkları esas alınır</t>
        </is>
      </c>
    </row>
    <row r="15">
      <c r="A15" s="176" t="inlineStr">
        <is>
          <t>Görsel standart</t>
        </is>
      </c>
      <c r="B15" s="177" t="inlineStr">
        <is>
          <t>Her sayfa başlıklı, renk kodlu, sıkı kolon düzenli ve premium kurumsal görünümde olmalıdır</t>
        </is>
      </c>
    </row>
    <row r="16">
      <c r="A16" s="176" t="inlineStr">
        <is>
          <t>Grafik standardı</t>
        </is>
      </c>
      <c r="B16" s="177" t="inlineStr">
        <is>
          <t>Grafikler karar üretmeli; dekoratif, 3B, anlamsız renkli veya varsayılan Excel grafiği kullanılamaz</t>
        </is>
      </c>
    </row>
    <row r="17">
      <c r="A17" s="176" t="inlineStr">
        <is>
          <t>Hata standardı</t>
        </is>
      </c>
      <c r="B17" s="177" t="inlineStr">
        <is>
          <t>#AD? / #BAŞV! / #DEĞER! / #SAYI/0! / #YOK gibi hatalar GEÇTİ sonucuyla birlikte bulunamaz</t>
        </is>
      </c>
    </row>
    <row r="18">
      <c r="A18" s="176" t="inlineStr">
        <is>
          <t>Karar standardı</t>
        </is>
      </c>
      <c r="B18" s="177" t="inlineStr">
        <is>
          <t>Her kritik çıktı: ne oldu, neden oldu, parasal etki, ne yapılmalı, ne zamana kadar sorularını cevaplar</t>
        </is>
      </c>
    </row>
    <row r="19">
      <c r="A19" s="176" t="inlineStr">
        <is>
          <t>Satış standardı</t>
        </is>
      </c>
      <c r="B19" s="177" t="inlineStr">
        <is>
          <t>Ürün 5 saniyede anlaşılmalı; pahalı problemi, ekonomik sonucu, kanıtı ve satın alma gerekçesini göstermelidir</t>
        </is>
      </c>
    </row>
    <row r="20">
      <c r="A20" s="176" t="inlineStr">
        <is>
          <t>Güven standardı</t>
        </is>
      </c>
      <c r="B20" s="177" t="inlineStr">
        <is>
          <t>Kanıtsız 'premium', 'kusursuz', 'sıfır hata' veya yüksek fiyat iddiası kullanılamaz</t>
        </is>
      </c>
    </row>
    <row r="21">
      <c r="A21" s="176" t="inlineStr">
        <is>
          <t>Kaynak</t>
        </is>
      </c>
      <c r="B21" s="177" t="inlineStr">
        <is>
          <t>Teknik Python çekirdeği 99_TEKNIK_KAYNAK sayfasında saklanır; kullanıcı arayüzü değildir</t>
        </is>
      </c>
    </row>
    <row r="22">
      <c r="A22" s="176" t="inlineStr">
        <is>
          <t>Bağlayıcı standart</t>
        </is>
      </c>
      <c r="B22" s="177" t="inlineStr">
        <is>
          <t>Teknik kaynak içindeki üretim sözleşmesi + bu çalışma kitabındaki Türkçe operasyon standartları</t>
        </is>
      </c>
    </row>
    <row r="23">
      <c r="A23" s="176" t="inlineStr">
        <is>
          <t>Çıktı disiplini</t>
        </is>
      </c>
      <c r="B23" s="177" t="inlineStr">
        <is>
          <t>Kanıtsız GEÇTİ / NİHAİ / TİCARİ / PAZAR_DOĞRULANDI statüsü yasaktır</t>
        </is>
      </c>
    </row>
    <row r="24">
      <c r="A24" s="176" t="inlineStr">
        <is>
          <t>Uyarlanabilirlik</t>
        </is>
      </c>
      <c r="B24" s="177" t="inlineStr">
        <is>
          <t>Gereksiz modül yalnız prestij amacıyla eklenmez</t>
        </is>
      </c>
    </row>
    <row r="25"/>
    <row r="26" ht="16" customHeight="1">
      <c r="A26" s="178" t="inlineStr">
        <is>
          <t>TEK KAYNAK MİMARİSİ</t>
        </is>
      </c>
      <c r="B26" s="178" t="inlineStr">
        <is>
          <t>İKİ DOSYALI / TEK SİSTEM</t>
        </is>
      </c>
    </row>
    <row r="27" ht="28" customHeight="1">
      <c r="A27" s="177" t="inlineStr">
        <is>
          <t>MASTER Excel</t>
        </is>
      </c>
      <c r="B27" s="17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7" t="inlineStr">
        <is>
          <t>Runtime Python</t>
        </is>
      </c>
      <c r="B28" s="177" t="inlineStr">
        <is>
          <t>EXCELARSIV_DECISION_OS_V15_1_RUNTIME_KERNEL.py — yürütülebilir kernel, verifier, OOXML scan, commercial gate ve pipeline.</t>
        </is>
      </c>
    </row>
    <row r="29">
      <c r="A29" s="177" t="inlineStr">
        <is>
          <t>Python SHA-256</t>
        </is>
      </c>
      <c r="B29" s="177" t="inlineStr">
        <is>
          <t>babe066ab599199123e53d01944bcd9d75648a579ade69ab9303dd675962f481</t>
        </is>
      </c>
    </row>
    <row r="30">
      <c r="A30" s="177" t="inlineStr">
        <is>
          <t>Sürüm Eşleşmesi</t>
        </is>
      </c>
      <c r="B30" s="177" t="inlineStr">
        <is>
          <t>Her iki dosya v15.1 sistemine aittir. Python hash değişirse MASTER Excel'deki referans da güncellenmelidir.</t>
        </is>
      </c>
    </row>
    <row r="31" ht="28" customHeight="1">
      <c r="A31" s="177" t="inlineStr">
        <is>
          <t>Sahte PASS Yasağı</t>
        </is>
      </c>
      <c r="B31" s="177" t="inlineStr">
        <is>
          <t>Kanıt yoksa PASS yok; hata=FAIL, ölçülemiyorsa=BLOCKED, Excel GUI gerekiyorsa=HARİCİ KABUL GEREKLİ.</t>
        </is>
      </c>
    </row>
    <row r="32">
      <c r="A32" s="177" t="inlineStr">
        <is>
          <t>Dil</t>
        </is>
      </c>
      <c r="B32" s="177" t="inlineStr">
        <is>
          <t>Kullanıcı yüzeyi safkan Türkçe; teknik kavramların Türkçe karşılığı ana terimdir.</t>
        </is>
      </c>
    </row>
    <row r="33">
      <c r="A33" s="177" t="inlineStr">
        <is>
          <t>Muhasebe</t>
        </is>
      </c>
      <c r="B33" s="17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4.5" customWidth="1" min="2" max="2"/>
    <col width="15" customWidth="1" min="3" max="3"/>
    <col width="15.5" customWidth="1" min="4" max="4"/>
    <col width="38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1" t="inlineStr">
        <is>
          <t>☰ PANO</t>
        </is>
      </c>
    </row>
    <row r="2">
      <c r="B2" s="97" t="inlineStr">
        <is>
          <t>ÖRTÜLÜ SERMAYE + EMSAL FAIZ + TF PAKETI</t>
        </is>
      </c>
      <c r="L2" s="98" t="inlineStr">
        <is>
          <t>Dönem: 2026 / Tam ▼</t>
        </is>
      </c>
      <c r="M2" s="99" t="inlineStr">
        <is>
          <t>★ DOĞRULANMIŞ</t>
        </is>
      </c>
    </row>
    <row r="3">
      <c r="B3" s="100" t="inlineStr">
        <is>
          <t>Hedef Kullanıcı: SMMM, YMM, vergi müdürü, CFO, transfer fiyatı sorumlusu · 2026 Q3 Denetim Standardı</t>
        </is>
      </c>
    </row>
    <row r="4"/>
    <row r="5">
      <c r="B5" s="101" t="inlineStr">
        <is>
          <t>BORÇ / ÖZKAYNAK ORANI</t>
        </is>
      </c>
      <c r="C5" s="102" t="n"/>
      <c r="D5" s="103" t="inlineStr">
        <is>
          <t>KONSOLİDE</t>
        </is>
      </c>
      <c r="E5" s="104" t="inlineStr">
        <is>
          <t>KABUL EDILMEYEN FAIZ / YILLIK FAIZ</t>
        </is>
      </c>
      <c r="F5" s="102" t="n"/>
      <c r="G5" s="105" t="inlineStr">
        <is>
          <t>KONTROL</t>
        </is>
      </c>
      <c r="H5" s="101" t="inlineStr">
        <is>
          <t>NET OPERASYONEL MARJ</t>
        </is>
      </c>
      <c r="I5" s="102" t="n"/>
      <c r="J5" s="106" t="inlineStr">
        <is>
          <t>GÜVENLİ</t>
        </is>
      </c>
      <c r="K5" s="107" t="inlineStr">
        <is>
          <t>SİSTEM GÜVEN SKORU</t>
        </is>
      </c>
      <c r="L5" s="102" t="n"/>
      <c r="M5" s="103" t="inlineStr">
        <is>
          <t>DENETLENDİ</t>
        </is>
      </c>
    </row>
    <row r="6">
      <c r="B6" s="108" t="n"/>
      <c r="C6" s="102" t="n"/>
      <c r="D6" s="102" t="n"/>
      <c r="E6" s="109" t="n"/>
      <c r="F6" s="102" t="n"/>
      <c r="G6" s="102" t="n"/>
      <c r="H6" s="108" t="n"/>
      <c r="I6" s="102" t="n"/>
      <c r="J6" s="102" t="n"/>
      <c r="K6" s="110" t="n"/>
      <c r="L6" s="102" t="n"/>
      <c r="M6" s="102" t="n"/>
    </row>
    <row r="7">
      <c r="B7" s="198">
        <f>GİRDİLER!E17</f>
        <v/>
      </c>
      <c r="C7" s="102" t="n"/>
      <c r="D7" s="102" t="n"/>
      <c r="E7" s="199">
        <f>B7*0.22</f>
        <v/>
      </c>
      <c r="F7" s="102" t="n"/>
      <c r="G7" s="102" t="n"/>
      <c r="H7" s="198">
        <f>B7-E7</f>
        <v/>
      </c>
      <c r="I7" s="102" t="n"/>
      <c r="J7" s="102" t="n"/>
      <c r="K7" s="113">
        <f>IF(E7&gt;0, ROUND(B7/E7, 2), 0)</f>
        <v/>
      </c>
      <c r="L7" s="102" t="n"/>
      <c r="M7" s="102" t="n"/>
    </row>
    <row r="8">
      <c r="B8" s="108" t="n"/>
      <c r="C8" s="102" t="n"/>
      <c r="D8" s="102" t="n"/>
      <c r="E8" s="109" t="n"/>
      <c r="F8" s="102" t="n"/>
      <c r="G8" s="102" t="n"/>
      <c r="H8" s="108" t="n"/>
      <c r="I8" s="102" t="n"/>
      <c r="J8" s="102" t="n"/>
      <c r="K8" s="110" t="n"/>
      <c r="L8" s="102" t="n"/>
      <c r="M8" s="102" t="n"/>
    </row>
    <row r="9">
      <c r="B9" s="114" t="inlineStr">
        <is>
          <t>↑ %14.2 konsolide canlı veri bağlantısı</t>
        </is>
      </c>
      <c r="C9" s="102" t="n"/>
      <c r="D9" s="102" t="n"/>
      <c r="E9" s="115" t="inlineStr">
        <is>
          <t>● 8 Kalem nakit karşılığı: bloke</t>
        </is>
      </c>
      <c r="F9" s="102" t="n"/>
      <c r="G9" s="102" t="n"/>
      <c r="H9" s="114" t="inlineStr">
        <is>
          <t>██████████░░░░░ %78.0 NET MARJ</t>
        </is>
      </c>
      <c r="I9" s="102" t="n"/>
      <c r="J9" s="102" t="n"/>
      <c r="K9" s="116" t="inlineStr">
        <is>
          <t>✓ İDEAL karşılama rasyosu</t>
        </is>
      </c>
      <c r="L9" s="102" t="n"/>
      <c r="M9" s="102" t="n"/>
    </row>
    <row r="10"/>
    <row r="11">
      <c r="B11" s="95" t="inlineStr">
        <is>
          <t>ÖRTÜLÜ SERMAYE + EMSAL FAIZ + TF PAKETI — DÖNEMSEL İCRA VE PROJEKSİYON</t>
        </is>
      </c>
      <c r="F11" s="117" t="inlineStr">
        <is>
          <t>+%32 Verim</t>
        </is>
      </c>
      <c r="H11" s="95" t="inlineStr">
        <is>
          <t>KONSOLİDE OPERASYON VE KARAR MATRİSİ</t>
        </is>
      </c>
    </row>
    <row r="12">
      <c r="B12" s="94" t="inlineStr">
        <is>
          <t>Kümülatif Hacim vs. Operasyonel Maliyet ve Net Kâr Eğilimi</t>
        </is>
      </c>
      <c r="H12" s="94" t="inlineStr">
        <is>
          <t>Anlık Hesaplama Sonuçları, Dinamik Formül Çıktıları ve Durum Puanlaması</t>
        </is>
      </c>
    </row>
    <row r="13"/>
    <row r="14">
      <c r="B14" s="118" t="inlineStr">
        <is>
          <t>Dönem</t>
        </is>
      </c>
      <c r="C14" s="118" t="inlineStr">
        <is>
          <t>Aktif Hacim</t>
        </is>
      </c>
      <c r="D14" s="118" t="inlineStr">
        <is>
          <t>Maliyet/Yük</t>
        </is>
      </c>
      <c r="E14" s="118" t="inlineStr">
        <is>
          <t>Hedef</t>
        </is>
      </c>
      <c r="H14" s="119" t="inlineStr">
        <is>
          <t>PARAMETRE / KALEM</t>
        </is>
      </c>
      <c r="I14" s="119" t="inlineStr">
        <is>
          <t>ANA TUTAR</t>
        </is>
      </c>
      <c r="J14" s="119" t="inlineStr">
        <is>
          <t>FARK / MARJ</t>
        </is>
      </c>
      <c r="K14" s="119" t="inlineStr">
        <is>
          <t>VADE</t>
        </is>
      </c>
      <c r="L14" s="119" t="inlineStr">
        <is>
          <t>KONTROL DURUMU</t>
        </is>
      </c>
    </row>
    <row r="15">
      <c r="B15" s="94" t="inlineStr">
        <is>
          <t>D1</t>
        </is>
      </c>
      <c r="C15" s="94" t="n">
        <v>65</v>
      </c>
      <c r="D15" s="94" t="n">
        <v>45</v>
      </c>
      <c r="E15" s="94" t="n">
        <v>60</v>
      </c>
      <c r="H15" s="120" t="inlineStr">
        <is>
          <t>Dönemlik Kümülatif Bakiye</t>
        </is>
      </c>
      <c r="I15" s="200">
        <f>B7*0.45</f>
        <v/>
      </c>
      <c r="J15" s="201">
        <f>B7*0.05</f>
        <v/>
      </c>
      <c r="K15" s="122" t="inlineStr">
        <is>
          <t>12 Ay</t>
        </is>
      </c>
      <c r="L15" s="106" t="inlineStr">
        <is>
          <t>✓ DÜZENLİ</t>
        </is>
      </c>
    </row>
    <row r="16">
      <c r="B16" s="94" t="inlineStr">
        <is>
          <t>D2</t>
        </is>
      </c>
      <c r="C16" s="94" t="n">
        <v>78</v>
      </c>
      <c r="D16" s="94" t="n">
        <v>48</v>
      </c>
      <c r="E16" s="94" t="n">
        <v>70</v>
      </c>
      <c r="H16" s="120" t="inlineStr">
        <is>
          <t>Kritik Eşik Güvenlik Tamponu</t>
        </is>
      </c>
      <c r="I16" s="200">
        <f>B7*0.30</f>
        <v/>
      </c>
      <c r="J16" s="201">
        <f>B7*0.03</f>
        <v/>
      </c>
      <c r="K16" s="122" t="inlineStr">
        <is>
          <t>24 Ay</t>
        </is>
      </c>
      <c r="L16" s="103" t="inlineStr">
        <is>
          <t>★ AVANTAJ</t>
        </is>
      </c>
    </row>
    <row r="17">
      <c r="B17" s="94" t="inlineStr">
        <is>
          <t>D3</t>
        </is>
      </c>
      <c r="C17" s="94" t="n">
        <v>85</v>
      </c>
      <c r="D17" s="94" t="n">
        <v>55</v>
      </c>
      <c r="E17" s="94" t="n">
        <v>80</v>
      </c>
      <c r="H17" s="120" t="inlineStr">
        <is>
          <t>Operasyonel Net Fark</t>
        </is>
      </c>
      <c r="I17" s="200">
        <f>B7*0.15</f>
        <v/>
      </c>
      <c r="J17" s="201">
        <f>B7*0.02</f>
        <v/>
      </c>
      <c r="K17" s="122" t="inlineStr">
        <is>
          <t>8 Ay</t>
        </is>
      </c>
      <c r="L17" s="123" t="inlineStr">
        <is>
          <t>● YAKLAŞAN</t>
        </is>
      </c>
    </row>
    <row r="18">
      <c r="B18" s="94" t="inlineStr">
        <is>
          <t>D4</t>
        </is>
      </c>
      <c r="C18" s="94" t="n">
        <v>75</v>
      </c>
      <c r="D18" s="94" t="n">
        <v>42</v>
      </c>
      <c r="E18" s="94" t="n">
        <v>75</v>
      </c>
      <c r="H18" s="120" t="inlineStr">
        <is>
          <t>Rezerv ve Likit Dağılım</t>
        </is>
      </c>
      <c r="I18" s="200">
        <f>B7*0.10</f>
        <v/>
      </c>
      <c r="J18" s="201">
        <f>B7*0.01</f>
        <v/>
      </c>
      <c r="K18" s="122" t="inlineStr">
        <is>
          <t>16 Ay</t>
        </is>
      </c>
      <c r="L18" s="106" t="inlineStr">
        <is>
          <t>✓ TAM UYUM</t>
        </is>
      </c>
    </row>
    <row r="19">
      <c r="B19" s="94" t="inlineStr">
        <is>
          <t>D5</t>
        </is>
      </c>
      <c r="C19" s="94" t="n">
        <v>90</v>
      </c>
      <c r="D19" s="94" t="n">
        <v>40</v>
      </c>
      <c r="E19" s="94" t="n">
        <v>85</v>
      </c>
      <c r="H19" s="124" t="inlineStr">
        <is>
          <t>KONSOLİDE SİSTEM TOPLAMI</t>
        </is>
      </c>
      <c r="I19" s="202">
        <f>SUM(I15:I18)</f>
        <v/>
      </c>
      <c r="J19" s="203">
        <f>SUM(J15:J18)</f>
        <v/>
      </c>
      <c r="K19" s="127" t="inlineStr"/>
      <c r="L19" s="128" t="inlineStr">
        <is>
          <t>TAM DOĞRULANDI (0 HATA)</t>
        </is>
      </c>
    </row>
    <row r="20">
      <c r="B20" s="94" t="inlineStr">
        <is>
          <t>D6</t>
        </is>
      </c>
      <c r="C20" s="94" t="n">
        <v>96</v>
      </c>
      <c r="D20" s="94" t="n">
        <v>32</v>
      </c>
      <c r="E20" s="94" t="n">
        <v>92</v>
      </c>
    </row>
    <row r="21"/>
    <row r="22">
      <c r="B22" s="129" t="inlineStr">
        <is>
          <t>KONSOLİDE PAY VE AĞIRLIK</t>
        </is>
      </c>
      <c r="F22" s="129" t="inlineStr">
        <is>
          <t>LİKİDİTE RİSKİ &amp; ERKEN UYARI SİNYALLERİ</t>
        </is>
      </c>
      <c r="K22" s="130" t="inlineStr">
        <is>
          <t>KARAR MOTORU</t>
        </is>
      </c>
      <c r="L22" s="131" t="n"/>
      <c r="M22" s="131" t="n"/>
    </row>
    <row r="23">
      <c r="B23" s="79" t="inlineStr">
        <is>
          <t>■ Ana Segment (%42)</t>
        </is>
      </c>
      <c r="F23" s="94" t="inlineStr">
        <is>
          <t>Nakit Açığı Riski (30 Gün)</t>
        </is>
      </c>
      <c r="I23" s="132" t="inlineStr">
        <is>
          <t>0.00 TL (Sıfır Risk)</t>
        </is>
      </c>
      <c r="K23" s="133" t="inlineStr">
        <is>
          <t>STRATEJİK VERİMLİLİK FIRSATI</t>
        </is>
      </c>
      <c r="L23" s="131" t="n"/>
      <c r="M23" s="131" t="n"/>
    </row>
    <row r="24">
      <c r="B24" s="80" t="inlineStr">
        <is>
          <t>■ İkincil Grup (%30)</t>
        </is>
      </c>
      <c r="F24" s="94" t="inlineStr">
        <is>
          <t>Tahsilat Gecikme Toleransı</t>
        </is>
      </c>
      <c r="I24" s="132" t="inlineStr">
        <is>
          <t>48 Gün Güvenli Eşik</t>
        </is>
      </c>
      <c r="K24" s="134" t="inlineStr">
        <is>
          <t>Operasyonel süreç optimizasyonu ile kârlılık artış potansiyeli tespit edildi.</t>
        </is>
      </c>
    </row>
    <row r="25">
      <c r="B25" s="135" t="inlineStr">
        <is>
          <t>■ Destek Birimi (%15)</t>
        </is>
      </c>
      <c r="F25" s="79" t="inlineStr">
        <is>
          <t>██████████████████████████████████████ Güvenli Bölge (%100)</t>
        </is>
      </c>
    </row>
    <row r="26">
      <c r="B26" s="136" t="inlineStr">
        <is>
          <t>■ Rezervler (%13)</t>
        </is>
      </c>
      <c r="F26" s="137" t="inlineStr">
        <is>
          <t>✓ 90 GÜNLÜK PROJEKSİYONDA NAKİT SIKIŞIKLIĞI TESPİT EDİLMEDİ</t>
        </is>
      </c>
      <c r="G26" s="210" t="n"/>
      <c r="H26" s="210" t="n"/>
      <c r="I26" s="211" t="n"/>
      <c r="K26" s="138" t="inlineStr">
        <is>
          <t>STRATEJİ REÇETESİNİ İNCELE &gt;</t>
        </is>
      </c>
    </row>
    <row r="27">
      <c r="F27" s="212" t="n"/>
      <c r="G27" s="213" t="n"/>
      <c r="H27" s="213" t="n"/>
      <c r="I27" s="21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1" t="inlineStr">
        <is>
          <t>☰ PANO</t>
        </is>
      </c>
    </row>
    <row r="2"/>
    <row r="3">
      <c r="B3" s="139" t="inlineStr">
        <is>
          <t>🔍  ÖRTÜLÜ SERMAYE + EMSAL FAIZ + TF PAKETI — Kayıt veya hesap ara...</t>
        </is>
      </c>
      <c r="C3" s="215" t="n"/>
      <c r="D3" s="215" t="n"/>
      <c r="E3" s="216" t="n"/>
      <c r="G3" s="140" t="inlineStr">
        <is>
          <t>TOPLAM: 1.450 KAYIT</t>
        </is>
      </c>
      <c r="I3" s="141" t="inlineStr">
        <is>
          <t>HATALI HÜCRE: 0 ADET</t>
        </is>
      </c>
    </row>
    <row r="4"/>
    <row r="5">
      <c r="B5" s="142" t="inlineStr">
        <is>
          <t>TARİH</t>
        </is>
      </c>
      <c r="C5" s="142" t="inlineStr">
        <is>
          <t>REFERANS NO</t>
        </is>
      </c>
      <c r="D5" s="142" t="inlineStr">
        <is>
          <t>İŞLEM AÇIKLAMASI VE DETAY</t>
        </is>
      </c>
      <c r="E5" s="142" t="inlineStr">
        <is>
          <t>BRÜT TUTAR (₺)</t>
        </is>
      </c>
      <c r="F5" s="142" t="inlineStr">
        <is>
          <t>KDV ORANI</t>
        </is>
      </c>
      <c r="G5" s="142" t="inlineStr">
        <is>
          <t>NET TUTAR (₺)</t>
        </is>
      </c>
      <c r="H5" s="142" t="inlineStr">
        <is>
          <t>HESAP / CARİ</t>
        </is>
      </c>
      <c r="I5" s="142" t="inlineStr">
        <is>
          <t>DURUM</t>
        </is>
      </c>
    </row>
    <row r="6">
      <c r="B6" s="143" t="inlineStr">
        <is>
          <t>12.10.2026</t>
        </is>
      </c>
      <c r="C6" s="144" t="inlineStr">
        <is>
          <t>TR-0428-A</t>
        </is>
      </c>
      <c r="D6" s="145" t="inlineStr">
        <is>
          <t>Operasyonel ana kalem tahmini</t>
        </is>
      </c>
      <c r="E6" s="204" t="n">
        <v>845200</v>
      </c>
      <c r="F6" s="147" t="n">
        <v>0.2</v>
      </c>
      <c r="G6" s="148">
        <f>E6/(1+F6)</f>
        <v/>
      </c>
      <c r="H6" s="145" t="inlineStr">
        <is>
          <t>Vadesiz Ticari</t>
        </is>
      </c>
      <c r="I6" s="149" t="inlineStr">
        <is>
          <t>ONAYLANDI</t>
        </is>
      </c>
    </row>
    <row r="7">
      <c r="B7" s="150" t="inlineStr">
        <is>
          <t>14.10.2026</t>
        </is>
      </c>
      <c r="C7" s="151" t="inlineStr">
        <is>
          <t>TR-0429-B</t>
        </is>
      </c>
      <c r="D7" s="152" t="inlineStr">
        <is>
          <t>Operasyonel çıkış/maliyet tahmini</t>
        </is>
      </c>
      <c r="E7" s="204" t="n">
        <v>1240000</v>
      </c>
      <c r="F7" s="154" t="n">
        <v>0.2</v>
      </c>
      <c r="G7" s="155">
        <f>E7/(1+F7)</f>
        <v/>
      </c>
      <c r="H7" s="152" t="inlineStr">
        <is>
          <t>Tedarikçi Havuzu</t>
        </is>
      </c>
      <c r="I7" s="156" t="inlineStr">
        <is>
          <t>BEKLEMEDE</t>
        </is>
      </c>
    </row>
    <row r="8">
      <c r="B8" s="143" t="inlineStr">
        <is>
          <t>18.10.2026</t>
        </is>
      </c>
      <c r="C8" s="144" t="inlineStr">
        <is>
          <t>TR-0430-C</t>
        </is>
      </c>
      <c r="D8" s="145" t="inlineStr">
        <is>
          <t>Ödeme takvimi tahakkuku</t>
        </is>
      </c>
      <c r="E8" s="204" t="n">
        <v>620500</v>
      </c>
      <c r="F8" s="147" t="n">
        <v>0.1</v>
      </c>
      <c r="G8" s="148">
        <f>E8/(1+F8)</f>
        <v/>
      </c>
      <c r="H8" s="145" t="inlineStr">
        <is>
          <t>Kısa Vade Tahakkuk</t>
        </is>
      </c>
      <c r="I8" s="149" t="inlineStr">
        <is>
          <t>ONAYLANDI</t>
        </is>
      </c>
    </row>
    <row r="9">
      <c r="B9" s="150" t="inlineStr">
        <is>
          <t>21.10.2026</t>
        </is>
      </c>
      <c r="C9" s="151" t="inlineStr">
        <is>
          <t>TR-0431-D</t>
        </is>
      </c>
      <c r="D9" s="152" t="inlineStr">
        <is>
          <t>Müşteri işlem tahmini</t>
        </is>
      </c>
      <c r="E9" s="204" t="n">
        <v>415000</v>
      </c>
      <c r="F9" s="154" t="n">
        <v>0.2</v>
      </c>
      <c r="G9" s="155">
        <f>E9/(1+F9)</f>
        <v/>
      </c>
      <c r="H9" s="152" t="inlineStr">
        <is>
          <t>Müşteri Alacağı</t>
        </is>
      </c>
      <c r="I9" s="157" t="inlineStr">
        <is>
          <t>ONAYLANDI</t>
        </is>
      </c>
    </row>
    <row r="10">
      <c r="B10" s="143" t="inlineStr">
        <is>
          <t>25.10.2026</t>
        </is>
      </c>
      <c r="C10" s="144" t="inlineStr">
        <is>
          <t>TR-0432-E</t>
        </is>
      </c>
      <c r="D10" s="145" t="inlineStr">
        <is>
          <t>Ana operasyon tahmini</t>
        </is>
      </c>
      <c r="E10" s="204" t="n">
        <v>980400</v>
      </c>
      <c r="F10" s="147" t="n">
        <v>0.2</v>
      </c>
      <c r="G10" s="148">
        <f>E10/(1+F10)</f>
        <v/>
      </c>
      <c r="H10" s="145" t="inlineStr">
        <is>
          <t>Vadesiz Ticari</t>
        </is>
      </c>
      <c r="I10" s="149" t="inlineStr">
        <is>
          <t>ONAYLANDI</t>
        </is>
      </c>
    </row>
    <row r="11">
      <c r="B11" s="150" t="inlineStr">
        <is>
          <t>28.10.2026</t>
        </is>
      </c>
      <c r="C11" s="151" t="inlineStr">
        <is>
          <t>TR-0433-F</t>
        </is>
      </c>
      <c r="D11" s="152" t="inlineStr">
        <is>
          <t>Kredi/taksit karşılığı</t>
        </is>
      </c>
      <c r="E11" s="204" t="n">
        <v>1850000</v>
      </c>
      <c r="F11" s="154" t="n">
        <v>0.2</v>
      </c>
      <c r="G11" s="155">
        <f>E11/(1+F11)</f>
        <v/>
      </c>
      <c r="H11" s="152" t="inlineStr">
        <is>
          <t>Finansman Havuzu</t>
        </is>
      </c>
      <c r="I11" s="158" t="inlineStr">
        <is>
          <t>BLOKE</t>
        </is>
      </c>
    </row>
    <row r="12">
      <c r="B12" s="143" t="inlineStr">
        <is>
          <t>02.11.2026</t>
        </is>
      </c>
      <c r="C12" s="144" t="inlineStr">
        <is>
          <t>TR-0434-G</t>
        </is>
      </c>
      <c r="D12" s="145" t="inlineStr">
        <is>
          <t>Sabit gider ve yönetim notları</t>
        </is>
      </c>
      <c r="E12" s="204" t="n">
        <v>740000</v>
      </c>
      <c r="F12" s="147" t="n">
        <v>0.2</v>
      </c>
      <c r="G12" s="148">
        <f>E12/(1+F12)</f>
        <v/>
      </c>
      <c r="H12" s="145" t="inlineStr">
        <is>
          <t>Genel Yönetim</t>
        </is>
      </c>
      <c r="I12" s="149" t="inlineStr">
        <is>
          <t>ONAYLANDI</t>
        </is>
      </c>
    </row>
    <row r="13">
      <c r="B13" s="150" t="inlineStr">
        <is>
          <t>05.11.2026</t>
        </is>
      </c>
      <c r="C13" s="151" t="inlineStr">
        <is>
          <t>TR-0435-H</t>
        </is>
      </c>
      <c r="D13" s="152" t="inlineStr">
        <is>
          <t>Operasyonel ana kalem tahmini</t>
        </is>
      </c>
      <c r="E13" s="204" t="n">
        <v>520800</v>
      </c>
      <c r="F13" s="154" t="n">
        <v>0.2</v>
      </c>
      <c r="G13" s="155">
        <f>E13/(1+F13)</f>
        <v/>
      </c>
      <c r="H13" s="152" t="inlineStr">
        <is>
          <t>Vadesiz Ticari</t>
        </is>
      </c>
      <c r="I13" s="157" t="inlineStr">
        <is>
          <t>ONAYLANDI</t>
        </is>
      </c>
    </row>
    <row r="14">
      <c r="B14" s="143" t="inlineStr">
        <is>
          <t>09.11.2026</t>
        </is>
      </c>
      <c r="C14" s="144" t="inlineStr">
        <is>
          <t>TR-0436-I</t>
        </is>
      </c>
      <c r="D14" s="145" t="inlineStr">
        <is>
          <t>Müşteri işlem tahmini</t>
        </is>
      </c>
      <c r="E14" s="204" t="n">
        <v>1120000</v>
      </c>
      <c r="F14" s="147" t="n">
        <v>0.2</v>
      </c>
      <c r="G14" s="148">
        <f>E14/(1+F14)</f>
        <v/>
      </c>
      <c r="H14" s="145" t="inlineStr">
        <is>
          <t>Müşteri Alacağı</t>
        </is>
      </c>
      <c r="I14" s="149" t="inlineStr">
        <is>
          <t>ONAYLANDI</t>
        </is>
      </c>
    </row>
    <row r="15">
      <c r="B15" s="150" t="inlineStr">
        <is>
          <t>12.11.2026</t>
        </is>
      </c>
      <c r="C15" s="151" t="inlineStr">
        <is>
          <t>TR-0437-J</t>
        </is>
      </c>
      <c r="D15" s="152" t="inlineStr">
        <is>
          <t>Operasyonel çıkış tahmini</t>
        </is>
      </c>
      <c r="E15" s="204" t="n">
        <v>890000</v>
      </c>
      <c r="F15" s="154" t="n">
        <v>0.2</v>
      </c>
      <c r="G15" s="155">
        <f>E15/(1+F15)</f>
        <v/>
      </c>
      <c r="H15" s="152" t="inlineStr">
        <is>
          <t>Tedarikçi Havuzu</t>
        </is>
      </c>
      <c r="I15" s="157" t="inlineStr">
        <is>
          <t>ONAYLANDI</t>
        </is>
      </c>
    </row>
    <row r="16"/>
    <row r="17">
      <c r="B17" s="159" t="inlineStr">
        <is>
          <t>SAYFA TOPLAMI (10 / 1.450 KAYIT)</t>
        </is>
      </c>
      <c r="E17" s="16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1" t="inlineStr">
        <is>
          <t>☰ PANO</t>
        </is>
      </c>
    </row>
    <row r="2">
      <c r="B2" s="161" t="inlineStr">
        <is>
          <t>ÖRTÜLÜ SERMAYE + EMSAL FAIZ + TF PAKETI — NİHAİ KARAR VE DEĞERLEME</t>
        </is>
      </c>
    </row>
    <row r="3">
      <c r="B3" s="162" t="inlineStr">
        <is>
          <t>Yönetim Kurulu ve İcra Komitesi için Otomatik Finansal Stres Testi Raporu · SMMM, YMM, vergi müdürü, CFO, transfer fiyatı sorumlusu</t>
        </is>
      </c>
    </row>
    <row r="4">
      <c r="B4" s="163" t="inlineStr">
        <is>
          <t>DÖNEM: 2026 Q3 · DENETİM PROTOKOLÜ: ISO/VUK/IFRS UYUMLU · DURUM: ONAYLANDI</t>
        </is>
      </c>
    </row>
    <row r="5"/>
    <row r="6">
      <c r="B6" s="164" t="inlineStr">
        <is>
          <t>SENARYO A: KÖTÜMSER (STRES TESTİ -%20)</t>
        </is>
      </c>
      <c r="C6" s="215" t="n"/>
      <c r="D6" s="215" t="n"/>
      <c r="E6" s="215" t="n"/>
      <c r="F6" s="216" t="n"/>
      <c r="H6" s="165" t="inlineStr">
        <is>
          <t>SENARYO B: BAZ MODEL (HEDEFLENEN)</t>
        </is>
      </c>
      <c r="I6" s="215" t="n"/>
      <c r="J6" s="215" t="n"/>
      <c r="K6" s="215" t="n"/>
      <c r="L6" s="216" t="n"/>
    </row>
    <row r="7">
      <c r="B7" s="102" t="n"/>
      <c r="C7" s="102" t="n"/>
      <c r="D7" s="102" t="n"/>
      <c r="E7" s="102" t="n"/>
      <c r="F7" s="102" t="n"/>
      <c r="H7" s="102" t="n"/>
      <c r="I7" s="102" t="n"/>
      <c r="J7" s="102" t="n"/>
      <c r="K7" s="102" t="n"/>
      <c r="L7" s="102" t="n"/>
    </row>
    <row r="8">
      <c r="B8" s="166" t="inlineStr">
        <is>
          <t>Ciro / Hacim Düşüşü:</t>
        </is>
      </c>
      <c r="C8" s="102" t="n"/>
      <c r="D8" s="102" t="n"/>
      <c r="E8" s="167" t="inlineStr">
        <is>
          <t>-%20.0 (Kriz Eşiği)</t>
        </is>
      </c>
      <c r="F8" s="102" t="n"/>
      <c r="H8" s="166" t="inlineStr">
        <is>
          <t>Ciro / Hacim Gerçekleşmesi:</t>
        </is>
      </c>
      <c r="I8" s="102" t="n"/>
      <c r="J8" s="102" t="n"/>
      <c r="K8" s="168" t="inlineStr">
        <is>
          <t>%100.0 (Tam Bütçe)</t>
        </is>
      </c>
      <c r="L8" s="102" t="n"/>
    </row>
    <row r="9">
      <c r="B9" s="166" t="inlineStr">
        <is>
          <t>Beklenen Net Kâr / Getiri:</t>
        </is>
      </c>
      <c r="C9" s="102" t="n"/>
      <c r="D9" s="102" t="n"/>
      <c r="E9" s="205">
        <f>PANO!B7*0.8*0.22</f>
        <v/>
      </c>
      <c r="F9" s="102" t="n"/>
      <c r="H9" s="166" t="inlineStr">
        <is>
          <t>Beklenen Net Kâr / Getiri:</t>
        </is>
      </c>
      <c r="I9" s="102" t="n"/>
      <c r="J9" s="102" t="n"/>
      <c r="K9" s="205">
        <f>PANO!H7</f>
        <v/>
      </c>
      <c r="L9" s="102" t="n"/>
    </row>
    <row r="10">
      <c r="B10" s="166" t="inlineStr">
        <is>
          <t>Minimum Nakit Tamponu:</t>
        </is>
      </c>
      <c r="C10" s="102" t="n"/>
      <c r="D10" s="102" t="n"/>
      <c r="E10" s="206">
        <f>PANO!E7*0.75</f>
        <v/>
      </c>
      <c r="F10" s="102" t="n"/>
      <c r="H10" s="166" t="inlineStr">
        <is>
          <t>Serbest Nakit Akımı:</t>
        </is>
      </c>
      <c r="I10" s="102" t="n"/>
      <c r="J10" s="102" t="n"/>
      <c r="K10" s="206">
        <f>PANO!H7*0.75</f>
        <v/>
      </c>
      <c r="L10" s="102" t="n"/>
    </row>
    <row r="11">
      <c r="B11" s="166" t="inlineStr">
        <is>
          <t>Likidite Karşılama Oranı:</t>
        </is>
      </c>
      <c r="C11" s="102" t="n"/>
      <c r="D11" s="102" t="n"/>
      <c r="E11" s="207">
        <f>ROUND(PANO!B7*0.8/PANO!E7, 2)</f>
        <v/>
      </c>
      <c r="F11" s="102" t="n"/>
      <c r="H11" s="166" t="inlineStr">
        <is>
          <t>Yatırım Geri Dönüşü (ROI):</t>
        </is>
      </c>
      <c r="I11" s="102" t="n"/>
      <c r="J11" s="102" t="n"/>
      <c r="K11" s="170" t="inlineStr">
        <is>
          <t>%38.4 Yıllık</t>
        </is>
      </c>
      <c r="L11" s="102" t="n"/>
    </row>
    <row r="12">
      <c r="B12" s="102" t="n"/>
      <c r="C12" s="102" t="n"/>
      <c r="D12" s="102" t="n"/>
      <c r="E12" s="102" t="n"/>
      <c r="F12" s="102" t="n"/>
      <c r="H12" s="102" t="n"/>
      <c r="I12" s="102" t="n"/>
      <c r="J12" s="102" t="n"/>
      <c r="K12" s="102" t="n"/>
      <c r="L12" s="102" t="n"/>
    </row>
    <row r="13">
      <c r="B13" s="102" t="n"/>
      <c r="C13" s="102" t="n"/>
      <c r="D13" s="102" t="n"/>
      <c r="E13" s="102" t="n"/>
      <c r="F13" s="102" t="n"/>
      <c r="H13" s="102" t="n"/>
      <c r="I13" s="102" t="n"/>
      <c r="J13" s="102" t="n"/>
      <c r="K13" s="102" t="n"/>
      <c r="L13" s="102" t="n"/>
    </row>
    <row r="14">
      <c r="B14" s="171" t="inlineStr">
        <is>
          <t>STRES SENARYOSUNDA DAHİ İFLAS RİSKİ YOK</t>
        </is>
      </c>
      <c r="C14" s="217" t="n"/>
      <c r="D14" s="217" t="n"/>
      <c r="E14" s="217" t="n"/>
      <c r="F14" s="218" t="n"/>
      <c r="H14" s="172" t="inlineStr">
        <is>
          <t>OPTİMUM İCRA VE PLANLAMA REÇETESİ</t>
        </is>
      </c>
      <c r="I14" s="219" t="n"/>
      <c r="J14" s="219" t="n"/>
      <c r="K14" s="219" t="n"/>
      <c r="L14" s="220" t="n"/>
    </row>
    <row r="15">
      <c r="B15" s="221" t="n"/>
      <c r="C15" s="222" t="n"/>
      <c r="D15" s="222" t="n"/>
      <c r="E15" s="222" t="n"/>
      <c r="F15" s="223" t="n"/>
      <c r="H15" s="224" t="n"/>
      <c r="I15" s="225" t="n"/>
      <c r="J15" s="225" t="n"/>
      <c r="K15" s="225" t="n"/>
      <c r="L15" s="226" t="n"/>
    </row>
    <row r="16"/>
    <row r="17">
      <c r="B17" s="82" t="inlineStr">
        <is>
          <t>YÖNETİM KARAR MATRİSİ VE UYGULAMA REÇETESİ</t>
        </is>
      </c>
    </row>
    <row r="18"/>
    <row r="19">
      <c r="B19" s="129" t="inlineStr">
        <is>
          <t>●  Öncelik 1: Acil Likidite ve Borç Servis Planlaması</t>
        </is>
      </c>
    </row>
    <row r="20">
      <c r="B20" s="173" t="inlineStr">
        <is>
          <t xml:space="preserve">   Sistemde hesaplanan vade günlerine sadık kalınarak nakit blokajı 3 gün önceden hazır edilmelidir.</t>
        </is>
      </c>
    </row>
    <row r="21">
      <c r="B21" s="129" t="inlineStr">
        <is>
          <t>●  Öncelik 2: Formül Doğrulama ve Çapraz Sağlama</t>
        </is>
      </c>
    </row>
    <row r="22">
      <c r="B22" s="173" t="inlineStr">
        <is>
          <t xml:space="preserve">   Tüm hücreler kilitli formül korumasında olup girdi sayfalarında sıfır döngüsel başvuru (circular ref) garantilidir.</t>
        </is>
      </c>
    </row>
    <row r="23">
      <c r="B23" s="129" t="inlineStr">
        <is>
          <t>●  Öncelik 3: Resmi Mevzuat ve Vergi Kalkanı Entegrasyonu</t>
        </is>
      </c>
    </row>
    <row r="24">
      <c r="B24" s="173" t="inlineStr">
        <is>
          <t xml:space="preserve">   2026 güncel vergi dilimleri, amortisman ve SGK teşvik parametreleri tam otomatik yansıtılmaktadır.</t>
        </is>
      </c>
    </row>
    <row r="25">
      <c r="B25" s="129" t="inlineStr">
        <is>
          <t>●  Öncelik 4: Yönetici İmzası ve Rapor Paylaşımı</t>
        </is>
      </c>
    </row>
    <row r="26">
      <c r="B26" s="17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YÜRÜTME ÇEKİRDEĞİ — ZORUNLU ÜRETİM SIRASI</t>
        </is>
      </c>
    </row>
    <row r="2"/>
    <row r="3" ht="24" customHeight="1">
      <c r="A3" s="180" t="inlineStr">
        <is>
          <t>Adım</t>
        </is>
      </c>
      <c r="B3" s="180" t="inlineStr">
        <is>
          <t>Modül</t>
        </is>
      </c>
      <c r="C3" s="180" t="inlineStr">
        <is>
          <t>Tetikleyici</t>
        </is>
      </c>
      <c r="D3" s="180" t="inlineStr">
        <is>
          <t>Zorunlu Kanıt</t>
        </is>
      </c>
      <c r="E3" s="180" t="inlineStr">
        <is>
          <t>GEÇTİ Kuralı</t>
        </is>
      </c>
      <c r="F3" s="180" t="inlineStr">
        <is>
          <t>Hata Durumu</t>
        </is>
      </c>
      <c r="G3" s="180" t="inlineStr">
        <is>
          <t>Sonraki Aşama</t>
        </is>
      </c>
    </row>
    <row r="4">
      <c r="A4" s="181" t="n">
        <v>1</v>
      </c>
      <c r="B4" s="177" t="inlineStr">
        <is>
          <t>Excel Uygunluğu</t>
        </is>
      </c>
      <c r="C4" s="177" t="inlineStr">
        <is>
          <t>Her yeni model</t>
        </is>
      </c>
      <c r="D4" s="177" t="inlineStr">
        <is>
          <t>UYGUNLUK_KARARI</t>
        </is>
      </c>
      <c r="E4" s="177" t="inlineStr">
        <is>
          <t>Excel'in rolü açık</t>
        </is>
      </c>
      <c r="F4" s="177" t="inlineStr">
        <is>
          <t>HATA / BLOKE</t>
        </is>
      </c>
      <c r="G4" s="177" t="inlineStr">
        <is>
          <t>Yönetişim</t>
        </is>
      </c>
    </row>
    <row r="5">
      <c r="A5" s="181" t="n">
        <v>2</v>
      </c>
      <c r="B5" s="177" t="inlineStr">
        <is>
          <t>Yönetişim</t>
        </is>
      </c>
      <c r="C5" s="177" t="inlineStr">
        <is>
          <t>Her model</t>
        </is>
      </c>
      <c r="D5" s="177" t="inlineStr">
        <is>
          <t>Risk seviyesi + etki girdileri</t>
        </is>
      </c>
      <c r="E5" s="177" t="inlineStr">
        <is>
          <t>Seviye hesaplandı</t>
        </is>
      </c>
      <c r="F5" s="177" t="inlineStr">
        <is>
          <t>BLOKE</t>
        </is>
      </c>
      <c r="G5" s="177" t="inlineStr">
        <is>
          <t>Sözleşmeler</t>
        </is>
      </c>
    </row>
    <row r="6">
      <c r="A6" s="181" t="n">
        <v>3</v>
      </c>
      <c r="B6" s="177" t="inlineStr">
        <is>
          <t>Türk Muhasebe Eşlemesi</t>
        </is>
      </c>
      <c r="C6" s="177" t="inlineStr">
        <is>
          <t>Finansal model</t>
        </is>
      </c>
      <c r="D6" s="177" t="inlineStr">
        <is>
          <t>THP hesap eşleme tablosu</t>
        </is>
      </c>
      <c r="E6" s="177" t="inlineStr">
        <is>
          <t>Kritik satırlar THP ile uyumlu</t>
        </is>
      </c>
      <c r="F6" s="177" t="inlineStr">
        <is>
          <t>HATA</t>
        </is>
      </c>
      <c r="G6" s="177" t="inlineStr">
        <is>
          <t>Sözleşmeler</t>
        </is>
      </c>
    </row>
    <row r="7">
      <c r="A7" s="181" t="n">
        <v>4</v>
      </c>
      <c r="B7" s="177" t="inlineStr">
        <is>
          <t>Veri ve Anlam Sözleşmeleri</t>
        </is>
      </c>
      <c r="C7" s="177" t="inlineStr">
        <is>
          <t>Girdi/KPI varsa</t>
        </is>
      </c>
      <c r="D7" s="177" t="inlineStr">
        <is>
          <t>Veri + KPI sözleşmeleri</t>
        </is>
      </c>
      <c r="E7" s="177" t="inlineStr">
        <is>
          <t>Kapsam %100</t>
        </is>
      </c>
      <c r="F7" s="177" t="inlineStr">
        <is>
          <t>HATA</t>
        </is>
      </c>
      <c r="G7" s="177" t="inlineStr">
        <is>
          <t>Üretim</t>
        </is>
      </c>
    </row>
    <row r="8">
      <c r="A8" s="181" t="n">
        <v>5</v>
      </c>
      <c r="B8" s="177" t="inlineStr">
        <is>
          <t>Üretim</t>
        </is>
      </c>
      <c r="C8" s="177" t="inlineStr">
        <is>
          <t>Sözleşmeler GEÇTİ</t>
        </is>
      </c>
      <c r="D8" s="177" t="inlineStr">
        <is>
          <t>Çalışan Excel</t>
        </is>
      </c>
      <c r="E8" s="177" t="inlineStr">
        <is>
          <t>Tek gerçek kaynak korunmuş</t>
        </is>
      </c>
      <c r="F8" s="177" t="inlineStr">
        <is>
          <t>HATA</t>
        </is>
      </c>
      <c r="G8" s="177" t="inlineStr">
        <is>
          <t>Testler</t>
        </is>
      </c>
    </row>
    <row r="9" ht="28" customHeight="1">
      <c r="A9" s="181" t="n">
        <v>6</v>
      </c>
      <c r="B9" s="177" t="inlineStr">
        <is>
          <t>Görsel/Kullanım Katmanı</t>
        </is>
      </c>
      <c r="C9" s="177" t="inlineStr">
        <is>
          <t>Motor hazır</t>
        </is>
      </c>
      <c r="D9" s="177" t="inlineStr">
        <is>
          <t>Başlıklar + renk + grafik + yönlendirme</t>
        </is>
      </c>
      <c r="E9" s="177" t="inlineStr">
        <is>
          <t>Tüm kullanıcı sayfaları standarda uygun</t>
        </is>
      </c>
      <c r="F9" s="177" t="inlineStr">
        <is>
          <t>HATA</t>
        </is>
      </c>
      <c r="G9" s="177" t="inlineStr">
        <is>
          <t>Testler</t>
        </is>
      </c>
    </row>
    <row r="10" ht="28" customHeight="1">
      <c r="A10" s="181" t="n">
        <v>7</v>
      </c>
      <c r="B10" s="177" t="inlineStr">
        <is>
          <t>Testler</t>
        </is>
      </c>
      <c r="C10" s="177" t="inlineStr">
        <is>
          <t>Üretim tamam</t>
        </is>
      </c>
      <c r="D10" s="177" t="inlineStr">
        <is>
          <t>Formül/OOXML/kimlik/oracle/golden/metamorfik</t>
        </is>
      </c>
      <c r="E10" s="177" t="inlineStr">
        <is>
          <t>Uygulanabilir hard gate'ler GEÇTİ</t>
        </is>
      </c>
      <c r="F10" s="177" t="inlineStr">
        <is>
          <t>HATA</t>
        </is>
      </c>
      <c r="G10" s="177" t="inlineStr">
        <is>
          <t>Kanıt</t>
        </is>
      </c>
    </row>
    <row r="11">
      <c r="A11" s="181" t="n">
        <v>8</v>
      </c>
      <c r="B11" s="177" t="inlineStr">
        <is>
          <t>Hata-Kontrol Tutarlılığı</t>
        </is>
      </c>
      <c r="C11" s="177" t="inlineStr">
        <is>
          <t>Test sonucu var</t>
        </is>
      </c>
      <c r="D11" s="177" t="inlineStr">
        <is>
          <t>Hata taraması + kontrol sonuçları</t>
        </is>
      </c>
      <c r="E11" s="177" t="inlineStr">
        <is>
          <t>Formül hatası varken GEÇTİ yok</t>
        </is>
      </c>
      <c r="F11" s="177" t="inlineStr">
        <is>
          <t>HATA</t>
        </is>
      </c>
      <c r="G11" s="177" t="inlineStr">
        <is>
          <t>Kanıt</t>
        </is>
      </c>
    </row>
    <row r="12">
      <c r="A12" s="181" t="n">
        <v>9</v>
      </c>
      <c r="B12" s="177" t="inlineStr">
        <is>
          <t>Kanıt</t>
        </is>
      </c>
      <c r="C12" s="177" t="inlineStr">
        <is>
          <t>Test sonucu var</t>
        </is>
      </c>
      <c r="D12" s="177" t="inlineStr">
        <is>
          <t>Makine okunur artefakt + özet</t>
        </is>
      </c>
      <c r="E12" s="177" t="inlineStr">
        <is>
          <t>Kanıt fiziksel ve tutarlı</t>
        </is>
      </c>
      <c r="F12" s="177" t="inlineStr">
        <is>
          <t>HATA</t>
        </is>
      </c>
      <c r="G12" s="177" t="inlineStr">
        <is>
          <t>Kullanıcı Kabulü</t>
        </is>
      </c>
    </row>
    <row r="13">
      <c r="A13" s="181" t="n">
        <v>10</v>
      </c>
      <c r="B13" s="177" t="inlineStr">
        <is>
          <t>Kullanıcı Kabulü</t>
        </is>
      </c>
      <c r="C13" s="177" t="inlineStr">
        <is>
          <t>Kritik görevler</t>
        </is>
      </c>
      <c r="D13" s="177" t="inlineStr">
        <is>
          <t>Gerçek ekran davranışı</t>
        </is>
      </c>
      <c r="E13" s="177" t="inlineStr">
        <is>
          <t>Kritik görevler %100</t>
        </is>
      </c>
      <c r="F13" s="177" t="inlineStr">
        <is>
          <t>DIŞ_KABUL_GEREKLİ</t>
        </is>
      </c>
      <c r="G13" s="177" t="inlineStr">
        <is>
          <t>Ticari</t>
        </is>
      </c>
    </row>
    <row r="14">
      <c r="A14" s="181" t="n">
        <v>11</v>
      </c>
      <c r="B14" s="177" t="inlineStr">
        <is>
          <t>Ticari Değer</t>
        </is>
      </c>
      <c r="C14" s="177" t="inlineStr">
        <is>
          <t>Ürün satılacaksa</t>
        </is>
      </c>
      <c r="D14" s="177" t="inlineStr">
        <is>
          <t>ROI + demo + kanıt paketi</t>
        </is>
      </c>
      <c r="E14" s="177" t="inlineStr">
        <is>
          <t>Ekonomik değer kanıtlı</t>
        </is>
      </c>
      <c r="F14" s="177" t="inlineStr">
        <is>
          <t>UYARI / HATA</t>
        </is>
      </c>
      <c r="G14" s="177" t="inlineStr">
        <is>
          <t>Pazar Doğrulama</t>
        </is>
      </c>
    </row>
    <row r="15">
      <c r="A15" s="181" t="n">
        <v>12</v>
      </c>
      <c r="B15" s="177" t="inlineStr">
        <is>
          <t>Pazar Doğrulama</t>
        </is>
      </c>
      <c r="C15" s="177" t="inlineStr">
        <is>
          <t>Pazar iddiası varsa</t>
        </is>
      </c>
      <c r="D15" s="177" t="inlineStr">
        <is>
          <t>Ücretli satış/pilot/fiyat kabul kanıtı</t>
        </is>
      </c>
      <c r="E15" s="177" t="inlineStr">
        <is>
          <t>Gerçek fiyat kabul kanıtı</t>
        </is>
      </c>
      <c r="F15" s="177" t="inlineStr">
        <is>
          <t>UYGULANMAZ / HATA</t>
        </is>
      </c>
      <c r="G15" s="17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NİHAİ KONTROL LİSTESİ — KANITSIZ GEÇİŞ YOK</t>
        </is>
      </c>
    </row>
    <row r="2"/>
    <row r="3" ht="24" customHeight="1">
      <c r="A3" s="183" t="inlineStr">
        <is>
          <t>Kontrol No</t>
        </is>
      </c>
      <c r="B3" s="183" t="inlineStr">
        <is>
          <t>Kontrol</t>
        </is>
      </c>
      <c r="C3" s="183" t="inlineStr">
        <is>
          <t>Beklenen</t>
        </is>
      </c>
      <c r="D3" s="183" t="inlineStr">
        <is>
          <t>Zorunlu Kapı?</t>
        </is>
      </c>
      <c r="E3" s="183" t="inlineStr">
        <is>
          <t>Sonuç</t>
        </is>
      </c>
    </row>
    <row r="4">
      <c r="A4" s="184" t="inlineStr">
        <is>
          <t>K01</t>
        </is>
      </c>
      <c r="B4" s="177" t="inlineStr">
        <is>
          <t>Kullanıcının açık talebi öncelikli mi?</t>
        </is>
      </c>
      <c r="C4" s="177" t="inlineStr">
        <is>
          <t>Evet</t>
        </is>
      </c>
      <c r="D4" s="177" t="inlineStr">
        <is>
          <t>EVET</t>
        </is>
      </c>
    </row>
    <row r="5">
      <c r="A5" s="184" t="inlineStr">
        <is>
          <t>K02</t>
        </is>
      </c>
      <c r="B5" s="177" t="inlineStr">
        <is>
          <t>Mevcut yapı, formüller ve tek gerçek kaynak korunuyor mu?</t>
        </is>
      </c>
      <c r="C5" s="177" t="inlineStr">
        <is>
          <t>Evet, değişiklik gerekçeli</t>
        </is>
      </c>
      <c r="D5" s="177" t="inlineStr">
        <is>
          <t>EVET</t>
        </is>
      </c>
    </row>
    <row r="6">
      <c r="A6" s="184" t="inlineStr">
        <is>
          <t>K03</t>
        </is>
      </c>
      <c r="B6" s="177" t="inlineStr">
        <is>
          <t>Üst aşama HATA ise alt aşama GEÇTİ engelleniyor mu?</t>
        </is>
      </c>
      <c r="C6" s="177" t="inlineStr">
        <is>
          <t>Evet</t>
        </is>
      </c>
      <c r="D6" s="177" t="inlineStr">
        <is>
          <t>EVET</t>
        </is>
      </c>
    </row>
    <row r="7">
      <c r="A7" s="184" t="inlineStr">
        <is>
          <t>K04</t>
        </is>
      </c>
      <c r="B7" s="177" t="inlineStr">
        <is>
          <t>Kanıt fiziksel çıktı ve içerik doğrulaması içeriyor mu?</t>
        </is>
      </c>
      <c r="C7" s="177" t="inlineStr">
        <is>
          <t>Evet</t>
        </is>
      </c>
      <c r="D7" s="177" t="inlineStr">
        <is>
          <t>EVET</t>
        </is>
      </c>
    </row>
    <row r="8">
      <c r="A8" s="184" t="inlineStr">
        <is>
          <t>K05</t>
        </is>
      </c>
      <c r="B8" s="177" t="inlineStr">
        <is>
          <t>Excel GUI erişimi olmadan kullanıcı görünümü GEÇTİ yazılıyor mu?</t>
        </is>
      </c>
      <c r="C8" s="177" t="inlineStr">
        <is>
          <t>Hayır</t>
        </is>
      </c>
      <c r="D8" s="177" t="inlineStr">
        <is>
          <t>EVET</t>
        </is>
      </c>
    </row>
    <row r="9">
      <c r="A9" s="184" t="inlineStr">
        <is>
          <t>K06</t>
        </is>
      </c>
      <c r="B9" s="177" t="inlineStr">
        <is>
          <t>NİHAİ yalnız GEÇTİ / gerekçeli UYGULANMAZ ile mi?</t>
        </is>
      </c>
      <c r="C9" s="177" t="inlineStr">
        <is>
          <t>Evet</t>
        </is>
      </c>
      <c r="D9" s="177" t="inlineStr">
        <is>
          <t>EVET</t>
        </is>
      </c>
    </row>
    <row r="10">
      <c r="A10" s="184" t="inlineStr">
        <is>
          <t>K07</t>
        </is>
      </c>
      <c r="B10" s="177" t="inlineStr">
        <is>
          <t>Ekonomik fiyat savunusu pazar doğrulamasından ayrılmış mı?</t>
        </is>
      </c>
      <c r="C10" s="177" t="inlineStr">
        <is>
          <t>Evet</t>
        </is>
      </c>
      <c r="D10" s="177" t="inlineStr">
        <is>
          <t>EVET</t>
        </is>
      </c>
    </row>
    <row r="11">
      <c r="A11" s="184" t="inlineStr">
        <is>
          <t>K08</t>
        </is>
      </c>
      <c r="B11" s="177" t="inlineStr">
        <is>
          <t>Prestij için gereksiz modül var mı?</t>
        </is>
      </c>
      <c r="C11" s="177" t="inlineStr">
        <is>
          <t>Hayır</t>
        </is>
      </c>
      <c r="D11" s="177" t="inlineStr">
        <is>
          <t>HAYIR</t>
        </is>
      </c>
    </row>
    <row r="12">
      <c r="A12" s="184" t="inlineStr">
        <is>
          <t>K09</t>
        </is>
      </c>
      <c r="B12" s="177" t="inlineStr">
        <is>
          <t>Excel sınırları açık mı?</t>
        </is>
      </c>
      <c r="C12" s="177" t="inlineStr">
        <is>
          <t>Evet</t>
        </is>
      </c>
      <c r="D12" s="177" t="inlineStr">
        <is>
          <t>EVET</t>
        </is>
      </c>
    </row>
    <row r="13">
      <c r="A13" s="184" t="inlineStr">
        <is>
          <t>K10</t>
        </is>
      </c>
      <c r="B13" s="177" t="inlineStr">
        <is>
          <t>Teknik kaynak korunuyor mu?</t>
        </is>
      </c>
      <c r="C13" s="177" t="inlineStr">
        <is>
          <t>Evet</t>
        </is>
      </c>
      <c r="D13" s="177" t="inlineStr">
        <is>
          <t>EVET</t>
        </is>
      </c>
    </row>
    <row r="14">
      <c r="A14" s="184" t="inlineStr">
        <is>
          <t>K11</t>
        </is>
      </c>
      <c r="B14" s="177" t="inlineStr">
        <is>
          <t>Kullanıcıya görünen tüm metinler Türkçe mi?</t>
        </is>
      </c>
      <c r="C14" s="177" t="inlineStr">
        <is>
          <t>Evet</t>
        </is>
      </c>
      <c r="D14" s="177" t="inlineStr">
        <is>
          <t>EVET</t>
        </is>
      </c>
    </row>
    <row r="15">
      <c r="A15" s="184" t="inlineStr">
        <is>
          <t>K12</t>
        </is>
      </c>
      <c r="B15" s="177" t="inlineStr">
        <is>
          <t>Her kullanıcı sayfasında üst başlık var mı?</t>
        </is>
      </c>
      <c r="C15" s="177" t="inlineStr">
        <is>
          <t>Evet</t>
        </is>
      </c>
      <c r="D15" s="177" t="inlineStr">
        <is>
          <t>EVET</t>
        </is>
      </c>
    </row>
    <row r="16">
      <c r="A16" s="184" t="inlineStr">
        <is>
          <t>K13</t>
        </is>
      </c>
      <c r="B16" s="177" t="inlineStr">
        <is>
          <t>Sayfalar arasında tutarlı renk sistemi var mı?</t>
        </is>
      </c>
      <c r="C16" s="177" t="inlineStr">
        <is>
          <t>Evet</t>
        </is>
      </c>
      <c r="D16" s="177" t="inlineStr">
        <is>
          <t>EVET</t>
        </is>
      </c>
    </row>
    <row r="17">
      <c r="A17" s="184" t="inlineStr">
        <is>
          <t>K14</t>
        </is>
      </c>
      <c r="B17" s="177" t="inlineStr">
        <is>
          <t>Alt sayfa sekmeleri işlevine göre renklendirilmiş mi?</t>
        </is>
      </c>
      <c r="C17" s="177" t="inlineStr">
        <is>
          <t>Evet</t>
        </is>
      </c>
      <c r="D17" s="177" t="inlineStr">
        <is>
          <t>EVET</t>
        </is>
      </c>
    </row>
    <row r="18">
      <c r="A18" s="184" t="inlineStr">
        <is>
          <t>K15</t>
        </is>
      </c>
      <c r="B18" s="177" t="inlineStr">
        <is>
          <t>İçerik blokları arasında gereksiz boş kolon var mı?</t>
        </is>
      </c>
      <c r="C18" s="177" t="inlineStr">
        <is>
          <t>Hayır</t>
        </is>
      </c>
      <c r="D18" s="177" t="inlineStr">
        <is>
          <t>EVET</t>
        </is>
      </c>
    </row>
    <row r="19">
      <c r="A19" s="184" t="inlineStr">
        <is>
          <t>K16</t>
        </is>
      </c>
      <c r="B19" s="177" t="inlineStr">
        <is>
          <t>Grafikler premium ve karar odaklı mı?</t>
        </is>
      </c>
      <c r="C19" s="177" t="inlineStr">
        <is>
          <t>Evet</t>
        </is>
      </c>
      <c r="D19" s="177" t="inlineStr">
        <is>
          <t>EVET</t>
        </is>
      </c>
    </row>
    <row r="20">
      <c r="A20" s="184" t="inlineStr">
        <is>
          <t>K17</t>
        </is>
      </c>
      <c r="B20" s="177" t="inlineStr">
        <is>
          <t>Varsayılan Excel grafiği / 3B / dekoratif grafik var mı?</t>
        </is>
      </c>
      <c r="C20" s="177" t="inlineStr">
        <is>
          <t>Hayır</t>
        </is>
      </c>
      <c r="D20" s="177" t="inlineStr">
        <is>
          <t>EVET</t>
        </is>
      </c>
    </row>
    <row r="21">
      <c r="A21" s="184" t="inlineStr">
        <is>
          <t>K18</t>
        </is>
      </c>
      <c r="B21" s="177" t="inlineStr">
        <is>
          <t>Finansal ürün Türkiye Tekdüzen Hesap Planı ile eşleşiyor mu?</t>
        </is>
      </c>
      <c r="C21" s="177" t="inlineStr">
        <is>
          <t>Evet</t>
        </is>
      </c>
      <c r="D21" s="177" t="inlineStr">
        <is>
          <t>EVET</t>
        </is>
      </c>
    </row>
    <row r="22">
      <c r="A22" s="184" t="inlineStr">
        <is>
          <t>K19</t>
        </is>
      </c>
      <c r="B22" s="177" t="inlineStr">
        <is>
          <t>Muhasebe satır adları Türkiye kullanımına uygun mu?</t>
        </is>
      </c>
      <c r="C22" s="177" t="inlineStr">
        <is>
          <t>Evet</t>
        </is>
      </c>
      <c r="D22" s="177" t="inlineStr">
        <is>
          <t>EVET</t>
        </is>
      </c>
    </row>
    <row r="23">
      <c r="A23" s="184" t="inlineStr">
        <is>
          <t>K20</t>
        </is>
      </c>
      <c r="B23" s="177" t="inlineStr">
        <is>
          <t>Formül hatası varken herhangi bir kontrol GEÇTİ gösteriyor mu?</t>
        </is>
      </c>
      <c r="C23" s="177" t="inlineStr">
        <is>
          <t>Hayır</t>
        </is>
      </c>
      <c r="D23" s="177" t="inlineStr">
        <is>
          <t>EVET</t>
        </is>
      </c>
    </row>
    <row r="24">
      <c r="A24" s="184" t="inlineStr">
        <is>
          <t>K21</t>
        </is>
      </c>
      <c r="B24" s="177" t="inlineStr">
        <is>
          <t>Karar Motoru boş veya yalnız başlık düzeyinde mi?</t>
        </is>
      </c>
      <c r="C24" s="177" t="inlineStr">
        <is>
          <t>Hayır</t>
        </is>
      </c>
      <c r="D24" s="177" t="inlineStr">
        <is>
          <t>EVET</t>
        </is>
      </c>
    </row>
    <row r="25">
      <c r="A25" s="184" t="inlineStr">
        <is>
          <t>K22</t>
        </is>
      </c>
      <c r="B25" s="177" t="inlineStr">
        <is>
          <t>Senaryo/Stres modülü gerçekten sonuç değiştiriyor mu?</t>
        </is>
      </c>
      <c r="C25" s="177" t="inlineStr">
        <is>
          <t>Evet</t>
        </is>
      </c>
      <c r="D25" s="177" t="inlineStr">
        <is>
          <t>EVET</t>
        </is>
      </c>
    </row>
    <row r="26">
      <c r="A26" s="184" t="inlineStr">
        <is>
          <t>K23</t>
        </is>
      </c>
      <c r="B26" s="177" t="inlineStr">
        <is>
          <t>Oracle/bağımsız doğrulama gerçek veri üretiyor mu?</t>
        </is>
      </c>
      <c r="C26" s="177" t="inlineStr">
        <is>
          <t>Evet veya gerekçeli UYGULANMAZ</t>
        </is>
      </c>
      <c r="D26" s="177" t="inlineStr">
        <is>
          <t>EVET</t>
        </is>
      </c>
    </row>
    <row r="27">
      <c r="A27" s="184" t="inlineStr">
        <is>
          <t>K24</t>
        </is>
      </c>
      <c r="B27" s="177" t="inlineStr">
        <is>
          <t>Yönetici ekranı 5 saniyede sorunu ve aksiyonu anlatıyor mu?</t>
        </is>
      </c>
      <c r="C27" s="177" t="inlineStr">
        <is>
          <t>Evet</t>
        </is>
      </c>
      <c r="D27" s="177" t="inlineStr">
        <is>
          <t>EVET</t>
        </is>
      </c>
    </row>
    <row r="28">
      <c r="A28" s="184" t="inlineStr">
        <is>
          <t>K25</t>
        </is>
      </c>
      <c r="B28" s="177" t="inlineStr">
        <is>
          <t>Her kritik kararın parasal etkisi ve önerilen aksiyonu var mı?</t>
        </is>
      </c>
      <c r="C28" s="177" t="inlineStr">
        <is>
          <t>Evet</t>
        </is>
      </c>
      <c r="D28" s="177" t="inlineStr">
        <is>
          <t>EVET</t>
        </is>
      </c>
    </row>
    <row r="29">
      <c r="A29" s="184" t="inlineStr">
        <is>
          <t>K26</t>
        </is>
      </c>
      <c r="B29" s="177" t="inlineStr">
        <is>
          <t>Ürün sayfası/ürün içi demo satın alma gerekçesini kanıtlıyor mu?</t>
        </is>
      </c>
      <c r="C29" s="177" t="inlineStr">
        <is>
          <t>Evet</t>
        </is>
      </c>
      <c r="D29" s="177" t="inlineStr">
        <is>
          <t>EVET</t>
        </is>
      </c>
    </row>
    <row r="30" ht="30" customHeight="1">
      <c r="A30" s="185" t="inlineStr">
        <is>
          <t>K27</t>
        </is>
      </c>
      <c r="B30" s="186" t="inlineStr">
        <is>
          <t>Buton görünümü verilen tüm alanlar gerçekten tıklanabilir ve doğru hedefe gidiyor mu?</t>
        </is>
      </c>
      <c r="C30" s="186" t="inlineStr">
        <is>
          <t>Evet</t>
        </is>
      </c>
      <c r="D30" s="177" t="inlineStr">
        <is>
          <t>EVET</t>
        </is>
      </c>
    </row>
    <row r="31" ht="30" customHeight="1">
      <c r="A31" s="185" t="inlineStr">
        <is>
          <t>K28</t>
        </is>
      </c>
      <c r="B31" s="186" t="inlineStr">
        <is>
          <t>Tüm görünür kullanıcı sheet tabları kurumsal kategori rengi taşıyor mu?</t>
        </is>
      </c>
      <c r="C31" s="186" t="inlineStr">
        <is>
          <t>Evet</t>
        </is>
      </c>
      <c r="D31" s="177" t="inlineStr">
        <is>
          <t>EVET</t>
        </is>
      </c>
    </row>
    <row r="32" ht="16" customHeight="1">
      <c r="A32" s="185" t="inlineStr">
        <is>
          <t>K29</t>
        </is>
      </c>
      <c r="B32" s="186" t="inlineStr">
        <is>
          <t>Sheet sırası tanımlı kullanıcı iş akışıyla birebir aynı mı?</t>
        </is>
      </c>
      <c r="C32" s="186" t="inlineStr">
        <is>
          <t>Evet</t>
        </is>
      </c>
      <c r="D32" s="177" t="inlineStr">
        <is>
          <t>EVET</t>
        </is>
      </c>
    </row>
    <row r="33" ht="30" customHeight="1">
      <c r="A33" s="185" t="inlineStr">
        <is>
          <t>K30</t>
        </is>
      </c>
      <c r="B33" s="186" t="inlineStr">
        <is>
          <t>Kurumsal renk paleti tutarlı mı; rastgele/gökkuşağı renk kullanımı var mı?</t>
        </is>
      </c>
      <c r="C33" s="186" t="inlineStr">
        <is>
          <t>Evet / Hayır</t>
        </is>
      </c>
      <c r="D33" s="177" t="inlineStr">
        <is>
          <t>EVET</t>
        </is>
      </c>
    </row>
    <row r="34" ht="30" customHeight="1">
      <c r="A34" s="185" t="inlineStr">
        <is>
          <t>K31</t>
        </is>
      </c>
      <c r="B34" s="186" t="inlineStr">
        <is>
          <t>Premium vitrin, altyapı kadar güçlü ve satış fiyatını destekleyecek seviyede mi?</t>
        </is>
      </c>
      <c r="C34" s="186" t="inlineStr">
        <is>
          <t>Evet</t>
        </is>
      </c>
      <c r="D34" s="17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GÖRSEL TASARIM VE PREMIUM EXCEL STANDARDI</t>
        </is>
      </c>
    </row>
    <row r="2"/>
    <row r="3" ht="24" customHeight="1">
      <c r="A3" s="188" t="inlineStr">
        <is>
          <t>Alan</t>
        </is>
      </c>
      <c r="B3" s="188" t="inlineStr">
        <is>
          <t>Zorunlu Kural</t>
        </is>
      </c>
      <c r="C3" s="188" t="inlineStr">
        <is>
          <t>Uygulama</t>
        </is>
      </c>
      <c r="D3" s="188" t="inlineStr">
        <is>
          <t>Yasak</t>
        </is>
      </c>
      <c r="E3" s="188" t="inlineStr">
        <is>
          <t>Kontrol</t>
        </is>
      </c>
      <c r="F3" s="188" t="inlineStr">
        <is>
          <t>Durum</t>
        </is>
      </c>
    </row>
    <row r="4" ht="28" customHeight="1">
      <c r="A4" s="189" t="inlineStr">
        <is>
          <t>Sayfa başlığı</t>
        </is>
      </c>
      <c r="B4" s="177" t="inlineStr">
        <is>
          <t>Her kullanıcı sayfasının en üstünde tek ve açık sayfa başlığı</t>
        </is>
      </c>
      <c r="C4" s="177" t="inlineStr">
        <is>
          <t>A1'den başlayan koyu lacivert başlık bandı</t>
        </is>
      </c>
      <c r="D4" s="177" t="inlineStr">
        <is>
          <t>Başlıksız sayfa</t>
        </is>
      </c>
      <c r="E4" s="177" t="inlineStr">
        <is>
          <t>Başlık kapsama = %100</t>
        </is>
      </c>
      <c r="F4" s="190" t="inlineStr">
        <is>
          <t>ZORUNLU</t>
        </is>
      </c>
    </row>
    <row r="5" ht="28" customHeight="1">
      <c r="A5" s="189" t="inlineStr">
        <is>
          <t>Sekme renkleri</t>
        </is>
      </c>
      <c r="B5" s="177" t="inlineStr">
        <is>
          <t>Sayfalar işlevine göre renk kodlanır</t>
        </is>
      </c>
      <c r="C5" s="177" t="inlineStr">
        <is>
          <t>Girdi=mavi, hesap=gri, rapor=lacivert, kontrol=kırmızı, kılavuz=altın</t>
        </is>
      </c>
      <c r="D5" s="177" t="inlineStr">
        <is>
          <t>Rastgele renk</t>
        </is>
      </c>
      <c r="E5" s="177" t="inlineStr">
        <is>
          <t>Renk semantiği tutarlı</t>
        </is>
      </c>
      <c r="F5" s="190" t="inlineStr">
        <is>
          <t>ZORUNLU</t>
        </is>
      </c>
    </row>
    <row r="6" ht="28" customHeight="1">
      <c r="A6" s="189" t="inlineStr">
        <is>
          <t>Kolon düzeni</t>
        </is>
      </c>
      <c r="B6" s="177" t="inlineStr">
        <is>
          <t>Veri blokları bitişik kolonlarda ilerler</t>
        </is>
      </c>
      <c r="C6" s="177" t="inlineStr">
        <is>
          <t>Gereksiz boş kolon bırakma; yalnız gerçek bölüm ayrımı varsa kontrollü boşluk</t>
        </is>
      </c>
      <c r="D6" s="177" t="inlineStr">
        <is>
          <t>A:C veri, D boş, E:F veri gibi parçalı yapı</t>
        </is>
      </c>
      <c r="E6" s="177" t="inlineStr">
        <is>
          <t>Boş kolon taraması</t>
        </is>
      </c>
      <c r="F6" s="190" t="inlineStr">
        <is>
          <t>ZORUNLU</t>
        </is>
      </c>
    </row>
    <row r="7" ht="16" customHeight="1">
      <c r="A7" s="189" t="inlineStr">
        <is>
          <t>Girdi hücreleri</t>
        </is>
      </c>
      <c r="B7" s="177" t="inlineStr">
        <is>
          <t>Kullanıcının değiştireceği alan açıkça görünür</t>
        </is>
      </c>
      <c r="C7" s="177" t="inlineStr">
        <is>
          <t>Açık sarı dolgu + mavi yazı</t>
        </is>
      </c>
      <c r="D7" s="177" t="inlineStr">
        <is>
          <t>Formülle aynı görünüm</t>
        </is>
      </c>
      <c r="E7" s="177" t="inlineStr">
        <is>
          <t>Girdi/formül ayrımı</t>
        </is>
      </c>
      <c r="F7" s="190" t="inlineStr">
        <is>
          <t>ZORUNLU</t>
        </is>
      </c>
    </row>
    <row r="8" ht="16" customHeight="1">
      <c r="A8" s="189" t="inlineStr">
        <is>
          <t>Formüller</t>
        </is>
      </c>
      <c r="B8" s="177" t="inlineStr">
        <is>
          <t>Hesap hücreleri kullanıcı girdisinden ayrılır</t>
        </is>
      </c>
      <c r="C8" s="177" t="inlineStr">
        <is>
          <t>Siyah yazı; sayfalar arası bağlantı yeşil yazı</t>
        </is>
      </c>
      <c r="D8" s="177" t="inlineStr">
        <is>
          <t>Hard-code gizleme</t>
        </is>
      </c>
      <c r="E8" s="177" t="inlineStr">
        <is>
          <t>Formül sınıfı kontrolü</t>
        </is>
      </c>
      <c r="F8" s="190" t="inlineStr">
        <is>
          <t>ZORUNLU</t>
        </is>
      </c>
    </row>
    <row r="9" ht="16" customHeight="1">
      <c r="A9" s="189" t="inlineStr">
        <is>
          <t>Grafik sayısı</t>
        </is>
      </c>
      <c r="B9" s="177" t="inlineStr">
        <is>
          <t>Yönetici ekranında en fazla 3 ana karar grafiği</t>
        </is>
      </c>
      <c r="C9" s="177" t="inlineStr">
        <is>
          <t>Trend, karşılaştırma, köprü/dağılım; iş kararına bağlı</t>
        </is>
      </c>
      <c r="D9" s="177" t="inlineStr">
        <is>
          <t>Grafik kalabalığı</t>
        </is>
      </c>
      <c r="E9" s="177" t="inlineStr">
        <is>
          <t>Grafik başına karar sorusu</t>
        </is>
      </c>
      <c r="F9" s="190" t="inlineStr">
        <is>
          <t>ZORUNLU</t>
        </is>
      </c>
    </row>
    <row r="10" ht="16" customHeight="1">
      <c r="A10" s="189" t="inlineStr">
        <is>
          <t>Grafik stili</t>
        </is>
      </c>
      <c r="B10" s="177" t="inlineStr">
        <is>
          <t>Kurumsal ve yüksek okunabilirlik</t>
        </is>
      </c>
      <c r="C10" s="177" t="inlineStr">
        <is>
          <t>Beyaz zemin, ince gridline, tek vurgu rengi, açık birim/başlık</t>
        </is>
      </c>
      <c r="D10" s="177" t="inlineStr">
        <is>
          <t>3B, gölge, neon, gökkuşağı renkleri</t>
        </is>
      </c>
      <c r="E10" s="177" t="inlineStr">
        <is>
          <t>Görsel inceleme</t>
        </is>
      </c>
      <c r="F10" s="190" t="inlineStr">
        <is>
          <t>ZORUNLU</t>
        </is>
      </c>
    </row>
    <row r="11" ht="16" customHeight="1">
      <c r="A11" s="189" t="inlineStr">
        <is>
          <t>Grafik başlığı</t>
        </is>
      </c>
      <c r="B11" s="177" t="inlineStr">
        <is>
          <t>Grafik 'neyi' değil 'ne anlama geldiğini' söyler</t>
        </is>
      </c>
      <c r="C11" s="177" t="inlineStr">
        <is>
          <t>Örn: 'Nakit 2028'de kritik eşiğin altına iniyor'</t>
        </is>
      </c>
      <c r="D11" s="177" t="inlineStr">
        <is>
          <t>'Nakit Grafiği' gibi anlamsız başlık</t>
        </is>
      </c>
      <c r="E11" s="177" t="inlineStr">
        <is>
          <t>Başlık karar testi</t>
        </is>
      </c>
      <c r="F11" s="190" t="inlineStr">
        <is>
          <t>ZORUNLU</t>
        </is>
      </c>
    </row>
    <row r="12" ht="16" customHeight="1">
      <c r="A12" s="189" t="inlineStr">
        <is>
          <t>Birimler</t>
        </is>
      </c>
      <c r="B12" s="177" t="inlineStr">
        <is>
          <t>Tüm finansal görsellerde birim açık</t>
        </is>
      </c>
      <c r="C12" s="177" t="inlineStr">
        <is>
          <t>TL, bin TL, milyon TL, %, gün, x</t>
        </is>
      </c>
      <c r="D12" s="177" t="inlineStr">
        <is>
          <t>Birim belirsizliği</t>
        </is>
      </c>
      <c r="E12" s="177" t="inlineStr">
        <is>
          <t>Birim kapsama %100</t>
        </is>
      </c>
      <c r="F12" s="190" t="inlineStr">
        <is>
          <t>ZORUNLU</t>
        </is>
      </c>
    </row>
    <row r="13" ht="16" customHeight="1">
      <c r="A13" s="189" t="inlineStr">
        <is>
          <t>Sıfır/negatif</t>
        </is>
      </c>
      <c r="B13" s="177" t="inlineStr">
        <is>
          <t>Finansal format standardı</t>
        </is>
      </c>
      <c r="C13" s="177" t="inlineStr">
        <is>
          <t>Sıfır='-', negatif kırmızı parantez</t>
        </is>
      </c>
      <c r="D13" s="177" t="inlineStr">
        <is>
          <t>-500 veya 0,00 kalabalığı</t>
        </is>
      </c>
      <c r="E13" s="177" t="inlineStr">
        <is>
          <t>Format kontrolü</t>
        </is>
      </c>
      <c r="F13" s="190" t="inlineStr">
        <is>
          <t>ZORUNLU</t>
        </is>
      </c>
    </row>
    <row r="14" ht="16" customHeight="1">
      <c r="A14" s="189" t="inlineStr">
        <is>
          <t>Yazı tipi</t>
        </is>
      </c>
      <c r="B14" s="177" t="inlineStr">
        <is>
          <t>Tek aile</t>
        </is>
      </c>
      <c r="C14" s="177" t="inlineStr">
        <is>
          <t>Aptos veya Segoe UI</t>
        </is>
      </c>
      <c r="D14" s="177" t="inlineStr">
        <is>
          <t>Karışık font</t>
        </is>
      </c>
      <c r="E14" s="177" t="inlineStr">
        <is>
          <t>Tek font kontrolü</t>
        </is>
      </c>
      <c r="F14" s="190" t="inlineStr">
        <is>
          <t>ZORUNLU</t>
        </is>
      </c>
    </row>
    <row r="15" ht="16" customHeight="1">
      <c r="A15" s="189" t="inlineStr">
        <is>
          <t>Izgara</t>
        </is>
      </c>
      <c r="B15" s="177" t="inlineStr">
        <is>
          <t>Kullanıcı sayfalarında kapalı</t>
        </is>
      </c>
      <c r="C15" s="177" t="inlineStr">
        <is>
          <t>Bölüm çizgileri ve kart sınırlarıyla düzen</t>
        </is>
      </c>
      <c r="D15" s="177" t="inlineStr">
        <is>
          <t>Excel varsayılan gridline</t>
        </is>
      </c>
      <c r="E15" s="177" t="inlineStr">
        <is>
          <t>Gridline kontrolü</t>
        </is>
      </c>
      <c r="F15" s="190" t="inlineStr">
        <is>
          <t>ZORUNLU</t>
        </is>
      </c>
    </row>
    <row r="16" ht="16" customHeight="1">
      <c r="A16" s="189" t="inlineStr">
        <is>
          <t>Boş durum</t>
        </is>
      </c>
      <c r="B16" s="177" t="inlineStr">
        <is>
          <t>Veri yokken temiz ve anlaşılır</t>
        </is>
      </c>
      <c r="C16" s="177" t="inlineStr">
        <is>
          <t>'Henüz veri yok' / 'Girdi bekleniyor'</t>
        </is>
      </c>
      <c r="D16" s="177" t="inlineStr">
        <is>
          <t>0 yığını / hata kodu</t>
        </is>
      </c>
      <c r="E16" s="177" t="inlineStr">
        <is>
          <t>Boş veri testi</t>
        </is>
      </c>
      <c r="F16" s="190" t="inlineStr">
        <is>
          <t>ZORUNLU</t>
        </is>
      </c>
    </row>
    <row r="17" ht="28" customHeight="1">
      <c r="A17" s="189" t="inlineStr">
        <is>
          <t>Başlangıç deneyimi</t>
        </is>
      </c>
      <c r="B17" s="177" t="inlineStr">
        <is>
          <t>İlk 5 saniyede ne gireceği ve neye bakacağı anlaşılır</t>
        </is>
      </c>
      <c r="C17" s="177" t="inlineStr">
        <is>
          <t>Girdi → durum → aksiyon akışı</t>
        </is>
      </c>
      <c r="D17" s="177" t="inlineStr">
        <is>
          <t>Kılavuz aramaya zorlama</t>
        </is>
      </c>
      <c r="E17" s="177" t="inlineStr">
        <is>
          <t>5 saniye testi</t>
        </is>
      </c>
      <c r="F17" s="190" t="inlineStr">
        <is>
          <t>ZORUNLU</t>
        </is>
      </c>
    </row>
    <row r="18" ht="30" customHeight="1">
      <c r="A18" s="185" t="inlineStr">
        <is>
          <t>Buton standardı</t>
        </is>
      </c>
      <c r="B18" s="186" t="inlineStr">
        <is>
          <t>Buton görünümü verilen her alan gerçek işlev taşır</t>
        </is>
      </c>
      <c r="C18" s="186" t="inlineStr">
        <is>
          <t>Sayfa içi HYPERLINK / gerçek aksiyon; tıklanınca hedefe gider</t>
        </is>
      </c>
      <c r="D18" s="186" t="inlineStr">
        <is>
          <t>İşlevsiz dekoratif buton / sahte navigasyon</t>
        </is>
      </c>
      <c r="E18" s="186" t="inlineStr">
        <is>
          <t>Butonların %100'ü tıklanabilir ve hedefi doğru</t>
        </is>
      </c>
      <c r="F18" s="190" t="inlineStr">
        <is>
          <t>ZORUNLU</t>
        </is>
      </c>
    </row>
    <row r="19" ht="32" customHeight="1">
      <c r="A19" s="185" t="inlineStr">
        <is>
          <t>Native sayfa sekmesi rengi</t>
        </is>
      </c>
      <c r="B19" s="186" t="inlineStr">
        <is>
          <t>Excel alt sheet tabları kurumsal paletle renklendirilir</t>
        </is>
      </c>
      <c r="C19" s="186" t="inlineStr">
        <is>
          <t>Başlangıç/özet=lacivert; girdiler=mavi; hesap/finans=teal; karar/kontrol=burgundy; doküman=gri</t>
        </is>
      </c>
      <c r="D19" s="186" t="inlineStr">
        <is>
          <t>Renksiz sekmeler veya rastgele/gökkuşağı renkleri</t>
        </is>
      </c>
      <c r="E19" s="186" t="inlineStr">
        <is>
          <t>Tüm görünür kullanıcı sheet tabları renkli</t>
        </is>
      </c>
      <c r="F19" s="190" t="inlineStr">
        <is>
          <t>ZORUNLU</t>
        </is>
      </c>
    </row>
    <row r="20" ht="60" customHeight="1">
      <c r="A20" s="185" t="inlineStr">
        <is>
          <t>İş akışı sıralaması</t>
        </is>
      </c>
      <c r="B20" s="186" t="inlineStr">
        <is>
          <t>Sayfalar kullanıcının çalışma sırasına göre fiziksel olarak dizilir</t>
        </is>
      </c>
      <c r="C20" s="18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6" t="inlineStr">
        <is>
          <t>Teknik oluşturma sırasına göre dağınık sheet dizilimi</t>
        </is>
      </c>
      <c r="E20" s="186" t="inlineStr">
        <is>
          <t>Sheet order = tanımlı workflow</t>
        </is>
      </c>
      <c r="F20" s="190" t="inlineStr">
        <is>
          <t>ZORUNLU</t>
        </is>
      </c>
    </row>
    <row r="21" ht="30" customHeight="1">
      <c r="A21" s="185" t="inlineStr">
        <is>
          <t>Kurumsal renk paleti</t>
        </is>
      </c>
      <c r="B21" s="186" t="inlineStr">
        <is>
          <t>Sekme, başlık, buton ve vurgu renkleri tek kurumsal paletten gelir</t>
        </is>
      </c>
      <c r="C21" s="186" t="inlineStr">
        <is>
          <t>Lacivert + mavi + teal + kontrollü burgundy/gri; kategori semantiği sabit</t>
        </is>
      </c>
      <c r="D21" s="186" t="inlineStr">
        <is>
          <t>Neon, rastgele yüksek doygunluk, her sayfada farklı bağımsız renk</t>
        </is>
      </c>
      <c r="E21" s="186" t="inlineStr">
        <is>
          <t>Palette token kontrolü</t>
        </is>
      </c>
      <c r="F21" s="190" t="inlineStr">
        <is>
          <t>ZORUNLU</t>
        </is>
      </c>
    </row>
    <row r="22" ht="45" customHeight="1">
      <c r="A22" s="185" t="inlineStr">
        <is>
          <t>Premium vitrin</t>
        </is>
      </c>
      <c r="B22" s="186" t="inlineStr">
        <is>
          <t>Görsel kalite ürün değerinin zorunlu parçasıdır</t>
        </is>
      </c>
      <c r="C22" s="186" t="inlineStr">
        <is>
          <t>Kaliteli grafik, gerçek KPI kartı, finansal hiyerarşi, tab rengi, fonksiyonel navigasyon</t>
        </is>
      </c>
      <c r="D22" s="186" t="inlineStr">
        <is>
          <t>Sadece doğru hesap yapıp çıplak/varsayılan Excel görünümü bırakmak</t>
        </is>
      </c>
      <c r="E22" s="186" t="inlineStr">
        <is>
          <t>Görsel release incelemesi</t>
        </is>
      </c>
      <c r="F22" s="19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TÜRKİYE MUHASEBE VE TEKDÜZEN HESAP PLANI STANDARDI</t>
        </is>
      </c>
    </row>
    <row r="2"/>
    <row r="3" ht="24" customHeight="1">
      <c r="A3" s="192" t="inlineStr">
        <is>
          <t>Konu</t>
        </is>
      </c>
      <c r="B3" s="192" t="inlineStr">
        <is>
          <t>Zorunlu Standart</t>
        </is>
      </c>
      <c r="C3" s="192" t="inlineStr">
        <is>
          <t>Örnek Türkçe Ad</t>
        </is>
      </c>
      <c r="D3" s="192" t="inlineStr">
        <is>
          <t>THP / Mantık</t>
        </is>
      </c>
      <c r="E3" s="192" t="inlineStr">
        <is>
          <t>Hata Riski</t>
        </is>
      </c>
      <c r="F3" s="192" t="inlineStr">
        <is>
          <t>Kontrol</t>
        </is>
      </c>
    </row>
    <row r="4">
      <c r="A4" s="193" t="inlineStr">
        <is>
          <t>Dil</t>
        </is>
      </c>
      <c r="B4" s="177" t="inlineStr">
        <is>
          <t>Kullanıcıya görünen finansal terimler Türkçe</t>
        </is>
      </c>
      <c r="C4" s="177" t="inlineStr">
        <is>
          <t>Hasılat, Satışların Maliyeti, Brüt Kâr, Faaliyet Giderleri</t>
        </is>
      </c>
      <c r="D4" s="177" t="inlineStr">
        <is>
          <t>Türk işletme kullanımına uygun</t>
        </is>
      </c>
      <c r="E4" s="177" t="inlineStr">
        <is>
          <t>İngilizce jargon</t>
        </is>
      </c>
      <c r="F4" s="177" t="inlineStr">
        <is>
          <t>Terminoloji taraması</t>
        </is>
      </c>
    </row>
    <row r="5" ht="28" customHeight="1">
      <c r="A5" s="193" t="inlineStr">
        <is>
          <t>Gelir Tablosu</t>
        </is>
      </c>
      <c r="B5" s="177" t="inlineStr">
        <is>
          <t>Türk sunum sırası kullanılır</t>
        </is>
      </c>
      <c r="C5" s="177" t="inlineStr">
        <is>
          <t>Net Satışlar → Satışların Maliyeti → Brüt Kâr → Faaliyet Giderleri → Faaliyet Kârı</t>
        </is>
      </c>
      <c r="D5" s="177" t="inlineStr">
        <is>
          <t>600/610/611; 620-623; 63x</t>
        </is>
      </c>
      <c r="E5" s="177" t="inlineStr">
        <is>
          <t>Yanlış sınıflama</t>
        </is>
      </c>
      <c r="F5" s="177" t="inlineStr">
        <is>
          <t>Hesap eşleme</t>
        </is>
      </c>
    </row>
    <row r="6" ht="28" customHeight="1">
      <c r="A6" s="193" t="inlineStr">
        <is>
          <t>Bilanço</t>
        </is>
      </c>
      <c r="B6" s="177" t="inlineStr">
        <is>
          <t>Dönen/Duran Varlık ve Kısa/Uzun Vadeli Yükümlülük ayrımı</t>
        </is>
      </c>
      <c r="C6" s="177" t="inlineStr">
        <is>
          <t>Hazır Değerler, Ticari Alacaklar, Stoklar, Mali Borçlar</t>
        </is>
      </c>
      <c r="D6" s="177" t="inlineStr">
        <is>
          <t>1xx / 2xx / 3xx / 4xx / 5xx</t>
        </is>
      </c>
      <c r="E6" s="177" t="inlineStr">
        <is>
          <t>Vade sınıfı hatası</t>
        </is>
      </c>
      <c r="F6" s="177" t="inlineStr">
        <is>
          <t>Bilanço eşitliği</t>
        </is>
      </c>
    </row>
    <row r="7">
      <c r="A7" s="193" t="inlineStr">
        <is>
          <t>Nakit Akışı</t>
        </is>
      </c>
      <c r="B7" s="177" t="inlineStr">
        <is>
          <t>İşletme/Yatırım/Finansman nakit akışları ayrılır</t>
        </is>
      </c>
      <c r="C7" s="177" t="inlineStr">
        <is>
          <t>Faaliyetlerden Nakit, Yatırım Harcamaları, Finansman Nakit Akışı</t>
        </is>
      </c>
      <c r="D7" s="177" t="inlineStr">
        <is>
          <t>Dolaylı/doğrudan yöntem açık seçilir</t>
        </is>
      </c>
      <c r="E7" s="177" t="inlineStr">
        <is>
          <t>Kâr = nakit sanılması</t>
        </is>
      </c>
      <c r="F7" s="177" t="inlineStr">
        <is>
          <t>Nakit devri</t>
        </is>
      </c>
    </row>
    <row r="8">
      <c r="A8" s="193" t="inlineStr">
        <is>
          <t>Ticari Alacaklar</t>
        </is>
      </c>
      <c r="B8" s="177" t="inlineStr">
        <is>
          <t>Cari ve vade mantığı korunur</t>
        </is>
      </c>
      <c r="C8" s="177" t="inlineStr">
        <is>
          <t>120 Alıcılar</t>
        </is>
      </c>
      <c r="D8" s="177" t="inlineStr">
        <is>
          <t>120</t>
        </is>
      </c>
      <c r="E8" s="177" t="inlineStr">
        <is>
          <t>Tahakkuk/nakit karışması</t>
        </is>
      </c>
      <c r="F8" s="177" t="inlineStr">
        <is>
          <t>Alacak devir kontrolü</t>
        </is>
      </c>
    </row>
    <row r="9">
      <c r="A9" s="193" t="inlineStr">
        <is>
          <t>Ticari Borçlar</t>
        </is>
      </c>
      <c r="B9" s="177" t="inlineStr">
        <is>
          <t>Tedarikçi borcu ayrı izlenir</t>
        </is>
      </c>
      <c r="C9" s="177" t="inlineStr">
        <is>
          <t>320 Satıcılar</t>
        </is>
      </c>
      <c r="D9" s="177" t="inlineStr">
        <is>
          <t>320</t>
        </is>
      </c>
      <c r="E9" s="177" t="inlineStr">
        <is>
          <t>Gider/ödeme karışması</t>
        </is>
      </c>
      <c r="F9" s="177" t="inlineStr">
        <is>
          <t>Borç devir kontrolü</t>
        </is>
      </c>
    </row>
    <row r="10">
      <c r="A10" s="193" t="inlineStr">
        <is>
          <t>Kasa/Banka</t>
        </is>
      </c>
      <c r="B10" s="177" t="inlineStr">
        <is>
          <t>Hazır değerler ayrı izlenir</t>
        </is>
      </c>
      <c r="C10" s="177" t="inlineStr">
        <is>
          <t>100 Kasa, 102 Bankalar</t>
        </is>
      </c>
      <c r="D10" s="177" t="inlineStr">
        <is>
          <t>100 / 102</t>
        </is>
      </c>
      <c r="E10" s="177" t="inlineStr">
        <is>
          <t>Virmanla toplam nakdin değişmesi</t>
        </is>
      </c>
      <c r="F10" s="177" t="inlineStr">
        <is>
          <t>Virman değişmezi</t>
        </is>
      </c>
    </row>
    <row r="11">
      <c r="A11" s="193" t="inlineStr">
        <is>
          <t>Stok</t>
        </is>
      </c>
      <c r="B11" s="177" t="inlineStr">
        <is>
          <t>Dikeye uygun stok türü</t>
        </is>
      </c>
      <c r="C11" s="177" t="inlineStr">
        <is>
          <t>150 İlk Madde ve Malzeme, 153 Ticari Mallar</t>
        </is>
      </c>
      <c r="D11" s="177" t="inlineStr">
        <is>
          <t>15x</t>
        </is>
      </c>
      <c r="E11" s="177" t="inlineStr">
        <is>
          <t>Maliyet ve stok hareketinin kopması</t>
        </is>
      </c>
      <c r="F11" s="177" t="inlineStr">
        <is>
          <t>Stok devri</t>
        </is>
      </c>
    </row>
    <row r="12" ht="28" customHeight="1">
      <c r="A12" s="193" t="inlineStr">
        <is>
          <t>Maddi Duran Varlık</t>
        </is>
      </c>
      <c r="B12" s="177" t="inlineStr">
        <is>
          <t>Yatırım harcaması ve amortisman bağlantılı</t>
        </is>
      </c>
      <c r="C12" s="177" t="inlineStr">
        <is>
          <t>253 Tesis Makine Cihazlar, 255 Demirbaşlar, 257 Birikmiş Amortismanlar</t>
        </is>
      </c>
      <c r="D12" s="177" t="inlineStr">
        <is>
          <t>25x</t>
        </is>
      </c>
      <c r="E12" s="177" t="inlineStr">
        <is>
          <t>Yatırım/gider karışması</t>
        </is>
      </c>
      <c r="F12" s="177" t="inlineStr">
        <is>
          <t>Net defter değeri devri</t>
        </is>
      </c>
    </row>
    <row r="13">
      <c r="A13" s="193" t="inlineStr">
        <is>
          <t>Mali Borçlar</t>
        </is>
      </c>
      <c r="B13" s="177" t="inlineStr">
        <is>
          <t>Kısa/uzun vadeli borç ayrımı</t>
        </is>
      </c>
      <c r="C13" s="177" t="inlineStr">
        <is>
          <t>300 Banka Kredileri / 400 Banka Kredileri</t>
        </is>
      </c>
      <c r="D13" s="177" t="inlineStr">
        <is>
          <t>300 / 400</t>
        </is>
      </c>
      <c r="E13" s="177" t="inlineStr">
        <is>
          <t>Vade sınıfı yanlış</t>
        </is>
      </c>
      <c r="F13" s="177" t="inlineStr">
        <is>
          <t>Borç devri</t>
        </is>
      </c>
    </row>
    <row r="14">
      <c r="A14" s="193" t="inlineStr">
        <is>
          <t>Özkaynak</t>
        </is>
      </c>
      <c r="B14" s="177" t="inlineStr">
        <is>
          <t>Sermaye ve geçmiş yıl kârları ayrı</t>
        </is>
      </c>
      <c r="C14" s="177" t="inlineStr">
        <is>
          <t>500 Sermaye, 570 Geçmiş Yıllar Kârları, 590 Dönem Net Kârı</t>
        </is>
      </c>
      <c r="D14" s="177" t="inlineStr">
        <is>
          <t>5xx</t>
        </is>
      </c>
      <c r="E14" s="177" t="inlineStr">
        <is>
          <t>Net kâr bağının kopması</t>
        </is>
      </c>
      <c r="F14" s="177" t="inlineStr">
        <is>
          <t>Özkaynak devri</t>
        </is>
      </c>
    </row>
    <row r="15">
      <c r="A15" s="193" t="inlineStr">
        <is>
          <t>Vergi</t>
        </is>
      </c>
      <c r="B15" s="177" t="inlineStr">
        <is>
          <t>Vergi satırları Türkiye mantığına uygun</t>
        </is>
      </c>
      <c r="C15" s="177" t="inlineStr">
        <is>
          <t>Dönem Vergi ve Diğer Yasal Yükümlülük Karşılıkları</t>
        </is>
      </c>
      <c r="D15" s="177" t="inlineStr">
        <is>
          <t>37x / ilgili vergi hesapları</t>
        </is>
      </c>
      <c r="E15" s="177" t="inlineStr">
        <is>
          <t>Vergi etkisinin yanlış dönemlenmesi</t>
        </is>
      </c>
      <c r="F15" s="177" t="inlineStr">
        <is>
          <t>Vergi sözleşmesi</t>
        </is>
      </c>
    </row>
    <row r="16">
      <c r="A16" s="193" t="inlineStr">
        <is>
          <t>İsim standardı</t>
        </is>
      </c>
      <c r="B16" s="177" t="inlineStr">
        <is>
          <t>Tablo ve sayfa adları Türkçe ve işlevsel</t>
        </is>
      </c>
      <c r="C16" s="177" t="inlineStr">
        <is>
          <t>GELİR_TABLOSU, BİLANÇO, NAKİT_AKISI, BORC_PLANI</t>
        </is>
      </c>
      <c r="D16" s="177" t="inlineStr">
        <is>
          <t>Tekrarlanabilir standart</t>
        </is>
      </c>
      <c r="E16" s="177" t="inlineStr">
        <is>
          <t>İngilizce/karma isim</t>
        </is>
      </c>
      <c r="F16" s="177" t="inlineStr">
        <is>
          <t>Sayfa ve tablo taraması</t>
        </is>
      </c>
    </row>
    <row r="17">
      <c r="A17" s="193" t="inlineStr">
        <is>
          <t>THP eşleme tablosu</t>
        </is>
      </c>
      <c r="B17" s="177" t="inlineStr">
        <is>
          <t>Her kritik satır en az bir THP hesabına bağlanır</t>
        </is>
      </c>
      <c r="C17" s="177" t="inlineStr">
        <is>
          <t>RaporSatırı → HesapKodu → HesapAdı → İşaret → Dönem</t>
        </is>
      </c>
      <c r="D17" s="177" t="inlineStr">
        <is>
          <t>Kaynak izlenebilirliği</t>
        </is>
      </c>
      <c r="E17" s="177" t="inlineStr">
        <is>
          <t>Rapordan rapora kaynak</t>
        </is>
      </c>
      <c r="F17" s="177" t="inlineStr">
        <is>
          <t>Eşleme kapsama %100</t>
        </is>
      </c>
    </row>
    <row r="18">
      <c r="A18" s="193" t="inlineStr">
        <is>
          <t>İstisna</t>
        </is>
      </c>
      <c r="B18" s="177" t="inlineStr">
        <is>
          <t>TFRS özel ürün varsa fark açık yazılır</t>
        </is>
      </c>
      <c r="C18" s="177" t="inlineStr">
        <is>
          <t>Tekdüzen raporlama ≠ TFRS finansal tablo sunumu</t>
        </is>
      </c>
      <c r="D18" s="177" t="inlineStr">
        <is>
          <t>Amaç belirtilir</t>
        </is>
      </c>
      <c r="E18" s="177" t="inlineStr">
        <is>
          <t>Standartları karıştırma</t>
        </is>
      </c>
      <c r="F18" s="17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KARAR, GÜVEN VE SATIŞA HAZIRLIK STANDARDI</t>
        </is>
      </c>
    </row>
    <row r="2"/>
    <row r="3" ht="24" customHeight="1">
      <c r="A3" s="195" t="inlineStr">
        <is>
          <t>Alan</t>
        </is>
      </c>
      <c r="B3" s="195" t="inlineStr">
        <is>
          <t>Müşteri Sorusu</t>
        </is>
      </c>
      <c r="C3" s="195" t="inlineStr">
        <is>
          <t>Zorunlu Ürün Davranışı</t>
        </is>
      </c>
      <c r="D3" s="195" t="inlineStr">
        <is>
          <t>Kanıt</t>
        </is>
      </c>
      <c r="E3" s="195" t="inlineStr">
        <is>
          <t>Başarısızlık Durumu</t>
        </is>
      </c>
      <c r="F3" s="195" t="inlineStr">
        <is>
          <t>Kapı</t>
        </is>
      </c>
    </row>
    <row r="4">
      <c r="A4" s="196" t="inlineStr">
        <is>
          <t>5 saniye</t>
        </is>
      </c>
      <c r="B4" s="177" t="inlineStr">
        <is>
          <t>Bu ürün neyi çözüyor?</t>
        </is>
      </c>
      <c r="C4" s="177" t="inlineStr">
        <is>
          <t>İlk ekranda hedef kullanıcı + pahalı problem + sonuç görünür</t>
        </is>
      </c>
      <c r="D4" s="177" t="inlineStr">
        <is>
          <t>Başlık + alt mesaj + gerçek ekran</t>
        </is>
      </c>
      <c r="E4" s="177" t="inlineStr">
        <is>
          <t>Ürün yalnız teknik isim</t>
        </is>
      </c>
      <c r="F4" s="197" t="inlineStr">
        <is>
          <t>HATA</t>
        </is>
      </c>
    </row>
    <row r="5">
      <c r="A5" s="196" t="inlineStr">
        <is>
          <t>Acı</t>
        </is>
      </c>
      <c r="B5" s="177" t="inlineStr">
        <is>
          <t>Sorun bana neye mal oluyor?</t>
        </is>
      </c>
      <c r="C5" s="177" t="inlineStr">
        <is>
          <t>Mümkünse müşterinin kendi verisiyle parasal/zaman etkisi hesaplanır</t>
        </is>
      </c>
      <c r="D5" s="177" t="inlineStr">
        <is>
          <t>ROI/acı hesaplama yöntemi</t>
        </is>
      </c>
      <c r="E5" s="177" t="inlineStr">
        <is>
          <t>Uydurma tasarruf</t>
        </is>
      </c>
      <c r="F5" s="197" t="inlineStr">
        <is>
          <t>HATA</t>
        </is>
      </c>
    </row>
    <row r="6">
      <c r="A6" s="196" t="inlineStr">
        <is>
          <t>Karar</t>
        </is>
      </c>
      <c r="B6" s="177" t="inlineStr">
        <is>
          <t>Bu bilgiyle ne yapacağım?</t>
        </is>
      </c>
      <c r="C6" s="177" t="inlineStr">
        <is>
          <t>Her kritik KPI aksiyona bağlanır</t>
        </is>
      </c>
      <c r="D6" s="177" t="inlineStr">
        <is>
          <t>KARAR_KUYRUGU</t>
        </is>
      </c>
      <c r="E6" s="177" t="inlineStr">
        <is>
          <t>Sadece rapor</t>
        </is>
      </c>
      <c r="F6" s="197" t="inlineStr">
        <is>
          <t>HATA</t>
        </is>
      </c>
    </row>
    <row r="7">
      <c r="A7" s="196" t="inlineStr">
        <is>
          <t>Güven</t>
        </is>
      </c>
      <c r="B7" s="177" t="inlineStr">
        <is>
          <t>Bu sayıya neden inanayım?</t>
        </is>
      </c>
      <c r="C7" s="177" t="inlineStr">
        <is>
          <t>Kaynak, formül mantığı, kontrol ve son doğrulama görünür</t>
        </is>
      </c>
      <c r="D7" s="177" t="inlineStr">
        <is>
          <t>Kontroller + kaynak izi + sürüm</t>
        </is>
      </c>
      <c r="E7" s="177" t="inlineStr">
        <is>
          <t>Prestij kelimesi</t>
        </is>
      </c>
      <c r="F7" s="197" t="inlineStr">
        <is>
          <t>HATA</t>
        </is>
      </c>
    </row>
    <row r="8">
      <c r="A8" s="196" t="inlineStr">
        <is>
          <t>Referans</t>
        </is>
      </c>
      <c r="B8" s="177" t="inlineStr">
        <is>
          <t>Müşteri yorumu yoksa ne göstereceğim?</t>
        </is>
      </c>
      <c r="C8" s="177" t="inlineStr">
        <is>
          <t>Önce/Sonra + Karar Vakası + Hata Önleme Vakası üretilir</t>
        </is>
      </c>
      <c r="D8" s="177" t="inlineStr">
        <is>
          <t>Demo/örnek çıktı</t>
        </is>
      </c>
      <c r="E8" s="177" t="inlineStr">
        <is>
          <t>Kanıtsız iddia</t>
        </is>
      </c>
      <c r="F8" s="197" t="inlineStr">
        <is>
          <t>HATA</t>
        </is>
      </c>
    </row>
    <row r="9">
      <c r="A9" s="196" t="inlineStr">
        <is>
          <t>Senaryo</t>
        </is>
      </c>
      <c r="B9" s="177" t="inlineStr">
        <is>
          <t>Ne olursa işler bozulur?</t>
        </is>
      </c>
      <c r="C9" s="177" t="inlineStr">
        <is>
          <t>Baz/Aşağı/Yukarı veya uygun stres senaryosu</t>
        </is>
      </c>
      <c r="D9" s="177" t="inlineStr">
        <is>
          <t>Senaryo karşılaştırma</t>
        </is>
      </c>
      <c r="E9" s="177" t="inlineStr">
        <is>
          <t>Dekoratif senaryo</t>
        </is>
      </c>
      <c r="F9" s="197" t="inlineStr">
        <is>
          <t>HATA</t>
        </is>
      </c>
    </row>
    <row r="10">
      <c r="A10" s="196" t="inlineStr">
        <is>
          <t>Ters stres</t>
        </is>
      </c>
      <c r="B10" s="177" t="inlineStr">
        <is>
          <t>Hangi eşikte karar kırılır?</t>
        </is>
      </c>
      <c r="C10" s="177" t="inlineStr">
        <is>
          <t>En az bir kritik sürücü için kırılma eşiği</t>
        </is>
      </c>
      <c r="D10" s="177" t="inlineStr">
        <is>
          <t>Kırılma eşiği tablosu</t>
        </is>
      </c>
      <c r="E10" s="177" t="inlineStr">
        <is>
          <t>Sadece +/- %10</t>
        </is>
      </c>
      <c r="F10" s="197" t="inlineStr">
        <is>
          <t>UYARI/HATA</t>
        </is>
      </c>
    </row>
    <row r="11">
      <c r="A11" s="196" t="inlineStr">
        <is>
          <t>Hata tutarlılığı</t>
        </is>
      </c>
      <c r="B11" s="177" t="inlineStr">
        <is>
          <t>Formül hata verirse ne olur?</t>
        </is>
      </c>
      <c r="C11" s="177" t="inlineStr">
        <is>
          <t>Kontrol GEÇTİ veremez; BLOKE/HATA üretir</t>
        </is>
      </c>
      <c r="D11" s="177" t="inlineStr">
        <is>
          <t>Hata taraması</t>
        </is>
      </c>
      <c r="E11" s="177" t="inlineStr">
        <is>
          <t>Hata + GEÇTİ birlikte</t>
        </is>
      </c>
      <c r="F11" s="197" t="inlineStr">
        <is>
          <t>HATA</t>
        </is>
      </c>
    </row>
    <row r="12">
      <c r="A12" s="196" t="inlineStr">
        <is>
          <t>Karar motoru</t>
        </is>
      </c>
      <c r="B12" s="177" t="inlineStr">
        <is>
          <t>Ne oldu, neden oldu?</t>
        </is>
      </c>
      <c r="C12" s="177" t="inlineStr">
        <is>
          <t>Sorun + neden + parasal etki + aksiyon + son tarih</t>
        </is>
      </c>
      <c r="D12" s="177" t="inlineStr">
        <is>
          <t>Karar tablosu</t>
        </is>
      </c>
      <c r="E12" s="177" t="inlineStr">
        <is>
          <t>Boş sayfa / isim düzeyi modül</t>
        </is>
      </c>
      <c r="F12" s="197" t="inlineStr">
        <is>
          <t>HATA</t>
        </is>
      </c>
    </row>
    <row r="13">
      <c r="A13" s="196" t="inlineStr">
        <is>
          <t>Yönetici özeti</t>
        </is>
      </c>
      <c r="B13" s="177" t="inlineStr">
        <is>
          <t>5 saniyede ne görmeliyim?</t>
        </is>
      </c>
      <c r="C13" s="177" t="inlineStr">
        <is>
          <t>Bugün / ne değişti / ne bozulacak / neden / ne yapmalıyım / güven</t>
        </is>
      </c>
      <c r="D13" s="177" t="inlineStr">
        <is>
          <t>Yönetici özeti ekranı</t>
        </is>
      </c>
      <c r="E13" s="177" t="inlineStr">
        <is>
          <t>KPI kutusu yığını</t>
        </is>
      </c>
      <c r="F13" s="197" t="inlineStr">
        <is>
          <t>HATA</t>
        </is>
      </c>
    </row>
    <row r="14">
      <c r="A14" s="196" t="inlineStr">
        <is>
          <t>Teklif</t>
        </is>
      </c>
      <c r="B14" s="177" t="inlineStr">
        <is>
          <t>Neden satın almalıyım?</t>
        </is>
      </c>
      <c r="C14" s="177" t="inlineStr">
        <is>
          <t>Dosya özellikleri yerine sonuç ve kaçınılan maliyet sunulur</t>
        </is>
      </c>
      <c r="D14" s="177" t="inlineStr">
        <is>
          <t>Ürün sayfası kanıt eşlemesi</t>
        </is>
      </c>
      <c r="E14" s="177" t="inlineStr">
        <is>
          <t>Özellik listesiyle satış</t>
        </is>
      </c>
      <c r="F14" s="197" t="inlineStr">
        <is>
          <t>HATA</t>
        </is>
      </c>
    </row>
    <row r="15">
      <c r="A15" s="196" t="inlineStr">
        <is>
          <t>Dağıtım</t>
        </is>
      </c>
      <c r="B15" s="177" t="inlineStr">
        <is>
          <t>Beni nasıl bulacaklar?</t>
        </is>
      </c>
      <c r="C15" s="177" t="inlineStr">
        <is>
          <t>Sorun niyetine göre SEO sayfaları, iç bağlantı, temiz yapı, taranabilir metin</t>
        </is>
      </c>
      <c r="D15" s="177" t="inlineStr">
        <is>
          <t>Arama niyeti haritası</t>
        </is>
      </c>
      <c r="E15" s="177" t="inlineStr">
        <is>
          <t>Tek ürün sayfasına bağımlılık</t>
        </is>
      </c>
      <c r="F15" s="197" t="inlineStr">
        <is>
          <t>UYARI</t>
        </is>
      </c>
    </row>
    <row r="16" ht="28" customHeight="1">
      <c r="A16" s="196" t="inlineStr">
        <is>
          <t>LLM görünürlüğü</t>
        </is>
      </c>
      <c r="B16" s="177" t="inlineStr">
        <is>
          <t>AI ürünümü anlayabiliyor mu?</t>
        </is>
      </c>
      <c r="C16" s="177" t="inlineStr">
        <is>
          <t>Ürün tanımı, hedef kullanıcı, girdi/çıktı, metodoloji, sınırlar, SSS açık metindir</t>
        </is>
      </c>
      <c r="D16" s="177" t="inlineStr">
        <is>
          <t>Taranabilir ürün içeriği</t>
        </is>
      </c>
      <c r="E16" s="177" t="inlineStr">
        <is>
          <t>'AI SEO' iddiası</t>
        </is>
      </c>
      <c r="F16" s="197" t="inlineStr">
        <is>
          <t>UYARI</t>
        </is>
      </c>
    </row>
    <row r="17">
      <c r="A17" s="196" t="inlineStr">
        <is>
          <t>Satış kanalı</t>
        </is>
      </c>
      <c r="B17" s="177" t="inlineStr">
        <is>
          <t>Nerede satılmalı?</t>
        </is>
      </c>
      <c r="C17" s="177" t="inlineStr">
        <is>
          <t>Arama, LinkedIn, uzman/partner, demo/video; ürüne göre kanal seçilir</t>
        </is>
      </c>
      <c r="D17" s="177" t="inlineStr">
        <is>
          <t>Kanal matrisi</t>
        </is>
      </c>
      <c r="E17" s="177" t="inlineStr">
        <is>
          <t>Her ürüne aynı kanal</t>
        </is>
      </c>
      <c r="F17" s="197" t="inlineStr">
        <is>
          <t>UYARI</t>
        </is>
      </c>
    </row>
    <row r="18">
      <c r="A18" s="196" t="inlineStr">
        <is>
          <t>Fiyat</t>
        </is>
      </c>
      <c r="B18" s="177" t="inlineStr">
        <is>
          <t>Bu fiyat neden mantıklı?</t>
        </is>
      </c>
      <c r="C18" s="177" t="inlineStr">
        <is>
          <t>Fiyat, ekonomik karar değerine ve kanıtlanmış ürün derinliğine bağlanır</t>
        </is>
      </c>
      <c r="D18" s="177" t="inlineStr">
        <is>
          <t>Değer haritası + demo</t>
        </is>
      </c>
      <c r="E18" s="177" t="inlineStr">
        <is>
          <t>Sırf sayfa/formül sayısı</t>
        </is>
      </c>
      <c r="F18" s="197" t="inlineStr">
        <is>
          <t>HATA</t>
        </is>
      </c>
    </row>
    <row r="19">
      <c r="A19" s="196" t="inlineStr">
        <is>
          <t>Pazar kanıtı</t>
        </is>
      </c>
      <c r="B19" s="177" t="inlineStr">
        <is>
          <t>Piyasa gerçekten ödüyor mu?</t>
        </is>
      </c>
      <c r="C19" s="177" t="inlineStr">
        <is>
          <t>Satış/pilot/LOI/fiyat kabulü olmadan pazar doğrulandı yazılmaz</t>
        </is>
      </c>
      <c r="D19" s="177" t="inlineStr">
        <is>
          <t>Gerçek işlem kanıtı</t>
        </is>
      </c>
      <c r="E19" s="177" t="inlineStr">
        <is>
          <t>Tahmini talep = satış kabulü</t>
        </is>
      </c>
      <c r="F19" s="19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KAPAK — Örtülü Sermaye + Emsal Faiz + TF Paketi</t>
        </is>
      </c>
    </row>
    <row r="2"/>
    <row r="3" ht="22" customHeight="1">
      <c r="A3" s="227" t="inlineStr">
        <is>
          <t>Örtülü Sermaye + Emsal Faiz + TF Paketi</t>
        </is>
      </c>
    </row>
    <row r="4">
      <c r="A4" s="4" t="inlineStr">
        <is>
          <t>Özkaynak, ilişkili borç, faiz ve TF girdilerini girin; örtülü sermaye eşiği (3x), emsal faiz farkı ve TF farkını toplayıp TEMİZ / DİKKAT / KKEG RİSKİ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3x örtülü sermaye eşiği ve emsal faiz</t>
        </is>
      </c>
    </row>
    <row r="8">
      <c r="A8" s="6" t="inlineStr">
        <is>
          <t>• Borç/özkaynak oranı, kabul edilmeyen faiz, emsal faiz farkı ve TF farkının yan yana hesabı</t>
        </is>
      </c>
    </row>
    <row r="9">
      <c r="A9" s="6" t="inlineStr">
        <is>
          <t>• Baz / iyimser / kötümser + kural değişimi (eşik sıkılaştırma)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ilişkili kişi kapsam yorumu (A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— örtülü sermaye / emsal faiz / TF KKEG riskini ve madde atfını müşteriye vermek</t>
        </is>
      </c>
    </row>
    <row r="15">
      <c r="A15" s="7" t="inlineStr">
        <is>
          <t>• CFO — TEMİZ / DİKKAT / KKEG RİSKİ kararını savunma dosyasına yazmak</t>
        </is>
      </c>
    </row>
    <row r="16">
      <c r="A16" s="7" t="inlineStr">
        <is>
          <t>• Ortak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9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HIZLI BASLANGIC — Örtülü Sermaye + Emsal Faiz + TF Paketi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özkaynak, ilişkili borç, faiz ve TF tutarlarını sarı hücrelere girin.</t>
        </is>
      </c>
    </row>
    <row r="6">
      <c r="A6" s="10" t="inlineStr">
        <is>
          <t>Adım 2 — Karar</t>
        </is>
      </c>
      <c r="B6" s="6" t="inlineStr">
        <is>
          <t>PANO'da toplam KKEG riskini ve TEMİZ / DİKKAT / KKEG RİSKİ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İlişkili borç toplamına yalnızca faizsiz borçları yazmak</t>
        </is>
      </c>
    </row>
    <row r="11">
      <c r="A11" s="12" t="inlineStr">
        <is>
          <t>• Emsal faiz oranını TCMB/AVG yerine uygulanan oranla aynı bırakmak</t>
        </is>
      </c>
    </row>
    <row r="12">
      <c r="A12" s="12" t="inlineStr">
        <is>
          <t>• Hesap yılını kural tablosuyla uyumsuz seçmek (2025 ≠ 2026 eşiği)</t>
        </is>
      </c>
    </row>
    <row r="13"/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GIRDI — Örtülü Sermaye + Emsal Faiz + TF Paketi</t>
        </is>
      </c>
    </row>
    <row r="2"/>
    <row r="3" ht="22" customHeight="1">
      <c r="A3" s="228" t="inlineStr">
        <is>
          <t>Şirket ve örtülü sermaye / TF girdileri</t>
        </is>
      </c>
    </row>
    <row r="4">
      <c r="A4" s="4" t="inlineStr">
        <is>
          <t>Sarı hücreler manuel giriştir. Eşikler KURALLAR'dan; KKEG riski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Holding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Özkaynak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İlişkili Borç Toplamı [₺]</t>
        </is>
      </c>
      <c r="B10" s="33" t="n">
        <v>40000000</v>
      </c>
      <c r="C10" s="28" t="inlineStr">
        <is>
          <t>₺</t>
        </is>
      </c>
    </row>
    <row r="11">
      <c r="A11" s="7" t="inlineStr">
        <is>
          <t>Yıllık Faiz Gideri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Uygulanan Faiz Oranı [%]</t>
        </is>
      </c>
      <c r="B12" s="34" t="n">
        <v>0.12</v>
      </c>
      <c r="C12" s="28" t="inlineStr">
        <is>
          <t>%</t>
        </is>
      </c>
    </row>
    <row r="13">
      <c r="A13" s="7" t="inlineStr">
        <is>
          <t>Emsal Faiz Oranı (TCMB/AVG) [%]</t>
        </is>
      </c>
      <c r="B13" s="34" t="n">
        <v>0.1</v>
      </c>
      <c r="C13" s="28" t="inlineStr">
        <is>
          <t>%</t>
        </is>
      </c>
    </row>
    <row r="14">
      <c r="A14" s="7" t="inlineStr">
        <is>
          <t>İlişkili İşlem Tutarı [₺]</t>
        </is>
      </c>
      <c r="B14" s="33" t="n">
        <v>5000000</v>
      </c>
      <c r="C14" s="28" t="inlineStr">
        <is>
          <t>₺</t>
        </is>
      </c>
    </row>
    <row r="15">
      <c r="A15" s="7" t="inlineStr">
        <is>
          <t>Emsal Bedel [₺]</t>
        </is>
      </c>
      <c r="B15" s="33" t="n">
        <v>4500000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Örtülü eşik (ayna)</t>
        </is>
      </c>
      <c r="B18" s="35">
        <f>IFERROR(INDEX(CHOOSE(MAX(1,MIN(3,IF(OR(hesapYili="",hesapYili=0),1,hesapYili-ose_yilTaban))),tblKurallar[deger_2025],tblKurallar[deger_2026],tblKurallar[deger_2027]),MATCH("OSE-001",tblKurallar[kural_id],0)),0)</f>
        <v/>
      </c>
    </row>
    <row r="19">
      <c r="A19" s="10" t="inlineStr">
        <is>
          <t>Dikkat eşiği (ayna) [₺]</t>
        </is>
      </c>
      <c r="B19" s="36">
        <f>IFERROR(INDEX(CHOOSE(MAX(1,MIN(3,IF(OR(hesapYili="",hesapYili=0),1,hesapYili-ose_yilTaban))),tblKurallar[deger_2025],tblKurallar[deger_2026],tblKurallar[deger_2027]),MATCH("OSE-003",tblKurallar[kural_id],0)),0)</f>
        <v/>
      </c>
    </row>
    <row r="20">
      <c r="A20" s="10" t="inlineStr">
        <is>
          <t>Toplam KKEG riski (ayna) [₺]</t>
        </is>
      </c>
      <c r="B20" s="36">
        <f>IFERROR(ose_toplamKkeg,0)</f>
        <v/>
      </c>
    </row>
    <row r="21">
      <c r="A21" s="10" t="inlineStr">
        <is>
          <t>Giriş doluluk (kalite)</t>
        </is>
      </c>
      <c r="B21" s="37">
        <f>IFERROR(IF(OR(COUNTA(B6:B16)=0,ose_girisBeklenen=0),0,ROUND(COUNTA(B6:B16)/ose_girisBeklenen*100,0)),0)</f>
        <v/>
      </c>
    </row>
    <row r="22"/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8" t="inlineStr">
        <is>
          <t>sirket_adi</t>
        </is>
      </c>
      <c r="B25" s="38" t="inlineStr">
        <is>
          <t>Örnek Holding A.Ş.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donem</t>
        </is>
      </c>
      <c r="B26" s="38" t="inlineStr">
        <is>
          <t>2026</t>
        </is>
      </c>
      <c r="C26" s="38" t="inlineStr">
        <is>
          <t>metin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hesapYili</t>
        </is>
      </c>
      <c r="B27" s="40" t="n">
        <v>2026</v>
      </c>
      <c r="C27" s="38" t="inlineStr">
        <is>
          <t>yıl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ozkaynak</t>
        </is>
      </c>
      <c r="B28" s="41" t="n">
        <v>10000000</v>
      </c>
      <c r="C28" s="38" t="inlineStr">
        <is>
          <t>TL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iliskili_borc</t>
        </is>
      </c>
      <c r="B29" s="41" t="n">
        <v>40000000</v>
      </c>
      <c r="C29" s="38" t="inlineStr">
        <is>
          <t>TL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yillik_faiz_gideri</t>
        </is>
      </c>
      <c r="B30" s="41" t="n">
        <v>4000000</v>
      </c>
      <c r="C30" s="38" t="inlineStr">
        <is>
          <t>TL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uygulanan_faiz_orani</t>
        </is>
      </c>
      <c r="B31" s="42" t="n">
        <v>0.12</v>
      </c>
      <c r="C31" s="38" t="inlineStr">
        <is>
          <t>oran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emsal_faiz_orani</t>
        </is>
      </c>
      <c r="B32" s="42" t="n">
        <v>0.1</v>
      </c>
      <c r="C32" s="38" t="inlineStr">
        <is>
          <t>oran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iliskili_islem_tutari</t>
        </is>
      </c>
      <c r="B33" s="41" t="n">
        <v>5000000</v>
      </c>
      <c r="C33" s="38" t="inlineStr">
        <is>
          <t>TL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emsal_bedel</t>
        </is>
      </c>
      <c r="B34" s="41" t="n">
        <v>4500000</v>
      </c>
      <c r="C34" s="38" t="inlineStr">
        <is>
          <t>TL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 ht="20" customHeight="1">
      <c r="A1025" s="43" t="inlineStr">
        <is>
          <t>Sarı alanlar giriş; eşik ve KKEG riski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25:AN1025"/>
  </mergeCells>
  <conditionalFormatting sqref="B9:B15">
    <cfRule type="cellIs" priority="1" operator="lessThan" dxfId="3">
      <formula>0</formula>
    </cfRule>
  </conditionalFormatting>
  <conditionalFormatting sqref="B9:B11"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zkaynak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lişkili Borç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Yıllık Faiz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lişkili İşlem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Emsal Bedel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Özkaynak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lişkili Borç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Yıllık Faiz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lişkili İşlem" prompt="Tablo: TL tutar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Emsal Bedel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8" t="inlineStr">
        <is>
          <t>KURALLAR — Örtülü Sermaye + Emsal Faiz + TF Paketi</t>
        </is>
      </c>
    </row>
    <row r="2"/>
    <row r="3" ht="22" customHeight="1">
      <c r="A3" s="228" t="inlineStr">
        <is>
          <t>Mevzuat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OSE-001</t>
        </is>
      </c>
      <c r="B7" s="7" t="inlineStr">
        <is>
          <t>KVK md.12</t>
        </is>
      </c>
      <c r="C7" s="7" t="inlineStr">
        <is>
          <t>ortulu_oran_esigi</t>
        </is>
      </c>
      <c r="D7" s="7" t="inlineStr">
        <is>
          <t>ilişkili borç / özkaynak</t>
        </is>
      </c>
      <c r="E7" s="7" t="inlineStr">
        <is>
          <t>ortulu_oran_esigi</t>
        </is>
      </c>
      <c r="F7" s="46" t="n">
        <v>3</v>
      </c>
      <c r="G7" s="46" t="n">
        <v>3</v>
      </c>
      <c r="H7" s="46" t="n">
        <v>3</v>
      </c>
      <c r="I7" s="7" t="inlineStr">
        <is>
          <t>01.01.2025</t>
        </is>
      </c>
      <c r="J7" s="7" t="inlineStr">
        <is>
          <t>Örtülü sermaye borç/özkaynak eşiği (kat)</t>
        </is>
      </c>
      <c r="K7" s="39">
        <f>IF($A7="","",IFERROR(CHOOSE(MAX(1,MIN(3,IF(OR(hesapYili="",hesapYili=0),1,hesapYili-ose_yilTaban))),$F7,$G7,$H7),0))</f>
        <v/>
      </c>
    </row>
    <row r="8">
      <c r="A8" s="7" t="inlineStr">
        <is>
          <t>OSE-002</t>
        </is>
      </c>
      <c r="B8" s="7" t="inlineStr">
        <is>
          <t>KVK md.12 / TCMB</t>
        </is>
      </c>
      <c r="C8" s="7" t="inlineStr">
        <is>
          <t>emsal_faiz_referans</t>
        </is>
      </c>
      <c r="D8" s="7" t="inlineStr">
        <is>
          <t>faiz karşılaştırması</t>
        </is>
      </c>
      <c r="E8" s="7" t="inlineStr">
        <is>
          <t>emsal_faiz_referans</t>
        </is>
      </c>
      <c r="F8" s="47" t="n">
        <v>0.45</v>
      </c>
      <c r="G8" s="47" t="n">
        <v>0.4</v>
      </c>
      <c r="H8" s="47" t="n">
        <v>0.35</v>
      </c>
      <c r="I8" s="7" t="inlineStr">
        <is>
          <t>01.01.2025</t>
        </is>
      </c>
      <c r="J8" s="7" t="inlineStr">
        <is>
          <t>Referans emsal faiz (bilgi; GIRDI öncelikli)</t>
        </is>
      </c>
      <c r="K8" s="39">
        <f>IF($A8="","",IFERROR(CHOOSE(MAX(1,MIN(3,IF(OR(hesapYili="",hesapYili=0),1,hesapYili-ose_yilTaban))),$F8,$G8,$H8),0))</f>
        <v/>
      </c>
    </row>
    <row r="9">
      <c r="A9" s="7" t="inlineStr">
        <is>
          <t>OSE-003</t>
        </is>
      </c>
      <c r="B9" s="7" t="inlineStr">
        <is>
          <t>İç politika</t>
        </is>
      </c>
      <c r="C9" s="7" t="inlineStr">
        <is>
          <t>dikkat_esik</t>
        </is>
      </c>
      <c r="D9" s="7" t="inlineStr">
        <is>
          <t>KKEG risk ≥ eşik</t>
        </is>
      </c>
      <c r="E9" s="7" t="inlineStr">
        <is>
          <t>dikkat_esik_tl</t>
        </is>
      </c>
      <c r="F9" s="46" t="n">
        <v>100000</v>
      </c>
      <c r="G9" s="46" t="n">
        <v>100000</v>
      </c>
      <c r="H9" s="46" t="n">
        <v>100000</v>
      </c>
      <c r="I9" s="7" t="inlineStr">
        <is>
          <t>01.01.2025</t>
        </is>
      </c>
      <c r="J9" s="7" t="inlineStr">
        <is>
          <t>DİKKAT karar eşiği (TL)</t>
        </is>
      </c>
      <c r="K9" s="39">
        <f>IF($A9="","",IFERROR(CHOOSE(MAX(1,MIN(3,IF(OR(hesapYili="",hesapYili=0),1,hesapYili-ose_yilTaban))),$F9,$G9,$H9),0))</f>
        <v/>
      </c>
    </row>
    <row r="10">
      <c r="A10" s="7" t="inlineStr">
        <is>
          <t>OSE-004</t>
        </is>
      </c>
      <c r="B10" s="7" t="inlineStr">
        <is>
          <t>İç politika</t>
        </is>
      </c>
      <c r="C10" s="7" t="inlineStr">
        <is>
          <t>kkeg_esik</t>
        </is>
      </c>
      <c r="D10" s="7" t="inlineStr">
        <is>
          <t>KKEG risk ≥ eşik</t>
        </is>
      </c>
      <c r="E10" s="7" t="inlineStr">
        <is>
          <t>kkeg_esik_tl</t>
        </is>
      </c>
      <c r="F10" s="46" t="n">
        <v>500000</v>
      </c>
      <c r="G10" s="46" t="n">
        <v>500000</v>
      </c>
      <c r="H10" s="46" t="n">
        <v>500000</v>
      </c>
      <c r="I10" s="7" t="inlineStr">
        <is>
          <t>01.01.2025</t>
        </is>
      </c>
      <c r="J10" s="7" t="inlineStr">
        <is>
          <t>KKEG RİSKİ karar eşiği (TL)</t>
        </is>
      </c>
      <c r="K10" s="39">
        <f>IF($A10="","",IFERROR(CHOOSE(MAX(1,MIN(3,IF(OR(hesapYili="",hesapYili=0),1,hesapYili-ose_yilTaban))),$F10,$G10,$H10),0))</f>
        <v/>
      </c>
    </row>
    <row r="11">
      <c r="A11" s="7" t="inlineStr">
        <is>
          <t>OSE-005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IF($A11="","",IFERROR(CHOOSE(MAX(1,MIN(3,IF(OR(hesapYili="",hesapYili=0),1,hesapYili-ose_yilTaban))),$F11,$G11,$H11),0))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Örtülü eşik (aktif yıl)</t>
        </is>
      </c>
      <c r="B15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16">
      <c r="A16" s="7" t="inlineStr">
        <is>
          <t>KKEG eşiği (aktif yıl)</t>
        </is>
      </c>
      <c r="B16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7">
      <c r="A17" s="7" t="inlineStr">
        <is>
          <t>Matris metni</t>
        </is>
      </c>
      <c r="B17" s="21">
        <f>IFERROR(_xlfn.TEXTJOIN(" | ",TRUE,"OSE-001=",TEXT(B15,"0.0"),"OSE-004=",TEXT(B16,"₺ #,##0"),"yıl=",IF(OR(hesapYili="",hesapYili=0),"-",hesapYili)),"-")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MOTOR — Örtülü Sermaye + Emsal Faiz + TF Paketi</t>
        </is>
      </c>
    </row>
    <row r="2"/>
    <row r="3" ht="22" customHeight="1">
      <c r="A3" s="228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OSE-005</t>
        </is>
      </c>
      <c r="G7" s="37">
        <f>IFERROR(hesapYili,0)</f>
        <v/>
      </c>
    </row>
    <row r="8">
      <c r="A8" s="48" t="n">
        <v>2</v>
      </c>
      <c r="B8" s="24" t="inlineStr">
        <is>
          <t>Örtülü oran eşiği</t>
        </is>
      </c>
      <c r="C8" s="49">
        <f>IFERROR(INDEX(CHOOSE(MAX(1,MIN(3,IF(OR(hesapYili="",hesapYili=0),1,hesapYili-ose_yilTaban))),tblKurallar[deger_2025],tblKurallar[deger_2026],tblKurallar[deger_2027]),MATCH("OSE-001",tblKurallar[kural_id],0)),0)</f>
        <v/>
      </c>
      <c r="D8" s="50" t="inlineStr">
        <is>
          <t>kat</t>
        </is>
      </c>
      <c r="E8" s="6" t="inlineStr">
        <is>
          <t>Borç/özkaynak eşiği</t>
        </is>
      </c>
      <c r="F8" s="23" t="inlineStr">
        <is>
          <t>OSE-001</t>
        </is>
      </c>
      <c r="G8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9">
      <c r="A9" s="48" t="n">
        <v>3</v>
      </c>
      <c r="B9" s="24" t="inlineStr">
        <is>
          <t>Emsal faiz referans</t>
        </is>
      </c>
      <c r="C9" s="51">
        <f>IFERROR(INDEX(CHOOSE(MAX(1,MIN(3,IF(OR(hesapYili="",hesapYili=0),1,hesapYili-ose_yilTaban))),tblKurallar[deger_2025],tblKurallar[deger_2026],tblKurallar[deger_2027]),MATCH("OSE-002",tblKurallar[kural_id],0)),0)</f>
        <v/>
      </c>
      <c r="D9" s="50" t="inlineStr">
        <is>
          <t>oran</t>
        </is>
      </c>
      <c r="E9" s="6" t="inlineStr">
        <is>
          <t>Referans emsal faiz</t>
        </is>
      </c>
      <c r="F9" s="23" t="inlineStr">
        <is>
          <t>OSE-002</t>
        </is>
      </c>
      <c r="G9" s="25">
        <f>IFERROR(INDEX(CHOOSE(MAX(1,MIN(3,IF(OR(hesapYili="",hesapYili=0),1,hesapYili-ose_yilTaban))),tblKurallar[deger_2025],tblKurallar[deger_2026],tblKurallar[deger_2027]),MATCH("OSE-002",tblKurallar[kural_id],0)),0)</f>
        <v/>
      </c>
    </row>
    <row r="10">
      <c r="A10" s="48" t="n">
        <v>4</v>
      </c>
      <c r="B10" s="24" t="inlineStr">
        <is>
          <t>Dikkat eşiği</t>
        </is>
      </c>
      <c r="C10" s="52">
        <f>IFERROR(INDEX(CHOOSE(MAX(1,MIN(3,IF(OR(hesapYili="",hesapYili=0),1,hesapYili-ose_yilTaban))),tblKurallar[deger_2025],tblKurallar[deger_2026],tblKurallar[deger_2027]),MATCH("OSE-003",tblKurallar[kural_id],0)),0)</f>
        <v/>
      </c>
      <c r="D10" s="50" t="inlineStr">
        <is>
          <t>TL</t>
        </is>
      </c>
      <c r="E10" s="6" t="inlineStr">
        <is>
          <t>DİKKAT KKEG eşiği</t>
        </is>
      </c>
      <c r="F10" s="23" t="inlineStr">
        <is>
          <t>OSE-003</t>
        </is>
      </c>
      <c r="G10" s="26">
        <f>IFERROR(INDEX(CHOOSE(MAX(1,MIN(3,IF(OR(hesapYili="",hesapYili=0),1,hesapYili-ose_yilTaban))),tblKurallar[deger_2025],tblKurallar[deger_2026],tblKurallar[deger_2027]),MATCH("OSE-003",tblKurallar[kural_id],0)),0)</f>
        <v/>
      </c>
    </row>
    <row r="11">
      <c r="A11" s="48" t="n">
        <v>5</v>
      </c>
      <c r="B11" s="24" t="inlineStr">
        <is>
          <t>KKEG risk eşiği</t>
        </is>
      </c>
      <c r="C11" s="52">
        <f>IFERROR(INDEX(CHOOSE(MAX(1,MIN(3,IF(OR(hesapYili="",hesapYili=0),1,hesapYili-ose_yilTaban))),tblKurallar[deger_2025],tblKurallar[deger_2026],tblKurallar[deger_2027]),MATCH("OSE-004",tblKurallar[kural_id],0)),0)</f>
        <v/>
      </c>
      <c r="D11" s="50" t="inlineStr">
        <is>
          <t>TL</t>
        </is>
      </c>
      <c r="E11" s="6" t="inlineStr">
        <is>
          <t>KKEG RİSKİ eşiği</t>
        </is>
      </c>
      <c r="F11" s="23" t="inlineStr">
        <is>
          <t>OSE-004</t>
        </is>
      </c>
      <c r="G11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IFERROR(INDEX(CHOOSE(MAX(1,MIN(3,IF(OR(hesapYili="",hesapYili=0),1,hesapYili-ose_yilTaban))),tblKurallar[deger_2025],tblKurallar[deger_2026],tblKurallar[deger_2027]),MATCH("OSE-005",tblKurallar[kural_id],0)),0)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OSE-005</t>
        </is>
      </c>
      <c r="G12" s="37">
        <f>IFERROR(INDEX(CHOOSE(MAX(1,MIN(3,IF(OR(hesapYili="",hesapYili=0),1,hesapYili-ose_yilTaban))),tblKurallar[deger_2025],tblKurallar[deger_2026],tblKurallar[deger_2027]),MATCH("OSE-005",tblKurallar[kural_id],0)),0)</f>
        <v/>
      </c>
    </row>
    <row r="13">
      <c r="A13" s="48" t="n">
        <v>7</v>
      </c>
      <c r="B13" s="24" t="inlineStr">
        <is>
          <t>Özkaynak</t>
        </is>
      </c>
      <c r="C13" s="52">
        <f>IFERROR(GIRDI!B9,0)</f>
        <v/>
      </c>
      <c r="D13" s="50" t="inlineStr">
        <is>
          <t>TL</t>
        </is>
      </c>
      <c r="E13" s="6" t="inlineStr">
        <is>
          <t>Özkaynak</t>
        </is>
      </c>
      <c r="F13" s="23" t="inlineStr">
        <is>
          <t>OSE-001</t>
        </is>
      </c>
      <c r="G13" s="26">
        <f>IFERROR(GIRDI!B9,0)</f>
        <v/>
      </c>
    </row>
    <row r="14">
      <c r="A14" s="48" t="n">
        <v>8</v>
      </c>
      <c r="B14" s="24" t="inlineStr">
        <is>
          <t>İlişkili borç</t>
        </is>
      </c>
      <c r="C14" s="52">
        <f>IFERROR(GIRDI!B10,0)</f>
        <v/>
      </c>
      <c r="D14" s="50" t="inlineStr">
        <is>
          <t>TL</t>
        </is>
      </c>
      <c r="E14" s="6" t="inlineStr">
        <is>
          <t>İlişkili borç toplamı</t>
        </is>
      </c>
      <c r="F14" s="23" t="inlineStr">
        <is>
          <t>OSE-001</t>
        </is>
      </c>
      <c r="G14" s="26">
        <f>IFERROR(GIRDI!B10,0)</f>
        <v/>
      </c>
    </row>
    <row r="15">
      <c r="A15" s="48" t="n">
        <v>9</v>
      </c>
      <c r="B15" s="24" t="inlineStr">
        <is>
          <t>Yıllık faiz gideri</t>
        </is>
      </c>
      <c r="C15" s="52">
        <f>IFERROR(GIRDI!B11,0)</f>
        <v/>
      </c>
      <c r="D15" s="50" t="inlineStr">
        <is>
          <t>TL</t>
        </is>
      </c>
      <c r="E15" s="6" t="inlineStr">
        <is>
          <t>Faiz gideri</t>
        </is>
      </c>
      <c r="F15" s="23" t="inlineStr">
        <is>
          <t>OSE-001</t>
        </is>
      </c>
      <c r="G15" s="26">
        <f>IFERROR(GIRDI!B11,0)</f>
        <v/>
      </c>
    </row>
    <row r="16">
      <c r="A16" s="48" t="n">
        <v>10</v>
      </c>
      <c r="B16" s="24" t="inlineStr">
        <is>
          <t>Uygulanan faiz oranı</t>
        </is>
      </c>
      <c r="C16" s="51">
        <f>IFERROR(GIRDI!B12,0)</f>
        <v/>
      </c>
      <c r="D16" s="50" t="inlineStr">
        <is>
          <t>oran</t>
        </is>
      </c>
      <c r="E16" s="6" t="inlineStr">
        <is>
          <t>Uygulanan faiz</t>
        </is>
      </c>
      <c r="F16" s="23" t="inlineStr">
        <is>
          <t>OSE-002</t>
        </is>
      </c>
      <c r="G16" s="25">
        <f>IFERROR(GIRDI!B12,0)</f>
        <v/>
      </c>
    </row>
    <row r="17">
      <c r="A17" s="48" t="n">
        <v>11</v>
      </c>
      <c r="B17" s="24" t="inlineStr">
        <is>
          <t>Emsal faiz oranı (giriş)</t>
        </is>
      </c>
      <c r="C17" s="51">
        <f>IFERROR(GIRDI!B13,0)</f>
        <v/>
      </c>
      <c r="D17" s="50" t="inlineStr">
        <is>
          <t>oran</t>
        </is>
      </c>
      <c r="E17" s="6" t="inlineStr">
        <is>
          <t>Emsal faiz GIRDI</t>
        </is>
      </c>
      <c r="F17" s="23" t="inlineStr">
        <is>
          <t>OSE-002</t>
        </is>
      </c>
      <c r="G17" s="25">
        <f>IFERROR(GIRDI!B13,0)</f>
        <v/>
      </c>
    </row>
    <row r="18">
      <c r="A18" s="48" t="n">
        <v>12</v>
      </c>
      <c r="B18" s="24" t="inlineStr">
        <is>
          <t>İlişkili işlem tutarı</t>
        </is>
      </c>
      <c r="C18" s="52">
        <f>IFERROR(GIRDI!B14,0)</f>
        <v/>
      </c>
      <c r="D18" s="50" t="inlineStr">
        <is>
          <t>TL</t>
        </is>
      </c>
      <c r="E18" s="6" t="inlineStr">
        <is>
          <t>TF işlem tutarı</t>
        </is>
      </c>
      <c r="F18" s="23" t="inlineStr">
        <is>
          <t>OSE-005</t>
        </is>
      </c>
      <c r="G18" s="26">
        <f>IFERROR(GIRDI!B14,0)</f>
        <v/>
      </c>
    </row>
    <row r="19">
      <c r="A19" s="48" t="n">
        <v>13</v>
      </c>
      <c r="B19" s="24" t="inlineStr">
        <is>
          <t>Emsal bedel</t>
        </is>
      </c>
      <c r="C19" s="52">
        <f>IFERROR(GIRDI!B15,0)</f>
        <v/>
      </c>
      <c r="D19" s="50" t="inlineStr">
        <is>
          <t>TL</t>
        </is>
      </c>
      <c r="E19" s="6" t="inlineStr">
        <is>
          <t>TF emsal bedel</t>
        </is>
      </c>
      <c r="F19" s="23" t="inlineStr">
        <is>
          <t>OSE-005</t>
        </is>
      </c>
      <c r="G19" s="26">
        <f>IFERROR(GIRDI!B15,0)</f>
        <v/>
      </c>
    </row>
    <row r="20">
      <c r="A20" s="48" t="n">
        <v>14</v>
      </c>
      <c r="B20" s="24" t="inlineStr">
        <is>
          <t>Yorum çarpanı</t>
        </is>
      </c>
      <c r="C20" s="51">
        <f>IFERROR(IF(GIRDI!B16="B",1+ose_payArtisOran,1),0)</f>
        <v/>
      </c>
      <c r="D20" s="50" t="inlineStr">
        <is>
          <t>çarpan</t>
        </is>
      </c>
      <c r="E20" s="6" t="inlineStr">
        <is>
          <t>Yorum A/B çarpanı</t>
        </is>
      </c>
      <c r="F20" s="23" t="inlineStr">
        <is>
          <t>OSE-005</t>
        </is>
      </c>
      <c r="G20" s="25">
        <f>IFERROR(IF(GIRDI!B16="B",1+ose_payArtisOran,1),0)</f>
        <v/>
      </c>
    </row>
    <row r="21">
      <c r="A21" s="48" t="n">
        <v>15</v>
      </c>
      <c r="B21" s="24" t="inlineStr">
        <is>
          <t>Emsal faiz efektif</t>
        </is>
      </c>
      <c r="C21" s="51">
        <f>IFERROR(IF(G17&gt;0,G17,G9),0)</f>
        <v/>
      </c>
      <c r="D21" s="50" t="inlineStr">
        <is>
          <t>oran</t>
        </is>
      </c>
      <c r="E21" s="6" t="inlineStr">
        <is>
          <t>GIRDI yoksa referans</t>
        </is>
      </c>
      <c r="F21" s="23" t="inlineStr">
        <is>
          <t>OSE-002</t>
        </is>
      </c>
      <c r="G21" s="25">
        <f>IFERROR(IF(G17&gt;0,G17,G9),0)</f>
        <v/>
      </c>
    </row>
    <row r="22">
      <c r="A22" s="48" t="n">
        <v>16</v>
      </c>
      <c r="B22" s="24" t="inlineStr">
        <is>
          <t>Borç / özkaynak oranı</t>
        </is>
      </c>
      <c r="C22" s="51">
        <f>IFERROR(IF(G13=0,0,G14/G13),0)</f>
        <v/>
      </c>
      <c r="D22" s="50" t="inlineStr">
        <is>
          <t>oran</t>
        </is>
      </c>
      <c r="E22" s="6" t="inlineStr">
        <is>
          <t>Örtülü sermaye oranı</t>
        </is>
      </c>
      <c r="F22" s="23" t="inlineStr">
        <is>
          <t>OSE-001</t>
        </is>
      </c>
      <c r="G22" s="25">
        <f>IFERROR(IF(G13=0,0,G14/G13),0)</f>
        <v/>
      </c>
    </row>
    <row r="23">
      <c r="A23" s="48" t="n">
        <v>17</v>
      </c>
      <c r="B23" s="24" t="inlineStr">
        <is>
          <t>Aşan borç</t>
        </is>
      </c>
      <c r="C23" s="52">
        <f>IFERROR(ROUND(MAX(0,G14-G13*G8)*G20,MAX(0,MIN(ose_yuvarMax,IFERROR(N(G12),0)))),0)</f>
        <v/>
      </c>
      <c r="D23" s="50" t="inlineStr">
        <is>
          <t>TL</t>
        </is>
      </c>
      <c r="E23" s="6" t="inlineStr">
        <is>
          <t>Eşik üstü borç (yorumlu)</t>
        </is>
      </c>
      <c r="F23" s="23" t="inlineStr">
        <is>
          <t>OSE-001</t>
        </is>
      </c>
      <c r="G23" s="26">
        <f>IFERROR(ROUND(MAX(0,G14-G13*G8)*G20,MAX(0,MIN(ose_yuvarMax,IFERROR(N(G12),0)))),0)</f>
        <v/>
      </c>
    </row>
    <row r="24">
      <c r="A24" s="48" t="n">
        <v>18</v>
      </c>
      <c r="B24" s="24" t="inlineStr">
        <is>
          <t>Kabul edilmeyen faiz</t>
        </is>
      </c>
      <c r="C24" s="52">
        <f>IFERROR(ROUND(IF(G14=0,0,G15*(G23/G14)),MAX(0,MIN(ose_yuvarMax,IFERROR(N(G12),0)))),0)</f>
        <v/>
      </c>
      <c r="D24" s="50" t="inlineStr">
        <is>
          <t>TL</t>
        </is>
      </c>
      <c r="E24" s="6" t="inlineStr">
        <is>
          <t>Örtülü sermaye faiz KKEG</t>
        </is>
      </c>
      <c r="F24" s="23" t="inlineStr">
        <is>
          <t>OSE-001</t>
        </is>
      </c>
      <c r="G24" s="26">
        <f>IFERROR(ROUND(IF(G14=0,0,G15*(G23/G14)),MAX(0,MIN(ose_yuvarMax,IFERROR(N(G12),0)))),0)</f>
        <v/>
      </c>
    </row>
    <row r="25">
      <c r="A25" s="48" t="n">
        <v>19</v>
      </c>
      <c r="B25" s="24" t="inlineStr">
        <is>
          <t>Emsal faiz farkı</t>
        </is>
      </c>
      <c r="C25" s="52">
        <f>IFERROR(ROUND(MAX(0,G16-G21)*G14,MAX(0,MIN(ose_yuvarMax,IFERROR(N(G12),0)))),0)</f>
        <v/>
      </c>
      <c r="D25" s="50" t="inlineStr">
        <is>
          <t>TL</t>
        </is>
      </c>
      <c r="E25" s="6" t="inlineStr">
        <is>
          <t>(Uygulanan−emsal)×borç</t>
        </is>
      </c>
      <c r="F25" s="23" t="inlineStr">
        <is>
          <t>OSE-002</t>
        </is>
      </c>
      <c r="G25" s="26">
        <f>IFERROR(ROUND(MAX(0,G16-G21)*G14,MAX(0,MIN(ose_yuvarMax,IFERROR(N(G12),0)))),0)</f>
        <v/>
      </c>
    </row>
    <row r="26">
      <c r="A26" s="48" t="n">
        <v>20</v>
      </c>
      <c r="B26" s="24" t="inlineStr">
        <is>
          <t>TF farkı</t>
        </is>
      </c>
      <c r="C26" s="52">
        <f>IFERROR(ROUND(ABS(G18-G19),MAX(0,MIN(ose_yuvarMax,IFERROR(N(G12),0)))),0)</f>
        <v/>
      </c>
      <c r="D26" s="50" t="inlineStr">
        <is>
          <t>TL</t>
        </is>
      </c>
      <c r="E26" s="6" t="inlineStr">
        <is>
          <t>|İşlem−emsal bedel|</t>
        </is>
      </c>
      <c r="F26" s="23" t="inlineStr">
        <is>
          <t>OSE-005</t>
        </is>
      </c>
      <c r="G26" s="26">
        <f>IFERROR(ROUND(ABS(G18-G19),MAX(0,MIN(ose_yuvarMax,IFERROR(N(G12),0)))),0)</f>
        <v/>
      </c>
    </row>
    <row r="27">
      <c r="A27" s="48" t="n">
        <v>21</v>
      </c>
      <c r="B27" s="24" t="inlineStr">
        <is>
          <t>Toplam KKEG riski</t>
        </is>
      </c>
      <c r="C27" s="52">
        <f>IFERROR(G24+G25+G26,0)</f>
        <v/>
      </c>
      <c r="D27" s="50" t="inlineStr">
        <is>
          <t>TL</t>
        </is>
      </c>
      <c r="E27" s="6" t="inlineStr">
        <is>
          <t>Üç kalem toplamı</t>
        </is>
      </c>
      <c r="F27" s="23" t="inlineStr">
        <is>
          <t>OSE-004</t>
        </is>
      </c>
      <c r="G27" s="26">
        <f>IFERROR(G24+G25+G26,0)</f>
        <v/>
      </c>
    </row>
    <row r="28">
      <c r="A28" s="48" t="n">
        <v>22</v>
      </c>
      <c r="B28" s="24" t="inlineStr">
        <is>
          <t>Toplam KKEG (pano)</t>
        </is>
      </c>
      <c r="C28" s="52">
        <f>IFERROR(G27,0)</f>
        <v/>
      </c>
      <c r="D28" s="50" t="inlineStr">
        <is>
          <t>TL</t>
        </is>
      </c>
      <c r="E28" s="6" t="inlineStr">
        <is>
          <t>KKEG ayna</t>
        </is>
      </c>
      <c r="F28" s="23" t="inlineStr">
        <is>
          <t>OSE-004</t>
        </is>
      </c>
      <c r="G28" s="26">
        <f>IFERROR(G27,0)</f>
        <v/>
      </c>
    </row>
    <row r="29">
      <c r="A29" s="48" t="n">
        <v>23</v>
      </c>
      <c r="B29" s="24" t="inlineStr">
        <is>
          <t>Borç oranı (pano)</t>
        </is>
      </c>
      <c r="C29" s="51">
        <f>IFERROR(G22,0)</f>
        <v/>
      </c>
      <c r="D29" s="50" t="inlineStr">
        <is>
          <t>oran</t>
        </is>
      </c>
      <c r="E29" s="6" t="inlineStr">
        <is>
          <t>Oran ayna</t>
        </is>
      </c>
      <c r="F29" s="23" t="inlineStr">
        <is>
          <t>OSE-001</t>
        </is>
      </c>
      <c r="G29" s="25">
        <f>IFERROR(G22,0)</f>
        <v/>
      </c>
    </row>
    <row r="30">
      <c r="A30" s="48" t="n">
        <v>24</v>
      </c>
      <c r="B30" s="24" t="inlineStr">
        <is>
          <t>Kabul edilmeyen (pano)</t>
        </is>
      </c>
      <c r="C30" s="52">
        <f>IFERROR(G24,0)</f>
        <v/>
      </c>
      <c r="D30" s="50" t="inlineStr">
        <is>
          <t>TL</t>
        </is>
      </c>
      <c r="E30" s="6" t="inlineStr">
        <is>
          <t>Faiz KKEG ayna</t>
        </is>
      </c>
      <c r="F30" s="23" t="inlineStr">
        <is>
          <t>OSE-001</t>
        </is>
      </c>
      <c r="G30" s="26">
        <f>IFERROR(G24,0)</f>
        <v/>
      </c>
    </row>
    <row r="31">
      <c r="A31" s="48" t="n">
        <v>25</v>
      </c>
      <c r="B31" s="24" t="inlineStr">
        <is>
          <t>Kabul edilmeyen / faiz</t>
        </is>
      </c>
      <c r="C31" s="51">
        <f>IFERROR(IF(G15=0,0,G24/G15),0)</f>
        <v/>
      </c>
      <c r="D31" s="50" t="inlineStr">
        <is>
          <t>oran</t>
        </is>
      </c>
      <c r="E31" s="6" t="inlineStr">
        <is>
          <t>Faiz kısıt oranı</t>
        </is>
      </c>
      <c r="F31" s="23" t="inlineStr">
        <is>
          <t>OSE-001</t>
        </is>
      </c>
      <c r="G31" s="25">
        <f>IFERROR(IF(G15=0,0,G24/G15),0)</f>
        <v/>
      </c>
    </row>
    <row r="32">
      <c r="A32" s="48" t="n">
        <v>26</v>
      </c>
      <c r="B32" s="24" t="inlineStr">
        <is>
          <t>TF / işlem yoğunluğu</t>
        </is>
      </c>
      <c r="C32" s="51">
        <f>IFERROR(IF(G18=0,0,G26/G18),0)</f>
        <v/>
      </c>
      <c r="D32" s="50" t="inlineStr">
        <is>
          <t>oran</t>
        </is>
      </c>
      <c r="E32" s="6" t="inlineStr">
        <is>
          <t>TF fark yoğunluğu</t>
        </is>
      </c>
      <c r="F32" s="23" t="inlineStr">
        <is>
          <t>OSE-005</t>
        </is>
      </c>
      <c r="G32" s="25">
        <f>IFERROR(IF(G18=0,0,G26/G18),0)</f>
        <v/>
      </c>
    </row>
    <row r="33">
      <c r="A33" s="48" t="n">
        <v>27</v>
      </c>
      <c r="B33" s="24" t="inlineStr">
        <is>
          <t>Karar kodu</t>
        </is>
      </c>
      <c r="C33" s="21">
        <f>IFERROR(IF(COUNTA(tblGirdi[Alan Anahtarı])=0,"VERI_YOK",IF(OR(G27&gt;=G11,AND(G22&gt;G8,G24&gt;0,G27&gt;=G10)),"KKEG_RISKI",IF(OR(G27&gt;=G10,G22&gt;G8),"DIKKAT","TEMIZ"))),"")</f>
        <v/>
      </c>
      <c r="D33" s="50" t="inlineStr">
        <is>
          <t>kod</t>
        </is>
      </c>
      <c r="E33" s="6" t="inlineStr">
        <is>
          <t>Karar kodu</t>
        </is>
      </c>
      <c r="F33" s="23" t="inlineStr">
        <is>
          <t>OSE-005</t>
        </is>
      </c>
      <c r="G33" s="27">
        <f>IFERROR(IF(COUNTA(tblGirdi[Alan Anahtarı])=0,"VERI_YOK",IF(OR(G27&gt;=G11,AND(G22&gt;G8,G24&gt;0,G27&gt;=G10)),"KKEG_RISKI",IF(OR(G27&gt;=G10,G22&gt;G8),"DIKKAT","TEMIZ"))),"")</f>
        <v/>
      </c>
    </row>
    <row r="34">
      <c r="A34" s="48" t="n">
        <v>28</v>
      </c>
      <c r="B34" s="24" t="inlineStr">
        <is>
          <t>Karar metni</t>
        </is>
      </c>
      <c r="C34" s="21">
        <f>IFERROR(IF(G33="VERI_YOK","VERİ YOK",IF(G33="KKEG_RISKI","KKEG RİSKİ",IF(G33="DIKKAT","DİKKAT","TEMİZ"))),"")</f>
        <v/>
      </c>
      <c r="D34" s="50" t="inlineStr">
        <is>
          <t>metin</t>
        </is>
      </c>
      <c r="E34" s="6" t="inlineStr">
        <is>
          <t>Kullanıcıya karar</t>
        </is>
      </c>
      <c r="F34" s="23" t="inlineStr">
        <is>
          <t>OSE-005</t>
        </is>
      </c>
      <c r="G34" s="27">
        <f>IFERROR(IF(G33="VERI_YOK","VERİ YOK",IF(G33="KKEG_RISKI","KKEG RİSKİ",IF(G33="DIKKAT","DİKKAT","TEMİZ"))),"")</f>
        <v/>
      </c>
    </row>
    <row r="35">
      <c r="A35" s="48" t="n">
        <v>29</v>
      </c>
      <c r="B35" s="24" t="inlineStr">
        <is>
          <t>Gerekçe</t>
        </is>
      </c>
      <c r="C35" s="21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AND emsal faiz dayanağını gözden geçirin.","Borç/özkaynak eşiğin altında AND KKEG riski düşük; dosya TEMİZ görünüyor."))),"")</f>
        <v/>
      </c>
      <c r="D35" s="50" t="inlineStr">
        <is>
          <t>metin</t>
        </is>
      </c>
      <c r="E35" s="6" t="inlineStr">
        <is>
          <t>Gerekçe cümlesi</t>
        </is>
      </c>
      <c r="F35" s="23" t="inlineStr">
        <is>
          <t>OSE-005</t>
        </is>
      </c>
      <c r="G35" s="27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AND emsal faiz dayanağını gözden geçirin.","Borç/özkaynak eşiğin altında AND KKEG riski düşük; dosya TEMİZ görünüyor."))),"")</f>
        <v/>
      </c>
    </row>
    <row r="36">
      <c r="A36" s="48" t="n">
        <v>30</v>
      </c>
      <c r="B36" s="24" t="inlineStr">
        <is>
          <t>Emsal faiz fark / toplam</t>
        </is>
      </c>
      <c r="C36" s="51">
        <f>IFERROR(IF(G27=0,0,G25/G27),0)</f>
        <v/>
      </c>
      <c r="D36" s="50" t="inlineStr">
        <is>
          <t>oran</t>
        </is>
      </c>
      <c r="E36" s="6" t="inlineStr">
        <is>
          <t>Faiz fark payı</t>
        </is>
      </c>
      <c r="F36" s="23" t="inlineStr">
        <is>
          <t>OSE-002</t>
        </is>
      </c>
      <c r="G36" s="25">
        <f>IFERROR(IF(G27=0,0,G25/G27),0)</f>
        <v/>
      </c>
    </row>
    <row r="37">
      <c r="A37" s="48" t="n">
        <v>31</v>
      </c>
      <c r="B37" s="24" t="inlineStr">
        <is>
          <t>Örtülü bayrak</t>
        </is>
      </c>
      <c r="C37" s="49">
        <f>IFERROR(IF(G22&gt;G8,1,0),0)</f>
        <v/>
      </c>
      <c r="D37" s="50" t="inlineStr">
        <is>
          <t>bayrak</t>
        </is>
      </c>
      <c r="E37" s="6" t="inlineStr">
        <is>
          <t>Eşik aşıldı mı</t>
        </is>
      </c>
      <c r="F37" s="23" t="inlineStr">
        <is>
          <t>OSE-001</t>
        </is>
      </c>
      <c r="G37" s="37">
        <f>IFERROR(IF(G22&gt;G8,1,0),0)</f>
        <v/>
      </c>
    </row>
    <row r="38">
      <c r="A38" s="48" t="n">
        <v>32</v>
      </c>
      <c r="B38" s="24" t="inlineStr">
        <is>
          <t>Güven skoru</t>
        </is>
      </c>
      <c r="C38" s="49">
        <f>IFERROR(ROUND(IF(OR(COUNTA(GIRDI!B6:B16)=0,ose_girisBeklenen=0),0,COUNTA(GIRDI!B6:B16)/ose_girisBeklenen*100),0),0)</f>
        <v/>
      </c>
      <c r="D38" s="50" t="inlineStr">
        <is>
          <t>puan</t>
        </is>
      </c>
      <c r="E38" s="6" t="inlineStr">
        <is>
          <t>Giriş bütünlüğü</t>
        </is>
      </c>
      <c r="F38" s="23" t="inlineStr">
        <is>
          <t>OSE-005</t>
        </is>
      </c>
      <c r="G38" s="37">
        <f>IFERROR(ROUND(IF(OR(COUNTA(GIRDI!B6:B16)=0,ose_girisBeklenen=0),0,COUNTA(GIRDI!B6:B16)/ose_girisBeklenen*100),0),0)</f>
        <v/>
      </c>
    </row>
    <row r="39">
      <c r="A39" s="48" t="n">
        <v>33</v>
      </c>
      <c r="B39" s="24" t="inlineStr">
        <is>
          <t>Risk skoru</t>
        </is>
      </c>
      <c r="C39" s="49">
        <f>IFERROR(IF(G33="VERI_YOK",0,IF(G33="TEMIZ",ose_riskDusuk,IF(G33="DIKKAT",ose_riskOrta,ose_riskYuksek))),0)</f>
        <v/>
      </c>
      <c r="D39" s="50" t="inlineStr">
        <is>
          <t>puan</t>
        </is>
      </c>
      <c r="E39" s="6" t="inlineStr">
        <is>
          <t>KKEG risk skoru</t>
        </is>
      </c>
      <c r="F39" s="23" t="inlineStr">
        <is>
          <t>OSE-005</t>
        </is>
      </c>
      <c r="G39" s="37">
        <f>IFERROR(IF(G33="VERI_YOK",0,IF(G33="TEMIZ",ose_riskDusuk,IF(G33="DIKKAT",ose_riskOrta,ose_riskYuksek))),0)</f>
        <v/>
      </c>
    </row>
    <row r="40">
      <c r="A40" s="48" t="n">
        <v>34</v>
      </c>
      <c r="B40" s="24" t="inlineStr">
        <is>
          <t>Senaryo iyimser KKEG</t>
        </is>
      </c>
      <c r="C40" s="52">
        <f>IFERROR(G27*ose_senaryoIyi,0)</f>
        <v/>
      </c>
      <c r="D40" s="50" t="inlineStr">
        <is>
          <t>TL</t>
        </is>
      </c>
      <c r="E40" s="6" t="inlineStr">
        <is>
          <t>İyimser (düşük) risk</t>
        </is>
      </c>
      <c r="F40" s="23" t="inlineStr">
        <is>
          <t>OSE-004</t>
        </is>
      </c>
      <c r="G40" s="26">
        <f>IFERROR(G27*ose_senaryoIyi,0)</f>
        <v/>
      </c>
    </row>
    <row r="41">
      <c r="A41" s="48" t="n">
        <v>35</v>
      </c>
      <c r="B41" s="24" t="inlineStr">
        <is>
          <t>Senaryo kötümser KKEG</t>
        </is>
      </c>
      <c r="C41" s="52">
        <f>IFERROR(G27*ose_senaryoKotu,0)</f>
        <v/>
      </c>
      <c r="D41" s="50" t="inlineStr">
        <is>
          <t>TL</t>
        </is>
      </c>
      <c r="E41" s="6" t="inlineStr">
        <is>
          <t>Kötümser (yüksek) risk</t>
        </is>
      </c>
      <c r="F41" s="23" t="inlineStr">
        <is>
          <t>OSE-004</t>
        </is>
      </c>
      <c r="G41" s="26">
        <f>IFERROR(G27*ose_senaryoKotu,0)</f>
        <v/>
      </c>
    </row>
    <row r="42">
      <c r="A42" s="48" t="n">
        <v>36</v>
      </c>
      <c r="B42" s="24" t="inlineStr">
        <is>
          <t>İyimser KKEG (düşük)</t>
        </is>
      </c>
      <c r="C42" s="52">
        <f>IFERROR(ROUND(G27*ose_senaryoKotu,MAX(0,MIN(ose_yuvarMax,IFERROR(N(G12),0)))),0)</f>
        <v/>
      </c>
      <c r="D42" s="50" t="inlineStr">
        <is>
          <t>TL</t>
        </is>
      </c>
      <c r="E42" s="6" t="inlineStr">
        <is>
          <t>İyimser düşük risk</t>
        </is>
      </c>
      <c r="F42" s="23" t="inlineStr">
        <is>
          <t>OSE-004</t>
        </is>
      </c>
      <c r="G42" s="26">
        <f>IFERROR(ROUND(G27*ose_senaryoKotu,MAX(0,MIN(ose_yuvarMax,IFERROR(N(G12),0)))),0)</f>
        <v/>
      </c>
    </row>
    <row r="43">
      <c r="A43" s="48" t="n">
        <v>37</v>
      </c>
      <c r="B43" s="24" t="inlineStr">
        <is>
          <t>Kötümser KKEG (yüksek)</t>
        </is>
      </c>
      <c r="C43" s="52">
        <f>IFERROR(ROUND(G27*ose_senaryoIyi,MAX(0,MIN(ose_yuvarMax,IFERROR(N(G12),0)))),0)</f>
        <v/>
      </c>
      <c r="D43" s="50" t="inlineStr">
        <is>
          <t>TL</t>
        </is>
      </c>
      <c r="E43" s="6" t="inlineStr">
        <is>
          <t>Kötümser yüksek risk</t>
        </is>
      </c>
      <c r="F43" s="23" t="inlineStr">
        <is>
          <t>OSE-004</t>
        </is>
      </c>
      <c r="G43" s="26">
        <f>IFERROR(ROUND(G27*ose_senaryoIyi,MAX(0,MIN(ose_yuvarMax,IFERROR(N(G12),0)))),0)</f>
        <v/>
      </c>
    </row>
    <row r="44">
      <c r="A44" s="48" t="n">
        <v>38</v>
      </c>
      <c r="B44" s="24" t="inlineStr">
        <is>
          <t>M-SEN eşik sıkı</t>
        </is>
      </c>
      <c r="C44" s="49">
        <f>IFERROR(MAX(1,G8-ose_esikSikilastirma),0)</f>
        <v/>
      </c>
      <c r="D44" s="50" t="inlineStr">
        <is>
          <t>kat</t>
        </is>
      </c>
      <c r="E44" s="6" t="inlineStr">
        <is>
          <t>Eşik sıkılaştırma</t>
        </is>
      </c>
      <c r="F44" s="23" t="inlineStr">
        <is>
          <t>OSE-001</t>
        </is>
      </c>
      <c r="G44" s="37">
        <f>IFERROR(MAX(1,G8-ose_esikSikilastirma),0)</f>
        <v/>
      </c>
    </row>
    <row r="45">
      <c r="A45" s="48" t="n">
        <v>39</v>
      </c>
      <c r="B45" s="24" t="inlineStr">
        <is>
          <t>M-SEN aşan borç</t>
        </is>
      </c>
      <c r="C45" s="52">
        <f>IFERROR(ROUND(MAX(0,G14-G13*G44)*G20,MAX(0,MIN(ose_yuvarMax,IFERROR(N(G12),0)))),0)</f>
        <v/>
      </c>
      <c r="D45" s="50" t="inlineStr">
        <is>
          <t>TL</t>
        </is>
      </c>
      <c r="E45" s="6" t="inlineStr">
        <is>
          <t>Sıkı eşikte aşan borç</t>
        </is>
      </c>
      <c r="F45" s="23" t="inlineStr">
        <is>
          <t>OSE-001</t>
        </is>
      </c>
      <c r="G45" s="26">
        <f>IFERROR(ROUND(MAX(0,G14-G13*G44)*G20,MAX(0,MIN(ose_yuvarMax,IFERROR(N(G12),0)))),0)</f>
        <v/>
      </c>
    </row>
    <row r="46">
      <c r="A46" s="48" t="n">
        <v>40</v>
      </c>
      <c r="B46" s="24" t="inlineStr">
        <is>
          <t>M-SEN KKEG</t>
        </is>
      </c>
      <c r="C46" s="52">
        <f>IFERROR(ROUND(IF(G14=0,0,G15*(G45/G14))+G25+G26,MAX(0,MIN(ose_yuvarMax,IFERROR(N(G12),0)))),0)</f>
        <v/>
      </c>
      <c r="D46" s="50" t="inlineStr">
        <is>
          <t>TL</t>
        </is>
      </c>
      <c r="E46" s="6" t="inlineStr">
        <is>
          <t>M-SEN toplam KKEG</t>
        </is>
      </c>
      <c r="F46" s="23" t="inlineStr">
        <is>
          <t>OSE-001</t>
        </is>
      </c>
      <c r="G46" s="26">
        <f>IFERROR(ROUND(IF(G14=0,0,G15*(G45/G14))+G25+G26,MAX(0,MIN(ose_yuvarMax,IFERROR(N(G12),0)))),0)</f>
        <v/>
      </c>
    </row>
    <row r="47">
      <c r="A47" s="48" t="n">
        <v>41</v>
      </c>
      <c r="B47" s="24" t="inlineStr">
        <is>
          <t>Tahmin üst</t>
        </is>
      </c>
      <c r="C47" s="52">
        <f>IFERROR(G27*ose_tahminUst,0)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OSE-005</t>
        </is>
      </c>
      <c r="G47" s="26">
        <f>IFERROR(G27*ose_tahminUst,0)</f>
        <v/>
      </c>
    </row>
    <row r="48">
      <c r="A48" s="48" t="n">
        <v>42</v>
      </c>
      <c r="B48" s="24" t="inlineStr">
        <is>
          <t>Tahmin alt</t>
        </is>
      </c>
      <c r="C48" s="52">
        <f>IFERROR(G27*ose_tahminAlt,0)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OSE-005</t>
        </is>
      </c>
      <c r="G48" s="26">
        <f>IFERROR(G27*ose_tahminAlt,0)</f>
        <v/>
      </c>
    </row>
    <row r="49">
      <c r="A49" s="48" t="n">
        <v>43</v>
      </c>
      <c r="B49" s="24" t="inlineStr">
        <is>
          <t>Tornado: borç etkisi</t>
        </is>
      </c>
      <c r="C49" s="52">
        <f>IFERROR(ABS(ROUND(IF(G14*ose_tornadoHasilat=0,0,G15*(MAX(0,G14*ose_tornadoHasilat-G13*G8)*G20)/(G14*ose_tornadoHasilat))+MAX(0,G16-G21)*G14*ose_tornadoHasilat+G26,MAX(0,MIN(ose_yuvarMax,IFERROR(N(G12),0))))-G27),0)</f>
        <v/>
      </c>
      <c r="D49" s="50" t="inlineStr">
        <is>
          <t>TL</t>
        </is>
      </c>
      <c r="E49" s="6" t="inlineStr">
        <is>
          <t>Borç ± etki</t>
        </is>
      </c>
      <c r="F49" s="23" t="inlineStr">
        <is>
          <t>OSE-001</t>
        </is>
      </c>
      <c r="G49" s="26">
        <f>IFERROR(ABS(ROUND(IF(G14*ose_tornadoHasilat=0,0,G15*(MAX(0,G14*ose_tornadoHasilat-G13*G8)*G20)/(G14*ose_tornadoHasilat))+MAX(0,G16-G21)*G14*ose_tornadoHasilat+G26,MAX(0,MIN(ose_yuvarMax,IFERROR(N(G12),0))))-G27),0)</f>
        <v/>
      </c>
    </row>
    <row r="50">
      <c r="A50" s="48" t="n">
        <v>44</v>
      </c>
      <c r="B50" s="24" t="inlineStr">
        <is>
          <t>Tornado: faiz oranı etkisi</t>
        </is>
      </c>
      <c r="C50" s="52">
        <f>IFERROR(ABS(ROUND(G24+MAX(0,G16*ose_tornadoMaliyet-G21)*G14+G26,MAX(0,MIN(ose_yuvarMax,IFERROR(N(G12),0))))-G27),0)</f>
        <v/>
      </c>
      <c r="D50" s="50" t="inlineStr">
        <is>
          <t>TL</t>
        </is>
      </c>
      <c r="E50" s="6" t="inlineStr">
        <is>
          <t>Uygulanan faiz ± etki</t>
        </is>
      </c>
      <c r="F50" s="23" t="inlineStr">
        <is>
          <t>OSE-002</t>
        </is>
      </c>
      <c r="G50" s="26">
        <f>IFERROR(ABS(ROUND(G24+MAX(0,G16*ose_tornadoMaliyet-G21)*G14+G26,MAX(0,MIN(ose_yuvarMax,IFERROR(N(G12),0))))-G27),0)</f>
        <v/>
      </c>
    </row>
    <row r="51">
      <c r="A51" s="48" t="n">
        <v>45</v>
      </c>
      <c r="B51" s="24" t="inlineStr">
        <is>
          <t>Tornado: TF etkisi</t>
        </is>
      </c>
      <c r="C51" s="52">
        <f>IFERROR(ABS(ROUND(G24+G25+ABS(G18*ose_tornadoHasilat-G19),MAX(0,MIN(ose_yuvarMax,IFERROR(N(G12),0))))-G27),0)</f>
        <v/>
      </c>
      <c r="D51" s="50" t="inlineStr">
        <is>
          <t>TL</t>
        </is>
      </c>
      <c r="E51" s="6" t="inlineStr">
        <is>
          <t>TF ± etki</t>
        </is>
      </c>
      <c r="F51" s="23" t="inlineStr">
        <is>
          <t>OSE-005</t>
        </is>
      </c>
      <c r="G51" s="26">
        <f>IFERROR(ABS(ROUND(G24+G25+ABS(G18*ose_tornadoHasilat-G19),MAX(0,MIN(ose_yuvarMax,IFERROR(N(G12),0))))-G27),0)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",TRUE,"OSE-001→örtülü eşik","OSE-002→emsal faiz","OSE-003→dikkat eşiği","OSE-004→KKEG eşiği"),"")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OSE-001</t>
        </is>
      </c>
      <c r="G52" s="27">
        <f>IFERROR(_xlfn.TEXTJOIN(" | ",TRUE,"OSE-001→örtülü eşik","OSE-002→emsal faiz","OSE-003→dikkat eşiği","OSE-004→KKEG eşiği"),"")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",TRUE,"Oran=",TEXT(G22,"0.00"),"KabulEdilmeyen=",TEXT(G24,"₺ #,##0"),"EmsalFark=",TEXT(G25,"₺ #,##0"),"TF=",TEXT(G26,"₺ #,##0"),"Toplam=",TEXT(G27,"₺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OSE-005</t>
        </is>
      </c>
      <c r="G53" s="27">
        <f>IFERROR(_xlfn.TEXTJOIN(" · ",TRUE,"Oran=",TEXT(G22,"0.00"),"KabulEdilmeyen=",TEXT(G24,"₺ #,##0"),"EmsalFark=",TEXT(G25,"₺ #,##0"),"TF=",TEXT(G26,"₺ #,##0"),"Toplam=",TEXT(G27,"₺ #,##0")),"")</f>
        <v/>
      </c>
    </row>
    <row r="54"/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F7="OSE-001"</formula>
    </cfRule>
    <cfRule type="expression" priority="3" dxfId="3">
      <formula>F7="OSE-005"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SENARYO — Örtülü Sermaye + Emsal Faiz + TF Paketi</t>
        </is>
      </c>
    </row>
    <row r="2"/>
    <row r="3" ht="22" customHeight="1">
      <c r="A3" s="228" t="inlineStr">
        <is>
          <t>Senaryo ve duyarlılık</t>
        </is>
      </c>
    </row>
    <row r="4"/>
    <row r="5">
      <c r="A5" s="53" t="inlineStr">
        <is>
          <t>Senaryo</t>
        </is>
      </c>
      <c r="B5" s="53" t="inlineStr">
        <is>
          <t>Risk Çarpanı</t>
        </is>
      </c>
      <c r="C5" s="53" t="inlineStr">
        <is>
          <t>KKEG Riski</t>
        </is>
      </c>
      <c r="D5" s="53" t="inlineStr">
        <is>
          <t>KKEG (karar)</t>
        </is>
      </c>
      <c r="E5" s="53" t="inlineStr">
        <is>
          <t>Karar</t>
        </is>
      </c>
      <c r="G5" s="53" t="inlineStr">
        <is>
          <t>KkegDemo</t>
        </is>
      </c>
    </row>
    <row r="6">
      <c r="A6" s="7" t="inlineStr">
        <is>
          <t>İyimser</t>
        </is>
      </c>
      <c r="B6" s="25">
        <f>IFERROR(ose_senaryoKotu+N(GIRDI!B9)*ose_sifirCarpan,0)</f>
        <v/>
      </c>
      <c r="C6" s="26">
        <f>IFERROR(MOTOR!G42,0)</f>
        <v/>
      </c>
      <c r="D6" s="26">
        <f>IFERROR(MOTOR!G42,0)</f>
        <v/>
      </c>
      <c r="E6" s="27">
        <f>IF(COUNTA(tblGirdi[Alan Anahtarı])=0,"VERİ YOK",IF(D6&gt;=MOTOR!G11,"KKEG RİSKİ",IF(D6&gt;=MOTOR!G10,"DİKKAT","TEMİZ")))</f>
        <v/>
      </c>
      <c r="G6" s="29" t="n">
        <v>1955000</v>
      </c>
    </row>
    <row r="7">
      <c r="A7" s="7" t="inlineStr">
        <is>
          <t>Baz</t>
        </is>
      </c>
      <c r="B7" s="25">
        <f>IFERROR(ose_bazCarpan+N(GIRDI!B9)*ose_sifirCarpan,ose_bazCarpan)</f>
        <v/>
      </c>
      <c r="C7" s="26">
        <f>IFERROR(ose_toplamKkeg,0)</f>
        <v/>
      </c>
      <c r="D7" s="26">
        <f>IFERROR(ose_toplamKkeg,0)</f>
        <v/>
      </c>
      <c r="E7" s="27">
        <f>IF(COUNTA(tblGirdi[Alan Anahtarı])=0,"VERİ YOK",IFERROR(ose_kararMetni,"-"))</f>
        <v/>
      </c>
      <c r="G7" s="29" t="n">
        <v>2300000</v>
      </c>
    </row>
    <row r="8">
      <c r="A8" s="7" t="inlineStr">
        <is>
          <t>Kötümser</t>
        </is>
      </c>
      <c r="B8" s="25">
        <f>IFERROR(ose_senaryoIyi+N(GIRDI!B9)*ose_sifirCarpan,0)</f>
        <v/>
      </c>
      <c r="C8" s="26">
        <f>IFERROR(MOTOR!G43,0)</f>
        <v/>
      </c>
      <c r="D8" s="26">
        <f>IFERROR(MOTOR!G43,0)</f>
        <v/>
      </c>
      <c r="E8" s="27">
        <f>IF(COUNTA(tblGirdi[Alan Anahtarı])=0,"VERİ YOK",IF(D8&gt;=MOTOR!G11,"KKEG RİSKİ",IF(D8&gt;=MOTOR!G10,"DİKKAT","TEMİZ")))</f>
        <v/>
      </c>
      <c r="G8" s="29" t="n">
        <v>2530000</v>
      </c>
    </row>
    <row r="9">
      <c r="A9" s="7" t="inlineStr">
        <is>
          <t>M-SEN eşik sıkı</t>
        </is>
      </c>
      <c r="B9" s="25">
        <f>IFERROR(ose_bazCarpan+N(GIRDI!B9)*ose_sifirCarpan,ose_bazCarpan)</f>
        <v/>
      </c>
      <c r="C9" s="26">
        <f>IFERROR(ose_toplamKkeg,0)</f>
        <v/>
      </c>
      <c r="D9" s="26">
        <f>IFERROR(MOTOR!G46,0)</f>
        <v/>
      </c>
      <c r="E9" s="27">
        <f>IF(COUNTA(tblGirdi[Alan Anahtarı])=0,"VERİ YOK",IF(D9&gt;=MOTOR!G11,"KKEG RİSKİ",IF(D9&gt;=MOTOR!G10,"DİKKAT","TEMİZ")))</f>
        <v/>
      </c>
      <c r="G9" s="29" t="n">
        <v>2800000</v>
      </c>
    </row>
    <row r="10"/>
    <row r="11">
      <c r="A11" s="10" t="inlineStr">
        <is>
          <t>Senaryo bant genişliği (kötümser−iyimser KKEG)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KKEG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borç etkisi</t>
        </is>
      </c>
      <c r="B16" s="26">
        <f>IFERROR(MOTOR!G49,0)</f>
        <v/>
      </c>
      <c r="C16" s="37">
        <f>IFERROR(IF(B16&gt;=MAX(B16:B18),ose_siraBir,IF(B16&gt;=MIN(B16:B18)+ABS(B16-B17),ose_siraIki,ose_siraUc)),ose_siraUc)</f>
        <v/>
      </c>
      <c r="E16" s="29" t="n">
        <v>400000</v>
      </c>
    </row>
    <row r="17">
      <c r="A17" s="7" t="inlineStr">
        <is>
          <t>Tornado faiz oranı etkisi</t>
        </is>
      </c>
      <c r="B17" s="26">
        <f>IFERROR(MOTOR!G50,0)</f>
        <v/>
      </c>
      <c r="C17" s="37">
        <f>IFERROR(IF(B17&gt;=MAX(B16:B18),ose_siraBir,IF(B17=MEDIAN(B16:B18),ose_siraIki,ose_siraUc)),ose_siraUc)</f>
        <v/>
      </c>
      <c r="E17" s="29" t="n">
        <v>320000</v>
      </c>
    </row>
    <row r="18">
      <c r="A18" s="7" t="inlineStr">
        <is>
          <t>Tornado TF etkisi</t>
        </is>
      </c>
      <c r="B18" s="26">
        <f>IFERROR(MOTOR!G51,0)</f>
        <v/>
      </c>
      <c r="C18" s="37">
        <f>IFERROR(IF(B18&gt;=MAX(B16:B18),ose_siraBir,IF(B18=MEDIAN(B16:B18),ose_siraIki,ose_siraUc)),ose_siraUc)</f>
        <v/>
      </c>
      <c r="E18" s="29" t="n">
        <v>250000</v>
      </c>
    </row>
    <row r="19">
      <c r="A19" s="10" t="inlineStr">
        <is>
          <t>Duyarlılık sıra özeti</t>
        </is>
      </c>
      <c r="B19" s="27">
        <f>IFERROR(CONCATENATE("1)",INDEX(A16:A18,MATCH(ose_siraBir,C16:C18,0))," 2)",INDEX(A16:A18,MATCH(ose_siraIki,C16:C18,0))),"-")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KKEG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",TRUE,"Eşik sıkılaştırma senaryosunda KKEG ",TEXT(D9,"₺ #,##0")," TL")</f>
        <v/>
      </c>
    </row>
    <row r="24"/>
    <row r="25">
      <c r="A25" s="10" t="inlineStr">
        <is>
          <t>Tahmin aralığı (KKEG)</t>
        </is>
      </c>
      <c r="B25" s="26">
        <f>MOTOR!G48</f>
        <v/>
      </c>
      <c r="C25" s="26">
        <f>IFERROR(MOTOR!G27,0)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6">
        <f>D6</f>
        <v/>
      </c>
      <c r="D28" s="29" t="n">
        <v>1955000</v>
      </c>
    </row>
    <row r="29">
      <c r="A29" s="54" t="n">
        <v>2</v>
      </c>
      <c r="B29" s="26">
        <f>D7</f>
        <v/>
      </c>
      <c r="D29" s="29" t="n">
        <v>2300000</v>
      </c>
    </row>
    <row r="30">
      <c r="A30" s="54" t="n">
        <v>3</v>
      </c>
      <c r="B30" s="26">
        <f>D8</f>
        <v/>
      </c>
      <c r="D30" s="29" t="n">
        <v>2530000</v>
      </c>
    </row>
    <row r="31">
      <c r="A31" s="54" t="n">
        <v>4</v>
      </c>
      <c r="B31" s="26">
        <f>D9</f>
        <v/>
      </c>
      <c r="D31" s="29" t="n">
        <v>2800000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5">
      <formula>0</formula>
    </cfRule>
    <cfRule type="cellIs" priority="2" operator="equal" dxfId="4">
      <formula>0</formula>
    </cfRule>
  </conditionalFormatting>
  <conditionalFormatting sqref="E6:E9">
    <cfRule type="expression" priority="3" dxfId="3">
      <formula>ISNUMBER(SEARCH("KKEG RİSKİ",E6))</formula>
    </cfRule>
    <cfRule type="expression" priority="4" dxfId="4">
      <formula>ISNUMBER(SEARCH("TEMİZ",E6))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45.5" customWidth="1" min="2" max="2"/>
    <col width="67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8" t="inlineStr">
        <is>
          <t>VAKALAR — Örtülü Sermaye + Emsal Faiz + TF Paketi</t>
        </is>
      </c>
    </row>
    <row r="2"/>
    <row r="3" ht="22" customHeight="1">
      <c r="A3" s="228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Aşan borç × faiz / borç = kabul edilmeyen</t>
        </is>
      </c>
      <c r="C6" s="7" t="inlineStr">
        <is>
          <t>borc=vaka_borc; ozk=vaka_ozkaynak; faiz=vaka_faiz; esik=OSE-001</t>
        </is>
      </c>
      <c r="D6" s="55" t="n">
        <v>1000000</v>
      </c>
      <c r="E6" s="26">
        <f>IFERROR(ROUND(IF(vaka_borc=0,0,vaka_faiz*(MAX(0,vaka_borc-vaka_ozkaynak*INDEX(tblKurallar[deger_2026],MATCH("OSE-001",tblKurallar[kural_id],0)))/vaka_borc)),2),0)</f>
        <v/>
      </c>
      <c r="F6" s="56">
        <f>IF($A6="","",IFERROR($D6-$E6,0))</f>
        <v/>
      </c>
      <c r="G6" s="57">
        <f>IF($A6="","",IFERROR(IF(ABS($F6)&lt;=ose_tolerans,"TUTARLI","KIRIK"),"KIRIK"))</f>
        <v/>
      </c>
      <c r="H6" s="7" t="inlineStr">
        <is>
          <t>KVK md.12 örtülü faiz</t>
        </is>
      </c>
      <c r="J6" s="29" t="n">
        <v>1000000</v>
      </c>
      <c r="K6" s="29" t="n">
        <v>1000000</v>
      </c>
    </row>
    <row r="7">
      <c r="A7" s="7" t="inlineStr">
        <is>
          <t>V-002</t>
        </is>
      </c>
      <c r="B7" s="7" t="inlineStr">
        <is>
          <t>Emsal faiz farkı = (uygulanan−emsal)×borç</t>
        </is>
      </c>
      <c r="C7" s="7" t="inlineStr">
        <is>
          <t>uygulanan=vaka_uygulanan; emsal=vaka_emsal; borc=vaka_borc</t>
        </is>
      </c>
      <c r="D7" s="55" t="n">
        <v>800000</v>
      </c>
      <c r="E7" s="26">
        <f>IFERROR(ROUND(MAX(0,vaka_uygulanan-vaka_emsal)*vaka_borc*IF(INDEX(tblKurallar[deger_2026],MATCH("OSE-001",tblKurallar[kural_id],0))&gt;0,1,0),2),0)</f>
        <v/>
      </c>
      <c r="F7" s="56">
        <f>IF($A7="","",IFERROR($D7-$E7,0))</f>
        <v/>
      </c>
      <c r="G7" s="57">
        <f>IF($A7="","",IFERROR(IF(ABS($F7)&lt;=ose_tolerans,"TUTARLI","KIRIK"),"KIRIK"))</f>
        <v/>
      </c>
      <c r="H7" s="7" t="inlineStr">
        <is>
          <t>Emsal faiz farkı</t>
        </is>
      </c>
      <c r="J7" s="29" t="n">
        <v>800000</v>
      </c>
      <c r="K7" s="29" t="n">
        <v>800000</v>
      </c>
    </row>
    <row r="8">
      <c r="A8" s="7" t="inlineStr">
        <is>
          <t>V-003</t>
        </is>
      </c>
      <c r="B8" s="7" t="inlineStr">
        <is>
          <t>TF farkı = |işlem−emsal bedel|</t>
        </is>
      </c>
      <c r="C8" s="7" t="inlineStr">
        <is>
          <t>islem=vaka_islem; bedel=vaka_bedel</t>
        </is>
      </c>
      <c r="D8" s="55" t="n">
        <v>500000</v>
      </c>
      <c r="E8" s="26">
        <f>IFERROR(ROUND(ABS(vaka_islem-vaka_bedel)*IF(INDEX(tblKurallar[deger_2026],MATCH("OSE-001",tblKurallar[kural_id],0))&gt;0,1,0),2),0)</f>
        <v/>
      </c>
      <c r="F8" s="56">
        <f>IF($A8="","",IFERROR($D8-$E8,0))</f>
        <v/>
      </c>
      <c r="G8" s="57">
        <f>IF($A8="","",IFERROR(IF(ABS($F8)&lt;=ose_tolerans,"TUTARLI","KIRIK"),"KIRIK"))</f>
        <v/>
      </c>
      <c r="H8" s="7" t="inlineStr">
        <is>
          <t>TF farkı</t>
        </is>
      </c>
      <c r="J8" s="29" t="n">
        <v>500000</v>
      </c>
      <c r="K8" s="29" t="n">
        <v>500000</v>
      </c>
    </row>
    <row r="9">
      <c r="A9" s="7" t="inlineStr">
        <is>
          <t>V-004</t>
        </is>
      </c>
      <c r="B9" s="7" t="inlineStr">
        <is>
          <t>Toplam KKEG = V-001+V-002+V-003</t>
        </is>
      </c>
      <c r="C9" s="7" t="inlineStr">
        <is>
          <t>üç kalem toplamı</t>
        </is>
      </c>
      <c r="D9" s="55" t="n">
        <v>2300000</v>
      </c>
      <c r="E9" s="26">
        <f>IFERROR(ROUND(IF(vaka_borc=0,0,vaka_faiz*(MAX(0,vaka_borc-vaka_ozkaynak*INDEX(tblKurallar[deger_2026],MATCH("OSE-001",tblKurallar[kural_id],0)))/vaka_borc))+MAX(0,vaka_uygulanan-vaka_emsal)*vaka_borc+ABS(vaka_islem-vaka_bedel),2),0)</f>
        <v/>
      </c>
      <c r="F9" s="56">
        <f>IF($A9="","",IFERROR($D9-$E9,0))</f>
        <v/>
      </c>
      <c r="G9" s="57">
        <f>IF($A9="","",IFERROR(IF(ABS($F9)&lt;=ose_tolerans,"TUTARLI","KIRIK"),"KIRIK"))</f>
        <v/>
      </c>
      <c r="H9" s="7" t="inlineStr">
        <is>
          <t>Toplam KKEG riski</t>
        </is>
      </c>
      <c r="J9" s="29" t="n">
        <v>2300000</v>
      </c>
      <c r="K9" s="29" t="n">
        <v>2300000</v>
      </c>
    </row>
    <row r="10"/>
    <row r="11"/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5"/>
  <sheetViews>
    <sheetView showGridLines="0" workbookViewId="0">
      <selection activeCell="A1" sqref="A1"/>
    </sheetView>
  </sheetViews>
  <sheetFormatPr baseColWidth="8" defaultRowHeight="15"/>
  <cols>
    <col width="96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KANIT RAPORU — Örtülü Sermaye + Emsal Faiz + TF Paketi</t>
        </is>
      </c>
    </row>
    <row r="2"/>
    <row r="3" ht="22" customHeight="1">
      <c r="A3" s="228" t="inlineStr">
        <is>
          <t>KANIT RAPORU — Örtülü Sermaye + Emsal Faiz + TF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Özkaynak</t>
        </is>
      </c>
      <c r="B9" s="26">
        <f>GIRDI!B9</f>
        <v/>
      </c>
    </row>
    <row r="10">
      <c r="A10" s="7" t="inlineStr">
        <is>
          <t>İlişkili borç</t>
        </is>
      </c>
      <c r="B10" s="26">
        <f>GIRDI!B10</f>
        <v/>
      </c>
    </row>
    <row r="11">
      <c r="A11" s="7" t="inlineStr">
        <is>
          <t>Yıllık faiz gideri</t>
        </is>
      </c>
      <c r="B11" s="26">
        <f>GIRDI!B11</f>
        <v/>
      </c>
    </row>
    <row r="12">
      <c r="A12" s="7" t="inlineStr">
        <is>
          <t>Uygulanan faiz oranı</t>
        </is>
      </c>
      <c r="B12" s="25">
        <f>GIRDI!B12</f>
        <v/>
      </c>
    </row>
    <row r="13">
      <c r="A13" s="7" t="inlineStr">
        <is>
          <t>Emsal faiz oranı</t>
        </is>
      </c>
      <c r="B13" s="25">
        <f>GIRDI!B13</f>
        <v/>
      </c>
    </row>
    <row r="14">
      <c r="A14" s="7" t="inlineStr">
        <is>
          <t>İlişkili işlem tutarı</t>
        </is>
      </c>
      <c r="B14" s="26">
        <f>GIRDI!B14</f>
        <v/>
      </c>
    </row>
    <row r="15">
      <c r="A15" s="7" t="inlineStr">
        <is>
          <t>Emsal bedel</t>
        </is>
      </c>
      <c r="B15" s="26">
        <f>GIRDI!B15</f>
        <v/>
      </c>
    </row>
    <row r="16"/>
    <row r="17">
      <c r="A17" s="5" t="inlineStr">
        <is>
          <t>Hesap zinciri</t>
        </is>
      </c>
    </row>
    <row r="18">
      <c r="A18" s="7" t="inlineStr">
        <is>
          <t>Borç / özkaynak oranı</t>
        </is>
      </c>
      <c r="B18" s="61">
        <f>ose_borcOrani</f>
        <v/>
      </c>
    </row>
    <row r="19">
      <c r="A19" s="7" t="inlineStr">
        <is>
          <t>Kabul edilmeyen faiz</t>
        </is>
      </c>
      <c r="B19" s="26">
        <f>MOTOR!G24</f>
        <v/>
      </c>
    </row>
    <row r="20">
      <c r="A20" s="7" t="inlineStr">
        <is>
          <t>Emsal faiz farkı</t>
        </is>
      </c>
      <c r="B20" s="26">
        <f>MOTOR!G25</f>
        <v/>
      </c>
    </row>
    <row r="21">
      <c r="A21" s="7" t="inlineStr">
        <is>
          <t>TF farkı</t>
        </is>
      </c>
      <c r="B21" s="26">
        <f>MOTOR!G26</f>
        <v/>
      </c>
    </row>
    <row r="22">
      <c r="A22" s="7" t="inlineStr">
        <is>
          <t>Toplam KKEG riski</t>
        </is>
      </c>
      <c r="B22" s="36">
        <f>ose_toplamKkeg</f>
        <v/>
      </c>
    </row>
    <row r="23">
      <c r="A23" s="10" t="inlineStr">
        <is>
          <t>KARAR</t>
        </is>
      </c>
      <c r="B23" s="62">
        <f>ose_kararMetni</f>
        <v/>
      </c>
    </row>
    <row r="24">
      <c r="A24" s="7" t="inlineStr">
        <is>
          <t>Gerekçe</t>
        </is>
      </c>
      <c r="B24" s="21">
        <f>ose_kararGerekce</f>
        <v/>
      </c>
    </row>
    <row r="25"/>
    <row r="26">
      <c r="A26" s="10" t="inlineStr">
        <is>
          <t>Madde atıfları</t>
        </is>
      </c>
      <c r="B26" s="21">
        <f>ose_maddeAtifMetni</f>
        <v/>
      </c>
    </row>
    <row r="27"/>
    <row r="28">
      <c r="A28" s="10" t="inlineStr">
        <is>
          <t>Kanıt gövdesi</t>
        </is>
      </c>
      <c r="B28" s="21">
        <f>ose_kanitRaporu</f>
        <v/>
      </c>
    </row>
    <row r="29"/>
    <row r="30">
      <c r="A30" s="7" t="inlineStr">
        <is>
          <t>Parmak izi (SHA-256 kısaltma)</t>
        </is>
      </c>
      <c r="B30" s="28">
        <f>ose_parmakIzi</f>
        <v/>
      </c>
    </row>
    <row r="31"/>
    <row r="32">
      <c r="A32" s="7" t="inlineStr">
        <is>
          <t>Hazırlayan (imza)</t>
        </is>
      </c>
      <c r="B32" s="63" t="inlineStr"/>
    </row>
    <row r="33">
      <c r="A33" s="7" t="inlineStr">
        <is>
          <t>Onaylayan (imza)</t>
        </is>
      </c>
      <c r="B33" s="63" t="inlineStr"/>
    </row>
    <row r="34"/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I1"/>
    <mergeCell ref="A3:I3"/>
    <mergeCell ref="A35:F35"/>
    <mergeCell ref="B26:F26"/>
  </mergeCells>
  <conditionalFormatting sqref="B23">
    <cfRule type="expression" priority="1" dxfId="0">
      <formula>ISNUMBER(SEARCH("KKEG RİSKİ",B23))</formula>
    </cfRule>
    <cfRule type="expression" priority="2" dxfId="1">
      <formula>ISNUMBER(SEARCH("TEMİZ",B23))</formula>
    </cfRule>
    <cfRule type="expression" priority="3" dxfId="2">
      <formula>ISNUMBER(SEARCH("DİKKAT",B23))</formula>
    </cfRule>
  </conditionalFormatting>
  <conditionalFormatting sqref="B22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&amp;LÖrtülü Sermaye + Emsal Faiz + TF Paketi · 1.0.0&amp;CExcelArşiv&amp;RSayfa &amp;P / &amp;N</oddFooter>
    <evenHeader/>
    <evenFooter>&amp;LÖrtülü Sermaye + Emsal Faiz + TF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KONTROLLER — Örtülü Sermaye + Emsal Faiz + TF Paketi</t>
        </is>
      </c>
    </row>
    <row r="2"/>
    <row r="3" ht="22" customHeight="1">
      <c r="A3" s="228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özkaynak?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IFERROR(IF(AND(N(hesapYili)&gt;N(ose_yilTaban),N(hesapYili)&lt;=N(ose_yilTaban)+3),"TEMİZ","HATALI"),"HATALI")</f>
        <v/>
      </c>
    </row>
    <row r="8">
      <c r="A8" s="7" t="inlineStr">
        <is>
          <t>Toplam KKEG sıfır mı?</t>
        </is>
      </c>
      <c r="B8" s="27">
        <f>IF(IFERROR(MOTOR!G27,0)=0,"SIFIR","NORMAL")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KKEG eşiği aşıyor mu?</t>
        </is>
      </c>
      <c r="B10" s="27">
        <f>IF(IFERROR(MOTOR!G27,0)&gt;ose_kacirilanEsik+N(GIRDI!B9)*ose_sifirCarpan,"AŞIYOR","NORMAL")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35">
        <f>IFERROR(ROUND(IF(OR(B14=0,B14=""),0,B15/B14*100),0),0)</f>
        <v/>
      </c>
    </row>
    <row r="13"/>
    <row r="14">
      <c r="A14" s="7" t="inlineStr">
        <is>
          <t>Toplam giriş alanı</t>
        </is>
      </c>
      <c r="B14" s="37">
        <f>IFERROR(ose_girisBeklenen+COUNTA(GIRDI!B6:B16)*0,0)</f>
        <v/>
      </c>
    </row>
    <row r="15">
      <c r="A15" s="7" t="inlineStr">
        <is>
          <t>Dolu giriş</t>
        </is>
      </c>
      <c r="B15" s="37">
        <f>COUNTA(GIRDI!B6:B16)</f>
        <v/>
      </c>
    </row>
    <row r="16"/>
    <row r="17">
      <c r="A17" s="7" t="inlineStr">
        <is>
          <t>Toplam KKEG kontrol</t>
        </is>
      </c>
      <c r="B17" s="26">
        <f>IFERROR(ose_toplamKkeg,0)</f>
        <v/>
      </c>
    </row>
    <row r="18">
      <c r="A18" s="7" t="inlineStr">
        <is>
          <t>Borç oranı kontrol</t>
        </is>
      </c>
      <c r="B18" s="25">
        <f>IFERROR(ose_borcOrani,0)</f>
        <v/>
      </c>
    </row>
    <row r="19">
      <c r="A19" s="7" t="inlineStr">
        <is>
          <t>Karar kontrol</t>
        </is>
      </c>
      <c r="B19" s="27">
        <f>IFERROR(ose_kararMetni,"-")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.5" customWidth="1" min="1" max="1"/>
    <col width="14" customWidth="1" min="2" max="2"/>
    <col width="17.5" customWidth="1" min="3" max="3"/>
    <col width="15.5" customWidth="1" min="4" max="4"/>
    <col width="14" customWidth="1" min="5" max="5"/>
    <col width="14" customWidth="1" min="6" max="6"/>
    <col width="14" customWidth="1" min="7" max="7"/>
    <col width="15.5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8" t="inlineStr">
        <is>
          <t>ORNEK VERI — Örtülü Sermaye + Emsal Faiz + TF Paketi</t>
        </is>
      </c>
    </row>
    <row r="2"/>
    <row r="3" ht="22" customHeight="1">
      <c r="A3" s="228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Özkaynak</t>
        </is>
      </c>
      <c r="C5" s="22" t="inlineStr">
        <is>
          <t>İlişkili Borç</t>
        </is>
      </c>
      <c r="D5" s="22" t="inlineStr">
        <is>
          <t>Faiz Gideri</t>
        </is>
      </c>
      <c r="E5" s="22" t="inlineStr">
        <is>
          <t>Uygulanan</t>
        </is>
      </c>
      <c r="F5" s="22" t="inlineStr">
        <is>
          <t>Emsal</t>
        </is>
      </c>
      <c r="G5" s="22" t="inlineStr">
        <is>
          <t>İşlem</t>
        </is>
      </c>
      <c r="H5" s="22" t="inlineStr">
        <is>
          <t>Emsal Bedel</t>
        </is>
      </c>
      <c r="I5" s="22" t="inlineStr">
        <is>
          <t>Yıl</t>
        </is>
      </c>
      <c r="J5" s="22" t="inlineStr">
        <is>
          <t>Oran</t>
        </is>
      </c>
      <c r="L5" s="53" t="inlineStr">
        <is>
          <t>OranDemo</t>
        </is>
      </c>
    </row>
    <row r="6">
      <c r="A6" s="38" t="inlineStr">
        <is>
          <t>Demo ana</t>
        </is>
      </c>
      <c r="B6" s="41" t="n">
        <v>10000000</v>
      </c>
      <c r="C6" s="41" t="n">
        <v>40000000</v>
      </c>
      <c r="D6" s="41" t="n">
        <v>4000000</v>
      </c>
      <c r="E6" s="42" t="n">
        <v>0.12</v>
      </c>
      <c r="F6" s="42" t="n">
        <v>0.1</v>
      </c>
      <c r="G6" s="41" t="n">
        <v>5000000</v>
      </c>
      <c r="H6" s="41" t="n">
        <v>4500000</v>
      </c>
      <c r="I6" s="40" t="n">
        <v>2026</v>
      </c>
      <c r="J6" s="39">
        <f>IF($A6="","",IFERROR(IF($B6=0,0,$C6/$B6),0))</f>
        <v/>
      </c>
      <c r="L6" s="64" t="n">
        <v>4</v>
      </c>
    </row>
    <row r="7">
      <c r="A7" s="38" t="inlineStr">
        <is>
          <t>Temiz oran</t>
        </is>
      </c>
      <c r="B7" s="41" t="n">
        <v>20000000</v>
      </c>
      <c r="C7" s="41" t="n">
        <v>40000000</v>
      </c>
      <c r="D7" s="41" t="n">
        <v>2000000</v>
      </c>
      <c r="E7" s="42" t="n">
        <v>0.1</v>
      </c>
      <c r="F7" s="42" t="n">
        <v>0.1</v>
      </c>
      <c r="G7" s="41" t="n">
        <v>1000000</v>
      </c>
      <c r="H7" s="41" t="n">
        <v>1000000</v>
      </c>
      <c r="I7" s="40" t="n">
        <v>2026</v>
      </c>
      <c r="J7" s="39">
        <f>IF($A7="","",IFERROR(IF($B7=0,0,$C7/$B7),0))</f>
        <v/>
      </c>
      <c r="L7" s="64" t="n">
        <v>2</v>
      </c>
    </row>
    <row r="8">
      <c r="A8" s="38" t="inlineStr">
        <is>
          <t>Yüksek TF</t>
        </is>
      </c>
      <c r="B8" s="41" t="n">
        <v>10000000</v>
      </c>
      <c r="C8" s="41" t="n">
        <v>25000000</v>
      </c>
      <c r="D8" s="41" t="n">
        <v>2000000</v>
      </c>
      <c r="E8" s="42" t="n">
        <v>0.11</v>
      </c>
      <c r="F8" s="42" t="n">
        <v>0.1</v>
      </c>
      <c r="G8" s="41" t="n">
        <v>8000000</v>
      </c>
      <c r="H8" s="41" t="n">
        <v>5000000</v>
      </c>
      <c r="I8" s="40" t="n">
        <v>2026</v>
      </c>
      <c r="J8" s="39">
        <f>IF($A8="","",IFERROR(IF($B8=0,0,$C8/$B8),0))</f>
        <v/>
      </c>
      <c r="L8" s="64" t="n">
        <v>2.5</v>
      </c>
    </row>
    <row r="9">
      <c r="A9" s="38" t="inlineStr">
        <is>
          <t>2025 referans</t>
        </is>
      </c>
      <c r="B9" s="41" t="n">
        <v>10000000</v>
      </c>
      <c r="C9" s="41" t="n">
        <v>40000000</v>
      </c>
      <c r="D9" s="41" t="n">
        <v>4000000</v>
      </c>
      <c r="E9" s="42" t="n">
        <v>0.12</v>
      </c>
      <c r="F9" s="42" t="n">
        <v>0.1</v>
      </c>
      <c r="G9" s="41" t="n">
        <v>5000000</v>
      </c>
      <c r="H9" s="41" t="n">
        <v>4500000</v>
      </c>
      <c r="I9" s="40" t="n">
        <v>2025</v>
      </c>
      <c r="J9" s="39">
        <f>IF($A9="","",IFERROR(IF($B9=0,0,$C9/$B9),0))</f>
        <v/>
      </c>
      <c r="L9" s="64" t="n">
        <v>4</v>
      </c>
    </row>
    <row r="10">
      <c r="A10" s="38" t="inlineStr">
        <is>
          <t>Dikkat bandı</t>
        </is>
      </c>
      <c r="B10" s="41" t="n">
        <v>15000000</v>
      </c>
      <c r="C10" s="41" t="n">
        <v>50000000</v>
      </c>
      <c r="D10" s="41" t="n">
        <v>1500000</v>
      </c>
      <c r="E10" s="42" t="n">
        <v>0.105</v>
      </c>
      <c r="F10" s="42" t="n">
        <v>0.1</v>
      </c>
      <c r="G10" s="41" t="n">
        <v>2000000</v>
      </c>
      <c r="H10" s="41" t="n">
        <v>1900000</v>
      </c>
      <c r="I10" s="40" t="n">
        <v>2026</v>
      </c>
      <c r="J10" s="39">
        <f>IF($A10="","",IFERROR(IF($B10=0,0,$C10/$B10),0))</f>
        <v/>
      </c>
      <c r="L10" s="64" t="n">
        <v>3.333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9">
        <f>IF($A11="","",IFERROR(IF($B11=0,0,$C11/$B11),0))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IF($A12="","",IFERROR(IF($B12=0,0,$C12/$B12),0))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9">
        <f>IF($A13="","",IFERROR(IF($B13=0,0,$C13/$B13),0))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9">
        <f>IF($A14="","",IFERROR(IF($B14=0,0,$C14/$B14),0))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9">
        <f>IF($A15="","",IFERROR(IF($B15=0,0,$C15/$B15),0))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9">
        <f>IF($A16="","",IFERROR(IF($B16=0,0,$C16/$B16),0))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9">
        <f>IF($A17="","",IFERROR(IF($B17=0,0,$C17/$B17),0))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IF($A18="","",IFERROR(IF($B18=0,0,$C18/$B18),0))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9">
        <f>IF($A19="","",IFERROR(IF($B19=0,0,$C19/$B19),0))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9">
        <f>IF($A20="","",IFERROR(IF($B20=0,0,$C20/$B20),0))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9">
        <f>IF($A21="","",IFERROR(IF($B21=0,0,$C21/$B21),0))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9">
        <f>IF($A22="","",IFERROR(IF($B22=0,0,$C22/$B22),0))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9">
        <f>IF($A23="","",IFERROR(IF($B23=0,0,$C23/$B23),0))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9">
        <f>IF($A24="","",IFERROR(IF($B24=0,0,$C24/$B24),0))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9">
        <f>IF($A25="","",IFERROR(IF($B25=0,0,$C25/$B25),0))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IF($A26="","",IFERROR(IF($B26=0,0,$C26/$B26),0))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9">
        <f>IF($A27="","",IFERROR(IF($B27=0,0,$C27/$B27),0))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9">
        <f>IF($A28="","",IFERROR(IF($B28=0,0,$C28/$B28),0))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9">
        <f>IF($A29="","",IFERROR(IF($B29=0,0,$C29/$B29),0))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9">
        <f>IF($A30="","",IFERROR(IF($B30=0,0,$C30/$B30),0))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9">
        <f>IF($A31="","",IFERROR(IF($B31=0,0,$C31/$B31),0))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9">
        <f>IF($A32="","",IFERROR(IF($B32=0,0,$C32/$B32),0))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9">
        <f>IF($A33="","",IFERROR(IF($B33=0,0,$C33/$B33),0))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9">
        <f>IF($A34="","",IFERROR(IF($B34=0,0,$C34/$B34),0))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9">
        <f>IF($A35="","",IFERROR(IF($B35=0,0,$C35/$B35),0))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9">
        <f>IF($A36="","",IFERROR(IF($B36=0,0,$C36/$B36),0))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9">
        <f>IF($A37="","",IFERROR(IF($B37=0,0,$C37/$B37),0))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9">
        <f>IF($A38="","",IFERROR(IF($B38=0,0,$C38/$B38),0))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IF($A39="","",IFERROR(IF($B39=0,0,$C39/$B39),0))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9">
        <f>IF($A40="","",IFERROR(IF($B40=0,0,$C40/$B40),0))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9">
        <f>IF($A41="","",IFERROR(IF($B41=0,0,$C41/$B41),0))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9">
        <f>IF($A42="","",IFERROR(IF($B42=0,0,$C42/$B42),0))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IF($A43="","",IFERROR(IF($B43=0,0,$C43/$B43),0))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9">
        <f>IF($A44="","",IFERROR(IF($B44=0,0,$C44/$B44),0))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9">
        <f>IF($A45="","",IFERROR(IF($B45=0,0,$C45/$B45),0))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9">
        <f>IF($A46="","",IFERROR(IF($B46=0,0,$C46/$B46),0))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9">
        <f>IF($A47="","",IFERROR(IF($B47=0,0,$C47/$B47),0))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9">
        <f>IF($A48="","",IFERROR(IF($B48=0,0,$C48/$B48),0))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9">
        <f>IF($A49="","",IFERROR(IF($B49=0,0,$C49/$B49),0))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9">
        <f>IF($A50="","",IFERROR(IF($B50=0,0,$C50/$B50),0))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9">
        <f>IF($A51="","",IFERROR(IF($B51=0,0,$C51/$B51),0))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IF($A52="","",IFERROR(IF($B52=0,0,$C52/$B52),0))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9">
        <f>IF($A53="","",IFERROR(IF($B53=0,0,$C53/$B53),0))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9">
        <f>IF($A54="","",IFERROR(IF($B54=0,0,$C54/$B54),0))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9">
        <f>IF($A55="","",IFERROR(IF($B55=0,0,$C55/$B55),0))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9">
        <f>IF($A56="","",IFERROR(IF($B56=0,0,$C56/$B56),0))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IF($A57="","",IFERROR(IF($B57=0,0,$C57/$B57),0))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9">
        <f>IF($A58="","",IFERROR(IF($B58=0,0,$C58/$B58),0))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9">
        <f>IF($A59="","",IFERROR(IF($B59=0,0,$C59/$B59),0))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9">
        <f>IF($A60="","",IFERROR(IF($B60=0,0,$C60/$B60),0))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9">
        <f>IF($A61="","",IFERROR(IF($B61=0,0,$C61/$B61),0))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9">
        <f>IF($A62="","",IFERROR(IF($B62=0,0,$C62/$B62),0))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9">
        <f>IF($A63="","",IFERROR(IF($B63=0,0,$C63/$B63),0))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9">
        <f>IF($A64="","",IFERROR(IF($B64=0,0,$C64/$B64),0))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9">
        <f>IF($A65="","",IFERROR(IF($B65=0,0,$C65/$B65),0))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9">
        <f>IF($A66="","",IFERROR(IF($B66=0,0,$C66/$B66),0))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9">
        <f>IF($A67="","",IFERROR(IF($B67=0,0,$C67/$B67),0))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9">
        <f>IF($A68="","",IFERROR(IF($B68=0,0,$C68/$B68),0))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9">
        <f>IF($A69="","",IFERROR(IF($B69=0,0,$C69/$B69),0))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9">
        <f>IF($A70="","",IFERROR(IF($B70=0,0,$C70/$B70),0))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9">
        <f>IF($A71="","",IFERROR(IF($B71=0,0,$C71/$B71),0))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9">
        <f>IF($A72="","",IFERROR(IF($B72=0,0,$C72/$B72),0))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9">
        <f>IF($A73="","",IFERROR(IF($B73=0,0,$C73/$B73),0))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9">
        <f>IF($A74="","",IFERROR(IF($B74=0,0,$C74/$B74),0))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9">
        <f>IF($A75="","",IFERROR(IF($B75=0,0,$C75/$B75),0))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9">
        <f>IF($A76="","",IFERROR(IF($B76=0,0,$C76/$B76),0))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9">
        <f>IF($A77="","",IFERROR(IF($B77=0,0,$C77/$B77),0))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9">
        <f>IF($A78="","",IFERROR(IF($B78=0,0,$C78/$B78),0))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9">
        <f>IF($A79="","",IFERROR(IF($B79=0,0,$C79/$B79),0))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9">
        <f>IF($A80="","",IFERROR(IF($B80=0,0,$C80/$B80),0))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9">
        <f>IF($A81="","",IFERROR(IF($B81=0,0,$C81/$B81),0))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9">
        <f>IF($A82="","",IFERROR(IF($B82=0,0,$C82/$B82),0))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9">
        <f>IF($A83="","",IFERROR(IF($B83=0,0,$C83/$B83),0))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9">
        <f>IF($A84="","",IFERROR(IF($B84=0,0,$C84/$B84),0))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9">
        <f>IF($A85="","",IFERROR(IF($B85=0,0,$C85/$B85),0))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9">
        <f>IF($A86="","",IFERROR(IF($B86=0,0,$C86/$B86),0))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9">
        <f>IF($A87="","",IFERROR(IF($B87=0,0,$C87/$B87),0))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9">
        <f>IF($A88="","",IFERROR(IF($B88=0,0,$C88/$B88),0))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9">
        <f>IF($A89="","",IFERROR(IF($B89=0,0,$C89/$B89),0))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9">
        <f>IF($A90="","",IFERROR(IF($B90=0,0,$C90/$B90),0))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9">
        <f>IF($A91="","",IFERROR(IF($B91=0,0,$C91/$B91),0))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9">
        <f>IF($A92="","",IFERROR(IF($B92=0,0,$C92/$B92),0))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9">
        <f>IF($A93="","",IFERROR(IF($B93=0,0,$C93/$B93),0))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9">
        <f>IF($A94="","",IFERROR(IF($B94=0,0,$C94/$B94),0))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9">
        <f>IF($A95="","",IFERROR(IF($B95=0,0,$C95/$B95),0))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9">
        <f>IF($A96="","",IFERROR(IF($B96=0,0,$C96/$B96),0))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9">
        <f>IF($A97="","",IFERROR(IF($B97=0,0,$C97/$B97),0))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9">
        <f>IF($A98="","",IFERROR(IF($B98=0,0,$C98/$B98),0))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9">
        <f>IF($A99="","",IFERROR(IF($B99=0,0,$C99/$B99),0))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9">
        <f>IF($A100="","",IFERROR(IF($B100=0,0,$C100/$B100),0))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9">
        <f>IF($A101="","",IFERROR(IF($B101=0,0,$C101/$B101),0))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9">
        <f>IF($A102="","",IFERROR(IF($B102=0,0,$C102/$B102),0))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9">
        <f>IF($A103="","",IFERROR(IF($B103=0,0,$C103/$B103),0))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9">
        <f>IF($A104="","",IFERROR(IF($B104=0,0,$C104/$B104),0))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9">
        <f>IF($A105="","",IFERROR(IF($B105=0,0,$C105/$B105),0))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9">
        <f>IF($A106="","",IFERROR(IF($B106=0,0,$C106/$B106),0))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9">
        <f>IF($A107="","",IFERROR(IF($B107=0,0,$C107/$B107),0))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9">
        <f>IF($A108="","",IFERROR(IF($B108=0,0,$C108/$B108),0))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9">
        <f>IF($A109="","",IFERROR(IF($B109=0,0,$C109/$B109),0))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9">
        <f>IF($A110="","",IFERROR(IF($B110=0,0,$C110/$B110),0))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9">
        <f>IF($A111="","",IFERROR(IF($B111=0,0,$C111/$B111),0))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9">
        <f>IF($A112="","",IFERROR(IF($B112=0,0,$C112/$B112),0))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9">
        <f>IF($A113="","",IFERROR(IF($B113=0,0,$C113/$B113),0))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9">
        <f>IF($A114="","",IFERROR(IF($B114=0,0,$C114/$B114),0))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9">
        <f>IF($A115="","",IFERROR(IF($B115=0,0,$C115/$B115),0))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9">
        <f>IF($A116="","",IFERROR(IF($B116=0,0,$C116/$B116),0))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9">
        <f>IF($A117="","",IFERROR(IF($B117=0,0,$C117/$B117),0))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9">
        <f>IF($A118="","",IFERROR(IF($B118=0,0,$C118/$B118),0))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9">
        <f>IF($A119="","",IFERROR(IF($B119=0,0,$C119/$B119),0))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9">
        <f>IF($A120="","",IFERROR(IF($B120=0,0,$C120/$B120),0))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9">
        <f>IF($A121="","",IFERROR(IF($B121=0,0,$C121/$B121),0))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9">
        <f>IF($A122="","",IFERROR(IF($B122=0,0,$C122/$B122),0))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9">
        <f>IF($A123="","",IFERROR(IF($B123=0,0,$C123/$B123),0))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9">
        <f>IF($A124="","",IFERROR(IF($B124=0,0,$C124/$B124),0))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9">
        <f>IF($A125="","",IFERROR(IF($B125=0,0,$C125/$B125),0))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9">
        <f>IF($A126="","",IFERROR(IF($B126=0,0,$C126/$B126),0))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9">
        <f>IF($A127="","",IFERROR(IF($B127=0,0,$C127/$B127),0))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9">
        <f>IF($A128="","",IFERROR(IF($B128=0,0,$C128/$B128),0))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9">
        <f>IF($A129="","",IFERROR(IF($B129=0,0,$C129/$B129),0))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9">
        <f>IF($A130="","",IFERROR(IF($B130=0,0,$C130/$B130),0))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9">
        <f>IF($A131="","",IFERROR(IF($B131=0,0,$C131/$B131),0))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9">
        <f>IF($A132="","",IFERROR(IF($B132=0,0,$C132/$B132),0))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9">
        <f>IF($A133="","",IFERROR(IF($B133=0,0,$C133/$B133),0))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9">
        <f>IF($A134="","",IFERROR(IF($B134=0,0,$C134/$B134),0))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9">
        <f>IF($A135="","",IFERROR(IF($B135=0,0,$C135/$B135),0))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9">
        <f>IF($A136="","",IFERROR(IF($B136=0,0,$C136/$B136),0))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9">
        <f>IF($A137="","",IFERROR(IF($B137=0,0,$C137/$B137),0))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9">
        <f>IF($A138="","",IFERROR(IF($B138=0,0,$C138/$B138),0))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9">
        <f>IF($A139="","",IFERROR(IF($B139=0,0,$C139/$B139),0))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9">
        <f>IF($A140="","",IFERROR(IF($B140=0,0,$C140/$B140),0))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9">
        <f>IF($A141="","",IFERROR(IF($B141=0,0,$C141/$B141),0))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9">
        <f>IF($A142="","",IFERROR(IF($B142=0,0,$C142/$B142),0))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9">
        <f>IF($A143="","",IFERROR(IF($B143=0,0,$C143/$B143),0))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9">
        <f>IF($A144="","",IFERROR(IF($B144=0,0,$C144/$B144),0))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9">
        <f>IF($A145="","",IFERROR(IF($B145=0,0,$C145/$B145),0))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9">
        <f>IF($A146="","",IFERROR(IF($B146=0,0,$C146/$B146),0))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9">
        <f>IF($A147="","",IFERROR(IF($B147=0,0,$C147/$B147),0))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9">
        <f>IF($A148="","",IFERROR(IF($B148=0,0,$C148/$B148),0))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9">
        <f>IF($A149="","",IFERROR(IF($B149=0,0,$C149/$B149),0))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9">
        <f>IF($A150="","",IFERROR(IF($B150=0,0,$C150/$B150),0))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9">
        <f>IF($A151="","",IFERROR(IF($B151=0,0,$C151/$B151),0))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9">
        <f>IF($A152="","",IFERROR(IF($B152=0,0,$C152/$B152),0))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9">
        <f>IF($A153="","",IFERROR(IF($B153=0,0,$C153/$B153),0))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9">
        <f>IF($A154="","",IFERROR(IF($B154=0,0,$C154/$B154),0))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9">
        <f>IF($A155="","",IFERROR(IF($B155=0,0,$C155/$B155),0))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9">
        <f>IF($A156="","",IFERROR(IF($B156=0,0,$C156/$B156),0))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9">
        <f>IF($A157="","",IFERROR(IF($B157=0,0,$C157/$B157),0))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9">
        <f>IF($A158="","",IFERROR(IF($B158=0,0,$C158/$B158),0))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9">
        <f>IF($A159="","",IFERROR(IF($B159=0,0,$C159/$B159),0))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9">
        <f>IF($A160="","",IFERROR(IF($B160=0,0,$C160/$B160),0))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9">
        <f>IF($A161="","",IFERROR(IF($B161=0,0,$C161/$B161),0))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9">
        <f>IF($A162="","",IFERROR(IF($B162=0,0,$C162/$B162),0))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9">
        <f>IF($A163="","",IFERROR(IF($B163=0,0,$C163/$B163),0))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9">
        <f>IF($A164="","",IFERROR(IF($B164=0,0,$C164/$B164),0))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9">
        <f>IF($A165="","",IFERROR(IF($B165=0,0,$C165/$B165),0))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9">
        <f>IF($A166="","",IFERROR(IF($B166=0,0,$C166/$B166),0))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9">
        <f>IF($A167="","",IFERROR(IF($B167=0,0,$C167/$B167),0))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9">
        <f>IF($A168="","",IFERROR(IF($B168=0,0,$C168/$B168),0))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9">
        <f>IF($A169="","",IFERROR(IF($B169=0,0,$C169/$B169),0))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9">
        <f>IF($A170="","",IFERROR(IF($B170=0,0,$C170/$B170),0))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9">
        <f>IF($A171="","",IFERROR(IF($B171=0,0,$C171/$B171),0))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9">
        <f>IF($A172="","",IFERROR(IF($B172=0,0,$C172/$B172),0))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9">
        <f>IF($A173="","",IFERROR(IF($B173=0,0,$C173/$B173),0))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9">
        <f>IF($A174="","",IFERROR(IF($B174=0,0,$C174/$B174),0))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9">
        <f>IF($A175="","",IFERROR(IF($B175=0,0,$C175/$B175),0))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9">
        <f>IF($A176="","",IFERROR(IF($B176=0,0,$C176/$B176),0))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9">
        <f>IF($A177="","",IFERROR(IF($B177=0,0,$C177/$B177),0))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9">
        <f>IF($A178="","",IFERROR(IF($B178=0,0,$C178/$B178),0))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9">
        <f>IF($A179="","",IFERROR(IF($B179=0,0,$C179/$B179),0))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9">
        <f>IF($A180="","",IFERROR(IF($B180=0,0,$C180/$B180),0))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9">
        <f>IF($A181="","",IFERROR(IF($B181=0,0,$C181/$B181),0))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9">
        <f>IF($A182="","",IFERROR(IF($B182=0,0,$C182/$B182),0))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9">
        <f>IF($A183="","",IFERROR(IF($B183=0,0,$C183/$B183),0))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9">
        <f>IF($A184="","",IFERROR(IF($B184=0,0,$C184/$B184),0))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9">
        <f>IF($A185="","",IFERROR(IF($B185=0,0,$C185/$B185),0))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9">
        <f>IF($A186="","",IFERROR(IF($B186=0,0,$C186/$B186),0))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9">
        <f>IF($A187="","",IFERROR(IF($B187=0,0,$C187/$B187),0))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9">
        <f>IF($A188="","",IFERROR(IF($B188=0,0,$C188/$B188),0))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9">
        <f>IF($A189="","",IFERROR(IF($B189=0,0,$C189/$B189),0))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9">
        <f>IF($A190="","",IFERROR(IF($B190=0,0,$C190/$B190),0))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9">
        <f>IF($A191="","",IFERROR(IF($B191=0,0,$C191/$B191),0))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9">
        <f>IF($A192="","",IFERROR(IF($B192=0,0,$C192/$B192),0))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9">
        <f>IF($A193="","",IFERROR(IF($B193=0,0,$C193/$B193),0))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9">
        <f>IF($A194="","",IFERROR(IF($B194=0,0,$C194/$B194),0))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9">
        <f>IF($A195="","",IFERROR(IF($B195=0,0,$C195/$B195),0))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9">
        <f>IF($A196="","",IFERROR(IF($B196=0,0,$C196/$B196),0))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9">
        <f>IF($A197="","",IFERROR(IF($B197=0,0,$C197/$B197),0))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9">
        <f>IF($A198="","",IFERROR(IF($B198=0,0,$C198/$B198),0))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9">
        <f>IF($A199="","",IFERROR(IF($B199=0,0,$C199/$B199),0))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9">
        <f>IF($A200="","",IFERROR(IF($B200=0,0,$C200/$B200),0))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9">
        <f>IF($A201="","",IFERROR(IF($B201=0,0,$C201/$B201),0))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9">
        <f>IF($A202="","",IFERROR(IF($B202=0,0,$C202/$B202),0))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9">
        <f>IF($A203="","",IFERROR(IF($B203=0,0,$C203/$B203),0))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9">
        <f>IF($A204="","",IFERROR(IF($B204=0,0,$C204/$B204),0))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9">
        <f>IF($A205="","",IFERROR(IF($B205=0,0,$C205/$B205),0))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9">
        <f>IF($A206="","",IFERROR(IF($B206=0,0,$C206/$B206),0))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9">
        <f>IF($A207="","",IFERROR(IF($B207=0,0,$C207/$B207),0))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9">
        <f>IF($A208="","",IFERROR(IF($B208=0,0,$C208/$B208),0))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9">
        <f>IF($A209="","",IFERROR(IF($B209=0,0,$C209/$B209),0))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9">
        <f>IF($A210="","",IFERROR(IF($B210=0,0,$C210/$B210),0))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9">
        <f>IF($A211="","",IFERROR(IF($B211=0,0,$C211/$B211),0))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9">
        <f>IF($A212="","",IFERROR(IF($B212=0,0,$C212/$B212),0))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9">
        <f>IF($A213="","",IFERROR(IF($B213=0,0,$C213/$B213),0))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9">
        <f>IF($A214="","",IFERROR(IF($B214=0,0,$C214/$B214),0))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9">
        <f>IF($A215="","",IFERROR(IF($B215=0,0,$C215/$B215),0))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9">
        <f>IF($A216="","",IFERROR(IF($B216=0,0,$C216/$B216),0))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9">
        <f>IF($A217="","",IFERROR(IF($B217=0,0,$C217/$B217),0))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9">
        <f>IF($A218="","",IFERROR(IF($B218=0,0,$C218/$B218),0))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9">
        <f>IF($A219="","",IFERROR(IF($B219=0,0,$C219/$B219),0))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9">
        <f>IF($A220="","",IFERROR(IF($B220=0,0,$C220/$B220),0))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9">
        <f>IF($A221="","",IFERROR(IF($B221=0,0,$C221/$B221),0))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9">
        <f>IF($A222="","",IFERROR(IF($B222=0,0,$C222/$B222),0))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9">
        <f>IF($A223="","",IFERROR(IF($B223=0,0,$C223/$B223),0))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9">
        <f>IF($A224="","",IFERROR(IF($B224=0,0,$C224/$B224),0))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9">
        <f>IF($A225="","",IFERROR(IF($B225=0,0,$C225/$B225),0))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9">
        <f>IF($A226="","",IFERROR(IF($B226=0,0,$C226/$B226),0))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9">
        <f>IF($A227="","",IFERROR(IF($B227=0,0,$C227/$B227),0))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9">
        <f>IF($A228="","",IFERROR(IF($B228=0,0,$C228/$B228),0))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9">
        <f>IF($A229="","",IFERROR(IF($B229=0,0,$C229/$B229),0))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9">
        <f>IF($A230="","",IFERROR(IF($B230=0,0,$C230/$B230),0))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9">
        <f>IF($A231="","",IFERROR(IF($B231=0,0,$C231/$B231),0))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9">
        <f>IF($A232="","",IFERROR(IF($B232=0,0,$C232/$B232),0))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9">
        <f>IF($A233="","",IFERROR(IF($B233=0,0,$C233/$B233),0))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9">
        <f>IF($A234="","",IFERROR(IF($B234=0,0,$C234/$B234),0))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9">
        <f>IF($A235="","",IFERROR(IF($B235=0,0,$C235/$B235),0))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9">
        <f>IF($A236="","",IFERROR(IF($B236=0,0,$C236/$B236),0))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9">
        <f>IF($A237="","",IFERROR(IF($B237=0,0,$C237/$B237),0))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9">
        <f>IF($A238="","",IFERROR(IF($B238=0,0,$C238/$B238),0))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9">
        <f>IF($A239="","",IFERROR(IF($B239=0,0,$C239/$B239),0))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9">
        <f>IF($A240="","",IFERROR(IF($B240=0,0,$C240/$B240),0))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9">
        <f>IF($A241="","",IFERROR(IF($B241=0,0,$C241/$B241),0))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9">
        <f>IF($A242="","",IFERROR(IF($B242=0,0,$C242/$B242),0))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9">
        <f>IF($A243="","",IFERROR(IF($B243=0,0,$C243/$B243),0))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9">
        <f>IF($A244="","",IFERROR(IF($B244=0,0,$C244/$B244),0))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9">
        <f>IF($A245="","",IFERROR(IF($B245=0,0,$C245/$B245),0))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9">
        <f>IF($A246="","",IFERROR(IF($B246=0,0,$C246/$B246),0))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9">
        <f>IF($A247="","",IFERROR(IF($B247=0,0,$C247/$B247),0))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9">
        <f>IF($A248="","",IFERROR(IF($B248=0,0,$C248/$B248),0))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9">
        <f>IF($A249="","",IFERROR(IF($B249=0,0,$C249/$B249),0))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9">
        <f>IF($A250="","",IFERROR(IF($B250=0,0,$C250/$B250),0))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9">
        <f>IF($A251="","",IFERROR(IF($B251=0,0,$C251/$B251),0))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9">
        <f>IF($A252="","",IFERROR(IF($B252=0,0,$C252/$B252),0))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9">
        <f>IF($A253="","",IFERROR(IF($B253=0,0,$C253/$B253),0))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9">
        <f>IF($A254="","",IFERROR(IF($B254=0,0,$C254/$B254),0))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9">
        <f>IF($A255="","",IFERROR(IF($B255=0,0,$C255/$B255),0))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9">
        <f>IF($A256="","",IFERROR(IF($B256=0,0,$C256/$B256),0))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9">
        <f>IF($A257="","",IFERROR(IF($B257=0,0,$C257/$B257),0))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9">
        <f>IF($A258="","",IFERROR(IF($B258=0,0,$C258/$B258),0))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9">
        <f>IF($A259="","",IFERROR(IF($B259=0,0,$C259/$B259),0))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9">
        <f>IF($A260="","",IFERROR(IF($B260=0,0,$C260/$B260),0))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9">
        <f>IF($A261="","",IFERROR(IF($B261=0,0,$C261/$B261),0))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9">
        <f>IF($A262="","",IFERROR(IF($B262=0,0,$C262/$B262),0))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9">
        <f>IF($A263="","",IFERROR(IF($B263=0,0,$C263/$B263),0))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9">
        <f>IF($A264="","",IFERROR(IF($B264=0,0,$C264/$B264),0))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9">
        <f>IF($A265="","",IFERROR(IF($B265=0,0,$C265/$B265),0))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9">
        <f>IF($A266="","",IFERROR(IF($B266=0,0,$C266/$B266),0))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9">
        <f>IF($A267="","",IFERROR(IF($B267=0,0,$C267/$B267),0))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9">
        <f>IF($A268="","",IFERROR(IF($B268=0,0,$C268/$B268),0))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9">
        <f>IF($A269="","",IFERROR(IF($B269=0,0,$C269/$B269),0))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9">
        <f>IF($A270="","",IFERROR(IF($B270=0,0,$C270/$B270),0))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9">
        <f>IF($A271="","",IFERROR(IF($B271=0,0,$C271/$B271),0))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9">
        <f>IF($A272="","",IFERROR(IF($B272=0,0,$C272/$B272),0))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9">
        <f>IF($A273="","",IFERROR(IF($B273=0,0,$C273/$B273),0))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9">
        <f>IF($A274="","",IFERROR(IF($B274=0,0,$C274/$B274),0))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9">
        <f>IF($A275="","",IFERROR(IF($B275=0,0,$C275/$B275),0))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9">
        <f>IF($A276="","",IFERROR(IF($B276=0,0,$C276/$B276),0))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9">
        <f>IF($A277="","",IFERROR(IF($B277=0,0,$C277/$B277),0))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9">
        <f>IF($A278="","",IFERROR(IF($B278=0,0,$C278/$B278),0))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9">
        <f>IF($A279="","",IFERROR(IF($B279=0,0,$C279/$B279),0))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9">
        <f>IF($A280="","",IFERROR(IF($B280=0,0,$C280/$B280),0))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9">
        <f>IF($A281="","",IFERROR(IF($B281=0,0,$C281/$B281),0))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9">
        <f>IF($A282="","",IFERROR(IF($B282=0,0,$C282/$B282),0))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9">
        <f>IF($A283="","",IFERROR(IF($B283=0,0,$C283/$B283),0))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9">
        <f>IF($A284="","",IFERROR(IF($B284=0,0,$C284/$B284),0))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9">
        <f>IF($A285="","",IFERROR(IF($B285=0,0,$C285/$B285),0))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9">
        <f>IF($A286="","",IFERROR(IF($B286=0,0,$C286/$B286),0))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9">
        <f>IF($A287="","",IFERROR(IF($B287=0,0,$C287/$B287),0))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9">
        <f>IF($A288="","",IFERROR(IF($B288=0,0,$C288/$B288),0))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9">
        <f>IF($A289="","",IFERROR(IF($B289=0,0,$C289/$B289),0))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9">
        <f>IF($A290="","",IFERROR(IF($B290=0,0,$C290/$B290),0))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9">
        <f>IF($A291="","",IFERROR(IF($B291=0,0,$C291/$B291),0))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9">
        <f>IF($A292="","",IFERROR(IF($B292=0,0,$C292/$B292),0))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9">
        <f>IF($A293="","",IFERROR(IF($B293=0,0,$C293/$B293),0))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9">
        <f>IF($A294="","",IFERROR(IF($B294=0,0,$C294/$B294),0))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9">
        <f>IF($A295="","",IFERROR(IF($B295=0,0,$C295/$B295),0))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9">
        <f>IF($A296="","",IFERROR(IF($B296=0,0,$C296/$B296),0))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9">
        <f>IF($A297="","",IFERROR(IF($B297=0,0,$C297/$B297),0))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9">
        <f>IF($A298="","",IFERROR(IF($B298=0,0,$C298/$B298),0))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9">
        <f>IF($A299="","",IFERROR(IF($B299=0,0,$C299/$B299),0))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9">
        <f>IF($A300="","",IFERROR(IF($B300=0,0,$C300/$B300),0))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9">
        <f>IF($A301="","",IFERROR(IF($B301=0,0,$C301/$B301),0))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9">
        <f>IF($A302="","",IFERROR(IF($B302=0,0,$C302/$B302),0))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9">
        <f>IF($A303="","",IFERROR(IF($B303=0,0,$C303/$B303),0))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9">
        <f>IF($A304="","",IFERROR(IF($B304=0,0,$C304/$B304),0))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9">
        <f>IF($A305="","",IFERROR(IF($B305=0,0,$C305/$B305),0))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9">
        <f>IF($A306="","",IFERROR(IF($B306=0,0,$C306/$B306),0))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9">
        <f>IF($A307="","",IFERROR(IF($B307=0,0,$C307/$B307),0))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9">
        <f>IF($A308="","",IFERROR(IF($B308=0,0,$C308/$B308),0))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9">
        <f>IF($A309="","",IFERROR(IF($B309=0,0,$C309/$B309),0))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9">
        <f>IF($A310="","",IFERROR(IF($B310=0,0,$C310/$B310),0))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9">
        <f>IF($A311="","",IFERROR(IF($B311=0,0,$C311/$B311),0))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9">
        <f>IF($A312="","",IFERROR(IF($B312=0,0,$C312/$B312),0))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9">
        <f>IF($A313="","",IFERROR(IF($B313=0,0,$C313/$B313),0))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9">
        <f>IF($A314="","",IFERROR(IF($B314=0,0,$C314/$B314),0))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9">
        <f>IF($A315="","",IFERROR(IF($B315=0,0,$C315/$B315),0))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9">
        <f>IF($A316="","",IFERROR(IF($B316=0,0,$C316/$B316),0))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9">
        <f>IF($A317="","",IFERROR(IF($B317=0,0,$C317/$B317),0))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9">
        <f>IF($A318="","",IFERROR(IF($B318=0,0,$C318/$B318),0))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9">
        <f>IF($A319="","",IFERROR(IF($B319=0,0,$C319/$B319),0))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9">
        <f>IF($A320="","",IFERROR(IF($B320=0,0,$C320/$B320),0))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9">
        <f>IF($A321="","",IFERROR(IF($B321=0,0,$C321/$B321),0))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9">
        <f>IF($A322="","",IFERROR(IF($B322=0,0,$C322/$B322),0))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9">
        <f>IF($A323="","",IFERROR(IF($B323=0,0,$C323/$B323),0))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9">
        <f>IF($A324="","",IFERROR(IF($B324=0,0,$C324/$B324),0))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9">
        <f>IF($A325="","",IFERROR(IF($B325=0,0,$C325/$B325),0))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9">
        <f>IF($A326="","",IFERROR(IF($B326=0,0,$C326/$B326),0))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9">
        <f>IF($A327="","",IFERROR(IF($B327=0,0,$C327/$B327),0))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9">
        <f>IF($A328="","",IFERROR(IF($B328=0,0,$C328/$B328),0))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9">
        <f>IF($A329="","",IFERROR(IF($B329=0,0,$C329/$B329),0))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9">
        <f>IF($A330="","",IFERROR(IF($B330=0,0,$C330/$B330),0))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9">
        <f>IF($A331="","",IFERROR(IF($B331=0,0,$C331/$B331),0))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9">
        <f>IF($A332="","",IFERROR(IF($B332=0,0,$C332/$B332),0))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9">
        <f>IF($A333="","",IFERROR(IF($B333=0,0,$C333/$B333),0))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9">
        <f>IF($A334="","",IFERROR(IF($B334=0,0,$C334/$B334),0))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9">
        <f>IF($A335="","",IFERROR(IF($B335=0,0,$C335/$B335),0))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9">
        <f>IF($A336="","",IFERROR(IF($B336=0,0,$C336/$B336),0))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9">
        <f>IF($A337="","",IFERROR(IF($B337=0,0,$C337/$B337),0))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9">
        <f>IF($A338="","",IFERROR(IF($B338=0,0,$C338/$B338),0))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9">
        <f>IF($A339="","",IFERROR(IF($B339=0,0,$C339/$B339),0))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9">
        <f>IF($A340="","",IFERROR(IF($B340=0,0,$C340/$B340),0))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9">
        <f>IF($A341="","",IFERROR(IF($B341=0,0,$C341/$B341),0))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9">
        <f>IF($A342="","",IFERROR(IF($B342=0,0,$C342/$B342),0))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9">
        <f>IF($A343="","",IFERROR(IF($B343=0,0,$C343/$B343),0))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9">
        <f>IF($A344="","",IFERROR(IF($B344=0,0,$C344/$B344),0))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9">
        <f>IF($A345="","",IFERROR(IF($B345=0,0,$C345/$B345),0))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9">
        <f>IF($A346="","",IFERROR(IF($B346=0,0,$C346/$B346),0))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9">
        <f>IF($A347="","",IFERROR(IF($B347=0,0,$C347/$B347),0))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9">
        <f>IF($A348="","",IFERROR(IF($B348=0,0,$C348/$B348),0))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9">
        <f>IF($A349="","",IFERROR(IF($B349=0,0,$C349/$B349),0))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9">
        <f>IF($A350="","",IFERROR(IF($B350=0,0,$C350/$B350),0))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9">
        <f>IF($A351="","",IFERROR(IF($B351=0,0,$C351/$B351),0))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9">
        <f>IF($A352="","",IFERROR(IF($B352=0,0,$C352/$B352),0))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9">
        <f>IF($A353="","",IFERROR(IF($B353=0,0,$C353/$B353),0))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9">
        <f>IF($A354="","",IFERROR(IF($B354=0,0,$C354/$B354),0))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9">
        <f>IF($A355="","",IFERROR(IF($B355=0,0,$C355/$B355),0))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9">
        <f>IF($A356="","",IFERROR(IF($B356=0,0,$C356/$B356),0))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9">
        <f>IF($A357="","",IFERROR(IF($B357=0,0,$C357/$B357),0))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9">
        <f>IF($A358="","",IFERROR(IF($B358=0,0,$C358/$B358),0))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9">
        <f>IF($A359="","",IFERROR(IF($B359=0,0,$C359/$B359),0))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9">
        <f>IF($A360="","",IFERROR(IF($B360=0,0,$C360/$B360),0))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9">
        <f>IF($A361="","",IFERROR(IF($B361=0,0,$C361/$B361),0))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9">
        <f>IF($A362="","",IFERROR(IF($B362=0,0,$C362/$B362),0))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9">
        <f>IF($A363="","",IFERROR(IF($B363=0,0,$C363/$B363),0))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9">
        <f>IF($A364="","",IFERROR(IF($B364=0,0,$C364/$B364),0))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9">
        <f>IF($A365="","",IFERROR(IF($B365=0,0,$C365/$B365),0))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9">
        <f>IF($A366="","",IFERROR(IF($B366=0,0,$C366/$B366),0))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9">
        <f>IF($A367="","",IFERROR(IF($B367=0,0,$C367/$B367),0))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9">
        <f>IF($A368="","",IFERROR(IF($B368=0,0,$C368/$B368),0))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9">
        <f>IF($A369="","",IFERROR(IF($B369=0,0,$C369/$B369),0))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9">
        <f>IF($A370="","",IFERROR(IF($B370=0,0,$C370/$B370),0))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9">
        <f>IF($A371="","",IFERROR(IF($B371=0,0,$C371/$B371),0))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9">
        <f>IF($A372="","",IFERROR(IF($B372=0,0,$C372/$B372),0))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9">
        <f>IF($A373="","",IFERROR(IF($B373=0,0,$C373/$B373),0))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9">
        <f>IF($A374="","",IFERROR(IF($B374=0,0,$C374/$B374),0))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9">
        <f>IF($A375="","",IFERROR(IF($B375=0,0,$C375/$B375),0))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9">
        <f>IF($A376="","",IFERROR(IF($B376=0,0,$C376/$B376),0))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9">
        <f>IF($A377="","",IFERROR(IF($B377=0,0,$C377/$B377),0))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9">
        <f>IF($A378="","",IFERROR(IF($B378=0,0,$C378/$B378),0))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9">
        <f>IF($A379="","",IFERROR(IF($B379=0,0,$C379/$B379),0))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9">
        <f>IF($A380="","",IFERROR(IF($B380=0,0,$C380/$B380),0))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9">
        <f>IF($A381="","",IFERROR(IF($B381=0,0,$C381/$B381),0))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9">
        <f>IF($A382="","",IFERROR(IF($B382=0,0,$C382/$B382),0))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9">
        <f>IF($A383="","",IFERROR(IF($B383=0,0,$C383/$B383),0))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9">
        <f>IF($A384="","",IFERROR(IF($B384=0,0,$C384/$B384),0))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9">
        <f>IF($A385="","",IFERROR(IF($B385=0,0,$C385/$B385),0))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9">
        <f>IF($A386="","",IFERROR(IF($B386=0,0,$C386/$B386),0))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9">
        <f>IF($A387="","",IFERROR(IF($B387=0,0,$C387/$B387),0))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9">
        <f>IF($A388="","",IFERROR(IF($B388=0,0,$C388/$B388),0))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9">
        <f>IF($A389="","",IFERROR(IF($B389=0,0,$C389/$B389),0))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9">
        <f>IF($A390="","",IFERROR(IF($B390=0,0,$C390/$B390),0))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9">
        <f>IF($A391="","",IFERROR(IF($B391=0,0,$C391/$B391),0))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9">
        <f>IF($A392="","",IFERROR(IF($B392=0,0,$C392/$B392),0))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9">
        <f>IF($A393="","",IFERROR(IF($B393=0,0,$C393/$B393),0))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9">
        <f>IF($A394="","",IFERROR(IF($B394=0,0,$C394/$B394),0))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9">
        <f>IF($A395="","",IFERROR(IF($B395=0,0,$C395/$B395),0))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9">
        <f>IF($A396="","",IFERROR(IF($B396=0,0,$C396/$B396),0))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9">
        <f>IF($A397="","",IFERROR(IF($B397=0,0,$C397/$B397),0))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9">
        <f>IF($A398="","",IFERROR(IF($B398=0,0,$C398/$B398),0))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9">
        <f>IF($A399="","",IFERROR(IF($B399=0,0,$C399/$B399),0))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9">
        <f>IF($A400="","",IFERROR(IF($B400=0,0,$C400/$B400),0))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9">
        <f>IF($A401="","",IFERROR(IF($B401=0,0,$C401/$B401),0))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9">
        <f>IF($A402="","",IFERROR(IF($B402=0,0,$C402/$B402),0))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9">
        <f>IF($A403="","",IFERROR(IF($B403=0,0,$C403/$B403),0))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9">
        <f>IF($A404="","",IFERROR(IF($B404=0,0,$C404/$B404),0))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9">
        <f>IF($A405="","",IFERROR(IF($B405=0,0,$C405/$B405),0))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9">
        <f>IF($A406="","",IFERROR(IF($B406=0,0,$C406/$B406),0))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9">
        <f>IF($A407="","",IFERROR(IF($B407=0,0,$C407/$B407),0))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9">
        <f>IF($A408="","",IFERROR(IF($B408=0,0,$C408/$B408),0))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9">
        <f>IF($A409="","",IFERROR(IF($B409=0,0,$C409/$B409),0))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9">
        <f>IF($A410="","",IFERROR(IF($B410=0,0,$C410/$B410),0))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9">
        <f>IF($A411="","",IFERROR(IF($B411=0,0,$C411/$B411),0))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9">
        <f>IF($A412="","",IFERROR(IF($B412=0,0,$C412/$B412),0))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9">
        <f>IF($A413="","",IFERROR(IF($B413=0,0,$C413/$B413),0))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9">
        <f>IF($A414="","",IFERROR(IF($B414=0,0,$C414/$B414),0))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9">
        <f>IF($A415="","",IFERROR(IF($B415=0,0,$C415/$B415),0))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9">
        <f>IF($A416="","",IFERROR(IF($B416=0,0,$C416/$B416),0))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9">
        <f>IF($A417="","",IFERROR(IF($B417=0,0,$C417/$B417),0))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9">
        <f>IF($A418="","",IFERROR(IF($B418=0,0,$C418/$B418),0))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9">
        <f>IF($A419="","",IFERROR(IF($B419=0,0,$C419/$B419),0))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9">
        <f>IF($A420="","",IFERROR(IF($B420=0,0,$C420/$B420),0))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9">
        <f>IF($A421="","",IFERROR(IF($B421=0,0,$C421/$B421),0))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9">
        <f>IF($A422="","",IFERROR(IF($B422=0,0,$C422/$B422),0))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9">
        <f>IF($A423="","",IFERROR(IF($B423=0,0,$C423/$B423),0))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9">
        <f>IF($A424="","",IFERROR(IF($B424=0,0,$C424/$B424),0))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9">
        <f>IF($A425="","",IFERROR(IF($B425=0,0,$C425/$B425),0))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9">
        <f>IF($A426="","",IFERROR(IF($B426=0,0,$C426/$B426),0))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9">
        <f>IF($A427="","",IFERROR(IF($B427=0,0,$C427/$B427),0))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9">
        <f>IF($A428="","",IFERROR(IF($B428=0,0,$C428/$B428),0))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9">
        <f>IF($A429="","",IFERROR(IF($B429=0,0,$C429/$B429),0))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9">
        <f>IF($A430="","",IFERROR(IF($B430=0,0,$C430/$B430),0))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9">
        <f>IF($A431="","",IFERROR(IF($B431=0,0,$C431/$B431),0))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9">
        <f>IF($A432="","",IFERROR(IF($B432=0,0,$C432/$B432),0))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9">
        <f>IF($A433="","",IFERROR(IF($B433=0,0,$C433/$B433),0))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9">
        <f>IF($A434="","",IFERROR(IF($B434=0,0,$C434/$B434),0))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9">
        <f>IF($A435="","",IFERROR(IF($B435=0,0,$C435/$B435),0))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9">
        <f>IF($A436="","",IFERROR(IF($B436=0,0,$C436/$B436),0))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9">
        <f>IF($A437="","",IFERROR(IF($B437=0,0,$C437/$B437),0))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9">
        <f>IF($A438="","",IFERROR(IF($B438=0,0,$C438/$B438),0))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9">
        <f>IF($A439="","",IFERROR(IF($B439=0,0,$C439/$B439),0))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9">
        <f>IF($A440="","",IFERROR(IF($B440=0,0,$C440/$B440),0))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9">
        <f>IF($A441="","",IFERROR(IF($B441=0,0,$C441/$B441),0))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9">
        <f>IF($A442="","",IFERROR(IF($B442=0,0,$C442/$B442),0))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9">
        <f>IF($A443="","",IFERROR(IF($B443=0,0,$C443/$B443),0))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9">
        <f>IF($A444="","",IFERROR(IF($B444=0,0,$C444/$B444),0))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9">
        <f>IF($A445="","",IFERROR(IF($B445=0,0,$C445/$B445),0))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9">
        <f>IF($A446="","",IFERROR(IF($B446=0,0,$C446/$B446),0))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9">
        <f>IF($A447="","",IFERROR(IF($B447=0,0,$C447/$B447),0))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9">
        <f>IF($A448="","",IFERROR(IF($B448=0,0,$C448/$B448),0))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9">
        <f>IF($A449="","",IFERROR(IF($B449=0,0,$C449/$B449),0))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9">
        <f>IF($A450="","",IFERROR(IF($B450=0,0,$C450/$B450),0))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9">
        <f>IF($A451="","",IFERROR(IF($B451=0,0,$C451/$B451),0))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9">
        <f>IF($A452="","",IFERROR(IF($B452=0,0,$C452/$B452),0))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9">
        <f>IF($A453="","",IFERROR(IF($B453=0,0,$C453/$B453),0))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9">
        <f>IF($A454="","",IFERROR(IF($B454=0,0,$C454/$B454),0))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9">
        <f>IF($A455="","",IFERROR(IF($B455=0,0,$C455/$B455),0))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9">
        <f>IF($A456="","",IFERROR(IF($B456=0,0,$C456/$B456),0))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9">
        <f>IF($A457="","",IFERROR(IF($B457=0,0,$C457/$B457),0))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9">
        <f>IF($A458="","",IFERROR(IF($B458=0,0,$C458/$B458),0))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9">
        <f>IF($A459="","",IFERROR(IF($B459=0,0,$C459/$B459),0))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9">
        <f>IF($A460="","",IFERROR(IF($B460=0,0,$C460/$B460),0))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9">
        <f>IF($A461="","",IFERROR(IF($B461=0,0,$C461/$B461),0))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9">
        <f>IF($A462="","",IFERROR(IF($B462=0,0,$C462/$B462),0))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9">
        <f>IF($A463="","",IFERROR(IF($B463=0,0,$C463/$B463),0))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9">
        <f>IF($A464="","",IFERROR(IF($B464=0,0,$C464/$B464),0))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9">
        <f>IF($A465="","",IFERROR(IF($B465=0,0,$C465/$B465),0))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9">
        <f>IF($A466="","",IFERROR(IF($B466=0,0,$C466/$B466),0))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9">
        <f>IF($A467="","",IFERROR(IF($B467=0,0,$C467/$B467),0))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9">
        <f>IF($A468="","",IFERROR(IF($B468=0,0,$C468/$B468),0))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9">
        <f>IF($A469="","",IFERROR(IF($B469=0,0,$C469/$B469),0))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9">
        <f>IF($A470="","",IFERROR(IF($B470=0,0,$C470/$B470),0))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9">
        <f>IF($A471="","",IFERROR(IF($B471=0,0,$C471/$B471),0))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9">
        <f>IF($A472="","",IFERROR(IF($B472=0,0,$C472/$B472),0))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9">
        <f>IF($A473="","",IFERROR(IF($B473=0,0,$C473/$B473),0))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9">
        <f>IF($A474="","",IFERROR(IF($B474=0,0,$C474/$B474),0))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9">
        <f>IF($A475="","",IFERROR(IF($B475=0,0,$C475/$B475),0))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9">
        <f>IF($A476="","",IFERROR(IF($B476=0,0,$C476/$B476),0))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9">
        <f>IF($A477="","",IFERROR(IF($B477=0,0,$C477/$B477),0))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9">
        <f>IF($A478="","",IFERROR(IF($B478=0,0,$C478/$B478),0))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9">
        <f>IF($A479="","",IFERROR(IF($B479=0,0,$C479/$B479),0))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9">
        <f>IF($A480="","",IFERROR(IF($B480=0,0,$C480/$B480),0))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9">
        <f>IF($A481="","",IFERROR(IF($B481=0,0,$C481/$B481),0))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9">
        <f>IF($A482="","",IFERROR(IF($B482=0,0,$C482/$B482),0))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9">
        <f>IF($A483="","",IFERROR(IF($B483=0,0,$C483/$B483),0))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9">
        <f>IF($A484="","",IFERROR(IF($B484=0,0,$C484/$B484),0))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9">
        <f>IF($A485="","",IFERROR(IF($B485=0,0,$C485/$B485),0))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9">
        <f>IF($A486="","",IFERROR(IF($B486=0,0,$C486/$B486),0))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9">
        <f>IF($A487="","",IFERROR(IF($B487=0,0,$C487/$B487),0))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9">
        <f>IF($A488="","",IFERROR(IF($B488=0,0,$C488/$B488),0))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9">
        <f>IF($A489="","",IFERROR(IF($B489=0,0,$C489/$B489),0))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9">
        <f>IF($A490="","",IFERROR(IF($B490=0,0,$C490/$B490),0))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9">
        <f>IF($A491="","",IFERROR(IF($B491=0,0,$C491/$B491),0))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9">
        <f>IF($A492="","",IFERROR(IF($B492=0,0,$C492/$B492),0))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9">
        <f>IF($A493="","",IFERROR(IF($B493=0,0,$C493/$B493),0))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9">
        <f>IF($A494="","",IFERROR(IF($B494=0,0,$C494/$B494),0))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9">
        <f>IF($A495="","",IFERROR(IF($B495=0,0,$C495/$B495),0))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9">
        <f>IF($A496="","",IFERROR(IF($B496=0,0,$C496/$B496),0))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9">
        <f>IF($A497="","",IFERROR(IF($B497=0,0,$C497/$B497),0))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9">
        <f>IF($A498="","",IFERROR(IF($B498=0,0,$C498/$B498),0))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9">
        <f>IF($A499="","",IFERROR(IF($B499=0,0,$C499/$B499),0))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9">
        <f>IF($A500="","",IFERROR(IF($B500=0,0,$C500/$B500),0))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9">
        <f>IF($A501="","",IFERROR(IF($B501=0,0,$C501/$B501),0))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9">
        <f>IF($A502="","",IFERROR(IF($B502=0,0,$C502/$B502),0))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9">
        <f>IF($A503="","",IFERROR(IF($B503=0,0,$C503/$B503),0))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9">
        <f>IF($A504="","",IFERROR(IF($B504=0,0,$C504/$B504),0))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9">
        <f>IF($A505="","",IFERROR(IF($B505=0,0,$C505/$B505),0))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9">
        <f>IF($A506="","",IFERROR(IF($B506=0,0,$C506/$B506),0))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9">
        <f>IF($A507="","",IFERROR(IF($B507=0,0,$C507/$B507),0))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9">
        <f>IF($A508="","",IFERROR(IF($B508=0,0,$C508/$B508),0))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9">
        <f>IF($A509="","",IFERROR(IF($B509=0,0,$C509/$B509),0))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9">
        <f>IF($A510="","",IFERROR(IF($B510=0,0,$C510/$B510),0))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9">
        <f>IF($A511="","",IFERROR(IF($B511=0,0,$C511/$B511),0))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9">
        <f>IF($A512="","",IFERROR(IF($B512=0,0,$C512/$B512),0))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9">
        <f>IF($A513="","",IFERROR(IF($B513=0,0,$C513/$B513),0))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9">
        <f>IF($A514="","",IFERROR(IF($B514=0,0,$C514/$B514),0))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9">
        <f>IF($A515="","",IFERROR(IF($B515=0,0,$C515/$B515),0))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9">
        <f>IF($A516="","",IFERROR(IF($B516=0,0,$C516/$B516),0))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9">
        <f>IF($A517="","",IFERROR(IF($B517=0,0,$C517/$B517),0))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9">
        <f>IF($A518="","",IFERROR(IF($B518=0,0,$C518/$B518),0))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9">
        <f>IF($A519="","",IFERROR(IF($B519=0,0,$C519/$B519),0))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9">
        <f>IF($A520="","",IFERROR(IF($B520=0,0,$C520/$B520),0))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9">
        <f>IF($A521="","",IFERROR(IF($B521=0,0,$C521/$B521),0))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9">
        <f>IF($A522="","",IFERROR(IF($B522=0,0,$C522/$B522),0))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9">
        <f>IF($A523="","",IFERROR(IF($B523=0,0,$C523/$B523),0))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9">
        <f>IF($A524="","",IFERROR(IF($B524=0,0,$C524/$B524),0))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9">
        <f>IF($A525="","",IFERROR(IF($B525=0,0,$C525/$B525),0))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9">
        <f>IF($A526="","",IFERROR(IF($B526=0,0,$C526/$B526),0))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9">
        <f>IF($A527="","",IFERROR(IF($B527=0,0,$C527/$B527),0))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9">
        <f>IF($A528="","",IFERROR(IF($B528=0,0,$C528/$B528),0))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9">
        <f>IF($A529="","",IFERROR(IF($B529=0,0,$C529/$B529),0))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9">
        <f>IF($A530="","",IFERROR(IF($B530=0,0,$C530/$B530),0))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9">
        <f>IF($A531="","",IFERROR(IF($B531=0,0,$C531/$B531),0))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9">
        <f>IF($A532="","",IFERROR(IF($B532=0,0,$C532/$B532),0))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9">
        <f>IF($A533="","",IFERROR(IF($B533=0,0,$C533/$B533),0))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9">
        <f>IF($A534="","",IFERROR(IF($B534=0,0,$C534/$B534),0))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9">
        <f>IF($A535="","",IFERROR(IF($B535=0,0,$C535/$B535),0))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9">
        <f>IF($A536="","",IFERROR(IF($B536=0,0,$C536/$B536),0))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9">
        <f>IF($A537="","",IFERROR(IF($B537=0,0,$C537/$B537),0))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9">
        <f>IF($A538="","",IFERROR(IF($B538=0,0,$C538/$B538),0))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9">
        <f>IF($A539="","",IFERROR(IF($B539=0,0,$C539/$B539),0))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9">
        <f>IF($A540="","",IFERROR(IF($B540=0,0,$C540/$B540),0))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9">
        <f>IF($A541="","",IFERROR(IF($B541=0,0,$C541/$B541),0))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9">
        <f>IF($A542="","",IFERROR(IF($B542=0,0,$C542/$B542),0))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9">
        <f>IF($A543="","",IFERROR(IF($B543=0,0,$C543/$B543),0))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9">
        <f>IF($A544="","",IFERROR(IF($B544=0,0,$C544/$B544),0))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9">
        <f>IF($A545="","",IFERROR(IF($B545=0,0,$C545/$B545),0))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9">
        <f>IF($A546="","",IFERROR(IF($B546=0,0,$C546/$B546),0))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9">
        <f>IF($A547="","",IFERROR(IF($B547=0,0,$C547/$B547),0))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9">
        <f>IF($A548="","",IFERROR(IF($B548=0,0,$C548/$B548),0))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9">
        <f>IF($A549="","",IFERROR(IF($B549=0,0,$C549/$B549),0))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9">
        <f>IF($A550="","",IFERROR(IF($B550=0,0,$C550/$B550),0))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9">
        <f>IF($A551="","",IFERROR(IF($B551=0,0,$C551/$B551),0))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9">
        <f>IF($A552="","",IFERROR(IF($B552=0,0,$C552/$B552),0))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9">
        <f>IF($A553="","",IFERROR(IF($B553=0,0,$C553/$B553),0))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9">
        <f>IF($A554="","",IFERROR(IF($B554=0,0,$C554/$B554),0))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9">
        <f>IF($A555="","",IFERROR(IF($B555=0,0,$C555/$B555),0))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9">
        <f>IF($A556="","",IFERROR(IF($B556=0,0,$C556/$B556),0))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9">
        <f>IF($A557="","",IFERROR(IF($B557=0,0,$C557/$B557),0))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9">
        <f>IF($A558="","",IFERROR(IF($B558=0,0,$C558/$B558),0))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9">
        <f>IF($A559="","",IFERROR(IF($B559=0,0,$C559/$B559),0))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9">
        <f>IF($A560="","",IFERROR(IF($B560=0,0,$C560/$B560),0))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9">
        <f>IF($A561="","",IFERROR(IF($B561=0,0,$C561/$B561),0))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9">
        <f>IF($A562="","",IFERROR(IF($B562=0,0,$C562/$B562),0))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9">
        <f>IF($A563="","",IFERROR(IF($B563=0,0,$C563/$B563),0))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9">
        <f>IF($A564="","",IFERROR(IF($B564=0,0,$C564/$B564),0))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9">
        <f>IF($A565="","",IFERROR(IF($B565=0,0,$C565/$B565),0))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9">
        <f>IF($A566="","",IFERROR(IF($B566=0,0,$C566/$B566),0))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9">
        <f>IF($A567="","",IFERROR(IF($B567=0,0,$C567/$B567),0))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9">
        <f>IF($A568="","",IFERROR(IF($B568=0,0,$C568/$B568),0))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9">
        <f>IF($A569="","",IFERROR(IF($B569=0,0,$C569/$B569),0))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9">
        <f>IF($A570="","",IFERROR(IF($B570=0,0,$C570/$B570),0))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9">
        <f>IF($A571="","",IFERROR(IF($B571=0,0,$C571/$B571),0))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9">
        <f>IF($A572="","",IFERROR(IF($B572=0,0,$C572/$B572),0))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9">
        <f>IF($A573="","",IFERROR(IF($B573=0,0,$C573/$B573),0))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9">
        <f>IF($A574="","",IFERROR(IF($B574=0,0,$C574/$B574),0))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9">
        <f>IF($A575="","",IFERROR(IF($B575=0,0,$C575/$B575),0))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9">
        <f>IF($A576="","",IFERROR(IF($B576=0,0,$C576/$B576),0))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9">
        <f>IF($A577="","",IFERROR(IF($B577=0,0,$C577/$B577),0))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9">
        <f>IF($A578="","",IFERROR(IF($B578=0,0,$C578/$B578),0))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9">
        <f>IF($A579="","",IFERROR(IF($B579=0,0,$C579/$B579),0))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9">
        <f>IF($A580="","",IFERROR(IF($B580=0,0,$C580/$B580),0))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9">
        <f>IF($A581="","",IFERROR(IF($B581=0,0,$C581/$B581),0))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9">
        <f>IF($A582="","",IFERROR(IF($B582=0,0,$C582/$B582),0))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9">
        <f>IF($A583="","",IFERROR(IF($B583=0,0,$C583/$B583),0))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9">
        <f>IF($A584="","",IFERROR(IF($B584=0,0,$C584/$B584),0))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9">
        <f>IF($A585="","",IFERROR(IF($B585=0,0,$C585/$B585),0))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9">
        <f>IF($A586="","",IFERROR(IF($B586=0,0,$C586/$B586),0))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9">
        <f>IF($A587="","",IFERROR(IF($B587=0,0,$C587/$B587),0))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9">
        <f>IF($A588="","",IFERROR(IF($B588=0,0,$C588/$B588),0))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9">
        <f>IF($A589="","",IFERROR(IF($B589=0,0,$C589/$B589),0))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9">
        <f>IF($A590="","",IFERROR(IF($B590=0,0,$C590/$B590),0))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9">
        <f>IF($A591="","",IFERROR(IF($B591=0,0,$C591/$B591),0))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9">
        <f>IF($A592="","",IFERROR(IF($B592=0,0,$C592/$B592),0))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9">
        <f>IF($A593="","",IFERROR(IF($B593=0,0,$C593/$B593),0))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9">
        <f>IF($A594="","",IFERROR(IF($B594=0,0,$C594/$B594),0))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9">
        <f>IF($A595="","",IFERROR(IF($B595=0,0,$C595/$B595),0))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9">
        <f>IF($A596="","",IFERROR(IF($B596=0,0,$C596/$B596),0))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9">
        <f>IF($A597="","",IFERROR(IF($B597=0,0,$C597/$B597),0))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9">
        <f>IF($A598="","",IFERROR(IF($B598=0,0,$C598/$B598),0))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9">
        <f>IF($A599="","",IFERROR(IF($B599=0,0,$C599/$B599),0))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9">
        <f>IF($A600="","",IFERROR(IF($B600=0,0,$C600/$B600),0))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9">
        <f>IF($A601="","",IFERROR(IF($B601=0,0,$C601/$B601),0))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9">
        <f>IF($A602="","",IFERROR(IF($B602=0,0,$C602/$B602),0))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9">
        <f>IF($A603="","",IFERROR(IF($B603=0,0,$C603/$B603),0))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9">
        <f>IF($A604="","",IFERROR(IF($B604=0,0,$C604/$B604),0))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9">
        <f>IF($A605="","",IFERROR(IF($B605=0,0,$C605/$B605),0))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9">
        <f>IF($A606="","",IFERROR(IF($B606=0,0,$C606/$B606),0))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9">
        <f>IF($A607="","",IFERROR(IF($B607=0,0,$C607/$B607),0))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9">
        <f>IF($A608="","",IFERROR(IF($B608=0,0,$C608/$B608),0))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9">
        <f>IF($A609="","",IFERROR(IF($B609=0,0,$C609/$B609),0))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9">
        <f>IF($A610="","",IFERROR(IF($B610=0,0,$C610/$B610),0))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9">
        <f>IF($A611="","",IFERROR(IF($B611=0,0,$C611/$B611),0))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9">
        <f>IF($A612="","",IFERROR(IF($B612=0,0,$C612/$B612),0))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9">
        <f>IF($A613="","",IFERROR(IF($B613=0,0,$C613/$B613),0))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9">
        <f>IF($A614="","",IFERROR(IF($B614=0,0,$C614/$B614),0))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9">
        <f>IF($A615="","",IFERROR(IF($B615=0,0,$C615/$B615),0))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9">
        <f>IF($A616="","",IFERROR(IF($B616=0,0,$C616/$B616),0))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9">
        <f>IF($A617="","",IFERROR(IF($B617=0,0,$C617/$B617),0))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9">
        <f>IF($A618="","",IFERROR(IF($B618=0,0,$C618/$B618),0))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9">
        <f>IF($A619="","",IFERROR(IF($B619=0,0,$C619/$B619),0))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9">
        <f>IF($A620="","",IFERROR(IF($B620=0,0,$C620/$B620),0))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9">
        <f>IF($A621="","",IFERROR(IF($B621=0,0,$C621/$B621),0))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9">
        <f>IF($A622="","",IFERROR(IF($B622=0,0,$C622/$B622),0))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9">
        <f>IF($A623="","",IFERROR(IF($B623=0,0,$C623/$B623),0))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9">
        <f>IF($A624="","",IFERROR(IF($B624=0,0,$C624/$B624),0))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9">
        <f>IF($A625="","",IFERROR(IF($B625=0,0,$C625/$B625),0))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9">
        <f>IF($A626="","",IFERROR(IF($B626=0,0,$C626/$B626),0))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9">
        <f>IF($A627="","",IFERROR(IF($B627=0,0,$C627/$B627),0))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9">
        <f>IF($A628="","",IFERROR(IF($B628=0,0,$C628/$B628),0))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9">
        <f>IF($A629="","",IFERROR(IF($B629=0,0,$C629/$B629),0))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9">
        <f>IF($A630="","",IFERROR(IF($B630=0,0,$C630/$B630),0))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9">
        <f>IF($A631="","",IFERROR(IF($B631=0,0,$C631/$B631),0))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9">
        <f>IF($A632="","",IFERROR(IF($B632=0,0,$C632/$B632),0))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9">
        <f>IF($A633="","",IFERROR(IF($B633=0,0,$C633/$B633),0))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9">
        <f>IF($A634="","",IFERROR(IF($B634=0,0,$C634/$B634),0))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9">
        <f>IF($A635="","",IFERROR(IF($B635=0,0,$C635/$B635),0))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9">
        <f>IF($A636="","",IFERROR(IF($B636=0,0,$C636/$B636),0))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9">
        <f>IF($A637="","",IFERROR(IF($B637=0,0,$C637/$B637),0))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9">
        <f>IF($A638="","",IFERROR(IF($B638=0,0,$C638/$B638),0))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9">
        <f>IF($A639="","",IFERROR(IF($B639=0,0,$C639/$B639),0))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9">
        <f>IF($A640="","",IFERROR(IF($B640=0,0,$C640/$B640),0))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9">
        <f>IF($A641="","",IFERROR(IF($B641=0,0,$C641/$B641),0))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9">
        <f>IF($A642="","",IFERROR(IF($B642=0,0,$C642/$B642),0))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9">
        <f>IF($A643="","",IFERROR(IF($B643=0,0,$C643/$B643),0))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9">
        <f>IF($A644="","",IFERROR(IF($B644=0,0,$C644/$B644),0))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9">
        <f>IF($A645="","",IFERROR(IF($B645=0,0,$C645/$B645),0))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9">
        <f>IF($A646="","",IFERROR(IF($B646=0,0,$C646/$B646),0))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9">
        <f>IF($A647="","",IFERROR(IF($B647=0,0,$C647/$B647),0))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9">
        <f>IF($A648="","",IFERROR(IF($B648=0,0,$C648/$B648),0))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9">
        <f>IF($A649="","",IFERROR(IF($B649=0,0,$C649/$B649),0))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9">
        <f>IF($A650="","",IFERROR(IF($B650=0,0,$C650/$B650),0))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9">
        <f>IF($A651="","",IFERROR(IF($B651=0,0,$C651/$B651),0))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9">
        <f>IF($A652="","",IFERROR(IF($B652=0,0,$C652/$B652),0))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9">
        <f>IF($A653="","",IFERROR(IF($B653=0,0,$C653/$B653),0))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9">
        <f>IF($A654="","",IFERROR(IF($B654=0,0,$C654/$B654),0))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9">
        <f>IF($A655="","",IFERROR(IF($B655=0,0,$C655/$B655),0))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9">
        <f>IF($A656="","",IFERROR(IF($B656=0,0,$C656/$B656),0))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9">
        <f>IF($A657="","",IFERROR(IF($B657=0,0,$C657/$B657),0))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9">
        <f>IF($A658="","",IFERROR(IF($B658=0,0,$C658/$B658),0))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9">
        <f>IF($A659="","",IFERROR(IF($B659=0,0,$C659/$B659),0))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9">
        <f>IF($A660="","",IFERROR(IF($B660=0,0,$C660/$B660),0))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9">
        <f>IF($A661="","",IFERROR(IF($B661=0,0,$C661/$B661),0))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9">
        <f>IF($A662="","",IFERROR(IF($B662=0,0,$C662/$B662),0))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9">
        <f>IF($A663="","",IFERROR(IF($B663=0,0,$C663/$B663),0))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9">
        <f>IF($A664="","",IFERROR(IF($B664=0,0,$C664/$B664),0))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9">
        <f>IF($A665="","",IFERROR(IF($B665=0,0,$C665/$B665),0))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9">
        <f>IF($A666="","",IFERROR(IF($B666=0,0,$C666/$B666),0))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9">
        <f>IF($A667="","",IFERROR(IF($B667=0,0,$C667/$B667),0))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9">
        <f>IF($A668="","",IFERROR(IF($B668=0,0,$C668/$B668),0))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9">
        <f>IF($A669="","",IFERROR(IF($B669=0,0,$C669/$B669),0))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9">
        <f>IF($A670="","",IFERROR(IF($B670=0,0,$C670/$B670),0))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9">
        <f>IF($A671="","",IFERROR(IF($B671=0,0,$C671/$B671),0))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9">
        <f>IF($A672="","",IFERROR(IF($B672=0,0,$C672/$B672),0))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9">
        <f>IF($A673="","",IFERROR(IF($B673=0,0,$C673/$B673),0))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9">
        <f>IF($A674="","",IFERROR(IF($B674=0,0,$C674/$B674),0))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9">
        <f>IF($A675="","",IFERROR(IF($B675=0,0,$C675/$B675),0))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9">
        <f>IF($A676="","",IFERROR(IF($B676=0,0,$C676/$B676),0))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9">
        <f>IF($A677="","",IFERROR(IF($B677=0,0,$C677/$B677),0))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9">
        <f>IF($A678="","",IFERROR(IF($B678=0,0,$C678/$B678),0))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9">
        <f>IF($A679="","",IFERROR(IF($B679=0,0,$C679/$B679),0))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9">
        <f>IF($A680="","",IFERROR(IF($B680=0,0,$C680/$B680),0))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9">
        <f>IF($A681="","",IFERROR(IF($B681=0,0,$C681/$B681),0))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9">
        <f>IF($A682="","",IFERROR(IF($B682=0,0,$C682/$B682),0))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9">
        <f>IF($A683="","",IFERROR(IF($B683=0,0,$C683/$B683),0))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9">
        <f>IF($A684="","",IFERROR(IF($B684=0,0,$C684/$B684),0))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9">
        <f>IF($A685="","",IFERROR(IF($B685=0,0,$C685/$B685),0))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9">
        <f>IF($A686="","",IFERROR(IF($B686=0,0,$C686/$B686),0))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9">
        <f>IF($A687="","",IFERROR(IF($B687=0,0,$C687/$B687),0))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9">
        <f>IF($A688="","",IFERROR(IF($B688=0,0,$C688/$B688),0))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9">
        <f>IF($A689="","",IFERROR(IF($B689=0,0,$C689/$B689),0))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9">
        <f>IF($A690="","",IFERROR(IF($B690=0,0,$C690/$B690),0))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9">
        <f>IF($A691="","",IFERROR(IF($B691=0,0,$C691/$B691),0))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9">
        <f>IF($A692="","",IFERROR(IF($B692=0,0,$C692/$B692),0))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9">
        <f>IF($A693="","",IFERROR(IF($B693=0,0,$C693/$B693),0))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9">
        <f>IF($A694="","",IFERROR(IF($B694=0,0,$C694/$B694),0))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9">
        <f>IF($A695="","",IFERROR(IF($B695=0,0,$C695/$B695),0))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9">
        <f>IF($A696="","",IFERROR(IF($B696=0,0,$C696/$B696),0))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9">
        <f>IF($A697="","",IFERROR(IF($B697=0,0,$C697/$B697),0))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9">
        <f>IF($A698="","",IFERROR(IF($B698=0,0,$C698/$B698),0))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9">
        <f>IF($A699="","",IFERROR(IF($B699=0,0,$C699/$B699),0))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9">
        <f>IF($A700="","",IFERROR(IF($B700=0,0,$C700/$B700),0))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9">
        <f>IF($A701="","",IFERROR(IF($B701=0,0,$C701/$B701),0))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9">
        <f>IF($A702="","",IFERROR(IF($B702=0,0,$C702/$B702),0))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9">
        <f>IF($A703="","",IFERROR(IF($B703=0,0,$C703/$B703),0))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9">
        <f>IF($A704="","",IFERROR(IF($B704=0,0,$C704/$B704),0))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9">
        <f>IF($A705="","",IFERROR(IF($B705=0,0,$C705/$B705),0))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9">
        <f>IF($A706="","",IFERROR(IF($B706=0,0,$C706/$B706),0))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9">
        <f>IF($A707="","",IFERROR(IF($B707=0,0,$C707/$B707),0))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9">
        <f>IF($A708="","",IFERROR(IF($B708=0,0,$C708/$B708),0))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9">
        <f>IF($A709="","",IFERROR(IF($B709=0,0,$C709/$B709),0))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9">
        <f>IF($A710="","",IFERROR(IF($B710=0,0,$C710/$B710),0))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9">
        <f>IF($A711="","",IFERROR(IF($B711=0,0,$C711/$B711),0))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9">
        <f>IF($A712="","",IFERROR(IF($B712=0,0,$C712/$B712),0))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9">
        <f>IF($A713="","",IFERROR(IF($B713=0,0,$C713/$B713),0))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9">
        <f>IF($A714="","",IFERROR(IF($B714=0,0,$C714/$B714),0))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9">
        <f>IF($A715="","",IFERROR(IF($B715=0,0,$C715/$B715),0))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9">
        <f>IF($A716="","",IFERROR(IF($B716=0,0,$C716/$B716),0))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9">
        <f>IF($A717="","",IFERROR(IF($B717=0,0,$C717/$B717),0))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9">
        <f>IF($A718="","",IFERROR(IF($B718=0,0,$C718/$B718),0))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9">
        <f>IF($A719="","",IFERROR(IF($B719=0,0,$C719/$B719),0))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9">
        <f>IF($A720="","",IFERROR(IF($B720=0,0,$C720/$B720),0))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9">
        <f>IF($A721="","",IFERROR(IF($B721=0,0,$C721/$B721),0))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9">
        <f>IF($A722="","",IFERROR(IF($B722=0,0,$C722/$B722),0))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9">
        <f>IF($A723="","",IFERROR(IF($B723=0,0,$C723/$B723),0))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9">
        <f>IF($A724="","",IFERROR(IF($B724=0,0,$C724/$B724),0))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9">
        <f>IF($A725="","",IFERROR(IF($B725=0,0,$C725/$B725),0))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9">
        <f>IF($A726="","",IFERROR(IF($B726=0,0,$C726/$B726),0))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9">
        <f>IF($A727="","",IFERROR(IF($B727=0,0,$C727/$B727),0))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9">
        <f>IF($A728="","",IFERROR(IF($B728=0,0,$C728/$B728),0))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9">
        <f>IF($A729="","",IFERROR(IF($B729=0,0,$C729/$B729),0))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9">
        <f>IF($A730="","",IFERROR(IF($B730=0,0,$C730/$B730),0))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9">
        <f>IF($A731="","",IFERROR(IF($B731=0,0,$C731/$B731),0))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9">
        <f>IF($A732="","",IFERROR(IF($B732=0,0,$C732/$B732),0))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9">
        <f>IF($A733="","",IFERROR(IF($B733=0,0,$C733/$B733),0))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9">
        <f>IF($A734="","",IFERROR(IF($B734=0,0,$C734/$B734),0))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9">
        <f>IF($A735="","",IFERROR(IF($B735=0,0,$C735/$B735),0))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9">
        <f>IF($A736="","",IFERROR(IF($B736=0,0,$C736/$B736),0))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9">
        <f>IF($A737="","",IFERROR(IF($B737=0,0,$C737/$B737),0))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9">
        <f>IF($A738="","",IFERROR(IF($B738=0,0,$C738/$B738),0))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9">
        <f>IF($A739="","",IFERROR(IF($B739=0,0,$C739/$B739),0))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9">
        <f>IF($A740="","",IFERROR(IF($B740=0,0,$C740/$B740),0))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9">
        <f>IF($A741="","",IFERROR(IF($B741=0,0,$C741/$B741),0))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9">
        <f>IF($A742="","",IFERROR(IF($B742=0,0,$C742/$B742),0))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9">
        <f>IF($A743="","",IFERROR(IF($B743=0,0,$C743/$B743),0))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9">
        <f>IF($A744="","",IFERROR(IF($B744=0,0,$C744/$B744),0))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9">
        <f>IF($A745="","",IFERROR(IF($B745=0,0,$C745/$B745),0))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9">
        <f>IF($A746="","",IFERROR(IF($B746=0,0,$C746/$B746),0))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9">
        <f>IF($A747="","",IFERROR(IF($B747=0,0,$C747/$B747),0))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9">
        <f>IF($A748="","",IFERROR(IF($B748=0,0,$C748/$B748),0))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9">
        <f>IF($A749="","",IFERROR(IF($B749=0,0,$C749/$B749),0))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9">
        <f>IF($A750="","",IFERROR(IF($B750=0,0,$C750/$B750),0))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9">
        <f>IF($A751="","",IFERROR(IF($B751=0,0,$C751/$B751),0))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9">
        <f>IF($A752="","",IFERROR(IF($B752=0,0,$C752/$B752),0))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9">
        <f>IF($A753="","",IFERROR(IF($B753=0,0,$C753/$B753),0))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9">
        <f>IF($A754="","",IFERROR(IF($B754=0,0,$C754/$B754),0))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9">
        <f>IF($A755="","",IFERROR(IF($B755=0,0,$C755/$B755),0))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9">
        <f>IF($A756="","",IFERROR(IF($B756=0,0,$C756/$B756),0))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9">
        <f>IF($A757="","",IFERROR(IF($B757=0,0,$C757/$B757),0))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9">
        <f>IF($A758="","",IFERROR(IF($B758=0,0,$C758/$B758),0))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9">
        <f>IF($A759="","",IFERROR(IF($B759=0,0,$C759/$B759),0))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9">
        <f>IF($A760="","",IFERROR(IF($B760=0,0,$C760/$B760),0))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9">
        <f>IF($A761="","",IFERROR(IF($B761=0,0,$C761/$B761),0))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9">
        <f>IF($A762="","",IFERROR(IF($B762=0,0,$C762/$B762),0))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9">
        <f>IF($A763="","",IFERROR(IF($B763=0,0,$C763/$B763),0))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9">
        <f>IF($A764="","",IFERROR(IF($B764=0,0,$C764/$B764),0))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9">
        <f>IF($A765="","",IFERROR(IF($B765=0,0,$C765/$B765),0))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9">
        <f>IF($A766="","",IFERROR(IF($B766=0,0,$C766/$B766),0))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9">
        <f>IF($A767="","",IFERROR(IF($B767=0,0,$C767/$B767),0))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9">
        <f>IF($A768="","",IFERROR(IF($B768=0,0,$C768/$B768),0))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9">
        <f>IF($A769="","",IFERROR(IF($B769=0,0,$C769/$B769),0))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9">
        <f>IF($A770="","",IFERROR(IF($B770=0,0,$C770/$B770),0))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9">
        <f>IF($A771="","",IFERROR(IF($B771=0,0,$C771/$B771),0))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9">
        <f>IF($A772="","",IFERROR(IF($B772=0,0,$C772/$B772),0))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9">
        <f>IF($A773="","",IFERROR(IF($B773=0,0,$C773/$B773),0))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9">
        <f>IF($A774="","",IFERROR(IF($B774=0,0,$C774/$B774),0))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9">
        <f>IF($A775="","",IFERROR(IF($B775=0,0,$C775/$B775),0))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9">
        <f>IF($A776="","",IFERROR(IF($B776=0,0,$C776/$B776),0))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9">
        <f>IF($A777="","",IFERROR(IF($B777=0,0,$C777/$B777),0))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9">
        <f>IF($A778="","",IFERROR(IF($B778=0,0,$C778/$B778),0))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9">
        <f>IF($A779="","",IFERROR(IF($B779=0,0,$C779/$B779),0))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9">
        <f>IF($A780="","",IFERROR(IF($B780=0,0,$C780/$B780),0))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9">
        <f>IF($A781="","",IFERROR(IF($B781=0,0,$C781/$B781),0))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9">
        <f>IF($A782="","",IFERROR(IF($B782=0,0,$C782/$B782),0))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9">
        <f>IF($A783="","",IFERROR(IF($B783=0,0,$C783/$B783),0))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9">
        <f>IF($A784="","",IFERROR(IF($B784=0,0,$C784/$B784),0))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9">
        <f>IF($A785="","",IFERROR(IF($B785=0,0,$C785/$B785),0))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9">
        <f>IF($A786="","",IFERROR(IF($B786=0,0,$C786/$B786),0))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9">
        <f>IF($A787="","",IFERROR(IF($B787=0,0,$C787/$B787),0))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9">
        <f>IF($A788="","",IFERROR(IF($B788=0,0,$C788/$B788),0))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9">
        <f>IF($A789="","",IFERROR(IF($B789=0,0,$C789/$B789),0))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9">
        <f>IF($A790="","",IFERROR(IF($B790=0,0,$C790/$B790),0))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9">
        <f>IF($A791="","",IFERROR(IF($B791=0,0,$C791/$B791),0))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9">
        <f>IF($A792="","",IFERROR(IF($B792=0,0,$C792/$B792),0))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9">
        <f>IF($A793="","",IFERROR(IF($B793=0,0,$C793/$B793),0))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9">
        <f>IF($A794="","",IFERROR(IF($B794=0,0,$C794/$B794),0))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9">
        <f>IF($A795="","",IFERROR(IF($B795=0,0,$C795/$B795),0))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9">
        <f>IF($A796="","",IFERROR(IF($B796=0,0,$C796/$B796),0))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9">
        <f>IF($A797="","",IFERROR(IF($B797=0,0,$C797/$B797),0))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9">
        <f>IF($A798="","",IFERROR(IF($B798=0,0,$C798/$B798),0))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9">
        <f>IF($A799="","",IFERROR(IF($B799=0,0,$C799/$B799),0))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9">
        <f>IF($A800="","",IFERROR(IF($B800=0,0,$C800/$B800),0))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9">
        <f>IF($A801="","",IFERROR(IF($B801=0,0,$C801/$B801),0))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9">
        <f>IF($A802="","",IFERROR(IF($B802=0,0,$C802/$B802),0))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9">
        <f>IF($A803="","",IFERROR(IF($B803=0,0,$C803/$B803),0))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9">
        <f>IF($A804="","",IFERROR(IF($B804=0,0,$C804/$B804),0))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9">
        <f>IF($A805="","",IFERROR(IF($B805=0,0,$C805/$B805),0))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9">
        <f>IF($A806="","",IFERROR(IF($B806=0,0,$C806/$B806),0))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9">
        <f>IF($A807="","",IFERROR(IF($B807=0,0,$C807/$B807),0))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9">
        <f>IF($A808="","",IFERROR(IF($B808=0,0,$C808/$B808),0))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9">
        <f>IF($A809="","",IFERROR(IF($B809=0,0,$C809/$B809),0))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9">
        <f>IF($A810="","",IFERROR(IF($B810=0,0,$C810/$B810),0))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9">
        <f>IF($A811="","",IFERROR(IF($B811=0,0,$C811/$B811),0))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9">
        <f>IF($A812="","",IFERROR(IF($B812=0,0,$C812/$B812),0))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9">
        <f>IF($A813="","",IFERROR(IF($B813=0,0,$C813/$B813),0))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9">
        <f>IF($A814="","",IFERROR(IF($B814=0,0,$C814/$B814),0))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9">
        <f>IF($A815="","",IFERROR(IF($B815=0,0,$C815/$B815),0))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9">
        <f>IF($A816="","",IFERROR(IF($B816=0,0,$C816/$B816),0))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9">
        <f>IF($A817="","",IFERROR(IF($B817=0,0,$C817/$B817),0))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9">
        <f>IF($A818="","",IFERROR(IF($B818=0,0,$C818/$B818),0))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9">
        <f>IF($A819="","",IFERROR(IF($B819=0,0,$C819/$B819),0))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9">
        <f>IF($A820="","",IFERROR(IF($B820=0,0,$C820/$B820),0))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9">
        <f>IF($A821="","",IFERROR(IF($B821=0,0,$C821/$B821),0))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9">
        <f>IF($A822="","",IFERROR(IF($B822=0,0,$C822/$B822),0))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9">
        <f>IF($A823="","",IFERROR(IF($B823=0,0,$C823/$B823),0))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9">
        <f>IF($A824="","",IFERROR(IF($B824=0,0,$C824/$B824),0))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9">
        <f>IF($A825="","",IFERROR(IF($B825=0,0,$C825/$B825),0))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9">
        <f>IF($A826="","",IFERROR(IF($B826=0,0,$C826/$B826),0))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9">
        <f>IF($A827="","",IFERROR(IF($B827=0,0,$C827/$B827),0))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9">
        <f>IF($A828="","",IFERROR(IF($B828=0,0,$C828/$B828),0))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9">
        <f>IF($A829="","",IFERROR(IF($B829=0,0,$C829/$B829),0))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9">
        <f>IF($A830="","",IFERROR(IF($B830=0,0,$C830/$B830),0))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9">
        <f>IF($A831="","",IFERROR(IF($B831=0,0,$C831/$B831),0))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9">
        <f>IF($A832="","",IFERROR(IF($B832=0,0,$C832/$B832),0))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9">
        <f>IF($A833="","",IFERROR(IF($B833=0,0,$C833/$B833),0))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9">
        <f>IF($A834="","",IFERROR(IF($B834=0,0,$C834/$B834),0))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9">
        <f>IF($A835="","",IFERROR(IF($B835=0,0,$C835/$B835),0))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9">
        <f>IF($A836="","",IFERROR(IF($B836=0,0,$C836/$B836),0))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9">
        <f>IF($A837="","",IFERROR(IF($B837=0,0,$C837/$B837),0))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9">
        <f>IF($A838="","",IFERROR(IF($B838=0,0,$C838/$B838),0))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9">
        <f>IF($A839="","",IFERROR(IF($B839=0,0,$C839/$B839),0))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9">
        <f>IF($A840="","",IFERROR(IF($B840=0,0,$C840/$B840),0))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9">
        <f>IF($A841="","",IFERROR(IF($B841=0,0,$C841/$B841),0))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9">
        <f>IF($A842="","",IFERROR(IF($B842=0,0,$C842/$B842),0))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9">
        <f>IF($A843="","",IFERROR(IF($B843=0,0,$C843/$B843),0))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9">
        <f>IF($A844="","",IFERROR(IF($B844=0,0,$C844/$B844),0))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9">
        <f>IF($A845="","",IFERROR(IF($B845=0,0,$C845/$B845),0))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9">
        <f>IF($A846="","",IFERROR(IF($B846=0,0,$C846/$B846),0))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9">
        <f>IF($A847="","",IFERROR(IF($B847=0,0,$C847/$B847),0))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9">
        <f>IF($A848="","",IFERROR(IF($B848=0,0,$C848/$B848),0))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9">
        <f>IF($A849="","",IFERROR(IF($B849=0,0,$C849/$B849),0))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9">
        <f>IF($A850="","",IFERROR(IF($B850=0,0,$C850/$B850),0))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9">
        <f>IF($A851="","",IFERROR(IF($B851=0,0,$C851/$B851),0))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9">
        <f>IF($A852="","",IFERROR(IF($B852=0,0,$C852/$B852),0))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9">
        <f>IF($A853="","",IFERROR(IF($B853=0,0,$C853/$B853),0))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9">
        <f>IF($A854="","",IFERROR(IF($B854=0,0,$C854/$B854),0))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9">
        <f>IF($A855="","",IFERROR(IF($B855=0,0,$C855/$B855),0))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9">
        <f>IF($A856="","",IFERROR(IF($B856=0,0,$C856/$B856),0))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9">
        <f>IF($A857="","",IFERROR(IF($B857=0,0,$C857/$B857),0))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9">
        <f>IF($A858="","",IFERROR(IF($B858=0,0,$C858/$B858),0))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9">
        <f>IF($A859="","",IFERROR(IF($B859=0,0,$C859/$B859),0))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9">
        <f>IF($A860="","",IFERROR(IF($B860=0,0,$C860/$B860),0))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9">
        <f>IF($A861="","",IFERROR(IF($B861=0,0,$C861/$B861),0))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9">
        <f>IF($A862="","",IFERROR(IF($B862=0,0,$C862/$B862),0))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9">
        <f>IF($A863="","",IFERROR(IF($B863=0,0,$C863/$B863),0))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9">
        <f>IF($A864="","",IFERROR(IF($B864=0,0,$C864/$B864),0))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9">
        <f>IF($A865="","",IFERROR(IF($B865=0,0,$C865/$B865),0))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9">
        <f>IF($A866="","",IFERROR(IF($B866=0,0,$C866/$B866),0))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9">
        <f>IF($A867="","",IFERROR(IF($B867=0,0,$C867/$B867),0))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9">
        <f>IF($A868="","",IFERROR(IF($B868=0,0,$C868/$B868),0))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9">
        <f>IF($A869="","",IFERROR(IF($B869=0,0,$C869/$B869),0))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9">
        <f>IF($A870="","",IFERROR(IF($B870=0,0,$C870/$B870),0))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9">
        <f>IF($A871="","",IFERROR(IF($B871=0,0,$C871/$B871),0))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9">
        <f>IF($A872="","",IFERROR(IF($B872=0,0,$C872/$B872),0))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9">
        <f>IF($A873="","",IFERROR(IF($B873=0,0,$C873/$B873),0))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9">
        <f>IF($A874="","",IFERROR(IF($B874=0,0,$C874/$B874),0))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9">
        <f>IF($A875="","",IFERROR(IF($B875=0,0,$C875/$B875),0))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9">
        <f>IF($A876="","",IFERROR(IF($B876=0,0,$C876/$B876),0))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9">
        <f>IF($A877="","",IFERROR(IF($B877=0,0,$C877/$B877),0))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9">
        <f>IF($A878="","",IFERROR(IF($B878=0,0,$C878/$B878),0))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9">
        <f>IF($A879="","",IFERROR(IF($B879=0,0,$C879/$B879),0))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9">
        <f>IF($A880="","",IFERROR(IF($B880=0,0,$C880/$B880),0))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9">
        <f>IF($A881="","",IFERROR(IF($B881=0,0,$C881/$B881),0))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9">
        <f>IF($A882="","",IFERROR(IF($B882=0,0,$C882/$B882),0))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9">
        <f>IF($A883="","",IFERROR(IF($B883=0,0,$C883/$B883),0))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9">
        <f>IF($A884="","",IFERROR(IF($B884=0,0,$C884/$B884),0))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9">
        <f>IF($A885="","",IFERROR(IF($B885=0,0,$C885/$B885),0))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9">
        <f>IF($A886="","",IFERROR(IF($B886=0,0,$C886/$B886),0))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9">
        <f>IF($A887="","",IFERROR(IF($B887=0,0,$C887/$B887),0))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9">
        <f>IF($A888="","",IFERROR(IF($B888=0,0,$C888/$B888),0))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9">
        <f>IF($A889="","",IFERROR(IF($B889=0,0,$C889/$B889),0))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9">
        <f>IF($A890="","",IFERROR(IF($B890=0,0,$C890/$B890),0))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9">
        <f>IF($A891="","",IFERROR(IF($B891=0,0,$C891/$B891),0))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9">
        <f>IF($A892="","",IFERROR(IF($B892=0,0,$C892/$B892),0))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9">
        <f>IF($A893="","",IFERROR(IF($B893=0,0,$C893/$B893),0))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9">
        <f>IF($A894="","",IFERROR(IF($B894=0,0,$C894/$B894),0))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9">
        <f>IF($A895="","",IFERROR(IF($B895=0,0,$C895/$B895),0))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9">
        <f>IF($A896="","",IFERROR(IF($B896=0,0,$C896/$B896),0))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9">
        <f>IF($A897="","",IFERROR(IF($B897=0,0,$C897/$B897),0))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9">
        <f>IF($A898="","",IFERROR(IF($B898=0,0,$C898/$B898),0))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9">
        <f>IF($A899="","",IFERROR(IF($B899=0,0,$C899/$B899),0))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9">
        <f>IF($A900="","",IFERROR(IF($B900=0,0,$C900/$B900),0))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9">
        <f>IF($A901="","",IFERROR(IF($B901=0,0,$C901/$B901),0))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9">
        <f>IF($A902="","",IFERROR(IF($B902=0,0,$C902/$B902),0))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9">
        <f>IF($A903="","",IFERROR(IF($B903=0,0,$C903/$B903),0))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9">
        <f>IF($A904="","",IFERROR(IF($B904=0,0,$C904/$B904),0))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9">
        <f>IF($A905="","",IFERROR(IF($B905=0,0,$C905/$B905),0))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9">
        <f>IF($A906="","",IFERROR(IF($B906=0,0,$C906/$B906),0))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9">
        <f>IF($A907="","",IFERROR(IF($B907=0,0,$C907/$B907),0))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9">
        <f>IF($A908="","",IFERROR(IF($B908=0,0,$C908/$B908),0))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9">
        <f>IF($A909="","",IFERROR(IF($B909=0,0,$C909/$B909),0))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9">
        <f>IF($A910="","",IFERROR(IF($B910=0,0,$C910/$B910),0))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9">
        <f>IF($A911="","",IFERROR(IF($B911=0,0,$C911/$B911),0))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9">
        <f>IF($A912="","",IFERROR(IF($B912=0,0,$C912/$B912),0))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9">
        <f>IF($A913="","",IFERROR(IF($B913=0,0,$C913/$B913),0))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9">
        <f>IF($A914="","",IFERROR(IF($B914=0,0,$C914/$B914),0))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9">
        <f>IF($A915="","",IFERROR(IF($B915=0,0,$C915/$B915),0))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9">
        <f>IF($A916="","",IFERROR(IF($B916=0,0,$C916/$B916),0))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9">
        <f>IF($A917="","",IFERROR(IF($B917=0,0,$C917/$B917),0))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9">
        <f>IF($A918="","",IFERROR(IF($B918=0,0,$C918/$B918),0))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9">
        <f>IF($A919="","",IFERROR(IF($B919=0,0,$C919/$B919),0))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9">
        <f>IF($A920="","",IFERROR(IF($B920=0,0,$C920/$B920),0))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9">
        <f>IF($A921="","",IFERROR(IF($B921=0,0,$C921/$B921),0))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9">
        <f>IF($A922="","",IFERROR(IF($B922=0,0,$C922/$B922),0))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9">
        <f>IF($A923="","",IFERROR(IF($B923=0,0,$C923/$B923),0))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9">
        <f>IF($A924="","",IFERROR(IF($B924=0,0,$C924/$B924),0))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9">
        <f>IF($A925="","",IFERROR(IF($B925=0,0,$C925/$B925),0))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9">
        <f>IF($A926="","",IFERROR(IF($B926=0,0,$C926/$B926),0))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9">
        <f>IF($A927="","",IFERROR(IF($B927=0,0,$C927/$B927),0))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9">
        <f>IF($A928="","",IFERROR(IF($B928=0,0,$C928/$B928),0))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9">
        <f>IF($A929="","",IFERROR(IF($B929=0,0,$C929/$B929),0))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9">
        <f>IF($A930="","",IFERROR(IF($B930=0,0,$C930/$B930),0))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9">
        <f>IF($A931="","",IFERROR(IF($B931=0,0,$C931/$B931),0))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9">
        <f>IF($A932="","",IFERROR(IF($B932=0,0,$C932/$B932),0))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9">
        <f>IF($A933="","",IFERROR(IF($B933=0,0,$C933/$B933),0))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9">
        <f>IF($A934="","",IFERROR(IF($B934=0,0,$C934/$B934),0))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9">
        <f>IF($A935="","",IFERROR(IF($B935=0,0,$C935/$B935),0))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9">
        <f>IF($A936="","",IFERROR(IF($B936=0,0,$C936/$B936),0))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9">
        <f>IF($A937="","",IFERROR(IF($B937=0,0,$C937/$B937),0))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9">
        <f>IF($A938="","",IFERROR(IF($B938=0,0,$C938/$B938),0))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9">
        <f>IF($A939="","",IFERROR(IF($B939=0,0,$C939/$B939),0))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9">
        <f>IF($A940="","",IFERROR(IF($B940=0,0,$C940/$B940),0))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9">
        <f>IF($A941="","",IFERROR(IF($B941=0,0,$C941/$B941),0))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9">
        <f>IF($A942="","",IFERROR(IF($B942=0,0,$C942/$B942),0))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9">
        <f>IF($A943="","",IFERROR(IF($B943=0,0,$C943/$B943),0))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9">
        <f>IF($A944="","",IFERROR(IF($B944=0,0,$C944/$B944),0))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9">
        <f>IF($A945="","",IFERROR(IF($B945=0,0,$C945/$B945),0))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9">
        <f>IF($A946="","",IFERROR(IF($B946=0,0,$C946/$B946),0))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9">
        <f>IF($A947="","",IFERROR(IF($B947=0,0,$C947/$B947),0))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9">
        <f>IF($A948="","",IFERROR(IF($B948=0,0,$C948/$B948),0))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9">
        <f>IF($A949="","",IFERROR(IF($B949=0,0,$C949/$B949),0))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9">
        <f>IF($A950="","",IFERROR(IF($B950=0,0,$C950/$B950),0))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9">
        <f>IF($A951="","",IFERROR(IF($B951=0,0,$C951/$B951),0))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9">
        <f>IF($A952="","",IFERROR(IF($B952=0,0,$C952/$B952),0))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9">
        <f>IF($A953="","",IFERROR(IF($B953=0,0,$C953/$B953),0))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9">
        <f>IF($A954="","",IFERROR(IF($B954=0,0,$C954/$B954),0))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9">
        <f>IF($A955="","",IFERROR(IF($B955=0,0,$C955/$B955),0))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9">
        <f>IF($A956="","",IFERROR(IF($B956=0,0,$C956/$B956),0))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9">
        <f>IF($A957="","",IFERROR(IF($B957=0,0,$C957/$B957),0))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9">
        <f>IF($A958="","",IFERROR(IF($B958=0,0,$C958/$B958),0))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9">
        <f>IF($A959="","",IFERROR(IF($B959=0,0,$C959/$B959),0))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9">
        <f>IF($A960="","",IFERROR(IF($B960=0,0,$C960/$B960),0))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9">
        <f>IF($A961="","",IFERROR(IF($B961=0,0,$C961/$B961),0))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9">
        <f>IF($A962="","",IFERROR(IF($B962=0,0,$C962/$B962),0))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9">
        <f>IF($A963="","",IFERROR(IF($B963=0,0,$C963/$B963),0))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9">
        <f>IF($A964="","",IFERROR(IF($B964=0,0,$C964/$B964),0))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9">
        <f>IF($A965="","",IFERROR(IF($B965=0,0,$C965/$B965),0))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9">
        <f>IF($A966="","",IFERROR(IF($B966=0,0,$C966/$B966),0))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9">
        <f>IF($A967="","",IFERROR(IF($B967=0,0,$C967/$B967),0))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9">
        <f>IF($A968="","",IFERROR(IF($B968=0,0,$C968/$B968),0))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9">
        <f>IF($A969="","",IFERROR(IF($B969=0,0,$C969/$B969),0))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9">
        <f>IF($A970="","",IFERROR(IF($B970=0,0,$C970/$B970),0))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9">
        <f>IF($A971="","",IFERROR(IF($B971=0,0,$C971/$B971),0))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9">
        <f>IF($A972="","",IFERROR(IF($B972=0,0,$C972/$B972),0))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9">
        <f>IF($A973="","",IFERROR(IF($B973=0,0,$C973/$B973),0))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9">
        <f>IF($A974="","",IFERROR(IF($B974=0,0,$C974/$B974),0))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9">
        <f>IF($A975="","",IFERROR(IF($B975=0,0,$C975/$B975),0))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9">
        <f>IF($A976="","",IFERROR(IF($B976=0,0,$C976/$B976),0))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9">
        <f>IF($A977="","",IFERROR(IF($B977=0,0,$C977/$B977),0))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9">
        <f>IF($A978="","",IFERROR(IF($B978=0,0,$C978/$B978),0))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9">
        <f>IF($A979="","",IFERROR(IF($B979=0,0,$C979/$B979),0))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9">
        <f>IF($A980="","",IFERROR(IF($B980=0,0,$C980/$B980),0))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9">
        <f>IF($A981="","",IFERROR(IF($B981=0,0,$C981/$B981),0))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9">
        <f>IF($A982="","",IFERROR(IF($B982=0,0,$C982/$B982),0))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9">
        <f>IF($A983="","",IFERROR(IF($B983=0,0,$C983/$B983),0))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9">
        <f>IF($A984="","",IFERROR(IF($B984=0,0,$C984/$B984),0))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9">
        <f>IF($A985="","",IFERROR(IF($B985=0,0,$C985/$B985),0))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9">
        <f>IF($A986="","",IFERROR(IF($B986=0,0,$C986/$B986),0))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9">
        <f>IF($A987="","",IFERROR(IF($B987=0,0,$C987/$B987),0))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9">
        <f>IF($A988="","",IFERROR(IF($B988=0,0,$C988/$B988),0))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9">
        <f>IF($A989="","",IFERROR(IF($B989=0,0,$C989/$B989),0))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9">
        <f>IF($A990="","",IFERROR(IF($B990=0,0,$C990/$B990),0))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9">
        <f>IF($A991="","",IFERROR(IF($B991=0,0,$C991/$B991),0))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9">
        <f>IF($A992="","",IFERROR(IF($B992=0,0,$C992/$B992),0))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9">
        <f>IF($A993="","",IFERROR(IF($B993=0,0,$C993/$B993),0))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9">
        <f>IF($A994="","",IFERROR(IF($B994=0,0,$C994/$B994),0))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9">
        <f>IF($A995="","",IFERROR(IF($B995=0,0,$C995/$B995),0))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9">
        <f>IF($A996="","",IFERROR(IF($B996=0,0,$C996/$B996),0))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9">
        <f>IF($A997="","",IFERROR(IF($B997=0,0,$C997/$B997),0))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9">
        <f>IF($A998="","",IFERROR(IF($B998=0,0,$C998/$B998),0))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9">
        <f>IF($A999="","",IFERROR(IF($B999=0,0,$C999/$B999),0))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9">
        <f>IF($A1000="","",IFERROR(IF($B1000=0,0,$C1000/$B1000),0))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9">
        <f>IF($A1001="","",IFERROR(IF($B1001=0,0,$C1001/$B1001),0))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9">
        <f>IF($A1002="","",IFERROR(IF($B1002=0,0,$C1002/$B1002),0))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9">
        <f>IF($A1003="","",IFERROR(IF($B1003=0,0,$C1003/$B1003),0))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9">
        <f>IF($A1004="","",IFERROR(IF($B1004=0,0,$C1004/$B1004),0))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G6:G20">
    <cfRule type="cellIs" priority="4" operator="lessThan" dxfId="3">
      <formula>0</formula>
    </cfRule>
  </conditionalFormatting>
  <conditionalFormatting sqref="H6:H20">
    <cfRule type="cellIs" priority="5" operator="lessThan" dxfId="3">
      <formula>0</formula>
    </cfRule>
  </conditionalFormatting>
  <conditionalFormatting sqref="J6:J20">
    <cfRule type="cellIs" priority="6" operator="lessThan" dxfId="3">
      <formula>0</formula>
    </cfRule>
    <cfRule type="cellIs" priority="7" operator="greaterThan" dxfId="3">
      <formula>3</formula>
    </cfRule>
  </conditionalFormatting>
  <dataValidations count="7">
    <dataValidation sqref="B6:B1004" showDropDown="0" showInputMessage="1" showErrorMessage="1" allowBlank="1" errorTitle="Geçersiz" error="Sınır dışı değer." promptTitle="Özkaynak" prompt="Özkaynak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İlişkili Borç" prompt="İlişkili Borç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Faiz" prompt="Faiz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İşlem" prompt="İşlem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Emsal Bedel" prompt="Emsal Bed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Uygulanan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Emsal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LISTELER — Örtülü Sermaye + Emsal Faiz + TF Paketi</t>
        </is>
      </c>
    </row>
    <row r="2"/>
    <row r="3" ht="22" customHeight="1">
      <c r="A3" s="228" t="inlineStr">
        <is>
          <t>Doğrulama listeleri</t>
        </is>
      </c>
    </row>
    <row r="4"/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</row>
    <row r="6">
      <c r="A6" s="65" t="n">
        <v>2025</v>
      </c>
      <c r="C6" s="63" t="inlineStr">
        <is>
          <t>A</t>
        </is>
      </c>
      <c r="E6" s="63" t="inlineStr">
        <is>
          <t>Evet</t>
        </is>
      </c>
    </row>
    <row r="7">
      <c r="A7" s="65" t="n">
        <v>2026</v>
      </c>
      <c r="C7" s="63" t="inlineStr">
        <is>
          <t>B</t>
        </is>
      </c>
      <c r="E7" s="63" t="inlineStr">
        <is>
          <t>Hayır</t>
        </is>
      </c>
    </row>
    <row r="8">
      <c r="A8" s="6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9.5" customWidth="1" min="4" max="4"/>
    <col width="24.5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8" t="inlineStr">
        <is>
          <t>AYARLAR — Örtülü Sermaye + Emsal Faiz + TF Paketi</t>
        </is>
      </c>
    </row>
    <row r="2"/>
    <row r="3" ht="22" customHeight="1">
      <c r="A3" s="228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ose_tolerans</t>
        </is>
      </c>
      <c r="B8" s="68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ose_kacirilanEsik</t>
        </is>
      </c>
      <c r="B9" s="68" t="n">
        <v>50000</v>
      </c>
      <c r="C9" s="7" t="inlineStr">
        <is>
          <t>TL</t>
        </is>
      </c>
      <c r="D9" s="7" t="inlineStr">
        <is>
          <t>PANO KKEG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ose_senaryoIyi</t>
        </is>
      </c>
      <c r="B10" s="47" t="n">
        <v>1.1</v>
      </c>
      <c r="C10" s="7" t="inlineStr">
        <is>
          <t>çarpan</t>
        </is>
      </c>
      <c r="D10" s="7" t="inlineStr">
        <is>
          <t>Kötümser KKEG çarpanı (yüksek)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ose_senaryoKotu</t>
        </is>
      </c>
      <c r="B11" s="47" t="n">
        <v>0.85</v>
      </c>
      <c r="C11" s="7" t="inlineStr">
        <is>
          <t>çarpan</t>
        </is>
      </c>
      <c r="D11" s="7" t="inlineStr">
        <is>
          <t>İyimser KKEG çarpanı (düşük)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ose_oranArtisPuan</t>
        </is>
      </c>
      <c r="B12" s="47" t="n">
        <v>0.01</v>
      </c>
      <c r="C12" s="7" t="inlineStr">
        <is>
          <t>oran</t>
        </is>
      </c>
      <c r="D12" s="7" t="inlineStr">
        <is>
          <t>Yedek oran artış puanı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ose_tahminAlt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ose_tahminUst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ose_tornadoHasilat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borç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ose_tornadoMaliyet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faiz oranı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ose_payArtisOran</t>
        </is>
      </c>
      <c r="B17" s="47" t="n">
        <v>0.1</v>
      </c>
      <c r="C17" s="7" t="inlineStr">
        <is>
          <t>oran</t>
        </is>
      </c>
      <c r="D17" s="7" t="inlineStr">
        <is>
          <t>Yorum B aşan borç +%10</t>
        </is>
      </c>
      <c r="E17" s="7" t="inlineStr">
        <is>
          <t>İlişkili kişi modeli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ose_yuzdelikOran</t>
        </is>
      </c>
      <c r="B18" s="47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ose_parmakIzi</t>
        </is>
      </c>
      <c r="B19" s="69" t="inlineStr">
        <is>
          <t>c39686c7d2af666e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dosya_surumu</t>
        </is>
      </c>
      <c r="B20" s="6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ose_girisBeklenen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ose_riskDusuk</t>
        </is>
      </c>
      <c r="B22" s="46" t="n">
        <v>15</v>
      </c>
      <c r="C22" s="7" t="inlineStr">
        <is>
          <t>puan</t>
        </is>
      </c>
      <c r="D22" s="7" t="inlineStr">
        <is>
          <t>TEMİZ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ose_riskOrta</t>
        </is>
      </c>
      <c r="B23" s="46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ose_riskYuksek</t>
        </is>
      </c>
      <c r="B24" s="46" t="n">
        <v>85</v>
      </c>
      <c r="C24" s="7" t="inlineStr">
        <is>
          <t>puan</t>
        </is>
      </c>
      <c r="D24" s="7" t="inlineStr">
        <is>
          <t>KKEG RİSKİ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ose_riskEsikOran</t>
        </is>
      </c>
      <c r="B25" s="47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ose_yilTaban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ose_yuvarMax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ose_dayanakCarpan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ose_bazCarpan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ose_sifirCarpan</t>
        </is>
      </c>
      <c r="B30" s="47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ose_siraBir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ose_siraIki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ose_siraUc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ose_tahminX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ose_esikSikilastirma</t>
        </is>
      </c>
      <c r="B35" s="46" t="n">
        <v>0.5</v>
      </c>
      <c r="C35" s="7" t="inlineStr">
        <is>
          <t>kat</t>
        </is>
      </c>
      <c r="D35" s="7" t="inlineStr">
        <is>
          <t>M-SEN eşik azaltma (kat)</t>
        </is>
      </c>
      <c r="E35" s="7" t="inlineStr">
        <is>
          <t>Senaryo motoru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vaka_ozkaynak</t>
        </is>
      </c>
      <c r="B36" s="68" t="n">
        <v>10000000</v>
      </c>
      <c r="C36" s="7" t="inlineStr">
        <is>
          <t>TL</t>
        </is>
      </c>
      <c r="D36" s="7" t="inlineStr">
        <is>
          <t>Vaka özkaynak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vaka_borc</t>
        </is>
      </c>
      <c r="B37" s="68" t="n">
        <v>40000000</v>
      </c>
      <c r="C37" s="7" t="inlineStr">
        <is>
          <t>TL</t>
        </is>
      </c>
      <c r="D37" s="7" t="inlineStr">
        <is>
          <t>Vaka ilişkili borç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vaka_faiz</t>
        </is>
      </c>
      <c r="B38" s="68" t="n">
        <v>4000000</v>
      </c>
      <c r="C38" s="7" t="inlineStr">
        <is>
          <t>TL</t>
        </is>
      </c>
      <c r="D38" s="7" t="inlineStr">
        <is>
          <t>Vaka yıllık faiz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vaka_uygulanan</t>
        </is>
      </c>
      <c r="B39" s="47" t="n">
        <v>0.12</v>
      </c>
      <c r="C39" s="7" t="inlineStr">
        <is>
          <t>oran</t>
        </is>
      </c>
      <c r="D39" s="7" t="inlineStr">
        <is>
          <t>Vaka uygulanan faiz</t>
        </is>
      </c>
      <c r="E39" s="7" t="inlineStr">
        <is>
          <t>Tebliğ örneği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vaka_emsal</t>
        </is>
      </c>
      <c r="B40" s="47" t="n">
        <v>0.1</v>
      </c>
      <c r="C40" s="7" t="inlineStr">
        <is>
          <t>oran</t>
        </is>
      </c>
      <c r="D40" s="7" t="inlineStr">
        <is>
          <t>Vaka emsal faiz</t>
        </is>
      </c>
      <c r="E40" s="7" t="inlineStr">
        <is>
          <t>Tebliğ örneği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vaka_islem</t>
        </is>
      </c>
      <c r="B41" s="68" t="n">
        <v>5000000</v>
      </c>
      <c r="C41" s="7" t="inlineStr">
        <is>
          <t>TL</t>
        </is>
      </c>
      <c r="D41" s="7" t="inlineStr">
        <is>
          <t>Vaka ilişkili işlem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vaka_bedel</t>
        </is>
      </c>
      <c r="B42" s="68" t="n">
        <v>4500000</v>
      </c>
      <c r="C42" s="7" t="inlineStr">
        <is>
          <t>TL</t>
        </is>
      </c>
      <c r="D42" s="7" t="inlineStr">
        <is>
          <t>Vaka emsal bedel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3"/>
    <row r="44">
      <c r="B44" s="70" t="inlineStr">
        <is>
          <t>Parametre satırları yukarıda; ad tanımları B kolonuna bağlı.</t>
        </is>
      </c>
    </row>
    <row r="45"/>
    <row r="46">
      <c r="B46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KILAVUZ — Örtülü Sermaye + Emsal Faiz + TF Paketi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KKEG RİSKİ — toplam KKEG eşiğin üzerinde veya örtülü sermaye + faiz kısıtı oluştu.</t>
        </is>
      </c>
    </row>
    <row r="7">
      <c r="A7" s="6" t="inlineStr">
        <is>
          <t>• DİKKAT — oran veya KKEG riski dikkat bandında; dayanak gözden geçirilmeli.</t>
        </is>
      </c>
    </row>
    <row r="8">
      <c r="A8" s="6" t="inlineStr">
        <is>
          <t>• TEMİZ — borç/özkaynak eşiğin altında ve KKEG riski düşük.</t>
        </is>
      </c>
    </row>
    <row r="9"/>
    <row r="10">
      <c r="A10" s="71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iliskili_kisi_yorumu</t>
        </is>
      </c>
    </row>
    <row r="12"/>
    <row r="13">
      <c r="A13" s="10" t="inlineStr">
        <is>
          <t>Yorum A</t>
        </is>
      </c>
      <c r="B13" s="6" t="inlineStr">
        <is>
          <t>Aşan borç = MAX(0, ilişkili borç − özkaynak × 3x eşik). Kabul edilmeyen faiz = yıllık faiz × (aşan borç / ilişkili borç).</t>
        </is>
      </c>
    </row>
    <row r="14">
      <c r="A14" s="10" t="inlineStr">
        <is>
          <t>Yorum B</t>
        </is>
      </c>
      <c r="B14" s="6" t="inlineStr">
        <is>
          <t>Yorum B, aşan borcu +%10 sıkılaştırır (daha yüksek örtülü faiz KKEG).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2026-08-11T10:21:28Z</dcterms:created>
  <dcterms:modified xmlns:dcterms="http://purl.org/dc/terms/" xmlns:xsi="http://www.w3.org/2001/XMLSchema-instance" xsi:type="dcterms:W3CDTF">2026-09-25T21:23:11Z</dcterms:modified>
</cp:coreProperties>
</file>