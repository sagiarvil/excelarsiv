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ose_toplamKkeg">MOTOR!$G$28</definedName>
    <definedName name="ose_borcOrani">MOTOR!$G$29</definedName>
    <definedName name="ose_kabulEdilmeyen">MOTOR!$G$30</definedName>
    <definedName name="ose_kacirilan">MOTOR!$G$28</definedName>
    <definedName name="ose_kararMetni">MOTOR!$G$34</definedName>
    <definedName name="ose_kararGerekce">MOTOR!$G$35</definedName>
    <definedName name="ose_maddeAtifMetni">MOTOR!$G$52</definedName>
    <definedName name="ose_kanitRaporu">MOTOR!$G$53</definedName>
    <definedName name="ose_kuralYilMatris">KURALLAR!$B$17</definedName>
    <definedName name="ose_parmakIzi">AYARLAR!$B$19</definedName>
    <definedName name="ose_senaryoKarsilastirma">SENARYO!$B$11</definedName>
    <definedName name="ose_yorumSenaryo">SENARYO!$B$12</definedName>
    <definedName name="ose_duyarlilikSira">SENARYO!$B$19</definedName>
    <definedName name="ose_yorumDuyarlilik">SENARYO!$B$20</definedName>
    <definedName name="ose_kuralDegisimSenaryo">SENARYO!$B$22</definedName>
    <definedName name="ose_yorumKuralDegisim">SENARYO!$B$23</definedName>
    <definedName name="ose_tahminAralik">SENARYO!$B$32</definedName>
    <definedName name="ose_yorumTahmin">SENARYO!$B$33</definedName>
    <definedName name="ose_vakaDurum">VAKALAR!$B$12</definedName>
    <definedName name="ose_vakaFark">VAKALAR!$B$13</definedName>
    <definedName name="ose_tolerans">AYARLAR!$B$8</definedName>
    <definedName name="ose_kacirilanEsik">AYARLAR!$B$9</definedName>
    <definedName name="ose_senaryoIyi">AYARLAR!$B$10</definedName>
    <definedName name="ose_senaryoKotu">AYARLAR!$B$11</definedName>
    <definedName name="ose_oranArtisPuan">AYARLAR!$B$12</definedName>
    <definedName name="ose_tahminAlt">AYARLAR!$B$13</definedName>
    <definedName name="ose_tahminUst">AYARLAR!$B$14</definedName>
    <definedName name="ose_tornadoHasilat">AYARLAR!$B$15</definedName>
    <definedName name="ose_tornadoMaliyet">AYARLAR!$B$16</definedName>
    <definedName name="ose_payArtisOran">AYARLAR!$B$17</definedName>
    <definedName name="ose_yuzdelikOran">AYARLAR!$B$18</definedName>
    <definedName name="ose_girisBeklenen">AYARLAR!$B$21</definedName>
    <definedName name="ose_riskDusuk">AYARLAR!$B$22</definedName>
    <definedName name="ose_riskOrta">AYARLAR!$B$23</definedName>
    <definedName name="ose_riskYuksek">AYARLAR!$B$24</definedName>
    <definedName name="ose_riskEsikOran">AYARLAR!$B$25</definedName>
    <definedName name="ose_yilTaban">AYARLAR!$B$26</definedName>
    <definedName name="ose_yuvarMax">AYARLAR!$B$27</definedName>
    <definedName name="ose_dayanakCarpan">AYARLAR!$B$28</definedName>
    <definedName name="ose_bazCarpan">AYARLAR!$B$29</definedName>
    <definedName name="ose_sifirCarpan">AYARLAR!$B$30</definedName>
    <definedName name="ose_siraBir">AYARLAR!$B$31</definedName>
    <definedName name="ose_siraIki">AYARLAR!$B$32</definedName>
    <definedName name="ose_siraUc">AYARLAR!$B$33</definedName>
    <definedName name="ose_tahminX">AYARLAR!$B$34</definedName>
    <definedName name="ose_esikSikilastirma">AYARLAR!$B$35</definedName>
    <definedName name="vaka_ozkaynak">AYARLAR!$B$36</definedName>
    <definedName name="vaka_borc">AYARLAR!$B$37</definedName>
    <definedName name="vaka_faiz">AYARLAR!$B$38</definedName>
    <definedName name="vaka_uygulanan">AYARLAR!$B$39</definedName>
    <definedName name="vaka_emsal">AYARLAR!$B$40</definedName>
    <definedName name="vaka_islem">AYARLAR!$B$41</definedName>
    <definedName name="vaka_bedel">AYARLAR!$B$42</definedName>
    <definedName name="ose_modulT1">PANO!$C$11</definedName>
    <definedName name="ose_modulT1Yorum">PANO!$D$11</definedName>
    <definedName name="ose_modulT2">PANO!$C$12</definedName>
    <definedName name="ose_modulT2Yorum">PANO!$D$12</definedName>
    <definedName name="ose_modulO1">PANO!$C$13</definedName>
    <definedName name="ose_modulO1Yorum">PANO!$D$13</definedName>
    <definedName name="ose_modulO6">PANO!$C$16</definedName>
    <definedName name="ose_modulO6Yorum">PANO!$D$16</definedName>
    <definedName name="ose_modulO8">PANO!$C$17</definedName>
    <definedName name="ose_modulO8Yorum">PANO!$D$17</definedName>
    <definedName name="ose_modulI2">PANO!$C$20</definedName>
    <definedName name="ose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6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3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3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6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  <xf numFmtId="0" fontId="87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8" fillId="2" borderId="0" applyAlignment="1" pivotButton="0" quotePrefix="0" xfId="0">
      <alignment horizontal="left" vertical="center"/>
    </xf>
    <xf numFmtId="0" fontId="88" fillId="0" borderId="0" applyAlignment="1" pivotButton="0" quotePrefix="0" xfId="0">
      <alignment horizontal="left" vertical="center"/>
    </xf>
    <xf numFmtId="0" fontId="42" fillId="18" borderId="2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89" fillId="18" borderId="2" applyAlignment="1" pivotButton="0" quotePrefix="0" xfId="0">
      <alignment horizontal="center" vertical="center"/>
    </xf>
    <xf numFmtId="0" fontId="60" fillId="1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90" fillId="18" borderId="35" applyAlignment="1" pivotButton="0" quotePrefix="0" xfId="0">
      <alignment vertical="center" indent="1"/>
    </xf>
    <xf numFmtId="0" fontId="0" fillId="18" borderId="36" pivotButton="0" quotePrefix="0" xfId="0"/>
    <xf numFmtId="0" fontId="91" fillId="11" borderId="2" applyAlignment="1" pivotButton="0" quotePrefix="0" xfId="0">
      <alignment horizontal="center" vertical="center"/>
    </xf>
    <xf numFmtId="0" fontId="90" fillId="18" borderId="44" applyAlignment="1" pivotButton="0" quotePrefix="0" xfId="0">
      <alignment vertical="center" indent="1"/>
    </xf>
    <xf numFmtId="0" fontId="93" fillId="12" borderId="2" applyAlignment="1" pivotButton="0" quotePrefix="0" xfId="0">
      <alignment horizontal="center" vertical="center"/>
    </xf>
    <xf numFmtId="0" fontId="90" fillId="18" borderId="47" applyAlignment="1" pivotButton="0" quotePrefix="0" xfId="0">
      <alignment vertical="center" indent="1"/>
    </xf>
    <xf numFmtId="0" fontId="95" fillId="35" borderId="2" applyAlignment="1" pivotButton="0" quotePrefix="0" xfId="0">
      <alignment horizontal="center" vertical="center"/>
    </xf>
    <xf numFmtId="0" fontId="90" fillId="18" borderId="50" applyAlignment="1" pivotButton="0" quotePrefix="0" xfId="0">
      <alignment vertical="center" indent="1"/>
    </xf>
    <xf numFmtId="0" fontId="96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2" fillId="18" borderId="38" applyAlignment="1" pivotButton="0" quotePrefix="0" xfId="0">
      <alignment vertical="center" indent="1"/>
    </xf>
    <xf numFmtId="169" fontId="94" fillId="18" borderId="45" applyAlignment="1" pivotButton="0" quotePrefix="0" xfId="0">
      <alignment vertical="center" indent="1"/>
    </xf>
    <xf numFmtId="169" fontId="92" fillId="18" borderId="48" applyAlignment="1" pivotButton="0" quotePrefix="0" xfId="0">
      <alignment vertical="center" indent="1"/>
    </xf>
    <xf numFmtId="0" fontId="92" fillId="18" borderId="51" applyAlignment="1" pivotButton="0" quotePrefix="0" xfId="0">
      <alignment vertical="center" indent="1"/>
    </xf>
    <xf numFmtId="0" fontId="39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9" fillId="18" borderId="46" applyAlignment="1" pivotButton="0" quotePrefix="0" xfId="0">
      <alignment vertical="center" indent="1"/>
    </xf>
    <xf numFmtId="0" fontId="39" fillId="18" borderId="49" applyAlignment="1" pivotButton="0" quotePrefix="0" xfId="0">
      <alignment vertical="center" indent="1"/>
    </xf>
    <xf numFmtId="0" fontId="39" fillId="18" borderId="52" applyAlignment="1" pivotButton="0" quotePrefix="0" xfId="0">
      <alignment vertical="center" indent="1"/>
    </xf>
    <xf numFmtId="0" fontId="97" fillId="0" borderId="0" pivotButton="0" quotePrefix="0" xfId="0"/>
    <xf numFmtId="0" fontId="98" fillId="35" borderId="2" applyAlignment="1" pivotButton="0" quotePrefix="0" xfId="0">
      <alignment horizontal="center" vertical="center"/>
    </xf>
    <xf numFmtId="0" fontId="99" fillId="19" borderId="2" applyAlignment="1" pivotButton="0" quotePrefix="0" xfId="0">
      <alignment horizontal="center" vertical="center"/>
    </xf>
    <xf numFmtId="0" fontId="60" fillId="7" borderId="53" applyAlignment="1" pivotButton="0" quotePrefix="0" xfId="0">
      <alignment horizontal="left" vertical="center" indent="1"/>
    </xf>
    <xf numFmtId="0" fontId="60" fillId="7" borderId="53" applyAlignment="1" pivotButton="0" quotePrefix="0" xfId="0">
      <alignment horizontal="center" vertical="center"/>
    </xf>
    <xf numFmtId="0" fontId="100" fillId="18" borderId="2" applyAlignment="1" pivotButton="0" quotePrefix="0" xfId="0">
      <alignment horizontal="center" vertical="center"/>
    </xf>
    <xf numFmtId="0" fontId="42" fillId="18" borderId="2" applyAlignment="1" pivotButton="0" quotePrefix="0" xfId="0">
      <alignment vertical="center" indent="1"/>
    </xf>
    <xf numFmtId="169" fontId="42" fillId="18" borderId="2" applyAlignment="1" pivotButton="0" quotePrefix="0" xfId="0">
      <alignment horizontal="right" vertical="center"/>
    </xf>
    <xf numFmtId="169" fontId="67" fillId="18" borderId="2" applyAlignment="1" pivotButton="0" quotePrefix="0" xfId="0">
      <alignment horizontal="right" vertical="center"/>
    </xf>
    <xf numFmtId="0" fontId="101" fillId="18" borderId="2" applyAlignment="1" pivotButton="0" quotePrefix="0" xfId="0">
      <alignment horizontal="center" vertical="center"/>
    </xf>
    <xf numFmtId="0" fontId="102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100" fillId="19" borderId="2" applyAlignment="1" pivotButton="0" quotePrefix="0" xfId="0">
      <alignment horizontal="center" vertical="center"/>
    </xf>
    <xf numFmtId="0" fontId="42" fillId="19" borderId="2" applyAlignment="1" pivotButton="0" quotePrefix="0" xfId="0">
      <alignment vertical="center" indent="1"/>
    </xf>
    <xf numFmtId="169" fontId="42" fillId="19" borderId="2" applyAlignment="1" pivotButton="0" quotePrefix="0" xfId="0">
      <alignment horizontal="right" vertical="center"/>
    </xf>
    <xf numFmtId="169" fontId="67" fillId="19" borderId="2" applyAlignment="1" pivotButton="0" quotePrefix="0" xfId="0">
      <alignment horizontal="right" vertical="center"/>
    </xf>
    <xf numFmtId="0" fontId="101" fillId="19" borderId="2" applyAlignment="1" pivotButton="0" quotePrefix="0" xfId="0">
      <alignment horizontal="center" vertical="center"/>
    </xf>
    <xf numFmtId="0" fontId="103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4" fillId="16" borderId="2" applyAlignment="1" pivotButton="0" quotePrefix="0" xfId="0">
      <alignment horizontal="center" vertical="center"/>
    </xf>
    <xf numFmtId="0" fontId="105" fillId="37" borderId="2" applyAlignment="1" pivotButton="0" quotePrefix="0" xfId="0">
      <alignment horizontal="center" vertical="center"/>
    </xf>
    <xf numFmtId="0" fontId="12" fillId="7" borderId="54" applyAlignment="1" pivotButton="0" quotePrefix="0" xfId="0">
      <alignment vertical="center" indent="1"/>
    </xf>
    <xf numFmtId="169" fontId="106" fillId="7" borderId="54" applyAlignment="1" pivotButton="0" quotePrefix="0" xfId="0">
      <alignment horizontal="right" vertical="center"/>
    </xf>
    <xf numFmtId="169" fontId="107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8" fillId="7" borderId="54" applyAlignment="1" pivotButton="0" quotePrefix="0" xfId="0">
      <alignment horizontal="center" vertical="center"/>
    </xf>
    <xf numFmtId="0" fontId="109" fillId="18" borderId="55" applyAlignment="1" pivotButton="0" quotePrefix="0" xfId="0">
      <alignment vertical="center" indent="1"/>
    </xf>
    <xf numFmtId="0" fontId="0" fillId="18" borderId="37" pivotButton="0" quotePrefix="0" xfId="0"/>
    <xf numFmtId="0" fontId="115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10" fillId="18" borderId="56" applyAlignment="1" pivotButton="0" quotePrefix="0" xfId="0">
      <alignment vertical="center" indent="1"/>
    </xf>
    <xf numFmtId="0" fontId="101" fillId="18" borderId="56" pivotButton="0" quotePrefix="0" xfId="0"/>
    <xf numFmtId="0" fontId="110" fillId="18" borderId="40" pivotButton="0" quotePrefix="0" xfId="0"/>
    <xf numFmtId="0" fontId="16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11" fillId="18" borderId="56" applyAlignment="1" pivotButton="0" quotePrefix="0" xfId="0">
      <alignment vertical="center" indent="1"/>
    </xf>
    <xf numFmtId="0" fontId="58" fillId="17" borderId="61" applyAlignment="1" pivotButton="0" quotePrefix="0" xfId="0">
      <alignment vertical="center" indent="1"/>
    </xf>
    <xf numFmtId="0" fontId="112" fillId="18" borderId="56" applyAlignment="1" pivotButton="0" quotePrefix="0" xfId="0">
      <alignment vertical="center" indent="1"/>
    </xf>
    <xf numFmtId="0" fontId="0" fillId="35" borderId="2" pivotButton="0" quotePrefix="0" xfId="0"/>
    <xf numFmtId="0" fontId="113" fillId="18" borderId="56" applyAlignment="1" pivotButton="0" quotePrefix="0" xfId="0">
      <alignment vertical="center" indent="1"/>
    </xf>
    <xf numFmtId="0" fontId="114" fillId="38" borderId="2" applyAlignment="1" pivotButton="0" quotePrefix="0" xfId="0">
      <alignment horizontal="center" vertical="center"/>
    </xf>
    <xf numFmtId="0" fontId="116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4" fillId="0" borderId="7" pivotButton="0" quotePrefix="0" xfId="0"/>
    <xf numFmtId="0" fontId="110" fillId="0" borderId="7" pivotButton="0" quotePrefix="0" xfId="0"/>
    <xf numFmtId="0" fontId="117" fillId="12" borderId="63" applyAlignment="1" pivotButton="0" quotePrefix="0" xfId="0">
      <alignment vertical="center" indent="1"/>
    </xf>
    <xf numFmtId="0" fontId="122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8" fillId="18" borderId="64" pivotButton="0" quotePrefix="0" xfId="0"/>
    <xf numFmtId="0" fontId="119" fillId="18" borderId="39" applyAlignment="1" pivotButton="0" quotePrefix="0" xfId="0">
      <alignment horizontal="right" vertical="center"/>
    </xf>
    <xf numFmtId="0" fontId="118" fillId="18" borderId="68" pivotButton="0" quotePrefix="0" xfId="0"/>
    <xf numFmtId="0" fontId="123" fillId="18" borderId="39" applyAlignment="1" pivotButton="0" quotePrefix="0" xfId="0">
      <alignment horizontal="right" vertical="center"/>
    </xf>
    <xf numFmtId="169" fontId="109" fillId="18" borderId="39" applyAlignment="1" pivotButton="0" quotePrefix="0" xfId="0">
      <alignment horizontal="right" vertical="center"/>
    </xf>
    <xf numFmtId="169" fontId="120" fillId="18" borderId="39" applyAlignment="1" pivotButton="0" quotePrefix="0" xfId="0">
      <alignment horizontal="right" vertical="center"/>
    </xf>
    <xf numFmtId="170" fontId="120" fillId="18" borderId="39" applyAlignment="1" pivotButton="0" quotePrefix="0" xfId="0">
      <alignment horizontal="right" vertical="center"/>
    </xf>
    <xf numFmtId="0" fontId="120" fillId="18" borderId="39" applyAlignment="1" pivotButton="0" quotePrefix="0" xfId="0">
      <alignment horizontal="right" vertical="center"/>
    </xf>
    <xf numFmtId="0" fontId="121" fillId="12" borderId="66" applyAlignment="1" pivotButton="0" quotePrefix="0" xfId="0">
      <alignment horizontal="center" vertical="center"/>
    </xf>
    <xf numFmtId="0" fontId="72" fillId="11" borderId="70" applyAlignment="1" pivotButton="0" quotePrefix="0" xfId="0">
      <alignment horizontal="center" vertical="center"/>
    </xf>
    <xf numFmtId="0" fontId="97" fillId="18" borderId="55" applyAlignment="1" pivotButton="0" quotePrefix="0" xfId="0">
      <alignment vertical="center" indent="1"/>
    </xf>
    <xf numFmtId="0" fontId="0" fillId="18" borderId="56" pivotButton="0" quotePrefix="0" xfId="0"/>
    <xf numFmtId="0" fontId="109" fillId="18" borderId="56" applyAlignment="1" pivotButton="0" quotePrefix="0" xfId="0">
      <alignment vertical="center" indent="1"/>
    </xf>
    <xf numFmtId="0" fontId="101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KKEG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KKEG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Borç/Özkaynak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Örtülü sermaye / emsal faiz / TF KKEG riskini etkiler | Doğru kullanım: Sırayla izleyin | Örnek: demo satırına bakın | Yanlışsa: Oran, faiz farkı, TF farkı ve karar bozulur | Kaynak: KVK md.12</t>
      </text>
    </comment>
    <comment ref="A6" authorId="0" shapeId="0">
      <text>
        <t>Tanım: Adım 2 — Karar | Neden önemli: Örtülü sermaye / emsal faiz / TF KKEG riskini etkiler | Doğru kullanım: Sırayla izleyin | Örnek: demo satırına bakın | Yanlışsa: Oran, faiz farkı, TF farkı ve karar bozulur | Kaynak: KVK md.12</t>
      </text>
    </comment>
    <comment ref="A7" authorId="0" shapeId="0">
      <text>
        <t>Tanım: Adım 3 — Kanıt | Neden önemli: Örtülü sermaye / emsal faiz / TF KKEG riskini etkiler | Doğru kullanım: Sırayla izleyin | Örnek: demo satırına bakın | Yanlışsa: Oran, faiz farkı, TF farkı ve karar bozulur | Kaynak: KVK md.12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Örtülü sermaye / emsal faiz / TF KKEG riskini etkiler | Doğru kullanım: Şirket unvanını yazın. | Örnek: demo satırına bakın | Yanlışsa: Oran, faiz farkı, TF farkı ve karar bozulur | Kaynak: KVK md.12</t>
      </text>
    </comment>
    <comment ref="B7" authorId="0" shapeId="0">
      <text>
        <t>Tanım: Dönem | Neden önemli: Örtülü sermaye / emsal faiz / TF KKEG riskini etkiler | Doğru kullanım: Beyan dönemi veya hesap yılı referansını yazın. | Örnek: demo satırına bakın | Yanlışsa: Oran, faiz farkı, TF farkı ve karar bozulur | Kaynak: KVK md.12</t>
      </text>
    </comment>
    <comment ref="B8" authorId="0" shapeId="0">
      <text>
        <t>Tanım: Hesap Yılı | Neden önemli: Örtülü sermaye / emsal faiz / TF KKEG riskini etkiler | Doğru kullanım: 2025, 2026 veya 2027 seçin. | Örnek: demo satırına bakın | Yanlışsa: Oran, faiz farkı, TF farkı ve karar bozulur | Kaynak: KVK md.12</t>
      </text>
    </comment>
    <comment ref="B9" authorId="0" shapeId="0">
      <text>
        <t>Tanım: Özkaynak [₺] | Neden önemli: Örtülü sermaye / emsal faiz / TF KKEG riskini etkiler | Doğru kullanım: Dönem sonu özkaynak tutarını TL girin. | Örnek: demo satırına bakın | Yanlışsa: Oran, faiz farkı, TF farkı ve karar bozulur | Kaynak: KVK md.12</t>
      </text>
    </comment>
    <comment ref="B10" authorId="0" shapeId="0">
      <text>
        <t>Tanım: İlişkili Borç Toplamı [₺] | Neden önemli: Örtülü sermaye / emsal faiz / TF KKEG riskini etkiler | Doğru kullanım: Ortak/ilişkili kişiden borç toplamını TL girin. | Örnek: demo satırına bakın | Yanlışsa: Oran, faiz farkı, TF farkı ve karar bozulur | Kaynak: KVK md.12</t>
      </text>
    </comment>
    <comment ref="B11" authorId="0" shapeId="0">
      <text>
        <t>Tanım: Yıllık Faiz Gideri [₺] | Neden önemli: Örtülü sermaye / emsal faiz / TF KKEG riskini etkiler | Doğru kullanım: İlişkili borçlara isabet eden yıllık faiz giderini TL girin. | Örnek: demo satırına bakın | Yanlışsa: Oran, faiz farkı, TF farkı ve karar bozulur | Kaynak: KVK md.12</t>
      </text>
    </comment>
    <comment ref="B12" authorId="0" shapeId="0">
      <text>
        <t>Tanım: Uygulanan Faiz Oranı [%] | Neden önemli: Örtülü sermaye / emsal faiz / TF KKEG riskini etkiler | Doğru kullanım: Sözleşmede uygulanan faiz oranını yüzde girin. | Örnek: demo satırına bakın | Yanlışsa: Oran, faiz farkı, TF farkı ve karar bozulur | Kaynak: KVK md.12</t>
      </text>
    </comment>
    <comment ref="B13" authorId="0" shapeId="0">
      <text>
        <t>Tanım: Emsal Faiz Oranı (TCMB/AVG) [%] | Neden önemli: Örtülü sermaye / emsal faiz / TF KKEG riskini etkiler | Doğru kullanım: Emsal faiz oranını (TCMB/AVG) yüzde girin. | Örnek: demo satırına bakın | Yanlışsa: Oran, faiz farkı, TF farkı ve karar bozulur | Kaynak: KVK md.12</t>
      </text>
    </comment>
    <comment ref="B14" authorId="0" shapeId="0">
      <text>
        <t>Tanım: İlişkili İşlem Tutarı [₺] | Neden önemli: Örtülü sermaye / emsal faiz / TF KKEG riskini etkiler | Doğru kullanım: İlişkili kişi işlem tutarını TL girin. | Örnek: demo satırına bakın | Yanlışsa: Oran, faiz farkı, TF farkı ve karar bozulur | Kaynak: KVK md.12</t>
      </text>
    </comment>
    <comment ref="B15" authorId="0" shapeId="0">
      <text>
        <t>Tanım: Emsal Bedel [₺] | Neden önemli: Örtülü sermaye / emsal faiz / TF KKEG riskini etkiler | Doğru kullanım: İşlemin emsal bedelini TL girin. | Örnek: demo satırına bakın | Yanlışsa: Oran, faiz farkı, TF farkı ve karar bozulur | Kaynak: KVK md.12</t>
      </text>
    </comment>
    <comment ref="B16" authorId="0" shapeId="0">
      <text>
        <t>Tanım: Yorum Modu (A/B) | Neden önemli: Örtülü sermaye / emsal faiz / TF KKEG riskini etkiler | Doğru kullanım: İlişkili kişi yorumu A (standart) veya B (sıkı +%10 aşan borç) seçin. | Örnek: demo satırına bakın | Yanlışsa: Oran, faiz farkı, TF farkı ve karar bozulur | Kaynak: KVK md.12</t>
      </text>
    </comment>
    <comment ref="A25" authorId="0" shapeId="0">
      <text>
        <t>Tanım: sirket_adi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25" authorId="0" shapeId="0">
      <text>
        <t>Tanım: sirket_adi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25" authorId="0" shapeId="0">
      <text>
        <t>Tanım: sirket_adi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25" authorId="0" shapeId="0">
      <text>
        <t>Tanım: sirket_adi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25" authorId="0" shapeId="0">
      <text>
        <t>Tanım: sirket_adi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26" authorId="0" shapeId="0">
      <text>
        <t>Tanım: donem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26" authorId="0" shapeId="0">
      <text>
        <t>Tanım: donem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26" authorId="0" shapeId="0">
      <text>
        <t>Tanım: donem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26" authorId="0" shapeId="0">
      <text>
        <t>Tanım: donem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26" authorId="0" shapeId="0">
      <text>
        <t>Tanım: donem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27" authorId="0" shapeId="0">
      <text>
        <t>Tanım: hesapYili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27" authorId="0" shapeId="0">
      <text>
        <t>Tanım: hesapYili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27" authorId="0" shapeId="0">
      <text>
        <t>Tanım: hesapYili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27" authorId="0" shapeId="0">
      <text>
        <t>Tanım: hesapYili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27" authorId="0" shapeId="0">
      <text>
        <t>Tanım: hesapYili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28" authorId="0" shapeId="0">
      <text>
        <t>Tanım: ozkaynak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28" authorId="0" shapeId="0">
      <text>
        <t>Tanım: ozkaynak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28" authorId="0" shapeId="0">
      <text>
        <t>Tanım: ozkaynak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28" authorId="0" shapeId="0">
      <text>
        <t>Tanım: ozkaynak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28" authorId="0" shapeId="0">
      <text>
        <t>Tanım: ozkaynak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29" authorId="0" shapeId="0">
      <text>
        <t>Tanım: iliskili_borc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29" authorId="0" shapeId="0">
      <text>
        <t>Tanım: iliskili_borc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29" authorId="0" shapeId="0">
      <text>
        <t>Tanım: iliskili_borc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29" authorId="0" shapeId="0">
      <text>
        <t>Tanım: iliskili_borc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29" authorId="0" shapeId="0">
      <text>
        <t>Tanım: iliskili_borc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0" authorId="0" shapeId="0">
      <text>
        <t>Tanım: yillik_faiz_gideri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0" authorId="0" shapeId="0">
      <text>
        <t>Tanım: yillik_faiz_gideri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0" authorId="0" shapeId="0">
      <text>
        <t>Tanım: yillik_faiz_gideri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0" authorId="0" shapeId="0">
      <text>
        <t>Tanım: yillik_faiz_gideri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0" authorId="0" shapeId="0">
      <text>
        <t>Tanım: yillik_faiz_gideri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1" authorId="0" shapeId="0">
      <text>
        <t>Tanım: uygulanan_faiz_orani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1" authorId="0" shapeId="0">
      <text>
        <t>Tanım: uygulanan_faiz_orani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1" authorId="0" shapeId="0">
      <text>
        <t>Tanım: uygulanan_faiz_orani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1" authorId="0" shapeId="0">
      <text>
        <t>Tanım: uygulanan_faiz_orani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1" authorId="0" shapeId="0">
      <text>
        <t>Tanım: uygulanan_faiz_orani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2" authorId="0" shapeId="0">
      <text>
        <t>Tanım: emsal_faiz_orani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2" authorId="0" shapeId="0">
      <text>
        <t>Tanım: emsal_faiz_orani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2" authorId="0" shapeId="0">
      <text>
        <t>Tanım: emsal_faiz_orani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2" authorId="0" shapeId="0">
      <text>
        <t>Tanım: emsal_faiz_orani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2" authorId="0" shapeId="0">
      <text>
        <t>Tanım: emsal_faiz_orani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3" authorId="0" shapeId="0">
      <text>
        <t>Tanım: iliskili_islem_tutari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3" authorId="0" shapeId="0">
      <text>
        <t>Tanım: iliskili_islem_tutari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3" authorId="0" shapeId="0">
      <text>
        <t>Tanım: iliskili_islem_tutari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3" authorId="0" shapeId="0">
      <text>
        <t>Tanım: iliskili_islem_tutari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3" authorId="0" shapeId="0">
      <text>
        <t>Tanım: iliskili_islem_tutari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4" authorId="0" shapeId="0">
      <text>
        <t>Tanım: emsal_bedel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4" authorId="0" shapeId="0">
      <text>
        <t>Tanım: emsal_bedel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4" authorId="0" shapeId="0">
      <text>
        <t>Tanım: emsal_bedel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4" authorId="0" shapeId="0">
      <text>
        <t>Tanım: emsal_bedel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4" authorId="0" shapeId="0">
      <text>
        <t>Tanım: emsal_bedel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A35" authorId="0" shapeId="0">
      <text>
        <t>Tanım: yorum_modu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B35" authorId="0" shapeId="0">
      <text>
        <t>Tanım: yorum_modu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C35" authorId="0" shapeId="0">
      <text>
        <t>Tanım: yorum_modu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D35" authorId="0" shapeId="0">
      <text>
        <t>Tanım: yorum_modu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  <comment ref="E35" authorId="0" shapeId="0">
      <text>
        <t>Tanım: yorum_modu | Neden önemli: Örtülü sermaye / emsal faiz / TF KKEG riskini etkiler | Doğru kullanım: Tablo girişi; PANO ile senkron tutun | Örnek: demo satırına bakın | Yanlışsa: Oran, faiz farkı, TF farkı ve karar bozulur | Kaynak: KVK md.12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ortulu_oran_esigi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G7" authorId="0" shapeId="0">
      <text>
        <t>Tanım: ortulu_oran_esigi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H7" authorId="0" shapeId="0">
      <text>
        <t>Tanım: ortulu_oran_esigi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F8" authorId="0" shapeId="0">
      <text>
        <t>Tanım: emsal_faiz_referans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G8" authorId="0" shapeId="0">
      <text>
        <t>Tanım: emsal_faiz_referans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H8" authorId="0" shapeId="0">
      <text>
        <t>Tanım: emsal_faiz_referans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F9" authorId="0" shapeId="0">
      <text>
        <t>Tanım: dikkat_esik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G9" authorId="0" shapeId="0">
      <text>
        <t>Tanım: dikkat_esik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H9" authorId="0" shapeId="0">
      <text>
        <t>Tanım: dikkat_esik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F10" authorId="0" shapeId="0">
      <text>
        <t>Tanım: kkeg_esik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G10" authorId="0" shapeId="0">
      <text>
        <t>Tanım: kkeg_esik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H10" authorId="0" shapeId="0">
      <text>
        <t>Tanım: kkeg_esik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F11" authorId="0" shapeId="0">
      <text>
        <t>Tanım: yuvarlama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G11" authorId="0" shapeId="0">
      <text>
        <t>Tanım: yuvarlama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  <comment ref="H11" authorId="0" shapeId="0">
      <text>
        <t>Tanım: yuvarlama | Neden önemli: Örtülü sermaye / emsal faiz / TF KKEG riskini etkiler | Doğru kullanım: Yıl bazlı parametre; kaynak kolonuna bakın | Örnek: demo satırına bakın | Yanlışsa: Oran, faiz farkı, TF farkı ve karar bozulur | Kaynak: KVK md.12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2" authorId="0" shapeId="0">
      <text>
        <t>Tanım: İmza | Neden önemli: Örtülü sermaye / emsal faiz / TF KKEG riskini etkiler | Doğru kullanım: Raporu hazırlayan kişinin adını yazın. | Örnek: demo satırına bakın | Yanlışsa: Oran, faiz farkı, TF farkı ve karar bozulur | Kaynak: KVK md.12</t>
      </text>
    </comment>
    <comment ref="B33" authorId="0" shapeId="0">
      <text>
        <t>Tanım: Onay | Neden önemli: Örtülü sermaye / emsal faiz / TF KKEG riskini etkiler | Doğru kullanım: Onaylayan kişinin adını yazın. | Örnek: demo satırına bakın | Yanlışsa: Oran, faiz farkı, TF farkı ve karar bozulur | Kaynak: KVK md.12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özkaynak?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Toplam KKEG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KKEG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B6" authorId="0" shapeId="0">
      <text>
        <t>Tanım: Özkaynak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C6" authorId="0" shapeId="0">
      <text>
        <t>Tanım: İlişkili Borç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D6" authorId="0" shapeId="0">
      <text>
        <t>Tanım: Faiz Gideri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E6" authorId="0" shapeId="0">
      <text>
        <t>Tanım: Uygulanan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F6" authorId="0" shapeId="0">
      <text>
        <t>Tanım: Emsal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G6" authorId="0" shapeId="0">
      <text>
        <t>Tanım: İşlem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H6" authorId="0" shapeId="0">
      <text>
        <t>Tanım: Emsal Bedel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I6" authorId="0" shapeId="0">
      <text>
        <t>Tanım: Yıl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A7" authorId="0" shapeId="0">
      <text>
        <t>Tanım: Senaryo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B7" authorId="0" shapeId="0">
      <text>
        <t>Tanım: Özkaynak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C7" authorId="0" shapeId="0">
      <text>
        <t>Tanım: İlişkili Borç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D7" authorId="0" shapeId="0">
      <text>
        <t>Tanım: Faiz Gideri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E7" authorId="0" shapeId="0">
      <text>
        <t>Tanım: Uygulanan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F7" authorId="0" shapeId="0">
      <text>
        <t>Tanım: Emsal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G7" authorId="0" shapeId="0">
      <text>
        <t>Tanım: İşlem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H7" authorId="0" shapeId="0">
      <text>
        <t>Tanım: Emsal Bedel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I7" authorId="0" shapeId="0">
      <text>
        <t>Tanım: Yıl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A8" authorId="0" shapeId="0">
      <text>
        <t>Tanım: Senaryo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B8" authorId="0" shapeId="0">
      <text>
        <t>Tanım: Özkaynak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C8" authorId="0" shapeId="0">
      <text>
        <t>Tanım: İlişkili Borç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D8" authorId="0" shapeId="0">
      <text>
        <t>Tanım: Faiz Gideri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E8" authorId="0" shapeId="0">
      <text>
        <t>Tanım: Uygulanan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F8" authorId="0" shapeId="0">
      <text>
        <t>Tanım: Emsal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G8" authorId="0" shapeId="0">
      <text>
        <t>Tanım: İşlem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H8" authorId="0" shapeId="0">
      <text>
        <t>Tanım: Emsal Bedel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I8" authorId="0" shapeId="0">
      <text>
        <t>Tanım: Yıl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A9" authorId="0" shapeId="0">
      <text>
        <t>Tanım: Senaryo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B9" authorId="0" shapeId="0">
      <text>
        <t>Tanım: Özkaynak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C9" authorId="0" shapeId="0">
      <text>
        <t>Tanım: İlişkili Borç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D9" authorId="0" shapeId="0">
      <text>
        <t>Tanım: Faiz Gideri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E9" authorId="0" shapeId="0">
      <text>
        <t>Tanım: Uygulanan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F9" authorId="0" shapeId="0">
      <text>
        <t>Tanım: Emsal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G9" authorId="0" shapeId="0">
      <text>
        <t>Tanım: İşlem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H9" authorId="0" shapeId="0">
      <text>
        <t>Tanım: Emsal Bedel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I9" authorId="0" shapeId="0">
      <text>
        <t>Tanım: Yıl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A10" authorId="0" shapeId="0">
      <text>
        <t>Tanım: Senaryo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B10" authorId="0" shapeId="0">
      <text>
        <t>Tanım: Özkaynak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C10" authorId="0" shapeId="0">
      <text>
        <t>Tanım: İlişkili Borç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D10" authorId="0" shapeId="0">
      <text>
        <t>Tanım: Faiz Gideri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E10" authorId="0" shapeId="0">
      <text>
        <t>Tanım: Uygulanan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F10" authorId="0" shapeId="0">
      <text>
        <t>Tanım: Emsal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G10" authorId="0" shapeId="0">
      <text>
        <t>Tanım: İşlem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H10" authorId="0" shapeId="0">
      <text>
        <t>Tanım: Emsal Bedel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I10" authorId="0" shapeId="0">
      <text>
        <t>Tanım: Yıl | Neden önemli: Örtülü sermaye / emsal faiz / TF KKEG riskini etkiler | Doğru kullanım: Örnek senaryo değeri | Örnek: demo satırına bakın | Yanlışsa: Oran, faiz farkı, TF farkı ve karar bozulur | Kaynak: KVK md.12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Örtülü sermaye / emsal faiz / TF KKEG riskini etkiler | Doğru kullanım: Hesap yılı listesi | Örnek: demo satırına bakın | Yanlışsa: Oran, faiz farkı, TF farkı ve karar bozulur | Kaynak: KVK md.12</t>
      </text>
    </comment>
    <comment ref="C6" authorId="0" shapeId="0">
      <text>
        <t>Tanım: Yorum | Neden önemli: Örtülü sermaye / emsal faiz / TF KKEG riskini etkiler | Doğru kullanım: İlişkili kişi yorumu | Örnek: demo satırına bakın | Yanlışsa: Oran, faiz farkı, TF farkı ve karar bozulur | Kaynak: KVK md.12</t>
      </text>
    </comment>
    <comment ref="E6" authorId="0" shapeId="0">
      <text>
        <t>Tanım: Seçim | Neden önemli: Örtülü sermaye / emsal faiz / TF KKEG riskini etkiler | Doğru kullanım: Evet veya Hayır | Örnek: demo satırına bakın | Yanlışsa: Oran, faiz farkı, TF farkı ve karar bozulur | Kaynak: KVK md.12</t>
      </text>
    </comment>
    <comment ref="A7" authorId="0" shapeId="0">
      <text>
        <t>Tanım: Yıl | Neden önemli: Örtülü sermaye / emsal faiz / TF KKEG riskini etkiler | Doğru kullanım: Hesap yılı listesi | Örnek: demo satırına bakın | Yanlışsa: Oran, faiz farkı, TF farkı ve karar bozulur | Kaynak: KVK md.12</t>
      </text>
    </comment>
    <comment ref="C7" authorId="0" shapeId="0">
      <text>
        <t>Tanım: Yorum | Neden önemli: Örtülü sermaye / emsal faiz / TF KKEG riskini etkiler | Doğru kullanım: İlişkili kişi yorumu | Örnek: demo satırına bakın | Yanlışsa: Oran, faiz farkı, TF farkı ve karar bozulur | Kaynak: KVK md.12</t>
      </text>
    </comment>
    <comment ref="E7" authorId="0" shapeId="0">
      <text>
        <t>Tanım: Seçim | Neden önemli: Örtülü sermaye / emsal faiz / TF KKEG riskini etkiler | Doğru kullanım: Evet veya Hayır | Örnek: demo satırına bakın | Yanlışsa: Oran, faiz farkı, TF farkı ve karar bozulur | Kaynak: KVK md.12</t>
      </text>
    </comment>
    <comment ref="A8" authorId="0" shapeId="0">
      <text>
        <t>Tanım: Yıl | Neden önemli: Örtülü sermaye / emsal faiz / TF KKEG riskini etkiler | Doğru kullanım: Hesap yılı listesi | Örnek: demo satırına bakın | Yanlışsa: Oran, faiz farkı, TF farkı ve karar bozulur | Kaynak: KVK md.12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Örtülü sermaye / emsal faiz / TF KKEG riskini etkiler | Doğru kullanım: Aktif hesap yılı | Örnek: demo satırına bakın | Yanlışsa: Oran, faiz farkı, TF farkı ve karar bozulur | Kaynak: KVK md.12</t>
      </text>
    </comment>
    <comment ref="B7" authorId="0" shapeId="0">
      <text>
        <t>Tanım: raporTarihi | Neden önemli: Örtülü sermaye / emsal faiz / TF KKEG riskini etkiler | Doğru kullanım: Rapor tarihi (sabit) | Örnek: demo satırına bakın | Yanlışsa: Oran, faiz farkı, TF farkı ve karar bozulur | Kaynak: KVK md.12</t>
      </text>
    </comment>
    <comment ref="B8" authorId="0" shapeId="0">
      <text>
        <t>Tanım: ose_tolerans | Neden önemli: Örtülü sermaye / emsal faiz / TF KKEG riskini etkiler | Doğru kullanım: Vaka tutarlılık toleransı | Örnek: demo satırına bakın | Yanlışsa: Oran, faiz farkı, TF farkı ve karar bozulur | Kaynak: KVK md.12</t>
      </text>
    </comment>
    <comment ref="B9" authorId="0" shapeId="0">
      <text>
        <t>Tanım: ose_kacirilanEsik | Neden önemli: Örtülü sermaye / emsal faiz / TF KKEG riskini etkiler | Doğru kullanım: PANO KKEG uyarı eşiği | Örnek: demo satırına bakın | Yanlışsa: Oran, faiz farkı, TF farkı ve karar bozulur | Kaynak: KVK md.12</t>
      </text>
    </comment>
    <comment ref="B10" authorId="0" shapeId="0">
      <text>
        <t>Tanım: ose_senaryoIyi | Neden önemli: Örtülü sermaye / emsal faiz / TF KKEG riskini etkiler | Doğru kullanım: Kötümser KKEG çarpanı (yüksek) | Örnek: demo satırına bakın | Yanlışsa: Oran, faiz farkı, TF farkı ve karar bozulur | Kaynak: KVK md.12</t>
      </text>
    </comment>
    <comment ref="B11" authorId="0" shapeId="0">
      <text>
        <t>Tanım: ose_senaryoKotu | Neden önemli: Örtülü sermaye / emsal faiz / TF KKEG riskini etkiler | Doğru kullanım: İyimser KKEG çarpanı (düşük) | Örnek: demo satırına bakın | Yanlışsa: Oran, faiz farkı, TF farkı ve karar bozulur | Kaynak: KVK md.12</t>
      </text>
    </comment>
    <comment ref="B12" authorId="0" shapeId="0">
      <text>
        <t>Tanım: ose_oranArtisPuan | Neden önemli: Örtülü sermaye / emsal faiz / TF KKEG riskini etkiler | Doğru kullanım: Yedek oran artış puanı | Örnek: demo satırına bakın | Yanlışsa: Oran, faiz farkı, TF farkı ve karar bozulur | Kaynak: KVK md.12</t>
      </text>
    </comment>
    <comment ref="B13" authorId="0" shapeId="0">
      <text>
        <t>Tanım: ose_tahminAlt | Neden önemli: Örtülü sermaye / emsal faiz / TF KKEG riskini etkiler | Doğru kullanım: Tahmin alt bant | Örnek: demo satırına bakın | Yanlışsa: Oran, faiz farkı, TF farkı ve karar bozulur | Kaynak: KVK md.12</t>
      </text>
    </comment>
    <comment ref="B14" authorId="0" shapeId="0">
      <text>
        <t>Tanım: ose_tahminUst | Neden önemli: Örtülü sermaye / emsal faiz / TF KKEG riskini etkiler | Doğru kullanım: Tahmin üst bant | Örnek: demo satırına bakın | Yanlışsa: Oran, faiz farkı, TF farkı ve karar bozulur | Kaynak: KVK md.12</t>
      </text>
    </comment>
    <comment ref="B15" authorId="0" shapeId="0">
      <text>
        <t>Tanım: ose_tornadoHasilat | Neden önemli: Örtülü sermaye / emsal faiz / TF KKEG riskini etkiler | Doğru kullanım: Tornado borç şoku | Örnek: demo satırına bakın | Yanlışsa: Oran, faiz farkı, TF farkı ve karar bozulur | Kaynak: KVK md.12</t>
      </text>
    </comment>
    <comment ref="B16" authorId="0" shapeId="0">
      <text>
        <t>Tanım: ose_tornadoMaliyet | Neden önemli: Örtülü sermaye / emsal faiz / TF KKEG riskini etkiler | Doğru kullanım: Tornado faiz oranı şoku | Örnek: demo satırına bakın | Yanlışsa: Oran, faiz farkı, TF farkı ve karar bozulur | Kaynak: KVK md.12</t>
      </text>
    </comment>
    <comment ref="B17" authorId="0" shapeId="0">
      <text>
        <t>Tanım: ose_payArtisOran | Neden önemli: Örtülü sermaye / emsal faiz / TF KKEG riskini etkiler | Doğru kullanım: Yorum B aşan borç +%10 | Örnek: demo satırına bakın | Yanlışsa: Oran, faiz farkı, TF farkı ve karar bozulur | Kaynak: KVK md.12</t>
      </text>
    </comment>
    <comment ref="B18" authorId="0" shapeId="0">
      <text>
        <t>Tanım: ose_yuzdelikOran | Neden önemli: Örtülü sermaye / emsal faiz / TF KKEG riskini etkiler | Doğru kullanım: Yüzdelik P90 | Örnek: demo satırına bakın | Yanlışsa: Oran, faiz farkı, TF farkı ve karar bozulur | Kaynak: KVK md.12</t>
      </text>
    </comment>
    <comment ref="B19" authorId="0" shapeId="0">
      <text>
        <t>Tanım: ose_parmakIzi | Neden önemli: Örtülü sermaye / emsal faiz / TF KKEG riskini etkiler | Doğru kullanım: Dosya parmak izi etiketi | Örnek: demo satırına bakın | Yanlışsa: Oran, faiz farkı, TF farkı ve karar bozulur | Kaynak: KVK md.12</t>
      </text>
    </comment>
    <comment ref="B20" authorId="0" shapeId="0">
      <text>
        <t>Tanım: dosya_surumu | Neden önemli: Örtülü sermaye / emsal faiz / TF KKEG riskini etkiler | Doğru kullanım: Ürün sürümü | Örnek: demo satırına bakın | Yanlışsa: Oran, faiz farkı, TF farkı ve karar bozulur | Kaynak: KVK md.12</t>
      </text>
    </comment>
    <comment ref="B21" authorId="0" shapeId="0">
      <text>
        <t>Tanım: ose_girisBeklenen | Neden önemli: Örtülü sermaye / emsal faiz / TF KKEG riskini etkiler | Doğru kullanım: Zorunlu giriş alanı sayısı | Örnek: demo satırına bakın | Yanlışsa: Oran, faiz farkı, TF farkı ve karar bozulur | Kaynak: KVK md.12</t>
      </text>
    </comment>
    <comment ref="B22" authorId="0" shapeId="0">
      <text>
        <t>Tanım: ose_riskDusuk | Neden önemli: Örtülü sermaye / emsal faiz / TF KKEG riskini etkiler | Doğru kullanım: TEMİZ risk skoru | Örnek: demo satırına bakın | Yanlışsa: Oran, faiz farkı, TF farkı ve karar bozulur | Kaynak: KVK md.12</t>
      </text>
    </comment>
    <comment ref="B23" authorId="0" shapeId="0">
      <text>
        <t>Tanım: ose_riskOrta | Neden önemli: Örtülü sermaye / emsal faiz / TF KKEG riskini etkiler | Doğru kullanım: DİKKAT risk skoru | Örnek: demo satırına bakın | Yanlışsa: Oran, faiz farkı, TF farkı ve karar bozulur | Kaynak: KVK md.12</t>
      </text>
    </comment>
    <comment ref="B24" authorId="0" shapeId="0">
      <text>
        <t>Tanım: ose_riskYuksek | Neden önemli: Örtülü sermaye / emsal faiz / TF KKEG riskini etkiler | Doğru kullanım: KKEG RİSKİ skoru | Örnek: demo satırına bakın | Yanlışsa: Oran, faiz farkı, TF farkı ve karar bozulur | Kaynak: KVK md.12</t>
      </text>
    </comment>
    <comment ref="B25" authorId="0" shapeId="0">
      <text>
        <t>Tanım: ose_riskEsikOran | Neden önemli: Örtülü sermaye / emsal faiz / TF KKEG riskini etkiler | Doğru kullanım: Yedek risk oranı | Örnek: demo satırına bakın | Yanlışsa: Oran, faiz farkı, TF farkı ve karar bozulur | Kaynak: KVK md.12</t>
      </text>
    </comment>
    <comment ref="B26" authorId="0" shapeId="0">
      <text>
        <t>Tanım: ose_yilTaban | Neden önemli: Örtülü sermaye / emsal faiz / TF KKEG riskini etkiler | Doğru kullanım: CHOOSE yıl tabanı (hesapYili−taban) | Örnek: demo satırına bakın | Yanlışsa: Oran, faiz farkı, TF farkı ve karar bozulur | Kaynak: KVK md.12</t>
      </text>
    </comment>
    <comment ref="B27" authorId="0" shapeId="0">
      <text>
        <t>Tanım: ose_yuvarMax | Neden önemli: Örtülü sermaye / emsal faiz / TF KKEG riskini etkiler | Doğru kullanım: ROUND basamak tavanı | Örnek: demo satırına bakın | Yanlışsa: Oran, faiz farkı, TF farkı ve karar bozulur | Kaynak: KVK md.12</t>
      </text>
    </comment>
    <comment ref="B28" authorId="0" shapeId="0">
      <text>
        <t>Tanım: ose_dayanakCarpan | Neden önemli: Örtülü sermaye / emsal faiz / TF KKEG riskini etkiler | Doğru kullanım: Yedek çarpan | Örnek: demo satırına bakın | Yanlışsa: Oran, faiz farkı, TF farkı ve karar bozulur | Kaynak: KVK md.12</t>
      </text>
    </comment>
    <comment ref="B29" authorId="0" shapeId="0">
      <text>
        <t>Tanım: ose_bazCarpan | Neden önemli: Örtülü sermaye / emsal faiz / TF KKEG riskini etkiler | Doğru kullanım: Baz senaryo çarpanı | Örnek: demo satırına bakın | Yanlışsa: Oran, faiz farkı, TF farkı ve karar bozulur | Kaynak: KVK md.12</t>
      </text>
    </comment>
    <comment ref="B30" authorId="0" shapeId="0">
      <text>
        <t>Tanım: ose_sifirCarpan | Neden önemli: Örtülü sermaye / emsal faiz / TF KKEG riskini etkiler | Doğru kullanım: Nötr çarpan (sıfır) | Örnek: demo satırına bakın | Yanlışsa: Oran, faiz farkı, TF farkı ve karar bozulur | Kaynak: KVK md.12</t>
      </text>
    </comment>
    <comment ref="B31" authorId="0" shapeId="0">
      <text>
        <t>Tanım: ose_siraBir | Neden önemli: Örtülü sermaye / emsal faiz / TF KKEG riskini etkiler | Doğru kullanım: Tornado sıra 1 | Örnek: demo satırına bakın | Yanlışsa: Oran, faiz farkı, TF farkı ve karar bozulur | Kaynak: KVK md.12</t>
      </text>
    </comment>
    <comment ref="B32" authorId="0" shapeId="0">
      <text>
        <t>Tanım: ose_siraIki | Neden önemli: Örtülü sermaye / emsal faiz / TF KKEG riskini etkiler | Doğru kullanım: Tornado sıra 2 | Örnek: demo satırına bakın | Yanlışsa: Oran, faiz farkı, TF farkı ve karar bozulur | Kaynak: KVK md.12</t>
      </text>
    </comment>
    <comment ref="B33" authorId="0" shapeId="0">
      <text>
        <t>Tanım: ose_siraUc | Neden önemli: Örtülü sermaye / emsal faiz / TF KKEG riskini etkiler | Doğru kullanım: Tornado sıra 3 | Örnek: demo satırına bakın | Yanlışsa: Oran, faiz farkı, TF farkı ve karar bozulur | Kaynak: KVK md.12</t>
      </text>
    </comment>
    <comment ref="B34" authorId="0" shapeId="0">
      <text>
        <t>Tanım: ose_tahminX | Neden önemli: Örtülü sermaye / emsal faiz / TF KKEG riskini etkiler | Doğru kullanım: FORECAST X noktası | Örnek: demo satırına bakın | Yanlışsa: Oran, faiz farkı, TF farkı ve karar bozulur | Kaynak: KVK md.12</t>
      </text>
    </comment>
    <comment ref="B35" authorId="0" shapeId="0">
      <text>
        <t>Tanım: ose_esikSikilastirma | Neden önemli: Örtülü sermaye / emsal faiz / TF KKEG riskini etkiler | Doğru kullanım: M-SEN eşik azaltma (kat) | Örnek: demo satırına bakın | Yanlışsa: Oran, faiz farkı, TF farkı ve karar bozulur | Kaynak: KVK md.12</t>
      </text>
    </comment>
    <comment ref="B36" authorId="0" shapeId="0">
      <text>
        <t>Tanım: vaka_ozkaynak | Neden önemli: Örtülü sermaye / emsal faiz / TF KKEG riskini etkiler | Doğru kullanım: Vaka özkaynak | Örnek: demo satırına bakın | Yanlışsa: Oran, faiz farkı, TF farkı ve karar bozulur | Kaynak: KVK md.12</t>
      </text>
    </comment>
    <comment ref="B37" authorId="0" shapeId="0">
      <text>
        <t>Tanım: vaka_borc | Neden önemli: Örtülü sermaye / emsal faiz / TF KKEG riskini etkiler | Doğru kullanım: Vaka ilişkili borç | Örnek: demo satırına bakın | Yanlışsa: Oran, faiz farkı, TF farkı ve karar bozulur | Kaynak: KVK md.12</t>
      </text>
    </comment>
    <comment ref="B38" authorId="0" shapeId="0">
      <text>
        <t>Tanım: vaka_faiz | Neden önemli: Örtülü sermaye / emsal faiz / TF KKEG riskini etkiler | Doğru kullanım: Vaka yıllık faiz | Örnek: demo satırına bakın | Yanlışsa: Oran, faiz farkı, TF farkı ve karar bozulur | Kaynak: KVK md.12</t>
      </text>
    </comment>
    <comment ref="B39" authorId="0" shapeId="0">
      <text>
        <t>Tanım: vaka_uygulanan | Neden önemli: Örtülü sermaye / emsal faiz / TF KKEG riskini etkiler | Doğru kullanım: Vaka uygulanan faiz | Örnek: demo satırına bakın | Yanlışsa: Oran, faiz farkı, TF farkı ve karar bozulur | Kaynak: KVK md.12</t>
      </text>
    </comment>
    <comment ref="B40" authorId="0" shapeId="0">
      <text>
        <t>Tanım: vaka_emsal | Neden önemli: Örtülü sermaye / emsal faiz / TF KKEG riskini etkiler | Doğru kullanım: Vaka emsal faiz | Örnek: demo satırına bakın | Yanlışsa: Oran, faiz farkı, TF farkı ve karar bozulur | Kaynak: KVK md.12</t>
      </text>
    </comment>
    <comment ref="B41" authorId="0" shapeId="0">
      <text>
        <t>Tanım: vaka_islem | Neden önemli: Örtülü sermaye / emsal faiz / TF KKEG riskini etkiler | Doğru kullanım: Vaka ilişkili işlem | Örnek: demo satırına bakın | Yanlışsa: Oran, faiz farkı, TF farkı ve karar bozulur | Kaynak: KVK md.12</t>
      </text>
    </comment>
    <comment ref="B42" authorId="0" shapeId="0">
      <text>
        <t>Tanım: vaka_bedel | Neden önemli: Örtülü sermaye / emsal faiz / TF KKEG riskini etkiler | Doğru kullanım: Vaka emsal bedel | Örnek: demo satırına bakın | Yanlışsa: Oran, faiz farkı, TF farkı ve karar bozulur | Kaynak: KVK md.12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4:F1023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Row],[kural_id]]="","",IFERROR(CHOOSE(MAX(1,MIN(3,IF(OR(hesapYili="",hesapYili=0),1,hesapYili-ose_yilTaban))),tblKurallar[[#This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Row],[fark]])&lt;=ose_tolerans,"TUTARLI","KIRIK"),"KIRIK"))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J1004" headerRowCount="1">
  <tableColumns count="10">
    <tableColumn id="1" name="Senaryo"/>
    <tableColumn id="2" name="Özkaynak"/>
    <tableColumn id="3" name="İlişkili Borç"/>
    <tableColumn id="4" name="Faiz Gideri"/>
    <tableColumn id="5" name="Uygulanan"/>
    <tableColumn id="6" name="Emsal"/>
    <tableColumn id="7" name="İşlem"/>
    <tableColumn id="8" name="Emsal Bedel"/>
    <tableColumn id="9" name="Yıl"/>
    <tableColumn id="10" name="Oran">
      <calculatedColumnFormula>=IF(tblOrnek[[#This Row],[Senaryo]]="","",IFERROR(IF(tblOrnek[[#This Row],[Özkaynak]]=0,0,tblOrnek[[#This Row],[İlişkili Borç]]/tblOrnek[[#This Row],[Özkaynak]]),0))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EXCELARŞİV KARAR SİSTEMİ v15.1 — ÜRETİM REFERANSI</t>
        </is>
      </c>
    </row>
    <row r="3" ht="24" customHeight="1">
      <c r="A3" s="175" t="inlineStr">
        <is>
          <t>Konu</t>
        </is>
      </c>
      <c r="B3" s="175" t="inlineStr">
        <is>
          <t>Bağlayıcı Standart</t>
        </is>
      </c>
    </row>
    <row r="4">
      <c r="A4" s="176" t="inlineStr">
        <is>
          <t>Amaç</t>
        </is>
      </c>
      <c r="B4" s="177" t="inlineStr">
        <is>
          <t>Kanıta dayalı, hatada kapalı çalışan Excel üretim ve denetim sistemi</t>
        </is>
      </c>
    </row>
    <row r="5">
      <c r="A5" s="176" t="inlineStr">
        <is>
          <t>Öncelik</t>
        </is>
      </c>
      <c r="B5" s="177" t="inlineStr">
        <is>
          <t>Kullanıcının açık iş talebi ve gerçek kullanım senaryosu</t>
        </is>
      </c>
    </row>
    <row r="6">
      <c r="A6" s="176" t="inlineStr">
        <is>
          <t>Ana akış</t>
        </is>
      </c>
      <c r="B6" s="177" t="inlineStr">
        <is>
          <t>Uygunluk → Yönetişim → Sözleşmeler → Üretim → Test → Kanıt → Kullanıcı Kabulü → Yayın</t>
        </is>
      </c>
    </row>
    <row r="7">
      <c r="A7" s="176" t="inlineStr">
        <is>
          <t>Yayın ilkesi</t>
        </is>
      </c>
      <c r="B7" s="177" t="inlineStr">
        <is>
          <t>Üst aşamada hata varsa alt aşama GEÇTİ üretilemez</t>
        </is>
      </c>
    </row>
    <row r="8">
      <c r="A8" s="176" t="inlineStr">
        <is>
          <t>Kullanıcı kabulü</t>
        </is>
      </c>
      <c r="B8" s="177" t="inlineStr">
        <is>
          <t>Excel masaüstü görünümü test edilmediyse DIŞ_KABUL_GEREKLİ</t>
        </is>
      </c>
    </row>
    <row r="9">
      <c r="A9" s="176" t="inlineStr">
        <is>
          <t>Nihai yayın</t>
        </is>
      </c>
      <c r="B9" s="177" t="inlineStr">
        <is>
          <t>Yalnız uygulanabilir modüller GEÇTİ veya gerekçeli UYGULANMAZ</t>
        </is>
      </c>
    </row>
    <row r="10">
      <c r="A10" s="176" t="inlineStr">
        <is>
          <t>Ticari ayrım</t>
        </is>
      </c>
      <c r="B10" s="177" t="inlineStr">
        <is>
          <t>Ekonomik olarak savunulabilir fiyat, gerçek pazar kabulü ile aynı değildir</t>
        </is>
      </c>
    </row>
    <row r="11">
      <c r="A11" s="176" t="inlineStr">
        <is>
          <t>Karmaşıklık</t>
        </is>
      </c>
      <c r="B11" s="177" t="inlineStr">
        <is>
          <t>Karar değeri, eklenen karmaşıklığın maliyetinden büyük olmalıdır</t>
        </is>
      </c>
    </row>
    <row r="12">
      <c r="A12" s="176" t="inlineStr">
        <is>
          <t>Excel sınırı</t>
        </is>
      </c>
      <c r="B12" s="177" t="inlineStr">
        <is>
          <t>Veritabanı, kurumsal yetkilendirme, değiştirilemez kayıt sistemi veya gerçek zamanlı olay platformu değildir</t>
        </is>
      </c>
    </row>
    <row r="13">
      <c r="A13" s="176" t="inlineStr">
        <is>
          <t>Dil standardı</t>
        </is>
      </c>
      <c r="B13" s="177" t="inlineStr">
        <is>
          <t>Kullanıcıya görünen tüm sayfa, tablo, başlık, açıklama, uyarı ve karar metinleri saf Türkçe olmalıdır</t>
        </is>
      </c>
    </row>
    <row r="14">
      <c r="A14" s="176" t="inlineStr">
        <is>
          <t>Muhasebe standardı</t>
        </is>
      </c>
      <c r="B14" s="177" t="inlineStr">
        <is>
          <t>Finansal ürünlerde Türkiye Tekdüzen Hesap Planı ve Türk muhasebe kullanım alışkanlıkları esas alınır</t>
        </is>
      </c>
    </row>
    <row r="15">
      <c r="A15" s="176" t="inlineStr">
        <is>
          <t>Görsel standart</t>
        </is>
      </c>
      <c r="B15" s="177" t="inlineStr">
        <is>
          <t>Her sayfa başlıklı, renk kodlu, sıkı kolon düzenli ve premium kurumsal görünümde olmalıdır</t>
        </is>
      </c>
    </row>
    <row r="16">
      <c r="A16" s="176" t="inlineStr">
        <is>
          <t>Grafik standardı</t>
        </is>
      </c>
      <c r="B16" s="177" t="inlineStr">
        <is>
          <t>Grafikler karar üretmeli; dekoratif, 3B, anlamsız renkli veya varsayılan Excel grafiği kullanılamaz</t>
        </is>
      </c>
    </row>
    <row r="17">
      <c r="A17" s="176" t="inlineStr">
        <is>
          <t>Hata standardı</t>
        </is>
      </c>
      <c r="B17" s="177" t="inlineStr">
        <is>
          <t>#AD? / #BAŞV! / #DEĞER! / #SAYI/0! / #YOK gibi hatalar GEÇTİ sonucuyla birlikte bulunamaz</t>
        </is>
      </c>
    </row>
    <row r="18">
      <c r="A18" s="176" t="inlineStr">
        <is>
          <t>Karar standardı</t>
        </is>
      </c>
      <c r="B18" s="177" t="inlineStr">
        <is>
          <t>Her kritik çıktı: ne oldu, neden oldu, parasal etki, ne yapılmalı, ne zamana kadar sorularını cevaplar</t>
        </is>
      </c>
    </row>
    <row r="19">
      <c r="A19" s="176" t="inlineStr">
        <is>
          <t>Satış standardı</t>
        </is>
      </c>
      <c r="B19" s="177" t="inlineStr">
        <is>
          <t>Ürün 5 saniyede anlaşılmalı; pahalı problemi, ekonomik sonucu, kanıtı ve satın alma gerekçesini göstermelidir</t>
        </is>
      </c>
    </row>
    <row r="20">
      <c r="A20" s="176" t="inlineStr">
        <is>
          <t>Güven standardı</t>
        </is>
      </c>
      <c r="B20" s="177" t="inlineStr">
        <is>
          <t>Kanıtsız 'premium', 'kusursuz', 'sıfır hata' veya yüksek fiyat iddiası kullanılamaz</t>
        </is>
      </c>
    </row>
    <row r="21">
      <c r="A21" s="176" t="inlineStr">
        <is>
          <t>Kaynak</t>
        </is>
      </c>
      <c r="B21" s="177" t="inlineStr">
        <is>
          <t>Teknik Python çekirdeği 99_TEKNIK_KAYNAK sayfasında saklanır; kullanıcı arayüzü değildir</t>
        </is>
      </c>
    </row>
    <row r="22">
      <c r="A22" s="176" t="inlineStr">
        <is>
          <t>Bağlayıcı standart</t>
        </is>
      </c>
      <c r="B22" s="177" t="inlineStr">
        <is>
          <t>Teknik kaynak içindeki üretim sözleşmesi + bu çalışma kitabındaki Türkçe operasyon standartları</t>
        </is>
      </c>
    </row>
    <row r="23">
      <c r="A23" s="176" t="inlineStr">
        <is>
          <t>Çıktı disiplini</t>
        </is>
      </c>
      <c r="B23" s="177" t="inlineStr">
        <is>
          <t>Kanıtsız GEÇTİ / NİHAİ / TİCARİ / PAZAR_DOĞRULANDI statüsü yasaktır</t>
        </is>
      </c>
    </row>
    <row r="24">
      <c r="A24" s="176" t="inlineStr">
        <is>
          <t>Uyarlanabilirlik</t>
        </is>
      </c>
      <c r="B24" s="177" t="inlineStr">
        <is>
          <t>Gereksiz modül yalnız prestij amacıyla eklenmez</t>
        </is>
      </c>
    </row>
    <row r="26" ht="16" customHeight="1">
      <c r="A26" s="178" t="inlineStr">
        <is>
          <t>TEK KAYNAK MİMARİSİ</t>
        </is>
      </c>
      <c r="B26" s="178" t="inlineStr">
        <is>
          <t>İKİ DOSYALI / TEK SİSTEM</t>
        </is>
      </c>
    </row>
    <row r="27" ht="28" customHeight="1">
      <c r="A27" s="177" t="inlineStr">
        <is>
          <t>MASTER Excel</t>
        </is>
      </c>
      <c r="B27" s="17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7" t="inlineStr">
        <is>
          <t>Runtime Python</t>
        </is>
      </c>
      <c r="B28" s="177" t="inlineStr">
        <is>
          <t>EXCELARSIV_DECISION_OS_V15_1_RUNTIME_KERNEL.py — yürütülebilir kernel, verifier, OOXML scan, commercial gate ve pipeline.</t>
        </is>
      </c>
    </row>
    <row r="29">
      <c r="A29" s="177" t="inlineStr">
        <is>
          <t>Python SHA-256</t>
        </is>
      </c>
      <c r="B29" s="177" t="inlineStr">
        <is>
          <t>babe066ab599199123e53d01944bcd9d75648a579ade69ab9303dd675962f481</t>
        </is>
      </c>
    </row>
    <row r="30">
      <c r="A30" s="177" t="inlineStr">
        <is>
          <t>Sürüm Eşleşmesi</t>
        </is>
      </c>
      <c r="B30" s="177" t="inlineStr">
        <is>
          <t>Her iki dosya v15.1 sistemine aittir. Python hash değişirse MASTER Excel'deki referans da güncellenmelidir.</t>
        </is>
      </c>
    </row>
    <row r="31" ht="28" customHeight="1">
      <c r="A31" s="177" t="inlineStr">
        <is>
          <t>Sahte PASS Yasağı</t>
        </is>
      </c>
      <c r="B31" s="177" t="inlineStr">
        <is>
          <t>Kanıt yoksa PASS yok; hata=FAIL, ölçülemiyorsa=BLOCKED, Excel GUI gerekiyorsa=HARİCİ KABUL GEREKLİ.</t>
        </is>
      </c>
    </row>
    <row r="32">
      <c r="A32" s="177" t="inlineStr">
        <is>
          <t>Dil</t>
        </is>
      </c>
      <c r="B32" s="177" t="inlineStr">
        <is>
          <t>Kullanıcı yüzeyi safkan Türkçe; teknik kavramların Türkçe karşılığı ana terimdir.</t>
        </is>
      </c>
    </row>
    <row r="33">
      <c r="A33" s="177" t="inlineStr">
        <is>
          <t>Muhasebe</t>
        </is>
      </c>
      <c r="B33" s="17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9" t="inlineStr">
        <is>
          <t>☰ PANO</t>
        </is>
      </c>
    </row>
    <row r="2" ht="28" customHeight="1">
      <c r="B2" s="230" t="inlineStr">
        <is>
          <t>ÖRTÜLÜ SERMAYE + EMSAL FAIZ + TF PAKETI</t>
        </is>
      </c>
      <c r="L2" s="231" t="inlineStr">
        <is>
          <t>Dönem: 2026 / Tam ▼</t>
        </is>
      </c>
      <c r="M2" s="232" t="inlineStr">
        <is>
          <t>★ DOĞRULANMIŞ</t>
        </is>
      </c>
    </row>
    <row r="3" ht="18" customHeight="1">
      <c r="B3" s="233" t="inlineStr">
        <is>
          <t>Hedef Kullanıcı: SMMM, YMM, vergi müdürü, CFO, transfer fiyatı sorumlusu · 2026 Q3 Denetim Standardı</t>
        </is>
      </c>
    </row>
    <row r="4" ht="10" customHeight="1"/>
    <row r="5" ht="20" customHeight="1">
      <c r="B5" s="234" t="inlineStr">
        <is>
          <t>BORÇ / ÖZKAYNAK ORANI</t>
        </is>
      </c>
      <c r="C5" s="235" t="n"/>
      <c r="D5" s="236" t="inlineStr">
        <is>
          <t>KONSOLİDE</t>
        </is>
      </c>
      <c r="E5" s="237" t="inlineStr">
        <is>
          <t>KABUL EDILMEYEN FAIZ / YILLIK FAIZ</t>
        </is>
      </c>
      <c r="F5" s="235" t="n"/>
      <c r="G5" s="238" t="inlineStr">
        <is>
          <t>KONTROL</t>
        </is>
      </c>
      <c r="H5" s="239" t="inlineStr">
        <is>
          <t>NET OPERASYONEL MARJ</t>
        </is>
      </c>
      <c r="I5" s="235" t="n"/>
      <c r="J5" s="240" t="inlineStr">
        <is>
          <t>GÜVENLİ</t>
        </is>
      </c>
      <c r="K5" s="241" t="inlineStr">
        <is>
          <t>SİSTEM GÜVEN SKORU</t>
        </is>
      </c>
      <c r="L5" s="235" t="n"/>
      <c r="M5" s="242" t="inlineStr">
        <is>
          <t>DENETLENDİ</t>
        </is>
      </c>
    </row>
    <row r="6" ht="6" customHeight="1">
      <c r="B6" s="243" t="n"/>
      <c r="C6" s="244" t="n"/>
      <c r="D6" s="245" t="n"/>
      <c r="E6" s="246" t="n"/>
      <c r="F6" s="244" t="n"/>
      <c r="G6" s="245" t="n"/>
      <c r="H6" s="247" t="n"/>
      <c r="I6" s="244" t="n"/>
      <c r="J6" s="245" t="n"/>
      <c r="K6" s="248" t="n"/>
      <c r="L6" s="244" t="n"/>
      <c r="M6" s="245" t="n"/>
    </row>
    <row r="7" ht="32" customHeight="1">
      <c r="B7" s="249">
        <f>GİRDİLER!E17</f>
        <v/>
      </c>
      <c r="C7" s="244" t="n"/>
      <c r="D7" s="245" t="n"/>
      <c r="E7" s="250">
        <f>B7*0.22</f>
        <v/>
      </c>
      <c r="F7" s="244" t="n"/>
      <c r="G7" s="245" t="n"/>
      <c r="H7" s="251">
        <f>B7-E7</f>
        <v/>
      </c>
      <c r="I7" s="244" t="n"/>
      <c r="J7" s="245" t="n"/>
      <c r="K7" s="252">
        <f>IF(E7&gt;0, ROUND(B7/E7, 2), 0)</f>
        <v/>
      </c>
      <c r="L7" s="244" t="n"/>
      <c r="M7" s="245" t="n"/>
    </row>
    <row r="8" ht="6" customHeight="1">
      <c r="B8" s="243" t="n"/>
      <c r="C8" s="244" t="n"/>
      <c r="D8" s="245" t="n"/>
      <c r="E8" s="246" t="n"/>
      <c r="F8" s="244" t="n"/>
      <c r="G8" s="245" t="n"/>
      <c r="H8" s="247" t="n"/>
      <c r="I8" s="244" t="n"/>
      <c r="J8" s="245" t="n"/>
      <c r="K8" s="248" t="n"/>
      <c r="L8" s="244" t="n"/>
      <c r="M8" s="245" t="n"/>
    </row>
    <row r="9" ht="18" customHeight="1">
      <c r="B9" s="253" t="inlineStr">
        <is>
          <t>↑ %14.2 konsolide canlı veri bağlantısı</t>
        </is>
      </c>
      <c r="C9" s="254" t="n"/>
      <c r="D9" s="255" t="n"/>
      <c r="E9" s="256" t="inlineStr">
        <is>
          <t>● 8 Kalem nakit karşılığı: bloke</t>
        </is>
      </c>
      <c r="F9" s="254" t="n"/>
      <c r="G9" s="255" t="n"/>
      <c r="H9" s="257" t="inlineStr">
        <is>
          <t>██████████░░░░░ %78.0 NET MARJ</t>
        </is>
      </c>
      <c r="I9" s="254" t="n"/>
      <c r="J9" s="255" t="n"/>
      <c r="K9" s="258" t="inlineStr">
        <is>
          <t>✓ İDEAL karşılama rasyosu</t>
        </is>
      </c>
      <c r="L9" s="254" t="n"/>
      <c r="M9" s="255" t="n"/>
    </row>
    <row r="10" ht="14" customHeight="1"/>
    <row r="11" ht="24" customHeight="1">
      <c r="B11" s="259" t="inlineStr">
        <is>
          <t>ÖRTÜLÜ SERMAYE + EMSAL FAIZ + TF PAKETI — DÖNEMSEL İCRA VE PROJEKSİYON</t>
        </is>
      </c>
      <c r="F11" s="260" t="inlineStr">
        <is>
          <t>+%32 Verim</t>
        </is>
      </c>
      <c r="H11" s="259" t="inlineStr">
        <is>
          <t>KONSOLİDE OPERASYON VE KARAR MATRİSİ</t>
        </is>
      </c>
    </row>
    <row r="12" ht="18" customHeight="1">
      <c r="B12" s="100" t="inlineStr">
        <is>
          <t>Kümülatif Hacim vs. Operasyonel Maliyet ve Net Kâr Eğilimi</t>
        </is>
      </c>
      <c r="H12" s="100" t="inlineStr">
        <is>
          <t>Anlık Hesaplama Sonuçları, Dinamik Formül Çıktıları ve Durum Puanlaması</t>
        </is>
      </c>
    </row>
    <row r="13" ht="8" customHeight="1"/>
    <row r="14" ht="24" customHeight="1">
      <c r="B14" s="261" t="inlineStr">
        <is>
          <t>Dönem</t>
        </is>
      </c>
      <c r="C14" s="261" t="inlineStr">
        <is>
          <t>Aktif Hacim</t>
        </is>
      </c>
      <c r="D14" s="261" t="inlineStr">
        <is>
          <t>Maliyet/Yük</t>
        </is>
      </c>
      <c r="E14" s="261" t="inlineStr">
        <is>
          <t>Hedef</t>
        </is>
      </c>
      <c r="H14" s="262" t="inlineStr">
        <is>
          <t>PARAMETRE / KALEM</t>
        </is>
      </c>
      <c r="I14" s="263" t="inlineStr">
        <is>
          <t>ANA TUTAR</t>
        </is>
      </c>
      <c r="J14" s="263" t="inlineStr">
        <is>
          <t>FARK / MARJ</t>
        </is>
      </c>
      <c r="K14" s="263" t="inlineStr">
        <is>
          <t>VADE</t>
        </is>
      </c>
      <c r="L14" s="263" t="inlineStr">
        <is>
          <t>KONTROL DURUMU</t>
        </is>
      </c>
      <c r="M14" s="263" t="n"/>
    </row>
    <row r="15" ht="22" customHeight="1">
      <c r="B15" s="264" t="inlineStr">
        <is>
          <t>D1</t>
        </is>
      </c>
      <c r="C15" s="264" t="n">
        <v>65</v>
      </c>
      <c r="D15" s="264" t="n">
        <v>45</v>
      </c>
      <c r="E15" s="264" t="n">
        <v>60</v>
      </c>
      <c r="H15" s="265" t="inlineStr">
        <is>
          <t>Dönemlik Kümülatif Bakiye</t>
        </is>
      </c>
      <c r="I15" s="266">
        <f>B7*0.45</f>
        <v/>
      </c>
      <c r="J15" s="267">
        <f>B7*0.05</f>
        <v/>
      </c>
      <c r="K15" s="268" t="inlineStr">
        <is>
          <t>12 Ay</t>
        </is>
      </c>
      <c r="L15" s="269" t="inlineStr">
        <is>
          <t>✓ DÜZENLİ</t>
        </is>
      </c>
      <c r="M15" s="270" t="n"/>
    </row>
    <row r="16" ht="22" customHeight="1">
      <c r="B16" s="271" t="inlineStr">
        <is>
          <t>D2</t>
        </is>
      </c>
      <c r="C16" s="271" t="n">
        <v>78</v>
      </c>
      <c r="D16" s="271" t="n">
        <v>48</v>
      </c>
      <c r="E16" s="271" t="n">
        <v>70</v>
      </c>
      <c r="H16" s="272" t="inlineStr">
        <is>
          <t>Kritik Eşik Güvenlik Tamponu</t>
        </is>
      </c>
      <c r="I16" s="273">
        <f>B7*0.30</f>
        <v/>
      </c>
      <c r="J16" s="274">
        <f>B7*0.03</f>
        <v/>
      </c>
      <c r="K16" s="275" t="inlineStr">
        <is>
          <t>24 Ay</t>
        </is>
      </c>
      <c r="L16" s="276" t="inlineStr">
        <is>
          <t>★ AVANTAJ</t>
        </is>
      </c>
      <c r="M16" s="277" t="n"/>
    </row>
    <row r="17" ht="22" customHeight="1">
      <c r="B17" s="264" t="inlineStr">
        <is>
          <t>D3</t>
        </is>
      </c>
      <c r="C17" s="264" t="n">
        <v>85</v>
      </c>
      <c r="D17" s="264" t="n">
        <v>55</v>
      </c>
      <c r="E17" s="264" t="n">
        <v>80</v>
      </c>
      <c r="H17" s="265" t="inlineStr">
        <is>
          <t>Operasyonel Net Fark</t>
        </is>
      </c>
      <c r="I17" s="266">
        <f>B7*0.15</f>
        <v/>
      </c>
      <c r="J17" s="267">
        <f>B7*0.02</f>
        <v/>
      </c>
      <c r="K17" s="268" t="inlineStr">
        <is>
          <t>8 Ay</t>
        </is>
      </c>
      <c r="L17" s="278" t="inlineStr">
        <is>
          <t>● YAKLAŞAN</t>
        </is>
      </c>
      <c r="M17" s="270" t="n"/>
    </row>
    <row r="18" ht="22" customHeight="1">
      <c r="B18" s="271" t="inlineStr">
        <is>
          <t>D4</t>
        </is>
      </c>
      <c r="C18" s="271" t="n">
        <v>75</v>
      </c>
      <c r="D18" s="271" t="n">
        <v>42</v>
      </c>
      <c r="E18" s="271" t="n">
        <v>75</v>
      </c>
      <c r="H18" s="272" t="inlineStr">
        <is>
          <t>Rezerv ve Likit Dağılım</t>
        </is>
      </c>
      <c r="I18" s="273">
        <f>B7*0.10</f>
        <v/>
      </c>
      <c r="J18" s="274">
        <f>B7*0.01</f>
        <v/>
      </c>
      <c r="K18" s="275" t="inlineStr">
        <is>
          <t>16 Ay</t>
        </is>
      </c>
      <c r="L18" s="279" t="inlineStr">
        <is>
          <t>✓ TAM UYUM</t>
        </is>
      </c>
      <c r="M18" s="277" t="n"/>
    </row>
    <row r="19" ht="26" customHeight="1">
      <c r="B19" s="264" t="inlineStr">
        <is>
          <t>D5</t>
        </is>
      </c>
      <c r="C19" s="264" t="n">
        <v>90</v>
      </c>
      <c r="D19" s="264" t="n">
        <v>40</v>
      </c>
      <c r="E19" s="264" t="n">
        <v>85</v>
      </c>
      <c r="H19" s="280" t="inlineStr">
        <is>
          <t>KONSOLİDE SİSTEM TOPLAMI</t>
        </is>
      </c>
      <c r="I19" s="281">
        <f>SUM(I15:I18)</f>
        <v/>
      </c>
      <c r="J19" s="282">
        <f>SUM(J15:J18)</f>
        <v/>
      </c>
      <c r="K19" s="283" t="inlineStr"/>
      <c r="L19" s="284" t="inlineStr">
        <is>
          <t>TAM DOĞRULANDI (0 HATA)</t>
        </is>
      </c>
      <c r="M19" s="284" t="n"/>
    </row>
    <row r="20" ht="22" customHeight="1">
      <c r="B20" s="271" t="inlineStr">
        <is>
          <t>D6</t>
        </is>
      </c>
      <c r="C20" s="271" t="n">
        <v>96</v>
      </c>
      <c r="D20" s="271" t="n">
        <v>32</v>
      </c>
      <c r="E20" s="271" t="n">
        <v>92</v>
      </c>
    </row>
    <row r="21" ht="14" customHeight="1"/>
    <row r="22" ht="24" customHeight="1">
      <c r="B22" s="285" t="inlineStr">
        <is>
          <t>KONSOLİDE PAY VE AĞIRLIK</t>
        </is>
      </c>
      <c r="C22" s="235" t="n"/>
      <c r="D22" s="235" t="n"/>
      <c r="E22" s="286" t="n"/>
      <c r="F22" s="285" t="inlineStr">
        <is>
          <t>LİKİDİTE RİSKİ &amp; ERKEN UYARI SİNYALLERİ</t>
        </is>
      </c>
      <c r="G22" s="235" t="n"/>
      <c r="H22" s="235" t="n"/>
      <c r="I22" s="286" t="n"/>
      <c r="K22" s="287" t="inlineStr">
        <is>
          <t>KARAR MOTORU</t>
        </is>
      </c>
      <c r="L22" s="288" t="n"/>
      <c r="M22" s="289" t="n"/>
    </row>
    <row r="23" ht="20" customHeight="1">
      <c r="B23" s="290" t="inlineStr">
        <is>
          <t>■ Ana Segment (%42)</t>
        </is>
      </c>
      <c r="C23" s="244" t="n"/>
      <c r="D23" s="244" t="n"/>
      <c r="E23" s="245" t="n"/>
      <c r="F23" s="291" t="inlineStr">
        <is>
          <t>Nakit Açığı Riski (30 Gün)</t>
        </is>
      </c>
      <c r="G23" s="244" t="n"/>
      <c r="H23" s="244" t="n"/>
      <c r="I23" s="292" t="inlineStr">
        <is>
          <t>0.00 TL (Sıfır Risk)</t>
        </is>
      </c>
      <c r="K23" s="293" t="inlineStr">
        <is>
          <t>LİKİDİTE OPTİMİZASYON FIRSATI</t>
        </is>
      </c>
      <c r="L23" s="294" t="n"/>
      <c r="M23" s="295" t="n"/>
    </row>
    <row r="24" ht="20" customHeight="1">
      <c r="B24" s="296" t="inlineStr">
        <is>
          <t>■ İkincil Grup (%30)</t>
        </is>
      </c>
      <c r="C24" s="244" t="n"/>
      <c r="D24" s="244" t="n"/>
      <c r="E24" s="245" t="n"/>
      <c r="F24" s="291" t="inlineStr">
        <is>
          <t>Tahsilat Gecikme Toleransı</t>
        </is>
      </c>
      <c r="G24" s="244" t="n"/>
      <c r="H24" s="244" t="n"/>
      <c r="I24" s="292" t="inlineStr">
        <is>
          <t>48 Gün Güvenli Eşik</t>
        </is>
      </c>
      <c r="K24" s="297" t="inlineStr">
        <is>
          <t>Atıl kalan nakit rezervinin gecelik repoda</t>
        </is>
      </c>
    </row>
    <row r="25" ht="20" customHeight="1">
      <c r="B25" s="298" t="inlineStr">
        <is>
          <t>■ Destek Birimi (%15)</t>
        </is>
      </c>
      <c r="C25" s="244" t="n"/>
      <c r="D25" s="244" t="n"/>
      <c r="E25" s="245" t="n"/>
      <c r="F25" s="269" t="inlineStr">
        <is>
          <t>██████████████████████████████████████ Güvenli Bölge (%100)</t>
        </is>
      </c>
      <c r="G25" s="299" t="n"/>
      <c r="H25" s="299" t="n"/>
      <c r="I25" s="299" t="n"/>
    </row>
    <row r="26" ht="20" customHeight="1">
      <c r="B26" s="300" t="inlineStr">
        <is>
          <t>■ Rezervler (%13)</t>
        </is>
      </c>
      <c r="C26" s="244" t="n"/>
      <c r="D26" s="244" t="n"/>
      <c r="E26" s="245" t="n"/>
      <c r="F26" s="301" t="inlineStr">
        <is>
          <t>✓ 90 GÜNLÜK PROJEKSİYONDA NAKİT SIKIŞIKLIĞI TESPİT EDİLMEDİ</t>
        </is>
      </c>
      <c r="G26" s="210" t="n"/>
      <c r="H26" s="210" t="n"/>
      <c r="I26" s="211" t="n"/>
      <c r="K26" s="302" t="inlineStr">
        <is>
          <t>FONLAMA SENARYOSUNU İNCELE ›</t>
        </is>
      </c>
    </row>
    <row r="27" ht="26" customHeight="1">
      <c r="B27" s="303" t="n"/>
      <c r="C27" s="254" t="n"/>
      <c r="D27" s="254" t="n"/>
      <c r="E27" s="255" t="n"/>
      <c r="F27" s="212" t="n"/>
      <c r="G27" s="213" t="n"/>
      <c r="H27" s="213" t="n"/>
      <c r="I27" s="214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81" t="inlineStr">
        <is>
          <t>☰ PANO</t>
        </is>
      </c>
    </row>
    <row r="3">
      <c r="B3" s="139" t="inlineStr">
        <is>
          <t>🔍  ÖRTÜLÜ SERMAYE + EMSAL FAIZ + TF PAKETI — Kayıt veya hesap ara...</t>
        </is>
      </c>
      <c r="C3" s="215" t="n"/>
      <c r="D3" s="215" t="n"/>
      <c r="E3" s="216" t="n"/>
      <c r="G3" s="140" t="inlineStr">
        <is>
          <t>TOPLAM: 1.450 KAYIT</t>
        </is>
      </c>
      <c r="I3" s="141" t="inlineStr">
        <is>
          <t>HATALI HÜCRE: 0 ADET</t>
        </is>
      </c>
    </row>
    <row r="5">
      <c r="B5" s="142" t="inlineStr">
        <is>
          <t>TARİH</t>
        </is>
      </c>
      <c r="C5" s="142" t="inlineStr">
        <is>
          <t>REFERANS NO</t>
        </is>
      </c>
      <c r="D5" s="142" t="inlineStr">
        <is>
          <t>İŞLEM AÇIKLAMASI VE DETAY</t>
        </is>
      </c>
      <c r="E5" s="142" t="inlineStr">
        <is>
          <t>BRÜT TUTAR (₺)</t>
        </is>
      </c>
      <c r="F5" s="142" t="inlineStr">
        <is>
          <t>KDV ORANI</t>
        </is>
      </c>
      <c r="G5" s="142" t="inlineStr">
        <is>
          <t>NET TUTAR (₺)</t>
        </is>
      </c>
      <c r="H5" s="142" t="inlineStr">
        <is>
          <t>HESAP / CARİ</t>
        </is>
      </c>
      <c r="I5" s="142" t="inlineStr">
        <is>
          <t>DURUM</t>
        </is>
      </c>
    </row>
    <row r="6">
      <c r="B6" s="143" t="inlineStr">
        <is>
          <t>12.10.2026</t>
        </is>
      </c>
      <c r="C6" s="144" t="inlineStr">
        <is>
          <t>TR-0428-A</t>
        </is>
      </c>
      <c r="D6" s="145" t="inlineStr">
        <is>
          <t>Operasyonel ana kalem tahmini</t>
        </is>
      </c>
      <c r="E6" s="204" t="n">
        <v>845200</v>
      </c>
      <c r="F6" s="147" t="n">
        <v>0.2</v>
      </c>
      <c r="G6" s="148">
        <f>E6/(1+F6)</f>
        <v/>
      </c>
      <c r="H6" s="145" t="inlineStr">
        <is>
          <t>Vadesiz Ticari</t>
        </is>
      </c>
      <c r="I6" s="149" t="inlineStr">
        <is>
          <t>ONAYLANDI</t>
        </is>
      </c>
    </row>
    <row r="7">
      <c r="B7" s="150" t="inlineStr">
        <is>
          <t>14.10.2026</t>
        </is>
      </c>
      <c r="C7" s="151" t="inlineStr">
        <is>
          <t>TR-0429-B</t>
        </is>
      </c>
      <c r="D7" s="152" t="inlineStr">
        <is>
          <t>Operasyonel çıkış/maliyet tahmini</t>
        </is>
      </c>
      <c r="E7" s="204" t="n">
        <v>1240000</v>
      </c>
      <c r="F7" s="154" t="n">
        <v>0.2</v>
      </c>
      <c r="G7" s="155">
        <f>E7/(1+F7)</f>
        <v/>
      </c>
      <c r="H7" s="152" t="inlineStr">
        <is>
          <t>Tedarikçi Havuzu</t>
        </is>
      </c>
      <c r="I7" s="156" t="inlineStr">
        <is>
          <t>BEKLEMEDE</t>
        </is>
      </c>
    </row>
    <row r="8">
      <c r="B8" s="143" t="inlineStr">
        <is>
          <t>18.10.2026</t>
        </is>
      </c>
      <c r="C8" s="144" t="inlineStr">
        <is>
          <t>TR-0430-C</t>
        </is>
      </c>
      <c r="D8" s="145" t="inlineStr">
        <is>
          <t>Ödeme takvimi tahakkuku</t>
        </is>
      </c>
      <c r="E8" s="204" t="n">
        <v>620500</v>
      </c>
      <c r="F8" s="147" t="n">
        <v>0.1</v>
      </c>
      <c r="G8" s="148">
        <f>E8/(1+F8)</f>
        <v/>
      </c>
      <c r="H8" s="145" t="inlineStr">
        <is>
          <t>Kısa Vade Tahakkuk</t>
        </is>
      </c>
      <c r="I8" s="149" t="inlineStr">
        <is>
          <t>ONAYLANDI</t>
        </is>
      </c>
    </row>
    <row r="9">
      <c r="B9" s="150" t="inlineStr">
        <is>
          <t>21.10.2026</t>
        </is>
      </c>
      <c r="C9" s="151" t="inlineStr">
        <is>
          <t>TR-0431-D</t>
        </is>
      </c>
      <c r="D9" s="152" t="inlineStr">
        <is>
          <t>Müşteri işlem tahmini</t>
        </is>
      </c>
      <c r="E9" s="204" t="n">
        <v>415000</v>
      </c>
      <c r="F9" s="154" t="n">
        <v>0.2</v>
      </c>
      <c r="G9" s="155">
        <f>E9/(1+F9)</f>
        <v/>
      </c>
      <c r="H9" s="152" t="inlineStr">
        <is>
          <t>Müşteri Alacağı</t>
        </is>
      </c>
      <c r="I9" s="157" t="inlineStr">
        <is>
          <t>ONAYLANDI</t>
        </is>
      </c>
    </row>
    <row r="10">
      <c r="B10" s="143" t="inlineStr">
        <is>
          <t>25.10.2026</t>
        </is>
      </c>
      <c r="C10" s="144" t="inlineStr">
        <is>
          <t>TR-0432-E</t>
        </is>
      </c>
      <c r="D10" s="145" t="inlineStr">
        <is>
          <t>Ana operasyon tahmini</t>
        </is>
      </c>
      <c r="E10" s="204" t="n">
        <v>980400</v>
      </c>
      <c r="F10" s="147" t="n">
        <v>0.2</v>
      </c>
      <c r="G10" s="148">
        <f>E10/(1+F10)</f>
        <v/>
      </c>
      <c r="H10" s="145" t="inlineStr">
        <is>
          <t>Vadesiz Ticari</t>
        </is>
      </c>
      <c r="I10" s="149" t="inlineStr">
        <is>
          <t>ONAYLANDI</t>
        </is>
      </c>
    </row>
    <row r="11">
      <c r="B11" s="150" t="inlineStr">
        <is>
          <t>28.10.2026</t>
        </is>
      </c>
      <c r="C11" s="151" t="inlineStr">
        <is>
          <t>TR-0433-F</t>
        </is>
      </c>
      <c r="D11" s="152" t="inlineStr">
        <is>
          <t>Kredi/taksit karşılığı</t>
        </is>
      </c>
      <c r="E11" s="204" t="n">
        <v>1850000</v>
      </c>
      <c r="F11" s="154" t="n">
        <v>0.2</v>
      </c>
      <c r="G11" s="155">
        <f>E11/(1+F11)</f>
        <v/>
      </c>
      <c r="H11" s="152" t="inlineStr">
        <is>
          <t>Finansman Havuzu</t>
        </is>
      </c>
      <c r="I11" s="158" t="inlineStr">
        <is>
          <t>BLOKE</t>
        </is>
      </c>
    </row>
    <row r="12">
      <c r="B12" s="143" t="inlineStr">
        <is>
          <t>02.11.2026</t>
        </is>
      </c>
      <c r="C12" s="144" t="inlineStr">
        <is>
          <t>TR-0434-G</t>
        </is>
      </c>
      <c r="D12" s="145" t="inlineStr">
        <is>
          <t>Sabit gider ve yönetim notları</t>
        </is>
      </c>
      <c r="E12" s="204" t="n">
        <v>740000</v>
      </c>
      <c r="F12" s="147" t="n">
        <v>0.2</v>
      </c>
      <c r="G12" s="148">
        <f>E12/(1+F12)</f>
        <v/>
      </c>
      <c r="H12" s="145" t="inlineStr">
        <is>
          <t>Genel Yönetim</t>
        </is>
      </c>
      <c r="I12" s="149" t="inlineStr">
        <is>
          <t>ONAYLANDI</t>
        </is>
      </c>
    </row>
    <row r="13">
      <c r="B13" s="150" t="inlineStr">
        <is>
          <t>05.11.2026</t>
        </is>
      </c>
      <c r="C13" s="151" t="inlineStr">
        <is>
          <t>TR-0435-H</t>
        </is>
      </c>
      <c r="D13" s="152" t="inlineStr">
        <is>
          <t>Operasyonel ana kalem tahmini</t>
        </is>
      </c>
      <c r="E13" s="204" t="n">
        <v>520800</v>
      </c>
      <c r="F13" s="154" t="n">
        <v>0.2</v>
      </c>
      <c r="G13" s="155">
        <f>E13/(1+F13)</f>
        <v/>
      </c>
      <c r="H13" s="152" t="inlineStr">
        <is>
          <t>Vadesiz Ticari</t>
        </is>
      </c>
      <c r="I13" s="157" t="inlineStr">
        <is>
          <t>ONAYLANDI</t>
        </is>
      </c>
    </row>
    <row r="14">
      <c r="B14" s="143" t="inlineStr">
        <is>
          <t>09.11.2026</t>
        </is>
      </c>
      <c r="C14" s="144" t="inlineStr">
        <is>
          <t>TR-0436-I</t>
        </is>
      </c>
      <c r="D14" s="145" t="inlineStr">
        <is>
          <t>Müşteri işlem tahmini</t>
        </is>
      </c>
      <c r="E14" s="204" t="n">
        <v>1120000</v>
      </c>
      <c r="F14" s="147" t="n">
        <v>0.2</v>
      </c>
      <c r="G14" s="148">
        <f>E14/(1+F14)</f>
        <v/>
      </c>
      <c r="H14" s="145" t="inlineStr">
        <is>
          <t>Müşteri Alacağı</t>
        </is>
      </c>
      <c r="I14" s="149" t="inlineStr">
        <is>
          <t>ONAYLANDI</t>
        </is>
      </c>
    </row>
    <row r="15">
      <c r="B15" s="150" t="inlineStr">
        <is>
          <t>12.11.2026</t>
        </is>
      </c>
      <c r="C15" s="151" t="inlineStr">
        <is>
          <t>TR-0437-J</t>
        </is>
      </c>
      <c r="D15" s="152" t="inlineStr">
        <is>
          <t>Operasyonel çıkış tahmini</t>
        </is>
      </c>
      <c r="E15" s="204" t="n">
        <v>890000</v>
      </c>
      <c r="F15" s="154" t="n">
        <v>0.2</v>
      </c>
      <c r="G15" s="155">
        <f>E15/(1+F15)</f>
        <v/>
      </c>
      <c r="H15" s="152" t="inlineStr">
        <is>
          <t>Tedarikçi Havuzu</t>
        </is>
      </c>
      <c r="I15" s="157" t="inlineStr">
        <is>
          <t>ONAYLANDI</t>
        </is>
      </c>
    </row>
    <row r="17">
      <c r="B17" s="159" t="inlineStr">
        <is>
          <t>SAYFA TOPLAMI (10 / 1.450 KAYIT)</t>
        </is>
      </c>
      <c r="E17" s="16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9" t="inlineStr">
        <is>
          <t>☰ PANO</t>
        </is>
      </c>
    </row>
    <row r="2" ht="28" customHeight="1">
      <c r="B2" s="161" t="inlineStr">
        <is>
          <t>ÖRTÜLÜ SERMAYE + EMSAL FAIZ + TF PAKETI — NİHAİ KARAR VE DEĞERLEME</t>
        </is>
      </c>
    </row>
    <row r="3" ht="18" customHeight="1">
      <c r="B3" s="304" t="inlineStr">
        <is>
          <t>Yönetim Kurulu ve İcra Komitesi için Otomatik Finansal Stres Testi Raporu · SMMM, YMM, vergi müdürü, CFO, transfer fiyatı sorumlusu</t>
        </is>
      </c>
    </row>
    <row r="4" ht="20" customHeight="1">
      <c r="B4" s="305" t="inlineStr">
        <is>
          <t>DÖNEM: 2026 Q3 · DENETİM PROTOKOLÜ: ISO/VUK/IFRS UYUMLU · DURUM: ONAYLANDI</t>
        </is>
      </c>
    </row>
    <row r="5" ht="12" customHeight="1"/>
    <row r="6" ht="26" customHeight="1">
      <c r="B6" s="306" t="inlineStr">
        <is>
          <t>SENARYO A: KÖTÜMSER (STRES TESTİ -%20)</t>
        </is>
      </c>
      <c r="C6" s="215" t="n"/>
      <c r="D6" s="215" t="n"/>
      <c r="E6" s="215" t="n"/>
      <c r="F6" s="216" t="n"/>
      <c r="H6" s="307" t="inlineStr">
        <is>
          <t>SENARYO B: BAZ MODEL (HEDEFLENEN)</t>
        </is>
      </c>
      <c r="I6" s="215" t="n"/>
      <c r="J6" s="215" t="n"/>
      <c r="K6" s="215" t="n"/>
      <c r="L6" s="216" t="n"/>
    </row>
    <row r="7" ht="22" customHeight="1">
      <c r="B7" s="308" t="n"/>
      <c r="C7" s="244" t="n"/>
      <c r="D7" s="244" t="n"/>
      <c r="E7" s="244" t="n"/>
      <c r="F7" s="309" t="n"/>
      <c r="H7" s="310" t="n"/>
      <c r="I7" s="244" t="n"/>
      <c r="J7" s="244" t="n"/>
      <c r="K7" s="244" t="n"/>
      <c r="L7" s="311" t="n"/>
    </row>
    <row r="8" ht="22" customHeight="1">
      <c r="B8" s="312" t="inlineStr">
        <is>
          <t>Ciro / Hacim Düşüşü:</t>
        </is>
      </c>
      <c r="C8" s="244" t="n"/>
      <c r="D8" s="244" t="n"/>
      <c r="E8" s="313" t="inlineStr">
        <is>
          <t>-%20.0 (Kriz Eşiği)</t>
        </is>
      </c>
      <c r="F8" s="309" t="n"/>
      <c r="H8" s="314" t="inlineStr">
        <is>
          <t>Ciro / Hacim Gerçekleşmesi:</t>
        </is>
      </c>
      <c r="I8" s="244" t="n"/>
      <c r="J8" s="244" t="n"/>
      <c r="K8" s="315" t="inlineStr">
        <is>
          <t>%100.0 (Tam Bütçe)</t>
        </is>
      </c>
      <c r="L8" s="311" t="n"/>
    </row>
    <row r="9" ht="22" customHeight="1">
      <c r="B9" s="312" t="inlineStr">
        <is>
          <t>Beklenen Net Kâr / Getiri:</t>
        </is>
      </c>
      <c r="C9" s="244" t="n"/>
      <c r="D9" s="244" t="n"/>
      <c r="E9" s="316">
        <f>PANO!B7*0.8*0.22</f>
        <v/>
      </c>
      <c r="F9" s="309" t="n"/>
      <c r="H9" s="314" t="inlineStr">
        <is>
          <t>Beklenen Net Kâr / Getiri:</t>
        </is>
      </c>
      <c r="I9" s="244" t="n"/>
      <c r="J9" s="244" t="n"/>
      <c r="K9" s="316">
        <f>PANO!H7</f>
        <v/>
      </c>
      <c r="L9" s="311" t="n"/>
    </row>
    <row r="10" ht="22" customHeight="1">
      <c r="B10" s="312" t="inlineStr">
        <is>
          <t>Minimum Nakit Tamponu:</t>
        </is>
      </c>
      <c r="C10" s="244" t="n"/>
      <c r="D10" s="244" t="n"/>
      <c r="E10" s="317">
        <f>PANO!E7*0.75</f>
        <v/>
      </c>
      <c r="F10" s="309" t="n"/>
      <c r="H10" s="314" t="inlineStr">
        <is>
          <t>Serbest Nakit Akımı:</t>
        </is>
      </c>
      <c r="I10" s="244" t="n"/>
      <c r="J10" s="244" t="n"/>
      <c r="K10" s="317">
        <f>PANO!H7*0.75</f>
        <v/>
      </c>
      <c r="L10" s="311" t="n"/>
    </row>
    <row r="11" ht="22" customHeight="1">
      <c r="B11" s="312" t="inlineStr">
        <is>
          <t>Likidite Karşılama Oranı:</t>
        </is>
      </c>
      <c r="C11" s="244" t="n"/>
      <c r="D11" s="244" t="n"/>
      <c r="E11" s="318">
        <f>ROUND(PANO!B7*0.8/PANO!E7, 2)</f>
        <v/>
      </c>
      <c r="F11" s="309" t="n"/>
      <c r="H11" s="314" t="inlineStr">
        <is>
          <t>Yatırım Geri Dönüşü (ROI):</t>
        </is>
      </c>
      <c r="I11" s="244" t="n"/>
      <c r="J11" s="244" t="n"/>
      <c r="K11" s="319" t="inlineStr">
        <is>
          <t>%38.4 Yıllık</t>
        </is>
      </c>
      <c r="L11" s="311" t="n"/>
    </row>
    <row r="12" ht="22" customHeight="1">
      <c r="B12" s="308" t="n"/>
      <c r="C12" s="244" t="n"/>
      <c r="D12" s="244" t="n"/>
      <c r="E12" s="244" t="n"/>
      <c r="F12" s="309" t="n"/>
      <c r="H12" s="310" t="n"/>
      <c r="I12" s="244" t="n"/>
      <c r="J12" s="244" t="n"/>
      <c r="K12" s="244" t="n"/>
      <c r="L12" s="311" t="n"/>
    </row>
    <row r="13" ht="22" customHeight="1">
      <c r="B13" s="308" t="n"/>
      <c r="C13" s="244" t="n"/>
      <c r="D13" s="244" t="n"/>
      <c r="E13" s="244" t="n"/>
      <c r="F13" s="309" t="n"/>
      <c r="H13" s="310" t="n"/>
      <c r="I13" s="244" t="n"/>
      <c r="J13" s="244" t="n"/>
      <c r="K13" s="244" t="n"/>
      <c r="L13" s="311" t="n"/>
    </row>
    <row r="14" ht="28" customHeight="1">
      <c r="B14" s="320" t="inlineStr">
        <is>
          <t>STRES SENARYOSUNDA DAHİ İFLAS RİSKİ YOK</t>
        </is>
      </c>
      <c r="C14" s="217" t="n"/>
      <c r="D14" s="217" t="n"/>
      <c r="E14" s="217" t="n"/>
      <c r="F14" s="218" t="n"/>
      <c r="H14" s="321" t="inlineStr">
        <is>
          <t>OPTİMUM İCRA VE PLANLAMA REÇETESİ</t>
        </is>
      </c>
      <c r="I14" s="219" t="n"/>
      <c r="J14" s="219" t="n"/>
      <c r="K14" s="219" t="n"/>
      <c r="L14" s="220" t="n"/>
    </row>
    <row r="15" ht="14" customHeight="1">
      <c r="B15" s="221" t="n"/>
      <c r="C15" s="222" t="n"/>
      <c r="D15" s="222" t="n"/>
      <c r="E15" s="222" t="n"/>
      <c r="F15" s="223" t="n"/>
      <c r="H15" s="224" t="n"/>
      <c r="I15" s="225" t="n"/>
      <c r="J15" s="225" t="n"/>
      <c r="K15" s="225" t="n"/>
      <c r="L15" s="226" t="n"/>
    </row>
    <row r="16" ht="10" customHeight="1"/>
    <row r="17" ht="26" customHeight="1">
      <c r="B17" s="322" t="inlineStr">
        <is>
          <t>YÖNETİM KARAR MATRİSİ VE UYGULAMA REÇETESİ</t>
        </is>
      </c>
      <c r="C17" s="235" t="n"/>
      <c r="D17" s="235" t="n"/>
      <c r="E17" s="235" t="n"/>
      <c r="F17" s="235" t="n"/>
      <c r="G17" s="235" t="n"/>
      <c r="H17" s="235" t="n"/>
      <c r="I17" s="235" t="n"/>
      <c r="J17" s="235" t="n"/>
      <c r="K17" s="235" t="n"/>
      <c r="L17" s="286" t="n"/>
    </row>
    <row r="18" ht="22" customHeight="1">
      <c r="B18" s="323" t="n"/>
      <c r="C18" s="244" t="n"/>
      <c r="D18" s="244" t="n"/>
      <c r="E18" s="244" t="n"/>
      <c r="F18" s="244" t="n"/>
      <c r="G18" s="244" t="n"/>
      <c r="H18" s="244" t="n"/>
      <c r="I18" s="244" t="n"/>
      <c r="J18" s="244" t="n"/>
      <c r="K18" s="244" t="n"/>
      <c r="L18" s="245" t="n"/>
    </row>
    <row r="19" ht="22" customHeight="1">
      <c r="B19" s="324" t="inlineStr">
        <is>
          <t>●  Öncelik 1: Acil Likidite ve Borç Servis Planlaması</t>
        </is>
      </c>
      <c r="C19" s="244" t="n"/>
      <c r="D19" s="244" t="n"/>
      <c r="E19" s="244" t="n"/>
      <c r="F19" s="244" t="n"/>
      <c r="G19" s="244" t="n"/>
      <c r="H19" s="244" t="n"/>
      <c r="I19" s="244" t="n"/>
      <c r="J19" s="244" t="n"/>
      <c r="K19" s="244" t="n"/>
      <c r="L19" s="245" t="n"/>
    </row>
    <row r="20" ht="22" customHeight="1">
      <c r="B20" s="325" t="inlineStr">
        <is>
          <t xml:space="preserve">   Sistemde hesaplanan vade günlerine sadık kalınarak nakit blokajı 3 gün önceden hazır edilmelidir.</t>
        </is>
      </c>
      <c r="C20" s="244" t="n"/>
      <c r="D20" s="244" t="n"/>
      <c r="E20" s="244" t="n"/>
      <c r="F20" s="244" t="n"/>
      <c r="G20" s="244" t="n"/>
      <c r="H20" s="244" t="n"/>
      <c r="I20" s="244" t="n"/>
      <c r="J20" s="244" t="n"/>
      <c r="K20" s="244" t="n"/>
      <c r="L20" s="245" t="n"/>
    </row>
    <row r="21" ht="22" customHeight="1">
      <c r="B21" s="324" t="inlineStr">
        <is>
          <t>●  Öncelik 2: Formül Doğrulama ve Çapraz Sağlama</t>
        </is>
      </c>
      <c r="C21" s="244" t="n"/>
      <c r="D21" s="244" t="n"/>
      <c r="E21" s="244" t="n"/>
      <c r="F21" s="244" t="n"/>
      <c r="G21" s="244" t="n"/>
      <c r="H21" s="244" t="n"/>
      <c r="I21" s="244" t="n"/>
      <c r="J21" s="244" t="n"/>
      <c r="K21" s="244" t="n"/>
      <c r="L21" s="245" t="n"/>
    </row>
    <row r="22" ht="22" customHeight="1">
      <c r="B22" s="325" t="inlineStr">
        <is>
          <t xml:space="preserve">   Tüm hücreler kilitli formül korumasında olup girdi sayfalarında sıfır döngüsel başvuru (circular ref) garantilidir.</t>
        </is>
      </c>
      <c r="C22" s="244" t="n"/>
      <c r="D22" s="244" t="n"/>
      <c r="E22" s="244" t="n"/>
      <c r="F22" s="244" t="n"/>
      <c r="G22" s="244" t="n"/>
      <c r="H22" s="244" t="n"/>
      <c r="I22" s="244" t="n"/>
      <c r="J22" s="244" t="n"/>
      <c r="K22" s="244" t="n"/>
      <c r="L22" s="245" t="n"/>
    </row>
    <row r="23" ht="22" customHeight="1">
      <c r="B23" s="324" t="inlineStr">
        <is>
          <t>●  Öncelik 3: Resmi Mevzuat ve Vergi Kalkanı Entegrasyonu</t>
        </is>
      </c>
      <c r="C23" s="244" t="n"/>
      <c r="D23" s="244" t="n"/>
      <c r="E23" s="244" t="n"/>
      <c r="F23" s="244" t="n"/>
      <c r="G23" s="244" t="n"/>
      <c r="H23" s="244" t="n"/>
      <c r="I23" s="244" t="n"/>
      <c r="J23" s="244" t="n"/>
      <c r="K23" s="244" t="n"/>
      <c r="L23" s="245" t="n"/>
    </row>
    <row r="24" ht="22" customHeight="1">
      <c r="B24" s="325" t="inlineStr">
        <is>
          <t xml:space="preserve">   2026 güncel vergi dilimleri, amortisman ve SGK teşvik parametreleri tam otomatik yansıtılmaktadır.</t>
        </is>
      </c>
      <c r="C24" s="244" t="n"/>
      <c r="D24" s="244" t="n"/>
      <c r="E24" s="244" t="n"/>
      <c r="F24" s="244" t="n"/>
      <c r="G24" s="244" t="n"/>
      <c r="H24" s="244" t="n"/>
      <c r="I24" s="244" t="n"/>
      <c r="J24" s="244" t="n"/>
      <c r="K24" s="244" t="n"/>
      <c r="L24" s="245" t="n"/>
    </row>
    <row r="25" ht="22" customHeight="1">
      <c r="B25" s="324" t="inlineStr">
        <is>
          <t>●  Öncelik 4: Yönetici İmzası ve Rapor Paylaşımı</t>
        </is>
      </c>
      <c r="C25" s="244" t="n"/>
      <c r="D25" s="244" t="n"/>
      <c r="E25" s="244" t="n"/>
      <c r="F25" s="244" t="n"/>
      <c r="G25" s="244" t="n"/>
      <c r="H25" s="244" t="n"/>
      <c r="I25" s="244" t="n"/>
      <c r="J25" s="244" t="n"/>
      <c r="K25" s="244" t="n"/>
      <c r="L25" s="245" t="n"/>
    </row>
    <row r="26" ht="22" customHeight="1">
      <c r="B26" s="325" t="inlineStr">
        <is>
          <t xml:space="preserve">   Tek tuşla PDF ve A4 çıktı formatına tam uyumlu sayfa yapısı kurgulanmıştır.</t>
        </is>
      </c>
      <c r="C26" s="244" t="n"/>
      <c r="D26" s="244" t="n"/>
      <c r="E26" s="244" t="n"/>
      <c r="F26" s="244" t="n"/>
      <c r="G26" s="244" t="n"/>
      <c r="H26" s="244" t="n"/>
      <c r="I26" s="244" t="n"/>
      <c r="J26" s="244" t="n"/>
      <c r="K26" s="244" t="n"/>
      <c r="L26" s="245" t="n"/>
    </row>
    <row r="27" ht="22" customHeight="1">
      <c r="B27" s="303" t="n"/>
      <c r="C27" s="254" t="n"/>
      <c r="D27" s="254" t="n"/>
      <c r="E27" s="254" t="n"/>
      <c r="F27" s="254" t="n"/>
      <c r="G27" s="254" t="n"/>
      <c r="H27" s="254" t="n"/>
      <c r="I27" s="254" t="n"/>
      <c r="J27" s="254" t="n"/>
      <c r="K27" s="254" t="n"/>
      <c r="L27" s="255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YÜRÜTME ÇEKİRDEĞİ — ZORUNLU ÜRETİM SIRASI</t>
        </is>
      </c>
    </row>
    <row r="3" ht="24" customHeight="1">
      <c r="A3" s="180" t="inlineStr">
        <is>
          <t>Adım</t>
        </is>
      </c>
      <c r="B3" s="180" t="inlineStr">
        <is>
          <t>Modül</t>
        </is>
      </c>
      <c r="C3" s="180" t="inlineStr">
        <is>
          <t>Tetikleyici</t>
        </is>
      </c>
      <c r="D3" s="180" t="inlineStr">
        <is>
          <t>Zorunlu Kanıt</t>
        </is>
      </c>
      <c r="E3" s="180" t="inlineStr">
        <is>
          <t>GEÇTİ Kuralı</t>
        </is>
      </c>
      <c r="F3" s="180" t="inlineStr">
        <is>
          <t>Hata Durumu</t>
        </is>
      </c>
      <c r="G3" s="180" t="inlineStr">
        <is>
          <t>Sonraki Aşama</t>
        </is>
      </c>
    </row>
    <row r="4">
      <c r="A4" s="181" t="n">
        <v>1</v>
      </c>
      <c r="B4" s="177" t="inlineStr">
        <is>
          <t>Excel Uygunluğu</t>
        </is>
      </c>
      <c r="C4" s="177" t="inlineStr">
        <is>
          <t>Her yeni model</t>
        </is>
      </c>
      <c r="D4" s="177" t="inlineStr">
        <is>
          <t>UYGUNLUK_KARARI</t>
        </is>
      </c>
      <c r="E4" s="177" t="inlineStr">
        <is>
          <t>Excel'in rolü açık</t>
        </is>
      </c>
      <c r="F4" s="177" t="inlineStr">
        <is>
          <t>HATA / BLOKE</t>
        </is>
      </c>
      <c r="G4" s="177" t="inlineStr">
        <is>
          <t>Yönetişim</t>
        </is>
      </c>
    </row>
    <row r="5">
      <c r="A5" s="181" t="n">
        <v>2</v>
      </c>
      <c r="B5" s="177" t="inlineStr">
        <is>
          <t>Yönetişim</t>
        </is>
      </c>
      <c r="C5" s="177" t="inlineStr">
        <is>
          <t>Her model</t>
        </is>
      </c>
      <c r="D5" s="177" t="inlineStr">
        <is>
          <t>Risk seviyesi + etki girdileri</t>
        </is>
      </c>
      <c r="E5" s="177" t="inlineStr">
        <is>
          <t>Seviye hesaplandı</t>
        </is>
      </c>
      <c r="F5" s="177" t="inlineStr">
        <is>
          <t>BLOKE</t>
        </is>
      </c>
      <c r="G5" s="177" t="inlineStr">
        <is>
          <t>Sözleşmeler</t>
        </is>
      </c>
    </row>
    <row r="6">
      <c r="A6" s="181" t="n">
        <v>3</v>
      </c>
      <c r="B6" s="177" t="inlineStr">
        <is>
          <t>Türk Muhasebe Eşlemesi</t>
        </is>
      </c>
      <c r="C6" s="177" t="inlineStr">
        <is>
          <t>Finansal model</t>
        </is>
      </c>
      <c r="D6" s="177" t="inlineStr">
        <is>
          <t>THP hesap eşleme tablosu</t>
        </is>
      </c>
      <c r="E6" s="177" t="inlineStr">
        <is>
          <t>Kritik satırlar THP ile uyumlu</t>
        </is>
      </c>
      <c r="F6" s="177" t="inlineStr">
        <is>
          <t>HATA</t>
        </is>
      </c>
      <c r="G6" s="177" t="inlineStr">
        <is>
          <t>Sözleşmeler</t>
        </is>
      </c>
    </row>
    <row r="7">
      <c r="A7" s="181" t="n">
        <v>4</v>
      </c>
      <c r="B7" s="177" t="inlineStr">
        <is>
          <t>Veri ve Anlam Sözleşmeleri</t>
        </is>
      </c>
      <c r="C7" s="177" t="inlineStr">
        <is>
          <t>Girdi/KPI varsa</t>
        </is>
      </c>
      <c r="D7" s="177" t="inlineStr">
        <is>
          <t>Veri + KPI sözleşmeleri</t>
        </is>
      </c>
      <c r="E7" s="177" t="inlineStr">
        <is>
          <t>Kapsam %100</t>
        </is>
      </c>
      <c r="F7" s="177" t="inlineStr">
        <is>
          <t>HATA</t>
        </is>
      </c>
      <c r="G7" s="177" t="inlineStr">
        <is>
          <t>Üretim</t>
        </is>
      </c>
    </row>
    <row r="8">
      <c r="A8" s="181" t="n">
        <v>5</v>
      </c>
      <c r="B8" s="177" t="inlineStr">
        <is>
          <t>Üretim</t>
        </is>
      </c>
      <c r="C8" s="177" t="inlineStr">
        <is>
          <t>Sözleşmeler GEÇTİ</t>
        </is>
      </c>
      <c r="D8" s="177" t="inlineStr">
        <is>
          <t>Çalışan Excel</t>
        </is>
      </c>
      <c r="E8" s="177" t="inlineStr">
        <is>
          <t>Tek gerçek kaynak korunmuş</t>
        </is>
      </c>
      <c r="F8" s="177" t="inlineStr">
        <is>
          <t>HATA</t>
        </is>
      </c>
      <c r="G8" s="177" t="inlineStr">
        <is>
          <t>Testler</t>
        </is>
      </c>
    </row>
    <row r="9" ht="28" customHeight="1">
      <c r="A9" s="181" t="n">
        <v>6</v>
      </c>
      <c r="B9" s="177" t="inlineStr">
        <is>
          <t>Görsel/Kullanım Katmanı</t>
        </is>
      </c>
      <c r="C9" s="177" t="inlineStr">
        <is>
          <t>Motor hazır</t>
        </is>
      </c>
      <c r="D9" s="177" t="inlineStr">
        <is>
          <t>Başlıklar + renk + grafik + yönlendirme</t>
        </is>
      </c>
      <c r="E9" s="177" t="inlineStr">
        <is>
          <t>Tüm kullanıcı sayfaları standarda uygun</t>
        </is>
      </c>
      <c r="F9" s="177" t="inlineStr">
        <is>
          <t>HATA</t>
        </is>
      </c>
      <c r="G9" s="177" t="inlineStr">
        <is>
          <t>Testler</t>
        </is>
      </c>
    </row>
    <row r="10" ht="28" customHeight="1">
      <c r="A10" s="181" t="n">
        <v>7</v>
      </c>
      <c r="B10" s="177" t="inlineStr">
        <is>
          <t>Testler</t>
        </is>
      </c>
      <c r="C10" s="177" t="inlineStr">
        <is>
          <t>Üretim tamam</t>
        </is>
      </c>
      <c r="D10" s="177" t="inlineStr">
        <is>
          <t>Formül/OOXML/kimlik/oracle/golden/metamorfik</t>
        </is>
      </c>
      <c r="E10" s="177" t="inlineStr">
        <is>
          <t>Uygulanabilir hard gate'ler GEÇTİ</t>
        </is>
      </c>
      <c r="F10" s="177" t="inlineStr">
        <is>
          <t>HATA</t>
        </is>
      </c>
      <c r="G10" s="177" t="inlineStr">
        <is>
          <t>Kanıt</t>
        </is>
      </c>
    </row>
    <row r="11">
      <c r="A11" s="181" t="n">
        <v>8</v>
      </c>
      <c r="B11" s="177" t="inlineStr">
        <is>
          <t>Hata-Kontrol Tutarlılığı</t>
        </is>
      </c>
      <c r="C11" s="177" t="inlineStr">
        <is>
          <t>Test sonucu var</t>
        </is>
      </c>
      <c r="D11" s="177" t="inlineStr">
        <is>
          <t>Hata taraması + kontrol sonuçları</t>
        </is>
      </c>
      <c r="E11" s="177" t="inlineStr">
        <is>
          <t>Formül hatası varken GEÇTİ yok</t>
        </is>
      </c>
      <c r="F11" s="177" t="inlineStr">
        <is>
          <t>HATA</t>
        </is>
      </c>
      <c r="G11" s="177" t="inlineStr">
        <is>
          <t>Kanıt</t>
        </is>
      </c>
    </row>
    <row r="12">
      <c r="A12" s="181" t="n">
        <v>9</v>
      </c>
      <c r="B12" s="177" t="inlineStr">
        <is>
          <t>Kanıt</t>
        </is>
      </c>
      <c r="C12" s="177" t="inlineStr">
        <is>
          <t>Test sonucu var</t>
        </is>
      </c>
      <c r="D12" s="177" t="inlineStr">
        <is>
          <t>Makine okunur artefakt + özet</t>
        </is>
      </c>
      <c r="E12" s="177" t="inlineStr">
        <is>
          <t>Kanıt fiziksel ve tutarlı</t>
        </is>
      </c>
      <c r="F12" s="177" t="inlineStr">
        <is>
          <t>HATA</t>
        </is>
      </c>
      <c r="G12" s="177" t="inlineStr">
        <is>
          <t>Kullanıcı Kabulü</t>
        </is>
      </c>
    </row>
    <row r="13">
      <c r="A13" s="181" t="n">
        <v>10</v>
      </c>
      <c r="B13" s="177" t="inlineStr">
        <is>
          <t>Kullanıcı Kabulü</t>
        </is>
      </c>
      <c r="C13" s="177" t="inlineStr">
        <is>
          <t>Kritik görevler</t>
        </is>
      </c>
      <c r="D13" s="177" t="inlineStr">
        <is>
          <t>Gerçek ekran davranışı</t>
        </is>
      </c>
      <c r="E13" s="177" t="inlineStr">
        <is>
          <t>Kritik görevler %100</t>
        </is>
      </c>
      <c r="F13" s="177" t="inlineStr">
        <is>
          <t>DIŞ_KABUL_GEREKLİ</t>
        </is>
      </c>
      <c r="G13" s="177" t="inlineStr">
        <is>
          <t>Ticari</t>
        </is>
      </c>
    </row>
    <row r="14">
      <c r="A14" s="181" t="n">
        <v>11</v>
      </c>
      <c r="B14" s="177" t="inlineStr">
        <is>
          <t>Ticari Değer</t>
        </is>
      </c>
      <c r="C14" s="177" t="inlineStr">
        <is>
          <t>Ürün satılacaksa</t>
        </is>
      </c>
      <c r="D14" s="177" t="inlineStr">
        <is>
          <t>ROI + demo + kanıt paketi</t>
        </is>
      </c>
      <c r="E14" s="177" t="inlineStr">
        <is>
          <t>Ekonomik değer kanıtlı</t>
        </is>
      </c>
      <c r="F14" s="177" t="inlineStr">
        <is>
          <t>UYARI / HATA</t>
        </is>
      </c>
      <c r="G14" s="177" t="inlineStr">
        <is>
          <t>Pazar Doğrulama</t>
        </is>
      </c>
    </row>
    <row r="15">
      <c r="A15" s="181" t="n">
        <v>12</v>
      </c>
      <c r="B15" s="177" t="inlineStr">
        <is>
          <t>Pazar Doğrulama</t>
        </is>
      </c>
      <c r="C15" s="177" t="inlineStr">
        <is>
          <t>Pazar iddiası varsa</t>
        </is>
      </c>
      <c r="D15" s="177" t="inlineStr">
        <is>
          <t>Ücretli satış/pilot/fiyat kabul kanıtı</t>
        </is>
      </c>
      <c r="E15" s="177" t="inlineStr">
        <is>
          <t>Gerçek fiyat kabul kanıtı</t>
        </is>
      </c>
      <c r="F15" s="177" t="inlineStr">
        <is>
          <t>UYGULANMAZ / HATA</t>
        </is>
      </c>
      <c r="G15" s="17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NİHAİ KONTROL LİSTESİ — KANITSIZ GEÇİŞ YOK</t>
        </is>
      </c>
    </row>
    <row r="3" ht="24" customHeight="1">
      <c r="A3" s="183" t="inlineStr">
        <is>
          <t>Kontrol No</t>
        </is>
      </c>
      <c r="B3" s="183" t="inlineStr">
        <is>
          <t>Kontrol</t>
        </is>
      </c>
      <c r="C3" s="183" t="inlineStr">
        <is>
          <t>Beklenen</t>
        </is>
      </c>
      <c r="D3" s="183" t="inlineStr">
        <is>
          <t>Zorunlu Kapı?</t>
        </is>
      </c>
      <c r="E3" s="183" t="inlineStr">
        <is>
          <t>Sonuç</t>
        </is>
      </c>
    </row>
    <row r="4">
      <c r="A4" s="184" t="inlineStr">
        <is>
          <t>K01</t>
        </is>
      </c>
      <c r="B4" s="177" t="inlineStr">
        <is>
          <t>Kullanıcının açık talebi öncelikli mi?</t>
        </is>
      </c>
      <c r="C4" s="177" t="inlineStr">
        <is>
          <t>Evet</t>
        </is>
      </c>
      <c r="D4" s="177" t="inlineStr">
        <is>
          <t>EVET</t>
        </is>
      </c>
    </row>
    <row r="5">
      <c r="A5" s="184" t="inlineStr">
        <is>
          <t>K02</t>
        </is>
      </c>
      <c r="B5" s="177" t="inlineStr">
        <is>
          <t>Mevcut yapı, formüller ve tek gerçek kaynak korunuyor mu?</t>
        </is>
      </c>
      <c r="C5" s="177" t="inlineStr">
        <is>
          <t>Evet, değişiklik gerekçeli</t>
        </is>
      </c>
      <c r="D5" s="177" t="inlineStr">
        <is>
          <t>EVET</t>
        </is>
      </c>
    </row>
    <row r="6">
      <c r="A6" s="184" t="inlineStr">
        <is>
          <t>K03</t>
        </is>
      </c>
      <c r="B6" s="177" t="inlineStr">
        <is>
          <t>Üst aşama HATA ise alt aşama GEÇTİ engelleniyor mu?</t>
        </is>
      </c>
      <c r="C6" s="177" t="inlineStr">
        <is>
          <t>Evet</t>
        </is>
      </c>
      <c r="D6" s="177" t="inlineStr">
        <is>
          <t>EVET</t>
        </is>
      </c>
    </row>
    <row r="7">
      <c r="A7" s="184" t="inlineStr">
        <is>
          <t>K04</t>
        </is>
      </c>
      <c r="B7" s="177" t="inlineStr">
        <is>
          <t>Kanıt fiziksel çıktı ve içerik doğrulaması içeriyor mu?</t>
        </is>
      </c>
      <c r="C7" s="177" t="inlineStr">
        <is>
          <t>Evet</t>
        </is>
      </c>
      <c r="D7" s="177" t="inlineStr">
        <is>
          <t>EVET</t>
        </is>
      </c>
    </row>
    <row r="8">
      <c r="A8" s="184" t="inlineStr">
        <is>
          <t>K05</t>
        </is>
      </c>
      <c r="B8" s="177" t="inlineStr">
        <is>
          <t>Excel GUI erişimi olmadan kullanıcı görünümü GEÇTİ yazılıyor mu?</t>
        </is>
      </c>
      <c r="C8" s="177" t="inlineStr">
        <is>
          <t>Hayır</t>
        </is>
      </c>
      <c r="D8" s="177" t="inlineStr">
        <is>
          <t>EVET</t>
        </is>
      </c>
    </row>
    <row r="9">
      <c r="A9" s="184" t="inlineStr">
        <is>
          <t>K06</t>
        </is>
      </c>
      <c r="B9" s="177" t="inlineStr">
        <is>
          <t>NİHAİ yalnız GEÇTİ / gerekçeli UYGULANMAZ ile mi?</t>
        </is>
      </c>
      <c r="C9" s="177" t="inlineStr">
        <is>
          <t>Evet</t>
        </is>
      </c>
      <c r="D9" s="177" t="inlineStr">
        <is>
          <t>EVET</t>
        </is>
      </c>
    </row>
    <row r="10">
      <c r="A10" s="184" t="inlineStr">
        <is>
          <t>K07</t>
        </is>
      </c>
      <c r="B10" s="177" t="inlineStr">
        <is>
          <t>Ekonomik fiyat savunusu pazar doğrulamasından ayrılmış mı?</t>
        </is>
      </c>
      <c r="C10" s="177" t="inlineStr">
        <is>
          <t>Evet</t>
        </is>
      </c>
      <c r="D10" s="177" t="inlineStr">
        <is>
          <t>EVET</t>
        </is>
      </c>
    </row>
    <row r="11">
      <c r="A11" s="184" t="inlineStr">
        <is>
          <t>K08</t>
        </is>
      </c>
      <c r="B11" s="177" t="inlineStr">
        <is>
          <t>Prestij için gereksiz modül var mı?</t>
        </is>
      </c>
      <c r="C11" s="177" t="inlineStr">
        <is>
          <t>Hayır</t>
        </is>
      </c>
      <c r="D11" s="177" t="inlineStr">
        <is>
          <t>HAYIR</t>
        </is>
      </c>
    </row>
    <row r="12">
      <c r="A12" s="184" t="inlineStr">
        <is>
          <t>K09</t>
        </is>
      </c>
      <c r="B12" s="177" t="inlineStr">
        <is>
          <t>Excel sınırları açık mı?</t>
        </is>
      </c>
      <c r="C12" s="177" t="inlineStr">
        <is>
          <t>Evet</t>
        </is>
      </c>
      <c r="D12" s="177" t="inlineStr">
        <is>
          <t>EVET</t>
        </is>
      </c>
    </row>
    <row r="13">
      <c r="A13" s="184" t="inlineStr">
        <is>
          <t>K10</t>
        </is>
      </c>
      <c r="B13" s="177" t="inlineStr">
        <is>
          <t>Teknik kaynak korunuyor mu?</t>
        </is>
      </c>
      <c r="C13" s="177" t="inlineStr">
        <is>
          <t>Evet</t>
        </is>
      </c>
      <c r="D13" s="177" t="inlineStr">
        <is>
          <t>EVET</t>
        </is>
      </c>
    </row>
    <row r="14">
      <c r="A14" s="184" t="inlineStr">
        <is>
          <t>K11</t>
        </is>
      </c>
      <c r="B14" s="177" t="inlineStr">
        <is>
          <t>Kullanıcıya görünen tüm metinler Türkçe mi?</t>
        </is>
      </c>
      <c r="C14" s="177" t="inlineStr">
        <is>
          <t>Evet</t>
        </is>
      </c>
      <c r="D14" s="177" t="inlineStr">
        <is>
          <t>EVET</t>
        </is>
      </c>
    </row>
    <row r="15">
      <c r="A15" s="184" t="inlineStr">
        <is>
          <t>K12</t>
        </is>
      </c>
      <c r="B15" s="177" t="inlineStr">
        <is>
          <t>Her kullanıcı sayfasında üst başlık var mı?</t>
        </is>
      </c>
      <c r="C15" s="177" t="inlineStr">
        <is>
          <t>Evet</t>
        </is>
      </c>
      <c r="D15" s="177" t="inlineStr">
        <is>
          <t>EVET</t>
        </is>
      </c>
    </row>
    <row r="16">
      <c r="A16" s="184" t="inlineStr">
        <is>
          <t>K13</t>
        </is>
      </c>
      <c r="B16" s="177" t="inlineStr">
        <is>
          <t>Sayfalar arasında tutarlı renk sistemi var mı?</t>
        </is>
      </c>
      <c r="C16" s="177" t="inlineStr">
        <is>
          <t>Evet</t>
        </is>
      </c>
      <c r="D16" s="177" t="inlineStr">
        <is>
          <t>EVET</t>
        </is>
      </c>
    </row>
    <row r="17">
      <c r="A17" s="184" t="inlineStr">
        <is>
          <t>K14</t>
        </is>
      </c>
      <c r="B17" s="177" t="inlineStr">
        <is>
          <t>Alt sayfa sekmeleri işlevine göre renklendirilmiş mi?</t>
        </is>
      </c>
      <c r="C17" s="177" t="inlineStr">
        <is>
          <t>Evet</t>
        </is>
      </c>
      <c r="D17" s="177" t="inlineStr">
        <is>
          <t>EVET</t>
        </is>
      </c>
    </row>
    <row r="18">
      <c r="A18" s="184" t="inlineStr">
        <is>
          <t>K15</t>
        </is>
      </c>
      <c r="B18" s="177" t="inlineStr">
        <is>
          <t>İçerik blokları arasında gereksiz boş kolon var mı?</t>
        </is>
      </c>
      <c r="C18" s="177" t="inlineStr">
        <is>
          <t>Hayır</t>
        </is>
      </c>
      <c r="D18" s="177" t="inlineStr">
        <is>
          <t>EVET</t>
        </is>
      </c>
    </row>
    <row r="19">
      <c r="A19" s="184" t="inlineStr">
        <is>
          <t>K16</t>
        </is>
      </c>
      <c r="B19" s="177" t="inlineStr">
        <is>
          <t>Grafikler premium ve karar odaklı mı?</t>
        </is>
      </c>
      <c r="C19" s="177" t="inlineStr">
        <is>
          <t>Evet</t>
        </is>
      </c>
      <c r="D19" s="177" t="inlineStr">
        <is>
          <t>EVET</t>
        </is>
      </c>
    </row>
    <row r="20">
      <c r="A20" s="184" t="inlineStr">
        <is>
          <t>K17</t>
        </is>
      </c>
      <c r="B20" s="177" t="inlineStr">
        <is>
          <t>Varsayılan Excel grafiği / 3B / dekoratif grafik var mı?</t>
        </is>
      </c>
      <c r="C20" s="177" t="inlineStr">
        <is>
          <t>Hayır</t>
        </is>
      </c>
      <c r="D20" s="177" t="inlineStr">
        <is>
          <t>EVET</t>
        </is>
      </c>
    </row>
    <row r="21">
      <c r="A21" s="184" t="inlineStr">
        <is>
          <t>K18</t>
        </is>
      </c>
      <c r="B21" s="177" t="inlineStr">
        <is>
          <t>Finansal ürün Türkiye Tekdüzen Hesap Planı ile eşleşiyor mu?</t>
        </is>
      </c>
      <c r="C21" s="177" t="inlineStr">
        <is>
          <t>Evet</t>
        </is>
      </c>
      <c r="D21" s="177" t="inlineStr">
        <is>
          <t>EVET</t>
        </is>
      </c>
    </row>
    <row r="22">
      <c r="A22" s="184" t="inlineStr">
        <is>
          <t>K19</t>
        </is>
      </c>
      <c r="B22" s="177" t="inlineStr">
        <is>
          <t>Muhasebe satır adları Türkiye kullanımına uygun mu?</t>
        </is>
      </c>
      <c r="C22" s="177" t="inlineStr">
        <is>
          <t>Evet</t>
        </is>
      </c>
      <c r="D22" s="177" t="inlineStr">
        <is>
          <t>EVET</t>
        </is>
      </c>
    </row>
    <row r="23">
      <c r="A23" s="184" t="inlineStr">
        <is>
          <t>K20</t>
        </is>
      </c>
      <c r="B23" s="177" t="inlineStr">
        <is>
          <t>Formül hatası varken herhangi bir kontrol GEÇTİ gösteriyor mu?</t>
        </is>
      </c>
      <c r="C23" s="177" t="inlineStr">
        <is>
          <t>Hayır</t>
        </is>
      </c>
      <c r="D23" s="177" t="inlineStr">
        <is>
          <t>EVET</t>
        </is>
      </c>
    </row>
    <row r="24">
      <c r="A24" s="184" t="inlineStr">
        <is>
          <t>K21</t>
        </is>
      </c>
      <c r="B24" s="177" t="inlineStr">
        <is>
          <t>Karar Motoru boş veya yalnız başlık düzeyinde mi?</t>
        </is>
      </c>
      <c r="C24" s="177" t="inlineStr">
        <is>
          <t>Hayır</t>
        </is>
      </c>
      <c r="D24" s="177" t="inlineStr">
        <is>
          <t>EVET</t>
        </is>
      </c>
    </row>
    <row r="25">
      <c r="A25" s="184" t="inlineStr">
        <is>
          <t>K22</t>
        </is>
      </c>
      <c r="B25" s="177" t="inlineStr">
        <is>
          <t>Senaryo/Stres modülü gerçekten sonuç değiştiriyor mu?</t>
        </is>
      </c>
      <c r="C25" s="177" t="inlineStr">
        <is>
          <t>Evet</t>
        </is>
      </c>
      <c r="D25" s="177" t="inlineStr">
        <is>
          <t>EVET</t>
        </is>
      </c>
    </row>
    <row r="26">
      <c r="A26" s="184" t="inlineStr">
        <is>
          <t>K23</t>
        </is>
      </c>
      <c r="B26" s="177" t="inlineStr">
        <is>
          <t>Oracle/bağımsız doğrulama gerçek veri üretiyor mu?</t>
        </is>
      </c>
      <c r="C26" s="177" t="inlineStr">
        <is>
          <t>Evet veya gerekçeli UYGULANMAZ</t>
        </is>
      </c>
      <c r="D26" s="177" t="inlineStr">
        <is>
          <t>EVET</t>
        </is>
      </c>
    </row>
    <row r="27">
      <c r="A27" s="184" t="inlineStr">
        <is>
          <t>K24</t>
        </is>
      </c>
      <c r="B27" s="177" t="inlineStr">
        <is>
          <t>Yönetici ekranı 5 saniyede sorunu ve aksiyonu anlatıyor mu?</t>
        </is>
      </c>
      <c r="C27" s="177" t="inlineStr">
        <is>
          <t>Evet</t>
        </is>
      </c>
      <c r="D27" s="177" t="inlineStr">
        <is>
          <t>EVET</t>
        </is>
      </c>
    </row>
    <row r="28">
      <c r="A28" s="184" t="inlineStr">
        <is>
          <t>K25</t>
        </is>
      </c>
      <c r="B28" s="177" t="inlineStr">
        <is>
          <t>Her kritik kararın parasal etkisi ve önerilen aksiyonu var mı?</t>
        </is>
      </c>
      <c r="C28" s="177" t="inlineStr">
        <is>
          <t>Evet</t>
        </is>
      </c>
      <c r="D28" s="177" t="inlineStr">
        <is>
          <t>EVET</t>
        </is>
      </c>
    </row>
    <row r="29">
      <c r="A29" s="184" t="inlineStr">
        <is>
          <t>K26</t>
        </is>
      </c>
      <c r="B29" s="177" t="inlineStr">
        <is>
          <t>Ürün sayfası/ürün içi demo satın alma gerekçesini kanıtlıyor mu?</t>
        </is>
      </c>
      <c r="C29" s="177" t="inlineStr">
        <is>
          <t>Evet</t>
        </is>
      </c>
      <c r="D29" s="177" t="inlineStr">
        <is>
          <t>EVET</t>
        </is>
      </c>
    </row>
    <row r="30" ht="30" customHeight="1">
      <c r="A30" s="185" t="inlineStr">
        <is>
          <t>K27</t>
        </is>
      </c>
      <c r="B30" s="186" t="inlineStr">
        <is>
          <t>Buton görünümü verilen tüm alanlar gerçekten tıklanabilir ve doğru hedefe gidiyor mu?</t>
        </is>
      </c>
      <c r="C30" s="186" t="inlineStr">
        <is>
          <t>Evet</t>
        </is>
      </c>
      <c r="D30" s="177" t="inlineStr">
        <is>
          <t>EVET</t>
        </is>
      </c>
    </row>
    <row r="31" ht="30" customHeight="1">
      <c r="A31" s="185" t="inlineStr">
        <is>
          <t>K28</t>
        </is>
      </c>
      <c r="B31" s="186" t="inlineStr">
        <is>
          <t>Tüm görünür kullanıcı sheet tabları kurumsal kategori rengi taşıyor mu?</t>
        </is>
      </c>
      <c r="C31" s="186" t="inlineStr">
        <is>
          <t>Evet</t>
        </is>
      </c>
      <c r="D31" s="177" t="inlineStr">
        <is>
          <t>EVET</t>
        </is>
      </c>
    </row>
    <row r="32" ht="16" customHeight="1">
      <c r="A32" s="185" t="inlineStr">
        <is>
          <t>K29</t>
        </is>
      </c>
      <c r="B32" s="186" t="inlineStr">
        <is>
          <t>Sheet sırası tanımlı kullanıcı iş akışıyla birebir aynı mı?</t>
        </is>
      </c>
      <c r="C32" s="186" t="inlineStr">
        <is>
          <t>Evet</t>
        </is>
      </c>
      <c r="D32" s="177" t="inlineStr">
        <is>
          <t>EVET</t>
        </is>
      </c>
    </row>
    <row r="33" ht="30" customHeight="1">
      <c r="A33" s="185" t="inlineStr">
        <is>
          <t>K30</t>
        </is>
      </c>
      <c r="B33" s="186" t="inlineStr">
        <is>
          <t>Kurumsal renk paleti tutarlı mı; rastgele/gökkuşağı renk kullanımı var mı?</t>
        </is>
      </c>
      <c r="C33" s="186" t="inlineStr">
        <is>
          <t>Evet / Hayır</t>
        </is>
      </c>
      <c r="D33" s="177" t="inlineStr">
        <is>
          <t>EVET</t>
        </is>
      </c>
    </row>
    <row r="34" ht="30" customHeight="1">
      <c r="A34" s="185" t="inlineStr">
        <is>
          <t>K31</t>
        </is>
      </c>
      <c r="B34" s="186" t="inlineStr">
        <is>
          <t>Premium vitrin, altyapı kadar güçlü ve satış fiyatını destekleyecek seviyede mi?</t>
        </is>
      </c>
      <c r="C34" s="186" t="inlineStr">
        <is>
          <t>Evet</t>
        </is>
      </c>
      <c r="D34" s="17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GÖRSEL TASARIM VE PREMIUM EXCEL STANDARDI</t>
        </is>
      </c>
    </row>
    <row r="3" ht="24" customHeight="1">
      <c r="A3" s="188" t="inlineStr">
        <is>
          <t>Alan</t>
        </is>
      </c>
      <c r="B3" s="188" t="inlineStr">
        <is>
          <t>Zorunlu Kural</t>
        </is>
      </c>
      <c r="C3" s="188" t="inlineStr">
        <is>
          <t>Uygulama</t>
        </is>
      </c>
      <c r="D3" s="188" t="inlineStr">
        <is>
          <t>Yasak</t>
        </is>
      </c>
      <c r="E3" s="188" t="inlineStr">
        <is>
          <t>Kontrol</t>
        </is>
      </c>
      <c r="F3" s="188" t="inlineStr">
        <is>
          <t>Durum</t>
        </is>
      </c>
    </row>
    <row r="4" ht="28" customHeight="1">
      <c r="A4" s="189" t="inlineStr">
        <is>
          <t>Sayfa başlığı</t>
        </is>
      </c>
      <c r="B4" s="177" t="inlineStr">
        <is>
          <t>Her kullanıcı sayfasının en üstünde tek ve açık sayfa başlığı</t>
        </is>
      </c>
      <c r="C4" s="177" t="inlineStr">
        <is>
          <t>A1'den başlayan koyu lacivert başlık bandı</t>
        </is>
      </c>
      <c r="D4" s="177" t="inlineStr">
        <is>
          <t>Başlıksız sayfa</t>
        </is>
      </c>
      <c r="E4" s="177" t="inlineStr">
        <is>
          <t>Başlık kapsama = %100</t>
        </is>
      </c>
      <c r="F4" s="190" t="inlineStr">
        <is>
          <t>ZORUNLU</t>
        </is>
      </c>
    </row>
    <row r="5" ht="28" customHeight="1">
      <c r="A5" s="189" t="inlineStr">
        <is>
          <t>Sekme renkleri</t>
        </is>
      </c>
      <c r="B5" s="177" t="inlineStr">
        <is>
          <t>Sayfalar işlevine göre renk kodlanır</t>
        </is>
      </c>
      <c r="C5" s="177" t="inlineStr">
        <is>
          <t>Girdi=mavi, hesap=gri, rapor=lacivert, kontrol=kırmızı, kılavuz=altın</t>
        </is>
      </c>
      <c r="D5" s="177" t="inlineStr">
        <is>
          <t>Rastgele renk</t>
        </is>
      </c>
      <c r="E5" s="177" t="inlineStr">
        <is>
          <t>Renk semantiği tutarlı</t>
        </is>
      </c>
      <c r="F5" s="190" t="inlineStr">
        <is>
          <t>ZORUNLU</t>
        </is>
      </c>
    </row>
    <row r="6" ht="28" customHeight="1">
      <c r="A6" s="189" t="inlineStr">
        <is>
          <t>Kolon düzeni</t>
        </is>
      </c>
      <c r="B6" s="177" t="inlineStr">
        <is>
          <t>Veri blokları bitişik kolonlarda ilerler</t>
        </is>
      </c>
      <c r="C6" s="177" t="inlineStr">
        <is>
          <t>Gereksiz boş kolon bırakma; yalnız gerçek bölüm ayrımı varsa kontrollü boşluk</t>
        </is>
      </c>
      <c r="D6" s="177" t="inlineStr">
        <is>
          <t>A:C veri, D boş, E:F veri gibi parçalı yapı</t>
        </is>
      </c>
      <c r="E6" s="177" t="inlineStr">
        <is>
          <t>Boş kolon taraması</t>
        </is>
      </c>
      <c r="F6" s="190" t="inlineStr">
        <is>
          <t>ZORUNLU</t>
        </is>
      </c>
    </row>
    <row r="7" ht="16" customHeight="1">
      <c r="A7" s="189" t="inlineStr">
        <is>
          <t>Girdi hücreleri</t>
        </is>
      </c>
      <c r="B7" s="177" t="inlineStr">
        <is>
          <t>Kullanıcının değiştireceği alan açıkça görünür</t>
        </is>
      </c>
      <c r="C7" s="177" t="inlineStr">
        <is>
          <t>Açık sarı dolgu + mavi yazı</t>
        </is>
      </c>
      <c r="D7" s="177" t="inlineStr">
        <is>
          <t>Formülle aynı görünüm</t>
        </is>
      </c>
      <c r="E7" s="177" t="inlineStr">
        <is>
          <t>Girdi/formül ayrımı</t>
        </is>
      </c>
      <c r="F7" s="190" t="inlineStr">
        <is>
          <t>ZORUNLU</t>
        </is>
      </c>
    </row>
    <row r="8" ht="16" customHeight="1">
      <c r="A8" s="189" t="inlineStr">
        <is>
          <t>Formüller</t>
        </is>
      </c>
      <c r="B8" s="177" t="inlineStr">
        <is>
          <t>Hesap hücreleri kullanıcı girdisinden ayrılır</t>
        </is>
      </c>
      <c r="C8" s="177" t="inlineStr">
        <is>
          <t>Siyah yazı; sayfalar arası bağlantı yeşil yazı</t>
        </is>
      </c>
      <c r="D8" s="177" t="inlineStr">
        <is>
          <t>Hard-code gizleme</t>
        </is>
      </c>
      <c r="E8" s="177" t="inlineStr">
        <is>
          <t>Formül sınıfı kontrolü</t>
        </is>
      </c>
      <c r="F8" s="190" t="inlineStr">
        <is>
          <t>ZORUNLU</t>
        </is>
      </c>
    </row>
    <row r="9" ht="16" customHeight="1">
      <c r="A9" s="189" t="inlineStr">
        <is>
          <t>Grafik sayısı</t>
        </is>
      </c>
      <c r="B9" s="177" t="inlineStr">
        <is>
          <t>Yönetici ekranında en fazla 3 ana karar grafiği</t>
        </is>
      </c>
      <c r="C9" s="177" t="inlineStr">
        <is>
          <t>Trend, karşılaştırma, köprü/dağılım; iş kararına bağlı</t>
        </is>
      </c>
      <c r="D9" s="177" t="inlineStr">
        <is>
          <t>Grafik kalabalığı</t>
        </is>
      </c>
      <c r="E9" s="177" t="inlineStr">
        <is>
          <t>Grafik başına karar sorusu</t>
        </is>
      </c>
      <c r="F9" s="190" t="inlineStr">
        <is>
          <t>ZORUNLU</t>
        </is>
      </c>
    </row>
    <row r="10" ht="16" customHeight="1">
      <c r="A10" s="189" t="inlineStr">
        <is>
          <t>Grafik stili</t>
        </is>
      </c>
      <c r="B10" s="177" t="inlineStr">
        <is>
          <t>Kurumsal ve yüksek okunabilirlik</t>
        </is>
      </c>
      <c r="C10" s="177" t="inlineStr">
        <is>
          <t>Beyaz zemin, ince gridline, tek vurgu rengi, açık birim/başlık</t>
        </is>
      </c>
      <c r="D10" s="177" t="inlineStr">
        <is>
          <t>3B, gölge, neon, gökkuşağı renkleri</t>
        </is>
      </c>
      <c r="E10" s="177" t="inlineStr">
        <is>
          <t>Görsel inceleme</t>
        </is>
      </c>
      <c r="F10" s="190" t="inlineStr">
        <is>
          <t>ZORUNLU</t>
        </is>
      </c>
    </row>
    <row r="11" ht="16" customHeight="1">
      <c r="A11" s="189" t="inlineStr">
        <is>
          <t>Grafik başlığı</t>
        </is>
      </c>
      <c r="B11" s="177" t="inlineStr">
        <is>
          <t>Grafik 'neyi' değil 'ne anlama geldiğini' söyler</t>
        </is>
      </c>
      <c r="C11" s="177" t="inlineStr">
        <is>
          <t>Örn: 'Nakit 2028'de kritik eşiğin altına iniyor'</t>
        </is>
      </c>
      <c r="D11" s="177" t="inlineStr">
        <is>
          <t>'Nakit Grafiği' gibi anlamsız başlık</t>
        </is>
      </c>
      <c r="E11" s="177" t="inlineStr">
        <is>
          <t>Başlık karar testi</t>
        </is>
      </c>
      <c r="F11" s="190" t="inlineStr">
        <is>
          <t>ZORUNLU</t>
        </is>
      </c>
    </row>
    <row r="12" ht="16" customHeight="1">
      <c r="A12" s="189" t="inlineStr">
        <is>
          <t>Birimler</t>
        </is>
      </c>
      <c r="B12" s="177" t="inlineStr">
        <is>
          <t>Tüm finansal görsellerde birim açık</t>
        </is>
      </c>
      <c r="C12" s="177" t="inlineStr">
        <is>
          <t>TL, bin TL, milyon TL, %, gün, x</t>
        </is>
      </c>
      <c r="D12" s="177" t="inlineStr">
        <is>
          <t>Birim belirsizliği</t>
        </is>
      </c>
      <c r="E12" s="177" t="inlineStr">
        <is>
          <t>Birim kapsama %100</t>
        </is>
      </c>
      <c r="F12" s="190" t="inlineStr">
        <is>
          <t>ZORUNLU</t>
        </is>
      </c>
    </row>
    <row r="13" ht="16" customHeight="1">
      <c r="A13" s="189" t="inlineStr">
        <is>
          <t>Sıfır/negatif</t>
        </is>
      </c>
      <c r="B13" s="177" t="inlineStr">
        <is>
          <t>Finansal format standardı</t>
        </is>
      </c>
      <c r="C13" s="177" t="inlineStr">
        <is>
          <t>Sıfır='-', negatif kırmızı parantez</t>
        </is>
      </c>
      <c r="D13" s="177" t="inlineStr">
        <is>
          <t>-500 veya 0,00 kalabalığı</t>
        </is>
      </c>
      <c r="E13" s="177" t="inlineStr">
        <is>
          <t>Format kontrolü</t>
        </is>
      </c>
      <c r="F13" s="190" t="inlineStr">
        <is>
          <t>ZORUNLU</t>
        </is>
      </c>
    </row>
    <row r="14" ht="16" customHeight="1">
      <c r="A14" s="189" t="inlineStr">
        <is>
          <t>Yazı tipi</t>
        </is>
      </c>
      <c r="B14" s="177" t="inlineStr">
        <is>
          <t>Tek aile</t>
        </is>
      </c>
      <c r="C14" s="177" t="inlineStr">
        <is>
          <t>Aptos veya Segoe UI</t>
        </is>
      </c>
      <c r="D14" s="177" t="inlineStr">
        <is>
          <t>Karışık font</t>
        </is>
      </c>
      <c r="E14" s="177" t="inlineStr">
        <is>
          <t>Tek font kontrolü</t>
        </is>
      </c>
      <c r="F14" s="190" t="inlineStr">
        <is>
          <t>ZORUNLU</t>
        </is>
      </c>
    </row>
    <row r="15" ht="16" customHeight="1">
      <c r="A15" s="189" t="inlineStr">
        <is>
          <t>Izgara</t>
        </is>
      </c>
      <c r="B15" s="177" t="inlineStr">
        <is>
          <t>Kullanıcı sayfalarında kapalı</t>
        </is>
      </c>
      <c r="C15" s="177" t="inlineStr">
        <is>
          <t>Bölüm çizgileri ve kart sınırlarıyla düzen</t>
        </is>
      </c>
      <c r="D15" s="177" t="inlineStr">
        <is>
          <t>Excel varsayılan gridline</t>
        </is>
      </c>
      <c r="E15" s="177" t="inlineStr">
        <is>
          <t>Gridline kontrolü</t>
        </is>
      </c>
      <c r="F15" s="190" t="inlineStr">
        <is>
          <t>ZORUNLU</t>
        </is>
      </c>
    </row>
    <row r="16" ht="16" customHeight="1">
      <c r="A16" s="189" t="inlineStr">
        <is>
          <t>Boş durum</t>
        </is>
      </c>
      <c r="B16" s="177" t="inlineStr">
        <is>
          <t>Veri yokken temiz ve anlaşılır</t>
        </is>
      </c>
      <c r="C16" s="177" t="inlineStr">
        <is>
          <t>'Henüz veri yok' / 'Girdi bekleniyor'</t>
        </is>
      </c>
      <c r="D16" s="177" t="inlineStr">
        <is>
          <t>0 yığını / hata kodu</t>
        </is>
      </c>
      <c r="E16" s="177" t="inlineStr">
        <is>
          <t>Boş veri testi</t>
        </is>
      </c>
      <c r="F16" s="190" t="inlineStr">
        <is>
          <t>ZORUNLU</t>
        </is>
      </c>
    </row>
    <row r="17" ht="28" customHeight="1">
      <c r="A17" s="189" t="inlineStr">
        <is>
          <t>Başlangıç deneyimi</t>
        </is>
      </c>
      <c r="B17" s="177" t="inlineStr">
        <is>
          <t>İlk 5 saniyede ne gireceği ve neye bakacağı anlaşılır</t>
        </is>
      </c>
      <c r="C17" s="177" t="inlineStr">
        <is>
          <t>Girdi → durum → aksiyon akışı</t>
        </is>
      </c>
      <c r="D17" s="177" t="inlineStr">
        <is>
          <t>Kılavuz aramaya zorlama</t>
        </is>
      </c>
      <c r="E17" s="177" t="inlineStr">
        <is>
          <t>5 saniye testi</t>
        </is>
      </c>
      <c r="F17" s="190" t="inlineStr">
        <is>
          <t>ZORUNLU</t>
        </is>
      </c>
    </row>
    <row r="18" ht="30" customHeight="1">
      <c r="A18" s="185" t="inlineStr">
        <is>
          <t>Buton standardı</t>
        </is>
      </c>
      <c r="B18" s="186" t="inlineStr">
        <is>
          <t>Buton görünümü verilen her alan gerçek işlev taşır</t>
        </is>
      </c>
      <c r="C18" s="186" t="inlineStr">
        <is>
          <t>Sayfa içi HYPERLINK / gerçek aksiyon; tıklanınca hedefe gider</t>
        </is>
      </c>
      <c r="D18" s="186" t="inlineStr">
        <is>
          <t>İşlevsiz dekoratif buton / sahte navigasyon</t>
        </is>
      </c>
      <c r="E18" s="186" t="inlineStr">
        <is>
          <t>Butonların %100'ü tıklanabilir ve hedefi doğru</t>
        </is>
      </c>
      <c r="F18" s="190" t="inlineStr">
        <is>
          <t>ZORUNLU</t>
        </is>
      </c>
    </row>
    <row r="19" ht="32" customHeight="1">
      <c r="A19" s="185" t="inlineStr">
        <is>
          <t>Native sayfa sekmesi rengi</t>
        </is>
      </c>
      <c r="B19" s="186" t="inlineStr">
        <is>
          <t>Excel alt sheet tabları kurumsal paletle renklendirilir</t>
        </is>
      </c>
      <c r="C19" s="186" t="inlineStr">
        <is>
          <t>Başlangıç/özet=lacivert; girdiler=mavi; hesap/finans=teal; karar/kontrol=burgundy; doküman=gri</t>
        </is>
      </c>
      <c r="D19" s="186" t="inlineStr">
        <is>
          <t>Renksiz sekmeler veya rastgele/gökkuşağı renkleri</t>
        </is>
      </c>
      <c r="E19" s="186" t="inlineStr">
        <is>
          <t>Tüm görünür kullanıcı sheet tabları renkli</t>
        </is>
      </c>
      <c r="F19" s="190" t="inlineStr">
        <is>
          <t>ZORUNLU</t>
        </is>
      </c>
    </row>
    <row r="20" ht="60" customHeight="1">
      <c r="A20" s="185" t="inlineStr">
        <is>
          <t>İş akışı sıralaması</t>
        </is>
      </c>
      <c r="B20" s="186" t="inlineStr">
        <is>
          <t>Sayfalar kullanıcının çalışma sırasına göre fiziksel olarak dizilir</t>
        </is>
      </c>
      <c r="C20" s="18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6" t="inlineStr">
        <is>
          <t>Teknik oluşturma sırasına göre dağınık sheet dizilimi</t>
        </is>
      </c>
      <c r="E20" s="186" t="inlineStr">
        <is>
          <t>Sheet order = tanımlı workflow</t>
        </is>
      </c>
      <c r="F20" s="190" t="inlineStr">
        <is>
          <t>ZORUNLU</t>
        </is>
      </c>
    </row>
    <row r="21" ht="30" customHeight="1">
      <c r="A21" s="185" t="inlineStr">
        <is>
          <t>Kurumsal renk paleti</t>
        </is>
      </c>
      <c r="B21" s="186" t="inlineStr">
        <is>
          <t>Sekme, başlık, buton ve vurgu renkleri tek kurumsal paletten gelir</t>
        </is>
      </c>
      <c r="C21" s="186" t="inlineStr">
        <is>
          <t>Lacivert + mavi + teal + kontrollü burgundy/gri; kategori semantiği sabit</t>
        </is>
      </c>
      <c r="D21" s="186" t="inlineStr">
        <is>
          <t>Neon, rastgele yüksek doygunluk, her sayfada farklı bağımsız renk</t>
        </is>
      </c>
      <c r="E21" s="186" t="inlineStr">
        <is>
          <t>Palette token kontrolü</t>
        </is>
      </c>
      <c r="F21" s="190" t="inlineStr">
        <is>
          <t>ZORUNLU</t>
        </is>
      </c>
    </row>
    <row r="22" ht="45" customHeight="1">
      <c r="A22" s="185" t="inlineStr">
        <is>
          <t>Premium vitrin</t>
        </is>
      </c>
      <c r="B22" s="186" t="inlineStr">
        <is>
          <t>Görsel kalite ürün değerinin zorunlu parçasıdır</t>
        </is>
      </c>
      <c r="C22" s="186" t="inlineStr">
        <is>
          <t>Kaliteli grafik, gerçek KPI kartı, finansal hiyerarşi, tab rengi, fonksiyonel navigasyon</t>
        </is>
      </c>
      <c r="D22" s="186" t="inlineStr">
        <is>
          <t>Sadece doğru hesap yapıp çıplak/varsayılan Excel görünümü bırakmak</t>
        </is>
      </c>
      <c r="E22" s="186" t="inlineStr">
        <is>
          <t>Görsel release incelemesi</t>
        </is>
      </c>
      <c r="F22" s="19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TÜRKİYE MUHASEBE VE TEKDÜZEN HESAP PLANI STANDARDI</t>
        </is>
      </c>
    </row>
    <row r="3" ht="24" customHeight="1">
      <c r="A3" s="192" t="inlineStr">
        <is>
          <t>Konu</t>
        </is>
      </c>
      <c r="B3" s="192" t="inlineStr">
        <is>
          <t>Zorunlu Standart</t>
        </is>
      </c>
      <c r="C3" s="192" t="inlineStr">
        <is>
          <t>Örnek Türkçe Ad</t>
        </is>
      </c>
      <c r="D3" s="192" t="inlineStr">
        <is>
          <t>THP / Mantık</t>
        </is>
      </c>
      <c r="E3" s="192" t="inlineStr">
        <is>
          <t>Hata Riski</t>
        </is>
      </c>
      <c r="F3" s="192" t="inlineStr">
        <is>
          <t>Kontrol</t>
        </is>
      </c>
    </row>
    <row r="4">
      <c r="A4" s="193" t="inlineStr">
        <is>
          <t>Dil</t>
        </is>
      </c>
      <c r="B4" s="177" t="inlineStr">
        <is>
          <t>Kullanıcıya görünen finansal terimler Türkçe</t>
        </is>
      </c>
      <c r="C4" s="177" t="inlineStr">
        <is>
          <t>Hasılat, Satışların Maliyeti, Brüt Kâr, Faaliyet Giderleri</t>
        </is>
      </c>
      <c r="D4" s="177" t="inlineStr">
        <is>
          <t>Türk işletme kullanımına uygun</t>
        </is>
      </c>
      <c r="E4" s="177" t="inlineStr">
        <is>
          <t>İngilizce jargon</t>
        </is>
      </c>
      <c r="F4" s="177" t="inlineStr">
        <is>
          <t>Terminoloji taraması</t>
        </is>
      </c>
    </row>
    <row r="5" ht="28" customHeight="1">
      <c r="A5" s="193" t="inlineStr">
        <is>
          <t>Gelir Tablosu</t>
        </is>
      </c>
      <c r="B5" s="177" t="inlineStr">
        <is>
          <t>Türk sunum sırası kullanılır</t>
        </is>
      </c>
      <c r="C5" s="177" t="inlineStr">
        <is>
          <t>Net Satışlar → Satışların Maliyeti → Brüt Kâr → Faaliyet Giderleri → Faaliyet Kârı</t>
        </is>
      </c>
      <c r="D5" s="177" t="inlineStr">
        <is>
          <t>600/610/611; 620-623; 63x</t>
        </is>
      </c>
      <c r="E5" s="177" t="inlineStr">
        <is>
          <t>Yanlış sınıflama</t>
        </is>
      </c>
      <c r="F5" s="177" t="inlineStr">
        <is>
          <t>Hesap eşleme</t>
        </is>
      </c>
    </row>
    <row r="6" ht="28" customHeight="1">
      <c r="A6" s="193" t="inlineStr">
        <is>
          <t>Bilanço</t>
        </is>
      </c>
      <c r="B6" s="177" t="inlineStr">
        <is>
          <t>Dönen/Duran Varlık ve Kısa/Uzun Vadeli Yükümlülük ayrımı</t>
        </is>
      </c>
      <c r="C6" s="177" t="inlineStr">
        <is>
          <t>Hazır Değerler, Ticari Alacaklar, Stoklar, Mali Borçlar</t>
        </is>
      </c>
      <c r="D6" s="177" t="inlineStr">
        <is>
          <t>1xx / 2xx / 3xx / 4xx / 5xx</t>
        </is>
      </c>
      <c r="E6" s="177" t="inlineStr">
        <is>
          <t>Vade sınıfı hatası</t>
        </is>
      </c>
      <c r="F6" s="177" t="inlineStr">
        <is>
          <t>Bilanço eşitliği</t>
        </is>
      </c>
    </row>
    <row r="7">
      <c r="A7" s="193" t="inlineStr">
        <is>
          <t>Nakit Akışı</t>
        </is>
      </c>
      <c r="B7" s="177" t="inlineStr">
        <is>
          <t>İşletme/Yatırım/Finansman nakit akışları ayrılır</t>
        </is>
      </c>
      <c r="C7" s="177" t="inlineStr">
        <is>
          <t>Faaliyetlerden Nakit, Yatırım Harcamaları, Finansman Nakit Akışı</t>
        </is>
      </c>
      <c r="D7" s="177" t="inlineStr">
        <is>
          <t>Dolaylı/doğrudan yöntem açık seçilir</t>
        </is>
      </c>
      <c r="E7" s="177" t="inlineStr">
        <is>
          <t>Kâr = nakit sanılması</t>
        </is>
      </c>
      <c r="F7" s="177" t="inlineStr">
        <is>
          <t>Nakit devri</t>
        </is>
      </c>
    </row>
    <row r="8">
      <c r="A8" s="193" t="inlineStr">
        <is>
          <t>Ticari Alacaklar</t>
        </is>
      </c>
      <c r="B8" s="177" t="inlineStr">
        <is>
          <t>Cari ve vade mantığı korunur</t>
        </is>
      </c>
      <c r="C8" s="177" t="inlineStr">
        <is>
          <t>120 Alıcılar</t>
        </is>
      </c>
      <c r="D8" s="177" t="inlineStr">
        <is>
          <t>120</t>
        </is>
      </c>
      <c r="E8" s="177" t="inlineStr">
        <is>
          <t>Tahakkuk/nakit karışması</t>
        </is>
      </c>
      <c r="F8" s="177" t="inlineStr">
        <is>
          <t>Alacak devir kontrolü</t>
        </is>
      </c>
    </row>
    <row r="9">
      <c r="A9" s="193" t="inlineStr">
        <is>
          <t>Ticari Borçlar</t>
        </is>
      </c>
      <c r="B9" s="177" t="inlineStr">
        <is>
          <t>Tedarikçi borcu ayrı izlenir</t>
        </is>
      </c>
      <c r="C9" s="177" t="inlineStr">
        <is>
          <t>320 Satıcılar</t>
        </is>
      </c>
      <c r="D9" s="177" t="inlineStr">
        <is>
          <t>320</t>
        </is>
      </c>
      <c r="E9" s="177" t="inlineStr">
        <is>
          <t>Gider/ödeme karışması</t>
        </is>
      </c>
      <c r="F9" s="177" t="inlineStr">
        <is>
          <t>Borç devir kontrolü</t>
        </is>
      </c>
    </row>
    <row r="10">
      <c r="A10" s="193" t="inlineStr">
        <is>
          <t>Kasa/Banka</t>
        </is>
      </c>
      <c r="B10" s="177" t="inlineStr">
        <is>
          <t>Hazır değerler ayrı izlenir</t>
        </is>
      </c>
      <c r="C10" s="177" t="inlineStr">
        <is>
          <t>100 Kasa, 102 Bankalar</t>
        </is>
      </c>
      <c r="D10" s="177" t="inlineStr">
        <is>
          <t>100 / 102</t>
        </is>
      </c>
      <c r="E10" s="177" t="inlineStr">
        <is>
          <t>Virmanla toplam nakdin değişmesi</t>
        </is>
      </c>
      <c r="F10" s="177" t="inlineStr">
        <is>
          <t>Virman değişmezi</t>
        </is>
      </c>
    </row>
    <row r="11">
      <c r="A11" s="193" t="inlineStr">
        <is>
          <t>Stok</t>
        </is>
      </c>
      <c r="B11" s="177" t="inlineStr">
        <is>
          <t>Dikeye uygun stok türü</t>
        </is>
      </c>
      <c r="C11" s="177" t="inlineStr">
        <is>
          <t>150 İlk Madde ve Malzeme, 153 Ticari Mallar</t>
        </is>
      </c>
      <c r="D11" s="177" t="inlineStr">
        <is>
          <t>15x</t>
        </is>
      </c>
      <c r="E11" s="177" t="inlineStr">
        <is>
          <t>Maliyet ve stok hareketinin kopması</t>
        </is>
      </c>
      <c r="F11" s="177" t="inlineStr">
        <is>
          <t>Stok devri</t>
        </is>
      </c>
    </row>
    <row r="12" ht="28" customHeight="1">
      <c r="A12" s="193" t="inlineStr">
        <is>
          <t>Maddi Duran Varlık</t>
        </is>
      </c>
      <c r="B12" s="177" t="inlineStr">
        <is>
          <t>Yatırım harcaması ve amortisman bağlantılı</t>
        </is>
      </c>
      <c r="C12" s="177" t="inlineStr">
        <is>
          <t>253 Tesis Makine Cihazlar, 255 Demirbaşlar, 257 Birikmiş Amortismanlar</t>
        </is>
      </c>
      <c r="D12" s="177" t="inlineStr">
        <is>
          <t>25x</t>
        </is>
      </c>
      <c r="E12" s="177" t="inlineStr">
        <is>
          <t>Yatırım/gider karışması</t>
        </is>
      </c>
      <c r="F12" s="177" t="inlineStr">
        <is>
          <t>Net defter değeri devri</t>
        </is>
      </c>
    </row>
    <row r="13">
      <c r="A13" s="193" t="inlineStr">
        <is>
          <t>Mali Borçlar</t>
        </is>
      </c>
      <c r="B13" s="177" t="inlineStr">
        <is>
          <t>Kısa/uzun vadeli borç ayrımı</t>
        </is>
      </c>
      <c r="C13" s="177" t="inlineStr">
        <is>
          <t>300 Banka Kredileri / 400 Banka Kredileri</t>
        </is>
      </c>
      <c r="D13" s="177" t="inlineStr">
        <is>
          <t>300 / 400</t>
        </is>
      </c>
      <c r="E13" s="177" t="inlineStr">
        <is>
          <t>Vade sınıfı yanlış</t>
        </is>
      </c>
      <c r="F13" s="177" t="inlineStr">
        <is>
          <t>Borç devri</t>
        </is>
      </c>
    </row>
    <row r="14">
      <c r="A14" s="193" t="inlineStr">
        <is>
          <t>Özkaynak</t>
        </is>
      </c>
      <c r="B14" s="177" t="inlineStr">
        <is>
          <t>Sermaye ve geçmiş yıl kârları ayrı</t>
        </is>
      </c>
      <c r="C14" s="177" t="inlineStr">
        <is>
          <t>500 Sermaye, 570 Geçmiş Yıllar Kârları, 590 Dönem Net Kârı</t>
        </is>
      </c>
      <c r="D14" s="177" t="inlineStr">
        <is>
          <t>5xx</t>
        </is>
      </c>
      <c r="E14" s="177" t="inlineStr">
        <is>
          <t>Net kâr bağının kopması</t>
        </is>
      </c>
      <c r="F14" s="177" t="inlineStr">
        <is>
          <t>Özkaynak devri</t>
        </is>
      </c>
    </row>
    <row r="15">
      <c r="A15" s="193" t="inlineStr">
        <is>
          <t>Vergi</t>
        </is>
      </c>
      <c r="B15" s="177" t="inlineStr">
        <is>
          <t>Vergi satırları Türkiye mantığına uygun</t>
        </is>
      </c>
      <c r="C15" s="177" t="inlineStr">
        <is>
          <t>Dönem Vergi ve Diğer Yasal Yükümlülük Karşılıkları</t>
        </is>
      </c>
      <c r="D15" s="177" t="inlineStr">
        <is>
          <t>37x / ilgili vergi hesapları</t>
        </is>
      </c>
      <c r="E15" s="177" t="inlineStr">
        <is>
          <t>Vergi etkisinin yanlış dönemlenmesi</t>
        </is>
      </c>
      <c r="F15" s="177" t="inlineStr">
        <is>
          <t>Vergi sözleşmesi</t>
        </is>
      </c>
    </row>
    <row r="16">
      <c r="A16" s="193" t="inlineStr">
        <is>
          <t>İsim standardı</t>
        </is>
      </c>
      <c r="B16" s="177" t="inlineStr">
        <is>
          <t>Tablo ve sayfa adları Türkçe ve işlevsel</t>
        </is>
      </c>
      <c r="C16" s="177" t="inlineStr">
        <is>
          <t>GELİR_TABLOSU, BİLANÇO, NAKİT_AKISI, BORC_PLANI</t>
        </is>
      </c>
      <c r="D16" s="177" t="inlineStr">
        <is>
          <t>Tekrarlanabilir standart</t>
        </is>
      </c>
      <c r="E16" s="177" t="inlineStr">
        <is>
          <t>İngilizce/karma isim</t>
        </is>
      </c>
      <c r="F16" s="177" t="inlineStr">
        <is>
          <t>Sayfa ve tablo taraması</t>
        </is>
      </c>
    </row>
    <row r="17">
      <c r="A17" s="193" t="inlineStr">
        <is>
          <t>THP eşleme tablosu</t>
        </is>
      </c>
      <c r="B17" s="177" t="inlineStr">
        <is>
          <t>Her kritik satır en az bir THP hesabına bağlanır</t>
        </is>
      </c>
      <c r="C17" s="177" t="inlineStr">
        <is>
          <t>RaporSatırı → HesapKodu → HesapAdı → İşaret → Dönem</t>
        </is>
      </c>
      <c r="D17" s="177" t="inlineStr">
        <is>
          <t>Kaynak izlenebilirliği</t>
        </is>
      </c>
      <c r="E17" s="177" t="inlineStr">
        <is>
          <t>Rapordan rapora kaynak</t>
        </is>
      </c>
      <c r="F17" s="177" t="inlineStr">
        <is>
          <t>Eşleme kapsama %100</t>
        </is>
      </c>
    </row>
    <row r="18">
      <c r="A18" s="193" t="inlineStr">
        <is>
          <t>İstisna</t>
        </is>
      </c>
      <c r="B18" s="177" t="inlineStr">
        <is>
          <t>TFRS özel ürün varsa fark açık yazılır</t>
        </is>
      </c>
      <c r="C18" s="177" t="inlineStr">
        <is>
          <t>Tekdüzen raporlama ≠ TFRS finansal tablo sunumu</t>
        </is>
      </c>
      <c r="D18" s="177" t="inlineStr">
        <is>
          <t>Amaç belirtilir</t>
        </is>
      </c>
      <c r="E18" s="177" t="inlineStr">
        <is>
          <t>Standartları karıştırma</t>
        </is>
      </c>
      <c r="F18" s="17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KARAR, GÜVEN VE SATIŞA HAZIRLIK STANDARDI</t>
        </is>
      </c>
    </row>
    <row r="3" ht="24" customHeight="1">
      <c r="A3" s="195" t="inlineStr">
        <is>
          <t>Alan</t>
        </is>
      </c>
      <c r="B3" s="195" t="inlineStr">
        <is>
          <t>Müşteri Sorusu</t>
        </is>
      </c>
      <c r="C3" s="195" t="inlineStr">
        <is>
          <t>Zorunlu Ürün Davranışı</t>
        </is>
      </c>
      <c r="D3" s="195" t="inlineStr">
        <is>
          <t>Kanıt</t>
        </is>
      </c>
      <c r="E3" s="195" t="inlineStr">
        <is>
          <t>Başarısızlık Durumu</t>
        </is>
      </c>
      <c r="F3" s="195" t="inlineStr">
        <is>
          <t>Kapı</t>
        </is>
      </c>
    </row>
    <row r="4">
      <c r="A4" s="196" t="inlineStr">
        <is>
          <t>5 saniye</t>
        </is>
      </c>
      <c r="B4" s="177" t="inlineStr">
        <is>
          <t>Bu ürün neyi çözüyor?</t>
        </is>
      </c>
      <c r="C4" s="177" t="inlineStr">
        <is>
          <t>İlk ekranda hedef kullanıcı + pahalı problem + sonuç görünür</t>
        </is>
      </c>
      <c r="D4" s="177" t="inlineStr">
        <is>
          <t>Başlık + alt mesaj + gerçek ekran</t>
        </is>
      </c>
      <c r="E4" s="177" t="inlineStr">
        <is>
          <t>Ürün yalnız teknik isim</t>
        </is>
      </c>
      <c r="F4" s="197" t="inlineStr">
        <is>
          <t>HATA</t>
        </is>
      </c>
    </row>
    <row r="5">
      <c r="A5" s="196" t="inlineStr">
        <is>
          <t>Acı</t>
        </is>
      </c>
      <c r="B5" s="177" t="inlineStr">
        <is>
          <t>Sorun bana neye mal oluyor?</t>
        </is>
      </c>
      <c r="C5" s="177" t="inlineStr">
        <is>
          <t>Mümkünse müşterinin kendi verisiyle parasal/zaman etkisi hesaplanır</t>
        </is>
      </c>
      <c r="D5" s="177" t="inlineStr">
        <is>
          <t>ROI/acı hesaplama yöntemi</t>
        </is>
      </c>
      <c r="E5" s="177" t="inlineStr">
        <is>
          <t>Uydurma tasarruf</t>
        </is>
      </c>
      <c r="F5" s="197" t="inlineStr">
        <is>
          <t>HATA</t>
        </is>
      </c>
    </row>
    <row r="6">
      <c r="A6" s="196" t="inlineStr">
        <is>
          <t>Karar</t>
        </is>
      </c>
      <c r="B6" s="177" t="inlineStr">
        <is>
          <t>Bu bilgiyle ne yapacağım?</t>
        </is>
      </c>
      <c r="C6" s="177" t="inlineStr">
        <is>
          <t>Her kritik KPI aksiyona bağlanır</t>
        </is>
      </c>
      <c r="D6" s="177" t="inlineStr">
        <is>
          <t>KARAR_KUYRUGU</t>
        </is>
      </c>
      <c r="E6" s="177" t="inlineStr">
        <is>
          <t>Sadece rapor</t>
        </is>
      </c>
      <c r="F6" s="197" t="inlineStr">
        <is>
          <t>HATA</t>
        </is>
      </c>
    </row>
    <row r="7">
      <c r="A7" s="196" t="inlineStr">
        <is>
          <t>Güven</t>
        </is>
      </c>
      <c r="B7" s="177" t="inlineStr">
        <is>
          <t>Bu sayıya neden inanayım?</t>
        </is>
      </c>
      <c r="C7" s="177" t="inlineStr">
        <is>
          <t>Kaynak, formül mantığı, kontrol ve son doğrulama görünür</t>
        </is>
      </c>
      <c r="D7" s="177" t="inlineStr">
        <is>
          <t>Kontroller + kaynak izi + sürüm</t>
        </is>
      </c>
      <c r="E7" s="177" t="inlineStr">
        <is>
          <t>Prestij kelimesi</t>
        </is>
      </c>
      <c r="F7" s="197" t="inlineStr">
        <is>
          <t>HATA</t>
        </is>
      </c>
    </row>
    <row r="8">
      <c r="A8" s="196" t="inlineStr">
        <is>
          <t>Referans</t>
        </is>
      </c>
      <c r="B8" s="177" t="inlineStr">
        <is>
          <t>Müşteri yorumu yoksa ne göstereceğim?</t>
        </is>
      </c>
      <c r="C8" s="177" t="inlineStr">
        <is>
          <t>Önce/Sonra + Karar Vakası + Hata Önleme Vakası üretilir</t>
        </is>
      </c>
      <c r="D8" s="177" t="inlineStr">
        <is>
          <t>Demo/örnek çıktı</t>
        </is>
      </c>
      <c r="E8" s="177" t="inlineStr">
        <is>
          <t>Kanıtsız iddia</t>
        </is>
      </c>
      <c r="F8" s="197" t="inlineStr">
        <is>
          <t>HATA</t>
        </is>
      </c>
    </row>
    <row r="9">
      <c r="A9" s="196" t="inlineStr">
        <is>
          <t>Senaryo</t>
        </is>
      </c>
      <c r="B9" s="177" t="inlineStr">
        <is>
          <t>Ne olursa işler bozulur?</t>
        </is>
      </c>
      <c r="C9" s="177" t="inlineStr">
        <is>
          <t>Baz/Aşağı/Yukarı veya uygun stres senaryosu</t>
        </is>
      </c>
      <c r="D9" s="177" t="inlineStr">
        <is>
          <t>Senaryo karşılaştırma</t>
        </is>
      </c>
      <c r="E9" s="177" t="inlineStr">
        <is>
          <t>Dekoratif senaryo</t>
        </is>
      </c>
      <c r="F9" s="197" t="inlineStr">
        <is>
          <t>HATA</t>
        </is>
      </c>
    </row>
    <row r="10">
      <c r="A10" s="196" t="inlineStr">
        <is>
          <t>Ters stres</t>
        </is>
      </c>
      <c r="B10" s="177" t="inlineStr">
        <is>
          <t>Hangi eşikte karar kırılır?</t>
        </is>
      </c>
      <c r="C10" s="177" t="inlineStr">
        <is>
          <t>En az bir kritik sürücü için kırılma eşiği</t>
        </is>
      </c>
      <c r="D10" s="177" t="inlineStr">
        <is>
          <t>Kırılma eşiği tablosu</t>
        </is>
      </c>
      <c r="E10" s="177" t="inlineStr">
        <is>
          <t>Sadece +/- %10</t>
        </is>
      </c>
      <c r="F10" s="197" t="inlineStr">
        <is>
          <t>UYARI/HATA</t>
        </is>
      </c>
    </row>
    <row r="11">
      <c r="A11" s="196" t="inlineStr">
        <is>
          <t>Hata tutarlılığı</t>
        </is>
      </c>
      <c r="B11" s="177" t="inlineStr">
        <is>
          <t>Formül hata verirse ne olur?</t>
        </is>
      </c>
      <c r="C11" s="177" t="inlineStr">
        <is>
          <t>Kontrol GEÇTİ veremez; BLOKE/HATA üretir</t>
        </is>
      </c>
      <c r="D11" s="177" t="inlineStr">
        <is>
          <t>Hata taraması</t>
        </is>
      </c>
      <c r="E11" s="177" t="inlineStr">
        <is>
          <t>Hata + GEÇTİ birlikte</t>
        </is>
      </c>
      <c r="F11" s="197" t="inlineStr">
        <is>
          <t>HATA</t>
        </is>
      </c>
    </row>
    <row r="12">
      <c r="A12" s="196" t="inlineStr">
        <is>
          <t>Karar motoru</t>
        </is>
      </c>
      <c r="B12" s="177" t="inlineStr">
        <is>
          <t>Ne oldu, neden oldu?</t>
        </is>
      </c>
      <c r="C12" s="177" t="inlineStr">
        <is>
          <t>Sorun + neden + parasal etki + aksiyon + son tarih</t>
        </is>
      </c>
      <c r="D12" s="177" t="inlineStr">
        <is>
          <t>Karar tablosu</t>
        </is>
      </c>
      <c r="E12" s="177" t="inlineStr">
        <is>
          <t>Boş sayfa / isim düzeyi modül</t>
        </is>
      </c>
      <c r="F12" s="197" t="inlineStr">
        <is>
          <t>HATA</t>
        </is>
      </c>
    </row>
    <row r="13">
      <c r="A13" s="196" t="inlineStr">
        <is>
          <t>Yönetici özeti</t>
        </is>
      </c>
      <c r="B13" s="177" t="inlineStr">
        <is>
          <t>5 saniyede ne görmeliyim?</t>
        </is>
      </c>
      <c r="C13" s="177" t="inlineStr">
        <is>
          <t>Bugün / ne değişti / ne bozulacak / neden / ne yapmalıyım / güven</t>
        </is>
      </c>
      <c r="D13" s="177" t="inlineStr">
        <is>
          <t>Yönetici özeti ekranı</t>
        </is>
      </c>
      <c r="E13" s="177" t="inlineStr">
        <is>
          <t>KPI kutusu yığını</t>
        </is>
      </c>
      <c r="F13" s="197" t="inlineStr">
        <is>
          <t>HATA</t>
        </is>
      </c>
    </row>
    <row r="14">
      <c r="A14" s="196" t="inlineStr">
        <is>
          <t>Teklif</t>
        </is>
      </c>
      <c r="B14" s="177" t="inlineStr">
        <is>
          <t>Neden satın almalıyım?</t>
        </is>
      </c>
      <c r="C14" s="177" t="inlineStr">
        <is>
          <t>Dosya özellikleri yerine sonuç ve kaçınılan maliyet sunulur</t>
        </is>
      </c>
      <c r="D14" s="177" t="inlineStr">
        <is>
          <t>Ürün sayfası kanıt eşlemesi</t>
        </is>
      </c>
      <c r="E14" s="177" t="inlineStr">
        <is>
          <t>Özellik listesiyle satış</t>
        </is>
      </c>
      <c r="F14" s="197" t="inlineStr">
        <is>
          <t>HATA</t>
        </is>
      </c>
    </row>
    <row r="15">
      <c r="A15" s="196" t="inlineStr">
        <is>
          <t>Dağıtım</t>
        </is>
      </c>
      <c r="B15" s="177" t="inlineStr">
        <is>
          <t>Beni nasıl bulacaklar?</t>
        </is>
      </c>
      <c r="C15" s="177" t="inlineStr">
        <is>
          <t>Sorun niyetine göre SEO sayfaları, iç bağlantı, temiz yapı, taranabilir metin</t>
        </is>
      </c>
      <c r="D15" s="177" t="inlineStr">
        <is>
          <t>Arama niyeti haritası</t>
        </is>
      </c>
      <c r="E15" s="177" t="inlineStr">
        <is>
          <t>Tek ürün sayfasına bağımlılık</t>
        </is>
      </c>
      <c r="F15" s="197" t="inlineStr">
        <is>
          <t>UYARI</t>
        </is>
      </c>
    </row>
    <row r="16" ht="28" customHeight="1">
      <c r="A16" s="196" t="inlineStr">
        <is>
          <t>LLM görünürlüğü</t>
        </is>
      </c>
      <c r="B16" s="177" t="inlineStr">
        <is>
          <t>AI ürünümü anlayabiliyor mu?</t>
        </is>
      </c>
      <c r="C16" s="177" t="inlineStr">
        <is>
          <t>Ürün tanımı, hedef kullanıcı, girdi/çıktı, metodoloji, sınırlar, SSS açık metindir</t>
        </is>
      </c>
      <c r="D16" s="177" t="inlineStr">
        <is>
          <t>Taranabilir ürün içeriği</t>
        </is>
      </c>
      <c r="E16" s="177" t="inlineStr">
        <is>
          <t>'AI SEO' iddiası</t>
        </is>
      </c>
      <c r="F16" s="197" t="inlineStr">
        <is>
          <t>UYARI</t>
        </is>
      </c>
    </row>
    <row r="17">
      <c r="A17" s="196" t="inlineStr">
        <is>
          <t>Satış kanalı</t>
        </is>
      </c>
      <c r="B17" s="177" t="inlineStr">
        <is>
          <t>Nerede satılmalı?</t>
        </is>
      </c>
      <c r="C17" s="177" t="inlineStr">
        <is>
          <t>Arama, LinkedIn, uzman/partner, demo/video; ürüne göre kanal seçilir</t>
        </is>
      </c>
      <c r="D17" s="177" t="inlineStr">
        <is>
          <t>Kanal matrisi</t>
        </is>
      </c>
      <c r="E17" s="177" t="inlineStr">
        <is>
          <t>Her ürüne aynı kanal</t>
        </is>
      </c>
      <c r="F17" s="197" t="inlineStr">
        <is>
          <t>UYARI</t>
        </is>
      </c>
    </row>
    <row r="18">
      <c r="A18" s="196" t="inlineStr">
        <is>
          <t>Fiyat</t>
        </is>
      </c>
      <c r="B18" s="177" t="inlineStr">
        <is>
          <t>Bu fiyat neden mantıklı?</t>
        </is>
      </c>
      <c r="C18" s="177" t="inlineStr">
        <is>
          <t>Fiyat, ekonomik karar değerine ve kanıtlanmış ürün derinliğine bağlanır</t>
        </is>
      </c>
      <c r="D18" s="177" t="inlineStr">
        <is>
          <t>Değer haritası + demo</t>
        </is>
      </c>
      <c r="E18" s="177" t="inlineStr">
        <is>
          <t>Sırf sayfa/formül sayısı</t>
        </is>
      </c>
      <c r="F18" s="197" t="inlineStr">
        <is>
          <t>HATA</t>
        </is>
      </c>
    </row>
    <row r="19">
      <c r="A19" s="196" t="inlineStr">
        <is>
          <t>Pazar kanıtı</t>
        </is>
      </c>
      <c r="B19" s="177" t="inlineStr">
        <is>
          <t>Piyasa gerçekten ödüyor mu?</t>
        </is>
      </c>
      <c r="C19" s="177" t="inlineStr">
        <is>
          <t>Satış/pilot/LOI/fiyat kabulü olmadan pazar doğrulandı yazılmaz</t>
        </is>
      </c>
      <c r="D19" s="177" t="inlineStr">
        <is>
          <t>Gerçek işlem kanıtı</t>
        </is>
      </c>
      <c r="E19" s="177" t="inlineStr">
        <is>
          <t>Tahmini talep = satış kabulü</t>
        </is>
      </c>
      <c r="F19" s="19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KAPAK — Örtülü Sermaye + Emsal Faiz + TF Paketi</t>
        </is>
      </c>
    </row>
    <row r="3" ht="22" customHeight="1">
      <c r="A3" s="227" t="inlineStr">
        <is>
          <t>Örtülü Sermaye + Emsal Faiz + TF Paketi</t>
        </is>
      </c>
    </row>
    <row r="4">
      <c r="A4" s="4" t="inlineStr">
        <is>
          <t>Özkaynak, ilişkili borç, faiz ve TF girdilerini girin; örtülü sermaye eşiği (3x), emsal faiz farkı ve TF farkını toplayıp TEMİZ / DİKKAT / KKEG RİSKİ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3x örtülü sermaye eşiği ve emsal faiz</t>
        </is>
      </c>
    </row>
    <row r="8">
      <c r="A8" s="6" t="inlineStr">
        <is>
          <t>• Borç/özkaynak oranı, kabul edilmeyen faiz, emsal faiz farkı ve TF farkının yan yana hesabı</t>
        </is>
      </c>
    </row>
    <row r="9">
      <c r="A9" s="6" t="inlineStr">
        <is>
          <t>• Baz / iyimser / kötümser + kural değişimi (eşik sıkılaştırma)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ilişkili kişi kapsam yorumu (A / B)</t>
        </is>
      </c>
    </row>
    <row r="13">
      <c r="A13" s="5" t="inlineStr">
        <is>
          <t>Kimler için?</t>
        </is>
      </c>
    </row>
    <row r="14">
      <c r="A14" s="7" t="inlineStr">
        <is>
          <t>• SMMM — örtülü sermaye / emsal faiz / TF KKEG riskini ve madde atfını müşteriye vermek</t>
        </is>
      </c>
    </row>
    <row r="15">
      <c r="A15" s="7" t="inlineStr">
        <is>
          <t>• CFO — TEMİZ / DİKKAT / KKEG RİSKİ kararını savunma dosyasına yazmak</t>
        </is>
      </c>
    </row>
    <row r="16">
      <c r="A16" s="7" t="inlineStr">
        <is>
          <t>• Ortak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84.5" customWidth="1" min="1" max="1"/>
    <col width="9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HIZLI BASLANGIC — Örtülü Sermaye + Emsal Faiz + TF Paketi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özkaynak, ilişkili borç, faiz ve TF tutarlarını sarı hücrelere girin.</t>
        </is>
      </c>
    </row>
    <row r="6">
      <c r="A6" s="10" t="inlineStr">
        <is>
          <t>Adım 2 — Karar</t>
        </is>
      </c>
      <c r="B6" s="6" t="inlineStr">
        <is>
          <t>PANO'da toplam KKEG riskini ve TEMİZ / DİKKAT / KKEG RİSKİ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İlişkili borç toplamına yalnızca faizsiz borçları yazmak</t>
        </is>
      </c>
    </row>
    <row r="11">
      <c r="A11" s="12" t="inlineStr">
        <is>
          <t>• Emsal faiz oranını TCMB/AVG yerine uygulanan oranla aynı bırakmak</t>
        </is>
      </c>
    </row>
    <row r="12">
      <c r="A12" s="12" t="inlineStr">
        <is>
          <t>• Hesap yılını kural tablosuyla uyumsuz seçmek (2025 ≠ 2026 eşiği)</t>
        </is>
      </c>
    </row>
    <row r="14">
      <c r="A14" s="13" t="inlineStr">
        <is>
          <t>Bu dosya karar destek aracıdır; kesin vergi görüşü veya beyanname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:I1"/>
    <mergeCell ref="A11:H11"/>
    <mergeCell ref="B6:T6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GIRDI — Örtülü Sermaye + Emsal Faiz + TF Paketi</t>
        </is>
      </c>
    </row>
    <row r="3" ht="22" customHeight="1">
      <c r="A3" s="228" t="inlineStr">
        <is>
          <t>Şirket ve örtülü sermaye / TF girdileri</t>
        </is>
      </c>
    </row>
    <row r="4">
      <c r="A4" s="4" t="inlineStr">
        <is>
          <t>Sarı hücreler manuel giriştir. Eşikler KURALLAR'dan; KKEG riski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Şirket Adı</t>
        </is>
      </c>
      <c r="B6" s="31" t="inlineStr">
        <is>
          <t>Örnek Holding A.Ş.</t>
        </is>
      </c>
      <c r="C6" s="28" t="inlineStr">
        <is>
          <t>metin</t>
        </is>
      </c>
    </row>
    <row r="7">
      <c r="A7" s="7" t="inlineStr">
        <is>
          <t>Dönem</t>
        </is>
      </c>
      <c r="B7" s="31" t="inlineStr">
        <is>
          <t>2026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2026</v>
      </c>
      <c r="C8" s="28" t="inlineStr">
        <is>
          <t>yıl</t>
        </is>
      </c>
    </row>
    <row r="9">
      <c r="A9" s="7" t="inlineStr">
        <is>
          <t>Özkaynak [₺]</t>
        </is>
      </c>
      <c r="B9" s="33" t="n">
        <v>10000000</v>
      </c>
      <c r="C9" s="28" t="inlineStr">
        <is>
          <t>₺</t>
        </is>
      </c>
    </row>
    <row r="10">
      <c r="A10" s="7" t="inlineStr">
        <is>
          <t>İlişkili Borç Toplamı [₺]</t>
        </is>
      </c>
      <c r="B10" s="33" t="n">
        <v>40000000</v>
      </c>
      <c r="C10" s="28" t="inlineStr">
        <is>
          <t>₺</t>
        </is>
      </c>
    </row>
    <row r="11">
      <c r="A11" s="7" t="inlineStr">
        <is>
          <t>Yıllık Faiz Gideri [₺]</t>
        </is>
      </c>
      <c r="B11" s="33" t="n">
        <v>4000000</v>
      </c>
      <c r="C11" s="28" t="inlineStr">
        <is>
          <t>₺</t>
        </is>
      </c>
    </row>
    <row r="12">
      <c r="A12" s="7" t="inlineStr">
        <is>
          <t>Uygulanan Faiz Oranı [%]</t>
        </is>
      </c>
      <c r="B12" s="34" t="n">
        <v>0.12</v>
      </c>
      <c r="C12" s="28" t="inlineStr">
        <is>
          <t>%</t>
        </is>
      </c>
    </row>
    <row r="13">
      <c r="A13" s="7" t="inlineStr">
        <is>
          <t>Emsal Faiz Oranı (TCMB/AVG) [%]</t>
        </is>
      </c>
      <c r="B13" s="34" t="n">
        <v>0.1</v>
      </c>
      <c r="C13" s="28" t="inlineStr">
        <is>
          <t>%</t>
        </is>
      </c>
    </row>
    <row r="14">
      <c r="A14" s="7" t="inlineStr">
        <is>
          <t>İlişkili İşlem Tutarı [₺]</t>
        </is>
      </c>
      <c r="B14" s="33" t="n">
        <v>5000000</v>
      </c>
      <c r="C14" s="28" t="inlineStr">
        <is>
          <t>₺</t>
        </is>
      </c>
    </row>
    <row r="15">
      <c r="A15" s="7" t="inlineStr">
        <is>
          <t>Emsal Bedel [₺]</t>
        </is>
      </c>
      <c r="B15" s="33" t="n">
        <v>4500000</v>
      </c>
      <c r="C15" s="28" t="inlineStr">
        <is>
          <t>₺</t>
        </is>
      </c>
    </row>
    <row r="16">
      <c r="A16" s="7" t="inlineStr">
        <is>
          <t>Yorum Modu (A/B)</t>
        </is>
      </c>
      <c r="B16" s="31" t="inlineStr">
        <is>
          <t>A</t>
        </is>
      </c>
      <c r="C16" s="28" t="inlineStr">
        <is>
          <t>metin</t>
        </is>
      </c>
    </row>
    <row r="18">
      <c r="A18" s="10" t="inlineStr">
        <is>
          <t>Örtülü eşik (ayna)</t>
        </is>
      </c>
      <c r="B18" s="35">
        <f>IFERROR(INDEX(CHOOSE(MAX(1,MIN(3,IF(OR(hesapYili="",hesapYili=0),1,hesapYili-ose_yilTaban))),tblKurallar[deger_2025],tblKurallar[deger_2026],tblKurallar[deger_2027]),MATCH("OSE-001",tblKurallar[kural_id],0)),0)</f>
        <v/>
      </c>
    </row>
    <row r="19">
      <c r="A19" s="10" t="inlineStr">
        <is>
          <t>Dikkat eşiği (ayna) [₺]</t>
        </is>
      </c>
      <c r="B19" s="36">
        <f>IFERROR(INDEX(CHOOSE(MAX(1,MIN(3,IF(OR(hesapYili="",hesapYili=0),1,hesapYili-ose_yilTaban))),tblKurallar[deger_2025],tblKurallar[deger_2026],tblKurallar[deger_2027]),MATCH("OSE-003",tblKurallar[kural_id],0)),0)</f>
        <v/>
      </c>
    </row>
    <row r="20">
      <c r="A20" s="10" t="inlineStr">
        <is>
          <t>Toplam KKEG riski (ayna) [₺]</t>
        </is>
      </c>
      <c r="B20" s="36">
        <f>IFERROR(ose_toplamKkeg,0)</f>
        <v/>
      </c>
    </row>
    <row r="21">
      <c r="A21" s="10" t="inlineStr">
        <is>
          <t>Giriş doluluk (kalite)</t>
        </is>
      </c>
      <c r="B21" s="37">
        <f>IFERROR(IF(OR(COUNTA(B6:B16)=0,ose_girisBeklenen=0),0,ROUND(COUNTA(B6:B16)/ose_girisBeklenen*100,0)),0)</f>
        <v/>
      </c>
    </row>
    <row r="23">
      <c r="A23" s="10" t="inlineStr">
        <is>
          <t>Giriş tablosu (otomasyon / boş-mod)</t>
        </is>
      </c>
    </row>
    <row r="24" ht="30" customHeight="1">
      <c r="A24" s="22" t="inlineStr">
        <is>
          <t>Alan Anahtarı</t>
        </is>
      </c>
      <c r="B24" s="22" t="inlineStr">
        <is>
          <t>Değer</t>
        </is>
      </c>
      <c r="C24" s="22" t="inlineStr">
        <is>
          <t>Birim</t>
        </is>
      </c>
      <c r="D24" s="22" t="inlineStr">
        <is>
          <t>Zorunlu</t>
        </is>
      </c>
      <c r="E24" s="22" t="inlineStr">
        <is>
          <t>Kaynak</t>
        </is>
      </c>
      <c r="F24" s="22" t="inlineStr">
        <is>
          <t>Kontrol</t>
        </is>
      </c>
    </row>
    <row r="25">
      <c r="A25" s="38" t="inlineStr">
        <is>
          <t>sirket_adi</t>
        </is>
      </c>
      <c r="B25" s="38" t="inlineStr">
        <is>
          <t>Örnek Holding A.Ş.</t>
        </is>
      </c>
      <c r="C25" s="38" t="inlineStr">
        <is>
          <t>metin</t>
        </is>
      </c>
      <c r="D25" s="38" t="inlineStr">
        <is>
          <t>Evet</t>
        </is>
      </c>
      <c r="E25" s="38" t="inlineStr">
        <is>
          <t>GIRDI</t>
        </is>
      </c>
      <c r="F25" s="39">
        <f>IF($A25="","",IF($B25="","EKSİK","TAM"))</f>
        <v/>
      </c>
    </row>
    <row r="26">
      <c r="A26" s="38" t="inlineStr">
        <is>
          <t>donem</t>
        </is>
      </c>
      <c r="B26" s="38" t="inlineStr">
        <is>
          <t>2026</t>
        </is>
      </c>
      <c r="C26" s="38" t="inlineStr">
        <is>
          <t>metin</t>
        </is>
      </c>
      <c r="D26" s="38" t="inlineStr">
        <is>
          <t>Evet</t>
        </is>
      </c>
      <c r="E26" s="38" t="inlineStr">
        <is>
          <t>GIRDI</t>
        </is>
      </c>
      <c r="F26" s="39">
        <f>IF($A26="","",IF($B26="","EKSİK","TAM"))</f>
        <v/>
      </c>
    </row>
    <row r="27">
      <c r="A27" s="38" t="inlineStr">
        <is>
          <t>hesapYili</t>
        </is>
      </c>
      <c r="B27" s="40" t="n">
        <v>2026</v>
      </c>
      <c r="C27" s="38" t="inlineStr">
        <is>
          <t>yıl</t>
        </is>
      </c>
      <c r="D27" s="38" t="inlineStr">
        <is>
          <t>Evet</t>
        </is>
      </c>
      <c r="E27" s="38" t="inlineStr">
        <is>
          <t>GIRDI</t>
        </is>
      </c>
      <c r="F27" s="39">
        <f>IF($A27="","",IF($B27="","EKSİK","TAM"))</f>
        <v/>
      </c>
    </row>
    <row r="28">
      <c r="A28" s="38" t="inlineStr">
        <is>
          <t>ozkaynak</t>
        </is>
      </c>
      <c r="B28" s="41" t="n">
        <v>10000000</v>
      </c>
      <c r="C28" s="38" t="inlineStr">
        <is>
          <t>TL</t>
        </is>
      </c>
      <c r="D28" s="38" t="inlineStr">
        <is>
          <t>Evet</t>
        </is>
      </c>
      <c r="E28" s="38" t="inlineStr">
        <is>
          <t>GIRDI</t>
        </is>
      </c>
      <c r="F28" s="39">
        <f>IF($A28="","",IF($B28="","EKSİK","TAM"))</f>
        <v/>
      </c>
    </row>
    <row r="29">
      <c r="A29" s="38" t="inlineStr">
        <is>
          <t>iliskili_borc</t>
        </is>
      </c>
      <c r="B29" s="41" t="n">
        <v>40000000</v>
      </c>
      <c r="C29" s="38" t="inlineStr">
        <is>
          <t>TL</t>
        </is>
      </c>
      <c r="D29" s="38" t="inlineStr">
        <is>
          <t>Evet</t>
        </is>
      </c>
      <c r="E29" s="38" t="inlineStr">
        <is>
          <t>GIRDI</t>
        </is>
      </c>
      <c r="F29" s="39">
        <f>IF($A29="","",IF($B29="","EKSİK","TAM"))</f>
        <v/>
      </c>
    </row>
    <row r="30">
      <c r="A30" s="38" t="inlineStr">
        <is>
          <t>yillik_faiz_gideri</t>
        </is>
      </c>
      <c r="B30" s="41" t="n">
        <v>4000000</v>
      </c>
      <c r="C30" s="38" t="inlineStr">
        <is>
          <t>TL</t>
        </is>
      </c>
      <c r="D30" s="38" t="inlineStr">
        <is>
          <t>Evet</t>
        </is>
      </c>
      <c r="E30" s="38" t="inlineStr">
        <is>
          <t>GIRDI</t>
        </is>
      </c>
      <c r="F30" s="39">
        <f>IF($A30="","",IF($B30="","EKSİK","TAM"))</f>
        <v/>
      </c>
    </row>
    <row r="31">
      <c r="A31" s="38" t="inlineStr">
        <is>
          <t>uygulanan_faiz_orani</t>
        </is>
      </c>
      <c r="B31" s="42" t="n">
        <v>0.12</v>
      </c>
      <c r="C31" s="38" t="inlineStr">
        <is>
          <t>oran</t>
        </is>
      </c>
      <c r="D31" s="38" t="inlineStr">
        <is>
          <t>Evet</t>
        </is>
      </c>
      <c r="E31" s="38" t="inlineStr">
        <is>
          <t>GIRDI</t>
        </is>
      </c>
      <c r="F31" s="39">
        <f>IF($A31="","",IF($B31="","EKSİK","TAM"))</f>
        <v/>
      </c>
    </row>
    <row r="32">
      <c r="A32" s="38" t="inlineStr">
        <is>
          <t>emsal_faiz_orani</t>
        </is>
      </c>
      <c r="B32" s="42" t="n">
        <v>0.1</v>
      </c>
      <c r="C32" s="38" t="inlineStr">
        <is>
          <t>oran</t>
        </is>
      </c>
      <c r="D32" s="38" t="inlineStr">
        <is>
          <t>Evet</t>
        </is>
      </c>
      <c r="E32" s="38" t="inlineStr">
        <is>
          <t>GIRDI</t>
        </is>
      </c>
      <c r="F32" s="39">
        <f>IF($A32="","",IF($B32="","EKSİK","TAM"))</f>
        <v/>
      </c>
    </row>
    <row r="33">
      <c r="A33" s="38" t="inlineStr">
        <is>
          <t>iliskili_islem_tutari</t>
        </is>
      </c>
      <c r="B33" s="41" t="n">
        <v>5000000</v>
      </c>
      <c r="C33" s="38" t="inlineStr">
        <is>
          <t>TL</t>
        </is>
      </c>
      <c r="D33" s="38" t="inlineStr">
        <is>
          <t>Evet</t>
        </is>
      </c>
      <c r="E33" s="38" t="inlineStr">
        <is>
          <t>GIRDI</t>
        </is>
      </c>
      <c r="F33" s="39">
        <f>IF($A33="","",IF($B33="","EKSİK","TAM"))</f>
        <v/>
      </c>
    </row>
    <row r="34">
      <c r="A34" s="38" t="inlineStr">
        <is>
          <t>emsal_bedel</t>
        </is>
      </c>
      <c r="B34" s="41" t="n">
        <v>4500000</v>
      </c>
      <c r="C34" s="38" t="inlineStr">
        <is>
          <t>TL</t>
        </is>
      </c>
      <c r="D34" s="38" t="inlineStr">
        <is>
          <t>Evet</t>
        </is>
      </c>
      <c r="E34" s="38" t="inlineStr">
        <is>
          <t>GIRDI</t>
        </is>
      </c>
      <c r="F34" s="39">
        <f>IF($A34="","",IF($B34="","EKSİK","TAM"))</f>
        <v/>
      </c>
    </row>
    <row r="35">
      <c r="A35" s="38" t="inlineStr">
        <is>
          <t>yorum_modu</t>
        </is>
      </c>
      <c r="B35" s="38" t="inlineStr">
        <is>
          <t>A</t>
        </is>
      </c>
      <c r="C35" s="38" t="inlineStr">
        <is>
          <t>A/B</t>
        </is>
      </c>
      <c r="D35" s="38" t="inlineStr">
        <is>
          <t>Evet</t>
        </is>
      </c>
      <c r="E35" s="38" t="inlineStr">
        <is>
          <t>GIRDI</t>
        </is>
      </c>
      <c r="F35" s="39">
        <f>IF($A35="","",IF($B35="","EKSİK","TAM"))</f>
        <v/>
      </c>
    </row>
    <row r="36">
      <c r="F36" s="39">
        <f>IF($A36="","",IF($B36="","EKSİK","TAM"))</f>
        <v/>
      </c>
    </row>
    <row r="37">
      <c r="F37" s="39">
        <f>IF($A37="","",IF($B37="","EKSİK","TAM"))</f>
        <v/>
      </c>
    </row>
    <row r="38">
      <c r="F38" s="39">
        <f>IF($A38="","",IF($B38="","EKSİK","TAM"))</f>
        <v/>
      </c>
    </row>
    <row r="39">
      <c r="F39" s="39">
        <f>IF($A39="","",IF($B39="","EKSİK","TAM"))</f>
        <v/>
      </c>
    </row>
    <row r="40">
      <c r="F40" s="39">
        <f>IF($A40="","",IF($B40="","EKSİK","TAM"))</f>
        <v/>
      </c>
    </row>
    <row r="41">
      <c r="F41" s="39">
        <f>IF($A41="","",IF($B41="","EKSİK","TAM"))</f>
        <v/>
      </c>
    </row>
    <row r="42">
      <c r="F42" s="39">
        <f>IF($A42="","",IF($B42="","EKSİK","TAM"))</f>
        <v/>
      </c>
    </row>
    <row r="43">
      <c r="F43" s="39">
        <f>IF($A43="","",IF($B43="","EKSİK","TAM"))</f>
        <v/>
      </c>
    </row>
    <row r="44">
      <c r="F44" s="39">
        <f>IF($A44="","",IF($B44="","EKSİK","TAM"))</f>
        <v/>
      </c>
    </row>
    <row r="45">
      <c r="F45" s="39">
        <f>IF($A45="","",IF($B45="","EKSİK","TAM"))</f>
        <v/>
      </c>
    </row>
    <row r="46">
      <c r="F46" s="39">
        <f>IF($A46="","",IF($B46="","EKSİK","TAM"))</f>
        <v/>
      </c>
    </row>
    <row r="47">
      <c r="F47" s="39">
        <f>IF($A47="","",IF($B47="","EKSİK","TAM"))</f>
        <v/>
      </c>
    </row>
    <row r="48">
      <c r="F48" s="39">
        <f>IF($A48="","",IF($B48="","EKSİK","TAM"))</f>
        <v/>
      </c>
    </row>
    <row r="49">
      <c r="F49" s="39">
        <f>IF($A49="","",IF($B49="","EKSİK","TAM"))</f>
        <v/>
      </c>
    </row>
    <row r="50">
      <c r="F50" s="39">
        <f>IF($A50="","",IF($B50="","EKSİK","TAM"))</f>
        <v/>
      </c>
    </row>
    <row r="51">
      <c r="F51" s="39">
        <f>IF($A51="","",IF($B51="","EKSİK","TAM"))</f>
        <v/>
      </c>
    </row>
    <row r="52">
      <c r="F52" s="39">
        <f>IF($A52="","",IF($B52="","EKSİK","TAM"))</f>
        <v/>
      </c>
    </row>
    <row r="53">
      <c r="F53" s="39">
        <f>IF($A53="","",IF($B53="","EKSİK","TAM"))</f>
        <v/>
      </c>
    </row>
    <row r="54">
      <c r="F54" s="39">
        <f>IF($A54="","",IF($B54="","EKSİK","TAM"))</f>
        <v/>
      </c>
    </row>
    <row r="55">
      <c r="F55" s="39">
        <f>IF($A55="","",IF($B55="","EKSİK","TAM"))</f>
        <v/>
      </c>
    </row>
    <row r="56">
      <c r="F56" s="39">
        <f>IF($A56="","",IF($B56="","EKSİK","TAM"))</f>
        <v/>
      </c>
    </row>
    <row r="57">
      <c r="F57" s="39">
        <f>IF($A57="","",IF($B57="","EKSİK","TAM"))</f>
        <v/>
      </c>
    </row>
    <row r="58">
      <c r="F58" s="39">
        <f>IF($A58="","",IF($B58="","EKSİK","TAM"))</f>
        <v/>
      </c>
    </row>
    <row r="59">
      <c r="F59" s="39">
        <f>IF($A59="","",IF($B59="","EKSİK","TAM"))</f>
        <v/>
      </c>
    </row>
    <row r="60">
      <c r="F60" s="39">
        <f>IF($A60="","",IF($B60="","EKSİK","TAM"))</f>
        <v/>
      </c>
    </row>
    <row r="61">
      <c r="F61" s="39">
        <f>IF($A61="","",IF($B61="","EKSİK","TAM"))</f>
        <v/>
      </c>
    </row>
    <row r="62">
      <c r="F62" s="39">
        <f>IF($A62="","",IF($B62="","EKSİK","TAM"))</f>
        <v/>
      </c>
    </row>
    <row r="63">
      <c r="F63" s="39">
        <f>IF($A63="","",IF($B63="","EKSİK","TAM"))</f>
        <v/>
      </c>
    </row>
    <row r="64">
      <c r="F64" s="39">
        <f>IF($A64="","",IF($B64="","EKSİK","TAM"))</f>
        <v/>
      </c>
    </row>
    <row r="65">
      <c r="F65" s="39">
        <f>IF($A65="","",IF($B65="","EKSİK","TAM"))</f>
        <v/>
      </c>
    </row>
    <row r="66">
      <c r="F66" s="39">
        <f>IF($A66="","",IF($B66="","EKSİK","TAM"))</f>
        <v/>
      </c>
    </row>
    <row r="67">
      <c r="F67" s="39">
        <f>IF($A67="","",IF($B67="","EKSİK","TAM"))</f>
        <v/>
      </c>
    </row>
    <row r="68">
      <c r="F68" s="39">
        <f>IF($A68="","",IF($B68="","EKSİK","TAM"))</f>
        <v/>
      </c>
    </row>
    <row r="69">
      <c r="F69" s="39">
        <f>IF($A69="","",IF($B69="","EKSİK","TAM"))</f>
        <v/>
      </c>
    </row>
    <row r="70">
      <c r="F70" s="39">
        <f>IF($A70="","",IF($B70="","EKSİK","TAM"))</f>
        <v/>
      </c>
    </row>
    <row r="71">
      <c r="F71" s="39">
        <f>IF($A71="","",IF($B71="","EKSİK","TAM"))</f>
        <v/>
      </c>
    </row>
    <row r="72">
      <c r="F72" s="39">
        <f>IF($A72="","",IF($B72="","EKSİK","TAM"))</f>
        <v/>
      </c>
    </row>
    <row r="73">
      <c r="F73" s="39">
        <f>IF($A73="","",IF($B73="","EKSİK","TAM"))</f>
        <v/>
      </c>
    </row>
    <row r="74">
      <c r="F74" s="39">
        <f>IF($A74="","",IF($B74="","EKSİK","TAM"))</f>
        <v/>
      </c>
    </row>
    <row r="75">
      <c r="F75" s="39">
        <f>IF($A75="","",IF($B75="","EKSİK","TAM"))</f>
        <v/>
      </c>
    </row>
    <row r="76">
      <c r="F76" s="39">
        <f>IF($A76="","",IF($B76="","EKSİK","TAM"))</f>
        <v/>
      </c>
    </row>
    <row r="77">
      <c r="F77" s="39">
        <f>IF($A77="","",IF($B77="","EKSİK","TAM"))</f>
        <v/>
      </c>
    </row>
    <row r="78">
      <c r="F78" s="39">
        <f>IF($A78="","",IF($B78="","EKSİK","TAM"))</f>
        <v/>
      </c>
    </row>
    <row r="79">
      <c r="F79" s="39">
        <f>IF($A79="","",IF($B79="","EKSİK","TAM"))</f>
        <v/>
      </c>
    </row>
    <row r="80">
      <c r="F80" s="39">
        <f>IF($A80="","",IF($B80="","EKSİK","TAM"))</f>
        <v/>
      </c>
    </row>
    <row r="81">
      <c r="F81" s="39">
        <f>IF($A81="","",IF($B81="","EKSİK","TAM"))</f>
        <v/>
      </c>
    </row>
    <row r="82">
      <c r="F82" s="39">
        <f>IF($A82="","",IF($B82="","EKSİK","TAM"))</f>
        <v/>
      </c>
    </row>
    <row r="83">
      <c r="F83" s="39">
        <f>IF($A83="","",IF($B83="","EKSİK","TAM"))</f>
        <v/>
      </c>
    </row>
    <row r="84">
      <c r="F84" s="39">
        <f>IF($A84="","",IF($B84="","EKSİK","TAM"))</f>
        <v/>
      </c>
    </row>
    <row r="85">
      <c r="F85" s="39">
        <f>IF($A85="","",IF($B85="","EKSİK","TAM"))</f>
        <v/>
      </c>
    </row>
    <row r="86">
      <c r="F86" s="39">
        <f>IF($A86="","",IF($B86="","EKSİK","TAM"))</f>
        <v/>
      </c>
    </row>
    <row r="87">
      <c r="F87" s="39">
        <f>IF($A87="","",IF($B87="","EKSİK","TAM"))</f>
        <v/>
      </c>
    </row>
    <row r="88">
      <c r="F88" s="39">
        <f>IF($A88="","",IF($B88="","EKSİK","TAM"))</f>
        <v/>
      </c>
    </row>
    <row r="89">
      <c r="F89" s="39">
        <f>IF($A89="","",IF($B89="","EKSİK","TAM"))</f>
        <v/>
      </c>
    </row>
    <row r="90">
      <c r="F90" s="39">
        <f>IF($A90="","",IF($B90="","EKSİK","TAM"))</f>
        <v/>
      </c>
    </row>
    <row r="91">
      <c r="F91" s="39">
        <f>IF($A91="","",IF($B91="","EKSİK","TAM"))</f>
        <v/>
      </c>
    </row>
    <row r="92">
      <c r="F92" s="39">
        <f>IF($A92="","",IF($B92="","EKSİK","TAM"))</f>
        <v/>
      </c>
    </row>
    <row r="93">
      <c r="F93" s="39">
        <f>IF($A93="","",IF($B93="","EKSİK","TAM"))</f>
        <v/>
      </c>
    </row>
    <row r="94">
      <c r="F94" s="39">
        <f>IF($A94="","",IF($B94="","EKSİK","TAM"))</f>
        <v/>
      </c>
    </row>
    <row r="95">
      <c r="F95" s="39">
        <f>IF($A95="","",IF($B95="","EKSİK","TAM"))</f>
        <v/>
      </c>
    </row>
    <row r="96">
      <c r="F96" s="39">
        <f>IF($A96="","",IF($B96="","EKSİK","TAM"))</f>
        <v/>
      </c>
    </row>
    <row r="97">
      <c r="F97" s="39">
        <f>IF($A97="","",IF($B97="","EKSİK","TAM"))</f>
        <v/>
      </c>
    </row>
    <row r="98">
      <c r="F98" s="39">
        <f>IF($A98="","",IF($B98="","EKSİK","TAM"))</f>
        <v/>
      </c>
    </row>
    <row r="99">
      <c r="F99" s="39">
        <f>IF($A99="","",IF($B99="","EKSİK","TAM"))</f>
        <v/>
      </c>
    </row>
    <row r="100">
      <c r="F100" s="39">
        <f>IF($A100="","",IF($B100="","EKSİK","TAM"))</f>
        <v/>
      </c>
    </row>
    <row r="101">
      <c r="F101" s="39">
        <f>IF($A101="","",IF($B101="","EKSİK","TAM"))</f>
        <v/>
      </c>
    </row>
    <row r="102">
      <c r="F102" s="39">
        <f>IF($A102="","",IF($B102="","EKSİK","TAM"))</f>
        <v/>
      </c>
    </row>
    <row r="103">
      <c r="F103" s="39">
        <f>IF($A103="","",IF($B103="","EKSİK","TAM"))</f>
        <v/>
      </c>
    </row>
    <row r="104">
      <c r="F104" s="39">
        <f>IF($A104="","",IF($B104="","EKSİK","TAM"))</f>
        <v/>
      </c>
    </row>
    <row r="105">
      <c r="F105" s="39">
        <f>IF($A105="","",IF($B105="","EKSİK","TAM"))</f>
        <v/>
      </c>
    </row>
    <row r="106">
      <c r="F106" s="39">
        <f>IF($A106="","",IF($B106="","EKSİK","TAM"))</f>
        <v/>
      </c>
    </row>
    <row r="107">
      <c r="F107" s="39">
        <f>IF($A107="","",IF($B107="","EKSİK","TAM"))</f>
        <v/>
      </c>
    </row>
    <row r="108">
      <c r="F108" s="39">
        <f>IF($A108="","",IF($B108="","EKSİK","TAM"))</f>
        <v/>
      </c>
    </row>
    <row r="109">
      <c r="F109" s="39">
        <f>IF($A109="","",IF($B109="","EKSİK","TAM"))</f>
        <v/>
      </c>
    </row>
    <row r="110">
      <c r="F110" s="39">
        <f>IF($A110="","",IF($B110="","EKSİK","TAM"))</f>
        <v/>
      </c>
    </row>
    <row r="111">
      <c r="F111" s="39">
        <f>IF($A111="","",IF($B111="","EKSİK","TAM"))</f>
        <v/>
      </c>
    </row>
    <row r="112">
      <c r="F112" s="39">
        <f>IF($A112="","",IF($B112="","EKSİK","TAM"))</f>
        <v/>
      </c>
    </row>
    <row r="113">
      <c r="F113" s="39">
        <f>IF($A113="","",IF($B113="","EKSİK","TAM"))</f>
        <v/>
      </c>
    </row>
    <row r="114">
      <c r="F114" s="39">
        <f>IF($A114="","",IF($B114="","EKSİK","TAM"))</f>
        <v/>
      </c>
    </row>
    <row r="115">
      <c r="F115" s="39">
        <f>IF($A115="","",IF($B115="","EKSİK","TAM"))</f>
        <v/>
      </c>
    </row>
    <row r="116">
      <c r="F116" s="39">
        <f>IF($A116="","",IF($B116="","EKSİK","TAM"))</f>
        <v/>
      </c>
    </row>
    <row r="117">
      <c r="F117" s="39">
        <f>IF($A117="","",IF($B117="","EKSİK","TAM"))</f>
        <v/>
      </c>
    </row>
    <row r="118">
      <c r="F118" s="39">
        <f>IF($A118="","",IF($B118="","EKSİK","TAM"))</f>
        <v/>
      </c>
    </row>
    <row r="119">
      <c r="F119" s="39">
        <f>IF($A119="","",IF($B119="","EKSİK","TAM"))</f>
        <v/>
      </c>
    </row>
    <row r="120">
      <c r="F120" s="39">
        <f>IF($A120="","",IF($B120="","EKSİK","TAM"))</f>
        <v/>
      </c>
    </row>
    <row r="121">
      <c r="F121" s="39">
        <f>IF($A121="","",IF($B121="","EKSİK","TAM"))</f>
        <v/>
      </c>
    </row>
    <row r="122">
      <c r="F122" s="39">
        <f>IF($A122="","",IF($B122="","EKSİK","TAM"))</f>
        <v/>
      </c>
    </row>
    <row r="123">
      <c r="F123" s="39">
        <f>IF($A123="","",IF($B123="","EKSİK","TAM"))</f>
        <v/>
      </c>
    </row>
    <row r="124">
      <c r="F124" s="39">
        <f>IF($A124="","",IF($B124="","EKSİK","TAM"))</f>
        <v/>
      </c>
    </row>
    <row r="125">
      <c r="F125" s="39">
        <f>IF($A125="","",IF($B125="","EKSİK","TAM"))</f>
        <v/>
      </c>
    </row>
    <row r="126">
      <c r="F126" s="39">
        <f>IF($A126="","",IF($B126="","EKSİK","TAM"))</f>
        <v/>
      </c>
    </row>
    <row r="127">
      <c r="F127" s="39">
        <f>IF($A127="","",IF($B127="","EKSİK","TAM"))</f>
        <v/>
      </c>
    </row>
    <row r="128">
      <c r="F128" s="39">
        <f>IF($A128="","",IF($B128="","EKSİK","TAM"))</f>
        <v/>
      </c>
    </row>
    <row r="129">
      <c r="F129" s="39">
        <f>IF($A129="","",IF($B129="","EKSİK","TAM"))</f>
        <v/>
      </c>
    </row>
    <row r="130">
      <c r="F130" s="39">
        <f>IF($A130="","",IF($B130="","EKSİK","TAM"))</f>
        <v/>
      </c>
    </row>
    <row r="131">
      <c r="F131" s="39">
        <f>IF($A131="","",IF($B131="","EKSİK","TAM"))</f>
        <v/>
      </c>
    </row>
    <row r="132">
      <c r="F132" s="39">
        <f>IF($A132="","",IF($B132="","EKSİK","TAM"))</f>
        <v/>
      </c>
    </row>
    <row r="133">
      <c r="F133" s="39">
        <f>IF($A133="","",IF($B133="","EKSİK","TAM"))</f>
        <v/>
      </c>
    </row>
    <row r="134">
      <c r="F134" s="39">
        <f>IF($A134="","",IF($B134="","EKSİK","TAM"))</f>
        <v/>
      </c>
    </row>
    <row r="135">
      <c r="F135" s="39">
        <f>IF($A135="","",IF($B135="","EKSİK","TAM"))</f>
        <v/>
      </c>
    </row>
    <row r="136">
      <c r="F136" s="39">
        <f>IF($A136="","",IF($B136="","EKSİK","TAM"))</f>
        <v/>
      </c>
    </row>
    <row r="137">
      <c r="F137" s="39">
        <f>IF($A137="","",IF($B137="","EKSİK","TAM"))</f>
        <v/>
      </c>
    </row>
    <row r="138">
      <c r="F138" s="39">
        <f>IF($A138="","",IF($B138="","EKSİK","TAM"))</f>
        <v/>
      </c>
    </row>
    <row r="139">
      <c r="F139" s="39">
        <f>IF($A139="","",IF($B139="","EKSİK","TAM"))</f>
        <v/>
      </c>
    </row>
    <row r="140">
      <c r="F140" s="39">
        <f>IF($A140="","",IF($B140="","EKSİK","TAM"))</f>
        <v/>
      </c>
    </row>
    <row r="141">
      <c r="F141" s="39">
        <f>IF($A141="","",IF($B141="","EKSİK","TAM"))</f>
        <v/>
      </c>
    </row>
    <row r="142">
      <c r="F142" s="39">
        <f>IF($A142="","",IF($B142="","EKSİK","TAM"))</f>
        <v/>
      </c>
    </row>
    <row r="143">
      <c r="F143" s="39">
        <f>IF($A143="","",IF($B143="","EKSİK","TAM"))</f>
        <v/>
      </c>
    </row>
    <row r="144">
      <c r="F144" s="39">
        <f>IF($A144="","",IF($B144="","EKSİK","TAM"))</f>
        <v/>
      </c>
    </row>
    <row r="145">
      <c r="F145" s="39">
        <f>IF($A145="","",IF($B145="","EKSİK","TAM"))</f>
        <v/>
      </c>
    </row>
    <row r="146">
      <c r="F146" s="39">
        <f>IF($A146="","",IF($B146="","EKSİK","TAM"))</f>
        <v/>
      </c>
    </row>
    <row r="147">
      <c r="F147" s="39">
        <f>IF($A147="","",IF($B147="","EKSİK","TAM"))</f>
        <v/>
      </c>
    </row>
    <row r="148">
      <c r="F148" s="39">
        <f>IF($A148="","",IF($B148="","EKSİK","TAM"))</f>
        <v/>
      </c>
    </row>
    <row r="149">
      <c r="F149" s="39">
        <f>IF($A149="","",IF($B149="","EKSİK","TAM"))</f>
        <v/>
      </c>
    </row>
    <row r="150">
      <c r="F150" s="39">
        <f>IF($A150="","",IF($B150="","EKSİK","TAM"))</f>
        <v/>
      </c>
    </row>
    <row r="151">
      <c r="F151" s="39">
        <f>IF($A151="","",IF($B151="","EKSİK","TAM"))</f>
        <v/>
      </c>
    </row>
    <row r="152">
      <c r="F152" s="39">
        <f>IF($A152="","",IF($B152="","EKSİK","TAM"))</f>
        <v/>
      </c>
    </row>
    <row r="153">
      <c r="F153" s="39">
        <f>IF($A153="","",IF($B153="","EKSİK","TAM"))</f>
        <v/>
      </c>
    </row>
    <row r="154">
      <c r="F154" s="39">
        <f>IF($A154="","",IF($B154="","EKSİK","TAM"))</f>
        <v/>
      </c>
    </row>
    <row r="155">
      <c r="F155" s="39">
        <f>IF($A155="","",IF($B155="","EKSİK","TAM"))</f>
        <v/>
      </c>
    </row>
    <row r="156">
      <c r="F156" s="39">
        <f>IF($A156="","",IF($B156="","EKSİK","TAM"))</f>
        <v/>
      </c>
    </row>
    <row r="157">
      <c r="F157" s="39">
        <f>IF($A157="","",IF($B157="","EKSİK","TAM"))</f>
        <v/>
      </c>
    </row>
    <row r="158">
      <c r="F158" s="39">
        <f>IF($A158="","",IF($B158="","EKSİK","TAM"))</f>
        <v/>
      </c>
    </row>
    <row r="159">
      <c r="F159" s="39">
        <f>IF($A159="","",IF($B159="","EKSİK","TAM"))</f>
        <v/>
      </c>
    </row>
    <row r="160">
      <c r="F160" s="39">
        <f>IF($A160="","",IF($B160="","EKSİK","TAM"))</f>
        <v/>
      </c>
    </row>
    <row r="161">
      <c r="F161" s="39">
        <f>IF($A161="","",IF($B161="","EKSİK","TAM"))</f>
        <v/>
      </c>
    </row>
    <row r="162">
      <c r="F162" s="39">
        <f>IF($A162="","",IF($B162="","EKSİK","TAM"))</f>
        <v/>
      </c>
    </row>
    <row r="163">
      <c r="F163" s="39">
        <f>IF($A163="","",IF($B163="","EKSİK","TAM"))</f>
        <v/>
      </c>
    </row>
    <row r="164">
      <c r="F164" s="39">
        <f>IF($A164="","",IF($B164="","EKSİK","TAM"))</f>
        <v/>
      </c>
    </row>
    <row r="165">
      <c r="F165" s="39">
        <f>IF($A165="","",IF($B165="","EKSİK","TAM"))</f>
        <v/>
      </c>
    </row>
    <row r="166">
      <c r="F166" s="39">
        <f>IF($A166="","",IF($B166="","EKSİK","TAM"))</f>
        <v/>
      </c>
    </row>
    <row r="167">
      <c r="F167" s="39">
        <f>IF($A167="","",IF($B167="","EKSİK","TAM"))</f>
        <v/>
      </c>
    </row>
    <row r="168">
      <c r="F168" s="39">
        <f>IF($A168="","",IF($B168="","EKSİK","TAM"))</f>
        <v/>
      </c>
    </row>
    <row r="169">
      <c r="F169" s="39">
        <f>IF($A169="","",IF($B169="","EKSİK","TAM"))</f>
        <v/>
      </c>
    </row>
    <row r="170">
      <c r="F170" s="39">
        <f>IF($A170="","",IF($B170="","EKSİK","TAM"))</f>
        <v/>
      </c>
    </row>
    <row r="171">
      <c r="F171" s="39">
        <f>IF($A171="","",IF($B171="","EKSİK","TAM"))</f>
        <v/>
      </c>
    </row>
    <row r="172">
      <c r="F172" s="39">
        <f>IF($A172="","",IF($B172="","EKSİK","TAM"))</f>
        <v/>
      </c>
    </row>
    <row r="173">
      <c r="F173" s="39">
        <f>IF($A173="","",IF($B173="","EKSİK","TAM"))</f>
        <v/>
      </c>
    </row>
    <row r="174">
      <c r="F174" s="39">
        <f>IF($A174="","",IF($B174="","EKSİK","TAM"))</f>
        <v/>
      </c>
    </row>
    <row r="175">
      <c r="F175" s="39">
        <f>IF($A175="","",IF($B175="","EKSİK","TAM"))</f>
        <v/>
      </c>
    </row>
    <row r="176">
      <c r="F176" s="39">
        <f>IF($A176="","",IF($B176="","EKSİK","TAM"))</f>
        <v/>
      </c>
    </row>
    <row r="177">
      <c r="F177" s="39">
        <f>IF($A177="","",IF($B177="","EKSİK","TAM"))</f>
        <v/>
      </c>
    </row>
    <row r="178">
      <c r="F178" s="39">
        <f>IF($A178="","",IF($B178="","EKSİK","TAM"))</f>
        <v/>
      </c>
    </row>
    <row r="179">
      <c r="F179" s="39">
        <f>IF($A179="","",IF($B179="","EKSİK","TAM"))</f>
        <v/>
      </c>
    </row>
    <row r="180">
      <c r="F180" s="39">
        <f>IF($A180="","",IF($B180="","EKSİK","TAM"))</f>
        <v/>
      </c>
    </row>
    <row r="181">
      <c r="F181" s="39">
        <f>IF($A181="","",IF($B181="","EKSİK","TAM"))</f>
        <v/>
      </c>
    </row>
    <row r="182">
      <c r="F182" s="39">
        <f>IF($A182="","",IF($B182="","EKSİK","TAM"))</f>
        <v/>
      </c>
    </row>
    <row r="183">
      <c r="F183" s="39">
        <f>IF($A183="","",IF($B183="","EKSİK","TAM"))</f>
        <v/>
      </c>
    </row>
    <row r="184">
      <c r="F184" s="39">
        <f>IF($A184="","",IF($B184="","EKSİK","TAM"))</f>
        <v/>
      </c>
    </row>
    <row r="185">
      <c r="F185" s="39">
        <f>IF($A185="","",IF($B185="","EKSİK","TAM"))</f>
        <v/>
      </c>
    </row>
    <row r="186">
      <c r="F186" s="39">
        <f>IF($A186="","",IF($B186="","EKSİK","TAM"))</f>
        <v/>
      </c>
    </row>
    <row r="187">
      <c r="F187" s="39">
        <f>IF($A187="","",IF($B187="","EKSİK","TAM"))</f>
        <v/>
      </c>
    </row>
    <row r="188">
      <c r="F188" s="39">
        <f>IF($A188="","",IF($B188="","EKSİK","TAM"))</f>
        <v/>
      </c>
    </row>
    <row r="189">
      <c r="F189" s="39">
        <f>IF($A189="","",IF($B189="","EKSİK","TAM"))</f>
        <v/>
      </c>
    </row>
    <row r="190">
      <c r="F190" s="39">
        <f>IF($A190="","",IF($B190="","EKSİK","TAM"))</f>
        <v/>
      </c>
    </row>
    <row r="191">
      <c r="F191" s="39">
        <f>IF($A191="","",IF($B191="","EKSİK","TAM"))</f>
        <v/>
      </c>
    </row>
    <row r="192">
      <c r="F192" s="39">
        <f>IF($A192="","",IF($B192="","EKSİK","TAM"))</f>
        <v/>
      </c>
    </row>
    <row r="193">
      <c r="F193" s="39">
        <f>IF($A193="","",IF($B193="","EKSİK","TAM"))</f>
        <v/>
      </c>
    </row>
    <row r="194">
      <c r="F194" s="39">
        <f>IF($A194="","",IF($B194="","EKSİK","TAM"))</f>
        <v/>
      </c>
    </row>
    <row r="195">
      <c r="F195" s="39">
        <f>IF($A195="","",IF($B195="","EKSİK","TAM"))</f>
        <v/>
      </c>
    </row>
    <row r="196">
      <c r="F196" s="39">
        <f>IF($A196="","",IF($B196="","EKSİK","TAM"))</f>
        <v/>
      </c>
    </row>
    <row r="197">
      <c r="F197" s="39">
        <f>IF($A197="","",IF($B197="","EKSİK","TAM"))</f>
        <v/>
      </c>
    </row>
    <row r="198">
      <c r="F198" s="39">
        <f>IF($A198="","",IF($B198="","EKSİK","TAM"))</f>
        <v/>
      </c>
    </row>
    <row r="199">
      <c r="F199" s="39">
        <f>IF($A199="","",IF($B199="","EKSİK","TAM"))</f>
        <v/>
      </c>
    </row>
    <row r="200">
      <c r="F200" s="39">
        <f>IF($A200="","",IF($B200="","EKSİK","TAM"))</f>
        <v/>
      </c>
    </row>
    <row r="201">
      <c r="F201" s="39">
        <f>IF($A201="","",IF($B201="","EKSİK","TAM"))</f>
        <v/>
      </c>
    </row>
    <row r="202">
      <c r="F202" s="39">
        <f>IF($A202="","",IF($B202="","EKSİK","TAM"))</f>
        <v/>
      </c>
    </row>
    <row r="203">
      <c r="F203" s="39">
        <f>IF($A203="","",IF($B203="","EKSİK","TAM"))</f>
        <v/>
      </c>
    </row>
    <row r="204">
      <c r="F204" s="39">
        <f>IF($A204="","",IF($B204="","EKSİK","TAM"))</f>
        <v/>
      </c>
    </row>
    <row r="205">
      <c r="F205" s="39">
        <f>IF($A205="","",IF($B205="","EKSİK","TAM"))</f>
        <v/>
      </c>
    </row>
    <row r="206">
      <c r="F206" s="39">
        <f>IF($A206="","",IF($B206="","EKSİK","TAM"))</f>
        <v/>
      </c>
    </row>
    <row r="207">
      <c r="F207" s="39">
        <f>IF($A207="","",IF($B207="","EKSİK","TAM"))</f>
        <v/>
      </c>
    </row>
    <row r="208">
      <c r="F208" s="39">
        <f>IF($A208="","",IF($B208="","EKSİK","TAM"))</f>
        <v/>
      </c>
    </row>
    <row r="209">
      <c r="F209" s="39">
        <f>IF($A209="","",IF($B209="","EKSİK","TAM"))</f>
        <v/>
      </c>
    </row>
    <row r="210">
      <c r="F210" s="39">
        <f>IF($A210="","",IF($B210="","EKSİK","TAM"))</f>
        <v/>
      </c>
    </row>
    <row r="211">
      <c r="F211" s="39">
        <f>IF($A211="","",IF($B211="","EKSİK","TAM"))</f>
        <v/>
      </c>
    </row>
    <row r="212">
      <c r="F212" s="39">
        <f>IF($A212="","",IF($B212="","EKSİK","TAM"))</f>
        <v/>
      </c>
    </row>
    <row r="213">
      <c r="F213" s="39">
        <f>IF($A213="","",IF($B213="","EKSİK","TAM"))</f>
        <v/>
      </c>
    </row>
    <row r="214">
      <c r="F214" s="39">
        <f>IF($A214="","",IF($B214="","EKSİK","TAM"))</f>
        <v/>
      </c>
    </row>
    <row r="215">
      <c r="F215" s="39">
        <f>IF($A215="","",IF($B215="","EKSİK","TAM"))</f>
        <v/>
      </c>
    </row>
    <row r="216">
      <c r="F216" s="39">
        <f>IF($A216="","",IF($B216="","EKSİK","TAM"))</f>
        <v/>
      </c>
    </row>
    <row r="217">
      <c r="F217" s="39">
        <f>IF($A217="","",IF($B217="","EKSİK","TAM"))</f>
        <v/>
      </c>
    </row>
    <row r="218">
      <c r="F218" s="39">
        <f>IF($A218="","",IF($B218="","EKSİK","TAM"))</f>
        <v/>
      </c>
    </row>
    <row r="219">
      <c r="F219" s="39">
        <f>IF($A219="","",IF($B219="","EKSİK","TAM"))</f>
        <v/>
      </c>
    </row>
    <row r="220">
      <c r="F220" s="39">
        <f>IF($A220="","",IF($B220="","EKSİK","TAM"))</f>
        <v/>
      </c>
    </row>
    <row r="221">
      <c r="F221" s="39">
        <f>IF($A221="","",IF($B221="","EKSİK","TAM"))</f>
        <v/>
      </c>
    </row>
    <row r="222">
      <c r="F222" s="39">
        <f>IF($A222="","",IF($B222="","EKSİK","TAM"))</f>
        <v/>
      </c>
    </row>
    <row r="223">
      <c r="F223" s="39">
        <f>IF($A223="","",IF($B223="","EKSİK","TAM"))</f>
        <v/>
      </c>
    </row>
    <row r="224">
      <c r="F224" s="39">
        <f>IF($A224="","",IF($B224="","EKSİK","TAM"))</f>
        <v/>
      </c>
    </row>
    <row r="225">
      <c r="F225" s="39">
        <f>IF($A225="","",IF($B225="","EKSİK","TAM"))</f>
        <v/>
      </c>
    </row>
    <row r="226">
      <c r="F226" s="39">
        <f>IF($A226="","",IF($B226="","EKSİK","TAM"))</f>
        <v/>
      </c>
    </row>
    <row r="227">
      <c r="F227" s="39">
        <f>IF($A227="","",IF($B227="","EKSİK","TAM"))</f>
        <v/>
      </c>
    </row>
    <row r="228">
      <c r="F228" s="39">
        <f>IF($A228="","",IF($B228="","EKSİK","TAM"))</f>
        <v/>
      </c>
    </row>
    <row r="229">
      <c r="F229" s="39">
        <f>IF($A229="","",IF($B229="","EKSİK","TAM"))</f>
        <v/>
      </c>
    </row>
    <row r="230">
      <c r="F230" s="39">
        <f>IF($A230="","",IF($B230="","EKSİK","TAM"))</f>
        <v/>
      </c>
    </row>
    <row r="231">
      <c r="F231" s="39">
        <f>IF($A231="","",IF($B231="","EKSİK","TAM"))</f>
        <v/>
      </c>
    </row>
    <row r="232">
      <c r="F232" s="39">
        <f>IF($A232="","",IF($B232="","EKSİK","TAM"))</f>
        <v/>
      </c>
    </row>
    <row r="233">
      <c r="F233" s="39">
        <f>IF($A233="","",IF($B233="","EKSİK","TAM"))</f>
        <v/>
      </c>
    </row>
    <row r="234">
      <c r="F234" s="39">
        <f>IF($A234="","",IF($B234="","EKSİK","TAM"))</f>
        <v/>
      </c>
    </row>
    <row r="235">
      <c r="F235" s="39">
        <f>IF($A235="","",IF($B235="","EKSİK","TAM"))</f>
        <v/>
      </c>
    </row>
    <row r="236">
      <c r="F236" s="39">
        <f>IF($A236="","",IF($B236="","EKSİK","TAM"))</f>
        <v/>
      </c>
    </row>
    <row r="237">
      <c r="F237" s="39">
        <f>IF($A237="","",IF($B237="","EKSİK","TAM"))</f>
        <v/>
      </c>
    </row>
    <row r="238">
      <c r="F238" s="39">
        <f>IF($A238="","",IF($B238="","EKSİK","TAM"))</f>
        <v/>
      </c>
    </row>
    <row r="239">
      <c r="F239" s="39">
        <f>IF($A239="","",IF($B239="","EKSİK","TAM"))</f>
        <v/>
      </c>
    </row>
    <row r="240">
      <c r="F240" s="39">
        <f>IF($A240="","",IF($B240="","EKSİK","TAM"))</f>
        <v/>
      </c>
    </row>
    <row r="241">
      <c r="F241" s="39">
        <f>IF($A241="","",IF($B241="","EKSİK","TAM"))</f>
        <v/>
      </c>
    </row>
    <row r="242">
      <c r="F242" s="39">
        <f>IF($A242="","",IF($B242="","EKSİK","TAM"))</f>
        <v/>
      </c>
    </row>
    <row r="243">
      <c r="F243" s="39">
        <f>IF($A243="","",IF($B243="","EKSİK","TAM"))</f>
        <v/>
      </c>
    </row>
    <row r="244">
      <c r="F244" s="39">
        <f>IF($A244="","",IF($B244="","EKSİK","TAM"))</f>
        <v/>
      </c>
    </row>
    <row r="245">
      <c r="F245" s="39">
        <f>IF($A245="","",IF($B245="","EKSİK","TAM"))</f>
        <v/>
      </c>
    </row>
    <row r="246">
      <c r="F246" s="39">
        <f>IF($A246="","",IF($B246="","EKSİK","TAM"))</f>
        <v/>
      </c>
    </row>
    <row r="247">
      <c r="F247" s="39">
        <f>IF($A247="","",IF($B247="","EKSİK","TAM"))</f>
        <v/>
      </c>
    </row>
    <row r="248">
      <c r="F248" s="39">
        <f>IF($A248="","",IF($B248="","EKSİK","TAM"))</f>
        <v/>
      </c>
    </row>
    <row r="249">
      <c r="F249" s="39">
        <f>IF($A249="","",IF($B249="","EKSİK","TAM"))</f>
        <v/>
      </c>
    </row>
    <row r="250">
      <c r="F250" s="39">
        <f>IF($A250="","",IF($B250="","EKSİK","TAM"))</f>
        <v/>
      </c>
    </row>
    <row r="251">
      <c r="F251" s="39">
        <f>IF($A251="","",IF($B251="","EKSİK","TAM"))</f>
        <v/>
      </c>
    </row>
    <row r="252">
      <c r="F252" s="39">
        <f>IF($A252="","",IF($B252="","EKSİK","TAM"))</f>
        <v/>
      </c>
    </row>
    <row r="253">
      <c r="F253" s="39">
        <f>IF($A253="","",IF($B253="","EKSİK","TAM"))</f>
        <v/>
      </c>
    </row>
    <row r="254">
      <c r="F254" s="39">
        <f>IF($A254="","",IF($B254="","EKSİK","TAM"))</f>
        <v/>
      </c>
    </row>
    <row r="255">
      <c r="F255" s="39">
        <f>IF($A255="","",IF($B255="","EKSİK","TAM"))</f>
        <v/>
      </c>
    </row>
    <row r="256">
      <c r="F256" s="39">
        <f>IF($A256="","",IF($B256="","EKSİK","TAM"))</f>
        <v/>
      </c>
    </row>
    <row r="257">
      <c r="F257" s="39">
        <f>IF($A257="","",IF($B257="","EKSİK","TAM"))</f>
        <v/>
      </c>
    </row>
    <row r="258">
      <c r="F258" s="39">
        <f>IF($A258="","",IF($B258="","EKSİK","TAM"))</f>
        <v/>
      </c>
    </row>
    <row r="259">
      <c r="F259" s="39">
        <f>IF($A259="","",IF($B259="","EKSİK","TAM"))</f>
        <v/>
      </c>
    </row>
    <row r="260">
      <c r="F260" s="39">
        <f>IF($A260="","",IF($B260="","EKSİK","TAM"))</f>
        <v/>
      </c>
    </row>
    <row r="261">
      <c r="F261" s="39">
        <f>IF($A261="","",IF($B261="","EKSİK","TAM"))</f>
        <v/>
      </c>
    </row>
    <row r="262">
      <c r="F262" s="39">
        <f>IF($A262="","",IF($B262="","EKSİK","TAM"))</f>
        <v/>
      </c>
    </row>
    <row r="263">
      <c r="F263" s="39">
        <f>IF($A263="","",IF($B263="","EKSİK","TAM"))</f>
        <v/>
      </c>
    </row>
    <row r="264">
      <c r="F264" s="39">
        <f>IF($A264="","",IF($B264="","EKSİK","TAM"))</f>
        <v/>
      </c>
    </row>
    <row r="265">
      <c r="F265" s="39">
        <f>IF($A265="","",IF($B265="","EKSİK","TAM"))</f>
        <v/>
      </c>
    </row>
    <row r="266">
      <c r="F266" s="39">
        <f>IF($A266="","",IF($B266="","EKSİK","TAM"))</f>
        <v/>
      </c>
    </row>
    <row r="267">
      <c r="F267" s="39">
        <f>IF($A267="","",IF($B267="","EKSİK","TAM"))</f>
        <v/>
      </c>
    </row>
    <row r="268">
      <c r="F268" s="39">
        <f>IF($A268="","",IF($B268="","EKSİK","TAM"))</f>
        <v/>
      </c>
    </row>
    <row r="269">
      <c r="F269" s="39">
        <f>IF($A269="","",IF($B269="","EKSİK","TAM"))</f>
        <v/>
      </c>
    </row>
    <row r="270">
      <c r="F270" s="39">
        <f>IF($A270="","",IF($B270="","EKSİK","TAM"))</f>
        <v/>
      </c>
    </row>
    <row r="271">
      <c r="F271" s="39">
        <f>IF($A271="","",IF($B271="","EKSİK","TAM"))</f>
        <v/>
      </c>
    </row>
    <row r="272">
      <c r="F272" s="39">
        <f>IF($A272="","",IF($B272="","EKSİK","TAM"))</f>
        <v/>
      </c>
    </row>
    <row r="273">
      <c r="F273" s="39">
        <f>IF($A273="","",IF($B273="","EKSİK","TAM"))</f>
        <v/>
      </c>
    </row>
    <row r="274">
      <c r="F274" s="39">
        <f>IF($A274="","",IF($B274="","EKSİK","TAM"))</f>
        <v/>
      </c>
    </row>
    <row r="275">
      <c r="F275" s="39">
        <f>IF($A275="","",IF($B275="","EKSİK","TAM"))</f>
        <v/>
      </c>
    </row>
    <row r="276">
      <c r="F276" s="39">
        <f>IF($A276="","",IF($B276="","EKSİK","TAM"))</f>
        <v/>
      </c>
    </row>
    <row r="277">
      <c r="F277" s="39">
        <f>IF($A277="","",IF($B277="","EKSİK","TAM"))</f>
        <v/>
      </c>
    </row>
    <row r="278">
      <c r="F278" s="39">
        <f>IF($A278="","",IF($B278="","EKSİK","TAM"))</f>
        <v/>
      </c>
    </row>
    <row r="279">
      <c r="F279" s="39">
        <f>IF($A279="","",IF($B279="","EKSİK","TAM"))</f>
        <v/>
      </c>
    </row>
    <row r="280">
      <c r="F280" s="39">
        <f>IF($A280="","",IF($B280="","EKSİK","TAM"))</f>
        <v/>
      </c>
    </row>
    <row r="281">
      <c r="F281" s="39">
        <f>IF($A281="","",IF($B281="","EKSİK","TAM"))</f>
        <v/>
      </c>
    </row>
    <row r="282">
      <c r="F282" s="39">
        <f>IF($A282="","",IF($B282="","EKSİK","TAM"))</f>
        <v/>
      </c>
    </row>
    <row r="283">
      <c r="F283" s="39">
        <f>IF($A283="","",IF($B283="","EKSİK","TAM"))</f>
        <v/>
      </c>
    </row>
    <row r="284">
      <c r="F284" s="39">
        <f>IF($A284="","",IF($B284="","EKSİK","TAM"))</f>
        <v/>
      </c>
    </row>
    <row r="285">
      <c r="F285" s="39">
        <f>IF($A285="","",IF($B285="","EKSİK","TAM"))</f>
        <v/>
      </c>
    </row>
    <row r="286">
      <c r="F286" s="39">
        <f>IF($A286="","",IF($B286="","EKSİK","TAM"))</f>
        <v/>
      </c>
    </row>
    <row r="287">
      <c r="F287" s="39">
        <f>IF($A287="","",IF($B287="","EKSİK","TAM"))</f>
        <v/>
      </c>
    </row>
    <row r="288">
      <c r="F288" s="39">
        <f>IF($A288="","",IF($B288="","EKSİK","TAM"))</f>
        <v/>
      </c>
    </row>
    <row r="289">
      <c r="F289" s="39">
        <f>IF($A289="","",IF($B289="","EKSİK","TAM"))</f>
        <v/>
      </c>
    </row>
    <row r="290">
      <c r="F290" s="39">
        <f>IF($A290="","",IF($B290="","EKSİK","TAM"))</f>
        <v/>
      </c>
    </row>
    <row r="291">
      <c r="F291" s="39">
        <f>IF($A291="","",IF($B291="","EKSİK","TAM"))</f>
        <v/>
      </c>
    </row>
    <row r="292">
      <c r="F292" s="39">
        <f>IF($A292="","",IF($B292="","EKSİK","TAM"))</f>
        <v/>
      </c>
    </row>
    <row r="293">
      <c r="F293" s="39">
        <f>IF($A293="","",IF($B293="","EKSİK","TAM"))</f>
        <v/>
      </c>
    </row>
    <row r="294">
      <c r="F294" s="39">
        <f>IF($A294="","",IF($B294="","EKSİK","TAM"))</f>
        <v/>
      </c>
    </row>
    <row r="295">
      <c r="F295" s="39">
        <f>IF($A295="","",IF($B295="","EKSİK","TAM"))</f>
        <v/>
      </c>
    </row>
    <row r="296">
      <c r="F296" s="39">
        <f>IF($A296="","",IF($B296="","EKSİK","TAM"))</f>
        <v/>
      </c>
    </row>
    <row r="297">
      <c r="F297" s="39">
        <f>IF($A297="","",IF($B297="","EKSİK","TAM"))</f>
        <v/>
      </c>
    </row>
    <row r="298">
      <c r="F298" s="39">
        <f>IF($A298="","",IF($B298="","EKSİK","TAM"))</f>
        <v/>
      </c>
    </row>
    <row r="299">
      <c r="F299" s="39">
        <f>IF($A299="","",IF($B299="","EKSİK","TAM"))</f>
        <v/>
      </c>
    </row>
    <row r="300">
      <c r="F300" s="39">
        <f>IF($A300="","",IF($B300="","EKSİK","TAM"))</f>
        <v/>
      </c>
    </row>
    <row r="301">
      <c r="F301" s="39">
        <f>IF($A301="","",IF($B301="","EKSİK","TAM"))</f>
        <v/>
      </c>
    </row>
    <row r="302">
      <c r="F302" s="39">
        <f>IF($A302="","",IF($B302="","EKSİK","TAM"))</f>
        <v/>
      </c>
    </row>
    <row r="303">
      <c r="F303" s="39">
        <f>IF($A303="","",IF($B303="","EKSİK","TAM"))</f>
        <v/>
      </c>
    </row>
    <row r="304">
      <c r="F304" s="39">
        <f>IF($A304="","",IF($B304="","EKSİK","TAM"))</f>
        <v/>
      </c>
    </row>
    <row r="305">
      <c r="F305" s="39">
        <f>IF($A305="","",IF($B305="","EKSİK","TAM"))</f>
        <v/>
      </c>
    </row>
    <row r="306">
      <c r="F306" s="39">
        <f>IF($A306="","",IF($B306="","EKSİK","TAM"))</f>
        <v/>
      </c>
    </row>
    <row r="307">
      <c r="F307" s="39">
        <f>IF($A307="","",IF($B307="","EKSİK","TAM"))</f>
        <v/>
      </c>
    </row>
    <row r="308">
      <c r="F308" s="39">
        <f>IF($A308="","",IF($B308="","EKSİK","TAM"))</f>
        <v/>
      </c>
    </row>
    <row r="309">
      <c r="F309" s="39">
        <f>IF($A309="","",IF($B309="","EKSİK","TAM"))</f>
        <v/>
      </c>
    </row>
    <row r="310">
      <c r="F310" s="39">
        <f>IF($A310="","",IF($B310="","EKSİK","TAM"))</f>
        <v/>
      </c>
    </row>
    <row r="311">
      <c r="F311" s="39">
        <f>IF($A311="","",IF($B311="","EKSİK","TAM"))</f>
        <v/>
      </c>
    </row>
    <row r="312">
      <c r="F312" s="39">
        <f>IF($A312="","",IF($B312="","EKSİK","TAM"))</f>
        <v/>
      </c>
    </row>
    <row r="313">
      <c r="F313" s="39">
        <f>IF($A313="","",IF($B313="","EKSİK","TAM"))</f>
        <v/>
      </c>
    </row>
    <row r="314">
      <c r="F314" s="39">
        <f>IF($A314="","",IF($B314="","EKSİK","TAM"))</f>
        <v/>
      </c>
    </row>
    <row r="315">
      <c r="F315" s="39">
        <f>IF($A315="","",IF($B315="","EKSİK","TAM"))</f>
        <v/>
      </c>
    </row>
    <row r="316">
      <c r="F316" s="39">
        <f>IF($A316="","",IF($B316="","EKSİK","TAM"))</f>
        <v/>
      </c>
    </row>
    <row r="317">
      <c r="F317" s="39">
        <f>IF($A317="","",IF($B317="","EKSİK","TAM"))</f>
        <v/>
      </c>
    </row>
    <row r="318">
      <c r="F318" s="39">
        <f>IF($A318="","",IF($B318="","EKSİK","TAM"))</f>
        <v/>
      </c>
    </row>
    <row r="319">
      <c r="F319" s="39">
        <f>IF($A319="","",IF($B319="","EKSİK","TAM"))</f>
        <v/>
      </c>
    </row>
    <row r="320">
      <c r="F320" s="39">
        <f>IF($A320="","",IF($B320="","EKSİK","TAM"))</f>
        <v/>
      </c>
    </row>
    <row r="321">
      <c r="F321" s="39">
        <f>IF($A321="","",IF($B321="","EKSİK","TAM"))</f>
        <v/>
      </c>
    </row>
    <row r="322">
      <c r="F322" s="39">
        <f>IF($A322="","",IF($B322="","EKSİK","TAM"))</f>
        <v/>
      </c>
    </row>
    <row r="323">
      <c r="F323" s="39">
        <f>IF($A323="","",IF($B323="","EKSİK","TAM"))</f>
        <v/>
      </c>
    </row>
    <row r="324">
      <c r="F324" s="39">
        <f>IF($A324="","",IF($B324="","EKSİK","TAM"))</f>
        <v/>
      </c>
    </row>
    <row r="325">
      <c r="F325" s="39">
        <f>IF($A325="","",IF($B325="","EKSİK","TAM"))</f>
        <v/>
      </c>
    </row>
    <row r="326">
      <c r="F326" s="39">
        <f>IF($A326="","",IF($B326="","EKSİK","TAM"))</f>
        <v/>
      </c>
    </row>
    <row r="327">
      <c r="F327" s="39">
        <f>IF($A327="","",IF($B327="","EKSİK","TAM"))</f>
        <v/>
      </c>
    </row>
    <row r="328">
      <c r="F328" s="39">
        <f>IF($A328="","",IF($B328="","EKSİK","TAM"))</f>
        <v/>
      </c>
    </row>
    <row r="329">
      <c r="F329" s="39">
        <f>IF($A329="","",IF($B329="","EKSİK","TAM"))</f>
        <v/>
      </c>
    </row>
    <row r="330">
      <c r="F330" s="39">
        <f>IF($A330="","",IF($B330="","EKSİK","TAM"))</f>
        <v/>
      </c>
    </row>
    <row r="331">
      <c r="F331" s="39">
        <f>IF($A331="","",IF($B331="","EKSİK","TAM"))</f>
        <v/>
      </c>
    </row>
    <row r="332">
      <c r="F332" s="39">
        <f>IF($A332="","",IF($B332="","EKSİK","TAM"))</f>
        <v/>
      </c>
    </row>
    <row r="333">
      <c r="F333" s="39">
        <f>IF($A333="","",IF($B333="","EKSİK","TAM"))</f>
        <v/>
      </c>
    </row>
    <row r="334">
      <c r="F334" s="39">
        <f>IF($A334="","",IF($B334="","EKSİK","TAM"))</f>
        <v/>
      </c>
    </row>
    <row r="335">
      <c r="F335" s="39">
        <f>IF($A335="","",IF($B335="","EKSİK","TAM"))</f>
        <v/>
      </c>
    </row>
    <row r="336">
      <c r="F336" s="39">
        <f>IF($A336="","",IF($B336="","EKSİK","TAM"))</f>
        <v/>
      </c>
    </row>
    <row r="337">
      <c r="F337" s="39">
        <f>IF($A337="","",IF($B337="","EKSİK","TAM"))</f>
        <v/>
      </c>
    </row>
    <row r="338">
      <c r="F338" s="39">
        <f>IF($A338="","",IF($B338="","EKSİK","TAM"))</f>
        <v/>
      </c>
    </row>
    <row r="339">
      <c r="F339" s="39">
        <f>IF($A339="","",IF($B339="","EKSİK","TAM"))</f>
        <v/>
      </c>
    </row>
    <row r="340">
      <c r="F340" s="39">
        <f>IF($A340="","",IF($B340="","EKSİK","TAM"))</f>
        <v/>
      </c>
    </row>
    <row r="341">
      <c r="F341" s="39">
        <f>IF($A341="","",IF($B341="","EKSİK","TAM"))</f>
        <v/>
      </c>
    </row>
    <row r="342">
      <c r="F342" s="39">
        <f>IF($A342="","",IF($B342="","EKSİK","TAM"))</f>
        <v/>
      </c>
    </row>
    <row r="343">
      <c r="F343" s="39">
        <f>IF($A343="","",IF($B343="","EKSİK","TAM"))</f>
        <v/>
      </c>
    </row>
    <row r="344">
      <c r="F344" s="39">
        <f>IF($A344="","",IF($B344="","EKSİK","TAM"))</f>
        <v/>
      </c>
    </row>
    <row r="345">
      <c r="F345" s="39">
        <f>IF($A345="","",IF($B345="","EKSİK","TAM"))</f>
        <v/>
      </c>
    </row>
    <row r="346">
      <c r="F346" s="39">
        <f>IF($A346="","",IF($B346="","EKSİK","TAM"))</f>
        <v/>
      </c>
    </row>
    <row r="347">
      <c r="F347" s="39">
        <f>IF($A347="","",IF($B347="","EKSİK","TAM"))</f>
        <v/>
      </c>
    </row>
    <row r="348">
      <c r="F348" s="39">
        <f>IF($A348="","",IF($B348="","EKSİK","TAM"))</f>
        <v/>
      </c>
    </row>
    <row r="349">
      <c r="F349" s="39">
        <f>IF($A349="","",IF($B349="","EKSİK","TAM"))</f>
        <v/>
      </c>
    </row>
    <row r="350">
      <c r="F350" s="39">
        <f>IF($A350="","",IF($B350="","EKSİK","TAM"))</f>
        <v/>
      </c>
    </row>
    <row r="351">
      <c r="F351" s="39">
        <f>IF($A351="","",IF($B351="","EKSİK","TAM"))</f>
        <v/>
      </c>
    </row>
    <row r="352">
      <c r="F352" s="39">
        <f>IF($A352="","",IF($B352="","EKSİK","TAM"))</f>
        <v/>
      </c>
    </row>
    <row r="353">
      <c r="F353" s="39">
        <f>IF($A353="","",IF($B353="","EKSİK","TAM"))</f>
        <v/>
      </c>
    </row>
    <row r="354">
      <c r="F354" s="39">
        <f>IF($A354="","",IF($B354="","EKSİK","TAM"))</f>
        <v/>
      </c>
    </row>
    <row r="355">
      <c r="F355" s="39">
        <f>IF($A355="","",IF($B355="","EKSİK","TAM"))</f>
        <v/>
      </c>
    </row>
    <row r="356">
      <c r="F356" s="39">
        <f>IF($A356="","",IF($B356="","EKSİK","TAM"))</f>
        <v/>
      </c>
    </row>
    <row r="357">
      <c r="F357" s="39">
        <f>IF($A357="","",IF($B357="","EKSİK","TAM"))</f>
        <v/>
      </c>
    </row>
    <row r="358">
      <c r="F358" s="39">
        <f>IF($A358="","",IF($B358="","EKSİK","TAM"))</f>
        <v/>
      </c>
    </row>
    <row r="359">
      <c r="F359" s="39">
        <f>IF($A359="","",IF($B359="","EKSİK","TAM"))</f>
        <v/>
      </c>
    </row>
    <row r="360">
      <c r="F360" s="39">
        <f>IF($A360="","",IF($B360="","EKSİK","TAM"))</f>
        <v/>
      </c>
    </row>
    <row r="361">
      <c r="F361" s="39">
        <f>IF($A361="","",IF($B361="","EKSİK","TAM"))</f>
        <v/>
      </c>
    </row>
    <row r="362">
      <c r="F362" s="39">
        <f>IF($A362="","",IF($B362="","EKSİK","TAM"))</f>
        <v/>
      </c>
    </row>
    <row r="363">
      <c r="F363" s="39">
        <f>IF($A363="","",IF($B363="","EKSİK","TAM"))</f>
        <v/>
      </c>
    </row>
    <row r="364">
      <c r="F364" s="39">
        <f>IF($A364="","",IF($B364="","EKSİK","TAM"))</f>
        <v/>
      </c>
    </row>
    <row r="365">
      <c r="F365" s="39">
        <f>IF($A365="","",IF($B365="","EKSİK","TAM"))</f>
        <v/>
      </c>
    </row>
    <row r="366">
      <c r="F366" s="39">
        <f>IF($A366="","",IF($B366="","EKSİK","TAM"))</f>
        <v/>
      </c>
    </row>
    <row r="367">
      <c r="F367" s="39">
        <f>IF($A367="","",IF($B367="","EKSİK","TAM"))</f>
        <v/>
      </c>
    </row>
    <row r="368">
      <c r="F368" s="39">
        <f>IF($A368="","",IF($B368="","EKSİK","TAM"))</f>
        <v/>
      </c>
    </row>
    <row r="369">
      <c r="F369" s="39">
        <f>IF($A369="","",IF($B369="","EKSİK","TAM"))</f>
        <v/>
      </c>
    </row>
    <row r="370">
      <c r="F370" s="39">
        <f>IF($A370="","",IF($B370="","EKSİK","TAM"))</f>
        <v/>
      </c>
    </row>
    <row r="371">
      <c r="F371" s="39">
        <f>IF($A371="","",IF($B371="","EKSİK","TAM"))</f>
        <v/>
      </c>
    </row>
    <row r="372">
      <c r="F372" s="39">
        <f>IF($A372="","",IF($B372="","EKSİK","TAM"))</f>
        <v/>
      </c>
    </row>
    <row r="373">
      <c r="F373" s="39">
        <f>IF($A373="","",IF($B373="","EKSİK","TAM"))</f>
        <v/>
      </c>
    </row>
    <row r="374">
      <c r="F374" s="39">
        <f>IF($A374="","",IF($B374="","EKSİK","TAM"))</f>
        <v/>
      </c>
    </row>
    <row r="375">
      <c r="F375" s="39">
        <f>IF($A375="","",IF($B375="","EKSİK","TAM"))</f>
        <v/>
      </c>
    </row>
    <row r="376">
      <c r="F376" s="39">
        <f>IF($A376="","",IF($B376="","EKSİK","TAM"))</f>
        <v/>
      </c>
    </row>
    <row r="377">
      <c r="F377" s="39">
        <f>IF($A377="","",IF($B377="","EKSİK","TAM"))</f>
        <v/>
      </c>
    </row>
    <row r="378">
      <c r="F378" s="39">
        <f>IF($A378="","",IF($B378="","EKSİK","TAM"))</f>
        <v/>
      </c>
    </row>
    <row r="379">
      <c r="F379" s="39">
        <f>IF($A379="","",IF($B379="","EKSİK","TAM"))</f>
        <v/>
      </c>
    </row>
    <row r="380">
      <c r="F380" s="39">
        <f>IF($A380="","",IF($B380="","EKSİK","TAM"))</f>
        <v/>
      </c>
    </row>
    <row r="381">
      <c r="F381" s="39">
        <f>IF($A381="","",IF($B381="","EKSİK","TAM"))</f>
        <v/>
      </c>
    </row>
    <row r="382">
      <c r="F382" s="39">
        <f>IF($A382="","",IF($B382="","EKSİK","TAM"))</f>
        <v/>
      </c>
    </row>
    <row r="383">
      <c r="F383" s="39">
        <f>IF($A383="","",IF($B383="","EKSİK","TAM"))</f>
        <v/>
      </c>
    </row>
    <row r="384">
      <c r="F384" s="39">
        <f>IF($A384="","",IF($B384="","EKSİK","TAM"))</f>
        <v/>
      </c>
    </row>
    <row r="385">
      <c r="F385" s="39">
        <f>IF($A385="","",IF($B385="","EKSİK","TAM"))</f>
        <v/>
      </c>
    </row>
    <row r="386">
      <c r="F386" s="39">
        <f>IF($A386="","",IF($B386="","EKSİK","TAM"))</f>
        <v/>
      </c>
    </row>
    <row r="387">
      <c r="F387" s="39">
        <f>IF($A387="","",IF($B387="","EKSİK","TAM"))</f>
        <v/>
      </c>
    </row>
    <row r="388">
      <c r="F388" s="39">
        <f>IF($A388="","",IF($B388="","EKSİK","TAM"))</f>
        <v/>
      </c>
    </row>
    <row r="389">
      <c r="F389" s="39">
        <f>IF($A389="","",IF($B389="","EKSİK","TAM"))</f>
        <v/>
      </c>
    </row>
    <row r="390">
      <c r="F390" s="39">
        <f>IF($A390="","",IF($B390="","EKSİK","TAM"))</f>
        <v/>
      </c>
    </row>
    <row r="391">
      <c r="F391" s="39">
        <f>IF($A391="","",IF($B391="","EKSİK","TAM"))</f>
        <v/>
      </c>
    </row>
    <row r="392">
      <c r="F392" s="39">
        <f>IF($A392="","",IF($B392="","EKSİK","TAM"))</f>
        <v/>
      </c>
    </row>
    <row r="393">
      <c r="F393" s="39">
        <f>IF($A393="","",IF($B393="","EKSİK","TAM"))</f>
        <v/>
      </c>
    </row>
    <row r="394">
      <c r="F394" s="39">
        <f>IF($A394="","",IF($B394="","EKSİK","TAM"))</f>
        <v/>
      </c>
    </row>
    <row r="395">
      <c r="F395" s="39">
        <f>IF($A395="","",IF($B395="","EKSİK","TAM"))</f>
        <v/>
      </c>
    </row>
    <row r="396">
      <c r="F396" s="39">
        <f>IF($A396="","",IF($B396="","EKSİK","TAM"))</f>
        <v/>
      </c>
    </row>
    <row r="397">
      <c r="F397" s="39">
        <f>IF($A397="","",IF($B397="","EKSİK","TAM"))</f>
        <v/>
      </c>
    </row>
    <row r="398">
      <c r="F398" s="39">
        <f>IF($A398="","",IF($B398="","EKSİK","TAM"))</f>
        <v/>
      </c>
    </row>
    <row r="399">
      <c r="F399" s="39">
        <f>IF($A399="","",IF($B399="","EKSİK","TAM"))</f>
        <v/>
      </c>
    </row>
    <row r="400">
      <c r="F400" s="39">
        <f>IF($A400="","",IF($B400="","EKSİK","TAM"))</f>
        <v/>
      </c>
    </row>
    <row r="401">
      <c r="F401" s="39">
        <f>IF($A401="","",IF($B401="","EKSİK","TAM"))</f>
        <v/>
      </c>
    </row>
    <row r="402">
      <c r="F402" s="39">
        <f>IF($A402="","",IF($B402="","EKSİK","TAM"))</f>
        <v/>
      </c>
    </row>
    <row r="403">
      <c r="F403" s="39">
        <f>IF($A403="","",IF($B403="","EKSİK","TAM"))</f>
        <v/>
      </c>
    </row>
    <row r="404">
      <c r="F404" s="39">
        <f>IF($A404="","",IF($B404="","EKSİK","TAM"))</f>
        <v/>
      </c>
    </row>
    <row r="405">
      <c r="F405" s="39">
        <f>IF($A405="","",IF($B405="","EKSİK","TAM"))</f>
        <v/>
      </c>
    </row>
    <row r="406">
      <c r="F406" s="39">
        <f>IF($A406="","",IF($B406="","EKSİK","TAM"))</f>
        <v/>
      </c>
    </row>
    <row r="407">
      <c r="F407" s="39">
        <f>IF($A407="","",IF($B407="","EKSİK","TAM"))</f>
        <v/>
      </c>
    </row>
    <row r="408">
      <c r="F408" s="39">
        <f>IF($A408="","",IF($B408="","EKSİK","TAM"))</f>
        <v/>
      </c>
    </row>
    <row r="409">
      <c r="F409" s="39">
        <f>IF($A409="","",IF($B409="","EKSİK","TAM"))</f>
        <v/>
      </c>
    </row>
    <row r="410">
      <c r="F410" s="39">
        <f>IF($A410="","",IF($B410="","EKSİK","TAM"))</f>
        <v/>
      </c>
    </row>
    <row r="411">
      <c r="F411" s="39">
        <f>IF($A411="","",IF($B411="","EKSİK","TAM"))</f>
        <v/>
      </c>
    </row>
    <row r="412">
      <c r="F412" s="39">
        <f>IF($A412="","",IF($B412="","EKSİK","TAM"))</f>
        <v/>
      </c>
    </row>
    <row r="413">
      <c r="F413" s="39">
        <f>IF($A413="","",IF($B413="","EKSİK","TAM"))</f>
        <v/>
      </c>
    </row>
    <row r="414">
      <c r="F414" s="39">
        <f>IF($A414="","",IF($B414="","EKSİK","TAM"))</f>
        <v/>
      </c>
    </row>
    <row r="415">
      <c r="F415" s="39">
        <f>IF($A415="","",IF($B415="","EKSİK","TAM"))</f>
        <v/>
      </c>
    </row>
    <row r="416">
      <c r="F416" s="39">
        <f>IF($A416="","",IF($B416="","EKSİK","TAM"))</f>
        <v/>
      </c>
    </row>
    <row r="417">
      <c r="F417" s="39">
        <f>IF($A417="","",IF($B417="","EKSİK","TAM"))</f>
        <v/>
      </c>
    </row>
    <row r="418">
      <c r="F418" s="39">
        <f>IF($A418="","",IF($B418="","EKSİK","TAM"))</f>
        <v/>
      </c>
    </row>
    <row r="419">
      <c r="F419" s="39">
        <f>IF($A419="","",IF($B419="","EKSİK","TAM"))</f>
        <v/>
      </c>
    </row>
    <row r="420">
      <c r="F420" s="39">
        <f>IF($A420="","",IF($B420="","EKSİK","TAM"))</f>
        <v/>
      </c>
    </row>
    <row r="421">
      <c r="F421" s="39">
        <f>IF($A421="","",IF($B421="","EKSİK","TAM"))</f>
        <v/>
      </c>
    </row>
    <row r="422">
      <c r="F422" s="39">
        <f>IF($A422="","",IF($B422="","EKSİK","TAM"))</f>
        <v/>
      </c>
    </row>
    <row r="423">
      <c r="F423" s="39">
        <f>IF($A423="","",IF($B423="","EKSİK","TAM"))</f>
        <v/>
      </c>
    </row>
    <row r="424">
      <c r="F424" s="39">
        <f>IF($A424="","",IF($B424="","EKSİK","TAM"))</f>
        <v/>
      </c>
    </row>
    <row r="425">
      <c r="F425" s="39">
        <f>IF($A425="","",IF($B425="","EKSİK","TAM"))</f>
        <v/>
      </c>
    </row>
    <row r="426">
      <c r="F426" s="39">
        <f>IF($A426="","",IF($B426="","EKSİK","TAM"))</f>
        <v/>
      </c>
    </row>
    <row r="427">
      <c r="F427" s="39">
        <f>IF($A427="","",IF($B427="","EKSİK","TAM"))</f>
        <v/>
      </c>
    </row>
    <row r="428">
      <c r="F428" s="39">
        <f>IF($A428="","",IF($B428="","EKSİK","TAM"))</f>
        <v/>
      </c>
    </row>
    <row r="429">
      <c r="F429" s="39">
        <f>IF($A429="","",IF($B429="","EKSİK","TAM"))</f>
        <v/>
      </c>
    </row>
    <row r="430">
      <c r="F430" s="39">
        <f>IF($A430="","",IF($B430="","EKSİK","TAM"))</f>
        <v/>
      </c>
    </row>
    <row r="431">
      <c r="F431" s="39">
        <f>IF($A431="","",IF($B431="","EKSİK","TAM"))</f>
        <v/>
      </c>
    </row>
    <row r="432">
      <c r="F432" s="39">
        <f>IF($A432="","",IF($B432="","EKSİK","TAM"))</f>
        <v/>
      </c>
    </row>
    <row r="433">
      <c r="F433" s="39">
        <f>IF($A433="","",IF($B433="","EKSİK","TAM"))</f>
        <v/>
      </c>
    </row>
    <row r="434">
      <c r="F434" s="39">
        <f>IF($A434="","",IF($B434="","EKSİK","TAM"))</f>
        <v/>
      </c>
    </row>
    <row r="435">
      <c r="F435" s="39">
        <f>IF($A435="","",IF($B435="","EKSİK","TAM"))</f>
        <v/>
      </c>
    </row>
    <row r="436">
      <c r="F436" s="39">
        <f>IF($A436="","",IF($B436="","EKSİK","TAM"))</f>
        <v/>
      </c>
    </row>
    <row r="437">
      <c r="F437" s="39">
        <f>IF($A437="","",IF($B437="","EKSİK","TAM"))</f>
        <v/>
      </c>
    </row>
    <row r="438">
      <c r="F438" s="39">
        <f>IF($A438="","",IF($B438="","EKSİK","TAM"))</f>
        <v/>
      </c>
    </row>
    <row r="439">
      <c r="F439" s="39">
        <f>IF($A439="","",IF($B439="","EKSİK","TAM"))</f>
        <v/>
      </c>
    </row>
    <row r="440">
      <c r="F440" s="39">
        <f>IF($A440="","",IF($B440="","EKSİK","TAM"))</f>
        <v/>
      </c>
    </row>
    <row r="441">
      <c r="F441" s="39">
        <f>IF($A441="","",IF($B441="","EKSİK","TAM"))</f>
        <v/>
      </c>
    </row>
    <row r="442">
      <c r="F442" s="39">
        <f>IF($A442="","",IF($B442="","EKSİK","TAM"))</f>
        <v/>
      </c>
    </row>
    <row r="443">
      <c r="F443" s="39">
        <f>IF($A443="","",IF($B443="","EKSİK","TAM"))</f>
        <v/>
      </c>
    </row>
    <row r="444">
      <c r="F444" s="39">
        <f>IF($A444="","",IF($B444="","EKSİK","TAM"))</f>
        <v/>
      </c>
    </row>
    <row r="445">
      <c r="F445" s="39">
        <f>IF($A445="","",IF($B445="","EKSİK","TAM"))</f>
        <v/>
      </c>
    </row>
    <row r="446">
      <c r="F446" s="39">
        <f>IF($A446="","",IF($B446="","EKSİK","TAM"))</f>
        <v/>
      </c>
    </row>
    <row r="447">
      <c r="F447" s="39">
        <f>IF($A447="","",IF($B447="","EKSİK","TAM"))</f>
        <v/>
      </c>
    </row>
    <row r="448">
      <c r="F448" s="39">
        <f>IF($A448="","",IF($B448="","EKSİK","TAM"))</f>
        <v/>
      </c>
    </row>
    <row r="449">
      <c r="F449" s="39">
        <f>IF($A449="","",IF($B449="","EKSİK","TAM"))</f>
        <v/>
      </c>
    </row>
    <row r="450">
      <c r="F450" s="39">
        <f>IF($A450="","",IF($B450="","EKSİK","TAM"))</f>
        <v/>
      </c>
    </row>
    <row r="451">
      <c r="F451" s="39">
        <f>IF($A451="","",IF($B451="","EKSİK","TAM"))</f>
        <v/>
      </c>
    </row>
    <row r="452">
      <c r="F452" s="39">
        <f>IF($A452="","",IF($B452="","EKSİK","TAM"))</f>
        <v/>
      </c>
    </row>
    <row r="453">
      <c r="F453" s="39">
        <f>IF($A453="","",IF($B453="","EKSİK","TAM"))</f>
        <v/>
      </c>
    </row>
    <row r="454">
      <c r="F454" s="39">
        <f>IF($A454="","",IF($B454="","EKSİK","TAM"))</f>
        <v/>
      </c>
    </row>
    <row r="455">
      <c r="F455" s="39">
        <f>IF($A455="","",IF($B455="","EKSİK","TAM"))</f>
        <v/>
      </c>
    </row>
    <row r="456">
      <c r="F456" s="39">
        <f>IF($A456="","",IF($B456="","EKSİK","TAM"))</f>
        <v/>
      </c>
    </row>
    <row r="457">
      <c r="F457" s="39">
        <f>IF($A457="","",IF($B457="","EKSİK","TAM"))</f>
        <v/>
      </c>
    </row>
    <row r="458">
      <c r="F458" s="39">
        <f>IF($A458="","",IF($B458="","EKSİK","TAM"))</f>
        <v/>
      </c>
    </row>
    <row r="459">
      <c r="F459" s="39">
        <f>IF($A459="","",IF($B459="","EKSİK","TAM"))</f>
        <v/>
      </c>
    </row>
    <row r="460">
      <c r="F460" s="39">
        <f>IF($A460="","",IF($B460="","EKSİK","TAM"))</f>
        <v/>
      </c>
    </row>
    <row r="461">
      <c r="F461" s="39">
        <f>IF($A461="","",IF($B461="","EKSİK","TAM"))</f>
        <v/>
      </c>
    </row>
    <row r="462">
      <c r="F462" s="39">
        <f>IF($A462="","",IF($B462="","EKSİK","TAM"))</f>
        <v/>
      </c>
    </row>
    <row r="463">
      <c r="F463" s="39">
        <f>IF($A463="","",IF($B463="","EKSİK","TAM"))</f>
        <v/>
      </c>
    </row>
    <row r="464">
      <c r="F464" s="39">
        <f>IF($A464="","",IF($B464="","EKSİK","TAM"))</f>
        <v/>
      </c>
    </row>
    <row r="465">
      <c r="F465" s="39">
        <f>IF($A465="","",IF($B465="","EKSİK","TAM"))</f>
        <v/>
      </c>
    </row>
    <row r="466">
      <c r="F466" s="39">
        <f>IF($A466="","",IF($B466="","EKSİK","TAM"))</f>
        <v/>
      </c>
    </row>
    <row r="467">
      <c r="F467" s="39">
        <f>IF($A467="","",IF($B467="","EKSİK","TAM"))</f>
        <v/>
      </c>
    </row>
    <row r="468">
      <c r="F468" s="39">
        <f>IF($A468="","",IF($B468="","EKSİK","TAM"))</f>
        <v/>
      </c>
    </row>
    <row r="469">
      <c r="F469" s="39">
        <f>IF($A469="","",IF($B469="","EKSİK","TAM"))</f>
        <v/>
      </c>
    </row>
    <row r="470">
      <c r="F470" s="39">
        <f>IF($A470="","",IF($B470="","EKSİK","TAM"))</f>
        <v/>
      </c>
    </row>
    <row r="471">
      <c r="F471" s="39">
        <f>IF($A471="","",IF($B471="","EKSİK","TAM"))</f>
        <v/>
      </c>
    </row>
    <row r="472">
      <c r="F472" s="39">
        <f>IF($A472="","",IF($B472="","EKSİK","TAM"))</f>
        <v/>
      </c>
    </row>
    <row r="473">
      <c r="F473" s="39">
        <f>IF($A473="","",IF($B473="","EKSİK","TAM"))</f>
        <v/>
      </c>
    </row>
    <row r="474">
      <c r="F474" s="39">
        <f>IF($A474="","",IF($B474="","EKSİK","TAM"))</f>
        <v/>
      </c>
    </row>
    <row r="475">
      <c r="F475" s="39">
        <f>IF($A475="","",IF($B475="","EKSİK","TAM"))</f>
        <v/>
      </c>
    </row>
    <row r="476">
      <c r="F476" s="39">
        <f>IF($A476="","",IF($B476="","EKSİK","TAM"))</f>
        <v/>
      </c>
    </row>
    <row r="477">
      <c r="F477" s="39">
        <f>IF($A477="","",IF($B477="","EKSİK","TAM"))</f>
        <v/>
      </c>
    </row>
    <row r="478">
      <c r="F478" s="39">
        <f>IF($A478="","",IF($B478="","EKSİK","TAM"))</f>
        <v/>
      </c>
    </row>
    <row r="479">
      <c r="F479" s="39">
        <f>IF($A479="","",IF($B479="","EKSİK","TAM"))</f>
        <v/>
      </c>
    </row>
    <row r="480">
      <c r="F480" s="39">
        <f>IF($A480="","",IF($B480="","EKSİK","TAM"))</f>
        <v/>
      </c>
    </row>
    <row r="481">
      <c r="F481" s="39">
        <f>IF($A481="","",IF($B481="","EKSİK","TAM"))</f>
        <v/>
      </c>
    </row>
    <row r="482">
      <c r="F482" s="39">
        <f>IF($A482="","",IF($B482="","EKSİK","TAM"))</f>
        <v/>
      </c>
    </row>
    <row r="483">
      <c r="F483" s="39">
        <f>IF($A483="","",IF($B483="","EKSİK","TAM"))</f>
        <v/>
      </c>
    </row>
    <row r="484">
      <c r="F484" s="39">
        <f>IF($A484="","",IF($B484="","EKSİK","TAM"))</f>
        <v/>
      </c>
    </row>
    <row r="485">
      <c r="F485" s="39">
        <f>IF($A485="","",IF($B485="","EKSİK","TAM"))</f>
        <v/>
      </c>
    </row>
    <row r="486">
      <c r="F486" s="39">
        <f>IF($A486="","",IF($B486="","EKSİK","TAM"))</f>
        <v/>
      </c>
    </row>
    <row r="487">
      <c r="F487" s="39">
        <f>IF($A487="","",IF($B487="","EKSİK","TAM"))</f>
        <v/>
      </c>
    </row>
    <row r="488">
      <c r="F488" s="39">
        <f>IF($A488="","",IF($B488="","EKSİK","TAM"))</f>
        <v/>
      </c>
    </row>
    <row r="489">
      <c r="F489" s="39">
        <f>IF($A489="","",IF($B489="","EKSİK","TAM"))</f>
        <v/>
      </c>
    </row>
    <row r="490">
      <c r="F490" s="39">
        <f>IF($A490="","",IF($B490="","EKSİK","TAM"))</f>
        <v/>
      </c>
    </row>
    <row r="491">
      <c r="F491" s="39">
        <f>IF($A491="","",IF($B491="","EKSİK","TAM"))</f>
        <v/>
      </c>
    </row>
    <row r="492">
      <c r="F492" s="39">
        <f>IF($A492="","",IF($B492="","EKSİK","TAM"))</f>
        <v/>
      </c>
    </row>
    <row r="493">
      <c r="F493" s="39">
        <f>IF($A493="","",IF($B493="","EKSİK","TAM"))</f>
        <v/>
      </c>
    </row>
    <row r="494">
      <c r="F494" s="39">
        <f>IF($A494="","",IF($B494="","EKSİK","TAM"))</f>
        <v/>
      </c>
    </row>
    <row r="495">
      <c r="F495" s="39">
        <f>IF($A495="","",IF($B495="","EKSİK","TAM"))</f>
        <v/>
      </c>
    </row>
    <row r="496">
      <c r="F496" s="39">
        <f>IF($A496="","",IF($B496="","EKSİK","TAM"))</f>
        <v/>
      </c>
    </row>
    <row r="497">
      <c r="F497" s="39">
        <f>IF($A497="","",IF($B497="","EKSİK","TAM"))</f>
        <v/>
      </c>
    </row>
    <row r="498">
      <c r="F498" s="39">
        <f>IF($A498="","",IF($B498="","EKSİK","TAM"))</f>
        <v/>
      </c>
    </row>
    <row r="499">
      <c r="F499" s="39">
        <f>IF($A499="","",IF($B499="","EKSİK","TAM"))</f>
        <v/>
      </c>
    </row>
    <row r="500">
      <c r="F500" s="39">
        <f>IF($A500="","",IF($B500="","EKSİK","TAM"))</f>
        <v/>
      </c>
    </row>
    <row r="501">
      <c r="F501" s="39">
        <f>IF($A501="","",IF($B501="","EKSİK","TAM"))</f>
        <v/>
      </c>
    </row>
    <row r="502">
      <c r="F502" s="39">
        <f>IF($A502="","",IF($B502="","EKSİK","TAM"))</f>
        <v/>
      </c>
    </row>
    <row r="503">
      <c r="F503" s="39">
        <f>IF($A503="","",IF($B503="","EKSİK","TAM"))</f>
        <v/>
      </c>
    </row>
    <row r="504">
      <c r="F504" s="39">
        <f>IF($A504="","",IF($B504="","EKSİK","TAM"))</f>
        <v/>
      </c>
    </row>
    <row r="505">
      <c r="F505" s="39">
        <f>IF($A505="","",IF($B505="","EKSİK","TAM"))</f>
        <v/>
      </c>
    </row>
    <row r="506">
      <c r="F506" s="39">
        <f>IF($A506="","",IF($B506="","EKSİK","TAM"))</f>
        <v/>
      </c>
    </row>
    <row r="507">
      <c r="F507" s="39">
        <f>IF($A507="","",IF($B507="","EKSİK","TAM"))</f>
        <v/>
      </c>
    </row>
    <row r="508">
      <c r="F508" s="39">
        <f>IF($A508="","",IF($B508="","EKSİK","TAM"))</f>
        <v/>
      </c>
    </row>
    <row r="509">
      <c r="F509" s="39">
        <f>IF($A509="","",IF($B509="","EKSİK","TAM"))</f>
        <v/>
      </c>
    </row>
    <row r="510">
      <c r="F510" s="39">
        <f>IF($A510="","",IF($B510="","EKSİK","TAM"))</f>
        <v/>
      </c>
    </row>
    <row r="511">
      <c r="F511" s="39">
        <f>IF($A511="","",IF($B511="","EKSİK","TAM"))</f>
        <v/>
      </c>
    </row>
    <row r="512">
      <c r="F512" s="39">
        <f>IF($A512="","",IF($B512="","EKSİK","TAM"))</f>
        <v/>
      </c>
    </row>
    <row r="513">
      <c r="F513" s="39">
        <f>IF($A513="","",IF($B513="","EKSİK","TAM"))</f>
        <v/>
      </c>
    </row>
    <row r="514">
      <c r="F514" s="39">
        <f>IF($A514="","",IF($B514="","EKSİK","TAM"))</f>
        <v/>
      </c>
    </row>
    <row r="515">
      <c r="F515" s="39">
        <f>IF($A515="","",IF($B515="","EKSİK","TAM"))</f>
        <v/>
      </c>
    </row>
    <row r="516">
      <c r="F516" s="39">
        <f>IF($A516="","",IF($B516="","EKSİK","TAM"))</f>
        <v/>
      </c>
    </row>
    <row r="517">
      <c r="F517" s="39">
        <f>IF($A517="","",IF($B517="","EKSİK","TAM"))</f>
        <v/>
      </c>
    </row>
    <row r="518">
      <c r="F518" s="39">
        <f>IF($A518="","",IF($B518="","EKSİK","TAM"))</f>
        <v/>
      </c>
    </row>
    <row r="519">
      <c r="F519" s="39">
        <f>IF($A519="","",IF($B519="","EKSİK","TAM"))</f>
        <v/>
      </c>
    </row>
    <row r="520">
      <c r="F520" s="39">
        <f>IF($A520="","",IF($B520="","EKSİK","TAM"))</f>
        <v/>
      </c>
    </row>
    <row r="521">
      <c r="F521" s="39">
        <f>IF($A521="","",IF($B521="","EKSİK","TAM"))</f>
        <v/>
      </c>
    </row>
    <row r="522">
      <c r="F522" s="39">
        <f>IF($A522="","",IF($B522="","EKSİK","TAM"))</f>
        <v/>
      </c>
    </row>
    <row r="523">
      <c r="F523" s="39">
        <f>IF($A523="","",IF($B523="","EKSİK","TAM"))</f>
        <v/>
      </c>
    </row>
    <row r="524">
      <c r="F524" s="39">
        <f>IF($A524="","",IF($B524="","EKSİK","TAM"))</f>
        <v/>
      </c>
    </row>
    <row r="525">
      <c r="F525" s="39">
        <f>IF($A525="","",IF($B525="","EKSİK","TAM"))</f>
        <v/>
      </c>
    </row>
    <row r="526">
      <c r="F526" s="39">
        <f>IF($A526="","",IF($B526="","EKSİK","TAM"))</f>
        <v/>
      </c>
    </row>
    <row r="527">
      <c r="F527" s="39">
        <f>IF($A527="","",IF($B527="","EKSİK","TAM"))</f>
        <v/>
      </c>
    </row>
    <row r="528">
      <c r="F528" s="39">
        <f>IF($A528="","",IF($B528="","EKSİK","TAM"))</f>
        <v/>
      </c>
    </row>
    <row r="529">
      <c r="F529" s="39">
        <f>IF($A529="","",IF($B529="","EKSİK","TAM"))</f>
        <v/>
      </c>
    </row>
    <row r="530">
      <c r="F530" s="39">
        <f>IF($A530="","",IF($B530="","EKSİK","TAM"))</f>
        <v/>
      </c>
    </row>
    <row r="531">
      <c r="F531" s="39">
        <f>IF($A531="","",IF($B531="","EKSİK","TAM"))</f>
        <v/>
      </c>
    </row>
    <row r="532">
      <c r="F532" s="39">
        <f>IF($A532="","",IF($B532="","EKSİK","TAM"))</f>
        <v/>
      </c>
    </row>
    <row r="533">
      <c r="F533" s="39">
        <f>IF($A533="","",IF($B533="","EKSİK","TAM"))</f>
        <v/>
      </c>
    </row>
    <row r="534">
      <c r="F534" s="39">
        <f>IF($A534="","",IF($B534="","EKSİK","TAM"))</f>
        <v/>
      </c>
    </row>
    <row r="535">
      <c r="F535" s="39">
        <f>IF($A535="","",IF($B535="","EKSİK","TAM"))</f>
        <v/>
      </c>
    </row>
    <row r="536">
      <c r="F536" s="39">
        <f>IF($A536="","",IF($B536="","EKSİK","TAM"))</f>
        <v/>
      </c>
    </row>
    <row r="537">
      <c r="F537" s="39">
        <f>IF($A537="","",IF($B537="","EKSİK","TAM"))</f>
        <v/>
      </c>
    </row>
    <row r="538">
      <c r="F538" s="39">
        <f>IF($A538="","",IF($B538="","EKSİK","TAM"))</f>
        <v/>
      </c>
    </row>
    <row r="539">
      <c r="F539" s="39">
        <f>IF($A539="","",IF($B539="","EKSİK","TAM"))</f>
        <v/>
      </c>
    </row>
    <row r="540">
      <c r="F540" s="39">
        <f>IF($A540="","",IF($B540="","EKSİK","TAM"))</f>
        <v/>
      </c>
    </row>
    <row r="541">
      <c r="F541" s="39">
        <f>IF($A541="","",IF($B541="","EKSİK","TAM"))</f>
        <v/>
      </c>
    </row>
    <row r="542">
      <c r="F542" s="39">
        <f>IF($A542="","",IF($B542="","EKSİK","TAM"))</f>
        <v/>
      </c>
    </row>
    <row r="543">
      <c r="F543" s="39">
        <f>IF($A543="","",IF($B543="","EKSİK","TAM"))</f>
        <v/>
      </c>
    </row>
    <row r="544">
      <c r="F544" s="39">
        <f>IF($A544="","",IF($B544="","EKSİK","TAM"))</f>
        <v/>
      </c>
    </row>
    <row r="545">
      <c r="F545" s="39">
        <f>IF($A545="","",IF($B545="","EKSİK","TAM"))</f>
        <v/>
      </c>
    </row>
    <row r="546">
      <c r="F546" s="39">
        <f>IF($A546="","",IF($B546="","EKSİK","TAM"))</f>
        <v/>
      </c>
    </row>
    <row r="547">
      <c r="F547" s="39">
        <f>IF($A547="","",IF($B547="","EKSİK","TAM"))</f>
        <v/>
      </c>
    </row>
    <row r="548">
      <c r="F548" s="39">
        <f>IF($A548="","",IF($B548="","EKSİK","TAM"))</f>
        <v/>
      </c>
    </row>
    <row r="549">
      <c r="F549" s="39">
        <f>IF($A549="","",IF($B549="","EKSİK","TAM"))</f>
        <v/>
      </c>
    </row>
    <row r="550">
      <c r="F550" s="39">
        <f>IF($A550="","",IF($B550="","EKSİK","TAM"))</f>
        <v/>
      </c>
    </row>
    <row r="551">
      <c r="F551" s="39">
        <f>IF($A551="","",IF($B551="","EKSİK","TAM"))</f>
        <v/>
      </c>
    </row>
    <row r="552">
      <c r="F552" s="39">
        <f>IF($A552="","",IF($B552="","EKSİK","TAM"))</f>
        <v/>
      </c>
    </row>
    <row r="553">
      <c r="F553" s="39">
        <f>IF($A553="","",IF($B553="","EKSİK","TAM"))</f>
        <v/>
      </c>
    </row>
    <row r="554">
      <c r="F554" s="39">
        <f>IF($A554="","",IF($B554="","EKSİK","TAM"))</f>
        <v/>
      </c>
    </row>
    <row r="555">
      <c r="F555" s="39">
        <f>IF($A555="","",IF($B555="","EKSİK","TAM"))</f>
        <v/>
      </c>
    </row>
    <row r="556">
      <c r="F556" s="39">
        <f>IF($A556="","",IF($B556="","EKSİK","TAM"))</f>
        <v/>
      </c>
    </row>
    <row r="557">
      <c r="F557" s="39">
        <f>IF($A557="","",IF($B557="","EKSİK","TAM"))</f>
        <v/>
      </c>
    </row>
    <row r="558">
      <c r="F558" s="39">
        <f>IF($A558="","",IF($B558="","EKSİK","TAM"))</f>
        <v/>
      </c>
    </row>
    <row r="559">
      <c r="F559" s="39">
        <f>IF($A559="","",IF($B559="","EKSİK","TAM"))</f>
        <v/>
      </c>
    </row>
    <row r="560">
      <c r="F560" s="39">
        <f>IF($A560="","",IF($B560="","EKSİK","TAM"))</f>
        <v/>
      </c>
    </row>
    <row r="561">
      <c r="F561" s="39">
        <f>IF($A561="","",IF($B561="","EKSİK","TAM"))</f>
        <v/>
      </c>
    </row>
    <row r="562">
      <c r="F562" s="39">
        <f>IF($A562="","",IF($B562="","EKSİK","TAM"))</f>
        <v/>
      </c>
    </row>
    <row r="563">
      <c r="F563" s="39">
        <f>IF($A563="","",IF($B563="","EKSİK","TAM"))</f>
        <v/>
      </c>
    </row>
    <row r="564">
      <c r="F564" s="39">
        <f>IF($A564="","",IF($B564="","EKSİK","TAM"))</f>
        <v/>
      </c>
    </row>
    <row r="565">
      <c r="F565" s="39">
        <f>IF($A565="","",IF($B565="","EKSİK","TAM"))</f>
        <v/>
      </c>
    </row>
    <row r="566">
      <c r="F566" s="39">
        <f>IF($A566="","",IF($B566="","EKSİK","TAM"))</f>
        <v/>
      </c>
    </row>
    <row r="567">
      <c r="F567" s="39">
        <f>IF($A567="","",IF($B567="","EKSİK","TAM"))</f>
        <v/>
      </c>
    </row>
    <row r="568">
      <c r="F568" s="39">
        <f>IF($A568="","",IF($B568="","EKSİK","TAM"))</f>
        <v/>
      </c>
    </row>
    <row r="569">
      <c r="F569" s="39">
        <f>IF($A569="","",IF($B569="","EKSİK","TAM"))</f>
        <v/>
      </c>
    </row>
    <row r="570">
      <c r="F570" s="39">
        <f>IF($A570="","",IF($B570="","EKSİK","TAM"))</f>
        <v/>
      </c>
    </row>
    <row r="571">
      <c r="F571" s="39">
        <f>IF($A571="","",IF($B571="","EKSİK","TAM"))</f>
        <v/>
      </c>
    </row>
    <row r="572">
      <c r="F572" s="39">
        <f>IF($A572="","",IF($B572="","EKSİK","TAM"))</f>
        <v/>
      </c>
    </row>
    <row r="573">
      <c r="F573" s="39">
        <f>IF($A573="","",IF($B573="","EKSİK","TAM"))</f>
        <v/>
      </c>
    </row>
    <row r="574">
      <c r="F574" s="39">
        <f>IF($A574="","",IF($B574="","EKSİK","TAM"))</f>
        <v/>
      </c>
    </row>
    <row r="575">
      <c r="F575" s="39">
        <f>IF($A575="","",IF($B575="","EKSİK","TAM"))</f>
        <v/>
      </c>
    </row>
    <row r="576">
      <c r="F576" s="39">
        <f>IF($A576="","",IF($B576="","EKSİK","TAM"))</f>
        <v/>
      </c>
    </row>
    <row r="577">
      <c r="F577" s="39">
        <f>IF($A577="","",IF($B577="","EKSİK","TAM"))</f>
        <v/>
      </c>
    </row>
    <row r="578">
      <c r="F578" s="39">
        <f>IF($A578="","",IF($B578="","EKSİK","TAM"))</f>
        <v/>
      </c>
    </row>
    <row r="579">
      <c r="F579" s="39">
        <f>IF($A579="","",IF($B579="","EKSİK","TAM"))</f>
        <v/>
      </c>
    </row>
    <row r="580">
      <c r="F580" s="39">
        <f>IF($A580="","",IF($B580="","EKSİK","TAM"))</f>
        <v/>
      </c>
    </row>
    <row r="581">
      <c r="F581" s="39">
        <f>IF($A581="","",IF($B581="","EKSİK","TAM"))</f>
        <v/>
      </c>
    </row>
    <row r="582">
      <c r="F582" s="39">
        <f>IF($A582="","",IF($B582="","EKSİK","TAM"))</f>
        <v/>
      </c>
    </row>
    <row r="583">
      <c r="F583" s="39">
        <f>IF($A583="","",IF($B583="","EKSİK","TAM"))</f>
        <v/>
      </c>
    </row>
    <row r="584">
      <c r="F584" s="39">
        <f>IF($A584="","",IF($B584="","EKSİK","TAM"))</f>
        <v/>
      </c>
    </row>
    <row r="585">
      <c r="F585" s="39">
        <f>IF($A585="","",IF($B585="","EKSİK","TAM"))</f>
        <v/>
      </c>
    </row>
    <row r="586">
      <c r="F586" s="39">
        <f>IF($A586="","",IF($B586="","EKSİK","TAM"))</f>
        <v/>
      </c>
    </row>
    <row r="587">
      <c r="F587" s="39">
        <f>IF($A587="","",IF($B587="","EKSİK","TAM"))</f>
        <v/>
      </c>
    </row>
    <row r="588">
      <c r="F588" s="39">
        <f>IF($A588="","",IF($B588="","EKSİK","TAM"))</f>
        <v/>
      </c>
    </row>
    <row r="589">
      <c r="F589" s="39">
        <f>IF($A589="","",IF($B589="","EKSİK","TAM"))</f>
        <v/>
      </c>
    </row>
    <row r="590">
      <c r="F590" s="39">
        <f>IF($A590="","",IF($B590="","EKSİK","TAM"))</f>
        <v/>
      </c>
    </row>
    <row r="591">
      <c r="F591" s="39">
        <f>IF($A591="","",IF($B591="","EKSİK","TAM"))</f>
        <v/>
      </c>
    </row>
    <row r="592">
      <c r="F592" s="39">
        <f>IF($A592="","",IF($B592="","EKSİK","TAM"))</f>
        <v/>
      </c>
    </row>
    <row r="593">
      <c r="F593" s="39">
        <f>IF($A593="","",IF($B593="","EKSİK","TAM"))</f>
        <v/>
      </c>
    </row>
    <row r="594">
      <c r="F594" s="39">
        <f>IF($A594="","",IF($B594="","EKSİK","TAM"))</f>
        <v/>
      </c>
    </row>
    <row r="595">
      <c r="F595" s="39">
        <f>IF($A595="","",IF($B595="","EKSİK","TAM"))</f>
        <v/>
      </c>
    </row>
    <row r="596">
      <c r="F596" s="39">
        <f>IF($A596="","",IF($B596="","EKSİK","TAM"))</f>
        <v/>
      </c>
    </row>
    <row r="597">
      <c r="F597" s="39">
        <f>IF($A597="","",IF($B597="","EKSİK","TAM"))</f>
        <v/>
      </c>
    </row>
    <row r="598">
      <c r="F598" s="39">
        <f>IF($A598="","",IF($B598="","EKSİK","TAM"))</f>
        <v/>
      </c>
    </row>
    <row r="599">
      <c r="F599" s="39">
        <f>IF($A599="","",IF($B599="","EKSİK","TAM"))</f>
        <v/>
      </c>
    </row>
    <row r="600">
      <c r="F600" s="39">
        <f>IF($A600="","",IF($B600="","EKSİK","TAM"))</f>
        <v/>
      </c>
    </row>
    <row r="601">
      <c r="F601" s="39">
        <f>IF($A601="","",IF($B601="","EKSİK","TAM"))</f>
        <v/>
      </c>
    </row>
    <row r="602">
      <c r="F602" s="39">
        <f>IF($A602="","",IF($B602="","EKSİK","TAM"))</f>
        <v/>
      </c>
    </row>
    <row r="603">
      <c r="F603" s="39">
        <f>IF($A603="","",IF($B603="","EKSİK","TAM"))</f>
        <v/>
      </c>
    </row>
    <row r="604">
      <c r="F604" s="39">
        <f>IF($A604="","",IF($B604="","EKSİK","TAM"))</f>
        <v/>
      </c>
    </row>
    <row r="605">
      <c r="F605" s="39">
        <f>IF($A605="","",IF($B605="","EKSİK","TAM"))</f>
        <v/>
      </c>
    </row>
    <row r="606">
      <c r="F606" s="39">
        <f>IF($A606="","",IF($B606="","EKSİK","TAM"))</f>
        <v/>
      </c>
    </row>
    <row r="607">
      <c r="F607" s="39">
        <f>IF($A607="","",IF($B607="","EKSİK","TAM"))</f>
        <v/>
      </c>
    </row>
    <row r="608">
      <c r="F608" s="39">
        <f>IF($A608="","",IF($B608="","EKSİK","TAM"))</f>
        <v/>
      </c>
    </row>
    <row r="609">
      <c r="F609" s="39">
        <f>IF($A609="","",IF($B609="","EKSİK","TAM"))</f>
        <v/>
      </c>
    </row>
    <row r="610">
      <c r="F610" s="39">
        <f>IF($A610="","",IF($B610="","EKSİK","TAM"))</f>
        <v/>
      </c>
    </row>
    <row r="611">
      <c r="F611" s="39">
        <f>IF($A611="","",IF($B611="","EKSİK","TAM"))</f>
        <v/>
      </c>
    </row>
    <row r="612">
      <c r="F612" s="39">
        <f>IF($A612="","",IF($B612="","EKSİK","TAM"))</f>
        <v/>
      </c>
    </row>
    <row r="613">
      <c r="F613" s="39">
        <f>IF($A613="","",IF($B613="","EKSİK","TAM"))</f>
        <v/>
      </c>
    </row>
    <row r="614">
      <c r="F614" s="39">
        <f>IF($A614="","",IF($B614="","EKSİK","TAM"))</f>
        <v/>
      </c>
    </row>
    <row r="615">
      <c r="F615" s="39">
        <f>IF($A615="","",IF($B615="","EKSİK","TAM"))</f>
        <v/>
      </c>
    </row>
    <row r="616">
      <c r="F616" s="39">
        <f>IF($A616="","",IF($B616="","EKSİK","TAM"))</f>
        <v/>
      </c>
    </row>
    <row r="617">
      <c r="F617" s="39">
        <f>IF($A617="","",IF($B617="","EKSİK","TAM"))</f>
        <v/>
      </c>
    </row>
    <row r="618">
      <c r="F618" s="39">
        <f>IF($A618="","",IF($B618="","EKSİK","TAM"))</f>
        <v/>
      </c>
    </row>
    <row r="619">
      <c r="F619" s="39">
        <f>IF($A619="","",IF($B619="","EKSİK","TAM"))</f>
        <v/>
      </c>
    </row>
    <row r="620">
      <c r="F620" s="39">
        <f>IF($A620="","",IF($B620="","EKSİK","TAM"))</f>
        <v/>
      </c>
    </row>
    <row r="621">
      <c r="F621" s="39">
        <f>IF($A621="","",IF($B621="","EKSİK","TAM"))</f>
        <v/>
      </c>
    </row>
    <row r="622">
      <c r="F622" s="39">
        <f>IF($A622="","",IF($B622="","EKSİK","TAM"))</f>
        <v/>
      </c>
    </row>
    <row r="623">
      <c r="F623" s="39">
        <f>IF($A623="","",IF($B623="","EKSİK","TAM"))</f>
        <v/>
      </c>
    </row>
    <row r="624">
      <c r="F624" s="39">
        <f>IF($A624="","",IF($B624="","EKSİK","TAM"))</f>
        <v/>
      </c>
    </row>
    <row r="625">
      <c r="F625" s="39">
        <f>IF($A625="","",IF($B625="","EKSİK","TAM"))</f>
        <v/>
      </c>
    </row>
    <row r="626">
      <c r="F626" s="39">
        <f>IF($A626="","",IF($B626="","EKSİK","TAM"))</f>
        <v/>
      </c>
    </row>
    <row r="627">
      <c r="F627" s="39">
        <f>IF($A627="","",IF($B627="","EKSİK","TAM"))</f>
        <v/>
      </c>
    </row>
    <row r="628">
      <c r="F628" s="39">
        <f>IF($A628="","",IF($B628="","EKSİK","TAM"))</f>
        <v/>
      </c>
    </row>
    <row r="629">
      <c r="F629" s="39">
        <f>IF($A629="","",IF($B629="","EKSİK","TAM"))</f>
        <v/>
      </c>
    </row>
    <row r="630">
      <c r="F630" s="39">
        <f>IF($A630="","",IF($B630="","EKSİK","TAM"))</f>
        <v/>
      </c>
    </row>
    <row r="631">
      <c r="F631" s="39">
        <f>IF($A631="","",IF($B631="","EKSİK","TAM"))</f>
        <v/>
      </c>
    </row>
    <row r="632">
      <c r="F632" s="39">
        <f>IF($A632="","",IF($B632="","EKSİK","TAM"))</f>
        <v/>
      </c>
    </row>
    <row r="633">
      <c r="F633" s="39">
        <f>IF($A633="","",IF($B633="","EKSİK","TAM"))</f>
        <v/>
      </c>
    </row>
    <row r="634">
      <c r="F634" s="39">
        <f>IF($A634="","",IF($B634="","EKSİK","TAM"))</f>
        <v/>
      </c>
    </row>
    <row r="635">
      <c r="F635" s="39">
        <f>IF($A635="","",IF($B635="","EKSİK","TAM"))</f>
        <v/>
      </c>
    </row>
    <row r="636">
      <c r="F636" s="39">
        <f>IF($A636="","",IF($B636="","EKSİK","TAM"))</f>
        <v/>
      </c>
    </row>
    <row r="637">
      <c r="F637" s="39">
        <f>IF($A637="","",IF($B637="","EKSİK","TAM"))</f>
        <v/>
      </c>
    </row>
    <row r="638">
      <c r="F638" s="39">
        <f>IF($A638="","",IF($B638="","EKSİK","TAM"))</f>
        <v/>
      </c>
    </row>
    <row r="639">
      <c r="F639" s="39">
        <f>IF($A639="","",IF($B639="","EKSİK","TAM"))</f>
        <v/>
      </c>
    </row>
    <row r="640">
      <c r="F640" s="39">
        <f>IF($A640="","",IF($B640="","EKSİK","TAM"))</f>
        <v/>
      </c>
    </row>
    <row r="641">
      <c r="F641" s="39">
        <f>IF($A641="","",IF($B641="","EKSİK","TAM"))</f>
        <v/>
      </c>
    </row>
    <row r="642">
      <c r="F642" s="39">
        <f>IF($A642="","",IF($B642="","EKSİK","TAM"))</f>
        <v/>
      </c>
    </row>
    <row r="643">
      <c r="F643" s="39">
        <f>IF($A643="","",IF($B643="","EKSİK","TAM"))</f>
        <v/>
      </c>
    </row>
    <row r="644">
      <c r="F644" s="39">
        <f>IF($A644="","",IF($B644="","EKSİK","TAM"))</f>
        <v/>
      </c>
    </row>
    <row r="645">
      <c r="F645" s="39">
        <f>IF($A645="","",IF($B645="","EKSİK","TAM"))</f>
        <v/>
      </c>
    </row>
    <row r="646">
      <c r="F646" s="39">
        <f>IF($A646="","",IF($B646="","EKSİK","TAM"))</f>
        <v/>
      </c>
    </row>
    <row r="647">
      <c r="F647" s="39">
        <f>IF($A647="","",IF($B647="","EKSİK","TAM"))</f>
        <v/>
      </c>
    </row>
    <row r="648">
      <c r="F648" s="39">
        <f>IF($A648="","",IF($B648="","EKSİK","TAM"))</f>
        <v/>
      </c>
    </row>
    <row r="649">
      <c r="F649" s="39">
        <f>IF($A649="","",IF($B649="","EKSİK","TAM"))</f>
        <v/>
      </c>
    </row>
    <row r="650">
      <c r="F650" s="39">
        <f>IF($A650="","",IF($B650="","EKSİK","TAM"))</f>
        <v/>
      </c>
    </row>
    <row r="651">
      <c r="F651" s="39">
        <f>IF($A651="","",IF($B651="","EKSİK","TAM"))</f>
        <v/>
      </c>
    </row>
    <row r="652">
      <c r="F652" s="39">
        <f>IF($A652="","",IF($B652="","EKSİK","TAM"))</f>
        <v/>
      </c>
    </row>
    <row r="653">
      <c r="F653" s="39">
        <f>IF($A653="","",IF($B653="","EKSİK","TAM"))</f>
        <v/>
      </c>
    </row>
    <row r="654">
      <c r="F654" s="39">
        <f>IF($A654="","",IF($B654="","EKSİK","TAM"))</f>
        <v/>
      </c>
    </row>
    <row r="655">
      <c r="F655" s="39">
        <f>IF($A655="","",IF($B655="","EKSİK","TAM"))</f>
        <v/>
      </c>
    </row>
    <row r="656">
      <c r="F656" s="39">
        <f>IF($A656="","",IF($B656="","EKSİK","TAM"))</f>
        <v/>
      </c>
    </row>
    <row r="657">
      <c r="F657" s="39">
        <f>IF($A657="","",IF($B657="","EKSİK","TAM"))</f>
        <v/>
      </c>
    </row>
    <row r="658">
      <c r="F658" s="39">
        <f>IF($A658="","",IF($B658="","EKSİK","TAM"))</f>
        <v/>
      </c>
    </row>
    <row r="659">
      <c r="F659" s="39">
        <f>IF($A659="","",IF($B659="","EKSİK","TAM"))</f>
        <v/>
      </c>
    </row>
    <row r="660">
      <c r="F660" s="39">
        <f>IF($A660="","",IF($B660="","EKSİK","TAM"))</f>
        <v/>
      </c>
    </row>
    <row r="661">
      <c r="F661" s="39">
        <f>IF($A661="","",IF($B661="","EKSİK","TAM"))</f>
        <v/>
      </c>
    </row>
    <row r="662">
      <c r="F662" s="39">
        <f>IF($A662="","",IF($B662="","EKSİK","TAM"))</f>
        <v/>
      </c>
    </row>
    <row r="663">
      <c r="F663" s="39">
        <f>IF($A663="","",IF($B663="","EKSİK","TAM"))</f>
        <v/>
      </c>
    </row>
    <row r="664">
      <c r="F664" s="39">
        <f>IF($A664="","",IF($B664="","EKSİK","TAM"))</f>
        <v/>
      </c>
    </row>
    <row r="665">
      <c r="F665" s="39">
        <f>IF($A665="","",IF($B665="","EKSİK","TAM"))</f>
        <v/>
      </c>
    </row>
    <row r="666">
      <c r="F666" s="39">
        <f>IF($A666="","",IF($B666="","EKSİK","TAM"))</f>
        <v/>
      </c>
    </row>
    <row r="667">
      <c r="F667" s="39">
        <f>IF($A667="","",IF($B667="","EKSİK","TAM"))</f>
        <v/>
      </c>
    </row>
    <row r="668">
      <c r="F668" s="39">
        <f>IF($A668="","",IF($B668="","EKSİK","TAM"))</f>
        <v/>
      </c>
    </row>
    <row r="669">
      <c r="F669" s="39">
        <f>IF($A669="","",IF($B669="","EKSİK","TAM"))</f>
        <v/>
      </c>
    </row>
    <row r="670">
      <c r="F670" s="39">
        <f>IF($A670="","",IF($B670="","EKSİK","TAM"))</f>
        <v/>
      </c>
    </row>
    <row r="671">
      <c r="F671" s="39">
        <f>IF($A671="","",IF($B671="","EKSİK","TAM"))</f>
        <v/>
      </c>
    </row>
    <row r="672">
      <c r="F672" s="39">
        <f>IF($A672="","",IF($B672="","EKSİK","TAM"))</f>
        <v/>
      </c>
    </row>
    <row r="673">
      <c r="F673" s="39">
        <f>IF($A673="","",IF($B673="","EKSİK","TAM"))</f>
        <v/>
      </c>
    </row>
    <row r="674">
      <c r="F674" s="39">
        <f>IF($A674="","",IF($B674="","EKSİK","TAM"))</f>
        <v/>
      </c>
    </row>
    <row r="675">
      <c r="F675" s="39">
        <f>IF($A675="","",IF($B675="","EKSİK","TAM"))</f>
        <v/>
      </c>
    </row>
    <row r="676">
      <c r="F676" s="39">
        <f>IF($A676="","",IF($B676="","EKSİK","TAM"))</f>
        <v/>
      </c>
    </row>
    <row r="677">
      <c r="F677" s="39">
        <f>IF($A677="","",IF($B677="","EKSİK","TAM"))</f>
        <v/>
      </c>
    </row>
    <row r="678">
      <c r="F678" s="39">
        <f>IF($A678="","",IF($B678="","EKSİK","TAM"))</f>
        <v/>
      </c>
    </row>
    <row r="679">
      <c r="F679" s="39">
        <f>IF($A679="","",IF($B679="","EKSİK","TAM"))</f>
        <v/>
      </c>
    </row>
    <row r="680">
      <c r="F680" s="39">
        <f>IF($A680="","",IF($B680="","EKSİK","TAM"))</f>
        <v/>
      </c>
    </row>
    <row r="681">
      <c r="F681" s="39">
        <f>IF($A681="","",IF($B681="","EKSİK","TAM"))</f>
        <v/>
      </c>
    </row>
    <row r="682">
      <c r="F682" s="39">
        <f>IF($A682="","",IF($B682="","EKSİK","TAM"))</f>
        <v/>
      </c>
    </row>
    <row r="683">
      <c r="F683" s="39">
        <f>IF($A683="","",IF($B683="","EKSİK","TAM"))</f>
        <v/>
      </c>
    </row>
    <row r="684">
      <c r="F684" s="39">
        <f>IF($A684="","",IF($B684="","EKSİK","TAM"))</f>
        <v/>
      </c>
    </row>
    <row r="685">
      <c r="F685" s="39">
        <f>IF($A685="","",IF($B685="","EKSİK","TAM"))</f>
        <v/>
      </c>
    </row>
    <row r="686">
      <c r="F686" s="39">
        <f>IF($A686="","",IF($B686="","EKSİK","TAM"))</f>
        <v/>
      </c>
    </row>
    <row r="687">
      <c r="F687" s="39">
        <f>IF($A687="","",IF($B687="","EKSİK","TAM"))</f>
        <v/>
      </c>
    </row>
    <row r="688">
      <c r="F688" s="39">
        <f>IF($A688="","",IF($B688="","EKSİK","TAM"))</f>
        <v/>
      </c>
    </row>
    <row r="689">
      <c r="F689" s="39">
        <f>IF($A689="","",IF($B689="","EKSİK","TAM"))</f>
        <v/>
      </c>
    </row>
    <row r="690">
      <c r="F690" s="39">
        <f>IF($A690="","",IF($B690="","EKSİK","TAM"))</f>
        <v/>
      </c>
    </row>
    <row r="691">
      <c r="F691" s="39">
        <f>IF($A691="","",IF($B691="","EKSİK","TAM"))</f>
        <v/>
      </c>
    </row>
    <row r="692">
      <c r="F692" s="39">
        <f>IF($A692="","",IF($B692="","EKSİK","TAM"))</f>
        <v/>
      </c>
    </row>
    <row r="693">
      <c r="F693" s="39">
        <f>IF($A693="","",IF($B693="","EKSİK","TAM"))</f>
        <v/>
      </c>
    </row>
    <row r="694">
      <c r="F694" s="39">
        <f>IF($A694="","",IF($B694="","EKSİK","TAM"))</f>
        <v/>
      </c>
    </row>
    <row r="695">
      <c r="F695" s="39">
        <f>IF($A695="","",IF($B695="","EKSİK","TAM"))</f>
        <v/>
      </c>
    </row>
    <row r="696">
      <c r="F696" s="39">
        <f>IF($A696="","",IF($B696="","EKSİK","TAM"))</f>
        <v/>
      </c>
    </row>
    <row r="697">
      <c r="F697" s="39">
        <f>IF($A697="","",IF($B697="","EKSİK","TAM"))</f>
        <v/>
      </c>
    </row>
    <row r="698">
      <c r="F698" s="39">
        <f>IF($A698="","",IF($B698="","EKSİK","TAM"))</f>
        <v/>
      </c>
    </row>
    <row r="699">
      <c r="F699" s="39">
        <f>IF($A699="","",IF($B699="","EKSİK","TAM"))</f>
        <v/>
      </c>
    </row>
    <row r="700">
      <c r="F700" s="39">
        <f>IF($A700="","",IF($B700="","EKSİK","TAM"))</f>
        <v/>
      </c>
    </row>
    <row r="701">
      <c r="F701" s="39">
        <f>IF($A701="","",IF($B701="","EKSİK","TAM"))</f>
        <v/>
      </c>
    </row>
    <row r="702">
      <c r="F702" s="39">
        <f>IF($A702="","",IF($B702="","EKSİK","TAM"))</f>
        <v/>
      </c>
    </row>
    <row r="703">
      <c r="F703" s="39">
        <f>IF($A703="","",IF($B703="","EKSİK","TAM"))</f>
        <v/>
      </c>
    </row>
    <row r="704">
      <c r="F704" s="39">
        <f>IF($A704="","",IF($B704="","EKSİK","TAM"))</f>
        <v/>
      </c>
    </row>
    <row r="705">
      <c r="F705" s="39">
        <f>IF($A705="","",IF($B705="","EKSİK","TAM"))</f>
        <v/>
      </c>
    </row>
    <row r="706">
      <c r="F706" s="39">
        <f>IF($A706="","",IF($B706="","EKSİK","TAM"))</f>
        <v/>
      </c>
    </row>
    <row r="707">
      <c r="F707" s="39">
        <f>IF($A707="","",IF($B707="","EKSİK","TAM"))</f>
        <v/>
      </c>
    </row>
    <row r="708">
      <c r="F708" s="39">
        <f>IF($A708="","",IF($B708="","EKSİK","TAM"))</f>
        <v/>
      </c>
    </row>
    <row r="709">
      <c r="F709" s="39">
        <f>IF($A709="","",IF($B709="","EKSİK","TAM"))</f>
        <v/>
      </c>
    </row>
    <row r="710">
      <c r="F710" s="39">
        <f>IF($A710="","",IF($B710="","EKSİK","TAM"))</f>
        <v/>
      </c>
    </row>
    <row r="711">
      <c r="F711" s="39">
        <f>IF($A711="","",IF($B711="","EKSİK","TAM"))</f>
        <v/>
      </c>
    </row>
    <row r="712">
      <c r="F712" s="39">
        <f>IF($A712="","",IF($B712="","EKSİK","TAM"))</f>
        <v/>
      </c>
    </row>
    <row r="713">
      <c r="F713" s="39">
        <f>IF($A713="","",IF($B713="","EKSİK","TAM"))</f>
        <v/>
      </c>
    </row>
    <row r="714">
      <c r="F714" s="39">
        <f>IF($A714="","",IF($B714="","EKSİK","TAM"))</f>
        <v/>
      </c>
    </row>
    <row r="715">
      <c r="F715" s="39">
        <f>IF($A715="","",IF($B715="","EKSİK","TAM"))</f>
        <v/>
      </c>
    </row>
    <row r="716">
      <c r="F716" s="39">
        <f>IF($A716="","",IF($B716="","EKSİK","TAM"))</f>
        <v/>
      </c>
    </row>
    <row r="717">
      <c r="F717" s="39">
        <f>IF($A717="","",IF($B717="","EKSİK","TAM"))</f>
        <v/>
      </c>
    </row>
    <row r="718">
      <c r="F718" s="39">
        <f>IF($A718="","",IF($B718="","EKSİK","TAM"))</f>
        <v/>
      </c>
    </row>
    <row r="719">
      <c r="F719" s="39">
        <f>IF($A719="","",IF($B719="","EKSİK","TAM"))</f>
        <v/>
      </c>
    </row>
    <row r="720">
      <c r="F720" s="39">
        <f>IF($A720="","",IF($B720="","EKSİK","TAM"))</f>
        <v/>
      </c>
    </row>
    <row r="721">
      <c r="F721" s="39">
        <f>IF($A721="","",IF($B721="","EKSİK","TAM"))</f>
        <v/>
      </c>
    </row>
    <row r="722">
      <c r="F722" s="39">
        <f>IF($A722="","",IF($B722="","EKSİK","TAM"))</f>
        <v/>
      </c>
    </row>
    <row r="723">
      <c r="F723" s="39">
        <f>IF($A723="","",IF($B723="","EKSİK","TAM"))</f>
        <v/>
      </c>
    </row>
    <row r="724">
      <c r="F724" s="39">
        <f>IF($A724="","",IF($B724="","EKSİK","TAM"))</f>
        <v/>
      </c>
    </row>
    <row r="725">
      <c r="F725" s="39">
        <f>IF($A725="","",IF($B725="","EKSİK","TAM"))</f>
        <v/>
      </c>
    </row>
    <row r="726">
      <c r="F726" s="39">
        <f>IF($A726="","",IF($B726="","EKSİK","TAM"))</f>
        <v/>
      </c>
    </row>
    <row r="727">
      <c r="F727" s="39">
        <f>IF($A727="","",IF($B727="","EKSİK","TAM"))</f>
        <v/>
      </c>
    </row>
    <row r="728">
      <c r="F728" s="39">
        <f>IF($A728="","",IF($B728="","EKSİK","TAM"))</f>
        <v/>
      </c>
    </row>
    <row r="729">
      <c r="F729" s="39">
        <f>IF($A729="","",IF($B729="","EKSİK","TAM"))</f>
        <v/>
      </c>
    </row>
    <row r="730">
      <c r="F730" s="39">
        <f>IF($A730="","",IF($B730="","EKSİK","TAM"))</f>
        <v/>
      </c>
    </row>
    <row r="731">
      <c r="F731" s="39">
        <f>IF($A731="","",IF($B731="","EKSİK","TAM"))</f>
        <v/>
      </c>
    </row>
    <row r="732">
      <c r="F732" s="39">
        <f>IF($A732="","",IF($B732="","EKSİK","TAM"))</f>
        <v/>
      </c>
    </row>
    <row r="733">
      <c r="F733" s="39">
        <f>IF($A733="","",IF($B733="","EKSİK","TAM"))</f>
        <v/>
      </c>
    </row>
    <row r="734">
      <c r="F734" s="39">
        <f>IF($A734="","",IF($B734="","EKSİK","TAM"))</f>
        <v/>
      </c>
    </row>
    <row r="735">
      <c r="F735" s="39">
        <f>IF($A735="","",IF($B735="","EKSİK","TAM"))</f>
        <v/>
      </c>
    </row>
    <row r="736">
      <c r="F736" s="39">
        <f>IF($A736="","",IF($B736="","EKSİK","TAM"))</f>
        <v/>
      </c>
    </row>
    <row r="737">
      <c r="F737" s="39">
        <f>IF($A737="","",IF($B737="","EKSİK","TAM"))</f>
        <v/>
      </c>
    </row>
    <row r="738">
      <c r="F738" s="39">
        <f>IF($A738="","",IF($B738="","EKSİK","TAM"))</f>
        <v/>
      </c>
    </row>
    <row r="739">
      <c r="F739" s="39">
        <f>IF($A739="","",IF($B739="","EKSİK","TAM"))</f>
        <v/>
      </c>
    </row>
    <row r="740">
      <c r="F740" s="39">
        <f>IF($A740="","",IF($B740="","EKSİK","TAM"))</f>
        <v/>
      </c>
    </row>
    <row r="741">
      <c r="F741" s="39">
        <f>IF($A741="","",IF($B741="","EKSİK","TAM"))</f>
        <v/>
      </c>
    </row>
    <row r="742">
      <c r="F742" s="39">
        <f>IF($A742="","",IF($B742="","EKSİK","TAM"))</f>
        <v/>
      </c>
    </row>
    <row r="743">
      <c r="F743" s="39">
        <f>IF($A743="","",IF($B743="","EKSİK","TAM"))</f>
        <v/>
      </c>
    </row>
    <row r="744">
      <c r="F744" s="39">
        <f>IF($A744="","",IF($B744="","EKSİK","TAM"))</f>
        <v/>
      </c>
    </row>
    <row r="745">
      <c r="F745" s="39">
        <f>IF($A745="","",IF($B745="","EKSİK","TAM"))</f>
        <v/>
      </c>
    </row>
    <row r="746">
      <c r="F746" s="39">
        <f>IF($A746="","",IF($B746="","EKSİK","TAM"))</f>
        <v/>
      </c>
    </row>
    <row r="747">
      <c r="F747" s="39">
        <f>IF($A747="","",IF($B747="","EKSİK","TAM"))</f>
        <v/>
      </c>
    </row>
    <row r="748">
      <c r="F748" s="39">
        <f>IF($A748="","",IF($B748="","EKSİK","TAM"))</f>
        <v/>
      </c>
    </row>
    <row r="749">
      <c r="F749" s="39">
        <f>IF($A749="","",IF($B749="","EKSİK","TAM"))</f>
        <v/>
      </c>
    </row>
    <row r="750">
      <c r="F750" s="39">
        <f>IF($A750="","",IF($B750="","EKSİK","TAM"))</f>
        <v/>
      </c>
    </row>
    <row r="751">
      <c r="F751" s="39">
        <f>IF($A751="","",IF($B751="","EKSİK","TAM"))</f>
        <v/>
      </c>
    </row>
    <row r="752">
      <c r="F752" s="39">
        <f>IF($A752="","",IF($B752="","EKSİK","TAM"))</f>
        <v/>
      </c>
    </row>
    <row r="753">
      <c r="F753" s="39">
        <f>IF($A753="","",IF($B753="","EKSİK","TAM"))</f>
        <v/>
      </c>
    </row>
    <row r="754">
      <c r="F754" s="39">
        <f>IF($A754="","",IF($B754="","EKSİK","TAM"))</f>
        <v/>
      </c>
    </row>
    <row r="755">
      <c r="F755" s="39">
        <f>IF($A755="","",IF($B755="","EKSİK","TAM"))</f>
        <v/>
      </c>
    </row>
    <row r="756">
      <c r="F756" s="39">
        <f>IF($A756="","",IF($B756="","EKSİK","TAM"))</f>
        <v/>
      </c>
    </row>
    <row r="757">
      <c r="F757" s="39">
        <f>IF($A757="","",IF($B757="","EKSİK","TAM"))</f>
        <v/>
      </c>
    </row>
    <row r="758">
      <c r="F758" s="39">
        <f>IF($A758="","",IF($B758="","EKSİK","TAM"))</f>
        <v/>
      </c>
    </row>
    <row r="759">
      <c r="F759" s="39">
        <f>IF($A759="","",IF($B759="","EKSİK","TAM"))</f>
        <v/>
      </c>
    </row>
    <row r="760">
      <c r="F760" s="39">
        <f>IF($A760="","",IF($B760="","EKSİK","TAM"))</f>
        <v/>
      </c>
    </row>
    <row r="761">
      <c r="F761" s="39">
        <f>IF($A761="","",IF($B761="","EKSİK","TAM"))</f>
        <v/>
      </c>
    </row>
    <row r="762">
      <c r="F762" s="39">
        <f>IF($A762="","",IF($B762="","EKSİK","TAM"))</f>
        <v/>
      </c>
    </row>
    <row r="763">
      <c r="F763" s="39">
        <f>IF($A763="","",IF($B763="","EKSİK","TAM"))</f>
        <v/>
      </c>
    </row>
    <row r="764">
      <c r="F764" s="39">
        <f>IF($A764="","",IF($B764="","EKSİK","TAM"))</f>
        <v/>
      </c>
    </row>
    <row r="765">
      <c r="F765" s="39">
        <f>IF($A765="","",IF($B765="","EKSİK","TAM"))</f>
        <v/>
      </c>
    </row>
    <row r="766">
      <c r="F766" s="39">
        <f>IF($A766="","",IF($B766="","EKSİK","TAM"))</f>
        <v/>
      </c>
    </row>
    <row r="767">
      <c r="F767" s="39">
        <f>IF($A767="","",IF($B767="","EKSİK","TAM"))</f>
        <v/>
      </c>
    </row>
    <row r="768">
      <c r="F768" s="39">
        <f>IF($A768="","",IF($B768="","EKSİK","TAM"))</f>
        <v/>
      </c>
    </row>
    <row r="769">
      <c r="F769" s="39">
        <f>IF($A769="","",IF($B769="","EKSİK","TAM"))</f>
        <v/>
      </c>
    </row>
    <row r="770">
      <c r="F770" s="39">
        <f>IF($A770="","",IF($B770="","EKSİK","TAM"))</f>
        <v/>
      </c>
    </row>
    <row r="771">
      <c r="F771" s="39">
        <f>IF($A771="","",IF($B771="","EKSİK","TAM"))</f>
        <v/>
      </c>
    </row>
    <row r="772">
      <c r="F772" s="39">
        <f>IF($A772="","",IF($B772="","EKSİK","TAM"))</f>
        <v/>
      </c>
    </row>
    <row r="773">
      <c r="F773" s="39">
        <f>IF($A773="","",IF($B773="","EKSİK","TAM"))</f>
        <v/>
      </c>
    </row>
    <row r="774">
      <c r="F774" s="39">
        <f>IF($A774="","",IF($B774="","EKSİK","TAM"))</f>
        <v/>
      </c>
    </row>
    <row r="775">
      <c r="F775" s="39">
        <f>IF($A775="","",IF($B775="","EKSİK","TAM"))</f>
        <v/>
      </c>
    </row>
    <row r="776">
      <c r="F776" s="39">
        <f>IF($A776="","",IF($B776="","EKSİK","TAM"))</f>
        <v/>
      </c>
    </row>
    <row r="777">
      <c r="F777" s="39">
        <f>IF($A777="","",IF($B777="","EKSİK","TAM"))</f>
        <v/>
      </c>
    </row>
    <row r="778">
      <c r="F778" s="39">
        <f>IF($A778="","",IF($B778="","EKSİK","TAM"))</f>
        <v/>
      </c>
    </row>
    <row r="779">
      <c r="F779" s="39">
        <f>IF($A779="","",IF($B779="","EKSİK","TAM"))</f>
        <v/>
      </c>
    </row>
    <row r="780">
      <c r="F780" s="39">
        <f>IF($A780="","",IF($B780="","EKSİK","TAM"))</f>
        <v/>
      </c>
    </row>
    <row r="781">
      <c r="F781" s="39">
        <f>IF($A781="","",IF($B781="","EKSİK","TAM"))</f>
        <v/>
      </c>
    </row>
    <row r="782">
      <c r="F782" s="39">
        <f>IF($A782="","",IF($B782="","EKSİK","TAM"))</f>
        <v/>
      </c>
    </row>
    <row r="783">
      <c r="F783" s="39">
        <f>IF($A783="","",IF($B783="","EKSİK","TAM"))</f>
        <v/>
      </c>
    </row>
    <row r="784">
      <c r="F784" s="39">
        <f>IF($A784="","",IF($B784="","EKSİK","TAM"))</f>
        <v/>
      </c>
    </row>
    <row r="785">
      <c r="F785" s="39">
        <f>IF($A785="","",IF($B785="","EKSİK","TAM"))</f>
        <v/>
      </c>
    </row>
    <row r="786">
      <c r="F786" s="39">
        <f>IF($A786="","",IF($B786="","EKSİK","TAM"))</f>
        <v/>
      </c>
    </row>
    <row r="787">
      <c r="F787" s="39">
        <f>IF($A787="","",IF($B787="","EKSİK","TAM"))</f>
        <v/>
      </c>
    </row>
    <row r="788">
      <c r="F788" s="39">
        <f>IF($A788="","",IF($B788="","EKSİK","TAM"))</f>
        <v/>
      </c>
    </row>
    <row r="789">
      <c r="F789" s="39">
        <f>IF($A789="","",IF($B789="","EKSİK","TAM"))</f>
        <v/>
      </c>
    </row>
    <row r="790">
      <c r="F790" s="39">
        <f>IF($A790="","",IF($B790="","EKSİK","TAM"))</f>
        <v/>
      </c>
    </row>
    <row r="791">
      <c r="F791" s="39">
        <f>IF($A791="","",IF($B791="","EKSİK","TAM"))</f>
        <v/>
      </c>
    </row>
    <row r="792">
      <c r="F792" s="39">
        <f>IF($A792="","",IF($B792="","EKSİK","TAM"))</f>
        <v/>
      </c>
    </row>
    <row r="793">
      <c r="F793" s="39">
        <f>IF($A793="","",IF($B793="","EKSİK","TAM"))</f>
        <v/>
      </c>
    </row>
    <row r="794">
      <c r="F794" s="39">
        <f>IF($A794="","",IF($B794="","EKSİK","TAM"))</f>
        <v/>
      </c>
    </row>
    <row r="795">
      <c r="F795" s="39">
        <f>IF($A795="","",IF($B795="","EKSİK","TAM"))</f>
        <v/>
      </c>
    </row>
    <row r="796">
      <c r="F796" s="39">
        <f>IF($A796="","",IF($B796="","EKSİK","TAM"))</f>
        <v/>
      </c>
    </row>
    <row r="797">
      <c r="F797" s="39">
        <f>IF($A797="","",IF($B797="","EKSİK","TAM"))</f>
        <v/>
      </c>
    </row>
    <row r="798">
      <c r="F798" s="39">
        <f>IF($A798="","",IF($B798="","EKSİK","TAM"))</f>
        <v/>
      </c>
    </row>
    <row r="799">
      <c r="F799" s="39">
        <f>IF($A799="","",IF($B799="","EKSİK","TAM"))</f>
        <v/>
      </c>
    </row>
    <row r="800">
      <c r="F800" s="39">
        <f>IF($A800="","",IF($B800="","EKSİK","TAM"))</f>
        <v/>
      </c>
    </row>
    <row r="801">
      <c r="F801" s="39">
        <f>IF($A801="","",IF($B801="","EKSİK","TAM"))</f>
        <v/>
      </c>
    </row>
    <row r="802">
      <c r="F802" s="39">
        <f>IF($A802="","",IF($B802="","EKSİK","TAM"))</f>
        <v/>
      </c>
    </row>
    <row r="803">
      <c r="F803" s="39">
        <f>IF($A803="","",IF($B803="","EKSİK","TAM"))</f>
        <v/>
      </c>
    </row>
    <row r="804">
      <c r="F804" s="39">
        <f>IF($A804="","",IF($B804="","EKSİK","TAM"))</f>
        <v/>
      </c>
    </row>
    <row r="805">
      <c r="F805" s="39">
        <f>IF($A805="","",IF($B805="","EKSİK","TAM"))</f>
        <v/>
      </c>
    </row>
    <row r="806">
      <c r="F806" s="39">
        <f>IF($A806="","",IF($B806="","EKSİK","TAM"))</f>
        <v/>
      </c>
    </row>
    <row r="807">
      <c r="F807" s="39">
        <f>IF($A807="","",IF($B807="","EKSİK","TAM"))</f>
        <v/>
      </c>
    </row>
    <row r="808">
      <c r="F808" s="39">
        <f>IF($A808="","",IF($B808="","EKSİK","TAM"))</f>
        <v/>
      </c>
    </row>
    <row r="809">
      <c r="F809" s="39">
        <f>IF($A809="","",IF($B809="","EKSİK","TAM"))</f>
        <v/>
      </c>
    </row>
    <row r="810">
      <c r="F810" s="39">
        <f>IF($A810="","",IF($B810="","EKSİK","TAM"))</f>
        <v/>
      </c>
    </row>
    <row r="811">
      <c r="F811" s="39">
        <f>IF($A811="","",IF($B811="","EKSİK","TAM"))</f>
        <v/>
      </c>
    </row>
    <row r="812">
      <c r="F812" s="39">
        <f>IF($A812="","",IF($B812="","EKSİK","TAM"))</f>
        <v/>
      </c>
    </row>
    <row r="813">
      <c r="F813" s="39">
        <f>IF($A813="","",IF($B813="","EKSİK","TAM"))</f>
        <v/>
      </c>
    </row>
    <row r="814">
      <c r="F814" s="39">
        <f>IF($A814="","",IF($B814="","EKSİK","TAM"))</f>
        <v/>
      </c>
    </row>
    <row r="815">
      <c r="F815" s="39">
        <f>IF($A815="","",IF($B815="","EKSİK","TAM"))</f>
        <v/>
      </c>
    </row>
    <row r="816">
      <c r="F816" s="39">
        <f>IF($A816="","",IF($B816="","EKSİK","TAM"))</f>
        <v/>
      </c>
    </row>
    <row r="817">
      <c r="F817" s="39">
        <f>IF($A817="","",IF($B817="","EKSİK","TAM"))</f>
        <v/>
      </c>
    </row>
    <row r="818">
      <c r="F818" s="39">
        <f>IF($A818="","",IF($B818="","EKSİK","TAM"))</f>
        <v/>
      </c>
    </row>
    <row r="819">
      <c r="F819" s="39">
        <f>IF($A819="","",IF($B819="","EKSİK","TAM"))</f>
        <v/>
      </c>
    </row>
    <row r="820">
      <c r="F820" s="39">
        <f>IF($A820="","",IF($B820="","EKSİK","TAM"))</f>
        <v/>
      </c>
    </row>
    <row r="821">
      <c r="F821" s="39">
        <f>IF($A821="","",IF($B821="","EKSİK","TAM"))</f>
        <v/>
      </c>
    </row>
    <row r="822">
      <c r="F822" s="39">
        <f>IF($A822="","",IF($B822="","EKSİK","TAM"))</f>
        <v/>
      </c>
    </row>
    <row r="823">
      <c r="F823" s="39">
        <f>IF($A823="","",IF($B823="","EKSİK","TAM"))</f>
        <v/>
      </c>
    </row>
    <row r="824">
      <c r="F824" s="39">
        <f>IF($A824="","",IF($B824="","EKSİK","TAM"))</f>
        <v/>
      </c>
    </row>
    <row r="825">
      <c r="F825" s="39">
        <f>IF($A825="","",IF($B825="","EKSİK","TAM"))</f>
        <v/>
      </c>
    </row>
    <row r="826">
      <c r="F826" s="39">
        <f>IF($A826="","",IF($B826="","EKSİK","TAM"))</f>
        <v/>
      </c>
    </row>
    <row r="827">
      <c r="F827" s="39">
        <f>IF($A827="","",IF($B827="","EKSİK","TAM"))</f>
        <v/>
      </c>
    </row>
    <row r="828">
      <c r="F828" s="39">
        <f>IF($A828="","",IF($B828="","EKSİK","TAM"))</f>
        <v/>
      </c>
    </row>
    <row r="829">
      <c r="F829" s="39">
        <f>IF($A829="","",IF($B829="","EKSİK","TAM"))</f>
        <v/>
      </c>
    </row>
    <row r="830">
      <c r="F830" s="39">
        <f>IF($A830="","",IF($B830="","EKSİK","TAM"))</f>
        <v/>
      </c>
    </row>
    <row r="831">
      <c r="F831" s="39">
        <f>IF($A831="","",IF($B831="","EKSİK","TAM"))</f>
        <v/>
      </c>
    </row>
    <row r="832">
      <c r="F832" s="39">
        <f>IF($A832="","",IF($B832="","EKSİK","TAM"))</f>
        <v/>
      </c>
    </row>
    <row r="833">
      <c r="F833" s="39">
        <f>IF($A833="","",IF($B833="","EKSİK","TAM"))</f>
        <v/>
      </c>
    </row>
    <row r="834">
      <c r="F834" s="39">
        <f>IF($A834="","",IF($B834="","EKSİK","TAM"))</f>
        <v/>
      </c>
    </row>
    <row r="835">
      <c r="F835" s="39">
        <f>IF($A835="","",IF($B835="","EKSİK","TAM"))</f>
        <v/>
      </c>
    </row>
    <row r="836">
      <c r="F836" s="39">
        <f>IF($A836="","",IF($B836="","EKSİK","TAM"))</f>
        <v/>
      </c>
    </row>
    <row r="837">
      <c r="F837" s="39">
        <f>IF($A837="","",IF($B837="","EKSİK","TAM"))</f>
        <v/>
      </c>
    </row>
    <row r="838">
      <c r="F838" s="39">
        <f>IF($A838="","",IF($B838="","EKSİK","TAM"))</f>
        <v/>
      </c>
    </row>
    <row r="839">
      <c r="F839" s="39">
        <f>IF($A839="","",IF($B839="","EKSİK","TAM"))</f>
        <v/>
      </c>
    </row>
    <row r="840">
      <c r="F840" s="39">
        <f>IF($A840="","",IF($B840="","EKSİK","TAM"))</f>
        <v/>
      </c>
    </row>
    <row r="841">
      <c r="F841" s="39">
        <f>IF($A841="","",IF($B841="","EKSİK","TAM"))</f>
        <v/>
      </c>
    </row>
    <row r="842">
      <c r="F842" s="39">
        <f>IF($A842="","",IF($B842="","EKSİK","TAM"))</f>
        <v/>
      </c>
    </row>
    <row r="843">
      <c r="F843" s="39">
        <f>IF($A843="","",IF($B843="","EKSİK","TAM"))</f>
        <v/>
      </c>
    </row>
    <row r="844">
      <c r="F844" s="39">
        <f>IF($A844="","",IF($B844="","EKSİK","TAM"))</f>
        <v/>
      </c>
    </row>
    <row r="845">
      <c r="F845" s="39">
        <f>IF($A845="","",IF($B845="","EKSİK","TAM"))</f>
        <v/>
      </c>
    </row>
    <row r="846">
      <c r="F846" s="39">
        <f>IF($A846="","",IF($B846="","EKSİK","TAM"))</f>
        <v/>
      </c>
    </row>
    <row r="847">
      <c r="F847" s="39">
        <f>IF($A847="","",IF($B847="","EKSİK","TAM"))</f>
        <v/>
      </c>
    </row>
    <row r="848">
      <c r="F848" s="39">
        <f>IF($A848="","",IF($B848="","EKSİK","TAM"))</f>
        <v/>
      </c>
    </row>
    <row r="849">
      <c r="F849" s="39">
        <f>IF($A849="","",IF($B849="","EKSİK","TAM"))</f>
        <v/>
      </c>
    </row>
    <row r="850">
      <c r="F850" s="39">
        <f>IF($A850="","",IF($B850="","EKSİK","TAM"))</f>
        <v/>
      </c>
    </row>
    <row r="851">
      <c r="F851" s="39">
        <f>IF($A851="","",IF($B851="","EKSİK","TAM"))</f>
        <v/>
      </c>
    </row>
    <row r="852">
      <c r="F852" s="39">
        <f>IF($A852="","",IF($B852="","EKSİK","TAM"))</f>
        <v/>
      </c>
    </row>
    <row r="853">
      <c r="F853" s="39">
        <f>IF($A853="","",IF($B853="","EKSİK","TAM"))</f>
        <v/>
      </c>
    </row>
    <row r="854">
      <c r="F854" s="39">
        <f>IF($A854="","",IF($B854="","EKSİK","TAM"))</f>
        <v/>
      </c>
    </row>
    <row r="855">
      <c r="F855" s="39">
        <f>IF($A855="","",IF($B855="","EKSİK","TAM"))</f>
        <v/>
      </c>
    </row>
    <row r="856">
      <c r="F856" s="39">
        <f>IF($A856="","",IF($B856="","EKSİK","TAM"))</f>
        <v/>
      </c>
    </row>
    <row r="857">
      <c r="F857" s="39">
        <f>IF($A857="","",IF($B857="","EKSİK","TAM"))</f>
        <v/>
      </c>
    </row>
    <row r="858">
      <c r="F858" s="39">
        <f>IF($A858="","",IF($B858="","EKSİK","TAM"))</f>
        <v/>
      </c>
    </row>
    <row r="859">
      <c r="F859" s="39">
        <f>IF($A859="","",IF($B859="","EKSİK","TAM"))</f>
        <v/>
      </c>
    </row>
    <row r="860">
      <c r="F860" s="39">
        <f>IF($A860="","",IF($B860="","EKSİK","TAM"))</f>
        <v/>
      </c>
    </row>
    <row r="861">
      <c r="F861" s="39">
        <f>IF($A861="","",IF($B861="","EKSİK","TAM"))</f>
        <v/>
      </c>
    </row>
    <row r="862">
      <c r="F862" s="39">
        <f>IF($A862="","",IF($B862="","EKSİK","TAM"))</f>
        <v/>
      </c>
    </row>
    <row r="863">
      <c r="F863" s="39">
        <f>IF($A863="","",IF($B863="","EKSİK","TAM"))</f>
        <v/>
      </c>
    </row>
    <row r="864">
      <c r="F864" s="39">
        <f>IF($A864="","",IF($B864="","EKSİK","TAM"))</f>
        <v/>
      </c>
    </row>
    <row r="865">
      <c r="F865" s="39">
        <f>IF($A865="","",IF($B865="","EKSİK","TAM"))</f>
        <v/>
      </c>
    </row>
    <row r="866">
      <c r="F866" s="39">
        <f>IF($A866="","",IF($B866="","EKSİK","TAM"))</f>
        <v/>
      </c>
    </row>
    <row r="867">
      <c r="F867" s="39">
        <f>IF($A867="","",IF($B867="","EKSİK","TAM"))</f>
        <v/>
      </c>
    </row>
    <row r="868">
      <c r="F868" s="39">
        <f>IF($A868="","",IF($B868="","EKSİK","TAM"))</f>
        <v/>
      </c>
    </row>
    <row r="869">
      <c r="F869" s="39">
        <f>IF($A869="","",IF($B869="","EKSİK","TAM"))</f>
        <v/>
      </c>
    </row>
    <row r="870">
      <c r="F870" s="39">
        <f>IF($A870="","",IF($B870="","EKSİK","TAM"))</f>
        <v/>
      </c>
    </row>
    <row r="871">
      <c r="F871" s="39">
        <f>IF($A871="","",IF($B871="","EKSİK","TAM"))</f>
        <v/>
      </c>
    </row>
    <row r="872">
      <c r="F872" s="39">
        <f>IF($A872="","",IF($B872="","EKSİK","TAM"))</f>
        <v/>
      </c>
    </row>
    <row r="873">
      <c r="F873" s="39">
        <f>IF($A873="","",IF($B873="","EKSİK","TAM"))</f>
        <v/>
      </c>
    </row>
    <row r="874">
      <c r="F874" s="39">
        <f>IF($A874="","",IF($B874="","EKSİK","TAM"))</f>
        <v/>
      </c>
    </row>
    <row r="875">
      <c r="F875" s="39">
        <f>IF($A875="","",IF($B875="","EKSİK","TAM"))</f>
        <v/>
      </c>
    </row>
    <row r="876">
      <c r="F876" s="39">
        <f>IF($A876="","",IF($B876="","EKSİK","TAM"))</f>
        <v/>
      </c>
    </row>
    <row r="877">
      <c r="F877" s="39">
        <f>IF($A877="","",IF($B877="","EKSİK","TAM"))</f>
        <v/>
      </c>
    </row>
    <row r="878">
      <c r="F878" s="39">
        <f>IF($A878="","",IF($B878="","EKSİK","TAM"))</f>
        <v/>
      </c>
    </row>
    <row r="879">
      <c r="F879" s="39">
        <f>IF($A879="","",IF($B879="","EKSİK","TAM"))</f>
        <v/>
      </c>
    </row>
    <row r="880">
      <c r="F880" s="39">
        <f>IF($A880="","",IF($B880="","EKSİK","TAM"))</f>
        <v/>
      </c>
    </row>
    <row r="881">
      <c r="F881" s="39">
        <f>IF($A881="","",IF($B881="","EKSİK","TAM"))</f>
        <v/>
      </c>
    </row>
    <row r="882">
      <c r="F882" s="39">
        <f>IF($A882="","",IF($B882="","EKSİK","TAM"))</f>
        <v/>
      </c>
    </row>
    <row r="883">
      <c r="F883" s="39">
        <f>IF($A883="","",IF($B883="","EKSİK","TAM"))</f>
        <v/>
      </c>
    </row>
    <row r="884">
      <c r="F884" s="39">
        <f>IF($A884="","",IF($B884="","EKSİK","TAM"))</f>
        <v/>
      </c>
    </row>
    <row r="885">
      <c r="F885" s="39">
        <f>IF($A885="","",IF($B885="","EKSİK","TAM"))</f>
        <v/>
      </c>
    </row>
    <row r="886">
      <c r="F886" s="39">
        <f>IF($A886="","",IF($B886="","EKSİK","TAM"))</f>
        <v/>
      </c>
    </row>
    <row r="887">
      <c r="F887" s="39">
        <f>IF($A887="","",IF($B887="","EKSİK","TAM"))</f>
        <v/>
      </c>
    </row>
    <row r="888">
      <c r="F888" s="39">
        <f>IF($A888="","",IF($B888="","EKSİK","TAM"))</f>
        <v/>
      </c>
    </row>
    <row r="889">
      <c r="F889" s="39">
        <f>IF($A889="","",IF($B889="","EKSİK","TAM"))</f>
        <v/>
      </c>
    </row>
    <row r="890">
      <c r="F890" s="39">
        <f>IF($A890="","",IF($B890="","EKSİK","TAM"))</f>
        <v/>
      </c>
    </row>
    <row r="891">
      <c r="F891" s="39">
        <f>IF($A891="","",IF($B891="","EKSİK","TAM"))</f>
        <v/>
      </c>
    </row>
    <row r="892">
      <c r="F892" s="39">
        <f>IF($A892="","",IF($B892="","EKSİK","TAM"))</f>
        <v/>
      </c>
    </row>
    <row r="893">
      <c r="F893" s="39">
        <f>IF($A893="","",IF($B893="","EKSİK","TAM"))</f>
        <v/>
      </c>
    </row>
    <row r="894">
      <c r="F894" s="39">
        <f>IF($A894="","",IF($B894="","EKSİK","TAM"))</f>
        <v/>
      </c>
    </row>
    <row r="895">
      <c r="F895" s="39">
        <f>IF($A895="","",IF($B895="","EKSİK","TAM"))</f>
        <v/>
      </c>
    </row>
    <row r="896">
      <c r="F896" s="39">
        <f>IF($A896="","",IF($B896="","EKSİK","TAM"))</f>
        <v/>
      </c>
    </row>
    <row r="897">
      <c r="F897" s="39">
        <f>IF($A897="","",IF($B897="","EKSİK","TAM"))</f>
        <v/>
      </c>
    </row>
    <row r="898">
      <c r="F898" s="39">
        <f>IF($A898="","",IF($B898="","EKSİK","TAM"))</f>
        <v/>
      </c>
    </row>
    <row r="899">
      <c r="F899" s="39">
        <f>IF($A899="","",IF($B899="","EKSİK","TAM"))</f>
        <v/>
      </c>
    </row>
    <row r="900">
      <c r="F900" s="39">
        <f>IF($A900="","",IF($B900="","EKSİK","TAM"))</f>
        <v/>
      </c>
    </row>
    <row r="901">
      <c r="F901" s="39">
        <f>IF($A901="","",IF($B901="","EKSİK","TAM"))</f>
        <v/>
      </c>
    </row>
    <row r="902">
      <c r="F902" s="39">
        <f>IF($A902="","",IF($B902="","EKSİK","TAM"))</f>
        <v/>
      </c>
    </row>
    <row r="903">
      <c r="F903" s="39">
        <f>IF($A903="","",IF($B903="","EKSİK","TAM"))</f>
        <v/>
      </c>
    </row>
    <row r="904">
      <c r="F904" s="39">
        <f>IF($A904="","",IF($B904="","EKSİK","TAM"))</f>
        <v/>
      </c>
    </row>
    <row r="905">
      <c r="F905" s="39">
        <f>IF($A905="","",IF($B905="","EKSİK","TAM"))</f>
        <v/>
      </c>
    </row>
    <row r="906">
      <c r="F906" s="39">
        <f>IF($A906="","",IF($B906="","EKSİK","TAM"))</f>
        <v/>
      </c>
    </row>
    <row r="907">
      <c r="F907" s="39">
        <f>IF($A907="","",IF($B907="","EKSİK","TAM"))</f>
        <v/>
      </c>
    </row>
    <row r="908">
      <c r="F908" s="39">
        <f>IF($A908="","",IF($B908="","EKSİK","TAM"))</f>
        <v/>
      </c>
    </row>
    <row r="909">
      <c r="F909" s="39">
        <f>IF($A909="","",IF($B909="","EKSİK","TAM"))</f>
        <v/>
      </c>
    </row>
    <row r="910">
      <c r="F910" s="39">
        <f>IF($A910="","",IF($B910="","EKSİK","TAM"))</f>
        <v/>
      </c>
    </row>
    <row r="911">
      <c r="F911" s="39">
        <f>IF($A911="","",IF($B911="","EKSİK","TAM"))</f>
        <v/>
      </c>
    </row>
    <row r="912">
      <c r="F912" s="39">
        <f>IF($A912="","",IF($B912="","EKSİK","TAM"))</f>
        <v/>
      </c>
    </row>
    <row r="913">
      <c r="F913" s="39">
        <f>IF($A913="","",IF($B913="","EKSİK","TAM"))</f>
        <v/>
      </c>
    </row>
    <row r="914">
      <c r="F914" s="39">
        <f>IF($A914="","",IF($B914="","EKSİK","TAM"))</f>
        <v/>
      </c>
    </row>
    <row r="915">
      <c r="F915" s="39">
        <f>IF($A915="","",IF($B915="","EKSİK","TAM"))</f>
        <v/>
      </c>
    </row>
    <row r="916">
      <c r="F916" s="39">
        <f>IF($A916="","",IF($B916="","EKSİK","TAM"))</f>
        <v/>
      </c>
    </row>
    <row r="917">
      <c r="F917" s="39">
        <f>IF($A917="","",IF($B917="","EKSİK","TAM"))</f>
        <v/>
      </c>
    </row>
    <row r="918">
      <c r="F918" s="39">
        <f>IF($A918="","",IF($B918="","EKSİK","TAM"))</f>
        <v/>
      </c>
    </row>
    <row r="919">
      <c r="F919" s="39">
        <f>IF($A919="","",IF($B919="","EKSİK","TAM"))</f>
        <v/>
      </c>
    </row>
    <row r="920">
      <c r="F920" s="39">
        <f>IF($A920="","",IF($B920="","EKSİK","TAM"))</f>
        <v/>
      </c>
    </row>
    <row r="921">
      <c r="F921" s="39">
        <f>IF($A921="","",IF($B921="","EKSİK","TAM"))</f>
        <v/>
      </c>
    </row>
    <row r="922">
      <c r="F922" s="39">
        <f>IF($A922="","",IF($B922="","EKSİK","TAM"))</f>
        <v/>
      </c>
    </row>
    <row r="923">
      <c r="F923" s="39">
        <f>IF($A923="","",IF($B923="","EKSİK","TAM"))</f>
        <v/>
      </c>
    </row>
    <row r="924">
      <c r="F924" s="39">
        <f>IF($A924="","",IF($B924="","EKSİK","TAM"))</f>
        <v/>
      </c>
    </row>
    <row r="925">
      <c r="F925" s="39">
        <f>IF($A925="","",IF($B925="","EKSİK","TAM"))</f>
        <v/>
      </c>
    </row>
    <row r="926">
      <c r="F926" s="39">
        <f>IF($A926="","",IF($B926="","EKSİK","TAM"))</f>
        <v/>
      </c>
    </row>
    <row r="927">
      <c r="F927" s="39">
        <f>IF($A927="","",IF($B927="","EKSİK","TAM"))</f>
        <v/>
      </c>
    </row>
    <row r="928">
      <c r="F928" s="39">
        <f>IF($A928="","",IF($B928="","EKSİK","TAM"))</f>
        <v/>
      </c>
    </row>
    <row r="929">
      <c r="F929" s="39">
        <f>IF($A929="","",IF($B929="","EKSİK","TAM"))</f>
        <v/>
      </c>
    </row>
    <row r="930">
      <c r="F930" s="39">
        <f>IF($A930="","",IF($B930="","EKSİK","TAM"))</f>
        <v/>
      </c>
    </row>
    <row r="931">
      <c r="F931" s="39">
        <f>IF($A931="","",IF($B931="","EKSİK","TAM"))</f>
        <v/>
      </c>
    </row>
    <row r="932">
      <c r="F932" s="39">
        <f>IF($A932="","",IF($B932="","EKSİK","TAM"))</f>
        <v/>
      </c>
    </row>
    <row r="933">
      <c r="F933" s="39">
        <f>IF($A933="","",IF($B933="","EKSİK","TAM"))</f>
        <v/>
      </c>
    </row>
    <row r="934">
      <c r="F934" s="39">
        <f>IF($A934="","",IF($B934="","EKSİK","TAM"))</f>
        <v/>
      </c>
    </row>
    <row r="935">
      <c r="F935" s="39">
        <f>IF($A935="","",IF($B935="","EKSİK","TAM"))</f>
        <v/>
      </c>
    </row>
    <row r="936">
      <c r="F936" s="39">
        <f>IF($A936="","",IF($B936="","EKSİK","TAM"))</f>
        <v/>
      </c>
    </row>
    <row r="937">
      <c r="F937" s="39">
        <f>IF($A937="","",IF($B937="","EKSİK","TAM"))</f>
        <v/>
      </c>
    </row>
    <row r="938">
      <c r="F938" s="39">
        <f>IF($A938="","",IF($B938="","EKSİK","TAM"))</f>
        <v/>
      </c>
    </row>
    <row r="939">
      <c r="F939" s="39">
        <f>IF($A939="","",IF($B939="","EKSİK","TAM"))</f>
        <v/>
      </c>
    </row>
    <row r="940">
      <c r="F940" s="39">
        <f>IF($A940="","",IF($B940="","EKSİK","TAM"))</f>
        <v/>
      </c>
    </row>
    <row r="941">
      <c r="F941" s="39">
        <f>IF($A941="","",IF($B941="","EKSİK","TAM"))</f>
        <v/>
      </c>
    </row>
    <row r="942">
      <c r="F942" s="39">
        <f>IF($A942="","",IF($B942="","EKSİK","TAM"))</f>
        <v/>
      </c>
    </row>
    <row r="943">
      <c r="F943" s="39">
        <f>IF($A943="","",IF($B943="","EKSİK","TAM"))</f>
        <v/>
      </c>
    </row>
    <row r="944">
      <c r="F944" s="39">
        <f>IF($A944="","",IF($B944="","EKSİK","TAM"))</f>
        <v/>
      </c>
    </row>
    <row r="945">
      <c r="F945" s="39">
        <f>IF($A945="","",IF($B945="","EKSİK","TAM"))</f>
        <v/>
      </c>
    </row>
    <row r="946">
      <c r="F946" s="39">
        <f>IF($A946="","",IF($B946="","EKSİK","TAM"))</f>
        <v/>
      </c>
    </row>
    <row r="947">
      <c r="F947" s="39">
        <f>IF($A947="","",IF($B947="","EKSİK","TAM"))</f>
        <v/>
      </c>
    </row>
    <row r="948">
      <c r="F948" s="39">
        <f>IF($A948="","",IF($B948="","EKSİK","TAM"))</f>
        <v/>
      </c>
    </row>
    <row r="949">
      <c r="F949" s="39">
        <f>IF($A949="","",IF($B949="","EKSİK","TAM"))</f>
        <v/>
      </c>
    </row>
    <row r="950">
      <c r="F950" s="39">
        <f>IF($A950="","",IF($B950="","EKSİK","TAM"))</f>
        <v/>
      </c>
    </row>
    <row r="951">
      <c r="F951" s="39">
        <f>IF($A951="","",IF($B951="","EKSİK","TAM"))</f>
        <v/>
      </c>
    </row>
    <row r="952">
      <c r="F952" s="39">
        <f>IF($A952="","",IF($B952="","EKSİK","TAM"))</f>
        <v/>
      </c>
    </row>
    <row r="953">
      <c r="F953" s="39">
        <f>IF($A953="","",IF($B953="","EKSİK","TAM"))</f>
        <v/>
      </c>
    </row>
    <row r="954">
      <c r="F954" s="39">
        <f>IF($A954="","",IF($B954="","EKSİK","TAM"))</f>
        <v/>
      </c>
    </row>
    <row r="955">
      <c r="F955" s="39">
        <f>IF($A955="","",IF($B955="","EKSİK","TAM"))</f>
        <v/>
      </c>
    </row>
    <row r="956">
      <c r="F956" s="39">
        <f>IF($A956="","",IF($B956="","EKSİK","TAM"))</f>
        <v/>
      </c>
    </row>
    <row r="957">
      <c r="F957" s="39">
        <f>IF($A957="","",IF($B957="","EKSİK","TAM"))</f>
        <v/>
      </c>
    </row>
    <row r="958">
      <c r="F958" s="39">
        <f>IF($A958="","",IF($B958="","EKSİK","TAM"))</f>
        <v/>
      </c>
    </row>
    <row r="959">
      <c r="F959" s="39">
        <f>IF($A959="","",IF($B959="","EKSİK","TAM"))</f>
        <v/>
      </c>
    </row>
    <row r="960">
      <c r="F960" s="39">
        <f>IF($A960="","",IF($B960="","EKSİK","TAM"))</f>
        <v/>
      </c>
    </row>
    <row r="961">
      <c r="F961" s="39">
        <f>IF($A961="","",IF($B961="","EKSİK","TAM"))</f>
        <v/>
      </c>
    </row>
    <row r="962">
      <c r="F962" s="39">
        <f>IF($A962="","",IF($B962="","EKSİK","TAM"))</f>
        <v/>
      </c>
    </row>
    <row r="963">
      <c r="F963" s="39">
        <f>IF($A963="","",IF($B963="","EKSİK","TAM"))</f>
        <v/>
      </c>
    </row>
    <row r="964">
      <c r="F964" s="39">
        <f>IF($A964="","",IF($B964="","EKSİK","TAM"))</f>
        <v/>
      </c>
    </row>
    <row r="965">
      <c r="F965" s="39">
        <f>IF($A965="","",IF($B965="","EKSİK","TAM"))</f>
        <v/>
      </c>
    </row>
    <row r="966">
      <c r="F966" s="39">
        <f>IF($A966="","",IF($B966="","EKSİK","TAM"))</f>
        <v/>
      </c>
    </row>
    <row r="967">
      <c r="F967" s="39">
        <f>IF($A967="","",IF($B967="","EKSİK","TAM"))</f>
        <v/>
      </c>
    </row>
    <row r="968">
      <c r="F968" s="39">
        <f>IF($A968="","",IF($B968="","EKSİK","TAM"))</f>
        <v/>
      </c>
    </row>
    <row r="969">
      <c r="F969" s="39">
        <f>IF($A969="","",IF($B969="","EKSİK","TAM"))</f>
        <v/>
      </c>
    </row>
    <row r="970">
      <c r="F970" s="39">
        <f>IF($A970="","",IF($B970="","EKSİK","TAM"))</f>
        <v/>
      </c>
    </row>
    <row r="971">
      <c r="F971" s="39">
        <f>IF($A971="","",IF($B971="","EKSİK","TAM"))</f>
        <v/>
      </c>
    </row>
    <row r="972">
      <c r="F972" s="39">
        <f>IF($A972="","",IF($B972="","EKSİK","TAM"))</f>
        <v/>
      </c>
    </row>
    <row r="973">
      <c r="F973" s="39">
        <f>IF($A973="","",IF($B973="","EKSİK","TAM"))</f>
        <v/>
      </c>
    </row>
    <row r="974">
      <c r="F974" s="39">
        <f>IF($A974="","",IF($B974="","EKSİK","TAM"))</f>
        <v/>
      </c>
    </row>
    <row r="975">
      <c r="F975" s="39">
        <f>IF($A975="","",IF($B975="","EKSİK","TAM"))</f>
        <v/>
      </c>
    </row>
    <row r="976">
      <c r="F976" s="39">
        <f>IF($A976="","",IF($B976="","EKSİK","TAM"))</f>
        <v/>
      </c>
    </row>
    <row r="977">
      <c r="F977" s="39">
        <f>IF($A977="","",IF($B977="","EKSİK","TAM"))</f>
        <v/>
      </c>
    </row>
    <row r="978">
      <c r="F978" s="39">
        <f>IF($A978="","",IF($B978="","EKSİK","TAM"))</f>
        <v/>
      </c>
    </row>
    <row r="979">
      <c r="F979" s="39">
        <f>IF($A979="","",IF($B979="","EKSİK","TAM"))</f>
        <v/>
      </c>
    </row>
    <row r="980">
      <c r="F980" s="39">
        <f>IF($A980="","",IF($B980="","EKSİK","TAM"))</f>
        <v/>
      </c>
    </row>
    <row r="981">
      <c r="F981" s="39">
        <f>IF($A981="","",IF($B981="","EKSİK","TAM"))</f>
        <v/>
      </c>
    </row>
    <row r="982">
      <c r="F982" s="39">
        <f>IF($A982="","",IF($B982="","EKSİK","TAM"))</f>
        <v/>
      </c>
    </row>
    <row r="983">
      <c r="F983" s="39">
        <f>IF($A983="","",IF($B983="","EKSİK","TAM"))</f>
        <v/>
      </c>
    </row>
    <row r="984">
      <c r="F984" s="39">
        <f>IF($A984="","",IF($B984="","EKSİK","TAM"))</f>
        <v/>
      </c>
    </row>
    <row r="985">
      <c r="F985" s="39">
        <f>IF($A985="","",IF($B985="","EKSİK","TAM"))</f>
        <v/>
      </c>
    </row>
    <row r="986">
      <c r="F986" s="39">
        <f>IF($A986="","",IF($B986="","EKSİK","TAM"))</f>
        <v/>
      </c>
    </row>
    <row r="987">
      <c r="F987" s="39">
        <f>IF($A987="","",IF($B987="","EKSİK","TAM"))</f>
        <v/>
      </c>
    </row>
    <row r="988">
      <c r="F988" s="39">
        <f>IF($A988="","",IF($B988="","EKSİK","TAM"))</f>
        <v/>
      </c>
    </row>
    <row r="989">
      <c r="F989" s="39">
        <f>IF($A989="","",IF($B989="","EKSİK","TAM"))</f>
        <v/>
      </c>
    </row>
    <row r="990">
      <c r="F990" s="39">
        <f>IF($A990="","",IF($B990="","EKSİK","TAM"))</f>
        <v/>
      </c>
    </row>
    <row r="991">
      <c r="F991" s="39">
        <f>IF($A991="","",IF($B991="","EKSİK","TAM"))</f>
        <v/>
      </c>
    </row>
    <row r="992">
      <c r="F992" s="39">
        <f>IF($A992="","",IF($B992="","EKSİK","TAM"))</f>
        <v/>
      </c>
    </row>
    <row r="993">
      <c r="F993" s="39">
        <f>IF($A993="","",IF($B993="","EKSİK","TAM"))</f>
        <v/>
      </c>
    </row>
    <row r="994">
      <c r="F994" s="39">
        <f>IF($A994="","",IF($B994="","EKSİK","TAM"))</f>
        <v/>
      </c>
    </row>
    <row r="995">
      <c r="F995" s="39">
        <f>IF($A995="","",IF($B995="","EKSİK","TAM"))</f>
        <v/>
      </c>
    </row>
    <row r="996">
      <c r="F996" s="39">
        <f>IF($A996="","",IF($B996="","EKSİK","TAM"))</f>
        <v/>
      </c>
    </row>
    <row r="997">
      <c r="F997" s="39">
        <f>IF($A997="","",IF($B997="","EKSİK","TAM"))</f>
        <v/>
      </c>
    </row>
    <row r="998">
      <c r="F998" s="39">
        <f>IF($A998="","",IF($B998="","EKSİK","TAM"))</f>
        <v/>
      </c>
    </row>
    <row r="999">
      <c r="F999" s="39">
        <f>IF($A999="","",IF($B999="","EKSİK","TAM"))</f>
        <v/>
      </c>
    </row>
    <row r="1000">
      <c r="F1000" s="39">
        <f>IF($A1000="","",IF($B1000="","EKSİK","TAM"))</f>
        <v/>
      </c>
    </row>
    <row r="1001">
      <c r="F1001" s="39">
        <f>IF($A1001="","",IF($B1001="","EKSİK","TAM"))</f>
        <v/>
      </c>
    </row>
    <row r="1002">
      <c r="F1002" s="39">
        <f>IF($A1002="","",IF($B1002="","EKSİK","TAM"))</f>
        <v/>
      </c>
    </row>
    <row r="1003">
      <c r="F1003" s="39">
        <f>IF($A1003="","",IF($B1003="","EKSİK","TAM"))</f>
        <v/>
      </c>
    </row>
    <row r="1004">
      <c r="F1004" s="39">
        <f>IF($A1004="","",IF($B1004="","EKSİK","TAM"))</f>
        <v/>
      </c>
    </row>
    <row r="1025" ht="20" customHeight="1">
      <c r="A1025" s="43" t="inlineStr">
        <is>
          <t>Sarı alanlar giriş; eşik ve KKEG riski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025:AN1025"/>
  </mergeCells>
  <conditionalFormatting sqref="B9:B15">
    <cfRule type="cellIs" priority="1" operator="lessThan" dxfId="3">
      <formula>0</formula>
    </cfRule>
  </conditionalFormatting>
  <conditionalFormatting sqref="B9:B11">
    <cfRule type="cellIs" priority="2" operator="equal" dxfId="5">
      <formula>0</formula>
    </cfRule>
  </conditionalFormatting>
  <conditionalFormatting sqref="F25:F35">
    <cfRule type="expression" priority="3" dxfId="0">
      <formula>F25="EKSİK"</formula>
    </cfRule>
    <cfRule type="expression" priority="4" dxfId="1">
      <formula>F25="TAM"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7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5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Özkaynak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İlişkili Borç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Yıllık Faiz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İlişkili İşlem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Emsal Bedel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Özkaynak" prompt="Tablo: TL tutar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İlişkili Borç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Yıllık Faiz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İlişkili İşlem" prompt="Tablo: TL tutar." type="decimal" errorStyle="stop" operator="between">
      <formula1>0</formula1>
      <formula2>1000000000000</formula2>
    </dataValidation>
    <dataValidation sqref="B34" showDropDown="0" showInputMessage="1" showErrorMessage="1" allowBlank="1" errorTitle="Geçersiz tutar" error="Sınır dışı değer." promptTitle="Emsal Bedel" prompt="Tablo: TL tutar." type="decimal" errorStyle="stop" operator="between">
      <formula1>0</formula1>
      <formula2>1000000000000</formula2>
    </dataValidation>
    <dataValidation sqref="B12" showDropDown="0" showInputMessage="1" showErrorMessage="1" allowBlank="1" errorTitle="Geçersiz oran" error="0-1 aralığı." promptTitle="Uygulanan Faiz" prompt="0 ile 1 arasında oran." type="decimal" errorStyle="stop" operator="between">
      <formula1>0</formula1>
      <formula2>1</formula2>
    </dataValidation>
    <dataValidation sqref="B13" showDropDown="0" showInputMessage="1" showErrorMessage="1" allowBlank="1" errorTitle="Geçersiz oran" error="0-1 aralığı." promptTitle="Emsal Faiz" prompt="0 ile 1 arasında oran." type="decimal" errorStyle="stop" operator="between">
      <formula1>0</formula1>
      <formula2>1</formula2>
    </dataValidation>
    <dataValidation sqref="B31" showDropDown="0" showInputMessage="1" showErrorMessage="1" allowBlank="1" errorTitle="Geçersiz oran" error="0-1 aralığı." promptTitle="Uygulanan Faiz" prompt="0 ile 1 arasında oran." type="decimal" errorStyle="stop" operator="between">
      <formula1>0</formula1>
      <formula2>1</formula2>
    </dataValidation>
    <dataValidation sqref="B32" showDropDown="0" showInputMessage="1" showErrorMessage="1" allowBlank="1" errorTitle="Geçersiz oran" error="0-1 aralığı." promptTitle="Emsal Faiz" prompt="0 ile 1 arasında oran.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8" t="inlineStr">
        <is>
          <t>KURALLAR — Örtülü Sermaye + Emsal Faiz + TF Paketi</t>
        </is>
      </c>
    </row>
    <row r="3" ht="22" customHeight="1">
      <c r="A3" s="228" t="inlineStr">
        <is>
          <t>Mevzuat kural tablosu (yıl yan yana)</t>
        </is>
      </c>
    </row>
    <row r="4">
      <c r="A4" s="4" t="inlineStr">
        <is>
          <t>Eşikler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OSE-001</t>
        </is>
      </c>
      <c r="B7" s="7" t="inlineStr">
        <is>
          <t>KVK md.12</t>
        </is>
      </c>
      <c r="C7" s="7" t="inlineStr">
        <is>
          <t>ortulu_oran_esigi</t>
        </is>
      </c>
      <c r="D7" s="7" t="inlineStr">
        <is>
          <t>ilişkili borç / özkaynak</t>
        </is>
      </c>
      <c r="E7" s="7" t="inlineStr">
        <is>
          <t>ortulu_oran_esigi</t>
        </is>
      </c>
      <c r="F7" s="46" t="n">
        <v>3</v>
      </c>
      <c r="G7" s="46" t="n">
        <v>3</v>
      </c>
      <c r="H7" s="46" t="n">
        <v>3</v>
      </c>
      <c r="I7" s="7" t="inlineStr">
        <is>
          <t>01.01.2025</t>
        </is>
      </c>
      <c r="J7" s="7" t="inlineStr">
        <is>
          <t>Örtülü sermaye borç/özkaynak eşiği (kat)</t>
        </is>
      </c>
      <c r="K7" s="39">
        <f>IF($A7="","",IFERROR(CHOOSE(MAX(1,MIN(3,IF(OR(hesapYili="",hesapYili=0),1,hesapYili-ose_yilTaban))),$F7,$G7,$H7),0))</f>
        <v/>
      </c>
    </row>
    <row r="8">
      <c r="A8" s="7" t="inlineStr">
        <is>
          <t>OSE-002</t>
        </is>
      </c>
      <c r="B8" s="7" t="inlineStr">
        <is>
          <t>KVK md.12 / TCMB</t>
        </is>
      </c>
      <c r="C8" s="7" t="inlineStr">
        <is>
          <t>emsal_faiz_referans</t>
        </is>
      </c>
      <c r="D8" s="7" t="inlineStr">
        <is>
          <t>faiz karşılaştırması</t>
        </is>
      </c>
      <c r="E8" s="7" t="inlineStr">
        <is>
          <t>emsal_faiz_referans</t>
        </is>
      </c>
      <c r="F8" s="47" t="n">
        <v>0.45</v>
      </c>
      <c r="G8" s="47" t="n">
        <v>0.4</v>
      </c>
      <c r="H8" s="47" t="n">
        <v>0.35</v>
      </c>
      <c r="I8" s="7" t="inlineStr">
        <is>
          <t>01.01.2025</t>
        </is>
      </c>
      <c r="J8" s="7" t="inlineStr">
        <is>
          <t>Referans emsal faiz (bilgi; GIRDI öncelikli)</t>
        </is>
      </c>
      <c r="K8" s="39">
        <f>IF($A8="","",IFERROR(CHOOSE(MAX(1,MIN(3,IF(OR(hesapYili="",hesapYili=0),1,hesapYili-ose_yilTaban))),$F8,$G8,$H8),0))</f>
        <v/>
      </c>
    </row>
    <row r="9">
      <c r="A9" s="7" t="inlineStr">
        <is>
          <t>OSE-003</t>
        </is>
      </c>
      <c r="B9" s="7" t="inlineStr">
        <is>
          <t>İç politika</t>
        </is>
      </c>
      <c r="C9" s="7" t="inlineStr">
        <is>
          <t>dikkat_esik</t>
        </is>
      </c>
      <c r="D9" s="7" t="inlineStr">
        <is>
          <t>KKEG risk ≥ eşik</t>
        </is>
      </c>
      <c r="E9" s="7" t="inlineStr">
        <is>
          <t>dikkat_esik_tl</t>
        </is>
      </c>
      <c r="F9" s="46" t="n">
        <v>100000</v>
      </c>
      <c r="G9" s="46" t="n">
        <v>100000</v>
      </c>
      <c r="H9" s="46" t="n">
        <v>100000</v>
      </c>
      <c r="I9" s="7" t="inlineStr">
        <is>
          <t>01.01.2025</t>
        </is>
      </c>
      <c r="J9" s="7" t="inlineStr">
        <is>
          <t>DİKKAT karar eşiği (TL)</t>
        </is>
      </c>
      <c r="K9" s="39">
        <f>IF($A9="","",IFERROR(CHOOSE(MAX(1,MIN(3,IF(OR(hesapYili="",hesapYili=0),1,hesapYili-ose_yilTaban))),$F9,$G9,$H9),0))</f>
        <v/>
      </c>
    </row>
    <row r="10">
      <c r="A10" s="7" t="inlineStr">
        <is>
          <t>OSE-004</t>
        </is>
      </c>
      <c r="B10" s="7" t="inlineStr">
        <is>
          <t>İç politika</t>
        </is>
      </c>
      <c r="C10" s="7" t="inlineStr">
        <is>
          <t>kkeg_esik</t>
        </is>
      </c>
      <c r="D10" s="7" t="inlineStr">
        <is>
          <t>KKEG risk ≥ eşik</t>
        </is>
      </c>
      <c r="E10" s="7" t="inlineStr">
        <is>
          <t>kkeg_esik_tl</t>
        </is>
      </c>
      <c r="F10" s="46" t="n">
        <v>500000</v>
      </c>
      <c r="G10" s="46" t="n">
        <v>500000</v>
      </c>
      <c r="H10" s="46" t="n">
        <v>500000</v>
      </c>
      <c r="I10" s="7" t="inlineStr">
        <is>
          <t>01.01.2025</t>
        </is>
      </c>
      <c r="J10" s="7" t="inlineStr">
        <is>
          <t>KKEG RİSKİ karar eşiği (TL)</t>
        </is>
      </c>
      <c r="K10" s="39">
        <f>IF($A10="","",IFERROR(CHOOSE(MAX(1,MIN(3,IF(OR(hesapYili="",hesapYili=0),1,hesapYili-ose_yilTaban))),$F10,$G10,$H10),0))</f>
        <v/>
      </c>
    </row>
    <row r="11">
      <c r="A11" s="7" t="inlineStr">
        <is>
          <t>OSE-005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6" t="n">
        <v>2</v>
      </c>
      <c r="G11" s="46" t="n">
        <v>2</v>
      </c>
      <c r="H11" s="46" t="n">
        <v>2</v>
      </c>
      <c r="I11" s="7" t="inlineStr">
        <is>
          <t>01.01.2025</t>
        </is>
      </c>
      <c r="J11" s="7" t="inlineStr">
        <is>
          <t>Uygulama notu</t>
        </is>
      </c>
      <c r="K11" s="39">
        <f>IF($A11="","",IFERROR(CHOOSE(MAX(1,MIN(3,IF(OR(hesapYili="",hesapYili=0),1,hesapYili-ose_yilTaban))),$F11,$G11,$H11),0))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Örtülü eşik (aktif yıl)</t>
        </is>
      </c>
      <c r="B15" s="37">
        <f>IFERROR(INDEX(CHOOSE(MAX(1,MIN(3,IF(OR(hesapYili="",hesapYili=0),1,hesapYili-ose_yilTaban))),tblKurallar[deger_2025],tblKurallar[deger_2026],tblKurallar[deger_2027]),MATCH("OSE-001",tblKurallar[kural_id],0)),0)</f>
        <v/>
      </c>
    </row>
    <row r="16">
      <c r="A16" s="7" t="inlineStr">
        <is>
          <t>KKEG eşiği (aktif yıl)</t>
        </is>
      </c>
      <c r="B16" s="26">
        <f>IFERROR(INDEX(CHOOSE(MAX(1,MIN(3,IF(OR(hesapYili="",hesapYili=0),1,hesapYili-ose_yilTaban))),tblKurallar[deger_2025],tblKurallar[deger_2026],tblKurallar[deger_2027]),MATCH("OSE-004",tblKurallar[kural_id],0)),0)</f>
        <v/>
      </c>
    </row>
    <row r="17">
      <c r="A17" s="7" t="inlineStr">
        <is>
          <t>Matris metni</t>
        </is>
      </c>
      <c r="B17" s="21">
        <f>IFERROR(_xlfn.TEXTJOIN(" | ",TRUE,"OSE-001=",TEXT(B15,"0.0"),"OSE-004=",TEXT(B16,"₺ #,##0"),"yıl=",IF(OR(hesapYili="",hesapYili=0),"-",hesapYili)),"-")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MOTOR — Örtülü Sermaye + Emsal Faiz + TF Paketi</t>
        </is>
      </c>
    </row>
    <row r="3" ht="22" customHeight="1">
      <c r="A3" s="228" t="inlineStr">
        <is>
          <t>Hesap zinciri — her adımda kural_id</t>
        </is>
      </c>
    </row>
    <row r="4">
      <c r="A4" s="4" t="inlineStr">
        <is>
          <t>Eşikler tblKurallar'dan çekilir; sabit eşik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8" t="n">
        <v>1</v>
      </c>
      <c r="B7" s="24" t="inlineStr">
        <is>
          <t>Hesap yılı oku</t>
        </is>
      </c>
      <c r="C7" s="49">
        <f>IFERROR(hesapYili,0)</f>
        <v/>
      </c>
      <c r="D7" s="50" t="inlineStr">
        <is>
          <t>yıl</t>
        </is>
      </c>
      <c r="E7" s="6" t="inlineStr">
        <is>
          <t>Aktif mevzuat yılı</t>
        </is>
      </c>
      <c r="F7" s="23" t="inlineStr">
        <is>
          <t>OSE-005</t>
        </is>
      </c>
      <c r="G7" s="37">
        <f>IFERROR(hesapYili,0)</f>
        <v/>
      </c>
    </row>
    <row r="8">
      <c r="A8" s="48" t="n">
        <v>2</v>
      </c>
      <c r="B8" s="24" t="inlineStr">
        <is>
          <t>Örtülü oran eşiği</t>
        </is>
      </c>
      <c r="C8" s="49">
        <f>IFERROR(INDEX(CHOOSE(MAX(1,MIN(3,IF(OR(hesapYili="",hesapYili=0),1,hesapYili-ose_yilTaban))),tblKurallar[deger_2025],tblKurallar[deger_2026],tblKurallar[deger_2027]),MATCH("OSE-001",tblKurallar[kural_id],0)),0)</f>
        <v/>
      </c>
      <c r="D8" s="50" t="inlineStr">
        <is>
          <t>kat</t>
        </is>
      </c>
      <c r="E8" s="6" t="inlineStr">
        <is>
          <t>Borç/özkaynak eşiği</t>
        </is>
      </c>
      <c r="F8" s="23" t="inlineStr">
        <is>
          <t>OSE-001</t>
        </is>
      </c>
      <c r="G8" s="37">
        <f>IFERROR(INDEX(CHOOSE(MAX(1,MIN(3,IF(OR(hesapYili="",hesapYili=0),1,hesapYili-ose_yilTaban))),tblKurallar[deger_2025],tblKurallar[deger_2026],tblKurallar[deger_2027]),MATCH("OSE-001",tblKurallar[kural_id],0)),0)</f>
        <v/>
      </c>
    </row>
    <row r="9">
      <c r="A9" s="48" t="n">
        <v>3</v>
      </c>
      <c r="B9" s="24" t="inlineStr">
        <is>
          <t>Emsal faiz referans</t>
        </is>
      </c>
      <c r="C9" s="51">
        <f>IFERROR(INDEX(CHOOSE(MAX(1,MIN(3,IF(OR(hesapYili="",hesapYili=0),1,hesapYili-ose_yilTaban))),tblKurallar[deger_2025],tblKurallar[deger_2026],tblKurallar[deger_2027]),MATCH("OSE-002",tblKurallar[kural_id],0)),0)</f>
        <v/>
      </c>
      <c r="D9" s="50" t="inlineStr">
        <is>
          <t>oran</t>
        </is>
      </c>
      <c r="E9" s="6" t="inlineStr">
        <is>
          <t>Referans emsal faiz</t>
        </is>
      </c>
      <c r="F9" s="23" t="inlineStr">
        <is>
          <t>OSE-002</t>
        </is>
      </c>
      <c r="G9" s="25">
        <f>IFERROR(INDEX(CHOOSE(MAX(1,MIN(3,IF(OR(hesapYili="",hesapYili=0),1,hesapYili-ose_yilTaban))),tblKurallar[deger_2025],tblKurallar[deger_2026],tblKurallar[deger_2027]),MATCH("OSE-002",tblKurallar[kural_id],0)),0)</f>
        <v/>
      </c>
    </row>
    <row r="10">
      <c r="A10" s="48" t="n">
        <v>4</v>
      </c>
      <c r="B10" s="24" t="inlineStr">
        <is>
          <t>Dikkat eşiği</t>
        </is>
      </c>
      <c r="C10" s="52">
        <f>IFERROR(INDEX(CHOOSE(MAX(1,MIN(3,IF(OR(hesapYili="",hesapYili=0),1,hesapYili-ose_yilTaban))),tblKurallar[deger_2025],tblKurallar[deger_2026],tblKurallar[deger_2027]),MATCH("OSE-003",tblKurallar[kural_id],0)),0)</f>
        <v/>
      </c>
      <c r="D10" s="50" t="inlineStr">
        <is>
          <t>TL</t>
        </is>
      </c>
      <c r="E10" s="6" t="inlineStr">
        <is>
          <t>DİKKAT KKEG eşiği</t>
        </is>
      </c>
      <c r="F10" s="23" t="inlineStr">
        <is>
          <t>OSE-003</t>
        </is>
      </c>
      <c r="G10" s="26">
        <f>IFERROR(INDEX(CHOOSE(MAX(1,MIN(3,IF(OR(hesapYili="",hesapYili=0),1,hesapYili-ose_yilTaban))),tblKurallar[deger_2025],tblKurallar[deger_2026],tblKurallar[deger_2027]),MATCH("OSE-003",tblKurallar[kural_id],0)),0)</f>
        <v/>
      </c>
    </row>
    <row r="11">
      <c r="A11" s="48" t="n">
        <v>5</v>
      </c>
      <c r="B11" s="24" t="inlineStr">
        <is>
          <t>KKEG risk eşiği</t>
        </is>
      </c>
      <c r="C11" s="52">
        <f>IFERROR(INDEX(CHOOSE(MAX(1,MIN(3,IF(OR(hesapYili="",hesapYili=0),1,hesapYili-ose_yilTaban))),tblKurallar[deger_2025],tblKurallar[deger_2026],tblKurallar[deger_2027]),MATCH("OSE-004",tblKurallar[kural_id],0)),0)</f>
        <v/>
      </c>
      <c r="D11" s="50" t="inlineStr">
        <is>
          <t>TL</t>
        </is>
      </c>
      <c r="E11" s="6" t="inlineStr">
        <is>
          <t>KKEG RİSKİ eşiği</t>
        </is>
      </c>
      <c r="F11" s="23" t="inlineStr">
        <is>
          <t>OSE-004</t>
        </is>
      </c>
      <c r="G11" s="26">
        <f>IFERROR(INDEX(CHOOSE(MAX(1,MIN(3,IF(OR(hesapYili="",hesapYili=0),1,hesapYili-ose_yilTaban))),tblKurallar[deger_2025],tblKurallar[deger_2026],tblKurallar[deger_2027]),MATCH("OSE-004",tblKurallar[kural_id],0)),0)</f>
        <v/>
      </c>
    </row>
    <row r="12">
      <c r="A12" s="48" t="n">
        <v>6</v>
      </c>
      <c r="B12" s="24" t="inlineStr">
        <is>
          <t>Yuvarlama ondalık</t>
        </is>
      </c>
      <c r="C12" s="49">
        <f>IFERROR(INDEX(CHOOSE(MAX(1,MIN(3,IF(OR(hesapYili="",hesapYili=0),1,hesapYili-ose_yilTaban))),tblKurallar[deger_2025],tblKurallar[deger_2026],tblKurallar[deger_2027]),MATCH("OSE-005",tblKurallar[kural_id],0)),0)</f>
        <v/>
      </c>
      <c r="D12" s="50" t="inlineStr">
        <is>
          <t>adet</t>
        </is>
      </c>
      <c r="E12" s="6" t="inlineStr">
        <is>
          <t>Yuvarlama basamağı</t>
        </is>
      </c>
      <c r="F12" s="23" t="inlineStr">
        <is>
          <t>OSE-005</t>
        </is>
      </c>
      <c r="G12" s="37">
        <f>IFERROR(INDEX(CHOOSE(MAX(1,MIN(3,IF(OR(hesapYili="",hesapYili=0),1,hesapYili-ose_yilTaban))),tblKurallar[deger_2025],tblKurallar[deger_2026],tblKurallar[deger_2027]),MATCH("OSE-005",tblKurallar[kural_id],0)),0)</f>
        <v/>
      </c>
    </row>
    <row r="13">
      <c r="A13" s="48" t="n">
        <v>7</v>
      </c>
      <c r="B13" s="24" t="inlineStr">
        <is>
          <t>Özkaynak</t>
        </is>
      </c>
      <c r="C13" s="52">
        <f>IFERROR(GIRDI!B9,0)</f>
        <v/>
      </c>
      <c r="D13" s="50" t="inlineStr">
        <is>
          <t>TL</t>
        </is>
      </c>
      <c r="E13" s="6" t="inlineStr">
        <is>
          <t>Özkaynak</t>
        </is>
      </c>
      <c r="F13" s="23" t="inlineStr">
        <is>
          <t>OSE-001</t>
        </is>
      </c>
      <c r="G13" s="26">
        <f>IFERROR(GIRDI!B9,0)</f>
        <v/>
      </c>
    </row>
    <row r="14">
      <c r="A14" s="48" t="n">
        <v>8</v>
      </c>
      <c r="B14" s="24" t="inlineStr">
        <is>
          <t>İlişkili borç</t>
        </is>
      </c>
      <c r="C14" s="52">
        <f>IFERROR(GIRDI!B10,0)</f>
        <v/>
      </c>
      <c r="D14" s="50" t="inlineStr">
        <is>
          <t>TL</t>
        </is>
      </c>
      <c r="E14" s="6" t="inlineStr">
        <is>
          <t>İlişkili borç toplamı</t>
        </is>
      </c>
      <c r="F14" s="23" t="inlineStr">
        <is>
          <t>OSE-001</t>
        </is>
      </c>
      <c r="G14" s="26">
        <f>IFERROR(GIRDI!B10,0)</f>
        <v/>
      </c>
    </row>
    <row r="15">
      <c r="A15" s="48" t="n">
        <v>9</v>
      </c>
      <c r="B15" s="24" t="inlineStr">
        <is>
          <t>Yıllık faiz gideri</t>
        </is>
      </c>
      <c r="C15" s="52">
        <f>IFERROR(GIRDI!B11,0)</f>
        <v/>
      </c>
      <c r="D15" s="50" t="inlineStr">
        <is>
          <t>TL</t>
        </is>
      </c>
      <c r="E15" s="6" t="inlineStr">
        <is>
          <t>Faiz gideri</t>
        </is>
      </c>
      <c r="F15" s="23" t="inlineStr">
        <is>
          <t>OSE-001</t>
        </is>
      </c>
      <c r="G15" s="26">
        <f>IFERROR(GIRDI!B11,0)</f>
        <v/>
      </c>
    </row>
    <row r="16">
      <c r="A16" s="48" t="n">
        <v>10</v>
      </c>
      <c r="B16" s="24" t="inlineStr">
        <is>
          <t>Uygulanan faiz oranı</t>
        </is>
      </c>
      <c r="C16" s="51">
        <f>IFERROR(GIRDI!B12,0)</f>
        <v/>
      </c>
      <c r="D16" s="50" t="inlineStr">
        <is>
          <t>oran</t>
        </is>
      </c>
      <c r="E16" s="6" t="inlineStr">
        <is>
          <t>Uygulanan faiz</t>
        </is>
      </c>
      <c r="F16" s="23" t="inlineStr">
        <is>
          <t>OSE-002</t>
        </is>
      </c>
      <c r="G16" s="25">
        <f>IFERROR(GIRDI!B12,0)</f>
        <v/>
      </c>
    </row>
    <row r="17">
      <c r="A17" s="48" t="n">
        <v>11</v>
      </c>
      <c r="B17" s="24" t="inlineStr">
        <is>
          <t>Emsal faiz oranı (giriş)</t>
        </is>
      </c>
      <c r="C17" s="51">
        <f>IFERROR(GIRDI!B13,0)</f>
        <v/>
      </c>
      <c r="D17" s="50" t="inlineStr">
        <is>
          <t>oran</t>
        </is>
      </c>
      <c r="E17" s="6" t="inlineStr">
        <is>
          <t>Emsal faiz GIRDI</t>
        </is>
      </c>
      <c r="F17" s="23" t="inlineStr">
        <is>
          <t>OSE-002</t>
        </is>
      </c>
      <c r="G17" s="25">
        <f>IFERROR(GIRDI!B13,0)</f>
        <v/>
      </c>
    </row>
    <row r="18">
      <c r="A18" s="48" t="n">
        <v>12</v>
      </c>
      <c r="B18" s="24" t="inlineStr">
        <is>
          <t>İlişkili işlem tutarı</t>
        </is>
      </c>
      <c r="C18" s="52">
        <f>IFERROR(GIRDI!B14,0)</f>
        <v/>
      </c>
      <c r="D18" s="50" t="inlineStr">
        <is>
          <t>TL</t>
        </is>
      </c>
      <c r="E18" s="6" t="inlineStr">
        <is>
          <t>TF işlem tutarı</t>
        </is>
      </c>
      <c r="F18" s="23" t="inlineStr">
        <is>
          <t>OSE-005</t>
        </is>
      </c>
      <c r="G18" s="26">
        <f>IFERROR(GIRDI!B14,0)</f>
        <v/>
      </c>
    </row>
    <row r="19">
      <c r="A19" s="48" t="n">
        <v>13</v>
      </c>
      <c r="B19" s="24" t="inlineStr">
        <is>
          <t>Emsal bedel</t>
        </is>
      </c>
      <c r="C19" s="52">
        <f>IFERROR(GIRDI!B15,0)</f>
        <v/>
      </c>
      <c r="D19" s="50" t="inlineStr">
        <is>
          <t>TL</t>
        </is>
      </c>
      <c r="E19" s="6" t="inlineStr">
        <is>
          <t>TF emsal bedel</t>
        </is>
      </c>
      <c r="F19" s="23" t="inlineStr">
        <is>
          <t>OSE-005</t>
        </is>
      </c>
      <c r="G19" s="26">
        <f>IFERROR(GIRDI!B15,0)</f>
        <v/>
      </c>
    </row>
    <row r="20">
      <c r="A20" s="48" t="n">
        <v>14</v>
      </c>
      <c r="B20" s="24" t="inlineStr">
        <is>
          <t>Yorum çarpanı</t>
        </is>
      </c>
      <c r="C20" s="51">
        <f>IFERROR(IF(GIRDI!B16="B",1+ose_payArtisOran,1),0)</f>
        <v/>
      </c>
      <c r="D20" s="50" t="inlineStr">
        <is>
          <t>çarpan</t>
        </is>
      </c>
      <c r="E20" s="6" t="inlineStr">
        <is>
          <t>Yorum A/B çarpanı</t>
        </is>
      </c>
      <c r="F20" s="23" t="inlineStr">
        <is>
          <t>OSE-005</t>
        </is>
      </c>
      <c r="G20" s="25">
        <f>IFERROR(IF(GIRDI!B16="B",1+ose_payArtisOran,1),0)</f>
        <v/>
      </c>
    </row>
    <row r="21">
      <c r="A21" s="48" t="n">
        <v>15</v>
      </c>
      <c r="B21" s="24" t="inlineStr">
        <is>
          <t>Emsal faiz efektif</t>
        </is>
      </c>
      <c r="C21" s="51">
        <f>IFERROR(IF(G17&gt;0,G17,G9),0)</f>
        <v/>
      </c>
      <c r="D21" s="50" t="inlineStr">
        <is>
          <t>oran</t>
        </is>
      </c>
      <c r="E21" s="6" t="inlineStr">
        <is>
          <t>GIRDI yoksa referans</t>
        </is>
      </c>
      <c r="F21" s="23" t="inlineStr">
        <is>
          <t>OSE-002</t>
        </is>
      </c>
      <c r="G21" s="25">
        <f>IFERROR(IF(G17&gt;0,G17,G9),0)</f>
        <v/>
      </c>
    </row>
    <row r="22">
      <c r="A22" s="48" t="n">
        <v>16</v>
      </c>
      <c r="B22" s="24" t="inlineStr">
        <is>
          <t>Borç / özkaynak oranı</t>
        </is>
      </c>
      <c r="C22" s="51">
        <f>IFERROR(IF(G13=0,0,G14/G13),0)</f>
        <v/>
      </c>
      <c r="D22" s="50" t="inlineStr">
        <is>
          <t>oran</t>
        </is>
      </c>
      <c r="E22" s="6" t="inlineStr">
        <is>
          <t>Örtülü sermaye oranı</t>
        </is>
      </c>
      <c r="F22" s="23" t="inlineStr">
        <is>
          <t>OSE-001</t>
        </is>
      </c>
      <c r="G22" s="25">
        <f>IFERROR(IF(G13=0,0,G14/G13),0)</f>
        <v/>
      </c>
    </row>
    <row r="23">
      <c r="A23" s="48" t="n">
        <v>17</v>
      </c>
      <c r="B23" s="24" t="inlineStr">
        <is>
          <t>Aşan borç</t>
        </is>
      </c>
      <c r="C23" s="52">
        <f>IFERROR(ROUND(MAX(0,G14-G13*G8)*G20,MAX(0,MIN(ose_yuvarMax,IFERROR(N(G12),0)))),0)</f>
        <v/>
      </c>
      <c r="D23" s="50" t="inlineStr">
        <is>
          <t>TL</t>
        </is>
      </c>
      <c r="E23" s="6" t="inlineStr">
        <is>
          <t>Eşik üstü borç (yorumlu)</t>
        </is>
      </c>
      <c r="F23" s="23" t="inlineStr">
        <is>
          <t>OSE-001</t>
        </is>
      </c>
      <c r="G23" s="26">
        <f>IFERROR(ROUND(MAX(0,G14-G13*G8)*G20,MAX(0,MIN(ose_yuvarMax,IFERROR(N(G12),0)))),0)</f>
        <v/>
      </c>
    </row>
    <row r="24">
      <c r="A24" s="48" t="n">
        <v>18</v>
      </c>
      <c r="B24" s="24" t="inlineStr">
        <is>
          <t>Kabul edilmeyen faiz</t>
        </is>
      </c>
      <c r="C24" s="52">
        <f>IFERROR(ROUND(IF(G14=0,0,G15*(G23/G14)),MAX(0,MIN(ose_yuvarMax,IFERROR(N(G12),0)))),0)</f>
        <v/>
      </c>
      <c r="D24" s="50" t="inlineStr">
        <is>
          <t>TL</t>
        </is>
      </c>
      <c r="E24" s="6" t="inlineStr">
        <is>
          <t>Örtülü sermaye faiz KKEG</t>
        </is>
      </c>
      <c r="F24" s="23" t="inlineStr">
        <is>
          <t>OSE-001</t>
        </is>
      </c>
      <c r="G24" s="26">
        <f>IFERROR(ROUND(IF(G14=0,0,G15*(G23/G14)),MAX(0,MIN(ose_yuvarMax,IFERROR(N(G12),0)))),0)</f>
        <v/>
      </c>
    </row>
    <row r="25">
      <c r="A25" s="48" t="n">
        <v>19</v>
      </c>
      <c r="B25" s="24" t="inlineStr">
        <is>
          <t>Emsal faiz farkı</t>
        </is>
      </c>
      <c r="C25" s="52">
        <f>IFERROR(ROUND(MAX(0,G16-G21)*G14,MAX(0,MIN(ose_yuvarMax,IFERROR(N(G12),0)))),0)</f>
        <v/>
      </c>
      <c r="D25" s="50" t="inlineStr">
        <is>
          <t>TL</t>
        </is>
      </c>
      <c r="E25" s="6" t="inlineStr">
        <is>
          <t>(Uygulanan−emsal)×borç</t>
        </is>
      </c>
      <c r="F25" s="23" t="inlineStr">
        <is>
          <t>OSE-002</t>
        </is>
      </c>
      <c r="G25" s="26">
        <f>IFERROR(ROUND(MAX(0,G16-G21)*G14,MAX(0,MIN(ose_yuvarMax,IFERROR(N(G12),0)))),0)</f>
        <v/>
      </c>
    </row>
    <row r="26">
      <c r="A26" s="48" t="n">
        <v>20</v>
      </c>
      <c r="B26" s="24" t="inlineStr">
        <is>
          <t>TF farkı</t>
        </is>
      </c>
      <c r="C26" s="52">
        <f>IFERROR(ROUND(ABS(G18-G19),MAX(0,MIN(ose_yuvarMax,IFERROR(N(G12),0)))),0)</f>
        <v/>
      </c>
      <c r="D26" s="50" t="inlineStr">
        <is>
          <t>TL</t>
        </is>
      </c>
      <c r="E26" s="6" t="inlineStr">
        <is>
          <t>|İşlem−emsal bedel|</t>
        </is>
      </c>
      <c r="F26" s="23" t="inlineStr">
        <is>
          <t>OSE-005</t>
        </is>
      </c>
      <c r="G26" s="26">
        <f>IFERROR(ROUND(ABS(G18-G19),MAX(0,MIN(ose_yuvarMax,IFERROR(N(G12),0)))),0)</f>
        <v/>
      </c>
    </row>
    <row r="27">
      <c r="A27" s="48" t="n">
        <v>21</v>
      </c>
      <c r="B27" s="24" t="inlineStr">
        <is>
          <t>Toplam KKEG riski</t>
        </is>
      </c>
      <c r="C27" s="52">
        <f>IFERROR(G24+G25+G26,0)</f>
        <v/>
      </c>
      <c r="D27" s="50" t="inlineStr">
        <is>
          <t>TL</t>
        </is>
      </c>
      <c r="E27" s="6" t="inlineStr">
        <is>
          <t>Üç kalem toplamı</t>
        </is>
      </c>
      <c r="F27" s="23" t="inlineStr">
        <is>
          <t>OSE-004</t>
        </is>
      </c>
      <c r="G27" s="26">
        <f>IFERROR(G24+G25+G26,0)</f>
        <v/>
      </c>
    </row>
    <row r="28">
      <c r="A28" s="48" t="n">
        <v>22</v>
      </c>
      <c r="B28" s="24" t="inlineStr">
        <is>
          <t>Toplam KKEG (pano)</t>
        </is>
      </c>
      <c r="C28" s="52">
        <f>IFERROR(G27,0)</f>
        <v/>
      </c>
      <c r="D28" s="50" t="inlineStr">
        <is>
          <t>TL</t>
        </is>
      </c>
      <c r="E28" s="6" t="inlineStr">
        <is>
          <t>KKEG ayna</t>
        </is>
      </c>
      <c r="F28" s="23" t="inlineStr">
        <is>
          <t>OSE-004</t>
        </is>
      </c>
      <c r="G28" s="26">
        <f>IFERROR(G27,0)</f>
        <v/>
      </c>
    </row>
    <row r="29">
      <c r="A29" s="48" t="n">
        <v>23</v>
      </c>
      <c r="B29" s="24" t="inlineStr">
        <is>
          <t>Borç oranı (pano)</t>
        </is>
      </c>
      <c r="C29" s="51">
        <f>IFERROR(G22,0)</f>
        <v/>
      </c>
      <c r="D29" s="50" t="inlineStr">
        <is>
          <t>oran</t>
        </is>
      </c>
      <c r="E29" s="6" t="inlineStr">
        <is>
          <t>Oran ayna</t>
        </is>
      </c>
      <c r="F29" s="23" t="inlineStr">
        <is>
          <t>OSE-001</t>
        </is>
      </c>
      <c r="G29" s="25">
        <f>IFERROR(G22,0)</f>
        <v/>
      </c>
    </row>
    <row r="30">
      <c r="A30" s="48" t="n">
        <v>24</v>
      </c>
      <c r="B30" s="24" t="inlineStr">
        <is>
          <t>Kabul edilmeyen (pano)</t>
        </is>
      </c>
      <c r="C30" s="52">
        <f>IFERROR(G24,0)</f>
        <v/>
      </c>
      <c r="D30" s="50" t="inlineStr">
        <is>
          <t>TL</t>
        </is>
      </c>
      <c r="E30" s="6" t="inlineStr">
        <is>
          <t>Faiz KKEG ayna</t>
        </is>
      </c>
      <c r="F30" s="23" t="inlineStr">
        <is>
          <t>OSE-001</t>
        </is>
      </c>
      <c r="G30" s="26">
        <f>IFERROR(G24,0)</f>
        <v/>
      </c>
    </row>
    <row r="31">
      <c r="A31" s="48" t="n">
        <v>25</v>
      </c>
      <c r="B31" s="24" t="inlineStr">
        <is>
          <t>Kabul edilmeyen / faiz</t>
        </is>
      </c>
      <c r="C31" s="51">
        <f>IFERROR(IF(G15=0,0,G24/G15),0)</f>
        <v/>
      </c>
      <c r="D31" s="50" t="inlineStr">
        <is>
          <t>oran</t>
        </is>
      </c>
      <c r="E31" s="6" t="inlineStr">
        <is>
          <t>Faiz kısıt oranı</t>
        </is>
      </c>
      <c r="F31" s="23" t="inlineStr">
        <is>
          <t>OSE-001</t>
        </is>
      </c>
      <c r="G31" s="25">
        <f>IFERROR(IF(G15=0,0,G24/G15),0)</f>
        <v/>
      </c>
    </row>
    <row r="32">
      <c r="A32" s="48" t="n">
        <v>26</v>
      </c>
      <c r="B32" s="24" t="inlineStr">
        <is>
          <t>TF / işlem yoğunluğu</t>
        </is>
      </c>
      <c r="C32" s="51">
        <f>IFERROR(IF(G18=0,0,G26/G18),0)</f>
        <v/>
      </c>
      <c r="D32" s="50" t="inlineStr">
        <is>
          <t>oran</t>
        </is>
      </c>
      <c r="E32" s="6" t="inlineStr">
        <is>
          <t>TF fark yoğunluğu</t>
        </is>
      </c>
      <c r="F32" s="23" t="inlineStr">
        <is>
          <t>OSE-005</t>
        </is>
      </c>
      <c r="G32" s="25">
        <f>IFERROR(IF(G18=0,0,G26/G18),0)</f>
        <v/>
      </c>
    </row>
    <row r="33">
      <c r="A33" s="48" t="n">
        <v>27</v>
      </c>
      <c r="B33" s="24" t="inlineStr">
        <is>
          <t>Karar kodu</t>
        </is>
      </c>
      <c r="C33" s="21">
        <f>IFERROR(IF(COUNTA(tblGirdi[Alan Anahtarı])=0,"VERI_YOK",IF(OR(G27&gt;=G11,AND(G22&gt;G8,G24&gt;0,G27&gt;=G10)),"KKEG_RISKI",IF(OR(G27&gt;=G10,G22&gt;G8),"DIKKAT","TEMIZ"))),"")</f>
        <v/>
      </c>
      <c r="D33" s="50" t="inlineStr">
        <is>
          <t>kod</t>
        </is>
      </c>
      <c r="E33" s="6" t="inlineStr">
        <is>
          <t>Karar kodu</t>
        </is>
      </c>
      <c r="F33" s="23" t="inlineStr">
        <is>
          <t>OSE-005</t>
        </is>
      </c>
      <c r="G33" s="27">
        <f>IFERROR(IF(COUNTA(tblGirdi[Alan Anahtarı])=0,"VERI_YOK",IF(OR(G27&gt;=G11,AND(G22&gt;G8,G24&gt;0,G27&gt;=G10)),"KKEG_RISKI",IF(OR(G27&gt;=G10,G22&gt;G8),"DIKKAT","TEMIZ"))),"")</f>
        <v/>
      </c>
    </row>
    <row r="34">
      <c r="A34" s="48" t="n">
        <v>28</v>
      </c>
      <c r="B34" s="24" t="inlineStr">
        <is>
          <t>Karar metni</t>
        </is>
      </c>
      <c r="C34" s="21">
        <f>IFERROR(IF(G33="VERI_YOK","VERİ YOK",IF(G33="KKEG_RISKI","KKEG RİSKİ",IF(G33="DIKKAT","DİKKAT","TEMİZ"))),"")</f>
        <v/>
      </c>
      <c r="D34" s="50" t="inlineStr">
        <is>
          <t>metin</t>
        </is>
      </c>
      <c r="E34" s="6" t="inlineStr">
        <is>
          <t>Kullanıcıya karar</t>
        </is>
      </c>
      <c r="F34" s="23" t="inlineStr">
        <is>
          <t>OSE-005</t>
        </is>
      </c>
      <c r="G34" s="27">
        <f>IFERROR(IF(G33="VERI_YOK","VERİ YOK",IF(G33="KKEG_RISKI","KKEG RİSKİ",IF(G33="DIKKAT","DİKKAT","TEMİZ"))),"")</f>
        <v/>
      </c>
    </row>
    <row r="35">
      <c r="A35" s="48" t="n">
        <v>29</v>
      </c>
      <c r="B35" s="24" t="inlineStr">
        <is>
          <t>Gerekçe</t>
        </is>
      </c>
      <c r="C35" s="21">
        <f>IFERROR(IF(G33="VERI_YOK","Giriş tablosu boş — hesap yapılamaz.",IF(G33="KKEG_RISKI","Toplam KKEG riski eşiğin üzerinde veya örtülü sermaye + faiz kısıtı oluştu; savunma dosyası zorunlu.",IF(G33="DIKKAT","Oran veya KKEG riski dikkat bandında; ilişkili borç AND emsal faiz dayanağını gözden geçirin.","Borç/özkaynak eşiğin altında AND KKEG riski düşük; dosya TEMİZ görünüyor."))),"")</f>
        <v/>
      </c>
      <c r="D35" s="50" t="inlineStr">
        <is>
          <t>metin</t>
        </is>
      </c>
      <c r="E35" s="6" t="inlineStr">
        <is>
          <t>Gerekçe cümlesi</t>
        </is>
      </c>
      <c r="F35" s="23" t="inlineStr">
        <is>
          <t>OSE-005</t>
        </is>
      </c>
      <c r="G35" s="27">
        <f>IFERROR(IF(G33="VERI_YOK","Giriş tablosu boş — hesap yapılamaz.",IF(G33="KKEG_RISKI","Toplam KKEG riski eşiğin üzerinde veya örtülü sermaye + faiz kısıtı oluştu; savunma dosyası zorunlu.",IF(G33="DIKKAT","Oran veya KKEG riski dikkat bandında; ilişkili borç AND emsal faiz dayanağını gözden geçirin.","Borç/özkaynak eşiğin altında AND KKEG riski düşük; dosya TEMİZ görünüyor."))),"")</f>
        <v/>
      </c>
    </row>
    <row r="36">
      <c r="A36" s="48" t="n">
        <v>30</v>
      </c>
      <c r="B36" s="24" t="inlineStr">
        <is>
          <t>Emsal faiz fark / toplam</t>
        </is>
      </c>
      <c r="C36" s="51">
        <f>IFERROR(IF(G27=0,0,G25/G27),0)</f>
        <v/>
      </c>
      <c r="D36" s="50" t="inlineStr">
        <is>
          <t>oran</t>
        </is>
      </c>
      <c r="E36" s="6" t="inlineStr">
        <is>
          <t>Faiz fark payı</t>
        </is>
      </c>
      <c r="F36" s="23" t="inlineStr">
        <is>
          <t>OSE-002</t>
        </is>
      </c>
      <c r="G36" s="25">
        <f>IFERROR(IF(G27=0,0,G25/G27),0)</f>
        <v/>
      </c>
    </row>
    <row r="37">
      <c r="A37" s="48" t="n">
        <v>31</v>
      </c>
      <c r="B37" s="24" t="inlineStr">
        <is>
          <t>Örtülü bayrak</t>
        </is>
      </c>
      <c r="C37" s="49">
        <f>IFERROR(IF(G22&gt;G8,1,0),0)</f>
        <v/>
      </c>
      <c r="D37" s="50" t="inlineStr">
        <is>
          <t>bayrak</t>
        </is>
      </c>
      <c r="E37" s="6" t="inlineStr">
        <is>
          <t>Eşik aşıldı mı</t>
        </is>
      </c>
      <c r="F37" s="23" t="inlineStr">
        <is>
          <t>OSE-001</t>
        </is>
      </c>
      <c r="G37" s="37">
        <f>IFERROR(IF(G22&gt;G8,1,0),0)</f>
        <v/>
      </c>
    </row>
    <row r="38">
      <c r="A38" s="48" t="n">
        <v>32</v>
      </c>
      <c r="B38" s="24" t="inlineStr">
        <is>
          <t>Güven skoru</t>
        </is>
      </c>
      <c r="C38" s="49">
        <f>IFERROR(ROUND(IF(OR(COUNTA(GIRDI!B6:B16)=0,ose_girisBeklenen=0),0,COUNTA(GIRDI!B6:B16)/ose_girisBeklenen*100),0),0)</f>
        <v/>
      </c>
      <c r="D38" s="50" t="inlineStr">
        <is>
          <t>puan</t>
        </is>
      </c>
      <c r="E38" s="6" t="inlineStr">
        <is>
          <t>Giriş bütünlüğü</t>
        </is>
      </c>
      <c r="F38" s="23" t="inlineStr">
        <is>
          <t>OSE-005</t>
        </is>
      </c>
      <c r="G38" s="37">
        <f>IFERROR(ROUND(IF(OR(COUNTA(GIRDI!B6:B16)=0,ose_girisBeklenen=0),0,COUNTA(GIRDI!B6:B16)/ose_girisBeklenen*100),0),0)</f>
        <v/>
      </c>
    </row>
    <row r="39">
      <c r="A39" s="48" t="n">
        <v>33</v>
      </c>
      <c r="B39" s="24" t="inlineStr">
        <is>
          <t>Risk skoru</t>
        </is>
      </c>
      <c r="C39" s="49">
        <f>IFERROR(IF(G33="VERI_YOK",0,IF(G33="TEMIZ",ose_riskDusuk,IF(G33="DIKKAT",ose_riskOrta,ose_riskYuksek))),0)</f>
        <v/>
      </c>
      <c r="D39" s="50" t="inlineStr">
        <is>
          <t>puan</t>
        </is>
      </c>
      <c r="E39" s="6" t="inlineStr">
        <is>
          <t>KKEG risk skoru</t>
        </is>
      </c>
      <c r="F39" s="23" t="inlineStr">
        <is>
          <t>OSE-005</t>
        </is>
      </c>
      <c r="G39" s="37">
        <f>IFERROR(IF(G33="VERI_YOK",0,IF(G33="TEMIZ",ose_riskDusuk,IF(G33="DIKKAT",ose_riskOrta,ose_riskYuksek))),0)</f>
        <v/>
      </c>
    </row>
    <row r="40">
      <c r="A40" s="48" t="n">
        <v>34</v>
      </c>
      <c r="B40" s="24" t="inlineStr">
        <is>
          <t>Senaryo iyimser KKEG</t>
        </is>
      </c>
      <c r="C40" s="52">
        <f>IFERROR(G27*ose_senaryoIyi,0)</f>
        <v/>
      </c>
      <c r="D40" s="50" t="inlineStr">
        <is>
          <t>TL</t>
        </is>
      </c>
      <c r="E40" s="6" t="inlineStr">
        <is>
          <t>İyimser (düşük) risk</t>
        </is>
      </c>
      <c r="F40" s="23" t="inlineStr">
        <is>
          <t>OSE-004</t>
        </is>
      </c>
      <c r="G40" s="26">
        <f>IFERROR(G27*ose_senaryoIyi,0)</f>
        <v/>
      </c>
    </row>
    <row r="41">
      <c r="A41" s="48" t="n">
        <v>35</v>
      </c>
      <c r="B41" s="24" t="inlineStr">
        <is>
          <t>Senaryo kötümser KKEG</t>
        </is>
      </c>
      <c r="C41" s="52">
        <f>IFERROR(G27*ose_senaryoKotu,0)</f>
        <v/>
      </c>
      <c r="D41" s="50" t="inlineStr">
        <is>
          <t>TL</t>
        </is>
      </c>
      <c r="E41" s="6" t="inlineStr">
        <is>
          <t>Kötümser (yüksek) risk</t>
        </is>
      </c>
      <c r="F41" s="23" t="inlineStr">
        <is>
          <t>OSE-004</t>
        </is>
      </c>
      <c r="G41" s="26">
        <f>IFERROR(G27*ose_senaryoKotu,0)</f>
        <v/>
      </c>
    </row>
    <row r="42">
      <c r="A42" s="48" t="n">
        <v>36</v>
      </c>
      <c r="B42" s="24" t="inlineStr">
        <is>
          <t>İyimser KKEG (düşük)</t>
        </is>
      </c>
      <c r="C42" s="52">
        <f>IFERROR(ROUND(G27*ose_senaryoKotu,MAX(0,MIN(ose_yuvarMax,IFERROR(N(G12),0)))),0)</f>
        <v/>
      </c>
      <c r="D42" s="50" t="inlineStr">
        <is>
          <t>TL</t>
        </is>
      </c>
      <c r="E42" s="6" t="inlineStr">
        <is>
          <t>İyimser düşük risk</t>
        </is>
      </c>
      <c r="F42" s="23" t="inlineStr">
        <is>
          <t>OSE-004</t>
        </is>
      </c>
      <c r="G42" s="26">
        <f>IFERROR(ROUND(G27*ose_senaryoKotu,MAX(0,MIN(ose_yuvarMax,IFERROR(N(G12),0)))),0)</f>
        <v/>
      </c>
    </row>
    <row r="43">
      <c r="A43" s="48" t="n">
        <v>37</v>
      </c>
      <c r="B43" s="24" t="inlineStr">
        <is>
          <t>Kötümser KKEG (yüksek)</t>
        </is>
      </c>
      <c r="C43" s="52">
        <f>IFERROR(ROUND(G27*ose_senaryoIyi,MAX(0,MIN(ose_yuvarMax,IFERROR(N(G12),0)))),0)</f>
        <v/>
      </c>
      <c r="D43" s="50" t="inlineStr">
        <is>
          <t>TL</t>
        </is>
      </c>
      <c r="E43" s="6" t="inlineStr">
        <is>
          <t>Kötümser yüksek risk</t>
        </is>
      </c>
      <c r="F43" s="23" t="inlineStr">
        <is>
          <t>OSE-004</t>
        </is>
      </c>
      <c r="G43" s="26">
        <f>IFERROR(ROUND(G27*ose_senaryoIyi,MAX(0,MIN(ose_yuvarMax,IFERROR(N(G12),0)))),0)</f>
        <v/>
      </c>
    </row>
    <row r="44">
      <c r="A44" s="48" t="n">
        <v>38</v>
      </c>
      <c r="B44" s="24" t="inlineStr">
        <is>
          <t>M-SEN eşik sıkı</t>
        </is>
      </c>
      <c r="C44" s="49">
        <f>IFERROR(MAX(1,G8-ose_esikSikilastirma),0)</f>
        <v/>
      </c>
      <c r="D44" s="50" t="inlineStr">
        <is>
          <t>kat</t>
        </is>
      </c>
      <c r="E44" s="6" t="inlineStr">
        <is>
          <t>Eşik sıkılaştırma</t>
        </is>
      </c>
      <c r="F44" s="23" t="inlineStr">
        <is>
          <t>OSE-001</t>
        </is>
      </c>
      <c r="G44" s="37">
        <f>IFERROR(MAX(1,G8-ose_esikSikilastirma),0)</f>
        <v/>
      </c>
    </row>
    <row r="45">
      <c r="A45" s="48" t="n">
        <v>39</v>
      </c>
      <c r="B45" s="24" t="inlineStr">
        <is>
          <t>M-SEN aşan borç</t>
        </is>
      </c>
      <c r="C45" s="52">
        <f>IFERROR(ROUND(MAX(0,G14-G13*G44)*G20,MAX(0,MIN(ose_yuvarMax,IFERROR(N(G12),0)))),0)</f>
        <v/>
      </c>
      <c r="D45" s="50" t="inlineStr">
        <is>
          <t>TL</t>
        </is>
      </c>
      <c r="E45" s="6" t="inlineStr">
        <is>
          <t>Sıkı eşikte aşan borç</t>
        </is>
      </c>
      <c r="F45" s="23" t="inlineStr">
        <is>
          <t>OSE-001</t>
        </is>
      </c>
      <c r="G45" s="26">
        <f>IFERROR(ROUND(MAX(0,G14-G13*G44)*G20,MAX(0,MIN(ose_yuvarMax,IFERROR(N(G12),0)))),0)</f>
        <v/>
      </c>
    </row>
    <row r="46">
      <c r="A46" s="48" t="n">
        <v>40</v>
      </c>
      <c r="B46" s="24" t="inlineStr">
        <is>
          <t>M-SEN KKEG</t>
        </is>
      </c>
      <c r="C46" s="52">
        <f>IFERROR(ROUND(IF(G14=0,0,G15*(G45/G14))+G25+G26,MAX(0,MIN(ose_yuvarMax,IFERROR(N(G12),0)))),0)</f>
        <v/>
      </c>
      <c r="D46" s="50" t="inlineStr">
        <is>
          <t>TL</t>
        </is>
      </c>
      <c r="E46" s="6" t="inlineStr">
        <is>
          <t>M-SEN toplam KKEG</t>
        </is>
      </c>
      <c r="F46" s="23" t="inlineStr">
        <is>
          <t>OSE-001</t>
        </is>
      </c>
      <c r="G46" s="26">
        <f>IFERROR(ROUND(IF(G14=0,0,G15*(G45/G14))+G25+G26,MAX(0,MIN(ose_yuvarMax,IFERROR(N(G12),0)))),0)</f>
        <v/>
      </c>
    </row>
    <row r="47">
      <c r="A47" s="48" t="n">
        <v>41</v>
      </c>
      <c r="B47" s="24" t="inlineStr">
        <is>
          <t>Tahmin üst</t>
        </is>
      </c>
      <c r="C47" s="52">
        <f>IFERROR(G27*ose_tahminUst,0)</f>
        <v/>
      </c>
      <c r="D47" s="50" t="inlineStr">
        <is>
          <t>TL</t>
        </is>
      </c>
      <c r="E47" s="6" t="inlineStr">
        <is>
          <t>Tahmin üst bant</t>
        </is>
      </c>
      <c r="F47" s="23" t="inlineStr">
        <is>
          <t>OSE-005</t>
        </is>
      </c>
      <c r="G47" s="26">
        <f>IFERROR(G27*ose_tahminUst,0)</f>
        <v/>
      </c>
    </row>
    <row r="48">
      <c r="A48" s="48" t="n">
        <v>42</v>
      </c>
      <c r="B48" s="24" t="inlineStr">
        <is>
          <t>Tahmin alt</t>
        </is>
      </c>
      <c r="C48" s="52">
        <f>IFERROR(G27*ose_tahminAlt,0)</f>
        <v/>
      </c>
      <c r="D48" s="50" t="inlineStr">
        <is>
          <t>TL</t>
        </is>
      </c>
      <c r="E48" s="6" t="inlineStr">
        <is>
          <t>Tahmin alt bant</t>
        </is>
      </c>
      <c r="F48" s="23" t="inlineStr">
        <is>
          <t>OSE-005</t>
        </is>
      </c>
      <c r="G48" s="26">
        <f>IFERROR(G27*ose_tahminAlt,0)</f>
        <v/>
      </c>
    </row>
    <row r="49">
      <c r="A49" s="48" t="n">
        <v>43</v>
      </c>
      <c r="B49" s="24" t="inlineStr">
        <is>
          <t>Tornado: borç etkisi</t>
        </is>
      </c>
      <c r="C49" s="52">
        <f>IFERROR(ABS(ROUND(IF(G14*ose_tornadoHasilat=0,0,G15*(MAX(0,G14*ose_tornadoHasilat-G13*G8)*G20)/(G14*ose_tornadoHasilat))+MAX(0,G16-G21)*G14*ose_tornadoHasilat+G26,MAX(0,MIN(ose_yuvarMax,IFERROR(N(G12),0))))-G27),0)</f>
        <v/>
      </c>
      <c r="D49" s="50" t="inlineStr">
        <is>
          <t>TL</t>
        </is>
      </c>
      <c r="E49" s="6" t="inlineStr">
        <is>
          <t>Borç ± etki</t>
        </is>
      </c>
      <c r="F49" s="23" t="inlineStr">
        <is>
          <t>OSE-001</t>
        </is>
      </c>
      <c r="G49" s="26">
        <f>IFERROR(ABS(ROUND(IF(G14*ose_tornadoHasilat=0,0,G15*(MAX(0,G14*ose_tornadoHasilat-G13*G8)*G20)/(G14*ose_tornadoHasilat))+MAX(0,G16-G21)*G14*ose_tornadoHasilat+G26,MAX(0,MIN(ose_yuvarMax,IFERROR(N(G12),0))))-G27),0)</f>
        <v/>
      </c>
    </row>
    <row r="50">
      <c r="A50" s="48" t="n">
        <v>44</v>
      </c>
      <c r="B50" s="24" t="inlineStr">
        <is>
          <t>Tornado: faiz oranı etkisi</t>
        </is>
      </c>
      <c r="C50" s="52">
        <f>IFERROR(ABS(ROUND(G24+MAX(0,G16*ose_tornadoMaliyet-G21)*G14+G26,MAX(0,MIN(ose_yuvarMax,IFERROR(N(G12),0))))-G27),0)</f>
        <v/>
      </c>
      <c r="D50" s="50" t="inlineStr">
        <is>
          <t>TL</t>
        </is>
      </c>
      <c r="E50" s="6" t="inlineStr">
        <is>
          <t>Uygulanan faiz ± etki</t>
        </is>
      </c>
      <c r="F50" s="23" t="inlineStr">
        <is>
          <t>OSE-002</t>
        </is>
      </c>
      <c r="G50" s="26">
        <f>IFERROR(ABS(ROUND(G24+MAX(0,G16*ose_tornadoMaliyet-G21)*G14+G26,MAX(0,MIN(ose_yuvarMax,IFERROR(N(G12),0))))-G27),0)</f>
        <v/>
      </c>
    </row>
    <row r="51">
      <c r="A51" s="48" t="n">
        <v>45</v>
      </c>
      <c r="B51" s="24" t="inlineStr">
        <is>
          <t>Tornado: TF etkisi</t>
        </is>
      </c>
      <c r="C51" s="52">
        <f>IFERROR(ABS(ROUND(G24+G25+ABS(G18*ose_tornadoHasilat-G19),MAX(0,MIN(ose_yuvarMax,IFERROR(N(G12),0))))-G27),0)</f>
        <v/>
      </c>
      <c r="D51" s="50" t="inlineStr">
        <is>
          <t>TL</t>
        </is>
      </c>
      <c r="E51" s="6" t="inlineStr">
        <is>
          <t>TF ± etki</t>
        </is>
      </c>
      <c r="F51" s="23" t="inlineStr">
        <is>
          <t>OSE-005</t>
        </is>
      </c>
      <c r="G51" s="26">
        <f>IFERROR(ABS(ROUND(G24+G25+ABS(G18*ose_tornadoHasilat-G19),MAX(0,MIN(ose_yuvarMax,IFERROR(N(G12),0))))-G27),0)</f>
        <v/>
      </c>
    </row>
    <row r="52">
      <c r="A52" s="48" t="n">
        <v>46</v>
      </c>
      <c r="B52" s="24" t="inlineStr">
        <is>
          <t>Madde atıf özeti</t>
        </is>
      </c>
      <c r="C52" s="21">
        <f>IFERROR(_xlfn.TEXTJOIN(" | ",TRUE,"OSE-001→örtülü eşik","OSE-002→emsal faiz","OSE-003→dikkat eşiği","OSE-004→KKEG eşiği"),"")</f>
        <v/>
      </c>
      <c r="D52" s="50" t="inlineStr">
        <is>
          <t>metin</t>
        </is>
      </c>
      <c r="E52" s="6" t="inlineStr">
        <is>
          <t>Kanıt atıfları</t>
        </is>
      </c>
      <c r="F52" s="23" t="inlineStr">
        <is>
          <t>OSE-001</t>
        </is>
      </c>
      <c r="G52" s="27">
        <f>IFERROR(_xlfn.TEXTJOIN(" | ",TRUE,"OSE-001→örtülü eşik","OSE-002→emsal faiz","OSE-003→dikkat eşiği","OSE-004→KKEG eşiği"),"")</f>
        <v/>
      </c>
    </row>
    <row r="53">
      <c r="A53" s="48" t="n">
        <v>47</v>
      </c>
      <c r="B53" s="24" t="inlineStr">
        <is>
          <t>Kanıt satır özeti</t>
        </is>
      </c>
      <c r="C53" s="21">
        <f>IFERROR(_xlfn.TEXTJOIN(" · ",TRUE,"Oran=",TEXT(G22,"0.00"),"KabulEdilmeyen=",TEXT(G24,"₺ #,##0"),"EmsalFark=",TEXT(G25,"₺ #,##0"),"TF=",TEXT(G26,"₺ #,##0"),"Toplam=",TEXT(G27,"₺ #,##0")),"")</f>
        <v/>
      </c>
      <c r="D53" s="50" t="inlineStr">
        <is>
          <t>metin</t>
        </is>
      </c>
      <c r="E53" s="6" t="inlineStr">
        <is>
          <t>Rapor özeti</t>
        </is>
      </c>
      <c r="F53" s="23" t="inlineStr">
        <is>
          <t>OSE-005</t>
        </is>
      </c>
      <c r="G53" s="27">
        <f>IFERROR(_xlfn.TEXTJOIN(" · ",TRUE,"Oran=",TEXT(G22,"0.00"),"KabulEdilmeyen=",TEXT(G24,"₺ #,##0"),"EmsalFark=",TEXT(G25,"₺ #,##0"),"TF=",TEXT(G26,"₺ #,##0"),"Toplam=",TEXT(G27,"₺ #,##0")),"")</f>
        <v/>
      </c>
    </row>
    <row r="55">
      <c r="I55" s="4" t="inlineStr">
        <is>
          <t>Motor adımları kilitlidir; eşikler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6">
      <formula>F7="OSE-001"</formula>
    </cfRule>
    <cfRule type="expression" priority="3" dxfId="3">
      <formula>F7="OSE-005"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50.5" customWidth="1" min="1" max="1"/>
    <col width="18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SENARYO — Örtülü Sermaye + Emsal Faiz + TF Paketi</t>
        </is>
      </c>
    </row>
    <row r="3" ht="22" customHeight="1">
      <c r="A3" s="228" t="inlineStr">
        <is>
          <t>Senaryo ve duyarlılık</t>
        </is>
      </c>
    </row>
    <row r="5">
      <c r="A5" s="53" t="inlineStr">
        <is>
          <t>Senaryo</t>
        </is>
      </c>
      <c r="B5" s="53" t="inlineStr">
        <is>
          <t>Risk Çarpanı</t>
        </is>
      </c>
      <c r="C5" s="53" t="inlineStr">
        <is>
          <t>KKEG Riski</t>
        </is>
      </c>
      <c r="D5" s="53" t="inlineStr">
        <is>
          <t>KKEG (karar)</t>
        </is>
      </c>
      <c r="E5" s="53" t="inlineStr">
        <is>
          <t>Karar</t>
        </is>
      </c>
      <c r="G5" s="53" t="inlineStr">
        <is>
          <t>KkegDemo</t>
        </is>
      </c>
    </row>
    <row r="6">
      <c r="A6" s="7" t="inlineStr">
        <is>
          <t>İyimser</t>
        </is>
      </c>
      <c r="B6" s="25">
        <f>IFERROR(ose_senaryoKotu+N(GIRDI!B9)*ose_sifirCarpan,0)</f>
        <v/>
      </c>
      <c r="C6" s="26">
        <f>IFERROR(MOTOR!G42,0)</f>
        <v/>
      </c>
      <c r="D6" s="26">
        <f>IFERROR(MOTOR!G42,0)</f>
        <v/>
      </c>
      <c r="E6" s="27">
        <f>IF(COUNTA(tblGirdi[Alan Anahtarı])=0,"VERİ YOK",IF(D6&gt;=MOTOR!G11,"KKEG RİSKİ",IF(D6&gt;=MOTOR!G10,"DİKKAT","TEMİZ")))</f>
        <v/>
      </c>
      <c r="G6" s="29" t="n">
        <v>1955000</v>
      </c>
    </row>
    <row r="7">
      <c r="A7" s="7" t="inlineStr">
        <is>
          <t>Baz</t>
        </is>
      </c>
      <c r="B7" s="25">
        <f>IFERROR(ose_bazCarpan+N(GIRDI!B9)*ose_sifirCarpan,ose_bazCarpan)</f>
        <v/>
      </c>
      <c r="C7" s="26">
        <f>IFERROR(ose_toplamKkeg,0)</f>
        <v/>
      </c>
      <c r="D7" s="26">
        <f>IFERROR(ose_toplamKkeg,0)</f>
        <v/>
      </c>
      <c r="E7" s="27">
        <f>IF(COUNTA(tblGirdi[Alan Anahtarı])=0,"VERİ YOK",IFERROR(ose_kararMetni,"-"))</f>
        <v/>
      </c>
      <c r="G7" s="29" t="n">
        <v>2300000</v>
      </c>
    </row>
    <row r="8">
      <c r="A8" s="7" t="inlineStr">
        <is>
          <t>Kötümser</t>
        </is>
      </c>
      <c r="B8" s="25">
        <f>IFERROR(ose_senaryoIyi+N(GIRDI!B9)*ose_sifirCarpan,0)</f>
        <v/>
      </c>
      <c r="C8" s="26">
        <f>IFERROR(MOTOR!G43,0)</f>
        <v/>
      </c>
      <c r="D8" s="26">
        <f>IFERROR(MOTOR!G43,0)</f>
        <v/>
      </c>
      <c r="E8" s="27">
        <f>IF(COUNTA(tblGirdi[Alan Anahtarı])=0,"VERİ YOK",IF(D8&gt;=MOTOR!G11,"KKEG RİSKİ",IF(D8&gt;=MOTOR!G10,"DİKKAT","TEMİZ")))</f>
        <v/>
      </c>
      <c r="G8" s="29" t="n">
        <v>2530000</v>
      </c>
    </row>
    <row r="9">
      <c r="A9" s="7" t="inlineStr">
        <is>
          <t>M-SEN eşik sıkı</t>
        </is>
      </c>
      <c r="B9" s="25">
        <f>IFERROR(ose_bazCarpan+N(GIRDI!B9)*ose_sifirCarpan,ose_bazCarpan)</f>
        <v/>
      </c>
      <c r="C9" s="26">
        <f>IFERROR(ose_toplamKkeg,0)</f>
        <v/>
      </c>
      <c r="D9" s="26">
        <f>IFERROR(MOTOR!G46,0)</f>
        <v/>
      </c>
      <c r="E9" s="27">
        <f>IF(COUNTA(tblGirdi[Alan Anahtarı])=0,"VERİ YOK",IF(D9&gt;=MOTOR!G11,"KKEG RİSKİ",IF(D9&gt;=MOTOR!G10,"DİKKAT","TEMİZ")))</f>
        <v/>
      </c>
      <c r="G9" s="29" t="n">
        <v>2800000</v>
      </c>
    </row>
    <row r="11">
      <c r="A11" s="10" t="inlineStr">
        <is>
          <t>Senaryo bant genişliği (kötümser−iyimser KKEG)</t>
        </is>
      </c>
      <c r="B11" s="26">
        <f>IFERROR(D8-D6,0)</f>
        <v/>
      </c>
    </row>
    <row r="12">
      <c r="A12" s="10" t="inlineStr">
        <is>
          <t>Senaryo yorumu</t>
        </is>
      </c>
      <c r="B12" s="21">
        <f>IFERROR(_xlfn.TEXTJOIN("; ",TRUE,"İyimser KKEG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3" t="inlineStr">
        <is>
          <t>Değişken</t>
        </is>
      </c>
      <c r="B15" s="53" t="inlineStr">
        <is>
          <t>Etki [₺]</t>
        </is>
      </c>
      <c r="C15" s="53" t="inlineStr">
        <is>
          <t>Sıra</t>
        </is>
      </c>
      <c r="E15" s="53" t="inlineStr">
        <is>
          <t>EtkiDemo</t>
        </is>
      </c>
    </row>
    <row r="16">
      <c r="A16" s="7" t="inlineStr">
        <is>
          <t>Tornado borç etkisi</t>
        </is>
      </c>
      <c r="B16" s="26">
        <f>IFERROR(MOTOR!G49,0)</f>
        <v/>
      </c>
      <c r="C16" s="37">
        <f>IFERROR(IF(B16&gt;=MAX(B16:B18),ose_siraBir,IF(B16&gt;=MIN(B16:B18)+ABS(B16-B17),ose_siraIki,ose_siraUc)),ose_siraUc)</f>
        <v/>
      </c>
      <c r="E16" s="29" t="n">
        <v>400000</v>
      </c>
    </row>
    <row r="17">
      <c r="A17" s="7" t="inlineStr">
        <is>
          <t>Tornado faiz oranı etkisi</t>
        </is>
      </c>
      <c r="B17" s="26">
        <f>IFERROR(MOTOR!G50,0)</f>
        <v/>
      </c>
      <c r="C17" s="37">
        <f>IFERROR(IF(B17&gt;=MAX(B16:B18),ose_siraBir,IF(B17=MEDIAN(B16:B18),ose_siraIki,ose_siraUc)),ose_siraUc)</f>
        <v/>
      </c>
      <c r="E17" s="29" t="n">
        <v>320000</v>
      </c>
    </row>
    <row r="18">
      <c r="A18" s="7" t="inlineStr">
        <is>
          <t>Tornado TF etkisi</t>
        </is>
      </c>
      <c r="B18" s="26">
        <f>IFERROR(MOTOR!G51,0)</f>
        <v/>
      </c>
      <c r="C18" s="37">
        <f>IFERROR(IF(B18&gt;=MAX(B16:B18),ose_siraBir,IF(B18=MEDIAN(B16:B18),ose_siraIki,ose_siraUc)),ose_siraUc)</f>
        <v/>
      </c>
      <c r="E18" s="29" t="n">
        <v>250000</v>
      </c>
    </row>
    <row r="19">
      <c r="A19" s="10" t="inlineStr">
        <is>
          <t>Duyarlılık sıra özeti</t>
        </is>
      </c>
      <c r="B19" s="27">
        <f>IFERROR(CONCATENATE("1)",INDEX(A16:A18,MATCH(ose_siraBir,C16:C18,0))," 2)",INDEX(A16:A18,MATCH(ose_siraIki,C16:C18,0))),"-")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KKEG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",TRUE,"Eşik sıkılaştırma senaryosunda KKEG ",TEXT(D9,"₺ #,##0")," TL")</f>
        <v/>
      </c>
    </row>
    <row r="25">
      <c r="A25" s="10" t="inlineStr">
        <is>
          <t>Tahmin aralığı (KKEG)</t>
        </is>
      </c>
      <c r="B25" s="26">
        <f>MOTOR!G48</f>
        <v/>
      </c>
      <c r="C25" s="26">
        <f>IFERROR(MOTOR!G27,0)</f>
        <v/>
      </c>
      <c r="D25" s="26">
        <f>MOTOR!G47</f>
        <v/>
      </c>
    </row>
    <row r="26">
      <c r="A26" s="10" t="inlineStr">
        <is>
          <t>Tahmin (AVERAGE)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4" t="n">
        <v>1</v>
      </c>
      <c r="B28" s="26">
        <f>D6</f>
        <v/>
      </c>
      <c r="D28" s="29" t="n">
        <v>1955000</v>
      </c>
    </row>
    <row r="29">
      <c r="A29" s="54" t="n">
        <v>2</v>
      </c>
      <c r="B29" s="26">
        <f>D7</f>
        <v/>
      </c>
      <c r="D29" s="29" t="n">
        <v>2300000</v>
      </c>
    </row>
    <row r="30">
      <c r="A30" s="54" t="n">
        <v>3</v>
      </c>
      <c r="B30" s="26">
        <f>D8</f>
        <v/>
      </c>
      <c r="D30" s="29" t="n">
        <v>2530000</v>
      </c>
    </row>
    <row r="31">
      <c r="A31" s="54" t="n">
        <v>4</v>
      </c>
      <c r="B31" s="26">
        <f>D9</f>
        <v/>
      </c>
      <c r="D31" s="29" t="n">
        <v>2800000</v>
      </c>
    </row>
    <row r="32">
      <c r="A32" s="7" t="inlineStr">
        <is>
          <t>Tahmin sonraki</t>
        </is>
      </c>
      <c r="B32" s="26">
        <f>IFERROR(AVERAGE(B28:B31),0)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2:H12"/>
  </mergeCells>
  <conditionalFormatting sqref="D6:D9">
    <cfRule type="cellIs" priority="1" operator="greaterThan" dxfId="5">
      <formula>0</formula>
    </cfRule>
    <cfRule type="cellIs" priority="2" operator="equal" dxfId="4">
      <formula>0</formula>
    </cfRule>
  </conditionalFormatting>
  <conditionalFormatting sqref="E6:E9">
    <cfRule type="expression" priority="3" dxfId="3">
      <formula>ISNUMBER(SEARCH("KKEG RİSKİ",E6))</formula>
    </cfRule>
    <cfRule type="expression" priority="4" dxfId="4">
      <formula>ISNUMBER(SEARCH("TEMİZ",E6))</formula>
    </cfRule>
    <cfRule type="expression" priority="5" dxfId="5">
      <formula>ISNUMBER(SEARCH("DİKKAT",E6))</formula>
    </cfRule>
  </conditionalFormatting>
  <conditionalFormatting sqref="B16:B18">
    <cfRule type="cellIs" priority="6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45.5" customWidth="1" min="2" max="2"/>
    <col width="67.5" customWidth="1" min="3" max="3"/>
    <col width="18.5" customWidth="1" min="4" max="4"/>
    <col width="14.5" customWidth="1" min="5" max="5"/>
    <col width="12" customWidth="1" min="6" max="6"/>
    <col width="12" customWidth="1" min="7" max="7"/>
    <col width="28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08" t="inlineStr">
        <is>
          <t>VAKALAR — Örtülü Sermaye + Emsal Faiz + TF Paketi</t>
        </is>
      </c>
    </row>
    <row r="3" ht="22" customHeight="1">
      <c r="A3" s="228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3" t="inlineStr">
        <is>
          <t>BeklenenDemo</t>
        </is>
      </c>
      <c r="K5" s="53" t="inlineStr">
        <is>
          <t>HesapDemo</t>
        </is>
      </c>
    </row>
    <row r="6">
      <c r="A6" s="7" t="inlineStr">
        <is>
          <t>V-001</t>
        </is>
      </c>
      <c r="B6" s="7" t="inlineStr">
        <is>
          <t>Aşan borç × faiz / borç = kabul edilmeyen</t>
        </is>
      </c>
      <c r="C6" s="7" t="inlineStr">
        <is>
          <t>borc=vaka_borc; ozk=vaka_ozkaynak; faiz=vaka_faiz; esik=OSE-001</t>
        </is>
      </c>
      <c r="D6" s="55" t="n">
        <v>1000000</v>
      </c>
      <c r="E6" s="26">
        <f>IFERROR(ROUND(IF(vaka_borc=0,0,vaka_faiz*(MAX(0,vaka_borc-vaka_ozkaynak*INDEX(tblKurallar[deger_2026],MATCH("OSE-001",tblKurallar[kural_id],0)))/vaka_borc)),2),0)</f>
        <v/>
      </c>
      <c r="F6" s="56">
        <f>IF($A6="","",IFERROR($D6-$E6,0))</f>
        <v/>
      </c>
      <c r="G6" s="57">
        <f>IF($A6="","",IFERROR(IF(ABS($F6)&lt;=ose_tolerans,"TUTARLI","KIRIK"),"KIRIK"))</f>
        <v/>
      </c>
      <c r="H6" s="7" t="inlineStr">
        <is>
          <t>KVK md.12 örtülü faiz</t>
        </is>
      </c>
      <c r="J6" s="29" t="n">
        <v>1000000</v>
      </c>
      <c r="K6" s="29" t="n">
        <v>1000000</v>
      </c>
    </row>
    <row r="7">
      <c r="A7" s="7" t="inlineStr">
        <is>
          <t>V-002</t>
        </is>
      </c>
      <c r="B7" s="7" t="inlineStr">
        <is>
          <t>Emsal faiz farkı = (uygulanan−emsal)×borç</t>
        </is>
      </c>
      <c r="C7" s="7" t="inlineStr">
        <is>
          <t>uygulanan=vaka_uygulanan; emsal=vaka_emsal; borc=vaka_borc</t>
        </is>
      </c>
      <c r="D7" s="55" t="n">
        <v>800000</v>
      </c>
      <c r="E7" s="26">
        <f>IFERROR(ROUND(MAX(0,vaka_uygulanan-vaka_emsal)*vaka_borc*IF(INDEX(tblKurallar[deger_2026],MATCH("OSE-001",tblKurallar[kural_id],0))&gt;0,1,0),2),0)</f>
        <v/>
      </c>
      <c r="F7" s="56">
        <f>IF($A7="","",IFERROR($D7-$E7,0))</f>
        <v/>
      </c>
      <c r="G7" s="57">
        <f>IF($A7="","",IFERROR(IF(ABS($F7)&lt;=ose_tolerans,"TUTARLI","KIRIK"),"KIRIK"))</f>
        <v/>
      </c>
      <c r="H7" s="7" t="inlineStr">
        <is>
          <t>Emsal faiz farkı</t>
        </is>
      </c>
      <c r="J7" s="29" t="n">
        <v>800000</v>
      </c>
      <c r="K7" s="29" t="n">
        <v>800000</v>
      </c>
    </row>
    <row r="8">
      <c r="A8" s="7" t="inlineStr">
        <is>
          <t>V-003</t>
        </is>
      </c>
      <c r="B8" s="7" t="inlineStr">
        <is>
          <t>TF farkı = |işlem−emsal bedel|</t>
        </is>
      </c>
      <c r="C8" s="7" t="inlineStr">
        <is>
          <t>islem=vaka_islem; bedel=vaka_bedel</t>
        </is>
      </c>
      <c r="D8" s="55" t="n">
        <v>500000</v>
      </c>
      <c r="E8" s="26">
        <f>IFERROR(ROUND(ABS(vaka_islem-vaka_bedel)*IF(INDEX(tblKurallar[deger_2026],MATCH("OSE-001",tblKurallar[kural_id],0))&gt;0,1,0),2),0)</f>
        <v/>
      </c>
      <c r="F8" s="56">
        <f>IF($A8="","",IFERROR($D8-$E8,0))</f>
        <v/>
      </c>
      <c r="G8" s="57">
        <f>IF($A8="","",IFERROR(IF(ABS($F8)&lt;=ose_tolerans,"TUTARLI","KIRIK"),"KIRIK"))</f>
        <v/>
      </c>
      <c r="H8" s="7" t="inlineStr">
        <is>
          <t>TF farkı</t>
        </is>
      </c>
      <c r="J8" s="29" t="n">
        <v>500000</v>
      </c>
      <c r="K8" s="29" t="n">
        <v>500000</v>
      </c>
    </row>
    <row r="9">
      <c r="A9" s="7" t="inlineStr">
        <is>
          <t>V-004</t>
        </is>
      </c>
      <c r="B9" s="7" t="inlineStr">
        <is>
          <t>Toplam KKEG = V-001+V-002+V-003</t>
        </is>
      </c>
      <c r="C9" s="7" t="inlineStr">
        <is>
          <t>üç kalem toplamı</t>
        </is>
      </c>
      <c r="D9" s="55" t="n">
        <v>2300000</v>
      </c>
      <c r="E9" s="26">
        <f>IFERROR(ROUND(IF(vaka_borc=0,0,vaka_faiz*(MAX(0,vaka_borc-vaka_ozkaynak*INDEX(tblKurallar[deger_2026],MATCH("OSE-001",tblKurallar[kural_id],0)))/vaka_borc))+MAX(0,vaka_uygulanan-vaka_emsal)*vaka_borc+ABS(vaka_islem-vaka_bedel),2),0)</f>
        <v/>
      </c>
      <c r="F9" s="56">
        <f>IF($A9="","",IFERROR($D9-$E9,0))</f>
        <v/>
      </c>
      <c r="G9" s="57">
        <f>IF($A9="","",IFERROR(IF(ABS($F9)&lt;=ose_tolerans,"TUTARLI","KIRIK"),"KIRIK"))</f>
        <v/>
      </c>
      <c r="H9" s="7" t="inlineStr">
        <is>
          <t>Toplam KKEG riski</t>
        </is>
      </c>
      <c r="J9" s="29" t="n">
        <v>2300000</v>
      </c>
      <c r="K9" s="29" t="n">
        <v>2300000</v>
      </c>
    </row>
    <row r="12">
      <c r="A12" s="10" t="inlineStr">
        <is>
          <t>Vaka durum özeti</t>
        </is>
      </c>
      <c r="B12" s="58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5"/>
  <sheetViews>
    <sheetView showGridLines="0" workbookViewId="0">
      <selection activeCell="A1" sqref="A1"/>
    </sheetView>
  </sheetViews>
  <sheetFormatPr baseColWidth="8" defaultRowHeight="15"/>
  <cols>
    <col width="96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KANIT RAPORU — Örtülü Sermaye + Emsal Faiz + TF Paketi</t>
        </is>
      </c>
    </row>
    <row r="3" ht="22" customHeight="1">
      <c r="A3" s="228" t="inlineStr">
        <is>
          <t>KANIT RAPORU — Örtülü Sermaye + Emsal Faiz + TF</t>
        </is>
      </c>
    </row>
    <row r="4">
      <c r="A4" s="7" t="inlineStr">
        <is>
          <t>Rapor tarihi</t>
        </is>
      </c>
      <c r="B4" s="60">
        <f>raporTarihi</f>
        <v/>
      </c>
    </row>
    <row r="5">
      <c r="A5" s="7" t="inlineStr">
        <is>
          <t>Şirket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Özkaynak</t>
        </is>
      </c>
      <c r="B9" s="26">
        <f>GIRDI!B9</f>
        <v/>
      </c>
    </row>
    <row r="10">
      <c r="A10" s="7" t="inlineStr">
        <is>
          <t>İlişkili borç</t>
        </is>
      </c>
      <c r="B10" s="26">
        <f>GIRDI!B10</f>
        <v/>
      </c>
    </row>
    <row r="11">
      <c r="A11" s="7" t="inlineStr">
        <is>
          <t>Yıllık faiz gideri</t>
        </is>
      </c>
      <c r="B11" s="26">
        <f>GIRDI!B11</f>
        <v/>
      </c>
    </row>
    <row r="12">
      <c r="A12" s="7" t="inlineStr">
        <is>
          <t>Uygulanan faiz oranı</t>
        </is>
      </c>
      <c r="B12" s="25">
        <f>GIRDI!B12</f>
        <v/>
      </c>
    </row>
    <row r="13">
      <c r="A13" s="7" t="inlineStr">
        <is>
          <t>Emsal faiz oranı</t>
        </is>
      </c>
      <c r="B13" s="25">
        <f>GIRDI!B13</f>
        <v/>
      </c>
    </row>
    <row r="14">
      <c r="A14" s="7" t="inlineStr">
        <is>
          <t>İlişkili işlem tutarı</t>
        </is>
      </c>
      <c r="B14" s="26">
        <f>GIRDI!B14</f>
        <v/>
      </c>
    </row>
    <row r="15">
      <c r="A15" s="7" t="inlineStr">
        <is>
          <t>Emsal bedel</t>
        </is>
      </c>
      <c r="B15" s="26">
        <f>GIRDI!B15</f>
        <v/>
      </c>
    </row>
    <row r="17">
      <c r="A17" s="5" t="inlineStr">
        <is>
          <t>Hesap zinciri</t>
        </is>
      </c>
    </row>
    <row r="18">
      <c r="A18" s="7" t="inlineStr">
        <is>
          <t>Borç / özkaynak oranı</t>
        </is>
      </c>
      <c r="B18" s="61">
        <f>ose_borcOrani</f>
        <v/>
      </c>
    </row>
    <row r="19">
      <c r="A19" s="7" t="inlineStr">
        <is>
          <t>Kabul edilmeyen faiz</t>
        </is>
      </c>
      <c r="B19" s="26">
        <f>MOTOR!G24</f>
        <v/>
      </c>
    </row>
    <row r="20">
      <c r="A20" s="7" t="inlineStr">
        <is>
          <t>Emsal faiz farkı</t>
        </is>
      </c>
      <c r="B20" s="26">
        <f>MOTOR!G25</f>
        <v/>
      </c>
    </row>
    <row r="21">
      <c r="A21" s="7" t="inlineStr">
        <is>
          <t>TF farkı</t>
        </is>
      </c>
      <c r="B21" s="26">
        <f>MOTOR!G26</f>
        <v/>
      </c>
    </row>
    <row r="22">
      <c r="A22" s="7" t="inlineStr">
        <is>
          <t>Toplam KKEG riski</t>
        </is>
      </c>
      <c r="B22" s="36">
        <f>ose_toplamKkeg</f>
        <v/>
      </c>
    </row>
    <row r="23">
      <c r="A23" s="10" t="inlineStr">
        <is>
          <t>KARAR</t>
        </is>
      </c>
      <c r="B23" s="62">
        <f>ose_kararMetni</f>
        <v/>
      </c>
    </row>
    <row r="24">
      <c r="A24" s="7" t="inlineStr">
        <is>
          <t>Gerekçe</t>
        </is>
      </c>
      <c r="B24" s="21">
        <f>ose_kararGerekce</f>
        <v/>
      </c>
    </row>
    <row r="26">
      <c r="A26" s="10" t="inlineStr">
        <is>
          <t>Madde atıfları</t>
        </is>
      </c>
      <c r="B26" s="21">
        <f>ose_maddeAtifMetni</f>
        <v/>
      </c>
    </row>
    <row r="28">
      <c r="A28" s="10" t="inlineStr">
        <is>
          <t>Kanıt gövdesi</t>
        </is>
      </c>
      <c r="B28" s="21">
        <f>ose_kanitRaporu</f>
        <v/>
      </c>
    </row>
    <row r="30">
      <c r="A30" s="7" t="inlineStr">
        <is>
          <t>Parmak izi (SHA-256 kısaltma)</t>
        </is>
      </c>
      <c r="B30" s="28">
        <f>ose_parmakIzi</f>
        <v/>
      </c>
    </row>
    <row r="32">
      <c r="A32" s="7" t="inlineStr">
        <is>
          <t>Hazırlayan (imza)</t>
        </is>
      </c>
      <c r="B32" s="63" t="inlineStr"/>
    </row>
    <row r="33">
      <c r="A33" s="7" t="inlineStr">
        <is>
          <t>Onaylayan (imza)</t>
        </is>
      </c>
      <c r="B33" s="63" t="inlineStr"/>
    </row>
    <row r="35">
      <c r="A35" s="13" t="inlineStr">
        <is>
          <t>Uyarı: Bu çıktı karar destektir; kesin vergi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8:F28"/>
    <mergeCell ref="A1:I1"/>
    <mergeCell ref="A3:I3"/>
    <mergeCell ref="A35:F35"/>
    <mergeCell ref="B26:F26"/>
  </mergeCells>
  <conditionalFormatting sqref="B23">
    <cfRule type="expression" priority="1" dxfId="0">
      <formula>ISNUMBER(SEARCH("KKEG RİSKİ",B23))</formula>
    </cfRule>
    <cfRule type="expression" priority="2" dxfId="1">
      <formula>ISNUMBER(SEARCH("TEMİZ",B23))</formula>
    </cfRule>
    <cfRule type="expression" priority="3" dxfId="2">
      <formula>ISNUMBER(SEARCH("DİKKAT",B23))</formula>
    </cfRule>
  </conditionalFormatting>
  <conditionalFormatting sqref="B22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&amp;LÖrtülü Sermaye + Emsal Faiz + TF Paketi · 1.0.0&amp;CExcelArşiv&amp;RSayfa &amp;P / &amp;N</oddFooter>
    <evenHeader/>
    <evenFooter>&amp;LÖrtülü Sermaye + Emsal Faiz + TF Paketi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KONTROLLER — Örtülü Sermaye + Emsal Faiz + TF Paketi</t>
        </is>
      </c>
    </row>
    <row r="3" ht="22" customHeight="1">
      <c r="A3" s="228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özkaynak?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IFERROR(IF(AND(N(hesapYili)&gt;N(ose_yilTaban),N(hesapYili)&lt;=N(ose_yilTaban)+3),"TEMİZ","HATALI"),"HATALI")</f>
        <v/>
      </c>
    </row>
    <row r="8">
      <c r="A8" s="7" t="inlineStr">
        <is>
          <t>Toplam KKEG sıfır mı?</t>
        </is>
      </c>
      <c r="B8" s="27">
        <f>IF(IFERROR(MOTOR!G27,0)=0,"SIFIR","NORMAL")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KKEG eşiği aşıyor mu?</t>
        </is>
      </c>
      <c r="B10" s="27">
        <f>IF(IFERROR(MOTOR!G27,0)&gt;ose_kacirilanEsik+N(GIRDI!B9)*ose_sifirCarpan,"AŞIYOR","NORMAL")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35">
        <f>IFERROR(ROUND(IF(OR(B14=0,B14=""),0,B15/B14*100),0),0)</f>
        <v/>
      </c>
    </row>
    <row r="14">
      <c r="A14" s="7" t="inlineStr">
        <is>
          <t>Toplam giriş alanı</t>
        </is>
      </c>
      <c r="B14" s="37">
        <f>IFERROR(ose_girisBeklenen+COUNTA(GIRDI!B6:B16)*0,0)</f>
        <v/>
      </c>
    </row>
    <row r="15">
      <c r="A15" s="7" t="inlineStr">
        <is>
          <t>Dolu giriş</t>
        </is>
      </c>
      <c r="B15" s="37">
        <f>COUNTA(GIRDI!B6:B16)</f>
        <v/>
      </c>
    </row>
    <row r="17">
      <c r="A17" s="7" t="inlineStr">
        <is>
          <t>Toplam KKEG kontrol</t>
        </is>
      </c>
      <c r="B17" s="26">
        <f>IFERROR(ose_toplamKkeg,0)</f>
        <v/>
      </c>
    </row>
    <row r="18">
      <c r="A18" s="7" t="inlineStr">
        <is>
          <t>Borç oranı kontrol</t>
        </is>
      </c>
      <c r="B18" s="25">
        <f>IFERROR(ose_borcOrani,0)</f>
        <v/>
      </c>
    </row>
    <row r="19">
      <c r="A19" s="7" t="inlineStr">
        <is>
          <t>Karar kontrol</t>
        </is>
      </c>
      <c r="B19" s="27">
        <f>IFERROR(ose_kararMetni,"-")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.5" customWidth="1" min="1" max="1"/>
    <col width="14" customWidth="1" min="2" max="2"/>
    <col width="17.5" customWidth="1" min="3" max="3"/>
    <col width="15.5" customWidth="1" min="4" max="4"/>
    <col width="14" customWidth="1" min="5" max="5"/>
    <col width="14" customWidth="1" min="6" max="6"/>
    <col width="14" customWidth="1" min="7" max="7"/>
    <col width="15.5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</cols>
  <sheetData>
    <row r="1" ht="32" customHeight="1">
      <c r="A1" s="208" t="inlineStr">
        <is>
          <t>ORNEK VERI — Örtülü Sermaye + Emsal Faiz + TF Paketi</t>
        </is>
      </c>
    </row>
    <row r="3" ht="22" customHeight="1">
      <c r="A3" s="228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Özkaynak</t>
        </is>
      </c>
      <c r="C5" s="22" t="inlineStr">
        <is>
          <t>İlişkili Borç</t>
        </is>
      </c>
      <c r="D5" s="22" t="inlineStr">
        <is>
          <t>Faiz Gideri</t>
        </is>
      </c>
      <c r="E5" s="22" t="inlineStr">
        <is>
          <t>Uygulanan</t>
        </is>
      </c>
      <c r="F5" s="22" t="inlineStr">
        <is>
          <t>Emsal</t>
        </is>
      </c>
      <c r="G5" s="22" t="inlineStr">
        <is>
          <t>İşlem</t>
        </is>
      </c>
      <c r="H5" s="22" t="inlineStr">
        <is>
          <t>Emsal Bedel</t>
        </is>
      </c>
      <c r="I5" s="22" t="inlineStr">
        <is>
          <t>Yıl</t>
        </is>
      </c>
      <c r="J5" s="22" t="inlineStr">
        <is>
          <t>Oran</t>
        </is>
      </c>
      <c r="L5" s="53" t="inlineStr">
        <is>
          <t>OranDemo</t>
        </is>
      </c>
    </row>
    <row r="6">
      <c r="A6" s="38" t="inlineStr">
        <is>
          <t>Demo ana</t>
        </is>
      </c>
      <c r="B6" s="41" t="n">
        <v>10000000</v>
      </c>
      <c r="C6" s="41" t="n">
        <v>40000000</v>
      </c>
      <c r="D6" s="41" t="n">
        <v>4000000</v>
      </c>
      <c r="E6" s="42" t="n">
        <v>0.12</v>
      </c>
      <c r="F6" s="42" t="n">
        <v>0.1</v>
      </c>
      <c r="G6" s="41" t="n">
        <v>5000000</v>
      </c>
      <c r="H6" s="41" t="n">
        <v>4500000</v>
      </c>
      <c r="I6" s="40" t="n">
        <v>2026</v>
      </c>
      <c r="J6" s="39">
        <f>IF($A6="","",IFERROR(IF($B6=0,0,$C6/$B6),0))</f>
        <v/>
      </c>
      <c r="L6" s="64" t="n">
        <v>4</v>
      </c>
    </row>
    <row r="7">
      <c r="A7" s="38" t="inlineStr">
        <is>
          <t>Temiz oran</t>
        </is>
      </c>
      <c r="B7" s="41" t="n">
        <v>20000000</v>
      </c>
      <c r="C7" s="41" t="n">
        <v>40000000</v>
      </c>
      <c r="D7" s="41" t="n">
        <v>2000000</v>
      </c>
      <c r="E7" s="42" t="n">
        <v>0.1</v>
      </c>
      <c r="F7" s="42" t="n">
        <v>0.1</v>
      </c>
      <c r="G7" s="41" t="n">
        <v>1000000</v>
      </c>
      <c r="H7" s="41" t="n">
        <v>1000000</v>
      </c>
      <c r="I7" s="40" t="n">
        <v>2026</v>
      </c>
      <c r="J7" s="39">
        <f>IF($A7="","",IFERROR(IF($B7=0,0,$C7/$B7),0))</f>
        <v/>
      </c>
      <c r="L7" s="64" t="n">
        <v>2</v>
      </c>
    </row>
    <row r="8">
      <c r="A8" s="38" t="inlineStr">
        <is>
          <t>Yüksek TF</t>
        </is>
      </c>
      <c r="B8" s="41" t="n">
        <v>10000000</v>
      </c>
      <c r="C8" s="41" t="n">
        <v>25000000</v>
      </c>
      <c r="D8" s="41" t="n">
        <v>2000000</v>
      </c>
      <c r="E8" s="42" t="n">
        <v>0.11</v>
      </c>
      <c r="F8" s="42" t="n">
        <v>0.1</v>
      </c>
      <c r="G8" s="41" t="n">
        <v>8000000</v>
      </c>
      <c r="H8" s="41" t="n">
        <v>5000000</v>
      </c>
      <c r="I8" s="40" t="n">
        <v>2026</v>
      </c>
      <c r="J8" s="39">
        <f>IF($A8="","",IFERROR(IF($B8=0,0,$C8/$B8),0))</f>
        <v/>
      </c>
      <c r="L8" s="64" t="n">
        <v>2.5</v>
      </c>
    </row>
    <row r="9">
      <c r="A9" s="38" t="inlineStr">
        <is>
          <t>2025 referans</t>
        </is>
      </c>
      <c r="B9" s="41" t="n">
        <v>10000000</v>
      </c>
      <c r="C9" s="41" t="n">
        <v>40000000</v>
      </c>
      <c r="D9" s="41" t="n">
        <v>4000000</v>
      </c>
      <c r="E9" s="42" t="n">
        <v>0.12</v>
      </c>
      <c r="F9" s="42" t="n">
        <v>0.1</v>
      </c>
      <c r="G9" s="41" t="n">
        <v>5000000</v>
      </c>
      <c r="H9" s="41" t="n">
        <v>4500000</v>
      </c>
      <c r="I9" s="40" t="n">
        <v>2025</v>
      </c>
      <c r="J9" s="39">
        <f>IF($A9="","",IFERROR(IF($B9=0,0,$C9/$B9),0))</f>
        <v/>
      </c>
      <c r="L9" s="64" t="n">
        <v>4</v>
      </c>
    </row>
    <row r="10">
      <c r="A10" s="38" t="inlineStr">
        <is>
          <t>Dikkat bandı</t>
        </is>
      </c>
      <c r="B10" s="41" t="n">
        <v>15000000</v>
      </c>
      <c r="C10" s="41" t="n">
        <v>50000000</v>
      </c>
      <c r="D10" s="41" t="n">
        <v>1500000</v>
      </c>
      <c r="E10" s="42" t="n">
        <v>0.105</v>
      </c>
      <c r="F10" s="42" t="n">
        <v>0.1</v>
      </c>
      <c r="G10" s="41" t="n">
        <v>2000000</v>
      </c>
      <c r="H10" s="41" t="n">
        <v>1900000</v>
      </c>
      <c r="I10" s="40" t="n">
        <v>2026</v>
      </c>
      <c r="J10" s="39">
        <f>IF($A10="","",IFERROR(IF($B10=0,0,$C10/$B10),0))</f>
        <v/>
      </c>
      <c r="L10" s="64" t="n">
        <v>3.333</v>
      </c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9">
        <f>IF($A11="","",IFERROR(IF($B11=0,0,$C11/$B11),0))</f>
        <v/>
      </c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9">
        <f>IF($A12="","",IFERROR(IF($B12=0,0,$C12/$B12),0))</f>
        <v/>
      </c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9">
        <f>IF($A13="","",IFERROR(IF($B13=0,0,$C13/$B13),0))</f>
        <v/>
      </c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9">
        <f>IF($A14="","",IFERROR(IF($B14=0,0,$C14/$B14),0))</f>
        <v/>
      </c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9">
        <f>IF($A15="","",IFERROR(IF($B15=0,0,$C15/$B15),0))</f>
        <v/>
      </c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9">
        <f>IF($A16="","",IFERROR(IF($B16=0,0,$C16/$B16),0))</f>
        <v/>
      </c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9">
        <f>IF($A17="","",IFERROR(IF($B17=0,0,$C17/$B17),0))</f>
        <v/>
      </c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9">
        <f>IF($A18="","",IFERROR(IF($B18=0,0,$C18/$B18),0))</f>
        <v/>
      </c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9">
        <f>IF($A19="","",IFERROR(IF($B19=0,0,$C19/$B19),0))</f>
        <v/>
      </c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9">
        <f>IF($A20="","",IFERROR(IF($B20=0,0,$C20/$B20),0))</f>
        <v/>
      </c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9">
        <f>IF($A21="","",IFERROR(IF($B21=0,0,$C21/$B21),0))</f>
        <v/>
      </c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9">
        <f>IF($A22="","",IFERROR(IF($B22=0,0,$C22/$B22),0))</f>
        <v/>
      </c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9">
        <f>IF($A23="","",IFERROR(IF($B23=0,0,$C23/$B23),0))</f>
        <v/>
      </c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9">
        <f>IF($A24="","",IFERROR(IF($B24=0,0,$C24/$B24),0))</f>
        <v/>
      </c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9">
        <f>IF($A25="","",IFERROR(IF($B25=0,0,$C25/$B25),0))</f>
        <v/>
      </c>
    </row>
    <row r="26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9">
        <f>IF($A26="","",IFERROR(IF($B26=0,0,$C26/$B26),0))</f>
        <v/>
      </c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9">
        <f>IF($A27="","",IFERROR(IF($B27=0,0,$C27/$B27),0))</f>
        <v/>
      </c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9">
        <f>IF($A28="","",IFERROR(IF($B28=0,0,$C28/$B28),0))</f>
        <v/>
      </c>
    </row>
    <row r="29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9">
        <f>IF($A29="","",IFERROR(IF($B29=0,0,$C29/$B29),0))</f>
        <v/>
      </c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9">
        <f>IF($A30="","",IFERROR(IF($B30=0,0,$C30/$B30),0))</f>
        <v/>
      </c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9">
        <f>IF($A31="","",IFERROR(IF($B31=0,0,$C31/$B31),0))</f>
        <v/>
      </c>
    </row>
    <row r="3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9">
        <f>IF($A32="","",IFERROR(IF($B32=0,0,$C32/$B32),0))</f>
        <v/>
      </c>
    </row>
    <row r="33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9">
        <f>IF($A33="","",IFERROR(IF($B33=0,0,$C33/$B33),0))</f>
        <v/>
      </c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9">
        <f>IF($A34="","",IFERROR(IF($B34=0,0,$C34/$B34),0))</f>
        <v/>
      </c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9">
        <f>IF($A35="","",IFERROR(IF($B35=0,0,$C35/$B35),0))</f>
        <v/>
      </c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9">
        <f>IF($A36="","",IFERROR(IF($B36=0,0,$C36/$B36),0))</f>
        <v/>
      </c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9">
        <f>IF($A37="","",IFERROR(IF($B37=0,0,$C37/$B37),0))</f>
        <v/>
      </c>
    </row>
    <row r="38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9">
        <f>IF($A38="","",IFERROR(IF($B38=0,0,$C38/$B38),0))</f>
        <v/>
      </c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9">
        <f>IF($A39="","",IFERROR(IF($B39=0,0,$C39/$B39),0))</f>
        <v/>
      </c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9">
        <f>IF($A40="","",IFERROR(IF($B40=0,0,$C40/$B40),0))</f>
        <v/>
      </c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9">
        <f>IF($A41="","",IFERROR(IF($B41=0,0,$C41/$B41),0))</f>
        <v/>
      </c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9">
        <f>IF($A42="","",IFERROR(IF($B42=0,0,$C42/$B42),0))</f>
        <v/>
      </c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9">
        <f>IF($A43="","",IFERROR(IF($B43=0,0,$C43/$B43),0))</f>
        <v/>
      </c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9">
        <f>IF($A44="","",IFERROR(IF($B44=0,0,$C44/$B44),0))</f>
        <v/>
      </c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9">
        <f>IF($A45="","",IFERROR(IF($B45=0,0,$C45/$B45),0))</f>
        <v/>
      </c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9">
        <f>IF($A46="","",IFERROR(IF($B46=0,0,$C46/$B46),0))</f>
        <v/>
      </c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9">
        <f>IF($A47="","",IFERROR(IF($B47=0,0,$C47/$B47),0))</f>
        <v/>
      </c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9">
        <f>IF($A48="","",IFERROR(IF($B48=0,0,$C48/$B48),0))</f>
        <v/>
      </c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9">
        <f>IF($A49="","",IFERROR(IF($B49=0,0,$C49/$B49),0))</f>
        <v/>
      </c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9">
        <f>IF($A50="","",IFERROR(IF($B50=0,0,$C50/$B50),0))</f>
        <v/>
      </c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9">
        <f>IF($A51="","",IFERROR(IF($B51=0,0,$C51/$B51),0))</f>
        <v/>
      </c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9">
        <f>IF($A52="","",IFERROR(IF($B52=0,0,$C52/$B52),0))</f>
        <v/>
      </c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9">
        <f>IF($A53="","",IFERROR(IF($B53=0,0,$C53/$B53),0))</f>
        <v/>
      </c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9">
        <f>IF($A54="","",IFERROR(IF($B54=0,0,$C54/$B54),0))</f>
        <v/>
      </c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9">
        <f>IF($A55="","",IFERROR(IF($B55=0,0,$C55/$B55),0))</f>
        <v/>
      </c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9">
        <f>IF($A56="","",IFERROR(IF($B56=0,0,$C56/$B56),0))</f>
        <v/>
      </c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9">
        <f>IF($A57="","",IFERROR(IF($B57=0,0,$C57/$B57),0))</f>
        <v/>
      </c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9">
        <f>IF($A58="","",IFERROR(IF($B58=0,0,$C58/$B58),0))</f>
        <v/>
      </c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9">
        <f>IF($A59="","",IFERROR(IF($B59=0,0,$C59/$B59),0))</f>
        <v/>
      </c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9">
        <f>IF($A60="","",IFERROR(IF($B60=0,0,$C60/$B60),0))</f>
        <v/>
      </c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9">
        <f>IF($A61="","",IFERROR(IF($B61=0,0,$C61/$B61),0))</f>
        <v/>
      </c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9">
        <f>IF($A62="","",IFERROR(IF($B62=0,0,$C62/$B62),0))</f>
        <v/>
      </c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9">
        <f>IF($A63="","",IFERROR(IF($B63=0,0,$C63/$B63),0))</f>
        <v/>
      </c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9">
        <f>IF($A64="","",IFERROR(IF($B64=0,0,$C64/$B64),0))</f>
        <v/>
      </c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9">
        <f>IF($A65="","",IFERROR(IF($B65=0,0,$C65/$B65),0))</f>
        <v/>
      </c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9">
        <f>IF($A66="","",IFERROR(IF($B66=0,0,$C66/$B66),0))</f>
        <v/>
      </c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9">
        <f>IF($A67="","",IFERROR(IF($B67=0,0,$C67/$B67),0))</f>
        <v/>
      </c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9">
        <f>IF($A68="","",IFERROR(IF($B68=0,0,$C68/$B68),0))</f>
        <v/>
      </c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9">
        <f>IF($A69="","",IFERROR(IF($B69=0,0,$C69/$B69),0))</f>
        <v/>
      </c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9">
        <f>IF($A70="","",IFERROR(IF($B70=0,0,$C70/$B70),0))</f>
        <v/>
      </c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9">
        <f>IF($A71="","",IFERROR(IF($B71=0,0,$C71/$B71),0))</f>
        <v/>
      </c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9">
        <f>IF($A72="","",IFERROR(IF($B72=0,0,$C72/$B72),0))</f>
        <v/>
      </c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9">
        <f>IF($A73="","",IFERROR(IF($B73=0,0,$C73/$B73),0))</f>
        <v/>
      </c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9">
        <f>IF($A74="","",IFERROR(IF($B74=0,0,$C74/$B74),0))</f>
        <v/>
      </c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9">
        <f>IF($A75="","",IFERROR(IF($B75=0,0,$C75/$B75),0))</f>
        <v/>
      </c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9">
        <f>IF($A76="","",IFERROR(IF($B76=0,0,$C76/$B76),0))</f>
        <v/>
      </c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9">
        <f>IF($A77="","",IFERROR(IF($B77=0,0,$C77/$B77),0))</f>
        <v/>
      </c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9">
        <f>IF($A78="","",IFERROR(IF($B78=0,0,$C78/$B78),0))</f>
        <v/>
      </c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9">
        <f>IF($A79="","",IFERROR(IF($B79=0,0,$C79/$B79),0))</f>
        <v/>
      </c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9">
        <f>IF($A80="","",IFERROR(IF($B80=0,0,$C80/$B80),0))</f>
        <v/>
      </c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9">
        <f>IF($A81="","",IFERROR(IF($B81=0,0,$C81/$B81),0))</f>
        <v/>
      </c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9">
        <f>IF($A82="","",IFERROR(IF($B82=0,0,$C82/$B82),0))</f>
        <v/>
      </c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9">
        <f>IF($A83="","",IFERROR(IF($B83=0,0,$C83/$B83),0))</f>
        <v/>
      </c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9">
        <f>IF($A84="","",IFERROR(IF($B84=0,0,$C84/$B84),0))</f>
        <v/>
      </c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9">
        <f>IF($A85="","",IFERROR(IF($B85=0,0,$C85/$B85),0))</f>
        <v/>
      </c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9">
        <f>IF($A86="","",IFERROR(IF($B86=0,0,$C86/$B86),0))</f>
        <v/>
      </c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9">
        <f>IF($A87="","",IFERROR(IF($B87=0,0,$C87/$B87),0))</f>
        <v/>
      </c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9">
        <f>IF($A88="","",IFERROR(IF($B88=0,0,$C88/$B88),0))</f>
        <v/>
      </c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9">
        <f>IF($A89="","",IFERROR(IF($B89=0,0,$C89/$B89),0))</f>
        <v/>
      </c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9">
        <f>IF($A90="","",IFERROR(IF($B90=0,0,$C90/$B90),0))</f>
        <v/>
      </c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9">
        <f>IF($A91="","",IFERROR(IF($B91=0,0,$C91/$B91),0))</f>
        <v/>
      </c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9">
        <f>IF($A92="","",IFERROR(IF($B92=0,0,$C92/$B92),0))</f>
        <v/>
      </c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9">
        <f>IF($A93="","",IFERROR(IF($B93=0,0,$C93/$B93),0))</f>
        <v/>
      </c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9">
        <f>IF($A94="","",IFERROR(IF($B94=0,0,$C94/$B94),0))</f>
        <v/>
      </c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9">
        <f>IF($A95="","",IFERROR(IF($B95=0,0,$C95/$B95),0))</f>
        <v/>
      </c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9">
        <f>IF($A96="","",IFERROR(IF($B96=0,0,$C96/$B96),0))</f>
        <v/>
      </c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9">
        <f>IF($A97="","",IFERROR(IF($B97=0,0,$C97/$B97),0))</f>
        <v/>
      </c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9">
        <f>IF($A98="","",IFERROR(IF($B98=0,0,$C98/$B98),0))</f>
        <v/>
      </c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9">
        <f>IF($A99="","",IFERROR(IF($B99=0,0,$C99/$B99),0))</f>
        <v/>
      </c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9">
        <f>IF($A100="","",IFERROR(IF($B100=0,0,$C100/$B100),0))</f>
        <v/>
      </c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9">
        <f>IF($A101="","",IFERROR(IF($B101=0,0,$C101/$B101),0))</f>
        <v/>
      </c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9">
        <f>IF($A102="","",IFERROR(IF($B102=0,0,$C102/$B102),0))</f>
        <v/>
      </c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9">
        <f>IF($A103="","",IFERROR(IF($B103=0,0,$C103/$B103),0))</f>
        <v/>
      </c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9">
        <f>IF($A104="","",IFERROR(IF($B104=0,0,$C104/$B104),0))</f>
        <v/>
      </c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9">
        <f>IF($A105="","",IFERROR(IF($B105=0,0,$C105/$B105),0))</f>
        <v/>
      </c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9">
        <f>IF($A106="","",IFERROR(IF($B106=0,0,$C106/$B106),0))</f>
        <v/>
      </c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9">
        <f>IF($A107="","",IFERROR(IF($B107=0,0,$C107/$B107),0))</f>
        <v/>
      </c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9">
        <f>IF($A108="","",IFERROR(IF($B108=0,0,$C108/$B108),0))</f>
        <v/>
      </c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9">
        <f>IF($A109="","",IFERROR(IF($B109=0,0,$C109/$B109),0))</f>
        <v/>
      </c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9">
        <f>IF($A110="","",IFERROR(IF($B110=0,0,$C110/$B110),0))</f>
        <v/>
      </c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9">
        <f>IF($A111="","",IFERROR(IF($B111=0,0,$C111/$B111),0))</f>
        <v/>
      </c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9">
        <f>IF($A112="","",IFERROR(IF($B112=0,0,$C112/$B112),0))</f>
        <v/>
      </c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9">
        <f>IF($A113="","",IFERROR(IF($B113=0,0,$C113/$B113),0))</f>
        <v/>
      </c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9">
        <f>IF($A114="","",IFERROR(IF($B114=0,0,$C114/$B114),0))</f>
        <v/>
      </c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9">
        <f>IF($A115="","",IFERROR(IF($B115=0,0,$C115/$B115),0))</f>
        <v/>
      </c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9">
        <f>IF($A116="","",IFERROR(IF($B116=0,0,$C116/$B116),0))</f>
        <v/>
      </c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9">
        <f>IF($A117="","",IFERROR(IF($B117=0,0,$C117/$B117),0))</f>
        <v/>
      </c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9">
        <f>IF($A118="","",IFERROR(IF($B118=0,0,$C118/$B118),0))</f>
        <v/>
      </c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9">
        <f>IF($A119="","",IFERROR(IF($B119=0,0,$C119/$B119),0))</f>
        <v/>
      </c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9">
        <f>IF($A120="","",IFERROR(IF($B120=0,0,$C120/$B120),0))</f>
        <v/>
      </c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9">
        <f>IF($A121="","",IFERROR(IF($B121=0,0,$C121/$B121),0))</f>
        <v/>
      </c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9">
        <f>IF($A122="","",IFERROR(IF($B122=0,0,$C122/$B122),0))</f>
        <v/>
      </c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9">
        <f>IF($A123="","",IFERROR(IF($B123=0,0,$C123/$B123),0))</f>
        <v/>
      </c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9">
        <f>IF($A124="","",IFERROR(IF($B124=0,0,$C124/$B124),0))</f>
        <v/>
      </c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9">
        <f>IF($A125="","",IFERROR(IF($B125=0,0,$C125/$B125),0))</f>
        <v/>
      </c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9">
        <f>IF($A126="","",IFERROR(IF($B126=0,0,$C126/$B126),0))</f>
        <v/>
      </c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9">
        <f>IF($A127="","",IFERROR(IF($B127=0,0,$C127/$B127),0))</f>
        <v/>
      </c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9">
        <f>IF($A128="","",IFERROR(IF($B128=0,0,$C128/$B128),0))</f>
        <v/>
      </c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9">
        <f>IF($A129="","",IFERROR(IF($B129=0,0,$C129/$B129),0))</f>
        <v/>
      </c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9">
        <f>IF($A130="","",IFERROR(IF($B130=0,0,$C130/$B130),0))</f>
        <v/>
      </c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9">
        <f>IF($A131="","",IFERROR(IF($B131=0,0,$C131/$B131),0))</f>
        <v/>
      </c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9">
        <f>IF($A132="","",IFERROR(IF($B132=0,0,$C132/$B132),0))</f>
        <v/>
      </c>
    </row>
    <row r="133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9">
        <f>IF($A133="","",IFERROR(IF($B133=0,0,$C133/$B133),0))</f>
        <v/>
      </c>
    </row>
    <row r="134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9">
        <f>IF($A134="","",IFERROR(IF($B134=0,0,$C134/$B134),0))</f>
        <v/>
      </c>
    </row>
    <row r="135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9">
        <f>IF($A135="","",IFERROR(IF($B135=0,0,$C135/$B135),0))</f>
        <v/>
      </c>
    </row>
    <row r="136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9">
        <f>IF($A136="","",IFERROR(IF($B136=0,0,$C136/$B136),0))</f>
        <v/>
      </c>
    </row>
    <row r="137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9">
        <f>IF($A137="","",IFERROR(IF($B137=0,0,$C137/$B137),0))</f>
        <v/>
      </c>
    </row>
    <row r="138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9">
        <f>IF($A138="","",IFERROR(IF($B138=0,0,$C138/$B138),0))</f>
        <v/>
      </c>
    </row>
    <row r="139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9">
        <f>IF($A139="","",IFERROR(IF($B139=0,0,$C139/$B139),0))</f>
        <v/>
      </c>
    </row>
    <row r="140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9">
        <f>IF($A140="","",IFERROR(IF($B140=0,0,$C140/$B140),0))</f>
        <v/>
      </c>
    </row>
    <row r="141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9">
        <f>IF($A141="","",IFERROR(IF($B141=0,0,$C141/$B141),0))</f>
        <v/>
      </c>
    </row>
    <row r="142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9">
        <f>IF($A142="","",IFERROR(IF($B142=0,0,$C142/$B142),0))</f>
        <v/>
      </c>
    </row>
    <row r="143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9">
        <f>IF($A143="","",IFERROR(IF($B143=0,0,$C143/$B143),0))</f>
        <v/>
      </c>
    </row>
    <row r="144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9">
        <f>IF($A144="","",IFERROR(IF($B144=0,0,$C144/$B144),0))</f>
        <v/>
      </c>
    </row>
    <row r="145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9">
        <f>IF($A145="","",IFERROR(IF($B145=0,0,$C145/$B145),0))</f>
        <v/>
      </c>
    </row>
    <row r="146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9">
        <f>IF($A146="","",IFERROR(IF($B146=0,0,$C146/$B146),0))</f>
        <v/>
      </c>
    </row>
    <row r="147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9">
        <f>IF($A147="","",IFERROR(IF($B147=0,0,$C147/$B147),0))</f>
        <v/>
      </c>
    </row>
    <row r="148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9">
        <f>IF($A148="","",IFERROR(IF($B148=0,0,$C148/$B148),0))</f>
        <v/>
      </c>
    </row>
    <row r="149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9">
        <f>IF($A149="","",IFERROR(IF($B149=0,0,$C149/$B149),0))</f>
        <v/>
      </c>
    </row>
    <row r="150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9">
        <f>IF($A150="","",IFERROR(IF($B150=0,0,$C150/$B150),0))</f>
        <v/>
      </c>
    </row>
    <row r="151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9">
        <f>IF($A151="","",IFERROR(IF($B151=0,0,$C151/$B151),0))</f>
        <v/>
      </c>
    </row>
    <row r="152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9">
        <f>IF($A152="","",IFERROR(IF($B152=0,0,$C152/$B152),0))</f>
        <v/>
      </c>
    </row>
    <row r="153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9">
        <f>IF($A153="","",IFERROR(IF($B153=0,0,$C153/$B153),0))</f>
        <v/>
      </c>
    </row>
    <row r="154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9">
        <f>IF($A154="","",IFERROR(IF($B154=0,0,$C154/$B154),0))</f>
        <v/>
      </c>
    </row>
    <row r="155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9">
        <f>IF($A155="","",IFERROR(IF($B155=0,0,$C155/$B155),0))</f>
        <v/>
      </c>
    </row>
    <row r="156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9">
        <f>IF($A156="","",IFERROR(IF($B156=0,0,$C156/$B156),0))</f>
        <v/>
      </c>
    </row>
    <row r="157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9">
        <f>IF($A157="","",IFERROR(IF($B157=0,0,$C157/$B157),0))</f>
        <v/>
      </c>
    </row>
    <row r="158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9">
        <f>IF($A158="","",IFERROR(IF($B158=0,0,$C158/$B158),0))</f>
        <v/>
      </c>
    </row>
    <row r="159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9">
        <f>IF($A159="","",IFERROR(IF($B159=0,0,$C159/$B159),0))</f>
        <v/>
      </c>
    </row>
    <row r="160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9">
        <f>IF($A160="","",IFERROR(IF($B160=0,0,$C160/$B160),0))</f>
        <v/>
      </c>
    </row>
    <row r="161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9">
        <f>IF($A161="","",IFERROR(IF($B161=0,0,$C161/$B161),0))</f>
        <v/>
      </c>
    </row>
    <row r="162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9">
        <f>IF($A162="","",IFERROR(IF($B162=0,0,$C162/$B162),0))</f>
        <v/>
      </c>
    </row>
    <row r="163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9">
        <f>IF($A163="","",IFERROR(IF($B163=0,0,$C163/$B163),0))</f>
        <v/>
      </c>
    </row>
    <row r="164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9">
        <f>IF($A164="","",IFERROR(IF($B164=0,0,$C164/$B164),0))</f>
        <v/>
      </c>
    </row>
    <row r="165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9">
        <f>IF($A165="","",IFERROR(IF($B165=0,0,$C165/$B165),0))</f>
        <v/>
      </c>
    </row>
    <row r="166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9">
        <f>IF($A166="","",IFERROR(IF($B166=0,0,$C166/$B166),0))</f>
        <v/>
      </c>
    </row>
    <row r="167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9">
        <f>IF($A167="","",IFERROR(IF($B167=0,0,$C167/$B167),0))</f>
        <v/>
      </c>
    </row>
    <row r="168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9">
        <f>IF($A168="","",IFERROR(IF($B168=0,0,$C168/$B168),0))</f>
        <v/>
      </c>
    </row>
    <row r="169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9">
        <f>IF($A169="","",IFERROR(IF($B169=0,0,$C169/$B169),0))</f>
        <v/>
      </c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9">
        <f>IF($A170="","",IFERROR(IF($B170=0,0,$C170/$B170),0))</f>
        <v/>
      </c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9">
        <f>IF($A171="","",IFERROR(IF($B171=0,0,$C171/$B171),0))</f>
        <v/>
      </c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9">
        <f>IF($A172="","",IFERROR(IF($B172=0,0,$C172/$B172),0))</f>
        <v/>
      </c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9">
        <f>IF($A173="","",IFERROR(IF($B173=0,0,$C173/$B173),0))</f>
        <v/>
      </c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9">
        <f>IF($A174="","",IFERROR(IF($B174=0,0,$C174/$B174),0))</f>
        <v/>
      </c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9">
        <f>IF($A175="","",IFERROR(IF($B175=0,0,$C175/$B175),0))</f>
        <v/>
      </c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9">
        <f>IF($A176="","",IFERROR(IF($B176=0,0,$C176/$B176),0))</f>
        <v/>
      </c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9">
        <f>IF($A177="","",IFERROR(IF($B177=0,0,$C177/$B177),0))</f>
        <v/>
      </c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9">
        <f>IF($A178="","",IFERROR(IF($B178=0,0,$C178/$B178),0))</f>
        <v/>
      </c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9">
        <f>IF($A179="","",IFERROR(IF($B179=0,0,$C179/$B179),0))</f>
        <v/>
      </c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9">
        <f>IF($A180="","",IFERROR(IF($B180=0,0,$C180/$B180),0))</f>
        <v/>
      </c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9">
        <f>IF($A181="","",IFERROR(IF($B181=0,0,$C181/$B181),0))</f>
        <v/>
      </c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9">
        <f>IF($A182="","",IFERROR(IF($B182=0,0,$C182/$B182),0))</f>
        <v/>
      </c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9">
        <f>IF($A183="","",IFERROR(IF($B183=0,0,$C183/$B183),0))</f>
        <v/>
      </c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9">
        <f>IF($A184="","",IFERROR(IF($B184=0,0,$C184/$B184),0))</f>
        <v/>
      </c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9">
        <f>IF($A185="","",IFERROR(IF($B185=0,0,$C185/$B185),0))</f>
        <v/>
      </c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9">
        <f>IF($A186="","",IFERROR(IF($B186=0,0,$C186/$B186),0))</f>
        <v/>
      </c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9">
        <f>IF($A187="","",IFERROR(IF($B187=0,0,$C187/$B187),0))</f>
        <v/>
      </c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9">
        <f>IF($A188="","",IFERROR(IF($B188=0,0,$C188/$B188),0))</f>
        <v/>
      </c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9">
        <f>IF($A189="","",IFERROR(IF($B189=0,0,$C189/$B189),0))</f>
        <v/>
      </c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9">
        <f>IF($A190="","",IFERROR(IF($B190=0,0,$C190/$B190),0))</f>
        <v/>
      </c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9">
        <f>IF($A191="","",IFERROR(IF($B191=0,0,$C191/$B191),0))</f>
        <v/>
      </c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9">
        <f>IF($A192="","",IFERROR(IF($B192=0,0,$C192/$B192),0))</f>
        <v/>
      </c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9">
        <f>IF($A193="","",IFERROR(IF($B193=0,0,$C193/$B193),0))</f>
        <v/>
      </c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9">
        <f>IF($A194="","",IFERROR(IF($B194=0,0,$C194/$B194),0))</f>
        <v/>
      </c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9">
        <f>IF($A195="","",IFERROR(IF($B195=0,0,$C195/$B195),0))</f>
        <v/>
      </c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9">
        <f>IF($A196="","",IFERROR(IF($B196=0,0,$C196/$B196),0))</f>
        <v/>
      </c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9">
        <f>IF($A197="","",IFERROR(IF($B197=0,0,$C197/$B197),0))</f>
        <v/>
      </c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9">
        <f>IF($A198="","",IFERROR(IF($B198=0,0,$C198/$B198),0))</f>
        <v/>
      </c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9">
        <f>IF($A199="","",IFERROR(IF($B199=0,0,$C199/$B199),0))</f>
        <v/>
      </c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9">
        <f>IF($A200="","",IFERROR(IF($B200=0,0,$C200/$B200),0))</f>
        <v/>
      </c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9">
        <f>IF($A201="","",IFERROR(IF($B201=0,0,$C201/$B201),0))</f>
        <v/>
      </c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9">
        <f>IF($A202="","",IFERROR(IF($B202=0,0,$C202/$B202),0))</f>
        <v/>
      </c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9">
        <f>IF($A203="","",IFERROR(IF($B203=0,0,$C203/$B203),0))</f>
        <v/>
      </c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9">
        <f>IF($A204="","",IFERROR(IF($B204=0,0,$C204/$B204),0))</f>
        <v/>
      </c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9">
        <f>IF($A205="","",IFERROR(IF($B205=0,0,$C205/$B205),0))</f>
        <v/>
      </c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9">
        <f>IF($A206="","",IFERROR(IF($B206=0,0,$C206/$B206),0))</f>
        <v/>
      </c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9">
        <f>IF($A207="","",IFERROR(IF($B207=0,0,$C207/$B207),0))</f>
        <v/>
      </c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9">
        <f>IF($A208="","",IFERROR(IF($B208=0,0,$C208/$B208),0))</f>
        <v/>
      </c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9">
        <f>IF($A209="","",IFERROR(IF($B209=0,0,$C209/$B209),0))</f>
        <v/>
      </c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9">
        <f>IF($A210="","",IFERROR(IF($B210=0,0,$C210/$B210),0))</f>
        <v/>
      </c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9">
        <f>IF($A211="","",IFERROR(IF($B211=0,0,$C211/$B211),0))</f>
        <v/>
      </c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9">
        <f>IF($A212="","",IFERROR(IF($B212=0,0,$C212/$B212),0))</f>
        <v/>
      </c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9">
        <f>IF($A213="","",IFERROR(IF($B213=0,0,$C213/$B213),0))</f>
        <v/>
      </c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9">
        <f>IF($A214="","",IFERROR(IF($B214=0,0,$C214/$B214),0))</f>
        <v/>
      </c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9">
        <f>IF($A215="","",IFERROR(IF($B215=0,0,$C215/$B215),0))</f>
        <v/>
      </c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9">
        <f>IF($A216="","",IFERROR(IF($B216=0,0,$C216/$B216),0))</f>
        <v/>
      </c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9">
        <f>IF($A217="","",IFERROR(IF($B217=0,0,$C217/$B217),0))</f>
        <v/>
      </c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9">
        <f>IF($A218="","",IFERROR(IF($B218=0,0,$C218/$B218),0))</f>
        <v/>
      </c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9">
        <f>IF($A219="","",IFERROR(IF($B219=0,0,$C219/$B219),0))</f>
        <v/>
      </c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9">
        <f>IF($A220="","",IFERROR(IF($B220=0,0,$C220/$B220),0))</f>
        <v/>
      </c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9">
        <f>IF($A221="","",IFERROR(IF($B221=0,0,$C221/$B221),0))</f>
        <v/>
      </c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9">
        <f>IF($A222="","",IFERROR(IF($B222=0,0,$C222/$B222),0))</f>
        <v/>
      </c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9">
        <f>IF($A223="","",IFERROR(IF($B223=0,0,$C223/$B223),0))</f>
        <v/>
      </c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9">
        <f>IF($A224="","",IFERROR(IF($B224=0,0,$C224/$B224),0))</f>
        <v/>
      </c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9">
        <f>IF($A225="","",IFERROR(IF($B225=0,0,$C225/$B225),0))</f>
        <v/>
      </c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9">
        <f>IF($A226="","",IFERROR(IF($B226=0,0,$C226/$B226),0))</f>
        <v/>
      </c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9">
        <f>IF($A227="","",IFERROR(IF($B227=0,0,$C227/$B227),0))</f>
        <v/>
      </c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9">
        <f>IF($A228="","",IFERROR(IF($B228=0,0,$C228/$B228),0))</f>
        <v/>
      </c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9">
        <f>IF($A229="","",IFERROR(IF($B229=0,0,$C229/$B229),0))</f>
        <v/>
      </c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9">
        <f>IF($A230="","",IFERROR(IF($B230=0,0,$C230/$B230),0))</f>
        <v/>
      </c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9">
        <f>IF($A231="","",IFERROR(IF($B231=0,0,$C231/$B231),0))</f>
        <v/>
      </c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9">
        <f>IF($A232="","",IFERROR(IF($B232=0,0,$C232/$B232),0))</f>
        <v/>
      </c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9">
        <f>IF($A233="","",IFERROR(IF($B233=0,0,$C233/$B233),0))</f>
        <v/>
      </c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9">
        <f>IF($A234="","",IFERROR(IF($B234=0,0,$C234/$B234),0))</f>
        <v/>
      </c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9">
        <f>IF($A235="","",IFERROR(IF($B235=0,0,$C235/$B235),0))</f>
        <v/>
      </c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9">
        <f>IF($A236="","",IFERROR(IF($B236=0,0,$C236/$B236),0))</f>
        <v/>
      </c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9">
        <f>IF($A237="","",IFERROR(IF($B237=0,0,$C237/$B237),0))</f>
        <v/>
      </c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9">
        <f>IF($A238="","",IFERROR(IF($B238=0,0,$C238/$B238),0))</f>
        <v/>
      </c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9">
        <f>IF($A239="","",IFERROR(IF($B239=0,0,$C239/$B239),0))</f>
        <v/>
      </c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9">
        <f>IF($A240="","",IFERROR(IF($B240=0,0,$C240/$B240),0))</f>
        <v/>
      </c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9">
        <f>IF($A241="","",IFERROR(IF($B241=0,0,$C241/$B241),0))</f>
        <v/>
      </c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9">
        <f>IF($A242="","",IFERROR(IF($B242=0,0,$C242/$B242),0))</f>
        <v/>
      </c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9">
        <f>IF($A243="","",IFERROR(IF($B243=0,0,$C243/$B243),0))</f>
        <v/>
      </c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9">
        <f>IF($A244="","",IFERROR(IF($B244=0,0,$C244/$B244),0))</f>
        <v/>
      </c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9">
        <f>IF($A245="","",IFERROR(IF($B245=0,0,$C245/$B245),0))</f>
        <v/>
      </c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9">
        <f>IF($A246="","",IFERROR(IF($B246=0,0,$C246/$B246),0))</f>
        <v/>
      </c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9">
        <f>IF($A247="","",IFERROR(IF($B247=0,0,$C247/$B247),0))</f>
        <v/>
      </c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9">
        <f>IF($A248="","",IFERROR(IF($B248=0,0,$C248/$B248),0))</f>
        <v/>
      </c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9">
        <f>IF($A249="","",IFERROR(IF($B249=0,0,$C249/$B249),0))</f>
        <v/>
      </c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9">
        <f>IF($A250="","",IFERROR(IF($B250=0,0,$C250/$B250),0))</f>
        <v/>
      </c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9">
        <f>IF($A251="","",IFERROR(IF($B251=0,0,$C251/$B251),0))</f>
        <v/>
      </c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9">
        <f>IF($A252="","",IFERROR(IF($B252=0,0,$C252/$B252),0))</f>
        <v/>
      </c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9">
        <f>IF($A253="","",IFERROR(IF($B253=0,0,$C253/$B253),0))</f>
        <v/>
      </c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9">
        <f>IF($A254="","",IFERROR(IF($B254=0,0,$C254/$B254),0))</f>
        <v/>
      </c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9">
        <f>IF($A255="","",IFERROR(IF($B255=0,0,$C255/$B255),0))</f>
        <v/>
      </c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9">
        <f>IF($A256="","",IFERROR(IF($B256=0,0,$C256/$B256),0))</f>
        <v/>
      </c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9">
        <f>IF($A257="","",IFERROR(IF($B257=0,0,$C257/$B257),0))</f>
        <v/>
      </c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9">
        <f>IF($A258="","",IFERROR(IF($B258=0,0,$C258/$B258),0))</f>
        <v/>
      </c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9">
        <f>IF($A259="","",IFERROR(IF($B259=0,0,$C259/$B259),0))</f>
        <v/>
      </c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9">
        <f>IF($A260="","",IFERROR(IF($B260=0,0,$C260/$B260),0))</f>
        <v/>
      </c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9">
        <f>IF($A261="","",IFERROR(IF($B261=0,0,$C261/$B261),0))</f>
        <v/>
      </c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9">
        <f>IF($A262="","",IFERROR(IF($B262=0,0,$C262/$B262),0))</f>
        <v/>
      </c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9">
        <f>IF($A263="","",IFERROR(IF($B263=0,0,$C263/$B263),0))</f>
        <v/>
      </c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9">
        <f>IF($A264="","",IFERROR(IF($B264=0,0,$C264/$B264),0))</f>
        <v/>
      </c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9">
        <f>IF($A265="","",IFERROR(IF($B265=0,0,$C265/$B265),0))</f>
        <v/>
      </c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9">
        <f>IF($A266="","",IFERROR(IF($B266=0,0,$C266/$B266),0))</f>
        <v/>
      </c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9">
        <f>IF($A267="","",IFERROR(IF($B267=0,0,$C267/$B267),0))</f>
        <v/>
      </c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9">
        <f>IF($A268="","",IFERROR(IF($B268=0,0,$C268/$B268),0))</f>
        <v/>
      </c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9">
        <f>IF($A269="","",IFERROR(IF($B269=0,0,$C269/$B269),0))</f>
        <v/>
      </c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9">
        <f>IF($A270="","",IFERROR(IF($B270=0,0,$C270/$B270),0))</f>
        <v/>
      </c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9">
        <f>IF($A271="","",IFERROR(IF($B271=0,0,$C271/$B271),0))</f>
        <v/>
      </c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9">
        <f>IF($A272="","",IFERROR(IF($B272=0,0,$C272/$B272),0))</f>
        <v/>
      </c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9">
        <f>IF($A273="","",IFERROR(IF($B273=0,0,$C273/$B273),0))</f>
        <v/>
      </c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9">
        <f>IF($A274="","",IFERROR(IF($B274=0,0,$C274/$B274),0))</f>
        <v/>
      </c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9">
        <f>IF($A275="","",IFERROR(IF($B275=0,0,$C275/$B275),0))</f>
        <v/>
      </c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9">
        <f>IF($A276="","",IFERROR(IF($B276=0,0,$C276/$B276),0))</f>
        <v/>
      </c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9">
        <f>IF($A277="","",IFERROR(IF($B277=0,0,$C277/$B277),0))</f>
        <v/>
      </c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9">
        <f>IF($A278="","",IFERROR(IF($B278=0,0,$C278/$B278),0))</f>
        <v/>
      </c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9">
        <f>IF($A279="","",IFERROR(IF($B279=0,0,$C279/$B279),0))</f>
        <v/>
      </c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9">
        <f>IF($A280="","",IFERROR(IF($B280=0,0,$C280/$B280),0))</f>
        <v/>
      </c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9">
        <f>IF($A281="","",IFERROR(IF($B281=0,0,$C281/$B281),0))</f>
        <v/>
      </c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9">
        <f>IF($A282="","",IFERROR(IF($B282=0,0,$C282/$B282),0))</f>
        <v/>
      </c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9">
        <f>IF($A283="","",IFERROR(IF($B283=0,0,$C283/$B283),0))</f>
        <v/>
      </c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9">
        <f>IF($A284="","",IFERROR(IF($B284=0,0,$C284/$B284),0))</f>
        <v/>
      </c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9">
        <f>IF($A285="","",IFERROR(IF($B285=0,0,$C285/$B285),0))</f>
        <v/>
      </c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9">
        <f>IF($A286="","",IFERROR(IF($B286=0,0,$C286/$B286),0))</f>
        <v/>
      </c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9">
        <f>IF($A287="","",IFERROR(IF($B287=0,0,$C287/$B287),0))</f>
        <v/>
      </c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9">
        <f>IF($A288="","",IFERROR(IF($B288=0,0,$C288/$B288),0))</f>
        <v/>
      </c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9">
        <f>IF($A289="","",IFERROR(IF($B289=0,0,$C289/$B289),0))</f>
        <v/>
      </c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9">
        <f>IF($A290="","",IFERROR(IF($B290=0,0,$C290/$B290),0))</f>
        <v/>
      </c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9">
        <f>IF($A291="","",IFERROR(IF($B291=0,0,$C291/$B291),0))</f>
        <v/>
      </c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9">
        <f>IF($A292="","",IFERROR(IF($B292=0,0,$C292/$B292),0))</f>
        <v/>
      </c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9">
        <f>IF($A293="","",IFERROR(IF($B293=0,0,$C293/$B293),0))</f>
        <v/>
      </c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9">
        <f>IF($A294="","",IFERROR(IF($B294=0,0,$C294/$B294),0))</f>
        <v/>
      </c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9">
        <f>IF($A295="","",IFERROR(IF($B295=0,0,$C295/$B295),0))</f>
        <v/>
      </c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9">
        <f>IF($A296="","",IFERROR(IF($B296=0,0,$C296/$B296),0))</f>
        <v/>
      </c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9">
        <f>IF($A297="","",IFERROR(IF($B297=0,0,$C297/$B297),0))</f>
        <v/>
      </c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9">
        <f>IF($A298="","",IFERROR(IF($B298=0,0,$C298/$B298),0))</f>
        <v/>
      </c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9">
        <f>IF($A299="","",IFERROR(IF($B299=0,0,$C299/$B299),0))</f>
        <v/>
      </c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9">
        <f>IF($A300="","",IFERROR(IF($B300=0,0,$C300/$B300),0))</f>
        <v/>
      </c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9">
        <f>IF($A301="","",IFERROR(IF($B301=0,0,$C301/$B301),0))</f>
        <v/>
      </c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9">
        <f>IF($A302="","",IFERROR(IF($B302=0,0,$C302/$B302),0))</f>
        <v/>
      </c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9">
        <f>IF($A303="","",IFERROR(IF($B303=0,0,$C303/$B303),0))</f>
        <v/>
      </c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9">
        <f>IF($A304="","",IFERROR(IF($B304=0,0,$C304/$B304),0))</f>
        <v/>
      </c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9">
        <f>IF($A305="","",IFERROR(IF($B305=0,0,$C305/$B305),0))</f>
        <v/>
      </c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9">
        <f>IF($A306="","",IFERROR(IF($B306=0,0,$C306/$B306),0))</f>
        <v/>
      </c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9">
        <f>IF($A307="","",IFERROR(IF($B307=0,0,$C307/$B307),0))</f>
        <v/>
      </c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9">
        <f>IF($A308="","",IFERROR(IF($B308=0,0,$C308/$B308),0))</f>
        <v/>
      </c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9">
        <f>IF($A309="","",IFERROR(IF($B309=0,0,$C309/$B309),0))</f>
        <v/>
      </c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9">
        <f>IF($A310="","",IFERROR(IF($B310=0,0,$C310/$B310),0))</f>
        <v/>
      </c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9">
        <f>IF($A311="","",IFERROR(IF($B311=0,0,$C311/$B311),0))</f>
        <v/>
      </c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9">
        <f>IF($A312="","",IFERROR(IF($B312=0,0,$C312/$B312),0))</f>
        <v/>
      </c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9">
        <f>IF($A313="","",IFERROR(IF($B313=0,0,$C313/$B313),0))</f>
        <v/>
      </c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9">
        <f>IF($A314="","",IFERROR(IF($B314=0,0,$C314/$B314),0))</f>
        <v/>
      </c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9">
        <f>IF($A315="","",IFERROR(IF($B315=0,0,$C315/$B315),0))</f>
        <v/>
      </c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9">
        <f>IF($A316="","",IFERROR(IF($B316=0,0,$C316/$B316),0))</f>
        <v/>
      </c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9">
        <f>IF($A317="","",IFERROR(IF($B317=0,0,$C317/$B317),0))</f>
        <v/>
      </c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9">
        <f>IF($A318="","",IFERROR(IF($B318=0,0,$C318/$B318),0))</f>
        <v/>
      </c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9">
        <f>IF($A319="","",IFERROR(IF($B319=0,0,$C319/$B319),0))</f>
        <v/>
      </c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9">
        <f>IF($A320="","",IFERROR(IF($B320=0,0,$C320/$B320),0))</f>
        <v/>
      </c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9">
        <f>IF($A321="","",IFERROR(IF($B321=0,0,$C321/$B321),0))</f>
        <v/>
      </c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9">
        <f>IF($A322="","",IFERROR(IF($B322=0,0,$C322/$B322),0))</f>
        <v/>
      </c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9">
        <f>IF($A323="","",IFERROR(IF($B323=0,0,$C323/$B323),0))</f>
        <v/>
      </c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9">
        <f>IF($A324="","",IFERROR(IF($B324=0,0,$C324/$B324),0))</f>
        <v/>
      </c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9">
        <f>IF($A325="","",IFERROR(IF($B325=0,0,$C325/$B325),0))</f>
        <v/>
      </c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9">
        <f>IF($A326="","",IFERROR(IF($B326=0,0,$C326/$B326),0))</f>
        <v/>
      </c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9">
        <f>IF($A327="","",IFERROR(IF($B327=0,0,$C327/$B327),0))</f>
        <v/>
      </c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9">
        <f>IF($A328="","",IFERROR(IF($B328=0,0,$C328/$B328),0))</f>
        <v/>
      </c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9">
        <f>IF($A329="","",IFERROR(IF($B329=0,0,$C329/$B329),0))</f>
        <v/>
      </c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9">
        <f>IF($A330="","",IFERROR(IF($B330=0,0,$C330/$B330),0))</f>
        <v/>
      </c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9">
        <f>IF($A331="","",IFERROR(IF($B331=0,0,$C331/$B331),0))</f>
        <v/>
      </c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9">
        <f>IF($A332="","",IFERROR(IF($B332=0,0,$C332/$B332),0))</f>
        <v/>
      </c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9">
        <f>IF($A333="","",IFERROR(IF($B333=0,0,$C333/$B333),0))</f>
        <v/>
      </c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9">
        <f>IF($A334="","",IFERROR(IF($B334=0,0,$C334/$B334),0))</f>
        <v/>
      </c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9">
        <f>IF($A335="","",IFERROR(IF($B335=0,0,$C335/$B335),0))</f>
        <v/>
      </c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9">
        <f>IF($A336="","",IFERROR(IF($B336=0,0,$C336/$B336),0))</f>
        <v/>
      </c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9">
        <f>IF($A337="","",IFERROR(IF($B337=0,0,$C337/$B337),0))</f>
        <v/>
      </c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9">
        <f>IF($A338="","",IFERROR(IF($B338=0,0,$C338/$B338),0))</f>
        <v/>
      </c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9">
        <f>IF($A339="","",IFERROR(IF($B339=0,0,$C339/$B339),0))</f>
        <v/>
      </c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9">
        <f>IF($A340="","",IFERROR(IF($B340=0,0,$C340/$B340),0))</f>
        <v/>
      </c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9">
        <f>IF($A341="","",IFERROR(IF($B341=0,0,$C341/$B341),0))</f>
        <v/>
      </c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  <c r="J342" s="39">
        <f>IF($A342="","",IFERROR(IF($B342=0,0,$C342/$B342),0))</f>
        <v/>
      </c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  <c r="J343" s="39">
        <f>IF($A343="","",IFERROR(IF($B343=0,0,$C343/$B343),0))</f>
        <v/>
      </c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  <c r="J344" s="39">
        <f>IF($A344="","",IFERROR(IF($B344=0,0,$C344/$B344),0))</f>
        <v/>
      </c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  <c r="J345" s="39">
        <f>IF($A345="","",IFERROR(IF($B345=0,0,$C345/$B345),0))</f>
        <v/>
      </c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  <c r="J346" s="39">
        <f>IF($A346="","",IFERROR(IF($B346=0,0,$C346/$B346),0))</f>
        <v/>
      </c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  <c r="J347" s="39">
        <f>IF($A347="","",IFERROR(IF($B347=0,0,$C347/$B347),0))</f>
        <v/>
      </c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  <c r="J348" s="39">
        <f>IF($A348="","",IFERROR(IF($B348=0,0,$C348/$B348),0))</f>
        <v/>
      </c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  <c r="J349" s="39">
        <f>IF($A349="","",IFERROR(IF($B349=0,0,$C349/$B349),0))</f>
        <v/>
      </c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  <c r="J350" s="39">
        <f>IF($A350="","",IFERROR(IF($B350=0,0,$C350/$B350),0))</f>
        <v/>
      </c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  <c r="J351" s="39">
        <f>IF($A351="","",IFERROR(IF($B351=0,0,$C351/$B351),0))</f>
        <v/>
      </c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  <c r="J352" s="39">
        <f>IF($A352="","",IFERROR(IF($B352=0,0,$C352/$B352),0))</f>
        <v/>
      </c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  <c r="J353" s="39">
        <f>IF($A353="","",IFERROR(IF($B353=0,0,$C353/$B353),0))</f>
        <v/>
      </c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  <c r="J354" s="39">
        <f>IF($A354="","",IFERROR(IF($B354=0,0,$C354/$B354),0))</f>
        <v/>
      </c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  <c r="J355" s="39">
        <f>IF($A355="","",IFERROR(IF($B355=0,0,$C355/$B355),0))</f>
        <v/>
      </c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  <c r="J356" s="39">
        <f>IF($A356="","",IFERROR(IF($B356=0,0,$C356/$B356),0))</f>
        <v/>
      </c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  <c r="J357" s="39">
        <f>IF($A357="","",IFERROR(IF($B357=0,0,$C357/$B357),0))</f>
        <v/>
      </c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  <c r="J358" s="39">
        <f>IF($A358="","",IFERROR(IF($B358=0,0,$C358/$B358),0))</f>
        <v/>
      </c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  <c r="J359" s="39">
        <f>IF($A359="","",IFERROR(IF($B359=0,0,$C359/$B359),0))</f>
        <v/>
      </c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  <c r="J360" s="39">
        <f>IF($A360="","",IFERROR(IF($B360=0,0,$C360/$B360),0))</f>
        <v/>
      </c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  <c r="J361" s="39">
        <f>IF($A361="","",IFERROR(IF($B361=0,0,$C361/$B361),0))</f>
        <v/>
      </c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  <c r="J362" s="39">
        <f>IF($A362="","",IFERROR(IF($B362=0,0,$C362/$B362),0))</f>
        <v/>
      </c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  <c r="J363" s="39">
        <f>IF($A363="","",IFERROR(IF($B363=0,0,$C363/$B363),0))</f>
        <v/>
      </c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  <c r="J364" s="39">
        <f>IF($A364="","",IFERROR(IF($B364=0,0,$C364/$B364),0))</f>
        <v/>
      </c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  <c r="J365" s="39">
        <f>IF($A365="","",IFERROR(IF($B365=0,0,$C365/$B365),0))</f>
        <v/>
      </c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  <c r="J366" s="39">
        <f>IF($A366="","",IFERROR(IF($B366=0,0,$C366/$B366),0))</f>
        <v/>
      </c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  <c r="J367" s="39">
        <f>IF($A367="","",IFERROR(IF($B367=0,0,$C367/$B367),0))</f>
        <v/>
      </c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  <c r="J368" s="39">
        <f>IF($A368="","",IFERROR(IF($B368=0,0,$C368/$B368),0))</f>
        <v/>
      </c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  <c r="J369" s="39">
        <f>IF($A369="","",IFERROR(IF($B369=0,0,$C369/$B369),0))</f>
        <v/>
      </c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  <c r="J370" s="39">
        <f>IF($A370="","",IFERROR(IF($B370=0,0,$C370/$B370),0))</f>
        <v/>
      </c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  <c r="J371" s="39">
        <f>IF($A371="","",IFERROR(IF($B371=0,0,$C371/$B371),0))</f>
        <v/>
      </c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  <c r="J372" s="39">
        <f>IF($A372="","",IFERROR(IF($B372=0,0,$C372/$B372),0))</f>
        <v/>
      </c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  <c r="J373" s="39">
        <f>IF($A373="","",IFERROR(IF($B373=0,0,$C373/$B373),0))</f>
        <v/>
      </c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  <c r="J374" s="39">
        <f>IF($A374="","",IFERROR(IF($B374=0,0,$C374/$B374),0))</f>
        <v/>
      </c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  <c r="J375" s="39">
        <f>IF($A375="","",IFERROR(IF($B375=0,0,$C375/$B375),0))</f>
        <v/>
      </c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  <c r="J376" s="39">
        <f>IF($A376="","",IFERROR(IF($B376=0,0,$C376/$B376),0))</f>
        <v/>
      </c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  <c r="J377" s="39">
        <f>IF($A377="","",IFERROR(IF($B377=0,0,$C377/$B377),0))</f>
        <v/>
      </c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  <c r="J378" s="39">
        <f>IF($A378="","",IFERROR(IF($B378=0,0,$C378/$B378),0))</f>
        <v/>
      </c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  <c r="J379" s="39">
        <f>IF($A379="","",IFERROR(IF($B379=0,0,$C379/$B379),0))</f>
        <v/>
      </c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  <c r="J380" s="39">
        <f>IF($A380="","",IFERROR(IF($B380=0,0,$C380/$B380),0))</f>
        <v/>
      </c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  <c r="J381" s="39">
        <f>IF($A381="","",IFERROR(IF($B381=0,0,$C381/$B381),0))</f>
        <v/>
      </c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  <c r="J382" s="39">
        <f>IF($A382="","",IFERROR(IF($B382=0,0,$C382/$B382),0))</f>
        <v/>
      </c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  <c r="J383" s="39">
        <f>IF($A383="","",IFERROR(IF($B383=0,0,$C383/$B383),0))</f>
        <v/>
      </c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  <c r="J384" s="39">
        <f>IF($A384="","",IFERROR(IF($B384=0,0,$C384/$B384),0))</f>
        <v/>
      </c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  <c r="J385" s="39">
        <f>IF($A385="","",IFERROR(IF($B385=0,0,$C385/$B385),0))</f>
        <v/>
      </c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  <c r="J386" s="39">
        <f>IF($A386="","",IFERROR(IF($B386=0,0,$C386/$B386),0))</f>
        <v/>
      </c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  <c r="J387" s="39">
        <f>IF($A387="","",IFERROR(IF($B387=0,0,$C387/$B387),0))</f>
        <v/>
      </c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  <c r="J388" s="39">
        <f>IF($A388="","",IFERROR(IF($B388=0,0,$C388/$B388),0))</f>
        <v/>
      </c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  <c r="J389" s="39">
        <f>IF($A389="","",IFERROR(IF($B389=0,0,$C389/$B389),0))</f>
        <v/>
      </c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  <c r="J390" s="39">
        <f>IF($A390="","",IFERROR(IF($B390=0,0,$C390/$B390),0))</f>
        <v/>
      </c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  <c r="J391" s="39">
        <f>IF($A391="","",IFERROR(IF($B391=0,0,$C391/$B391),0))</f>
        <v/>
      </c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  <c r="J392" s="39">
        <f>IF($A392="","",IFERROR(IF($B392=0,0,$C392/$B392),0))</f>
        <v/>
      </c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  <c r="J393" s="39">
        <f>IF($A393="","",IFERROR(IF($B393=0,0,$C393/$B393),0))</f>
        <v/>
      </c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  <c r="J394" s="39">
        <f>IF($A394="","",IFERROR(IF($B394=0,0,$C394/$B394),0))</f>
        <v/>
      </c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  <c r="J395" s="39">
        <f>IF($A395="","",IFERROR(IF($B395=0,0,$C395/$B395),0))</f>
        <v/>
      </c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  <c r="J396" s="39">
        <f>IF($A396="","",IFERROR(IF($B396=0,0,$C396/$B396),0))</f>
        <v/>
      </c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  <c r="J397" s="39">
        <f>IF($A397="","",IFERROR(IF($B397=0,0,$C397/$B397),0))</f>
        <v/>
      </c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  <c r="J398" s="39">
        <f>IF($A398="","",IFERROR(IF($B398=0,0,$C398/$B398),0))</f>
        <v/>
      </c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  <c r="J399" s="39">
        <f>IF($A399="","",IFERROR(IF($B399=0,0,$C399/$B399),0))</f>
        <v/>
      </c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  <c r="J400" s="39">
        <f>IF($A400="","",IFERROR(IF($B400=0,0,$C400/$B400),0))</f>
        <v/>
      </c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  <c r="J401" s="39">
        <f>IF($A401="","",IFERROR(IF($B401=0,0,$C401/$B401),0))</f>
        <v/>
      </c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  <c r="J402" s="39">
        <f>IF($A402="","",IFERROR(IF($B402=0,0,$C402/$B402),0))</f>
        <v/>
      </c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  <c r="J403" s="39">
        <f>IF($A403="","",IFERROR(IF($B403=0,0,$C403/$B403),0))</f>
        <v/>
      </c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  <c r="J404" s="39">
        <f>IF($A404="","",IFERROR(IF($B404=0,0,$C404/$B404),0))</f>
        <v/>
      </c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  <c r="J405" s="39">
        <f>IF($A405="","",IFERROR(IF($B405=0,0,$C405/$B405),0))</f>
        <v/>
      </c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  <c r="J406" s="39">
        <f>IF($A406="","",IFERROR(IF($B406=0,0,$C406/$B406),0))</f>
        <v/>
      </c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  <c r="J407" s="39">
        <f>IF($A407="","",IFERROR(IF($B407=0,0,$C407/$B407),0))</f>
        <v/>
      </c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  <c r="J408" s="39">
        <f>IF($A408="","",IFERROR(IF($B408=0,0,$C408/$B408),0))</f>
        <v/>
      </c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  <c r="J409" s="39">
        <f>IF($A409="","",IFERROR(IF($B409=0,0,$C409/$B409),0))</f>
        <v/>
      </c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  <c r="J410" s="39">
        <f>IF($A410="","",IFERROR(IF($B410=0,0,$C410/$B410),0))</f>
        <v/>
      </c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  <c r="J411" s="39">
        <f>IF($A411="","",IFERROR(IF($B411=0,0,$C411/$B411),0))</f>
        <v/>
      </c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  <c r="J412" s="39">
        <f>IF($A412="","",IFERROR(IF($B412=0,0,$C412/$B412),0))</f>
        <v/>
      </c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  <c r="J413" s="39">
        <f>IF($A413="","",IFERROR(IF($B413=0,0,$C413/$B413),0))</f>
        <v/>
      </c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  <c r="J414" s="39">
        <f>IF($A414="","",IFERROR(IF($B414=0,0,$C414/$B414),0))</f>
        <v/>
      </c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  <c r="J415" s="39">
        <f>IF($A415="","",IFERROR(IF($B415=0,0,$C415/$B415),0))</f>
        <v/>
      </c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  <c r="J416" s="39">
        <f>IF($A416="","",IFERROR(IF($B416=0,0,$C416/$B416),0))</f>
        <v/>
      </c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  <c r="J417" s="39">
        <f>IF($A417="","",IFERROR(IF($B417=0,0,$C417/$B417),0))</f>
        <v/>
      </c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  <c r="J418" s="39">
        <f>IF($A418="","",IFERROR(IF($B418=0,0,$C418/$B418),0))</f>
        <v/>
      </c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  <c r="J419" s="39">
        <f>IF($A419="","",IFERROR(IF($B419=0,0,$C419/$B419),0))</f>
        <v/>
      </c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  <c r="J420" s="39">
        <f>IF($A420="","",IFERROR(IF($B420=0,0,$C420/$B420),0))</f>
        <v/>
      </c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  <c r="J421" s="39">
        <f>IF($A421="","",IFERROR(IF($B421=0,0,$C421/$B421),0))</f>
        <v/>
      </c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  <c r="J422" s="39">
        <f>IF($A422="","",IFERROR(IF($B422=0,0,$C422/$B422),0))</f>
        <v/>
      </c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  <c r="J423" s="39">
        <f>IF($A423="","",IFERROR(IF($B423=0,0,$C423/$B423),0))</f>
        <v/>
      </c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  <c r="J424" s="39">
        <f>IF($A424="","",IFERROR(IF($B424=0,0,$C424/$B424),0))</f>
        <v/>
      </c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  <c r="J425" s="39">
        <f>IF($A425="","",IFERROR(IF($B425=0,0,$C425/$B425),0))</f>
        <v/>
      </c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  <c r="J426" s="39">
        <f>IF($A426="","",IFERROR(IF($B426=0,0,$C426/$B426),0))</f>
        <v/>
      </c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  <c r="J427" s="39">
        <f>IF($A427="","",IFERROR(IF($B427=0,0,$C427/$B427),0))</f>
        <v/>
      </c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  <c r="J428" s="39">
        <f>IF($A428="","",IFERROR(IF($B428=0,0,$C428/$B428),0))</f>
        <v/>
      </c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  <c r="J429" s="39">
        <f>IF($A429="","",IFERROR(IF($B429=0,0,$C429/$B429),0))</f>
        <v/>
      </c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  <c r="J430" s="39">
        <f>IF($A430="","",IFERROR(IF($B430=0,0,$C430/$B430),0))</f>
        <v/>
      </c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  <c r="J431" s="39">
        <f>IF($A431="","",IFERROR(IF($B431=0,0,$C431/$B431),0))</f>
        <v/>
      </c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  <c r="J432" s="39">
        <f>IF($A432="","",IFERROR(IF($B432=0,0,$C432/$B432),0))</f>
        <v/>
      </c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  <c r="J433" s="39">
        <f>IF($A433="","",IFERROR(IF($B433=0,0,$C433/$B433),0))</f>
        <v/>
      </c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  <c r="J434" s="39">
        <f>IF($A434="","",IFERROR(IF($B434=0,0,$C434/$B434),0))</f>
        <v/>
      </c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  <c r="J435" s="39">
        <f>IF($A435="","",IFERROR(IF($B435=0,0,$C435/$B435),0))</f>
        <v/>
      </c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  <c r="J436" s="39">
        <f>IF($A436="","",IFERROR(IF($B436=0,0,$C436/$B436),0))</f>
        <v/>
      </c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  <c r="J437" s="39">
        <f>IF($A437="","",IFERROR(IF($B437=0,0,$C437/$B437),0))</f>
        <v/>
      </c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  <c r="J438" s="39">
        <f>IF($A438="","",IFERROR(IF($B438=0,0,$C438/$B438),0))</f>
        <v/>
      </c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  <c r="J439" s="39">
        <f>IF($A439="","",IFERROR(IF($B439=0,0,$C439/$B439),0))</f>
        <v/>
      </c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  <c r="J440" s="39">
        <f>IF($A440="","",IFERROR(IF($B440=0,0,$C440/$B440),0))</f>
        <v/>
      </c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  <c r="J441" s="39">
        <f>IF($A441="","",IFERROR(IF($B441=0,0,$C441/$B441),0))</f>
        <v/>
      </c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  <c r="J442" s="39">
        <f>IF($A442="","",IFERROR(IF($B442=0,0,$C442/$B442),0))</f>
        <v/>
      </c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  <c r="J443" s="39">
        <f>IF($A443="","",IFERROR(IF($B443=0,0,$C443/$B443),0))</f>
        <v/>
      </c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  <c r="J444" s="39">
        <f>IF($A444="","",IFERROR(IF($B444=0,0,$C444/$B444),0))</f>
        <v/>
      </c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  <c r="J445" s="39">
        <f>IF($A445="","",IFERROR(IF($B445=0,0,$C445/$B445),0))</f>
        <v/>
      </c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  <c r="J446" s="39">
        <f>IF($A446="","",IFERROR(IF($B446=0,0,$C446/$B446),0))</f>
        <v/>
      </c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  <c r="J447" s="39">
        <f>IF($A447="","",IFERROR(IF($B447=0,0,$C447/$B447),0))</f>
        <v/>
      </c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  <c r="J448" s="39">
        <f>IF($A448="","",IFERROR(IF($B448=0,0,$C448/$B448),0))</f>
        <v/>
      </c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  <c r="J449" s="39">
        <f>IF($A449="","",IFERROR(IF($B449=0,0,$C449/$B449),0))</f>
        <v/>
      </c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  <c r="J450" s="39">
        <f>IF($A450="","",IFERROR(IF($B450=0,0,$C450/$B450),0))</f>
        <v/>
      </c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  <c r="J451" s="39">
        <f>IF($A451="","",IFERROR(IF($B451=0,0,$C451/$B451),0))</f>
        <v/>
      </c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  <c r="J452" s="39">
        <f>IF($A452="","",IFERROR(IF($B452=0,0,$C452/$B452),0))</f>
        <v/>
      </c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  <c r="J453" s="39">
        <f>IF($A453="","",IFERROR(IF($B453=0,0,$C453/$B453),0))</f>
        <v/>
      </c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  <c r="J454" s="39">
        <f>IF($A454="","",IFERROR(IF($B454=0,0,$C454/$B454),0))</f>
        <v/>
      </c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  <c r="J455" s="39">
        <f>IF($A455="","",IFERROR(IF($B455=0,0,$C455/$B455),0))</f>
        <v/>
      </c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  <c r="J456" s="39">
        <f>IF($A456="","",IFERROR(IF($B456=0,0,$C456/$B456),0))</f>
        <v/>
      </c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  <c r="J457" s="39">
        <f>IF($A457="","",IFERROR(IF($B457=0,0,$C457/$B457),0))</f>
        <v/>
      </c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  <c r="J458" s="39">
        <f>IF($A458="","",IFERROR(IF($B458=0,0,$C458/$B458),0))</f>
        <v/>
      </c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  <c r="J459" s="39">
        <f>IF($A459="","",IFERROR(IF($B459=0,0,$C459/$B459),0))</f>
        <v/>
      </c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  <c r="J460" s="39">
        <f>IF($A460="","",IFERROR(IF($B460=0,0,$C460/$B460),0))</f>
        <v/>
      </c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  <c r="J461" s="39">
        <f>IF($A461="","",IFERROR(IF($B461=0,0,$C461/$B461),0))</f>
        <v/>
      </c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  <c r="J462" s="39">
        <f>IF($A462="","",IFERROR(IF($B462=0,0,$C462/$B462),0))</f>
        <v/>
      </c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  <c r="J463" s="39">
        <f>IF($A463="","",IFERROR(IF($B463=0,0,$C463/$B463),0))</f>
        <v/>
      </c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  <c r="J464" s="39">
        <f>IF($A464="","",IFERROR(IF($B464=0,0,$C464/$B464),0))</f>
        <v/>
      </c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  <c r="J465" s="39">
        <f>IF($A465="","",IFERROR(IF($B465=0,0,$C465/$B465),0))</f>
        <v/>
      </c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  <c r="J466" s="39">
        <f>IF($A466="","",IFERROR(IF($B466=0,0,$C466/$B466),0))</f>
        <v/>
      </c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  <c r="J467" s="39">
        <f>IF($A467="","",IFERROR(IF($B467=0,0,$C467/$B467),0))</f>
        <v/>
      </c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  <c r="J468" s="39">
        <f>IF($A468="","",IFERROR(IF($B468=0,0,$C468/$B468),0))</f>
        <v/>
      </c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  <c r="J469" s="39">
        <f>IF($A469="","",IFERROR(IF($B469=0,0,$C469/$B469),0))</f>
        <v/>
      </c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  <c r="J470" s="39">
        <f>IF($A470="","",IFERROR(IF($B470=0,0,$C470/$B470),0))</f>
        <v/>
      </c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  <c r="J471" s="39">
        <f>IF($A471="","",IFERROR(IF($B471=0,0,$C471/$B471),0))</f>
        <v/>
      </c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  <c r="J472" s="39">
        <f>IF($A472="","",IFERROR(IF($B472=0,0,$C472/$B472),0))</f>
        <v/>
      </c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  <c r="J473" s="39">
        <f>IF($A473="","",IFERROR(IF($B473=0,0,$C473/$B473),0))</f>
        <v/>
      </c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  <c r="J474" s="39">
        <f>IF($A474="","",IFERROR(IF($B474=0,0,$C474/$B474),0))</f>
        <v/>
      </c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  <c r="J475" s="39">
        <f>IF($A475="","",IFERROR(IF($B475=0,0,$C475/$B475),0))</f>
        <v/>
      </c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  <c r="J476" s="39">
        <f>IF($A476="","",IFERROR(IF($B476=0,0,$C476/$B476),0))</f>
        <v/>
      </c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  <c r="J477" s="39">
        <f>IF($A477="","",IFERROR(IF($B477=0,0,$C477/$B477),0))</f>
        <v/>
      </c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  <c r="J478" s="39">
        <f>IF($A478="","",IFERROR(IF($B478=0,0,$C478/$B478),0))</f>
        <v/>
      </c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  <c r="J479" s="39">
        <f>IF($A479="","",IFERROR(IF($B479=0,0,$C479/$B479),0))</f>
        <v/>
      </c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  <c r="J480" s="39">
        <f>IF($A480="","",IFERROR(IF($B480=0,0,$C480/$B480),0))</f>
        <v/>
      </c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  <c r="J481" s="39">
        <f>IF($A481="","",IFERROR(IF($B481=0,0,$C481/$B481),0))</f>
        <v/>
      </c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  <c r="J482" s="39">
        <f>IF($A482="","",IFERROR(IF($B482=0,0,$C482/$B482),0))</f>
        <v/>
      </c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  <c r="J483" s="39">
        <f>IF($A483="","",IFERROR(IF($B483=0,0,$C483/$B483),0))</f>
        <v/>
      </c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9">
        <f>IF($A484="","",IFERROR(IF($B484=0,0,$C484/$B484),0))</f>
        <v/>
      </c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  <c r="J485" s="39">
        <f>IF($A485="","",IFERROR(IF($B485=0,0,$C485/$B485),0))</f>
        <v/>
      </c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  <c r="J486" s="39">
        <f>IF($A486="","",IFERROR(IF($B486=0,0,$C486/$B486),0))</f>
        <v/>
      </c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  <c r="J487" s="39">
        <f>IF($A487="","",IFERROR(IF($B487=0,0,$C487/$B487),0))</f>
        <v/>
      </c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  <c r="J488" s="39">
        <f>IF($A488="","",IFERROR(IF($B488=0,0,$C488/$B488),0))</f>
        <v/>
      </c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  <c r="J489" s="39">
        <f>IF($A489="","",IFERROR(IF($B489=0,0,$C489/$B489),0))</f>
        <v/>
      </c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  <c r="J490" s="39">
        <f>IF($A490="","",IFERROR(IF($B490=0,0,$C490/$B490),0))</f>
        <v/>
      </c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  <c r="J491" s="39">
        <f>IF($A491="","",IFERROR(IF($B491=0,0,$C491/$B491),0))</f>
        <v/>
      </c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  <c r="J492" s="39">
        <f>IF($A492="","",IFERROR(IF($B492=0,0,$C492/$B492),0))</f>
        <v/>
      </c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  <c r="J493" s="39">
        <f>IF($A493="","",IFERROR(IF($B493=0,0,$C493/$B493),0))</f>
        <v/>
      </c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  <c r="J494" s="39">
        <f>IF($A494="","",IFERROR(IF($B494=0,0,$C494/$B494),0))</f>
        <v/>
      </c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  <c r="J495" s="39">
        <f>IF($A495="","",IFERROR(IF($B495=0,0,$C495/$B495),0))</f>
        <v/>
      </c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  <c r="J496" s="39">
        <f>IF($A496="","",IFERROR(IF($B496=0,0,$C496/$B496),0))</f>
        <v/>
      </c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  <c r="J497" s="39">
        <f>IF($A497="","",IFERROR(IF($B497=0,0,$C497/$B497),0))</f>
        <v/>
      </c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  <c r="J498" s="39">
        <f>IF($A498="","",IFERROR(IF($B498=0,0,$C498/$B498),0))</f>
        <v/>
      </c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  <c r="J499" s="39">
        <f>IF($A499="","",IFERROR(IF($B499=0,0,$C499/$B499),0))</f>
        <v/>
      </c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  <c r="J500" s="39">
        <f>IF($A500="","",IFERROR(IF($B500=0,0,$C500/$B500),0))</f>
        <v/>
      </c>
    </row>
    <row r="501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  <c r="J501" s="39">
        <f>IF($A501="","",IFERROR(IF($B501=0,0,$C501/$B501),0))</f>
        <v/>
      </c>
    </row>
    <row r="502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  <c r="J502" s="39">
        <f>IF($A502="","",IFERROR(IF($B502=0,0,$C502/$B502),0))</f>
        <v/>
      </c>
    </row>
    <row r="503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  <c r="J503" s="39">
        <f>IF($A503="","",IFERROR(IF($B503=0,0,$C503/$B503),0))</f>
        <v/>
      </c>
    </row>
    <row r="504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  <c r="J504" s="39">
        <f>IF($A504="","",IFERROR(IF($B504=0,0,$C504/$B504),0))</f>
        <v/>
      </c>
    </row>
    <row r="505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  <c r="J505" s="39">
        <f>IF($A505="","",IFERROR(IF($B505=0,0,$C505/$B505),0))</f>
        <v/>
      </c>
    </row>
    <row r="506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  <c r="J506" s="39">
        <f>IF($A506="","",IFERROR(IF($B506=0,0,$C506/$B506),0))</f>
        <v/>
      </c>
    </row>
    <row r="507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  <c r="J507" s="39">
        <f>IF($A507="","",IFERROR(IF($B507=0,0,$C507/$B507),0))</f>
        <v/>
      </c>
    </row>
    <row r="508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  <c r="J508" s="39">
        <f>IF($A508="","",IFERROR(IF($B508=0,0,$C508/$B508),0))</f>
        <v/>
      </c>
    </row>
    <row r="509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  <c r="J509" s="39">
        <f>IF($A509="","",IFERROR(IF($B509=0,0,$C509/$B509),0))</f>
        <v/>
      </c>
    </row>
    <row r="510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  <c r="J510" s="39">
        <f>IF($A510="","",IFERROR(IF($B510=0,0,$C510/$B510),0))</f>
        <v/>
      </c>
    </row>
    <row r="511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  <c r="J511" s="39">
        <f>IF($A511="","",IFERROR(IF($B511=0,0,$C511/$B511),0))</f>
        <v/>
      </c>
    </row>
    <row r="512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  <c r="J512" s="39">
        <f>IF($A512="","",IFERROR(IF($B512=0,0,$C512/$B512),0))</f>
        <v/>
      </c>
    </row>
    <row r="513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  <c r="J513" s="39">
        <f>IF($A513="","",IFERROR(IF($B513=0,0,$C513/$B513),0))</f>
        <v/>
      </c>
    </row>
    <row r="514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  <c r="J514" s="39">
        <f>IF($A514="","",IFERROR(IF($B514=0,0,$C514/$B514),0))</f>
        <v/>
      </c>
    </row>
    <row r="515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  <c r="J515" s="39">
        <f>IF($A515="","",IFERROR(IF($B515=0,0,$C515/$B515),0))</f>
        <v/>
      </c>
    </row>
    <row r="516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  <c r="J516" s="39">
        <f>IF($A516="","",IFERROR(IF($B516=0,0,$C516/$B516),0))</f>
        <v/>
      </c>
    </row>
    <row r="517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  <c r="J517" s="39">
        <f>IF($A517="","",IFERROR(IF($B517=0,0,$C517/$B517),0))</f>
        <v/>
      </c>
    </row>
    <row r="518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  <c r="J518" s="39">
        <f>IF($A518="","",IFERROR(IF($B518=0,0,$C518/$B518),0))</f>
        <v/>
      </c>
    </row>
    <row r="519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  <c r="J519" s="39">
        <f>IF($A519="","",IFERROR(IF($B519=0,0,$C519/$B519),0))</f>
        <v/>
      </c>
    </row>
    <row r="520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  <c r="J520" s="39">
        <f>IF($A520="","",IFERROR(IF($B520=0,0,$C520/$B520),0))</f>
        <v/>
      </c>
    </row>
    <row r="521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  <c r="J521" s="39">
        <f>IF($A521="","",IFERROR(IF($B521=0,0,$C521/$B521),0))</f>
        <v/>
      </c>
    </row>
    <row r="522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  <c r="J522" s="39">
        <f>IF($A522="","",IFERROR(IF($B522=0,0,$C522/$B522),0))</f>
        <v/>
      </c>
    </row>
    <row r="523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  <c r="J523" s="39">
        <f>IF($A523="","",IFERROR(IF($B523=0,0,$C523/$B523),0))</f>
        <v/>
      </c>
    </row>
    <row r="524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  <c r="J524" s="39">
        <f>IF($A524="","",IFERROR(IF($B524=0,0,$C524/$B524),0))</f>
        <v/>
      </c>
    </row>
    <row r="525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  <c r="J525" s="39">
        <f>IF($A525="","",IFERROR(IF($B525=0,0,$C525/$B525),0))</f>
        <v/>
      </c>
    </row>
    <row r="526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  <c r="J526" s="39">
        <f>IF($A526="","",IFERROR(IF($B526=0,0,$C526/$B526),0))</f>
        <v/>
      </c>
    </row>
    <row r="527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  <c r="J527" s="39">
        <f>IF($A527="","",IFERROR(IF($B527=0,0,$C527/$B527),0))</f>
        <v/>
      </c>
    </row>
    <row r="528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  <c r="J528" s="39">
        <f>IF($A528="","",IFERROR(IF($B528=0,0,$C528/$B528),0))</f>
        <v/>
      </c>
    </row>
    <row r="529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  <c r="J529" s="39">
        <f>IF($A529="","",IFERROR(IF($B529=0,0,$C529/$B529),0))</f>
        <v/>
      </c>
    </row>
    <row r="530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  <c r="J530" s="39">
        <f>IF($A530="","",IFERROR(IF($B530=0,0,$C530/$B530),0))</f>
        <v/>
      </c>
    </row>
    <row r="531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  <c r="J531" s="39">
        <f>IF($A531="","",IFERROR(IF($B531=0,0,$C531/$B531),0))</f>
        <v/>
      </c>
    </row>
    <row r="532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  <c r="J532" s="39">
        <f>IF($A532="","",IFERROR(IF($B532=0,0,$C532/$B532),0))</f>
        <v/>
      </c>
    </row>
    <row r="533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  <c r="J533" s="39">
        <f>IF($A533="","",IFERROR(IF($B533=0,0,$C533/$B533),0))</f>
        <v/>
      </c>
    </row>
    <row r="534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  <c r="J534" s="39">
        <f>IF($A534="","",IFERROR(IF($B534=0,0,$C534/$B534),0))</f>
        <v/>
      </c>
    </row>
    <row r="535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  <c r="J535" s="39">
        <f>IF($A535="","",IFERROR(IF($B535=0,0,$C535/$B535),0))</f>
        <v/>
      </c>
    </row>
    <row r="536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  <c r="J536" s="39">
        <f>IF($A536="","",IFERROR(IF($B536=0,0,$C536/$B536),0))</f>
        <v/>
      </c>
    </row>
    <row r="537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  <c r="J537" s="39">
        <f>IF($A537="","",IFERROR(IF($B537=0,0,$C537/$B537),0))</f>
        <v/>
      </c>
    </row>
    <row r="538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  <c r="J538" s="39">
        <f>IF($A538="","",IFERROR(IF($B538=0,0,$C538/$B538),0))</f>
        <v/>
      </c>
    </row>
    <row r="539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  <c r="J539" s="39">
        <f>IF($A539="","",IFERROR(IF($B539=0,0,$C539/$B539),0))</f>
        <v/>
      </c>
    </row>
    <row r="540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  <c r="J540" s="39">
        <f>IF($A540="","",IFERROR(IF($B540=0,0,$C540/$B540),0))</f>
        <v/>
      </c>
    </row>
    <row r="541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  <c r="J541" s="39">
        <f>IF($A541="","",IFERROR(IF($B541=0,0,$C541/$B541),0))</f>
        <v/>
      </c>
    </row>
    <row r="542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  <c r="J542" s="39">
        <f>IF($A542="","",IFERROR(IF($B542=0,0,$C542/$B542),0))</f>
        <v/>
      </c>
    </row>
    <row r="543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  <c r="J543" s="39">
        <f>IF($A543="","",IFERROR(IF($B543=0,0,$C543/$B543),0))</f>
        <v/>
      </c>
    </row>
    <row r="544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  <c r="J544" s="39">
        <f>IF($A544="","",IFERROR(IF($B544=0,0,$C544/$B544),0))</f>
        <v/>
      </c>
    </row>
    <row r="545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  <c r="J545" s="39">
        <f>IF($A545="","",IFERROR(IF($B545=0,0,$C545/$B545),0))</f>
        <v/>
      </c>
    </row>
    <row r="546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  <c r="J546" s="39">
        <f>IF($A546="","",IFERROR(IF($B546=0,0,$C546/$B546),0))</f>
        <v/>
      </c>
    </row>
    <row r="547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  <c r="J547" s="39">
        <f>IF($A547="","",IFERROR(IF($B547=0,0,$C547/$B547),0))</f>
        <v/>
      </c>
    </row>
    <row r="548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  <c r="J548" s="39">
        <f>IF($A548="","",IFERROR(IF($B548=0,0,$C548/$B548),0))</f>
        <v/>
      </c>
    </row>
    <row r="549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  <c r="J549" s="39">
        <f>IF($A549="","",IFERROR(IF($B549=0,0,$C549/$B549),0))</f>
        <v/>
      </c>
    </row>
    <row r="550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  <c r="J550" s="39">
        <f>IF($A550="","",IFERROR(IF($B550=0,0,$C550/$B550),0))</f>
        <v/>
      </c>
    </row>
    <row r="551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  <c r="J551" s="39">
        <f>IF($A551="","",IFERROR(IF($B551=0,0,$C551/$B551),0))</f>
        <v/>
      </c>
    </row>
    <row r="552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  <c r="J552" s="39">
        <f>IF($A552="","",IFERROR(IF($B552=0,0,$C552/$B552),0))</f>
        <v/>
      </c>
    </row>
    <row r="553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  <c r="J553" s="39">
        <f>IF($A553="","",IFERROR(IF($B553=0,0,$C553/$B553),0))</f>
        <v/>
      </c>
    </row>
    <row r="554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  <c r="J554" s="39">
        <f>IF($A554="","",IFERROR(IF($B554=0,0,$C554/$B554),0))</f>
        <v/>
      </c>
    </row>
    <row r="555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  <c r="J555" s="39">
        <f>IF($A555="","",IFERROR(IF($B555=0,0,$C555/$B555),0))</f>
        <v/>
      </c>
    </row>
    <row r="556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  <c r="J556" s="39">
        <f>IF($A556="","",IFERROR(IF($B556=0,0,$C556/$B556),0))</f>
        <v/>
      </c>
    </row>
    <row r="557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  <c r="J557" s="39">
        <f>IF($A557="","",IFERROR(IF($B557=0,0,$C557/$B557),0))</f>
        <v/>
      </c>
    </row>
    <row r="558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  <c r="J558" s="39">
        <f>IF($A558="","",IFERROR(IF($B558=0,0,$C558/$B558),0))</f>
        <v/>
      </c>
    </row>
    <row r="559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  <c r="J559" s="39">
        <f>IF($A559="","",IFERROR(IF($B559=0,0,$C559/$B559),0))</f>
        <v/>
      </c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  <c r="J560" s="39">
        <f>IF($A560="","",IFERROR(IF($B560=0,0,$C560/$B560),0))</f>
        <v/>
      </c>
    </row>
    <row r="561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  <c r="J561" s="39">
        <f>IF($A561="","",IFERROR(IF($B561=0,0,$C561/$B561),0))</f>
        <v/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  <c r="J562" s="39">
        <f>IF($A562="","",IFERROR(IF($B562=0,0,$C562/$B562),0))</f>
        <v/>
      </c>
    </row>
    <row r="563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  <c r="J563" s="39">
        <f>IF($A563="","",IFERROR(IF($B563=0,0,$C563/$B563),0))</f>
        <v/>
      </c>
    </row>
    <row r="564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  <c r="J564" s="39">
        <f>IF($A564="","",IFERROR(IF($B564=0,0,$C564/$B564),0))</f>
        <v/>
      </c>
    </row>
    <row r="565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  <c r="J565" s="39">
        <f>IF($A565="","",IFERROR(IF($B565=0,0,$C565/$B565),0))</f>
        <v/>
      </c>
    </row>
    <row r="566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  <c r="J566" s="39">
        <f>IF($A566="","",IFERROR(IF($B566=0,0,$C566/$B566),0))</f>
        <v/>
      </c>
    </row>
    <row r="567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  <c r="J567" s="39">
        <f>IF($A567="","",IFERROR(IF($B567=0,0,$C567/$B567),0))</f>
        <v/>
      </c>
    </row>
    <row r="568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  <c r="J568" s="39">
        <f>IF($A568="","",IFERROR(IF($B568=0,0,$C568/$B568),0))</f>
        <v/>
      </c>
    </row>
    <row r="569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  <c r="J569" s="39">
        <f>IF($A569="","",IFERROR(IF($B569=0,0,$C569/$B569),0))</f>
        <v/>
      </c>
    </row>
    <row r="570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  <c r="J570" s="39">
        <f>IF($A570="","",IFERROR(IF($B570=0,0,$C570/$B570),0))</f>
        <v/>
      </c>
    </row>
    <row r="571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  <c r="J571" s="39">
        <f>IF($A571="","",IFERROR(IF($B571=0,0,$C571/$B571),0))</f>
        <v/>
      </c>
    </row>
    <row r="572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  <c r="J572" s="39">
        <f>IF($A572="","",IFERROR(IF($B572=0,0,$C572/$B572),0))</f>
        <v/>
      </c>
    </row>
    <row r="573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  <c r="J573" s="39">
        <f>IF($A573="","",IFERROR(IF($B573=0,0,$C573/$B573),0))</f>
        <v/>
      </c>
    </row>
    <row r="574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  <c r="J574" s="39">
        <f>IF($A574="","",IFERROR(IF($B574=0,0,$C574/$B574),0))</f>
        <v/>
      </c>
    </row>
    <row r="575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  <c r="J575" s="39">
        <f>IF($A575="","",IFERROR(IF($B575=0,0,$C575/$B575),0))</f>
        <v/>
      </c>
    </row>
    <row r="576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  <c r="J576" s="39">
        <f>IF($A576="","",IFERROR(IF($B576=0,0,$C576/$B576),0))</f>
        <v/>
      </c>
    </row>
    <row r="577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  <c r="J577" s="39">
        <f>IF($A577="","",IFERROR(IF($B577=0,0,$C577/$B577),0))</f>
        <v/>
      </c>
    </row>
    <row r="578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  <c r="J578" s="39">
        <f>IF($A578="","",IFERROR(IF($B578=0,0,$C578/$B578),0))</f>
        <v/>
      </c>
    </row>
    <row r="579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  <c r="J579" s="39">
        <f>IF($A579="","",IFERROR(IF($B579=0,0,$C579/$B579),0))</f>
        <v/>
      </c>
    </row>
    <row r="580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  <c r="J580" s="39">
        <f>IF($A580="","",IFERROR(IF($B580=0,0,$C580/$B580),0))</f>
        <v/>
      </c>
    </row>
    <row r="581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  <c r="J581" s="39">
        <f>IF($A581="","",IFERROR(IF($B581=0,0,$C581/$B581),0))</f>
        <v/>
      </c>
    </row>
    <row r="582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  <c r="J582" s="39">
        <f>IF($A582="","",IFERROR(IF($B582=0,0,$C582/$B582),0))</f>
        <v/>
      </c>
    </row>
    <row r="583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  <c r="J583" s="39">
        <f>IF($A583="","",IFERROR(IF($B583=0,0,$C583/$B583),0))</f>
        <v/>
      </c>
    </row>
    <row r="584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  <c r="J584" s="39">
        <f>IF($A584="","",IFERROR(IF($B584=0,0,$C584/$B584),0))</f>
        <v/>
      </c>
    </row>
    <row r="585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  <c r="J585" s="39">
        <f>IF($A585="","",IFERROR(IF($B585=0,0,$C585/$B585),0))</f>
        <v/>
      </c>
    </row>
    <row r="586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  <c r="J586" s="39">
        <f>IF($A586="","",IFERROR(IF($B586=0,0,$C586/$B586),0))</f>
        <v/>
      </c>
    </row>
    <row r="587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  <c r="J587" s="39">
        <f>IF($A587="","",IFERROR(IF($B587=0,0,$C587/$B587),0))</f>
        <v/>
      </c>
    </row>
    <row r="588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  <c r="J588" s="39">
        <f>IF($A588="","",IFERROR(IF($B588=0,0,$C588/$B588),0))</f>
        <v/>
      </c>
    </row>
    <row r="589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  <c r="J589" s="39">
        <f>IF($A589="","",IFERROR(IF($B589=0,0,$C589/$B589),0))</f>
        <v/>
      </c>
    </row>
    <row r="590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  <c r="J590" s="39">
        <f>IF($A590="","",IFERROR(IF($B590=0,0,$C590/$B590),0))</f>
        <v/>
      </c>
    </row>
    <row r="591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  <c r="J591" s="39">
        <f>IF($A591="","",IFERROR(IF($B591=0,0,$C591/$B591),0))</f>
        <v/>
      </c>
    </row>
    <row r="592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  <c r="J592" s="39">
        <f>IF($A592="","",IFERROR(IF($B592=0,0,$C592/$B592),0))</f>
        <v/>
      </c>
    </row>
    <row r="593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  <c r="J593" s="39">
        <f>IF($A593="","",IFERROR(IF($B593=0,0,$C593/$B593),0))</f>
        <v/>
      </c>
    </row>
    <row r="594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  <c r="J594" s="39">
        <f>IF($A594="","",IFERROR(IF($B594=0,0,$C594/$B594),0))</f>
        <v/>
      </c>
    </row>
    <row r="595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  <c r="J595" s="39">
        <f>IF($A595="","",IFERROR(IF($B595=0,0,$C595/$B595),0))</f>
        <v/>
      </c>
    </row>
    <row r="596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  <c r="J596" s="39">
        <f>IF($A596="","",IFERROR(IF($B596=0,0,$C596/$B596),0))</f>
        <v/>
      </c>
    </row>
    <row r="597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  <c r="J597" s="39">
        <f>IF($A597="","",IFERROR(IF($B597=0,0,$C597/$B597),0))</f>
        <v/>
      </c>
    </row>
    <row r="598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  <c r="J598" s="39">
        <f>IF($A598="","",IFERROR(IF($B598=0,0,$C598/$B598),0))</f>
        <v/>
      </c>
    </row>
    <row r="599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  <c r="J599" s="39">
        <f>IF($A599="","",IFERROR(IF($B599=0,0,$C599/$B599),0))</f>
        <v/>
      </c>
    </row>
    <row r="600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  <c r="J600" s="39">
        <f>IF($A600="","",IFERROR(IF($B600=0,0,$C600/$B600),0))</f>
        <v/>
      </c>
    </row>
    <row r="601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  <c r="J601" s="39">
        <f>IF($A601="","",IFERROR(IF($B601=0,0,$C601/$B601),0))</f>
        <v/>
      </c>
    </row>
    <row r="602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  <c r="J602" s="39">
        <f>IF($A602="","",IFERROR(IF($B602=0,0,$C602/$B602),0))</f>
        <v/>
      </c>
    </row>
    <row r="603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  <c r="J603" s="39">
        <f>IF($A603="","",IFERROR(IF($B603=0,0,$C603/$B603),0))</f>
        <v/>
      </c>
    </row>
    <row r="604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  <c r="J604" s="39">
        <f>IF($A604="","",IFERROR(IF($B604=0,0,$C604/$B604),0))</f>
        <v/>
      </c>
    </row>
    <row r="605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  <c r="J605" s="39">
        <f>IF($A605="","",IFERROR(IF($B605=0,0,$C605/$B605),0))</f>
        <v/>
      </c>
    </row>
    <row r="606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  <c r="J606" s="39">
        <f>IF($A606="","",IFERROR(IF($B606=0,0,$C606/$B606),0))</f>
        <v/>
      </c>
    </row>
    <row r="607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  <c r="J607" s="39">
        <f>IF($A607="","",IFERROR(IF($B607=0,0,$C607/$B607),0))</f>
        <v/>
      </c>
    </row>
    <row r="608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  <c r="J608" s="39">
        <f>IF($A608="","",IFERROR(IF($B608=0,0,$C608/$B608),0))</f>
        <v/>
      </c>
    </row>
    <row r="609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  <c r="J609" s="39">
        <f>IF($A609="","",IFERROR(IF($B609=0,0,$C609/$B609),0))</f>
        <v/>
      </c>
    </row>
    <row r="610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  <c r="J610" s="39">
        <f>IF($A610="","",IFERROR(IF($B610=0,0,$C610/$B610),0))</f>
        <v/>
      </c>
    </row>
    <row r="611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  <c r="J611" s="39">
        <f>IF($A611="","",IFERROR(IF($B611=0,0,$C611/$B611),0))</f>
        <v/>
      </c>
    </row>
    <row r="612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  <c r="J612" s="39">
        <f>IF($A612="","",IFERROR(IF($B612=0,0,$C612/$B612),0))</f>
        <v/>
      </c>
    </row>
    <row r="613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  <c r="J613" s="39">
        <f>IF($A613="","",IFERROR(IF($B613=0,0,$C613/$B613),0))</f>
        <v/>
      </c>
    </row>
    <row r="614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  <c r="J614" s="39">
        <f>IF($A614="","",IFERROR(IF($B614=0,0,$C614/$B614),0))</f>
        <v/>
      </c>
    </row>
    <row r="615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  <c r="J615" s="39">
        <f>IF($A615="","",IFERROR(IF($B615=0,0,$C615/$B615),0))</f>
        <v/>
      </c>
    </row>
    <row r="616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  <c r="J616" s="39">
        <f>IF($A616="","",IFERROR(IF($B616=0,0,$C616/$B616),0))</f>
        <v/>
      </c>
    </row>
    <row r="617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  <c r="J617" s="39">
        <f>IF($A617="","",IFERROR(IF($B617=0,0,$C617/$B617),0))</f>
        <v/>
      </c>
    </row>
    <row r="618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  <c r="J618" s="39">
        <f>IF($A618="","",IFERROR(IF($B618=0,0,$C618/$B618),0))</f>
        <v/>
      </c>
    </row>
    <row r="619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  <c r="J619" s="39">
        <f>IF($A619="","",IFERROR(IF($B619=0,0,$C619/$B619),0))</f>
        <v/>
      </c>
    </row>
    <row r="620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  <c r="J620" s="39">
        <f>IF($A620="","",IFERROR(IF($B620=0,0,$C620/$B620),0))</f>
        <v/>
      </c>
    </row>
    <row r="621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  <c r="J621" s="39">
        <f>IF($A621="","",IFERROR(IF($B621=0,0,$C621/$B621),0))</f>
        <v/>
      </c>
    </row>
    <row r="622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  <c r="J622" s="39">
        <f>IF($A622="","",IFERROR(IF($B622=0,0,$C622/$B622),0))</f>
        <v/>
      </c>
    </row>
    <row r="623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  <c r="J623" s="39">
        <f>IF($A623="","",IFERROR(IF($B623=0,0,$C623/$B623),0))</f>
        <v/>
      </c>
    </row>
    <row r="624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  <c r="J624" s="39">
        <f>IF($A624="","",IFERROR(IF($B624=0,0,$C624/$B624),0))</f>
        <v/>
      </c>
    </row>
    <row r="625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  <c r="J625" s="39">
        <f>IF($A625="","",IFERROR(IF($B625=0,0,$C625/$B625),0))</f>
        <v/>
      </c>
    </row>
    <row r="626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  <c r="J626" s="39">
        <f>IF($A626="","",IFERROR(IF($B626=0,0,$C626/$B626),0))</f>
        <v/>
      </c>
    </row>
    <row r="627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  <c r="J627" s="39">
        <f>IF($A627="","",IFERROR(IF($B627=0,0,$C627/$B627),0))</f>
        <v/>
      </c>
    </row>
    <row r="628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  <c r="J628" s="39">
        <f>IF($A628="","",IFERROR(IF($B628=0,0,$C628/$B628),0))</f>
        <v/>
      </c>
    </row>
    <row r="629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  <c r="J629" s="39">
        <f>IF($A629="","",IFERROR(IF($B629=0,0,$C629/$B629),0))</f>
        <v/>
      </c>
    </row>
    <row r="630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  <c r="J630" s="39">
        <f>IF($A630="","",IFERROR(IF($B630=0,0,$C630/$B630),0))</f>
        <v/>
      </c>
    </row>
    <row r="631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  <c r="J631" s="39">
        <f>IF($A631="","",IFERROR(IF($B631=0,0,$C631/$B631),0))</f>
        <v/>
      </c>
    </row>
    <row r="632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  <c r="J632" s="39">
        <f>IF($A632="","",IFERROR(IF($B632=0,0,$C632/$B632),0))</f>
        <v/>
      </c>
    </row>
    <row r="633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  <c r="J633" s="39">
        <f>IF($A633="","",IFERROR(IF($B633=0,0,$C633/$B633),0))</f>
        <v/>
      </c>
    </row>
    <row r="634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  <c r="J634" s="39">
        <f>IF($A634="","",IFERROR(IF($B634=0,0,$C634/$B634),0))</f>
        <v/>
      </c>
    </row>
    <row r="635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  <c r="J635" s="39">
        <f>IF($A635="","",IFERROR(IF($B635=0,0,$C635/$B635),0))</f>
        <v/>
      </c>
    </row>
    <row r="636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  <c r="J636" s="39">
        <f>IF($A636="","",IFERROR(IF($B636=0,0,$C636/$B636),0))</f>
        <v/>
      </c>
    </row>
    <row r="637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  <c r="J637" s="39">
        <f>IF($A637="","",IFERROR(IF($B637=0,0,$C637/$B637),0))</f>
        <v/>
      </c>
    </row>
    <row r="638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  <c r="J638" s="39">
        <f>IF($A638="","",IFERROR(IF($B638=0,0,$C638/$B638),0))</f>
        <v/>
      </c>
    </row>
    <row r="639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  <c r="J639" s="39">
        <f>IF($A639="","",IFERROR(IF($B639=0,0,$C639/$B639),0))</f>
        <v/>
      </c>
    </row>
    <row r="640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  <c r="J640" s="39">
        <f>IF($A640="","",IFERROR(IF($B640=0,0,$C640/$B640),0))</f>
        <v/>
      </c>
    </row>
    <row r="641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  <c r="J641" s="39">
        <f>IF($A641="","",IFERROR(IF($B641=0,0,$C641/$B641),0))</f>
        <v/>
      </c>
    </row>
    <row r="642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  <c r="J642" s="39">
        <f>IF($A642="","",IFERROR(IF($B642=0,0,$C642/$B642),0))</f>
        <v/>
      </c>
    </row>
    <row r="643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  <c r="J643" s="39">
        <f>IF($A643="","",IFERROR(IF($B643=0,0,$C643/$B643),0))</f>
        <v/>
      </c>
    </row>
    <row r="644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  <c r="J644" s="39">
        <f>IF($A644="","",IFERROR(IF($B644=0,0,$C644/$B644),0))</f>
        <v/>
      </c>
    </row>
    <row r="645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  <c r="J645" s="39">
        <f>IF($A645="","",IFERROR(IF($B645=0,0,$C645/$B645),0))</f>
        <v/>
      </c>
    </row>
    <row r="646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  <c r="J646" s="39">
        <f>IF($A646="","",IFERROR(IF($B646=0,0,$C646/$B646),0))</f>
        <v/>
      </c>
    </row>
    <row r="647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  <c r="J647" s="39">
        <f>IF($A647="","",IFERROR(IF($B647=0,0,$C647/$B647),0))</f>
        <v/>
      </c>
    </row>
    <row r="648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  <c r="J648" s="39">
        <f>IF($A648="","",IFERROR(IF($B648=0,0,$C648/$B648),0))</f>
        <v/>
      </c>
    </row>
    <row r="649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  <c r="J649" s="39">
        <f>IF($A649="","",IFERROR(IF($B649=0,0,$C649/$B649),0))</f>
        <v/>
      </c>
    </row>
    <row r="650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  <c r="J650" s="39">
        <f>IF($A650="","",IFERROR(IF($B650=0,0,$C650/$B650),0))</f>
        <v/>
      </c>
    </row>
    <row r="651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  <c r="J651" s="39">
        <f>IF($A651="","",IFERROR(IF($B651=0,0,$C651/$B651),0))</f>
        <v/>
      </c>
    </row>
    <row r="652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  <c r="J652" s="39">
        <f>IF($A652="","",IFERROR(IF($B652=0,0,$C652/$B652),0))</f>
        <v/>
      </c>
    </row>
    <row r="653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  <c r="J653" s="39">
        <f>IF($A653="","",IFERROR(IF($B653=0,0,$C653/$B653),0))</f>
        <v/>
      </c>
    </row>
    <row r="654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  <c r="J654" s="39">
        <f>IF($A654="","",IFERROR(IF($B654=0,0,$C654/$B654),0))</f>
        <v/>
      </c>
    </row>
    <row r="655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  <c r="J655" s="39">
        <f>IF($A655="","",IFERROR(IF($B655=0,0,$C655/$B655),0))</f>
        <v/>
      </c>
    </row>
    <row r="656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  <c r="J656" s="39">
        <f>IF($A656="","",IFERROR(IF($B656=0,0,$C656/$B656),0))</f>
        <v/>
      </c>
    </row>
    <row r="657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  <c r="J657" s="39">
        <f>IF($A657="","",IFERROR(IF($B657=0,0,$C657/$B657),0))</f>
        <v/>
      </c>
    </row>
    <row r="658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  <c r="J658" s="39">
        <f>IF($A658="","",IFERROR(IF($B658=0,0,$C658/$B658),0))</f>
        <v/>
      </c>
    </row>
    <row r="659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  <c r="J659" s="39">
        <f>IF($A659="","",IFERROR(IF($B659=0,0,$C659/$B659),0))</f>
        <v/>
      </c>
    </row>
    <row r="660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  <c r="J660" s="39">
        <f>IF($A660="","",IFERROR(IF($B660=0,0,$C660/$B660),0))</f>
        <v/>
      </c>
    </row>
    <row r="661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  <c r="J661" s="39">
        <f>IF($A661="","",IFERROR(IF($B661=0,0,$C661/$B661),0))</f>
        <v/>
      </c>
    </row>
    <row r="662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  <c r="J662" s="39">
        <f>IF($A662="","",IFERROR(IF($B662=0,0,$C662/$B662),0))</f>
        <v/>
      </c>
    </row>
    <row r="663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  <c r="J663" s="39">
        <f>IF($A663="","",IFERROR(IF($B663=0,0,$C663/$B663),0))</f>
        <v/>
      </c>
    </row>
    <row r="664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  <c r="J664" s="39">
        <f>IF($A664="","",IFERROR(IF($B664=0,0,$C664/$B664),0))</f>
        <v/>
      </c>
    </row>
    <row r="665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  <c r="J665" s="39">
        <f>IF($A665="","",IFERROR(IF($B665=0,0,$C665/$B665),0))</f>
        <v/>
      </c>
    </row>
    <row r="666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  <c r="J666" s="39">
        <f>IF($A666="","",IFERROR(IF($B666=0,0,$C666/$B666),0))</f>
        <v/>
      </c>
    </row>
    <row r="667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  <c r="J667" s="39">
        <f>IF($A667="","",IFERROR(IF($B667=0,0,$C667/$B667),0))</f>
        <v/>
      </c>
    </row>
    <row r="668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  <c r="J668" s="39">
        <f>IF($A668="","",IFERROR(IF($B668=0,0,$C668/$B668),0))</f>
        <v/>
      </c>
    </row>
    <row r="669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  <c r="J669" s="39">
        <f>IF($A669="","",IFERROR(IF($B669=0,0,$C669/$B669),0))</f>
        <v/>
      </c>
    </row>
    <row r="670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  <c r="J670" s="39">
        <f>IF($A670="","",IFERROR(IF($B670=0,0,$C670/$B670),0))</f>
        <v/>
      </c>
    </row>
    <row r="671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  <c r="J671" s="39">
        <f>IF($A671="","",IFERROR(IF($B671=0,0,$C671/$B671),0))</f>
        <v/>
      </c>
    </row>
    <row r="672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  <c r="J672" s="39">
        <f>IF($A672="","",IFERROR(IF($B672=0,0,$C672/$B672),0))</f>
        <v/>
      </c>
    </row>
    <row r="673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  <c r="J673" s="39">
        <f>IF($A673="","",IFERROR(IF($B673=0,0,$C673/$B673),0))</f>
        <v/>
      </c>
    </row>
    <row r="674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  <c r="J674" s="39">
        <f>IF($A674="","",IFERROR(IF($B674=0,0,$C674/$B674),0))</f>
        <v/>
      </c>
    </row>
    <row r="675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  <c r="J675" s="39">
        <f>IF($A675="","",IFERROR(IF($B675=0,0,$C675/$B675),0))</f>
        <v/>
      </c>
    </row>
    <row r="676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  <c r="J676" s="39">
        <f>IF($A676="","",IFERROR(IF($B676=0,0,$C676/$B676),0))</f>
        <v/>
      </c>
    </row>
    <row r="677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  <c r="J677" s="39">
        <f>IF($A677="","",IFERROR(IF($B677=0,0,$C677/$B677),0))</f>
        <v/>
      </c>
    </row>
    <row r="678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  <c r="J678" s="39">
        <f>IF($A678="","",IFERROR(IF($B678=0,0,$C678/$B678),0))</f>
        <v/>
      </c>
    </row>
    <row r="679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  <c r="J679" s="39">
        <f>IF($A679="","",IFERROR(IF($B679=0,0,$C679/$B679),0))</f>
        <v/>
      </c>
    </row>
    <row r="680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  <c r="J680" s="39">
        <f>IF($A680="","",IFERROR(IF($B680=0,0,$C680/$B680),0))</f>
        <v/>
      </c>
    </row>
    <row r="681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  <c r="J681" s="39">
        <f>IF($A681="","",IFERROR(IF($B681=0,0,$C681/$B681),0))</f>
        <v/>
      </c>
    </row>
    <row r="682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  <c r="J682" s="39">
        <f>IF($A682="","",IFERROR(IF($B682=0,0,$C682/$B682),0))</f>
        <v/>
      </c>
    </row>
    <row r="683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  <c r="J683" s="39">
        <f>IF($A683="","",IFERROR(IF($B683=0,0,$C683/$B683),0))</f>
        <v/>
      </c>
    </row>
    <row r="684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  <c r="J684" s="39">
        <f>IF($A684="","",IFERROR(IF($B684=0,0,$C684/$B684),0))</f>
        <v/>
      </c>
    </row>
    <row r="685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  <c r="J685" s="39">
        <f>IF($A685="","",IFERROR(IF($B685=0,0,$C685/$B685),0))</f>
        <v/>
      </c>
    </row>
    <row r="686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  <c r="J686" s="39">
        <f>IF($A686="","",IFERROR(IF($B686=0,0,$C686/$B686),0))</f>
        <v/>
      </c>
    </row>
    <row r="687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  <c r="J687" s="39">
        <f>IF($A687="","",IFERROR(IF($B687=0,0,$C687/$B687),0))</f>
        <v/>
      </c>
    </row>
    <row r="688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  <c r="J688" s="39">
        <f>IF($A688="","",IFERROR(IF($B688=0,0,$C688/$B688),0))</f>
        <v/>
      </c>
    </row>
    <row r="689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  <c r="J689" s="39">
        <f>IF($A689="","",IFERROR(IF($B689=0,0,$C689/$B689),0))</f>
        <v/>
      </c>
    </row>
    <row r="690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  <c r="J690" s="39">
        <f>IF($A690="","",IFERROR(IF($B690=0,0,$C690/$B690),0))</f>
        <v/>
      </c>
    </row>
    <row r="691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  <c r="J691" s="39">
        <f>IF($A691="","",IFERROR(IF($B691=0,0,$C691/$B691),0))</f>
        <v/>
      </c>
    </row>
    <row r="692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  <c r="J692" s="39">
        <f>IF($A692="","",IFERROR(IF($B692=0,0,$C692/$B692),0))</f>
        <v/>
      </c>
    </row>
    <row r="693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  <c r="J693" s="39">
        <f>IF($A693="","",IFERROR(IF($B693=0,0,$C693/$B693),0))</f>
        <v/>
      </c>
    </row>
    <row r="694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  <c r="J694" s="39">
        <f>IF($A694="","",IFERROR(IF($B694=0,0,$C694/$B694),0))</f>
        <v/>
      </c>
    </row>
    <row r="695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  <c r="J695" s="39">
        <f>IF($A695="","",IFERROR(IF($B695=0,0,$C695/$B695),0))</f>
        <v/>
      </c>
    </row>
    <row r="696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  <c r="J696" s="39">
        <f>IF($A696="","",IFERROR(IF($B696=0,0,$C696/$B696),0))</f>
        <v/>
      </c>
    </row>
    <row r="697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  <c r="J697" s="39">
        <f>IF($A697="","",IFERROR(IF($B697=0,0,$C697/$B697),0))</f>
        <v/>
      </c>
    </row>
    <row r="698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  <c r="J698" s="39">
        <f>IF($A698="","",IFERROR(IF($B698=0,0,$C698/$B698),0))</f>
        <v/>
      </c>
    </row>
    <row r="699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  <c r="J699" s="39">
        <f>IF($A699="","",IFERROR(IF($B699=0,0,$C699/$B699),0))</f>
        <v/>
      </c>
    </row>
    <row r="700">
      <c r="A700" s="38" t="n"/>
      <c r="B700" s="38" t="n"/>
      <c r="C700" s="38" t="n"/>
      <c r="D700" s="38" t="n"/>
      <c r="E700" s="38" t="n"/>
      <c r="F700" s="38" t="n"/>
      <c r="G700" s="38" t="n"/>
      <c r="H700" s="38" t="n"/>
      <c r="I700" s="38" t="n"/>
      <c r="J700" s="39">
        <f>IF($A700="","",IFERROR(IF($B700=0,0,$C700/$B700),0))</f>
        <v/>
      </c>
    </row>
    <row r="701">
      <c r="A701" s="38" t="n"/>
      <c r="B701" s="38" t="n"/>
      <c r="C701" s="38" t="n"/>
      <c r="D701" s="38" t="n"/>
      <c r="E701" s="38" t="n"/>
      <c r="F701" s="38" t="n"/>
      <c r="G701" s="38" t="n"/>
      <c r="H701" s="38" t="n"/>
      <c r="I701" s="38" t="n"/>
      <c r="J701" s="39">
        <f>IF($A701="","",IFERROR(IF($B701=0,0,$C701/$B701),0))</f>
        <v/>
      </c>
    </row>
    <row r="702">
      <c r="A702" s="38" t="n"/>
      <c r="B702" s="38" t="n"/>
      <c r="C702" s="38" t="n"/>
      <c r="D702" s="38" t="n"/>
      <c r="E702" s="38" t="n"/>
      <c r="F702" s="38" t="n"/>
      <c r="G702" s="38" t="n"/>
      <c r="H702" s="38" t="n"/>
      <c r="I702" s="38" t="n"/>
      <c r="J702" s="39">
        <f>IF($A702="","",IFERROR(IF($B702=0,0,$C702/$B702),0))</f>
        <v/>
      </c>
    </row>
    <row r="703">
      <c r="A703" s="38" t="n"/>
      <c r="B703" s="38" t="n"/>
      <c r="C703" s="38" t="n"/>
      <c r="D703" s="38" t="n"/>
      <c r="E703" s="38" t="n"/>
      <c r="F703" s="38" t="n"/>
      <c r="G703" s="38" t="n"/>
      <c r="H703" s="38" t="n"/>
      <c r="I703" s="38" t="n"/>
      <c r="J703" s="39">
        <f>IF($A703="","",IFERROR(IF($B703=0,0,$C703/$B703),0))</f>
        <v/>
      </c>
    </row>
    <row r="704">
      <c r="A704" s="38" t="n"/>
      <c r="B704" s="38" t="n"/>
      <c r="C704" s="38" t="n"/>
      <c r="D704" s="38" t="n"/>
      <c r="E704" s="38" t="n"/>
      <c r="F704" s="38" t="n"/>
      <c r="G704" s="38" t="n"/>
      <c r="H704" s="38" t="n"/>
      <c r="I704" s="38" t="n"/>
      <c r="J704" s="39">
        <f>IF($A704="","",IFERROR(IF($B704=0,0,$C704/$B704),0))</f>
        <v/>
      </c>
    </row>
    <row r="705">
      <c r="A705" s="38" t="n"/>
      <c r="B705" s="38" t="n"/>
      <c r="C705" s="38" t="n"/>
      <c r="D705" s="38" t="n"/>
      <c r="E705" s="38" t="n"/>
      <c r="F705" s="38" t="n"/>
      <c r="G705" s="38" t="n"/>
      <c r="H705" s="38" t="n"/>
      <c r="I705" s="38" t="n"/>
      <c r="J705" s="39">
        <f>IF($A705="","",IFERROR(IF($B705=0,0,$C705/$B705),0))</f>
        <v/>
      </c>
    </row>
    <row r="706">
      <c r="A706" s="38" t="n"/>
      <c r="B706" s="38" t="n"/>
      <c r="C706" s="38" t="n"/>
      <c r="D706" s="38" t="n"/>
      <c r="E706" s="38" t="n"/>
      <c r="F706" s="38" t="n"/>
      <c r="G706" s="38" t="n"/>
      <c r="H706" s="38" t="n"/>
      <c r="I706" s="38" t="n"/>
      <c r="J706" s="39">
        <f>IF($A706="","",IFERROR(IF($B706=0,0,$C706/$B706),0))</f>
        <v/>
      </c>
    </row>
    <row r="707">
      <c r="A707" s="38" t="n"/>
      <c r="B707" s="38" t="n"/>
      <c r="C707" s="38" t="n"/>
      <c r="D707" s="38" t="n"/>
      <c r="E707" s="38" t="n"/>
      <c r="F707" s="38" t="n"/>
      <c r="G707" s="38" t="n"/>
      <c r="H707" s="38" t="n"/>
      <c r="I707" s="38" t="n"/>
      <c r="J707" s="39">
        <f>IF($A707="","",IFERROR(IF($B707=0,0,$C707/$B707),0))</f>
        <v/>
      </c>
    </row>
    <row r="708">
      <c r="A708" s="38" t="n"/>
      <c r="B708" s="38" t="n"/>
      <c r="C708" s="38" t="n"/>
      <c r="D708" s="38" t="n"/>
      <c r="E708" s="38" t="n"/>
      <c r="F708" s="38" t="n"/>
      <c r="G708" s="38" t="n"/>
      <c r="H708" s="38" t="n"/>
      <c r="I708" s="38" t="n"/>
      <c r="J708" s="39">
        <f>IF($A708="","",IFERROR(IF($B708=0,0,$C708/$B708),0))</f>
        <v/>
      </c>
    </row>
    <row r="709">
      <c r="A709" s="38" t="n"/>
      <c r="B709" s="38" t="n"/>
      <c r="C709" s="38" t="n"/>
      <c r="D709" s="38" t="n"/>
      <c r="E709" s="38" t="n"/>
      <c r="F709" s="38" t="n"/>
      <c r="G709" s="38" t="n"/>
      <c r="H709" s="38" t="n"/>
      <c r="I709" s="38" t="n"/>
      <c r="J709" s="39">
        <f>IF($A709="","",IFERROR(IF($B709=0,0,$C709/$B709),0))</f>
        <v/>
      </c>
    </row>
    <row r="710">
      <c r="A710" s="38" t="n"/>
      <c r="B710" s="38" t="n"/>
      <c r="C710" s="38" t="n"/>
      <c r="D710" s="38" t="n"/>
      <c r="E710" s="38" t="n"/>
      <c r="F710" s="38" t="n"/>
      <c r="G710" s="38" t="n"/>
      <c r="H710" s="38" t="n"/>
      <c r="I710" s="38" t="n"/>
      <c r="J710" s="39">
        <f>IF($A710="","",IFERROR(IF($B710=0,0,$C710/$B710),0))</f>
        <v/>
      </c>
    </row>
    <row r="711">
      <c r="A711" s="38" t="n"/>
      <c r="B711" s="38" t="n"/>
      <c r="C711" s="38" t="n"/>
      <c r="D711" s="38" t="n"/>
      <c r="E711" s="38" t="n"/>
      <c r="F711" s="38" t="n"/>
      <c r="G711" s="38" t="n"/>
      <c r="H711" s="38" t="n"/>
      <c r="I711" s="38" t="n"/>
      <c r="J711" s="39">
        <f>IF($A711="","",IFERROR(IF($B711=0,0,$C711/$B711),0))</f>
        <v/>
      </c>
    </row>
    <row r="712">
      <c r="A712" s="38" t="n"/>
      <c r="B712" s="38" t="n"/>
      <c r="C712" s="38" t="n"/>
      <c r="D712" s="38" t="n"/>
      <c r="E712" s="38" t="n"/>
      <c r="F712" s="38" t="n"/>
      <c r="G712" s="38" t="n"/>
      <c r="H712" s="38" t="n"/>
      <c r="I712" s="38" t="n"/>
      <c r="J712" s="39">
        <f>IF($A712="","",IFERROR(IF($B712=0,0,$C712/$B712),0))</f>
        <v/>
      </c>
    </row>
    <row r="713">
      <c r="A713" s="38" t="n"/>
      <c r="B713" s="38" t="n"/>
      <c r="C713" s="38" t="n"/>
      <c r="D713" s="38" t="n"/>
      <c r="E713" s="38" t="n"/>
      <c r="F713" s="38" t="n"/>
      <c r="G713" s="38" t="n"/>
      <c r="H713" s="38" t="n"/>
      <c r="I713" s="38" t="n"/>
      <c r="J713" s="39">
        <f>IF($A713="","",IFERROR(IF($B713=0,0,$C713/$B713),0))</f>
        <v/>
      </c>
    </row>
    <row r="714">
      <c r="A714" s="38" t="n"/>
      <c r="B714" s="38" t="n"/>
      <c r="C714" s="38" t="n"/>
      <c r="D714" s="38" t="n"/>
      <c r="E714" s="38" t="n"/>
      <c r="F714" s="38" t="n"/>
      <c r="G714" s="38" t="n"/>
      <c r="H714" s="38" t="n"/>
      <c r="I714" s="38" t="n"/>
      <c r="J714" s="39">
        <f>IF($A714="","",IFERROR(IF($B714=0,0,$C714/$B714),0))</f>
        <v/>
      </c>
    </row>
    <row r="715">
      <c r="A715" s="38" t="n"/>
      <c r="B715" s="38" t="n"/>
      <c r="C715" s="38" t="n"/>
      <c r="D715" s="38" t="n"/>
      <c r="E715" s="38" t="n"/>
      <c r="F715" s="38" t="n"/>
      <c r="G715" s="38" t="n"/>
      <c r="H715" s="38" t="n"/>
      <c r="I715" s="38" t="n"/>
      <c r="J715" s="39">
        <f>IF($A715="","",IFERROR(IF($B715=0,0,$C715/$B715),0))</f>
        <v/>
      </c>
    </row>
    <row r="716">
      <c r="A716" s="38" t="n"/>
      <c r="B716" s="38" t="n"/>
      <c r="C716" s="38" t="n"/>
      <c r="D716" s="38" t="n"/>
      <c r="E716" s="38" t="n"/>
      <c r="F716" s="38" t="n"/>
      <c r="G716" s="38" t="n"/>
      <c r="H716" s="38" t="n"/>
      <c r="I716" s="38" t="n"/>
      <c r="J716" s="39">
        <f>IF($A716="","",IFERROR(IF($B716=0,0,$C716/$B716),0))</f>
        <v/>
      </c>
    </row>
    <row r="717">
      <c r="A717" s="38" t="n"/>
      <c r="B717" s="38" t="n"/>
      <c r="C717" s="38" t="n"/>
      <c r="D717" s="38" t="n"/>
      <c r="E717" s="38" t="n"/>
      <c r="F717" s="38" t="n"/>
      <c r="G717" s="38" t="n"/>
      <c r="H717" s="38" t="n"/>
      <c r="I717" s="38" t="n"/>
      <c r="J717" s="39">
        <f>IF($A717="","",IFERROR(IF($B717=0,0,$C717/$B717),0))</f>
        <v/>
      </c>
    </row>
    <row r="718">
      <c r="A718" s="38" t="n"/>
      <c r="B718" s="38" t="n"/>
      <c r="C718" s="38" t="n"/>
      <c r="D718" s="38" t="n"/>
      <c r="E718" s="38" t="n"/>
      <c r="F718" s="38" t="n"/>
      <c r="G718" s="38" t="n"/>
      <c r="H718" s="38" t="n"/>
      <c r="I718" s="38" t="n"/>
      <c r="J718" s="39">
        <f>IF($A718="","",IFERROR(IF($B718=0,0,$C718/$B718),0))</f>
        <v/>
      </c>
    </row>
    <row r="719">
      <c r="A719" s="38" t="n"/>
      <c r="B719" s="38" t="n"/>
      <c r="C719" s="38" t="n"/>
      <c r="D719" s="38" t="n"/>
      <c r="E719" s="38" t="n"/>
      <c r="F719" s="38" t="n"/>
      <c r="G719" s="38" t="n"/>
      <c r="H719" s="38" t="n"/>
      <c r="I719" s="38" t="n"/>
      <c r="J719" s="39">
        <f>IF($A719="","",IFERROR(IF($B719=0,0,$C719/$B719),0))</f>
        <v/>
      </c>
    </row>
    <row r="720">
      <c r="A720" s="38" t="n"/>
      <c r="B720" s="38" t="n"/>
      <c r="C720" s="38" t="n"/>
      <c r="D720" s="38" t="n"/>
      <c r="E720" s="38" t="n"/>
      <c r="F720" s="38" t="n"/>
      <c r="G720" s="38" t="n"/>
      <c r="H720" s="38" t="n"/>
      <c r="I720" s="38" t="n"/>
      <c r="J720" s="39">
        <f>IF($A720="","",IFERROR(IF($B720=0,0,$C720/$B720),0))</f>
        <v/>
      </c>
    </row>
    <row r="721">
      <c r="A721" s="38" t="n"/>
      <c r="B721" s="38" t="n"/>
      <c r="C721" s="38" t="n"/>
      <c r="D721" s="38" t="n"/>
      <c r="E721" s="38" t="n"/>
      <c r="F721" s="38" t="n"/>
      <c r="G721" s="38" t="n"/>
      <c r="H721" s="38" t="n"/>
      <c r="I721" s="38" t="n"/>
      <c r="J721" s="39">
        <f>IF($A721="","",IFERROR(IF($B721=0,0,$C721/$B721),0))</f>
        <v/>
      </c>
    </row>
    <row r="722">
      <c r="A722" s="38" t="n"/>
      <c r="B722" s="38" t="n"/>
      <c r="C722" s="38" t="n"/>
      <c r="D722" s="38" t="n"/>
      <c r="E722" s="38" t="n"/>
      <c r="F722" s="38" t="n"/>
      <c r="G722" s="38" t="n"/>
      <c r="H722" s="38" t="n"/>
      <c r="I722" s="38" t="n"/>
      <c r="J722" s="39">
        <f>IF($A722="","",IFERROR(IF($B722=0,0,$C722/$B722),0))</f>
        <v/>
      </c>
    </row>
    <row r="723">
      <c r="A723" s="38" t="n"/>
      <c r="B723" s="38" t="n"/>
      <c r="C723" s="38" t="n"/>
      <c r="D723" s="38" t="n"/>
      <c r="E723" s="38" t="n"/>
      <c r="F723" s="38" t="n"/>
      <c r="G723" s="38" t="n"/>
      <c r="H723" s="38" t="n"/>
      <c r="I723" s="38" t="n"/>
      <c r="J723" s="39">
        <f>IF($A723="","",IFERROR(IF($B723=0,0,$C723/$B723),0))</f>
        <v/>
      </c>
    </row>
    <row r="724">
      <c r="A724" s="38" t="n"/>
      <c r="B724" s="38" t="n"/>
      <c r="C724" s="38" t="n"/>
      <c r="D724" s="38" t="n"/>
      <c r="E724" s="38" t="n"/>
      <c r="F724" s="38" t="n"/>
      <c r="G724" s="38" t="n"/>
      <c r="H724" s="38" t="n"/>
      <c r="I724" s="38" t="n"/>
      <c r="J724" s="39">
        <f>IF($A724="","",IFERROR(IF($B724=0,0,$C724/$B724),0))</f>
        <v/>
      </c>
    </row>
    <row r="725">
      <c r="A725" s="38" t="n"/>
      <c r="B725" s="38" t="n"/>
      <c r="C725" s="38" t="n"/>
      <c r="D725" s="38" t="n"/>
      <c r="E725" s="38" t="n"/>
      <c r="F725" s="38" t="n"/>
      <c r="G725" s="38" t="n"/>
      <c r="H725" s="38" t="n"/>
      <c r="I725" s="38" t="n"/>
      <c r="J725" s="39">
        <f>IF($A725="","",IFERROR(IF($B725=0,0,$C725/$B725),0))</f>
        <v/>
      </c>
    </row>
    <row r="726">
      <c r="A726" s="38" t="n"/>
      <c r="B726" s="38" t="n"/>
      <c r="C726" s="38" t="n"/>
      <c r="D726" s="38" t="n"/>
      <c r="E726" s="38" t="n"/>
      <c r="F726" s="38" t="n"/>
      <c r="G726" s="38" t="n"/>
      <c r="H726" s="38" t="n"/>
      <c r="I726" s="38" t="n"/>
      <c r="J726" s="39">
        <f>IF($A726="","",IFERROR(IF($B726=0,0,$C726/$B726),0))</f>
        <v/>
      </c>
    </row>
    <row r="727">
      <c r="A727" s="38" t="n"/>
      <c r="B727" s="38" t="n"/>
      <c r="C727" s="38" t="n"/>
      <c r="D727" s="38" t="n"/>
      <c r="E727" s="38" t="n"/>
      <c r="F727" s="38" t="n"/>
      <c r="G727" s="38" t="n"/>
      <c r="H727" s="38" t="n"/>
      <c r="I727" s="38" t="n"/>
      <c r="J727" s="39">
        <f>IF($A727="","",IFERROR(IF($B727=0,0,$C727/$B727),0))</f>
        <v/>
      </c>
    </row>
    <row r="728">
      <c r="A728" s="38" t="n"/>
      <c r="B728" s="38" t="n"/>
      <c r="C728" s="38" t="n"/>
      <c r="D728" s="38" t="n"/>
      <c r="E728" s="38" t="n"/>
      <c r="F728" s="38" t="n"/>
      <c r="G728" s="38" t="n"/>
      <c r="H728" s="38" t="n"/>
      <c r="I728" s="38" t="n"/>
      <c r="J728" s="39">
        <f>IF($A728="","",IFERROR(IF($B728=0,0,$C728/$B728),0))</f>
        <v/>
      </c>
    </row>
    <row r="729">
      <c r="A729" s="38" t="n"/>
      <c r="B729" s="38" t="n"/>
      <c r="C729" s="38" t="n"/>
      <c r="D729" s="38" t="n"/>
      <c r="E729" s="38" t="n"/>
      <c r="F729" s="38" t="n"/>
      <c r="G729" s="38" t="n"/>
      <c r="H729" s="38" t="n"/>
      <c r="I729" s="38" t="n"/>
      <c r="J729" s="39">
        <f>IF($A729="","",IFERROR(IF($B729=0,0,$C729/$B729),0))</f>
        <v/>
      </c>
    </row>
    <row r="730">
      <c r="A730" s="38" t="n"/>
      <c r="B730" s="38" t="n"/>
      <c r="C730" s="38" t="n"/>
      <c r="D730" s="38" t="n"/>
      <c r="E730" s="38" t="n"/>
      <c r="F730" s="38" t="n"/>
      <c r="G730" s="38" t="n"/>
      <c r="H730" s="38" t="n"/>
      <c r="I730" s="38" t="n"/>
      <c r="J730" s="39">
        <f>IF($A730="","",IFERROR(IF($B730=0,0,$C730/$B730),0))</f>
        <v/>
      </c>
    </row>
    <row r="731">
      <c r="A731" s="38" t="n"/>
      <c r="B731" s="38" t="n"/>
      <c r="C731" s="38" t="n"/>
      <c r="D731" s="38" t="n"/>
      <c r="E731" s="38" t="n"/>
      <c r="F731" s="38" t="n"/>
      <c r="G731" s="38" t="n"/>
      <c r="H731" s="38" t="n"/>
      <c r="I731" s="38" t="n"/>
      <c r="J731" s="39">
        <f>IF($A731="","",IFERROR(IF($B731=0,0,$C731/$B731),0))</f>
        <v/>
      </c>
    </row>
    <row r="732">
      <c r="A732" s="38" t="n"/>
      <c r="B732" s="38" t="n"/>
      <c r="C732" s="38" t="n"/>
      <c r="D732" s="38" t="n"/>
      <c r="E732" s="38" t="n"/>
      <c r="F732" s="38" t="n"/>
      <c r="G732" s="38" t="n"/>
      <c r="H732" s="38" t="n"/>
      <c r="I732" s="38" t="n"/>
      <c r="J732" s="39">
        <f>IF($A732="","",IFERROR(IF($B732=0,0,$C732/$B732),0))</f>
        <v/>
      </c>
    </row>
    <row r="733">
      <c r="A733" s="38" t="n"/>
      <c r="B733" s="38" t="n"/>
      <c r="C733" s="38" t="n"/>
      <c r="D733" s="38" t="n"/>
      <c r="E733" s="38" t="n"/>
      <c r="F733" s="38" t="n"/>
      <c r="G733" s="38" t="n"/>
      <c r="H733" s="38" t="n"/>
      <c r="I733" s="38" t="n"/>
      <c r="J733" s="39">
        <f>IF($A733="","",IFERROR(IF($B733=0,0,$C733/$B733),0))</f>
        <v/>
      </c>
    </row>
    <row r="734">
      <c r="A734" s="38" t="n"/>
      <c r="B734" s="38" t="n"/>
      <c r="C734" s="38" t="n"/>
      <c r="D734" s="38" t="n"/>
      <c r="E734" s="38" t="n"/>
      <c r="F734" s="38" t="n"/>
      <c r="G734" s="38" t="n"/>
      <c r="H734" s="38" t="n"/>
      <c r="I734" s="38" t="n"/>
      <c r="J734" s="39">
        <f>IF($A734="","",IFERROR(IF($B734=0,0,$C734/$B734),0))</f>
        <v/>
      </c>
    </row>
    <row r="735">
      <c r="A735" s="38" t="n"/>
      <c r="B735" s="38" t="n"/>
      <c r="C735" s="38" t="n"/>
      <c r="D735" s="38" t="n"/>
      <c r="E735" s="38" t="n"/>
      <c r="F735" s="38" t="n"/>
      <c r="G735" s="38" t="n"/>
      <c r="H735" s="38" t="n"/>
      <c r="I735" s="38" t="n"/>
      <c r="J735" s="39">
        <f>IF($A735="","",IFERROR(IF($B735=0,0,$C735/$B735),0))</f>
        <v/>
      </c>
    </row>
    <row r="736">
      <c r="A736" s="38" t="n"/>
      <c r="B736" s="38" t="n"/>
      <c r="C736" s="38" t="n"/>
      <c r="D736" s="38" t="n"/>
      <c r="E736" s="38" t="n"/>
      <c r="F736" s="38" t="n"/>
      <c r="G736" s="38" t="n"/>
      <c r="H736" s="38" t="n"/>
      <c r="I736" s="38" t="n"/>
      <c r="J736" s="39">
        <f>IF($A736="","",IFERROR(IF($B736=0,0,$C736/$B736),0))</f>
        <v/>
      </c>
    </row>
    <row r="737">
      <c r="A737" s="38" t="n"/>
      <c r="B737" s="38" t="n"/>
      <c r="C737" s="38" t="n"/>
      <c r="D737" s="38" t="n"/>
      <c r="E737" s="38" t="n"/>
      <c r="F737" s="38" t="n"/>
      <c r="G737" s="38" t="n"/>
      <c r="H737" s="38" t="n"/>
      <c r="I737" s="38" t="n"/>
      <c r="J737" s="39">
        <f>IF($A737="","",IFERROR(IF($B737=0,0,$C737/$B737),0))</f>
        <v/>
      </c>
    </row>
    <row r="738">
      <c r="A738" s="38" t="n"/>
      <c r="B738" s="38" t="n"/>
      <c r="C738" s="38" t="n"/>
      <c r="D738" s="38" t="n"/>
      <c r="E738" s="38" t="n"/>
      <c r="F738" s="38" t="n"/>
      <c r="G738" s="38" t="n"/>
      <c r="H738" s="38" t="n"/>
      <c r="I738" s="38" t="n"/>
      <c r="J738" s="39">
        <f>IF($A738="","",IFERROR(IF($B738=0,0,$C738/$B738),0))</f>
        <v/>
      </c>
    </row>
    <row r="739">
      <c r="A739" s="38" t="n"/>
      <c r="B739" s="38" t="n"/>
      <c r="C739" s="38" t="n"/>
      <c r="D739" s="38" t="n"/>
      <c r="E739" s="38" t="n"/>
      <c r="F739" s="38" t="n"/>
      <c r="G739" s="38" t="n"/>
      <c r="H739" s="38" t="n"/>
      <c r="I739" s="38" t="n"/>
      <c r="J739" s="39">
        <f>IF($A739="","",IFERROR(IF($B739=0,0,$C739/$B739),0))</f>
        <v/>
      </c>
    </row>
    <row r="740">
      <c r="A740" s="38" t="n"/>
      <c r="B740" s="38" t="n"/>
      <c r="C740" s="38" t="n"/>
      <c r="D740" s="38" t="n"/>
      <c r="E740" s="38" t="n"/>
      <c r="F740" s="38" t="n"/>
      <c r="G740" s="38" t="n"/>
      <c r="H740" s="38" t="n"/>
      <c r="I740" s="38" t="n"/>
      <c r="J740" s="39">
        <f>IF($A740="","",IFERROR(IF($B740=0,0,$C740/$B740),0))</f>
        <v/>
      </c>
    </row>
    <row r="741">
      <c r="A741" s="38" t="n"/>
      <c r="B741" s="38" t="n"/>
      <c r="C741" s="38" t="n"/>
      <c r="D741" s="38" t="n"/>
      <c r="E741" s="38" t="n"/>
      <c r="F741" s="38" t="n"/>
      <c r="G741" s="38" t="n"/>
      <c r="H741" s="38" t="n"/>
      <c r="I741" s="38" t="n"/>
      <c r="J741" s="39">
        <f>IF($A741="","",IFERROR(IF($B741=0,0,$C741/$B741),0))</f>
        <v/>
      </c>
    </row>
    <row r="742">
      <c r="A742" s="38" t="n"/>
      <c r="B742" s="38" t="n"/>
      <c r="C742" s="38" t="n"/>
      <c r="D742" s="38" t="n"/>
      <c r="E742" s="38" t="n"/>
      <c r="F742" s="38" t="n"/>
      <c r="G742" s="38" t="n"/>
      <c r="H742" s="38" t="n"/>
      <c r="I742" s="38" t="n"/>
      <c r="J742" s="39">
        <f>IF($A742="","",IFERROR(IF($B742=0,0,$C742/$B742),0))</f>
        <v/>
      </c>
    </row>
    <row r="743">
      <c r="A743" s="38" t="n"/>
      <c r="B743" s="38" t="n"/>
      <c r="C743" s="38" t="n"/>
      <c r="D743" s="38" t="n"/>
      <c r="E743" s="38" t="n"/>
      <c r="F743" s="38" t="n"/>
      <c r="G743" s="38" t="n"/>
      <c r="H743" s="38" t="n"/>
      <c r="I743" s="38" t="n"/>
      <c r="J743" s="39">
        <f>IF($A743="","",IFERROR(IF($B743=0,0,$C743/$B743),0))</f>
        <v/>
      </c>
    </row>
    <row r="744">
      <c r="A744" s="38" t="n"/>
      <c r="B744" s="38" t="n"/>
      <c r="C744" s="38" t="n"/>
      <c r="D744" s="38" t="n"/>
      <c r="E744" s="38" t="n"/>
      <c r="F744" s="38" t="n"/>
      <c r="G744" s="38" t="n"/>
      <c r="H744" s="38" t="n"/>
      <c r="I744" s="38" t="n"/>
      <c r="J744" s="39">
        <f>IF($A744="","",IFERROR(IF($B744=0,0,$C744/$B744),0))</f>
        <v/>
      </c>
    </row>
    <row r="745">
      <c r="A745" s="38" t="n"/>
      <c r="B745" s="38" t="n"/>
      <c r="C745" s="38" t="n"/>
      <c r="D745" s="38" t="n"/>
      <c r="E745" s="38" t="n"/>
      <c r="F745" s="38" t="n"/>
      <c r="G745" s="38" t="n"/>
      <c r="H745" s="38" t="n"/>
      <c r="I745" s="38" t="n"/>
      <c r="J745" s="39">
        <f>IF($A745="","",IFERROR(IF($B745=0,0,$C745/$B745),0))</f>
        <v/>
      </c>
    </row>
    <row r="746">
      <c r="A746" s="38" t="n"/>
      <c r="B746" s="38" t="n"/>
      <c r="C746" s="38" t="n"/>
      <c r="D746" s="38" t="n"/>
      <c r="E746" s="38" t="n"/>
      <c r="F746" s="38" t="n"/>
      <c r="G746" s="38" t="n"/>
      <c r="H746" s="38" t="n"/>
      <c r="I746" s="38" t="n"/>
      <c r="J746" s="39">
        <f>IF($A746="","",IFERROR(IF($B746=0,0,$C746/$B746),0))</f>
        <v/>
      </c>
    </row>
    <row r="747">
      <c r="A747" s="38" t="n"/>
      <c r="B747" s="38" t="n"/>
      <c r="C747" s="38" t="n"/>
      <c r="D747" s="38" t="n"/>
      <c r="E747" s="38" t="n"/>
      <c r="F747" s="38" t="n"/>
      <c r="G747" s="38" t="n"/>
      <c r="H747" s="38" t="n"/>
      <c r="I747" s="38" t="n"/>
      <c r="J747" s="39">
        <f>IF($A747="","",IFERROR(IF($B747=0,0,$C747/$B747),0))</f>
        <v/>
      </c>
    </row>
    <row r="748">
      <c r="A748" s="38" t="n"/>
      <c r="B748" s="38" t="n"/>
      <c r="C748" s="38" t="n"/>
      <c r="D748" s="38" t="n"/>
      <c r="E748" s="38" t="n"/>
      <c r="F748" s="38" t="n"/>
      <c r="G748" s="38" t="n"/>
      <c r="H748" s="38" t="n"/>
      <c r="I748" s="38" t="n"/>
      <c r="J748" s="39">
        <f>IF($A748="","",IFERROR(IF($B748=0,0,$C748/$B748),0))</f>
        <v/>
      </c>
    </row>
    <row r="749">
      <c r="A749" s="38" t="n"/>
      <c r="B749" s="38" t="n"/>
      <c r="C749" s="38" t="n"/>
      <c r="D749" s="38" t="n"/>
      <c r="E749" s="38" t="n"/>
      <c r="F749" s="38" t="n"/>
      <c r="G749" s="38" t="n"/>
      <c r="H749" s="38" t="n"/>
      <c r="I749" s="38" t="n"/>
      <c r="J749" s="39">
        <f>IF($A749="","",IFERROR(IF($B749=0,0,$C749/$B749),0))</f>
        <v/>
      </c>
    </row>
    <row r="750">
      <c r="A750" s="38" t="n"/>
      <c r="B750" s="38" t="n"/>
      <c r="C750" s="38" t="n"/>
      <c r="D750" s="38" t="n"/>
      <c r="E750" s="38" t="n"/>
      <c r="F750" s="38" t="n"/>
      <c r="G750" s="38" t="n"/>
      <c r="H750" s="38" t="n"/>
      <c r="I750" s="38" t="n"/>
      <c r="J750" s="39">
        <f>IF($A750="","",IFERROR(IF($B750=0,0,$C750/$B750),0))</f>
        <v/>
      </c>
    </row>
    <row r="751">
      <c r="A751" s="38" t="n"/>
      <c r="B751" s="38" t="n"/>
      <c r="C751" s="38" t="n"/>
      <c r="D751" s="38" t="n"/>
      <c r="E751" s="38" t="n"/>
      <c r="F751" s="38" t="n"/>
      <c r="G751" s="38" t="n"/>
      <c r="H751" s="38" t="n"/>
      <c r="I751" s="38" t="n"/>
      <c r="J751" s="39">
        <f>IF($A751="","",IFERROR(IF($B751=0,0,$C751/$B751),0))</f>
        <v/>
      </c>
    </row>
    <row r="752">
      <c r="A752" s="38" t="n"/>
      <c r="B752" s="38" t="n"/>
      <c r="C752" s="38" t="n"/>
      <c r="D752" s="38" t="n"/>
      <c r="E752" s="38" t="n"/>
      <c r="F752" s="38" t="n"/>
      <c r="G752" s="38" t="n"/>
      <c r="H752" s="38" t="n"/>
      <c r="I752" s="38" t="n"/>
      <c r="J752" s="39">
        <f>IF($A752="","",IFERROR(IF($B752=0,0,$C752/$B752),0))</f>
        <v/>
      </c>
    </row>
    <row r="753">
      <c r="A753" s="38" t="n"/>
      <c r="B753" s="38" t="n"/>
      <c r="C753" s="38" t="n"/>
      <c r="D753" s="38" t="n"/>
      <c r="E753" s="38" t="n"/>
      <c r="F753" s="38" t="n"/>
      <c r="G753" s="38" t="n"/>
      <c r="H753" s="38" t="n"/>
      <c r="I753" s="38" t="n"/>
      <c r="J753" s="39">
        <f>IF($A753="","",IFERROR(IF($B753=0,0,$C753/$B753),0))</f>
        <v/>
      </c>
    </row>
    <row r="754">
      <c r="A754" s="38" t="n"/>
      <c r="B754" s="38" t="n"/>
      <c r="C754" s="38" t="n"/>
      <c r="D754" s="38" t="n"/>
      <c r="E754" s="38" t="n"/>
      <c r="F754" s="38" t="n"/>
      <c r="G754" s="38" t="n"/>
      <c r="H754" s="38" t="n"/>
      <c r="I754" s="38" t="n"/>
      <c r="J754" s="39">
        <f>IF($A754="","",IFERROR(IF($B754=0,0,$C754/$B754),0))</f>
        <v/>
      </c>
    </row>
    <row r="755">
      <c r="A755" s="38" t="n"/>
      <c r="B755" s="38" t="n"/>
      <c r="C755" s="38" t="n"/>
      <c r="D755" s="38" t="n"/>
      <c r="E755" s="38" t="n"/>
      <c r="F755" s="38" t="n"/>
      <c r="G755" s="38" t="n"/>
      <c r="H755" s="38" t="n"/>
      <c r="I755" s="38" t="n"/>
      <c r="J755" s="39">
        <f>IF($A755="","",IFERROR(IF($B755=0,0,$C755/$B755),0))</f>
        <v/>
      </c>
    </row>
    <row r="756">
      <c r="A756" s="38" t="n"/>
      <c r="B756" s="38" t="n"/>
      <c r="C756" s="38" t="n"/>
      <c r="D756" s="38" t="n"/>
      <c r="E756" s="38" t="n"/>
      <c r="F756" s="38" t="n"/>
      <c r="G756" s="38" t="n"/>
      <c r="H756" s="38" t="n"/>
      <c r="I756" s="38" t="n"/>
      <c r="J756" s="39">
        <f>IF($A756="","",IFERROR(IF($B756=0,0,$C756/$B756),0))</f>
        <v/>
      </c>
    </row>
    <row r="757">
      <c r="A757" s="38" t="n"/>
      <c r="B757" s="38" t="n"/>
      <c r="C757" s="38" t="n"/>
      <c r="D757" s="38" t="n"/>
      <c r="E757" s="38" t="n"/>
      <c r="F757" s="38" t="n"/>
      <c r="G757" s="38" t="n"/>
      <c r="H757" s="38" t="n"/>
      <c r="I757" s="38" t="n"/>
      <c r="J757" s="39">
        <f>IF($A757="","",IFERROR(IF($B757=0,0,$C757/$B757),0))</f>
        <v/>
      </c>
    </row>
    <row r="758">
      <c r="A758" s="38" t="n"/>
      <c r="B758" s="38" t="n"/>
      <c r="C758" s="38" t="n"/>
      <c r="D758" s="38" t="n"/>
      <c r="E758" s="38" t="n"/>
      <c r="F758" s="38" t="n"/>
      <c r="G758" s="38" t="n"/>
      <c r="H758" s="38" t="n"/>
      <c r="I758" s="38" t="n"/>
      <c r="J758" s="39">
        <f>IF($A758="","",IFERROR(IF($B758=0,0,$C758/$B758),0))</f>
        <v/>
      </c>
    </row>
    <row r="759">
      <c r="A759" s="38" t="n"/>
      <c r="B759" s="38" t="n"/>
      <c r="C759" s="38" t="n"/>
      <c r="D759" s="38" t="n"/>
      <c r="E759" s="38" t="n"/>
      <c r="F759" s="38" t="n"/>
      <c r="G759" s="38" t="n"/>
      <c r="H759" s="38" t="n"/>
      <c r="I759" s="38" t="n"/>
      <c r="J759" s="39">
        <f>IF($A759="","",IFERROR(IF($B759=0,0,$C759/$B759),0))</f>
        <v/>
      </c>
    </row>
    <row r="760">
      <c r="A760" s="38" t="n"/>
      <c r="B760" s="38" t="n"/>
      <c r="C760" s="38" t="n"/>
      <c r="D760" s="38" t="n"/>
      <c r="E760" s="38" t="n"/>
      <c r="F760" s="38" t="n"/>
      <c r="G760" s="38" t="n"/>
      <c r="H760" s="38" t="n"/>
      <c r="I760" s="38" t="n"/>
      <c r="J760" s="39">
        <f>IF($A760="","",IFERROR(IF($B760=0,0,$C760/$B760),0))</f>
        <v/>
      </c>
    </row>
    <row r="761">
      <c r="A761" s="38" t="n"/>
      <c r="B761" s="38" t="n"/>
      <c r="C761" s="38" t="n"/>
      <c r="D761" s="38" t="n"/>
      <c r="E761" s="38" t="n"/>
      <c r="F761" s="38" t="n"/>
      <c r="G761" s="38" t="n"/>
      <c r="H761" s="38" t="n"/>
      <c r="I761" s="38" t="n"/>
      <c r="J761" s="39">
        <f>IF($A761="","",IFERROR(IF($B761=0,0,$C761/$B761),0))</f>
        <v/>
      </c>
    </row>
    <row r="762">
      <c r="A762" s="38" t="n"/>
      <c r="B762" s="38" t="n"/>
      <c r="C762" s="38" t="n"/>
      <c r="D762" s="38" t="n"/>
      <c r="E762" s="38" t="n"/>
      <c r="F762" s="38" t="n"/>
      <c r="G762" s="38" t="n"/>
      <c r="H762" s="38" t="n"/>
      <c r="I762" s="38" t="n"/>
      <c r="J762" s="39">
        <f>IF($A762="","",IFERROR(IF($B762=0,0,$C762/$B762),0))</f>
        <v/>
      </c>
    </row>
    <row r="763">
      <c r="A763" s="38" t="n"/>
      <c r="B763" s="38" t="n"/>
      <c r="C763" s="38" t="n"/>
      <c r="D763" s="38" t="n"/>
      <c r="E763" s="38" t="n"/>
      <c r="F763" s="38" t="n"/>
      <c r="G763" s="38" t="n"/>
      <c r="H763" s="38" t="n"/>
      <c r="I763" s="38" t="n"/>
      <c r="J763" s="39">
        <f>IF($A763="","",IFERROR(IF($B763=0,0,$C763/$B763),0))</f>
        <v/>
      </c>
    </row>
    <row r="764">
      <c r="A764" s="38" t="n"/>
      <c r="B764" s="38" t="n"/>
      <c r="C764" s="38" t="n"/>
      <c r="D764" s="38" t="n"/>
      <c r="E764" s="38" t="n"/>
      <c r="F764" s="38" t="n"/>
      <c r="G764" s="38" t="n"/>
      <c r="H764" s="38" t="n"/>
      <c r="I764" s="38" t="n"/>
      <c r="J764" s="39">
        <f>IF($A764="","",IFERROR(IF($B764=0,0,$C764/$B764),0))</f>
        <v/>
      </c>
    </row>
    <row r="765">
      <c r="A765" s="38" t="n"/>
      <c r="B765" s="38" t="n"/>
      <c r="C765" s="38" t="n"/>
      <c r="D765" s="38" t="n"/>
      <c r="E765" s="38" t="n"/>
      <c r="F765" s="38" t="n"/>
      <c r="G765" s="38" t="n"/>
      <c r="H765" s="38" t="n"/>
      <c r="I765" s="38" t="n"/>
      <c r="J765" s="39">
        <f>IF($A765="","",IFERROR(IF($B765=0,0,$C765/$B765),0))</f>
        <v/>
      </c>
    </row>
    <row r="766">
      <c r="A766" s="38" t="n"/>
      <c r="B766" s="38" t="n"/>
      <c r="C766" s="38" t="n"/>
      <c r="D766" s="38" t="n"/>
      <c r="E766" s="38" t="n"/>
      <c r="F766" s="38" t="n"/>
      <c r="G766" s="38" t="n"/>
      <c r="H766" s="38" t="n"/>
      <c r="I766" s="38" t="n"/>
      <c r="J766" s="39">
        <f>IF($A766="","",IFERROR(IF($B766=0,0,$C766/$B766),0))</f>
        <v/>
      </c>
    </row>
    <row r="767">
      <c r="A767" s="38" t="n"/>
      <c r="B767" s="38" t="n"/>
      <c r="C767" s="38" t="n"/>
      <c r="D767" s="38" t="n"/>
      <c r="E767" s="38" t="n"/>
      <c r="F767" s="38" t="n"/>
      <c r="G767" s="38" t="n"/>
      <c r="H767" s="38" t="n"/>
      <c r="I767" s="38" t="n"/>
      <c r="J767" s="39">
        <f>IF($A767="","",IFERROR(IF($B767=0,0,$C767/$B767),0))</f>
        <v/>
      </c>
    </row>
    <row r="768">
      <c r="A768" s="38" t="n"/>
      <c r="B768" s="38" t="n"/>
      <c r="C768" s="38" t="n"/>
      <c r="D768" s="38" t="n"/>
      <c r="E768" s="38" t="n"/>
      <c r="F768" s="38" t="n"/>
      <c r="G768" s="38" t="n"/>
      <c r="H768" s="38" t="n"/>
      <c r="I768" s="38" t="n"/>
      <c r="J768" s="39">
        <f>IF($A768="","",IFERROR(IF($B768=0,0,$C768/$B768),0))</f>
        <v/>
      </c>
    </row>
    <row r="769">
      <c r="A769" s="38" t="n"/>
      <c r="B769" s="38" t="n"/>
      <c r="C769" s="38" t="n"/>
      <c r="D769" s="38" t="n"/>
      <c r="E769" s="38" t="n"/>
      <c r="F769" s="38" t="n"/>
      <c r="G769" s="38" t="n"/>
      <c r="H769" s="38" t="n"/>
      <c r="I769" s="38" t="n"/>
      <c r="J769" s="39">
        <f>IF($A769="","",IFERROR(IF($B769=0,0,$C769/$B769),0))</f>
        <v/>
      </c>
    </row>
    <row r="770">
      <c r="A770" s="38" t="n"/>
      <c r="B770" s="38" t="n"/>
      <c r="C770" s="38" t="n"/>
      <c r="D770" s="38" t="n"/>
      <c r="E770" s="38" t="n"/>
      <c r="F770" s="38" t="n"/>
      <c r="G770" s="38" t="n"/>
      <c r="H770" s="38" t="n"/>
      <c r="I770" s="38" t="n"/>
      <c r="J770" s="39">
        <f>IF($A770="","",IFERROR(IF($B770=0,0,$C770/$B770),0))</f>
        <v/>
      </c>
    </row>
    <row r="771">
      <c r="A771" s="38" t="n"/>
      <c r="B771" s="38" t="n"/>
      <c r="C771" s="38" t="n"/>
      <c r="D771" s="38" t="n"/>
      <c r="E771" s="38" t="n"/>
      <c r="F771" s="38" t="n"/>
      <c r="G771" s="38" t="n"/>
      <c r="H771" s="38" t="n"/>
      <c r="I771" s="38" t="n"/>
      <c r="J771" s="39">
        <f>IF($A771="","",IFERROR(IF($B771=0,0,$C771/$B771),0))</f>
        <v/>
      </c>
    </row>
    <row r="772">
      <c r="A772" s="38" t="n"/>
      <c r="B772" s="38" t="n"/>
      <c r="C772" s="38" t="n"/>
      <c r="D772" s="38" t="n"/>
      <c r="E772" s="38" t="n"/>
      <c r="F772" s="38" t="n"/>
      <c r="G772" s="38" t="n"/>
      <c r="H772" s="38" t="n"/>
      <c r="I772" s="38" t="n"/>
      <c r="J772" s="39">
        <f>IF($A772="","",IFERROR(IF($B772=0,0,$C772/$B772),0))</f>
        <v/>
      </c>
    </row>
    <row r="773">
      <c r="A773" s="38" t="n"/>
      <c r="B773" s="38" t="n"/>
      <c r="C773" s="38" t="n"/>
      <c r="D773" s="38" t="n"/>
      <c r="E773" s="38" t="n"/>
      <c r="F773" s="38" t="n"/>
      <c r="G773" s="38" t="n"/>
      <c r="H773" s="38" t="n"/>
      <c r="I773" s="38" t="n"/>
      <c r="J773" s="39">
        <f>IF($A773="","",IFERROR(IF($B773=0,0,$C773/$B773),0))</f>
        <v/>
      </c>
    </row>
    <row r="774">
      <c r="A774" s="38" t="n"/>
      <c r="B774" s="38" t="n"/>
      <c r="C774" s="38" t="n"/>
      <c r="D774" s="38" t="n"/>
      <c r="E774" s="38" t="n"/>
      <c r="F774" s="38" t="n"/>
      <c r="G774" s="38" t="n"/>
      <c r="H774" s="38" t="n"/>
      <c r="I774" s="38" t="n"/>
      <c r="J774" s="39">
        <f>IF($A774="","",IFERROR(IF($B774=0,0,$C774/$B774),0))</f>
        <v/>
      </c>
    </row>
    <row r="775">
      <c r="A775" s="38" t="n"/>
      <c r="B775" s="38" t="n"/>
      <c r="C775" s="38" t="n"/>
      <c r="D775" s="38" t="n"/>
      <c r="E775" s="38" t="n"/>
      <c r="F775" s="38" t="n"/>
      <c r="G775" s="38" t="n"/>
      <c r="H775" s="38" t="n"/>
      <c r="I775" s="38" t="n"/>
      <c r="J775" s="39">
        <f>IF($A775="","",IFERROR(IF($B775=0,0,$C775/$B775),0))</f>
        <v/>
      </c>
    </row>
    <row r="776">
      <c r="A776" s="38" t="n"/>
      <c r="B776" s="38" t="n"/>
      <c r="C776" s="38" t="n"/>
      <c r="D776" s="38" t="n"/>
      <c r="E776" s="38" t="n"/>
      <c r="F776" s="38" t="n"/>
      <c r="G776" s="38" t="n"/>
      <c r="H776" s="38" t="n"/>
      <c r="I776" s="38" t="n"/>
      <c r="J776" s="39">
        <f>IF($A776="","",IFERROR(IF($B776=0,0,$C776/$B776),0))</f>
        <v/>
      </c>
    </row>
    <row r="777">
      <c r="A777" s="38" t="n"/>
      <c r="B777" s="38" t="n"/>
      <c r="C777" s="38" t="n"/>
      <c r="D777" s="38" t="n"/>
      <c r="E777" s="38" t="n"/>
      <c r="F777" s="38" t="n"/>
      <c r="G777" s="38" t="n"/>
      <c r="H777" s="38" t="n"/>
      <c r="I777" s="38" t="n"/>
      <c r="J777" s="39">
        <f>IF($A777="","",IFERROR(IF($B777=0,0,$C777/$B777),0))</f>
        <v/>
      </c>
    </row>
    <row r="778">
      <c r="A778" s="38" t="n"/>
      <c r="B778" s="38" t="n"/>
      <c r="C778" s="38" t="n"/>
      <c r="D778" s="38" t="n"/>
      <c r="E778" s="38" t="n"/>
      <c r="F778" s="38" t="n"/>
      <c r="G778" s="38" t="n"/>
      <c r="H778" s="38" t="n"/>
      <c r="I778" s="38" t="n"/>
      <c r="J778" s="39">
        <f>IF($A778="","",IFERROR(IF($B778=0,0,$C778/$B778),0))</f>
        <v/>
      </c>
    </row>
    <row r="779">
      <c r="A779" s="38" t="n"/>
      <c r="B779" s="38" t="n"/>
      <c r="C779" s="38" t="n"/>
      <c r="D779" s="38" t="n"/>
      <c r="E779" s="38" t="n"/>
      <c r="F779" s="38" t="n"/>
      <c r="G779" s="38" t="n"/>
      <c r="H779" s="38" t="n"/>
      <c r="I779" s="38" t="n"/>
      <c r="J779" s="39">
        <f>IF($A779="","",IFERROR(IF($B779=0,0,$C779/$B779),0))</f>
        <v/>
      </c>
    </row>
    <row r="780">
      <c r="A780" s="38" t="n"/>
      <c r="B780" s="38" t="n"/>
      <c r="C780" s="38" t="n"/>
      <c r="D780" s="38" t="n"/>
      <c r="E780" s="38" t="n"/>
      <c r="F780" s="38" t="n"/>
      <c r="G780" s="38" t="n"/>
      <c r="H780" s="38" t="n"/>
      <c r="I780" s="38" t="n"/>
      <c r="J780" s="39">
        <f>IF($A780="","",IFERROR(IF($B780=0,0,$C780/$B780),0))</f>
        <v/>
      </c>
    </row>
    <row r="781">
      <c r="A781" s="38" t="n"/>
      <c r="B781" s="38" t="n"/>
      <c r="C781" s="38" t="n"/>
      <c r="D781" s="38" t="n"/>
      <c r="E781" s="38" t="n"/>
      <c r="F781" s="38" t="n"/>
      <c r="G781" s="38" t="n"/>
      <c r="H781" s="38" t="n"/>
      <c r="I781" s="38" t="n"/>
      <c r="J781" s="39">
        <f>IF($A781="","",IFERROR(IF($B781=0,0,$C781/$B781),0))</f>
        <v/>
      </c>
    </row>
    <row r="782">
      <c r="A782" s="38" t="n"/>
      <c r="B782" s="38" t="n"/>
      <c r="C782" s="38" t="n"/>
      <c r="D782" s="38" t="n"/>
      <c r="E782" s="38" t="n"/>
      <c r="F782" s="38" t="n"/>
      <c r="G782" s="38" t="n"/>
      <c r="H782" s="38" t="n"/>
      <c r="I782" s="38" t="n"/>
      <c r="J782" s="39">
        <f>IF($A782="","",IFERROR(IF($B782=0,0,$C782/$B782),0))</f>
        <v/>
      </c>
    </row>
    <row r="783">
      <c r="A783" s="38" t="n"/>
      <c r="B783" s="38" t="n"/>
      <c r="C783" s="38" t="n"/>
      <c r="D783" s="38" t="n"/>
      <c r="E783" s="38" t="n"/>
      <c r="F783" s="38" t="n"/>
      <c r="G783" s="38" t="n"/>
      <c r="H783" s="38" t="n"/>
      <c r="I783" s="38" t="n"/>
      <c r="J783" s="39">
        <f>IF($A783="","",IFERROR(IF($B783=0,0,$C783/$B783),0))</f>
        <v/>
      </c>
    </row>
    <row r="784">
      <c r="A784" s="38" t="n"/>
      <c r="B784" s="38" t="n"/>
      <c r="C784" s="38" t="n"/>
      <c r="D784" s="38" t="n"/>
      <c r="E784" s="38" t="n"/>
      <c r="F784" s="38" t="n"/>
      <c r="G784" s="38" t="n"/>
      <c r="H784" s="38" t="n"/>
      <c r="I784" s="38" t="n"/>
      <c r="J784" s="39">
        <f>IF($A784="","",IFERROR(IF($B784=0,0,$C784/$B784),0))</f>
        <v/>
      </c>
    </row>
    <row r="785">
      <c r="A785" s="38" t="n"/>
      <c r="B785" s="38" t="n"/>
      <c r="C785" s="38" t="n"/>
      <c r="D785" s="38" t="n"/>
      <c r="E785" s="38" t="n"/>
      <c r="F785" s="38" t="n"/>
      <c r="G785" s="38" t="n"/>
      <c r="H785" s="38" t="n"/>
      <c r="I785" s="38" t="n"/>
      <c r="J785" s="39">
        <f>IF($A785="","",IFERROR(IF($B785=0,0,$C785/$B785),0))</f>
        <v/>
      </c>
    </row>
    <row r="786">
      <c r="A786" s="38" t="n"/>
      <c r="B786" s="38" t="n"/>
      <c r="C786" s="38" t="n"/>
      <c r="D786" s="38" t="n"/>
      <c r="E786" s="38" t="n"/>
      <c r="F786" s="38" t="n"/>
      <c r="G786" s="38" t="n"/>
      <c r="H786" s="38" t="n"/>
      <c r="I786" s="38" t="n"/>
      <c r="J786" s="39">
        <f>IF($A786="","",IFERROR(IF($B786=0,0,$C786/$B786),0))</f>
        <v/>
      </c>
    </row>
    <row r="787">
      <c r="A787" s="38" t="n"/>
      <c r="B787" s="38" t="n"/>
      <c r="C787" s="38" t="n"/>
      <c r="D787" s="38" t="n"/>
      <c r="E787" s="38" t="n"/>
      <c r="F787" s="38" t="n"/>
      <c r="G787" s="38" t="n"/>
      <c r="H787" s="38" t="n"/>
      <c r="I787" s="38" t="n"/>
      <c r="J787" s="39">
        <f>IF($A787="","",IFERROR(IF($B787=0,0,$C787/$B787),0))</f>
        <v/>
      </c>
    </row>
    <row r="788">
      <c r="A788" s="38" t="n"/>
      <c r="B788" s="38" t="n"/>
      <c r="C788" s="38" t="n"/>
      <c r="D788" s="38" t="n"/>
      <c r="E788" s="38" t="n"/>
      <c r="F788" s="38" t="n"/>
      <c r="G788" s="38" t="n"/>
      <c r="H788" s="38" t="n"/>
      <c r="I788" s="38" t="n"/>
      <c r="J788" s="39">
        <f>IF($A788="","",IFERROR(IF($B788=0,0,$C788/$B788),0))</f>
        <v/>
      </c>
    </row>
    <row r="789">
      <c r="A789" s="38" t="n"/>
      <c r="B789" s="38" t="n"/>
      <c r="C789" s="38" t="n"/>
      <c r="D789" s="38" t="n"/>
      <c r="E789" s="38" t="n"/>
      <c r="F789" s="38" t="n"/>
      <c r="G789" s="38" t="n"/>
      <c r="H789" s="38" t="n"/>
      <c r="I789" s="38" t="n"/>
      <c r="J789" s="39">
        <f>IF($A789="","",IFERROR(IF($B789=0,0,$C789/$B789),0))</f>
        <v/>
      </c>
    </row>
    <row r="790">
      <c r="A790" s="38" t="n"/>
      <c r="B790" s="38" t="n"/>
      <c r="C790" s="38" t="n"/>
      <c r="D790" s="38" t="n"/>
      <c r="E790" s="38" t="n"/>
      <c r="F790" s="38" t="n"/>
      <c r="G790" s="38" t="n"/>
      <c r="H790" s="38" t="n"/>
      <c r="I790" s="38" t="n"/>
      <c r="J790" s="39">
        <f>IF($A790="","",IFERROR(IF($B790=0,0,$C790/$B790),0))</f>
        <v/>
      </c>
    </row>
    <row r="791">
      <c r="A791" s="38" t="n"/>
      <c r="B791" s="38" t="n"/>
      <c r="C791" s="38" t="n"/>
      <c r="D791" s="38" t="n"/>
      <c r="E791" s="38" t="n"/>
      <c r="F791" s="38" t="n"/>
      <c r="G791" s="38" t="n"/>
      <c r="H791" s="38" t="n"/>
      <c r="I791" s="38" t="n"/>
      <c r="J791" s="39">
        <f>IF($A791="","",IFERROR(IF($B791=0,0,$C791/$B791),0))</f>
        <v/>
      </c>
    </row>
    <row r="792">
      <c r="A792" s="38" t="n"/>
      <c r="B792" s="38" t="n"/>
      <c r="C792" s="38" t="n"/>
      <c r="D792" s="38" t="n"/>
      <c r="E792" s="38" t="n"/>
      <c r="F792" s="38" t="n"/>
      <c r="G792" s="38" t="n"/>
      <c r="H792" s="38" t="n"/>
      <c r="I792" s="38" t="n"/>
      <c r="J792" s="39">
        <f>IF($A792="","",IFERROR(IF($B792=0,0,$C792/$B792),0))</f>
        <v/>
      </c>
    </row>
    <row r="793">
      <c r="A793" s="38" t="n"/>
      <c r="B793" s="38" t="n"/>
      <c r="C793" s="38" t="n"/>
      <c r="D793" s="38" t="n"/>
      <c r="E793" s="38" t="n"/>
      <c r="F793" s="38" t="n"/>
      <c r="G793" s="38" t="n"/>
      <c r="H793" s="38" t="n"/>
      <c r="I793" s="38" t="n"/>
      <c r="J793" s="39">
        <f>IF($A793="","",IFERROR(IF($B793=0,0,$C793/$B793),0))</f>
        <v/>
      </c>
    </row>
    <row r="794">
      <c r="A794" s="38" t="n"/>
      <c r="B794" s="38" t="n"/>
      <c r="C794" s="38" t="n"/>
      <c r="D794" s="38" t="n"/>
      <c r="E794" s="38" t="n"/>
      <c r="F794" s="38" t="n"/>
      <c r="G794" s="38" t="n"/>
      <c r="H794" s="38" t="n"/>
      <c r="I794" s="38" t="n"/>
      <c r="J794" s="39">
        <f>IF($A794="","",IFERROR(IF($B794=0,0,$C794/$B794),0))</f>
        <v/>
      </c>
    </row>
    <row r="795">
      <c r="A795" s="38" t="n"/>
      <c r="B795" s="38" t="n"/>
      <c r="C795" s="38" t="n"/>
      <c r="D795" s="38" t="n"/>
      <c r="E795" s="38" t="n"/>
      <c r="F795" s="38" t="n"/>
      <c r="G795" s="38" t="n"/>
      <c r="H795" s="38" t="n"/>
      <c r="I795" s="38" t="n"/>
      <c r="J795" s="39">
        <f>IF($A795="","",IFERROR(IF($B795=0,0,$C795/$B795),0))</f>
        <v/>
      </c>
    </row>
    <row r="796">
      <c r="A796" s="38" t="n"/>
      <c r="B796" s="38" t="n"/>
      <c r="C796" s="38" t="n"/>
      <c r="D796" s="38" t="n"/>
      <c r="E796" s="38" t="n"/>
      <c r="F796" s="38" t="n"/>
      <c r="G796" s="38" t="n"/>
      <c r="H796" s="38" t="n"/>
      <c r="I796" s="38" t="n"/>
      <c r="J796" s="39">
        <f>IF($A796="","",IFERROR(IF($B796=0,0,$C796/$B796),0))</f>
        <v/>
      </c>
    </row>
    <row r="797">
      <c r="A797" s="38" t="n"/>
      <c r="B797" s="38" t="n"/>
      <c r="C797" s="38" t="n"/>
      <c r="D797" s="38" t="n"/>
      <c r="E797" s="38" t="n"/>
      <c r="F797" s="38" t="n"/>
      <c r="G797" s="38" t="n"/>
      <c r="H797" s="38" t="n"/>
      <c r="I797" s="38" t="n"/>
      <c r="J797" s="39">
        <f>IF($A797="","",IFERROR(IF($B797=0,0,$C797/$B797),0))</f>
        <v/>
      </c>
    </row>
    <row r="798">
      <c r="A798" s="38" t="n"/>
      <c r="B798" s="38" t="n"/>
      <c r="C798" s="38" t="n"/>
      <c r="D798" s="38" t="n"/>
      <c r="E798" s="38" t="n"/>
      <c r="F798" s="38" t="n"/>
      <c r="G798" s="38" t="n"/>
      <c r="H798" s="38" t="n"/>
      <c r="I798" s="38" t="n"/>
      <c r="J798" s="39">
        <f>IF($A798="","",IFERROR(IF($B798=0,0,$C798/$B798),0))</f>
        <v/>
      </c>
    </row>
    <row r="799">
      <c r="A799" s="38" t="n"/>
      <c r="B799" s="38" t="n"/>
      <c r="C799" s="38" t="n"/>
      <c r="D799" s="38" t="n"/>
      <c r="E799" s="38" t="n"/>
      <c r="F799" s="38" t="n"/>
      <c r="G799" s="38" t="n"/>
      <c r="H799" s="38" t="n"/>
      <c r="I799" s="38" t="n"/>
      <c r="J799" s="39">
        <f>IF($A799="","",IFERROR(IF($B799=0,0,$C799/$B799),0))</f>
        <v/>
      </c>
    </row>
    <row r="800">
      <c r="A800" s="38" t="n"/>
      <c r="B800" s="38" t="n"/>
      <c r="C800" s="38" t="n"/>
      <c r="D800" s="38" t="n"/>
      <c r="E800" s="38" t="n"/>
      <c r="F800" s="38" t="n"/>
      <c r="G800" s="38" t="n"/>
      <c r="H800" s="38" t="n"/>
      <c r="I800" s="38" t="n"/>
      <c r="J800" s="39">
        <f>IF($A800="","",IFERROR(IF($B800=0,0,$C800/$B800),0))</f>
        <v/>
      </c>
    </row>
    <row r="801">
      <c r="A801" s="38" t="n"/>
      <c r="B801" s="38" t="n"/>
      <c r="C801" s="38" t="n"/>
      <c r="D801" s="38" t="n"/>
      <c r="E801" s="38" t="n"/>
      <c r="F801" s="38" t="n"/>
      <c r="G801" s="38" t="n"/>
      <c r="H801" s="38" t="n"/>
      <c r="I801" s="38" t="n"/>
      <c r="J801" s="39">
        <f>IF($A801="","",IFERROR(IF($B801=0,0,$C801/$B801),0))</f>
        <v/>
      </c>
    </row>
    <row r="802">
      <c r="A802" s="38" t="n"/>
      <c r="B802" s="38" t="n"/>
      <c r="C802" s="38" t="n"/>
      <c r="D802" s="38" t="n"/>
      <c r="E802" s="38" t="n"/>
      <c r="F802" s="38" t="n"/>
      <c r="G802" s="38" t="n"/>
      <c r="H802" s="38" t="n"/>
      <c r="I802" s="38" t="n"/>
      <c r="J802" s="39">
        <f>IF($A802="","",IFERROR(IF($B802=0,0,$C802/$B802),0))</f>
        <v/>
      </c>
    </row>
    <row r="803">
      <c r="A803" s="38" t="n"/>
      <c r="B803" s="38" t="n"/>
      <c r="C803" s="38" t="n"/>
      <c r="D803" s="38" t="n"/>
      <c r="E803" s="38" t="n"/>
      <c r="F803" s="38" t="n"/>
      <c r="G803" s="38" t="n"/>
      <c r="H803" s="38" t="n"/>
      <c r="I803" s="38" t="n"/>
      <c r="J803" s="39">
        <f>IF($A803="","",IFERROR(IF($B803=0,0,$C803/$B803),0))</f>
        <v/>
      </c>
    </row>
    <row r="804">
      <c r="A804" s="38" t="n"/>
      <c r="B804" s="38" t="n"/>
      <c r="C804" s="38" t="n"/>
      <c r="D804" s="38" t="n"/>
      <c r="E804" s="38" t="n"/>
      <c r="F804" s="38" t="n"/>
      <c r="G804" s="38" t="n"/>
      <c r="H804" s="38" t="n"/>
      <c r="I804" s="38" t="n"/>
      <c r="J804" s="39">
        <f>IF($A804="","",IFERROR(IF($B804=0,0,$C804/$B804),0))</f>
        <v/>
      </c>
    </row>
    <row r="805">
      <c r="A805" s="38" t="n"/>
      <c r="B805" s="38" t="n"/>
      <c r="C805" s="38" t="n"/>
      <c r="D805" s="38" t="n"/>
      <c r="E805" s="38" t="n"/>
      <c r="F805" s="38" t="n"/>
      <c r="G805" s="38" t="n"/>
      <c r="H805" s="38" t="n"/>
      <c r="I805" s="38" t="n"/>
      <c r="J805" s="39">
        <f>IF($A805="","",IFERROR(IF($B805=0,0,$C805/$B805),0))</f>
        <v/>
      </c>
    </row>
    <row r="806">
      <c r="A806" s="38" t="n"/>
      <c r="B806" s="38" t="n"/>
      <c r="C806" s="38" t="n"/>
      <c r="D806" s="38" t="n"/>
      <c r="E806" s="38" t="n"/>
      <c r="F806" s="38" t="n"/>
      <c r="G806" s="38" t="n"/>
      <c r="H806" s="38" t="n"/>
      <c r="I806" s="38" t="n"/>
      <c r="J806" s="39">
        <f>IF($A806="","",IFERROR(IF($B806=0,0,$C806/$B806),0))</f>
        <v/>
      </c>
    </row>
    <row r="807">
      <c r="A807" s="38" t="n"/>
      <c r="B807" s="38" t="n"/>
      <c r="C807" s="38" t="n"/>
      <c r="D807" s="38" t="n"/>
      <c r="E807" s="38" t="n"/>
      <c r="F807" s="38" t="n"/>
      <c r="G807" s="38" t="n"/>
      <c r="H807" s="38" t="n"/>
      <c r="I807" s="38" t="n"/>
      <c r="J807" s="39">
        <f>IF($A807="","",IFERROR(IF($B807=0,0,$C807/$B807),0))</f>
        <v/>
      </c>
    </row>
    <row r="808">
      <c r="A808" s="38" t="n"/>
      <c r="B808" s="38" t="n"/>
      <c r="C808" s="38" t="n"/>
      <c r="D808" s="38" t="n"/>
      <c r="E808" s="38" t="n"/>
      <c r="F808" s="38" t="n"/>
      <c r="G808" s="38" t="n"/>
      <c r="H808" s="38" t="n"/>
      <c r="I808" s="38" t="n"/>
      <c r="J808" s="39">
        <f>IF($A808="","",IFERROR(IF($B808=0,0,$C808/$B808),0))</f>
        <v/>
      </c>
    </row>
    <row r="809">
      <c r="A809" s="38" t="n"/>
      <c r="B809" s="38" t="n"/>
      <c r="C809" s="38" t="n"/>
      <c r="D809" s="38" t="n"/>
      <c r="E809" s="38" t="n"/>
      <c r="F809" s="38" t="n"/>
      <c r="G809" s="38" t="n"/>
      <c r="H809" s="38" t="n"/>
      <c r="I809" s="38" t="n"/>
      <c r="J809" s="39">
        <f>IF($A809="","",IFERROR(IF($B809=0,0,$C809/$B809),0))</f>
        <v/>
      </c>
    </row>
    <row r="810">
      <c r="A810" s="38" t="n"/>
      <c r="B810" s="38" t="n"/>
      <c r="C810" s="38" t="n"/>
      <c r="D810" s="38" t="n"/>
      <c r="E810" s="38" t="n"/>
      <c r="F810" s="38" t="n"/>
      <c r="G810" s="38" t="n"/>
      <c r="H810" s="38" t="n"/>
      <c r="I810" s="38" t="n"/>
      <c r="J810" s="39">
        <f>IF($A810="","",IFERROR(IF($B810=0,0,$C810/$B810),0))</f>
        <v/>
      </c>
    </row>
    <row r="811">
      <c r="A811" s="38" t="n"/>
      <c r="B811" s="38" t="n"/>
      <c r="C811" s="38" t="n"/>
      <c r="D811" s="38" t="n"/>
      <c r="E811" s="38" t="n"/>
      <c r="F811" s="38" t="n"/>
      <c r="G811" s="38" t="n"/>
      <c r="H811" s="38" t="n"/>
      <c r="I811" s="38" t="n"/>
      <c r="J811" s="39">
        <f>IF($A811="","",IFERROR(IF($B811=0,0,$C811/$B811),0))</f>
        <v/>
      </c>
    </row>
    <row r="812">
      <c r="A812" s="38" t="n"/>
      <c r="B812" s="38" t="n"/>
      <c r="C812" s="38" t="n"/>
      <c r="D812" s="38" t="n"/>
      <c r="E812" s="38" t="n"/>
      <c r="F812" s="38" t="n"/>
      <c r="G812" s="38" t="n"/>
      <c r="H812" s="38" t="n"/>
      <c r="I812" s="38" t="n"/>
      <c r="J812" s="39">
        <f>IF($A812="","",IFERROR(IF($B812=0,0,$C812/$B812),0))</f>
        <v/>
      </c>
    </row>
    <row r="813">
      <c r="A813" s="38" t="n"/>
      <c r="B813" s="38" t="n"/>
      <c r="C813" s="38" t="n"/>
      <c r="D813" s="38" t="n"/>
      <c r="E813" s="38" t="n"/>
      <c r="F813" s="38" t="n"/>
      <c r="G813" s="38" t="n"/>
      <c r="H813" s="38" t="n"/>
      <c r="I813" s="38" t="n"/>
      <c r="J813" s="39">
        <f>IF($A813="","",IFERROR(IF($B813=0,0,$C813/$B813),0))</f>
        <v/>
      </c>
    </row>
    <row r="814">
      <c r="A814" s="38" t="n"/>
      <c r="B814" s="38" t="n"/>
      <c r="C814" s="38" t="n"/>
      <c r="D814" s="38" t="n"/>
      <c r="E814" s="38" t="n"/>
      <c r="F814" s="38" t="n"/>
      <c r="G814" s="38" t="n"/>
      <c r="H814" s="38" t="n"/>
      <c r="I814" s="38" t="n"/>
      <c r="J814" s="39">
        <f>IF($A814="","",IFERROR(IF($B814=0,0,$C814/$B814),0))</f>
        <v/>
      </c>
    </row>
    <row r="815">
      <c r="A815" s="38" t="n"/>
      <c r="B815" s="38" t="n"/>
      <c r="C815" s="38" t="n"/>
      <c r="D815" s="38" t="n"/>
      <c r="E815" s="38" t="n"/>
      <c r="F815" s="38" t="n"/>
      <c r="G815" s="38" t="n"/>
      <c r="H815" s="38" t="n"/>
      <c r="I815" s="38" t="n"/>
      <c r="J815" s="39">
        <f>IF($A815="","",IFERROR(IF($B815=0,0,$C815/$B815),0))</f>
        <v/>
      </c>
    </row>
    <row r="816">
      <c r="A816" s="38" t="n"/>
      <c r="B816" s="38" t="n"/>
      <c r="C816" s="38" t="n"/>
      <c r="D816" s="38" t="n"/>
      <c r="E816" s="38" t="n"/>
      <c r="F816" s="38" t="n"/>
      <c r="G816" s="38" t="n"/>
      <c r="H816" s="38" t="n"/>
      <c r="I816" s="38" t="n"/>
      <c r="J816" s="39">
        <f>IF($A816="","",IFERROR(IF($B816=0,0,$C816/$B816),0))</f>
        <v/>
      </c>
    </row>
    <row r="817">
      <c r="A817" s="38" t="n"/>
      <c r="B817" s="38" t="n"/>
      <c r="C817" s="38" t="n"/>
      <c r="D817" s="38" t="n"/>
      <c r="E817" s="38" t="n"/>
      <c r="F817" s="38" t="n"/>
      <c r="G817" s="38" t="n"/>
      <c r="H817" s="38" t="n"/>
      <c r="I817" s="38" t="n"/>
      <c r="J817" s="39">
        <f>IF($A817="","",IFERROR(IF($B817=0,0,$C817/$B817),0))</f>
        <v/>
      </c>
    </row>
    <row r="818">
      <c r="A818" s="38" t="n"/>
      <c r="B818" s="38" t="n"/>
      <c r="C818" s="38" t="n"/>
      <c r="D818" s="38" t="n"/>
      <c r="E818" s="38" t="n"/>
      <c r="F818" s="38" t="n"/>
      <c r="G818" s="38" t="n"/>
      <c r="H818" s="38" t="n"/>
      <c r="I818" s="38" t="n"/>
      <c r="J818" s="39">
        <f>IF($A818="","",IFERROR(IF($B818=0,0,$C818/$B818),0))</f>
        <v/>
      </c>
    </row>
    <row r="819">
      <c r="A819" s="38" t="n"/>
      <c r="B819" s="38" t="n"/>
      <c r="C819" s="38" t="n"/>
      <c r="D819" s="38" t="n"/>
      <c r="E819" s="38" t="n"/>
      <c r="F819" s="38" t="n"/>
      <c r="G819" s="38" t="n"/>
      <c r="H819" s="38" t="n"/>
      <c r="I819" s="38" t="n"/>
      <c r="J819" s="39">
        <f>IF($A819="","",IFERROR(IF($B819=0,0,$C819/$B819),0))</f>
        <v/>
      </c>
    </row>
    <row r="820">
      <c r="A820" s="38" t="n"/>
      <c r="B820" s="38" t="n"/>
      <c r="C820" s="38" t="n"/>
      <c r="D820" s="38" t="n"/>
      <c r="E820" s="38" t="n"/>
      <c r="F820" s="38" t="n"/>
      <c r="G820" s="38" t="n"/>
      <c r="H820" s="38" t="n"/>
      <c r="I820" s="38" t="n"/>
      <c r="J820" s="39">
        <f>IF($A820="","",IFERROR(IF($B820=0,0,$C820/$B820),0))</f>
        <v/>
      </c>
    </row>
    <row r="821">
      <c r="A821" s="38" t="n"/>
      <c r="B821" s="38" t="n"/>
      <c r="C821" s="38" t="n"/>
      <c r="D821" s="38" t="n"/>
      <c r="E821" s="38" t="n"/>
      <c r="F821" s="38" t="n"/>
      <c r="G821" s="38" t="n"/>
      <c r="H821" s="38" t="n"/>
      <c r="I821" s="38" t="n"/>
      <c r="J821" s="39">
        <f>IF($A821="","",IFERROR(IF($B821=0,0,$C821/$B821),0))</f>
        <v/>
      </c>
    </row>
    <row r="822">
      <c r="A822" s="38" t="n"/>
      <c r="B822" s="38" t="n"/>
      <c r="C822" s="38" t="n"/>
      <c r="D822" s="38" t="n"/>
      <c r="E822" s="38" t="n"/>
      <c r="F822" s="38" t="n"/>
      <c r="G822" s="38" t="n"/>
      <c r="H822" s="38" t="n"/>
      <c r="I822" s="38" t="n"/>
      <c r="J822" s="39">
        <f>IF($A822="","",IFERROR(IF($B822=0,0,$C822/$B822),0))</f>
        <v/>
      </c>
    </row>
    <row r="823">
      <c r="A823" s="38" t="n"/>
      <c r="B823" s="38" t="n"/>
      <c r="C823" s="38" t="n"/>
      <c r="D823" s="38" t="n"/>
      <c r="E823" s="38" t="n"/>
      <c r="F823" s="38" t="n"/>
      <c r="G823" s="38" t="n"/>
      <c r="H823" s="38" t="n"/>
      <c r="I823" s="38" t="n"/>
      <c r="J823" s="39">
        <f>IF($A823="","",IFERROR(IF($B823=0,0,$C823/$B823),0))</f>
        <v/>
      </c>
    </row>
    <row r="824">
      <c r="A824" s="38" t="n"/>
      <c r="B824" s="38" t="n"/>
      <c r="C824" s="38" t="n"/>
      <c r="D824" s="38" t="n"/>
      <c r="E824" s="38" t="n"/>
      <c r="F824" s="38" t="n"/>
      <c r="G824" s="38" t="n"/>
      <c r="H824" s="38" t="n"/>
      <c r="I824" s="38" t="n"/>
      <c r="J824" s="39">
        <f>IF($A824="","",IFERROR(IF($B824=0,0,$C824/$B824),0))</f>
        <v/>
      </c>
    </row>
    <row r="825">
      <c r="A825" s="38" t="n"/>
      <c r="B825" s="38" t="n"/>
      <c r="C825" s="38" t="n"/>
      <c r="D825" s="38" t="n"/>
      <c r="E825" s="38" t="n"/>
      <c r="F825" s="38" t="n"/>
      <c r="G825" s="38" t="n"/>
      <c r="H825" s="38" t="n"/>
      <c r="I825" s="38" t="n"/>
      <c r="J825" s="39">
        <f>IF($A825="","",IFERROR(IF($B825=0,0,$C825/$B825),0))</f>
        <v/>
      </c>
    </row>
    <row r="826">
      <c r="A826" s="38" t="n"/>
      <c r="B826" s="38" t="n"/>
      <c r="C826" s="38" t="n"/>
      <c r="D826" s="38" t="n"/>
      <c r="E826" s="38" t="n"/>
      <c r="F826" s="38" t="n"/>
      <c r="G826" s="38" t="n"/>
      <c r="H826" s="38" t="n"/>
      <c r="I826" s="38" t="n"/>
      <c r="J826" s="39">
        <f>IF($A826="","",IFERROR(IF($B826=0,0,$C826/$B826),0))</f>
        <v/>
      </c>
    </row>
    <row r="827">
      <c r="A827" s="38" t="n"/>
      <c r="B827" s="38" t="n"/>
      <c r="C827" s="38" t="n"/>
      <c r="D827" s="38" t="n"/>
      <c r="E827" s="38" t="n"/>
      <c r="F827" s="38" t="n"/>
      <c r="G827" s="38" t="n"/>
      <c r="H827" s="38" t="n"/>
      <c r="I827" s="38" t="n"/>
      <c r="J827" s="39">
        <f>IF($A827="","",IFERROR(IF($B827=0,0,$C827/$B827),0))</f>
        <v/>
      </c>
    </row>
    <row r="828">
      <c r="A828" s="38" t="n"/>
      <c r="B828" s="38" t="n"/>
      <c r="C828" s="38" t="n"/>
      <c r="D828" s="38" t="n"/>
      <c r="E828" s="38" t="n"/>
      <c r="F828" s="38" t="n"/>
      <c r="G828" s="38" t="n"/>
      <c r="H828" s="38" t="n"/>
      <c r="I828" s="38" t="n"/>
      <c r="J828" s="39">
        <f>IF($A828="","",IFERROR(IF($B828=0,0,$C828/$B828),0))</f>
        <v/>
      </c>
    </row>
    <row r="829">
      <c r="A829" s="38" t="n"/>
      <c r="B829" s="38" t="n"/>
      <c r="C829" s="38" t="n"/>
      <c r="D829" s="38" t="n"/>
      <c r="E829" s="38" t="n"/>
      <c r="F829" s="38" t="n"/>
      <c r="G829" s="38" t="n"/>
      <c r="H829" s="38" t="n"/>
      <c r="I829" s="38" t="n"/>
      <c r="J829" s="39">
        <f>IF($A829="","",IFERROR(IF($B829=0,0,$C829/$B829),0))</f>
        <v/>
      </c>
    </row>
    <row r="830">
      <c r="A830" s="38" t="n"/>
      <c r="B830" s="38" t="n"/>
      <c r="C830" s="38" t="n"/>
      <c r="D830" s="38" t="n"/>
      <c r="E830" s="38" t="n"/>
      <c r="F830" s="38" t="n"/>
      <c r="G830" s="38" t="n"/>
      <c r="H830" s="38" t="n"/>
      <c r="I830" s="38" t="n"/>
      <c r="J830" s="39">
        <f>IF($A830="","",IFERROR(IF($B830=0,0,$C830/$B830),0))</f>
        <v/>
      </c>
    </row>
    <row r="831">
      <c r="A831" s="38" t="n"/>
      <c r="B831" s="38" t="n"/>
      <c r="C831" s="38" t="n"/>
      <c r="D831" s="38" t="n"/>
      <c r="E831" s="38" t="n"/>
      <c r="F831" s="38" t="n"/>
      <c r="G831" s="38" t="n"/>
      <c r="H831" s="38" t="n"/>
      <c r="I831" s="38" t="n"/>
      <c r="J831" s="39">
        <f>IF($A831="","",IFERROR(IF($B831=0,0,$C831/$B831),0))</f>
        <v/>
      </c>
    </row>
    <row r="832">
      <c r="A832" s="38" t="n"/>
      <c r="B832" s="38" t="n"/>
      <c r="C832" s="38" t="n"/>
      <c r="D832" s="38" t="n"/>
      <c r="E832" s="38" t="n"/>
      <c r="F832" s="38" t="n"/>
      <c r="G832" s="38" t="n"/>
      <c r="H832" s="38" t="n"/>
      <c r="I832" s="38" t="n"/>
      <c r="J832" s="39">
        <f>IF($A832="","",IFERROR(IF($B832=0,0,$C832/$B832),0))</f>
        <v/>
      </c>
    </row>
    <row r="833">
      <c r="A833" s="38" t="n"/>
      <c r="B833" s="38" t="n"/>
      <c r="C833" s="38" t="n"/>
      <c r="D833" s="38" t="n"/>
      <c r="E833" s="38" t="n"/>
      <c r="F833" s="38" t="n"/>
      <c r="G833" s="38" t="n"/>
      <c r="H833" s="38" t="n"/>
      <c r="I833" s="38" t="n"/>
      <c r="J833" s="39">
        <f>IF($A833="","",IFERROR(IF($B833=0,0,$C833/$B833),0))</f>
        <v/>
      </c>
    </row>
    <row r="834">
      <c r="A834" s="38" t="n"/>
      <c r="B834" s="38" t="n"/>
      <c r="C834" s="38" t="n"/>
      <c r="D834" s="38" t="n"/>
      <c r="E834" s="38" t="n"/>
      <c r="F834" s="38" t="n"/>
      <c r="G834" s="38" t="n"/>
      <c r="H834" s="38" t="n"/>
      <c r="I834" s="38" t="n"/>
      <c r="J834" s="39">
        <f>IF($A834="","",IFERROR(IF($B834=0,0,$C834/$B834),0))</f>
        <v/>
      </c>
    </row>
    <row r="835">
      <c r="A835" s="38" t="n"/>
      <c r="B835" s="38" t="n"/>
      <c r="C835" s="38" t="n"/>
      <c r="D835" s="38" t="n"/>
      <c r="E835" s="38" t="n"/>
      <c r="F835" s="38" t="n"/>
      <c r="G835" s="38" t="n"/>
      <c r="H835" s="38" t="n"/>
      <c r="I835" s="38" t="n"/>
      <c r="J835" s="39">
        <f>IF($A835="","",IFERROR(IF($B835=0,0,$C835/$B835),0))</f>
        <v/>
      </c>
    </row>
    <row r="836">
      <c r="A836" s="38" t="n"/>
      <c r="B836" s="38" t="n"/>
      <c r="C836" s="38" t="n"/>
      <c r="D836" s="38" t="n"/>
      <c r="E836" s="38" t="n"/>
      <c r="F836" s="38" t="n"/>
      <c r="G836" s="38" t="n"/>
      <c r="H836" s="38" t="n"/>
      <c r="I836" s="38" t="n"/>
      <c r="J836" s="39">
        <f>IF($A836="","",IFERROR(IF($B836=0,0,$C836/$B836),0))</f>
        <v/>
      </c>
    </row>
    <row r="837">
      <c r="A837" s="38" t="n"/>
      <c r="B837" s="38" t="n"/>
      <c r="C837" s="38" t="n"/>
      <c r="D837" s="38" t="n"/>
      <c r="E837" s="38" t="n"/>
      <c r="F837" s="38" t="n"/>
      <c r="G837" s="38" t="n"/>
      <c r="H837" s="38" t="n"/>
      <c r="I837" s="38" t="n"/>
      <c r="J837" s="39">
        <f>IF($A837="","",IFERROR(IF($B837=0,0,$C837/$B837),0))</f>
        <v/>
      </c>
    </row>
    <row r="838">
      <c r="A838" s="38" t="n"/>
      <c r="B838" s="38" t="n"/>
      <c r="C838" s="38" t="n"/>
      <c r="D838" s="38" t="n"/>
      <c r="E838" s="38" t="n"/>
      <c r="F838" s="38" t="n"/>
      <c r="G838" s="38" t="n"/>
      <c r="H838" s="38" t="n"/>
      <c r="I838" s="38" t="n"/>
      <c r="J838" s="39">
        <f>IF($A838="","",IFERROR(IF($B838=0,0,$C838/$B838),0))</f>
        <v/>
      </c>
    </row>
    <row r="839">
      <c r="A839" s="38" t="n"/>
      <c r="B839" s="38" t="n"/>
      <c r="C839" s="38" t="n"/>
      <c r="D839" s="38" t="n"/>
      <c r="E839" s="38" t="n"/>
      <c r="F839" s="38" t="n"/>
      <c r="G839" s="38" t="n"/>
      <c r="H839" s="38" t="n"/>
      <c r="I839" s="38" t="n"/>
      <c r="J839" s="39">
        <f>IF($A839="","",IFERROR(IF($B839=0,0,$C839/$B839),0))</f>
        <v/>
      </c>
    </row>
    <row r="840">
      <c r="A840" s="38" t="n"/>
      <c r="B840" s="38" t="n"/>
      <c r="C840" s="38" t="n"/>
      <c r="D840" s="38" t="n"/>
      <c r="E840" s="38" t="n"/>
      <c r="F840" s="38" t="n"/>
      <c r="G840" s="38" t="n"/>
      <c r="H840" s="38" t="n"/>
      <c r="I840" s="38" t="n"/>
      <c r="J840" s="39">
        <f>IF($A840="","",IFERROR(IF($B840=0,0,$C840/$B840),0))</f>
        <v/>
      </c>
    </row>
    <row r="841">
      <c r="A841" s="38" t="n"/>
      <c r="B841" s="38" t="n"/>
      <c r="C841" s="38" t="n"/>
      <c r="D841" s="38" t="n"/>
      <c r="E841" s="38" t="n"/>
      <c r="F841" s="38" t="n"/>
      <c r="G841" s="38" t="n"/>
      <c r="H841" s="38" t="n"/>
      <c r="I841" s="38" t="n"/>
      <c r="J841" s="39">
        <f>IF($A841="","",IFERROR(IF($B841=0,0,$C841/$B841),0))</f>
        <v/>
      </c>
    </row>
    <row r="842">
      <c r="A842" s="38" t="n"/>
      <c r="B842" s="38" t="n"/>
      <c r="C842" s="38" t="n"/>
      <c r="D842" s="38" t="n"/>
      <c r="E842" s="38" t="n"/>
      <c r="F842" s="38" t="n"/>
      <c r="G842" s="38" t="n"/>
      <c r="H842" s="38" t="n"/>
      <c r="I842" s="38" t="n"/>
      <c r="J842" s="39">
        <f>IF($A842="","",IFERROR(IF($B842=0,0,$C842/$B842),0))</f>
        <v/>
      </c>
    </row>
    <row r="843">
      <c r="A843" s="38" t="n"/>
      <c r="B843" s="38" t="n"/>
      <c r="C843" s="38" t="n"/>
      <c r="D843" s="38" t="n"/>
      <c r="E843" s="38" t="n"/>
      <c r="F843" s="38" t="n"/>
      <c r="G843" s="38" t="n"/>
      <c r="H843" s="38" t="n"/>
      <c r="I843" s="38" t="n"/>
      <c r="J843" s="39">
        <f>IF($A843="","",IFERROR(IF($B843=0,0,$C843/$B843),0))</f>
        <v/>
      </c>
    </row>
    <row r="844">
      <c r="A844" s="38" t="n"/>
      <c r="B844" s="38" t="n"/>
      <c r="C844" s="38" t="n"/>
      <c r="D844" s="38" t="n"/>
      <c r="E844" s="38" t="n"/>
      <c r="F844" s="38" t="n"/>
      <c r="G844" s="38" t="n"/>
      <c r="H844" s="38" t="n"/>
      <c r="I844" s="38" t="n"/>
      <c r="J844" s="39">
        <f>IF($A844="","",IFERROR(IF($B844=0,0,$C844/$B844),0))</f>
        <v/>
      </c>
    </row>
    <row r="845">
      <c r="A845" s="38" t="n"/>
      <c r="B845" s="38" t="n"/>
      <c r="C845" s="38" t="n"/>
      <c r="D845" s="38" t="n"/>
      <c r="E845" s="38" t="n"/>
      <c r="F845" s="38" t="n"/>
      <c r="G845" s="38" t="n"/>
      <c r="H845" s="38" t="n"/>
      <c r="I845" s="38" t="n"/>
      <c r="J845" s="39">
        <f>IF($A845="","",IFERROR(IF($B845=0,0,$C845/$B845),0))</f>
        <v/>
      </c>
    </row>
    <row r="846">
      <c r="A846" s="38" t="n"/>
      <c r="B846" s="38" t="n"/>
      <c r="C846" s="38" t="n"/>
      <c r="D846" s="38" t="n"/>
      <c r="E846" s="38" t="n"/>
      <c r="F846" s="38" t="n"/>
      <c r="G846" s="38" t="n"/>
      <c r="H846" s="38" t="n"/>
      <c r="I846" s="38" t="n"/>
      <c r="J846" s="39">
        <f>IF($A846="","",IFERROR(IF($B846=0,0,$C846/$B846),0))</f>
        <v/>
      </c>
    </row>
    <row r="847">
      <c r="A847" s="38" t="n"/>
      <c r="B847" s="38" t="n"/>
      <c r="C847" s="38" t="n"/>
      <c r="D847" s="38" t="n"/>
      <c r="E847" s="38" t="n"/>
      <c r="F847" s="38" t="n"/>
      <c r="G847" s="38" t="n"/>
      <c r="H847" s="38" t="n"/>
      <c r="I847" s="38" t="n"/>
      <c r="J847" s="39">
        <f>IF($A847="","",IFERROR(IF($B847=0,0,$C847/$B847),0))</f>
        <v/>
      </c>
    </row>
    <row r="848">
      <c r="A848" s="38" t="n"/>
      <c r="B848" s="38" t="n"/>
      <c r="C848" s="38" t="n"/>
      <c r="D848" s="38" t="n"/>
      <c r="E848" s="38" t="n"/>
      <c r="F848" s="38" t="n"/>
      <c r="G848" s="38" t="n"/>
      <c r="H848" s="38" t="n"/>
      <c r="I848" s="38" t="n"/>
      <c r="J848" s="39">
        <f>IF($A848="","",IFERROR(IF($B848=0,0,$C848/$B848),0))</f>
        <v/>
      </c>
    </row>
    <row r="849">
      <c r="A849" s="38" t="n"/>
      <c r="B849" s="38" t="n"/>
      <c r="C849" s="38" t="n"/>
      <c r="D849" s="38" t="n"/>
      <c r="E849" s="38" t="n"/>
      <c r="F849" s="38" t="n"/>
      <c r="G849" s="38" t="n"/>
      <c r="H849" s="38" t="n"/>
      <c r="I849" s="38" t="n"/>
      <c r="J849" s="39">
        <f>IF($A849="","",IFERROR(IF($B849=0,0,$C849/$B849),0))</f>
        <v/>
      </c>
    </row>
    <row r="850">
      <c r="A850" s="38" t="n"/>
      <c r="B850" s="38" t="n"/>
      <c r="C850" s="38" t="n"/>
      <c r="D850" s="38" t="n"/>
      <c r="E850" s="38" t="n"/>
      <c r="F850" s="38" t="n"/>
      <c r="G850" s="38" t="n"/>
      <c r="H850" s="38" t="n"/>
      <c r="I850" s="38" t="n"/>
      <c r="J850" s="39">
        <f>IF($A850="","",IFERROR(IF($B850=0,0,$C850/$B850),0))</f>
        <v/>
      </c>
    </row>
    <row r="851">
      <c r="A851" s="38" t="n"/>
      <c r="B851" s="38" t="n"/>
      <c r="C851" s="38" t="n"/>
      <c r="D851" s="38" t="n"/>
      <c r="E851" s="38" t="n"/>
      <c r="F851" s="38" t="n"/>
      <c r="G851" s="38" t="n"/>
      <c r="H851" s="38" t="n"/>
      <c r="I851" s="38" t="n"/>
      <c r="J851" s="39">
        <f>IF($A851="","",IFERROR(IF($B851=0,0,$C851/$B851),0))</f>
        <v/>
      </c>
    </row>
    <row r="852">
      <c r="A852" s="38" t="n"/>
      <c r="B852" s="38" t="n"/>
      <c r="C852" s="38" t="n"/>
      <c r="D852" s="38" t="n"/>
      <c r="E852" s="38" t="n"/>
      <c r="F852" s="38" t="n"/>
      <c r="G852" s="38" t="n"/>
      <c r="H852" s="38" t="n"/>
      <c r="I852" s="38" t="n"/>
      <c r="J852" s="39">
        <f>IF($A852="","",IFERROR(IF($B852=0,0,$C852/$B852),0))</f>
        <v/>
      </c>
    </row>
    <row r="853">
      <c r="A853" s="38" t="n"/>
      <c r="B853" s="38" t="n"/>
      <c r="C853" s="38" t="n"/>
      <c r="D853" s="38" t="n"/>
      <c r="E853" s="38" t="n"/>
      <c r="F853" s="38" t="n"/>
      <c r="G853" s="38" t="n"/>
      <c r="H853" s="38" t="n"/>
      <c r="I853" s="38" t="n"/>
      <c r="J853" s="39">
        <f>IF($A853="","",IFERROR(IF($B853=0,0,$C853/$B853),0))</f>
        <v/>
      </c>
    </row>
    <row r="854">
      <c r="A854" s="38" t="n"/>
      <c r="B854" s="38" t="n"/>
      <c r="C854" s="38" t="n"/>
      <c r="D854" s="38" t="n"/>
      <c r="E854" s="38" t="n"/>
      <c r="F854" s="38" t="n"/>
      <c r="G854" s="38" t="n"/>
      <c r="H854" s="38" t="n"/>
      <c r="I854" s="38" t="n"/>
      <c r="J854" s="39">
        <f>IF($A854="","",IFERROR(IF($B854=0,0,$C854/$B854),0))</f>
        <v/>
      </c>
    </row>
    <row r="855">
      <c r="A855" s="38" t="n"/>
      <c r="B855" s="38" t="n"/>
      <c r="C855" s="38" t="n"/>
      <c r="D855" s="38" t="n"/>
      <c r="E855" s="38" t="n"/>
      <c r="F855" s="38" t="n"/>
      <c r="G855" s="38" t="n"/>
      <c r="H855" s="38" t="n"/>
      <c r="I855" s="38" t="n"/>
      <c r="J855" s="39">
        <f>IF($A855="","",IFERROR(IF($B855=0,0,$C855/$B855),0))</f>
        <v/>
      </c>
    </row>
    <row r="856">
      <c r="A856" s="38" t="n"/>
      <c r="B856" s="38" t="n"/>
      <c r="C856" s="38" t="n"/>
      <c r="D856" s="38" t="n"/>
      <c r="E856" s="38" t="n"/>
      <c r="F856" s="38" t="n"/>
      <c r="G856" s="38" t="n"/>
      <c r="H856" s="38" t="n"/>
      <c r="I856" s="38" t="n"/>
      <c r="J856" s="39">
        <f>IF($A856="","",IFERROR(IF($B856=0,0,$C856/$B856),0))</f>
        <v/>
      </c>
    </row>
    <row r="857">
      <c r="A857" s="38" t="n"/>
      <c r="B857" s="38" t="n"/>
      <c r="C857" s="38" t="n"/>
      <c r="D857" s="38" t="n"/>
      <c r="E857" s="38" t="n"/>
      <c r="F857" s="38" t="n"/>
      <c r="G857" s="38" t="n"/>
      <c r="H857" s="38" t="n"/>
      <c r="I857" s="38" t="n"/>
      <c r="J857" s="39">
        <f>IF($A857="","",IFERROR(IF($B857=0,0,$C857/$B857),0))</f>
        <v/>
      </c>
    </row>
    <row r="858">
      <c r="A858" s="38" t="n"/>
      <c r="B858" s="38" t="n"/>
      <c r="C858" s="38" t="n"/>
      <c r="D858" s="38" t="n"/>
      <c r="E858" s="38" t="n"/>
      <c r="F858" s="38" t="n"/>
      <c r="G858" s="38" t="n"/>
      <c r="H858" s="38" t="n"/>
      <c r="I858" s="38" t="n"/>
      <c r="J858" s="39">
        <f>IF($A858="","",IFERROR(IF($B858=0,0,$C858/$B858),0))</f>
        <v/>
      </c>
    </row>
    <row r="859">
      <c r="A859" s="38" t="n"/>
      <c r="B859" s="38" t="n"/>
      <c r="C859" s="38" t="n"/>
      <c r="D859" s="38" t="n"/>
      <c r="E859" s="38" t="n"/>
      <c r="F859" s="38" t="n"/>
      <c r="G859" s="38" t="n"/>
      <c r="H859" s="38" t="n"/>
      <c r="I859" s="38" t="n"/>
      <c r="J859" s="39">
        <f>IF($A859="","",IFERROR(IF($B859=0,0,$C859/$B859),0))</f>
        <v/>
      </c>
    </row>
    <row r="860">
      <c r="A860" s="38" t="n"/>
      <c r="B860" s="38" t="n"/>
      <c r="C860" s="38" t="n"/>
      <c r="D860" s="38" t="n"/>
      <c r="E860" s="38" t="n"/>
      <c r="F860" s="38" t="n"/>
      <c r="G860" s="38" t="n"/>
      <c r="H860" s="38" t="n"/>
      <c r="I860" s="38" t="n"/>
      <c r="J860" s="39">
        <f>IF($A860="","",IFERROR(IF($B860=0,0,$C860/$B860),0))</f>
        <v/>
      </c>
    </row>
    <row r="861">
      <c r="A861" s="38" t="n"/>
      <c r="B861" s="38" t="n"/>
      <c r="C861" s="38" t="n"/>
      <c r="D861" s="38" t="n"/>
      <c r="E861" s="38" t="n"/>
      <c r="F861" s="38" t="n"/>
      <c r="G861" s="38" t="n"/>
      <c r="H861" s="38" t="n"/>
      <c r="I861" s="38" t="n"/>
      <c r="J861" s="39">
        <f>IF($A861="","",IFERROR(IF($B861=0,0,$C861/$B861),0))</f>
        <v/>
      </c>
    </row>
    <row r="862">
      <c r="A862" s="38" t="n"/>
      <c r="B862" s="38" t="n"/>
      <c r="C862" s="38" t="n"/>
      <c r="D862" s="38" t="n"/>
      <c r="E862" s="38" t="n"/>
      <c r="F862" s="38" t="n"/>
      <c r="G862" s="38" t="n"/>
      <c r="H862" s="38" t="n"/>
      <c r="I862" s="38" t="n"/>
      <c r="J862" s="39">
        <f>IF($A862="","",IFERROR(IF($B862=0,0,$C862/$B862),0))</f>
        <v/>
      </c>
    </row>
    <row r="863">
      <c r="A863" s="38" t="n"/>
      <c r="B863" s="38" t="n"/>
      <c r="C863" s="38" t="n"/>
      <c r="D863" s="38" t="n"/>
      <c r="E863" s="38" t="n"/>
      <c r="F863" s="38" t="n"/>
      <c r="G863" s="38" t="n"/>
      <c r="H863" s="38" t="n"/>
      <c r="I863" s="38" t="n"/>
      <c r="J863" s="39">
        <f>IF($A863="","",IFERROR(IF($B863=0,0,$C863/$B863),0))</f>
        <v/>
      </c>
    </row>
    <row r="864">
      <c r="A864" s="38" t="n"/>
      <c r="B864" s="38" t="n"/>
      <c r="C864" s="38" t="n"/>
      <c r="D864" s="38" t="n"/>
      <c r="E864" s="38" t="n"/>
      <c r="F864" s="38" t="n"/>
      <c r="G864" s="38" t="n"/>
      <c r="H864" s="38" t="n"/>
      <c r="I864" s="38" t="n"/>
      <c r="J864" s="39">
        <f>IF($A864="","",IFERROR(IF($B864=0,0,$C864/$B864),0))</f>
        <v/>
      </c>
    </row>
    <row r="865">
      <c r="A865" s="38" t="n"/>
      <c r="B865" s="38" t="n"/>
      <c r="C865" s="38" t="n"/>
      <c r="D865" s="38" t="n"/>
      <c r="E865" s="38" t="n"/>
      <c r="F865" s="38" t="n"/>
      <c r="G865" s="38" t="n"/>
      <c r="H865" s="38" t="n"/>
      <c r="I865" s="38" t="n"/>
      <c r="J865" s="39">
        <f>IF($A865="","",IFERROR(IF($B865=0,0,$C865/$B865),0))</f>
        <v/>
      </c>
    </row>
    <row r="866">
      <c r="A866" s="38" t="n"/>
      <c r="B866" s="38" t="n"/>
      <c r="C866" s="38" t="n"/>
      <c r="D866" s="38" t="n"/>
      <c r="E866" s="38" t="n"/>
      <c r="F866" s="38" t="n"/>
      <c r="G866" s="38" t="n"/>
      <c r="H866" s="38" t="n"/>
      <c r="I866" s="38" t="n"/>
      <c r="J866" s="39">
        <f>IF($A866="","",IFERROR(IF($B866=0,0,$C866/$B866),0))</f>
        <v/>
      </c>
    </row>
    <row r="867">
      <c r="A867" s="38" t="n"/>
      <c r="B867" s="38" t="n"/>
      <c r="C867" s="38" t="n"/>
      <c r="D867" s="38" t="n"/>
      <c r="E867" s="38" t="n"/>
      <c r="F867" s="38" t="n"/>
      <c r="G867" s="38" t="n"/>
      <c r="H867" s="38" t="n"/>
      <c r="I867" s="38" t="n"/>
      <c r="J867" s="39">
        <f>IF($A867="","",IFERROR(IF($B867=0,0,$C867/$B867),0))</f>
        <v/>
      </c>
    </row>
    <row r="868">
      <c r="A868" s="38" t="n"/>
      <c r="B868" s="38" t="n"/>
      <c r="C868" s="38" t="n"/>
      <c r="D868" s="38" t="n"/>
      <c r="E868" s="38" t="n"/>
      <c r="F868" s="38" t="n"/>
      <c r="G868" s="38" t="n"/>
      <c r="H868" s="38" t="n"/>
      <c r="I868" s="38" t="n"/>
      <c r="J868" s="39">
        <f>IF($A868="","",IFERROR(IF($B868=0,0,$C868/$B868),0))</f>
        <v/>
      </c>
    </row>
    <row r="869">
      <c r="A869" s="38" t="n"/>
      <c r="B869" s="38" t="n"/>
      <c r="C869" s="38" t="n"/>
      <c r="D869" s="38" t="n"/>
      <c r="E869" s="38" t="n"/>
      <c r="F869" s="38" t="n"/>
      <c r="G869" s="38" t="n"/>
      <c r="H869" s="38" t="n"/>
      <c r="I869" s="38" t="n"/>
      <c r="J869" s="39">
        <f>IF($A869="","",IFERROR(IF($B869=0,0,$C869/$B869),0))</f>
        <v/>
      </c>
    </row>
    <row r="870">
      <c r="A870" s="38" t="n"/>
      <c r="B870" s="38" t="n"/>
      <c r="C870" s="38" t="n"/>
      <c r="D870" s="38" t="n"/>
      <c r="E870" s="38" t="n"/>
      <c r="F870" s="38" t="n"/>
      <c r="G870" s="38" t="n"/>
      <c r="H870" s="38" t="n"/>
      <c r="I870" s="38" t="n"/>
      <c r="J870" s="39">
        <f>IF($A870="","",IFERROR(IF($B870=0,0,$C870/$B870),0))</f>
        <v/>
      </c>
    </row>
    <row r="871">
      <c r="A871" s="38" t="n"/>
      <c r="B871" s="38" t="n"/>
      <c r="C871" s="38" t="n"/>
      <c r="D871" s="38" t="n"/>
      <c r="E871" s="38" t="n"/>
      <c r="F871" s="38" t="n"/>
      <c r="G871" s="38" t="n"/>
      <c r="H871" s="38" t="n"/>
      <c r="I871" s="38" t="n"/>
      <c r="J871" s="39">
        <f>IF($A871="","",IFERROR(IF($B871=0,0,$C871/$B871),0))</f>
        <v/>
      </c>
    </row>
    <row r="872">
      <c r="A872" s="38" t="n"/>
      <c r="B872" s="38" t="n"/>
      <c r="C872" s="38" t="n"/>
      <c r="D872" s="38" t="n"/>
      <c r="E872" s="38" t="n"/>
      <c r="F872" s="38" t="n"/>
      <c r="G872" s="38" t="n"/>
      <c r="H872" s="38" t="n"/>
      <c r="I872" s="38" t="n"/>
      <c r="J872" s="39">
        <f>IF($A872="","",IFERROR(IF($B872=0,0,$C872/$B872),0))</f>
        <v/>
      </c>
    </row>
    <row r="873">
      <c r="A873" s="38" t="n"/>
      <c r="B873" s="38" t="n"/>
      <c r="C873" s="38" t="n"/>
      <c r="D873" s="38" t="n"/>
      <c r="E873" s="38" t="n"/>
      <c r="F873" s="38" t="n"/>
      <c r="G873" s="38" t="n"/>
      <c r="H873" s="38" t="n"/>
      <c r="I873" s="38" t="n"/>
      <c r="J873" s="39">
        <f>IF($A873="","",IFERROR(IF($B873=0,0,$C873/$B873),0))</f>
        <v/>
      </c>
    </row>
    <row r="874">
      <c r="A874" s="38" t="n"/>
      <c r="B874" s="38" t="n"/>
      <c r="C874" s="38" t="n"/>
      <c r="D874" s="38" t="n"/>
      <c r="E874" s="38" t="n"/>
      <c r="F874" s="38" t="n"/>
      <c r="G874" s="38" t="n"/>
      <c r="H874" s="38" t="n"/>
      <c r="I874" s="38" t="n"/>
      <c r="J874" s="39">
        <f>IF($A874="","",IFERROR(IF($B874=0,0,$C874/$B874),0))</f>
        <v/>
      </c>
    </row>
    <row r="875">
      <c r="A875" s="38" t="n"/>
      <c r="B875" s="38" t="n"/>
      <c r="C875" s="38" t="n"/>
      <c r="D875" s="38" t="n"/>
      <c r="E875" s="38" t="n"/>
      <c r="F875" s="38" t="n"/>
      <c r="G875" s="38" t="n"/>
      <c r="H875" s="38" t="n"/>
      <c r="I875" s="38" t="n"/>
      <c r="J875" s="39">
        <f>IF($A875="","",IFERROR(IF($B875=0,0,$C875/$B875),0))</f>
        <v/>
      </c>
    </row>
    <row r="876">
      <c r="A876" s="38" t="n"/>
      <c r="B876" s="38" t="n"/>
      <c r="C876" s="38" t="n"/>
      <c r="D876" s="38" t="n"/>
      <c r="E876" s="38" t="n"/>
      <c r="F876" s="38" t="n"/>
      <c r="G876" s="38" t="n"/>
      <c r="H876" s="38" t="n"/>
      <c r="I876" s="38" t="n"/>
      <c r="J876" s="39">
        <f>IF($A876="","",IFERROR(IF($B876=0,0,$C876/$B876),0))</f>
        <v/>
      </c>
    </row>
    <row r="877">
      <c r="A877" s="38" t="n"/>
      <c r="B877" s="38" t="n"/>
      <c r="C877" s="38" t="n"/>
      <c r="D877" s="38" t="n"/>
      <c r="E877" s="38" t="n"/>
      <c r="F877" s="38" t="n"/>
      <c r="G877" s="38" t="n"/>
      <c r="H877" s="38" t="n"/>
      <c r="I877" s="38" t="n"/>
      <c r="J877" s="39">
        <f>IF($A877="","",IFERROR(IF($B877=0,0,$C877/$B877),0))</f>
        <v/>
      </c>
    </row>
    <row r="878">
      <c r="A878" s="38" t="n"/>
      <c r="B878" s="38" t="n"/>
      <c r="C878" s="38" t="n"/>
      <c r="D878" s="38" t="n"/>
      <c r="E878" s="38" t="n"/>
      <c r="F878" s="38" t="n"/>
      <c r="G878" s="38" t="n"/>
      <c r="H878" s="38" t="n"/>
      <c r="I878" s="38" t="n"/>
      <c r="J878" s="39">
        <f>IF($A878="","",IFERROR(IF($B878=0,0,$C878/$B878),0))</f>
        <v/>
      </c>
    </row>
    <row r="879">
      <c r="A879" s="38" t="n"/>
      <c r="B879" s="38" t="n"/>
      <c r="C879" s="38" t="n"/>
      <c r="D879" s="38" t="n"/>
      <c r="E879" s="38" t="n"/>
      <c r="F879" s="38" t="n"/>
      <c r="G879" s="38" t="n"/>
      <c r="H879" s="38" t="n"/>
      <c r="I879" s="38" t="n"/>
      <c r="J879" s="39">
        <f>IF($A879="","",IFERROR(IF($B879=0,0,$C879/$B879),0))</f>
        <v/>
      </c>
    </row>
    <row r="880">
      <c r="A880" s="38" t="n"/>
      <c r="B880" s="38" t="n"/>
      <c r="C880" s="38" t="n"/>
      <c r="D880" s="38" t="n"/>
      <c r="E880" s="38" t="n"/>
      <c r="F880" s="38" t="n"/>
      <c r="G880" s="38" t="n"/>
      <c r="H880" s="38" t="n"/>
      <c r="I880" s="38" t="n"/>
      <c r="J880" s="39">
        <f>IF($A880="","",IFERROR(IF($B880=0,0,$C880/$B880),0))</f>
        <v/>
      </c>
    </row>
    <row r="881">
      <c r="A881" s="38" t="n"/>
      <c r="B881" s="38" t="n"/>
      <c r="C881" s="38" t="n"/>
      <c r="D881" s="38" t="n"/>
      <c r="E881" s="38" t="n"/>
      <c r="F881" s="38" t="n"/>
      <c r="G881" s="38" t="n"/>
      <c r="H881" s="38" t="n"/>
      <c r="I881" s="38" t="n"/>
      <c r="J881" s="39">
        <f>IF($A881="","",IFERROR(IF($B881=0,0,$C881/$B881),0))</f>
        <v/>
      </c>
    </row>
    <row r="882">
      <c r="A882" s="38" t="n"/>
      <c r="B882" s="38" t="n"/>
      <c r="C882" s="38" t="n"/>
      <c r="D882" s="38" t="n"/>
      <c r="E882" s="38" t="n"/>
      <c r="F882" s="38" t="n"/>
      <c r="G882" s="38" t="n"/>
      <c r="H882" s="38" t="n"/>
      <c r="I882" s="38" t="n"/>
      <c r="J882" s="39">
        <f>IF($A882="","",IFERROR(IF($B882=0,0,$C882/$B882),0))</f>
        <v/>
      </c>
    </row>
    <row r="883">
      <c r="A883" s="38" t="n"/>
      <c r="B883" s="38" t="n"/>
      <c r="C883" s="38" t="n"/>
      <c r="D883" s="38" t="n"/>
      <c r="E883" s="38" t="n"/>
      <c r="F883" s="38" t="n"/>
      <c r="G883" s="38" t="n"/>
      <c r="H883" s="38" t="n"/>
      <c r="I883" s="38" t="n"/>
      <c r="J883" s="39">
        <f>IF($A883="","",IFERROR(IF($B883=0,0,$C883/$B883),0))</f>
        <v/>
      </c>
    </row>
    <row r="884">
      <c r="A884" s="38" t="n"/>
      <c r="B884" s="38" t="n"/>
      <c r="C884" s="38" t="n"/>
      <c r="D884" s="38" t="n"/>
      <c r="E884" s="38" t="n"/>
      <c r="F884" s="38" t="n"/>
      <c r="G884" s="38" t="n"/>
      <c r="H884" s="38" t="n"/>
      <c r="I884" s="38" t="n"/>
      <c r="J884" s="39">
        <f>IF($A884="","",IFERROR(IF($B884=0,0,$C884/$B884),0))</f>
        <v/>
      </c>
    </row>
    <row r="885">
      <c r="A885" s="38" t="n"/>
      <c r="B885" s="38" t="n"/>
      <c r="C885" s="38" t="n"/>
      <c r="D885" s="38" t="n"/>
      <c r="E885" s="38" t="n"/>
      <c r="F885" s="38" t="n"/>
      <c r="G885" s="38" t="n"/>
      <c r="H885" s="38" t="n"/>
      <c r="I885" s="38" t="n"/>
      <c r="J885" s="39">
        <f>IF($A885="","",IFERROR(IF($B885=0,0,$C885/$B885),0))</f>
        <v/>
      </c>
    </row>
    <row r="886">
      <c r="A886" s="38" t="n"/>
      <c r="B886" s="38" t="n"/>
      <c r="C886" s="38" t="n"/>
      <c r="D886" s="38" t="n"/>
      <c r="E886" s="38" t="n"/>
      <c r="F886" s="38" t="n"/>
      <c r="G886" s="38" t="n"/>
      <c r="H886" s="38" t="n"/>
      <c r="I886" s="38" t="n"/>
      <c r="J886" s="39">
        <f>IF($A886="","",IFERROR(IF($B886=0,0,$C886/$B886),0))</f>
        <v/>
      </c>
    </row>
    <row r="887">
      <c r="A887" s="38" t="n"/>
      <c r="B887" s="38" t="n"/>
      <c r="C887" s="38" t="n"/>
      <c r="D887" s="38" t="n"/>
      <c r="E887" s="38" t="n"/>
      <c r="F887" s="38" t="n"/>
      <c r="G887" s="38" t="n"/>
      <c r="H887" s="38" t="n"/>
      <c r="I887" s="38" t="n"/>
      <c r="J887" s="39">
        <f>IF($A887="","",IFERROR(IF($B887=0,0,$C887/$B887),0))</f>
        <v/>
      </c>
    </row>
    <row r="888">
      <c r="A888" s="38" t="n"/>
      <c r="B888" s="38" t="n"/>
      <c r="C888" s="38" t="n"/>
      <c r="D888" s="38" t="n"/>
      <c r="E888" s="38" t="n"/>
      <c r="F888" s="38" t="n"/>
      <c r="G888" s="38" t="n"/>
      <c r="H888" s="38" t="n"/>
      <c r="I888" s="38" t="n"/>
      <c r="J888" s="39">
        <f>IF($A888="","",IFERROR(IF($B888=0,0,$C888/$B888),0))</f>
        <v/>
      </c>
    </row>
    <row r="889">
      <c r="A889" s="38" t="n"/>
      <c r="B889" s="38" t="n"/>
      <c r="C889" s="38" t="n"/>
      <c r="D889" s="38" t="n"/>
      <c r="E889" s="38" t="n"/>
      <c r="F889" s="38" t="n"/>
      <c r="G889" s="38" t="n"/>
      <c r="H889" s="38" t="n"/>
      <c r="I889" s="38" t="n"/>
      <c r="J889" s="39">
        <f>IF($A889="","",IFERROR(IF($B889=0,0,$C889/$B889),0))</f>
        <v/>
      </c>
    </row>
    <row r="890">
      <c r="A890" s="38" t="n"/>
      <c r="B890" s="38" t="n"/>
      <c r="C890" s="38" t="n"/>
      <c r="D890" s="38" t="n"/>
      <c r="E890" s="38" t="n"/>
      <c r="F890" s="38" t="n"/>
      <c r="G890" s="38" t="n"/>
      <c r="H890" s="38" t="n"/>
      <c r="I890" s="38" t="n"/>
      <c r="J890" s="39">
        <f>IF($A890="","",IFERROR(IF($B890=0,0,$C890/$B890),0))</f>
        <v/>
      </c>
    </row>
    <row r="891">
      <c r="A891" s="38" t="n"/>
      <c r="B891" s="38" t="n"/>
      <c r="C891" s="38" t="n"/>
      <c r="D891" s="38" t="n"/>
      <c r="E891" s="38" t="n"/>
      <c r="F891" s="38" t="n"/>
      <c r="G891" s="38" t="n"/>
      <c r="H891" s="38" t="n"/>
      <c r="I891" s="38" t="n"/>
      <c r="J891" s="39">
        <f>IF($A891="","",IFERROR(IF($B891=0,0,$C891/$B891),0))</f>
        <v/>
      </c>
    </row>
    <row r="892">
      <c r="A892" s="38" t="n"/>
      <c r="B892" s="38" t="n"/>
      <c r="C892" s="38" t="n"/>
      <c r="D892" s="38" t="n"/>
      <c r="E892" s="38" t="n"/>
      <c r="F892" s="38" t="n"/>
      <c r="G892" s="38" t="n"/>
      <c r="H892" s="38" t="n"/>
      <c r="I892" s="38" t="n"/>
      <c r="J892" s="39">
        <f>IF($A892="","",IFERROR(IF($B892=0,0,$C892/$B892),0))</f>
        <v/>
      </c>
    </row>
    <row r="893">
      <c r="A893" s="38" t="n"/>
      <c r="B893" s="38" t="n"/>
      <c r="C893" s="38" t="n"/>
      <c r="D893" s="38" t="n"/>
      <c r="E893" s="38" t="n"/>
      <c r="F893" s="38" t="n"/>
      <c r="G893" s="38" t="n"/>
      <c r="H893" s="38" t="n"/>
      <c r="I893" s="38" t="n"/>
      <c r="J893" s="39">
        <f>IF($A893="","",IFERROR(IF($B893=0,0,$C893/$B893),0))</f>
        <v/>
      </c>
    </row>
    <row r="894">
      <c r="A894" s="38" t="n"/>
      <c r="B894" s="38" t="n"/>
      <c r="C894" s="38" t="n"/>
      <c r="D894" s="38" t="n"/>
      <c r="E894" s="38" t="n"/>
      <c r="F894" s="38" t="n"/>
      <c r="G894" s="38" t="n"/>
      <c r="H894" s="38" t="n"/>
      <c r="I894" s="38" t="n"/>
      <c r="J894" s="39">
        <f>IF($A894="","",IFERROR(IF($B894=0,0,$C894/$B894),0))</f>
        <v/>
      </c>
    </row>
    <row r="895">
      <c r="A895" s="38" t="n"/>
      <c r="B895" s="38" t="n"/>
      <c r="C895" s="38" t="n"/>
      <c r="D895" s="38" t="n"/>
      <c r="E895" s="38" t="n"/>
      <c r="F895" s="38" t="n"/>
      <c r="G895" s="38" t="n"/>
      <c r="H895" s="38" t="n"/>
      <c r="I895" s="38" t="n"/>
      <c r="J895" s="39">
        <f>IF($A895="","",IFERROR(IF($B895=0,0,$C895/$B895),0))</f>
        <v/>
      </c>
    </row>
    <row r="896">
      <c r="A896" s="38" t="n"/>
      <c r="B896" s="38" t="n"/>
      <c r="C896" s="38" t="n"/>
      <c r="D896" s="38" t="n"/>
      <c r="E896" s="38" t="n"/>
      <c r="F896" s="38" t="n"/>
      <c r="G896" s="38" t="n"/>
      <c r="H896" s="38" t="n"/>
      <c r="I896" s="38" t="n"/>
      <c r="J896" s="39">
        <f>IF($A896="","",IFERROR(IF($B896=0,0,$C896/$B896),0))</f>
        <v/>
      </c>
    </row>
    <row r="897">
      <c r="A897" s="38" t="n"/>
      <c r="B897" s="38" t="n"/>
      <c r="C897" s="38" t="n"/>
      <c r="D897" s="38" t="n"/>
      <c r="E897" s="38" t="n"/>
      <c r="F897" s="38" t="n"/>
      <c r="G897" s="38" t="n"/>
      <c r="H897" s="38" t="n"/>
      <c r="I897" s="38" t="n"/>
      <c r="J897" s="39">
        <f>IF($A897="","",IFERROR(IF($B897=0,0,$C897/$B897),0))</f>
        <v/>
      </c>
    </row>
    <row r="898">
      <c r="A898" s="38" t="n"/>
      <c r="B898" s="38" t="n"/>
      <c r="C898" s="38" t="n"/>
      <c r="D898" s="38" t="n"/>
      <c r="E898" s="38" t="n"/>
      <c r="F898" s="38" t="n"/>
      <c r="G898" s="38" t="n"/>
      <c r="H898" s="38" t="n"/>
      <c r="I898" s="38" t="n"/>
      <c r="J898" s="39">
        <f>IF($A898="","",IFERROR(IF($B898=0,0,$C898/$B898),0))</f>
        <v/>
      </c>
    </row>
    <row r="899">
      <c r="A899" s="38" t="n"/>
      <c r="B899" s="38" t="n"/>
      <c r="C899" s="38" t="n"/>
      <c r="D899" s="38" t="n"/>
      <c r="E899" s="38" t="n"/>
      <c r="F899" s="38" t="n"/>
      <c r="G899" s="38" t="n"/>
      <c r="H899" s="38" t="n"/>
      <c r="I899" s="38" t="n"/>
      <c r="J899" s="39">
        <f>IF($A899="","",IFERROR(IF($B899=0,0,$C899/$B899),0))</f>
        <v/>
      </c>
    </row>
    <row r="900">
      <c r="A900" s="38" t="n"/>
      <c r="B900" s="38" t="n"/>
      <c r="C900" s="38" t="n"/>
      <c r="D900" s="38" t="n"/>
      <c r="E900" s="38" t="n"/>
      <c r="F900" s="38" t="n"/>
      <c r="G900" s="38" t="n"/>
      <c r="H900" s="38" t="n"/>
      <c r="I900" s="38" t="n"/>
      <c r="J900" s="39">
        <f>IF($A900="","",IFERROR(IF($B900=0,0,$C900/$B900),0))</f>
        <v/>
      </c>
    </row>
    <row r="901">
      <c r="A901" s="38" t="n"/>
      <c r="B901" s="38" t="n"/>
      <c r="C901" s="38" t="n"/>
      <c r="D901" s="38" t="n"/>
      <c r="E901" s="38" t="n"/>
      <c r="F901" s="38" t="n"/>
      <c r="G901" s="38" t="n"/>
      <c r="H901" s="38" t="n"/>
      <c r="I901" s="38" t="n"/>
      <c r="J901" s="39">
        <f>IF($A901="","",IFERROR(IF($B901=0,0,$C901/$B901),0))</f>
        <v/>
      </c>
    </row>
    <row r="902">
      <c r="A902" s="38" t="n"/>
      <c r="B902" s="38" t="n"/>
      <c r="C902" s="38" t="n"/>
      <c r="D902" s="38" t="n"/>
      <c r="E902" s="38" t="n"/>
      <c r="F902" s="38" t="n"/>
      <c r="G902" s="38" t="n"/>
      <c r="H902" s="38" t="n"/>
      <c r="I902" s="38" t="n"/>
      <c r="J902" s="39">
        <f>IF($A902="","",IFERROR(IF($B902=0,0,$C902/$B902),0))</f>
        <v/>
      </c>
    </row>
    <row r="903">
      <c r="A903" s="38" t="n"/>
      <c r="B903" s="38" t="n"/>
      <c r="C903" s="38" t="n"/>
      <c r="D903" s="38" t="n"/>
      <c r="E903" s="38" t="n"/>
      <c r="F903" s="38" t="n"/>
      <c r="G903" s="38" t="n"/>
      <c r="H903" s="38" t="n"/>
      <c r="I903" s="38" t="n"/>
      <c r="J903" s="39">
        <f>IF($A903="","",IFERROR(IF($B903=0,0,$C903/$B903),0))</f>
        <v/>
      </c>
    </row>
    <row r="904">
      <c r="A904" s="38" t="n"/>
      <c r="B904" s="38" t="n"/>
      <c r="C904" s="38" t="n"/>
      <c r="D904" s="38" t="n"/>
      <c r="E904" s="38" t="n"/>
      <c r="F904" s="38" t="n"/>
      <c r="G904" s="38" t="n"/>
      <c r="H904" s="38" t="n"/>
      <c r="I904" s="38" t="n"/>
      <c r="J904" s="39">
        <f>IF($A904="","",IFERROR(IF($B904=0,0,$C904/$B904),0))</f>
        <v/>
      </c>
    </row>
    <row r="905">
      <c r="A905" s="38" t="n"/>
      <c r="B905" s="38" t="n"/>
      <c r="C905" s="38" t="n"/>
      <c r="D905" s="38" t="n"/>
      <c r="E905" s="38" t="n"/>
      <c r="F905" s="38" t="n"/>
      <c r="G905" s="38" t="n"/>
      <c r="H905" s="38" t="n"/>
      <c r="I905" s="38" t="n"/>
      <c r="J905" s="39">
        <f>IF($A905="","",IFERROR(IF($B905=0,0,$C905/$B905),0))</f>
        <v/>
      </c>
    </row>
    <row r="906">
      <c r="A906" s="38" t="n"/>
      <c r="B906" s="38" t="n"/>
      <c r="C906" s="38" t="n"/>
      <c r="D906" s="38" t="n"/>
      <c r="E906" s="38" t="n"/>
      <c r="F906" s="38" t="n"/>
      <c r="G906" s="38" t="n"/>
      <c r="H906" s="38" t="n"/>
      <c r="I906" s="38" t="n"/>
      <c r="J906" s="39">
        <f>IF($A906="","",IFERROR(IF($B906=0,0,$C906/$B906),0))</f>
        <v/>
      </c>
    </row>
    <row r="907">
      <c r="A907" s="38" t="n"/>
      <c r="B907" s="38" t="n"/>
      <c r="C907" s="38" t="n"/>
      <c r="D907" s="38" t="n"/>
      <c r="E907" s="38" t="n"/>
      <c r="F907" s="38" t="n"/>
      <c r="G907" s="38" t="n"/>
      <c r="H907" s="38" t="n"/>
      <c r="I907" s="38" t="n"/>
      <c r="J907" s="39">
        <f>IF($A907="","",IFERROR(IF($B907=0,0,$C907/$B907),0))</f>
        <v/>
      </c>
    </row>
    <row r="908">
      <c r="A908" s="38" t="n"/>
      <c r="B908" s="38" t="n"/>
      <c r="C908" s="38" t="n"/>
      <c r="D908" s="38" t="n"/>
      <c r="E908" s="38" t="n"/>
      <c r="F908" s="38" t="n"/>
      <c r="G908" s="38" t="n"/>
      <c r="H908" s="38" t="n"/>
      <c r="I908" s="38" t="n"/>
      <c r="J908" s="39">
        <f>IF($A908="","",IFERROR(IF($B908=0,0,$C908/$B908),0))</f>
        <v/>
      </c>
    </row>
    <row r="909">
      <c r="A909" s="38" t="n"/>
      <c r="B909" s="38" t="n"/>
      <c r="C909" s="38" t="n"/>
      <c r="D909" s="38" t="n"/>
      <c r="E909" s="38" t="n"/>
      <c r="F909" s="38" t="n"/>
      <c r="G909" s="38" t="n"/>
      <c r="H909" s="38" t="n"/>
      <c r="I909" s="38" t="n"/>
      <c r="J909" s="39">
        <f>IF($A909="","",IFERROR(IF($B909=0,0,$C909/$B909),0))</f>
        <v/>
      </c>
    </row>
    <row r="910">
      <c r="A910" s="38" t="n"/>
      <c r="B910" s="38" t="n"/>
      <c r="C910" s="38" t="n"/>
      <c r="D910" s="38" t="n"/>
      <c r="E910" s="38" t="n"/>
      <c r="F910" s="38" t="n"/>
      <c r="G910" s="38" t="n"/>
      <c r="H910" s="38" t="n"/>
      <c r="I910" s="38" t="n"/>
      <c r="J910" s="39">
        <f>IF($A910="","",IFERROR(IF($B910=0,0,$C910/$B910),0))</f>
        <v/>
      </c>
    </row>
    <row r="911">
      <c r="A911" s="38" t="n"/>
      <c r="B911" s="38" t="n"/>
      <c r="C911" s="38" t="n"/>
      <c r="D911" s="38" t="n"/>
      <c r="E911" s="38" t="n"/>
      <c r="F911" s="38" t="n"/>
      <c r="G911" s="38" t="n"/>
      <c r="H911" s="38" t="n"/>
      <c r="I911" s="38" t="n"/>
      <c r="J911" s="39">
        <f>IF($A911="","",IFERROR(IF($B911=0,0,$C911/$B911),0))</f>
        <v/>
      </c>
    </row>
    <row r="912">
      <c r="A912" s="38" t="n"/>
      <c r="B912" s="38" t="n"/>
      <c r="C912" s="38" t="n"/>
      <c r="D912" s="38" t="n"/>
      <c r="E912" s="38" t="n"/>
      <c r="F912" s="38" t="n"/>
      <c r="G912" s="38" t="n"/>
      <c r="H912" s="38" t="n"/>
      <c r="I912" s="38" t="n"/>
      <c r="J912" s="39">
        <f>IF($A912="","",IFERROR(IF($B912=0,0,$C912/$B912),0))</f>
        <v/>
      </c>
    </row>
    <row r="913">
      <c r="A913" s="38" t="n"/>
      <c r="B913" s="38" t="n"/>
      <c r="C913" s="38" t="n"/>
      <c r="D913" s="38" t="n"/>
      <c r="E913" s="38" t="n"/>
      <c r="F913" s="38" t="n"/>
      <c r="G913" s="38" t="n"/>
      <c r="H913" s="38" t="n"/>
      <c r="I913" s="38" t="n"/>
      <c r="J913" s="39">
        <f>IF($A913="","",IFERROR(IF($B913=0,0,$C913/$B913),0))</f>
        <v/>
      </c>
    </row>
    <row r="914">
      <c r="A914" s="38" t="n"/>
      <c r="B914" s="38" t="n"/>
      <c r="C914" s="38" t="n"/>
      <c r="D914" s="38" t="n"/>
      <c r="E914" s="38" t="n"/>
      <c r="F914" s="38" t="n"/>
      <c r="G914" s="38" t="n"/>
      <c r="H914" s="38" t="n"/>
      <c r="I914" s="38" t="n"/>
      <c r="J914" s="39">
        <f>IF($A914="","",IFERROR(IF($B914=0,0,$C914/$B914),0))</f>
        <v/>
      </c>
    </row>
    <row r="915">
      <c r="A915" s="38" t="n"/>
      <c r="B915" s="38" t="n"/>
      <c r="C915" s="38" t="n"/>
      <c r="D915" s="38" t="n"/>
      <c r="E915" s="38" t="n"/>
      <c r="F915" s="38" t="n"/>
      <c r="G915" s="38" t="n"/>
      <c r="H915" s="38" t="n"/>
      <c r="I915" s="38" t="n"/>
      <c r="J915" s="39">
        <f>IF($A915="","",IFERROR(IF($B915=0,0,$C915/$B915),0))</f>
        <v/>
      </c>
    </row>
    <row r="916">
      <c r="A916" s="38" t="n"/>
      <c r="B916" s="38" t="n"/>
      <c r="C916" s="38" t="n"/>
      <c r="D916" s="38" t="n"/>
      <c r="E916" s="38" t="n"/>
      <c r="F916" s="38" t="n"/>
      <c r="G916" s="38" t="n"/>
      <c r="H916" s="38" t="n"/>
      <c r="I916" s="38" t="n"/>
      <c r="J916" s="39">
        <f>IF($A916="","",IFERROR(IF($B916=0,0,$C916/$B916),0))</f>
        <v/>
      </c>
    </row>
    <row r="917">
      <c r="A917" s="38" t="n"/>
      <c r="B917" s="38" t="n"/>
      <c r="C917" s="38" t="n"/>
      <c r="D917" s="38" t="n"/>
      <c r="E917" s="38" t="n"/>
      <c r="F917" s="38" t="n"/>
      <c r="G917" s="38" t="n"/>
      <c r="H917" s="38" t="n"/>
      <c r="I917" s="38" t="n"/>
      <c r="J917" s="39">
        <f>IF($A917="","",IFERROR(IF($B917=0,0,$C917/$B917),0))</f>
        <v/>
      </c>
    </row>
    <row r="918">
      <c r="A918" s="38" t="n"/>
      <c r="B918" s="38" t="n"/>
      <c r="C918" s="38" t="n"/>
      <c r="D918" s="38" t="n"/>
      <c r="E918" s="38" t="n"/>
      <c r="F918" s="38" t="n"/>
      <c r="G918" s="38" t="n"/>
      <c r="H918" s="38" t="n"/>
      <c r="I918" s="38" t="n"/>
      <c r="J918" s="39">
        <f>IF($A918="","",IFERROR(IF($B918=0,0,$C918/$B918),0))</f>
        <v/>
      </c>
    </row>
    <row r="919">
      <c r="A919" s="38" t="n"/>
      <c r="B919" s="38" t="n"/>
      <c r="C919" s="38" t="n"/>
      <c r="D919" s="38" t="n"/>
      <c r="E919" s="38" t="n"/>
      <c r="F919" s="38" t="n"/>
      <c r="G919" s="38" t="n"/>
      <c r="H919" s="38" t="n"/>
      <c r="I919" s="38" t="n"/>
      <c r="J919" s="39">
        <f>IF($A919="","",IFERROR(IF($B919=0,0,$C919/$B919),0))</f>
        <v/>
      </c>
    </row>
    <row r="920">
      <c r="A920" s="38" t="n"/>
      <c r="B920" s="38" t="n"/>
      <c r="C920" s="38" t="n"/>
      <c r="D920" s="38" t="n"/>
      <c r="E920" s="38" t="n"/>
      <c r="F920" s="38" t="n"/>
      <c r="G920" s="38" t="n"/>
      <c r="H920" s="38" t="n"/>
      <c r="I920" s="38" t="n"/>
      <c r="J920" s="39">
        <f>IF($A920="","",IFERROR(IF($B920=0,0,$C920/$B920),0))</f>
        <v/>
      </c>
    </row>
    <row r="921">
      <c r="A921" s="38" t="n"/>
      <c r="B921" s="38" t="n"/>
      <c r="C921" s="38" t="n"/>
      <c r="D921" s="38" t="n"/>
      <c r="E921" s="38" t="n"/>
      <c r="F921" s="38" t="n"/>
      <c r="G921" s="38" t="n"/>
      <c r="H921" s="38" t="n"/>
      <c r="I921" s="38" t="n"/>
      <c r="J921" s="39">
        <f>IF($A921="","",IFERROR(IF($B921=0,0,$C921/$B921),0))</f>
        <v/>
      </c>
    </row>
    <row r="922">
      <c r="A922" s="38" t="n"/>
      <c r="B922" s="38" t="n"/>
      <c r="C922" s="38" t="n"/>
      <c r="D922" s="38" t="n"/>
      <c r="E922" s="38" t="n"/>
      <c r="F922" s="38" t="n"/>
      <c r="G922" s="38" t="n"/>
      <c r="H922" s="38" t="n"/>
      <c r="I922" s="38" t="n"/>
      <c r="J922" s="39">
        <f>IF($A922="","",IFERROR(IF($B922=0,0,$C922/$B922),0))</f>
        <v/>
      </c>
    </row>
    <row r="923">
      <c r="A923" s="38" t="n"/>
      <c r="B923" s="38" t="n"/>
      <c r="C923" s="38" t="n"/>
      <c r="D923" s="38" t="n"/>
      <c r="E923" s="38" t="n"/>
      <c r="F923" s="38" t="n"/>
      <c r="G923" s="38" t="n"/>
      <c r="H923" s="38" t="n"/>
      <c r="I923" s="38" t="n"/>
      <c r="J923" s="39">
        <f>IF($A923="","",IFERROR(IF($B923=0,0,$C923/$B923),0))</f>
        <v/>
      </c>
    </row>
    <row r="924">
      <c r="A924" s="38" t="n"/>
      <c r="B924" s="38" t="n"/>
      <c r="C924" s="38" t="n"/>
      <c r="D924" s="38" t="n"/>
      <c r="E924" s="38" t="n"/>
      <c r="F924" s="38" t="n"/>
      <c r="G924" s="38" t="n"/>
      <c r="H924" s="38" t="n"/>
      <c r="I924" s="38" t="n"/>
      <c r="J924" s="39">
        <f>IF($A924="","",IFERROR(IF($B924=0,0,$C924/$B924),0))</f>
        <v/>
      </c>
    </row>
    <row r="925">
      <c r="A925" s="38" t="n"/>
      <c r="B925" s="38" t="n"/>
      <c r="C925" s="38" t="n"/>
      <c r="D925" s="38" t="n"/>
      <c r="E925" s="38" t="n"/>
      <c r="F925" s="38" t="n"/>
      <c r="G925" s="38" t="n"/>
      <c r="H925" s="38" t="n"/>
      <c r="I925" s="38" t="n"/>
      <c r="J925" s="39">
        <f>IF($A925="","",IFERROR(IF($B925=0,0,$C925/$B925),0))</f>
        <v/>
      </c>
    </row>
    <row r="926">
      <c r="A926" s="38" t="n"/>
      <c r="B926" s="38" t="n"/>
      <c r="C926" s="38" t="n"/>
      <c r="D926" s="38" t="n"/>
      <c r="E926" s="38" t="n"/>
      <c r="F926" s="38" t="n"/>
      <c r="G926" s="38" t="n"/>
      <c r="H926" s="38" t="n"/>
      <c r="I926" s="38" t="n"/>
      <c r="J926" s="39">
        <f>IF($A926="","",IFERROR(IF($B926=0,0,$C926/$B926),0))</f>
        <v/>
      </c>
    </row>
    <row r="927">
      <c r="A927" s="38" t="n"/>
      <c r="B927" s="38" t="n"/>
      <c r="C927" s="38" t="n"/>
      <c r="D927" s="38" t="n"/>
      <c r="E927" s="38" t="n"/>
      <c r="F927" s="38" t="n"/>
      <c r="G927" s="38" t="n"/>
      <c r="H927" s="38" t="n"/>
      <c r="I927" s="38" t="n"/>
      <c r="J927" s="39">
        <f>IF($A927="","",IFERROR(IF($B927=0,0,$C927/$B927),0))</f>
        <v/>
      </c>
    </row>
    <row r="928">
      <c r="A928" s="38" t="n"/>
      <c r="B928" s="38" t="n"/>
      <c r="C928" s="38" t="n"/>
      <c r="D928" s="38" t="n"/>
      <c r="E928" s="38" t="n"/>
      <c r="F928" s="38" t="n"/>
      <c r="G928" s="38" t="n"/>
      <c r="H928" s="38" t="n"/>
      <c r="I928" s="38" t="n"/>
      <c r="J928" s="39">
        <f>IF($A928="","",IFERROR(IF($B928=0,0,$C928/$B928),0))</f>
        <v/>
      </c>
    </row>
    <row r="929">
      <c r="A929" s="38" t="n"/>
      <c r="B929" s="38" t="n"/>
      <c r="C929" s="38" t="n"/>
      <c r="D929" s="38" t="n"/>
      <c r="E929" s="38" t="n"/>
      <c r="F929" s="38" t="n"/>
      <c r="G929" s="38" t="n"/>
      <c r="H929" s="38" t="n"/>
      <c r="I929" s="38" t="n"/>
      <c r="J929" s="39">
        <f>IF($A929="","",IFERROR(IF($B929=0,0,$C929/$B929),0))</f>
        <v/>
      </c>
    </row>
    <row r="930">
      <c r="A930" s="38" t="n"/>
      <c r="B930" s="38" t="n"/>
      <c r="C930" s="38" t="n"/>
      <c r="D930" s="38" t="n"/>
      <c r="E930" s="38" t="n"/>
      <c r="F930" s="38" t="n"/>
      <c r="G930" s="38" t="n"/>
      <c r="H930" s="38" t="n"/>
      <c r="I930" s="38" t="n"/>
      <c r="J930" s="39">
        <f>IF($A930="","",IFERROR(IF($B930=0,0,$C930/$B930),0))</f>
        <v/>
      </c>
    </row>
    <row r="931">
      <c r="A931" s="38" t="n"/>
      <c r="B931" s="38" t="n"/>
      <c r="C931" s="38" t="n"/>
      <c r="D931" s="38" t="n"/>
      <c r="E931" s="38" t="n"/>
      <c r="F931" s="38" t="n"/>
      <c r="G931" s="38" t="n"/>
      <c r="H931" s="38" t="n"/>
      <c r="I931" s="38" t="n"/>
      <c r="J931" s="39">
        <f>IF($A931="","",IFERROR(IF($B931=0,0,$C931/$B931),0))</f>
        <v/>
      </c>
    </row>
    <row r="932">
      <c r="A932" s="38" t="n"/>
      <c r="B932" s="38" t="n"/>
      <c r="C932" s="38" t="n"/>
      <c r="D932" s="38" t="n"/>
      <c r="E932" s="38" t="n"/>
      <c r="F932" s="38" t="n"/>
      <c r="G932" s="38" t="n"/>
      <c r="H932" s="38" t="n"/>
      <c r="I932" s="38" t="n"/>
      <c r="J932" s="39">
        <f>IF($A932="","",IFERROR(IF($B932=0,0,$C932/$B932),0))</f>
        <v/>
      </c>
    </row>
    <row r="933">
      <c r="A933" s="38" t="n"/>
      <c r="B933" s="38" t="n"/>
      <c r="C933" s="38" t="n"/>
      <c r="D933" s="38" t="n"/>
      <c r="E933" s="38" t="n"/>
      <c r="F933" s="38" t="n"/>
      <c r="G933" s="38" t="n"/>
      <c r="H933" s="38" t="n"/>
      <c r="I933" s="38" t="n"/>
      <c r="J933" s="39">
        <f>IF($A933="","",IFERROR(IF($B933=0,0,$C933/$B933),0))</f>
        <v/>
      </c>
    </row>
    <row r="934">
      <c r="A934" s="38" t="n"/>
      <c r="B934" s="38" t="n"/>
      <c r="C934" s="38" t="n"/>
      <c r="D934" s="38" t="n"/>
      <c r="E934" s="38" t="n"/>
      <c r="F934" s="38" t="n"/>
      <c r="G934" s="38" t="n"/>
      <c r="H934" s="38" t="n"/>
      <c r="I934" s="38" t="n"/>
      <c r="J934" s="39">
        <f>IF($A934="","",IFERROR(IF($B934=0,0,$C934/$B934),0))</f>
        <v/>
      </c>
    </row>
    <row r="935">
      <c r="A935" s="38" t="n"/>
      <c r="B935" s="38" t="n"/>
      <c r="C935" s="38" t="n"/>
      <c r="D935" s="38" t="n"/>
      <c r="E935" s="38" t="n"/>
      <c r="F935" s="38" t="n"/>
      <c r="G935" s="38" t="n"/>
      <c r="H935" s="38" t="n"/>
      <c r="I935" s="38" t="n"/>
      <c r="J935" s="39">
        <f>IF($A935="","",IFERROR(IF($B935=0,0,$C935/$B935),0))</f>
        <v/>
      </c>
    </row>
    <row r="936">
      <c r="A936" s="38" t="n"/>
      <c r="B936" s="38" t="n"/>
      <c r="C936" s="38" t="n"/>
      <c r="D936" s="38" t="n"/>
      <c r="E936" s="38" t="n"/>
      <c r="F936" s="38" t="n"/>
      <c r="G936" s="38" t="n"/>
      <c r="H936" s="38" t="n"/>
      <c r="I936" s="38" t="n"/>
      <c r="J936" s="39">
        <f>IF($A936="","",IFERROR(IF($B936=0,0,$C936/$B936),0))</f>
        <v/>
      </c>
    </row>
    <row r="937">
      <c r="A937" s="38" t="n"/>
      <c r="B937" s="38" t="n"/>
      <c r="C937" s="38" t="n"/>
      <c r="D937" s="38" t="n"/>
      <c r="E937" s="38" t="n"/>
      <c r="F937" s="38" t="n"/>
      <c r="G937" s="38" t="n"/>
      <c r="H937" s="38" t="n"/>
      <c r="I937" s="38" t="n"/>
      <c r="J937" s="39">
        <f>IF($A937="","",IFERROR(IF($B937=0,0,$C937/$B937),0))</f>
        <v/>
      </c>
    </row>
    <row r="938">
      <c r="A938" s="38" t="n"/>
      <c r="B938" s="38" t="n"/>
      <c r="C938" s="38" t="n"/>
      <c r="D938" s="38" t="n"/>
      <c r="E938" s="38" t="n"/>
      <c r="F938" s="38" t="n"/>
      <c r="G938" s="38" t="n"/>
      <c r="H938" s="38" t="n"/>
      <c r="I938" s="38" t="n"/>
      <c r="J938" s="39">
        <f>IF($A938="","",IFERROR(IF($B938=0,0,$C938/$B938),0))</f>
        <v/>
      </c>
    </row>
    <row r="939">
      <c r="A939" s="38" t="n"/>
      <c r="B939" s="38" t="n"/>
      <c r="C939" s="38" t="n"/>
      <c r="D939" s="38" t="n"/>
      <c r="E939" s="38" t="n"/>
      <c r="F939" s="38" t="n"/>
      <c r="G939" s="38" t="n"/>
      <c r="H939" s="38" t="n"/>
      <c r="I939" s="38" t="n"/>
      <c r="J939" s="39">
        <f>IF($A939="","",IFERROR(IF($B939=0,0,$C939/$B939),0))</f>
        <v/>
      </c>
    </row>
    <row r="940">
      <c r="A940" s="38" t="n"/>
      <c r="B940" s="38" t="n"/>
      <c r="C940" s="38" t="n"/>
      <c r="D940" s="38" t="n"/>
      <c r="E940" s="38" t="n"/>
      <c r="F940" s="38" t="n"/>
      <c r="G940" s="38" t="n"/>
      <c r="H940" s="38" t="n"/>
      <c r="I940" s="38" t="n"/>
      <c r="J940" s="39">
        <f>IF($A940="","",IFERROR(IF($B940=0,0,$C940/$B940),0))</f>
        <v/>
      </c>
    </row>
    <row r="941">
      <c r="A941" s="38" t="n"/>
      <c r="B941" s="38" t="n"/>
      <c r="C941" s="38" t="n"/>
      <c r="D941" s="38" t="n"/>
      <c r="E941" s="38" t="n"/>
      <c r="F941" s="38" t="n"/>
      <c r="G941" s="38" t="n"/>
      <c r="H941" s="38" t="n"/>
      <c r="I941" s="38" t="n"/>
      <c r="J941" s="39">
        <f>IF($A941="","",IFERROR(IF($B941=0,0,$C941/$B941),0))</f>
        <v/>
      </c>
    </row>
    <row r="942">
      <c r="A942" s="38" t="n"/>
      <c r="B942" s="38" t="n"/>
      <c r="C942" s="38" t="n"/>
      <c r="D942" s="38" t="n"/>
      <c r="E942" s="38" t="n"/>
      <c r="F942" s="38" t="n"/>
      <c r="G942" s="38" t="n"/>
      <c r="H942" s="38" t="n"/>
      <c r="I942" s="38" t="n"/>
      <c r="J942" s="39">
        <f>IF($A942="","",IFERROR(IF($B942=0,0,$C942/$B942),0))</f>
        <v/>
      </c>
    </row>
    <row r="943">
      <c r="A943" s="38" t="n"/>
      <c r="B943" s="38" t="n"/>
      <c r="C943" s="38" t="n"/>
      <c r="D943" s="38" t="n"/>
      <c r="E943" s="38" t="n"/>
      <c r="F943" s="38" t="n"/>
      <c r="G943" s="38" t="n"/>
      <c r="H943" s="38" t="n"/>
      <c r="I943" s="38" t="n"/>
      <c r="J943" s="39">
        <f>IF($A943="","",IFERROR(IF($B943=0,0,$C943/$B943),0))</f>
        <v/>
      </c>
    </row>
    <row r="944">
      <c r="A944" s="38" t="n"/>
      <c r="B944" s="38" t="n"/>
      <c r="C944" s="38" t="n"/>
      <c r="D944" s="38" t="n"/>
      <c r="E944" s="38" t="n"/>
      <c r="F944" s="38" t="n"/>
      <c r="G944" s="38" t="n"/>
      <c r="H944" s="38" t="n"/>
      <c r="I944" s="38" t="n"/>
      <c r="J944" s="39">
        <f>IF($A944="","",IFERROR(IF($B944=0,0,$C944/$B944),0))</f>
        <v/>
      </c>
    </row>
    <row r="945">
      <c r="A945" s="38" t="n"/>
      <c r="B945" s="38" t="n"/>
      <c r="C945" s="38" t="n"/>
      <c r="D945" s="38" t="n"/>
      <c r="E945" s="38" t="n"/>
      <c r="F945" s="38" t="n"/>
      <c r="G945" s="38" t="n"/>
      <c r="H945" s="38" t="n"/>
      <c r="I945" s="38" t="n"/>
      <c r="J945" s="39">
        <f>IF($A945="","",IFERROR(IF($B945=0,0,$C945/$B945),0))</f>
        <v/>
      </c>
    </row>
    <row r="946">
      <c r="A946" s="38" t="n"/>
      <c r="B946" s="38" t="n"/>
      <c r="C946" s="38" t="n"/>
      <c r="D946" s="38" t="n"/>
      <c r="E946" s="38" t="n"/>
      <c r="F946" s="38" t="n"/>
      <c r="G946" s="38" t="n"/>
      <c r="H946" s="38" t="n"/>
      <c r="I946" s="38" t="n"/>
      <c r="J946" s="39">
        <f>IF($A946="","",IFERROR(IF($B946=0,0,$C946/$B946),0))</f>
        <v/>
      </c>
    </row>
    <row r="947">
      <c r="A947" s="38" t="n"/>
      <c r="B947" s="38" t="n"/>
      <c r="C947" s="38" t="n"/>
      <c r="D947" s="38" t="n"/>
      <c r="E947" s="38" t="n"/>
      <c r="F947" s="38" t="n"/>
      <c r="G947" s="38" t="n"/>
      <c r="H947" s="38" t="n"/>
      <c r="I947" s="38" t="n"/>
      <c r="J947" s="39">
        <f>IF($A947="","",IFERROR(IF($B947=0,0,$C947/$B947),0))</f>
        <v/>
      </c>
    </row>
    <row r="948">
      <c r="A948" s="38" t="n"/>
      <c r="B948" s="38" t="n"/>
      <c r="C948" s="38" t="n"/>
      <c r="D948" s="38" t="n"/>
      <c r="E948" s="38" t="n"/>
      <c r="F948" s="38" t="n"/>
      <c r="G948" s="38" t="n"/>
      <c r="H948" s="38" t="n"/>
      <c r="I948" s="38" t="n"/>
      <c r="J948" s="39">
        <f>IF($A948="","",IFERROR(IF($B948=0,0,$C948/$B948),0))</f>
        <v/>
      </c>
    </row>
    <row r="949">
      <c r="A949" s="38" t="n"/>
      <c r="B949" s="38" t="n"/>
      <c r="C949" s="38" t="n"/>
      <c r="D949" s="38" t="n"/>
      <c r="E949" s="38" t="n"/>
      <c r="F949" s="38" t="n"/>
      <c r="G949" s="38" t="n"/>
      <c r="H949" s="38" t="n"/>
      <c r="I949" s="38" t="n"/>
      <c r="J949" s="39">
        <f>IF($A949="","",IFERROR(IF($B949=0,0,$C949/$B949),0))</f>
        <v/>
      </c>
    </row>
    <row r="950">
      <c r="A950" s="38" t="n"/>
      <c r="B950" s="38" t="n"/>
      <c r="C950" s="38" t="n"/>
      <c r="D950" s="38" t="n"/>
      <c r="E950" s="38" t="n"/>
      <c r="F950" s="38" t="n"/>
      <c r="G950" s="38" t="n"/>
      <c r="H950" s="38" t="n"/>
      <c r="I950" s="38" t="n"/>
      <c r="J950" s="39">
        <f>IF($A950="","",IFERROR(IF($B950=0,0,$C950/$B950),0))</f>
        <v/>
      </c>
    </row>
    <row r="951">
      <c r="A951" s="38" t="n"/>
      <c r="B951" s="38" t="n"/>
      <c r="C951" s="38" t="n"/>
      <c r="D951" s="38" t="n"/>
      <c r="E951" s="38" t="n"/>
      <c r="F951" s="38" t="n"/>
      <c r="G951" s="38" t="n"/>
      <c r="H951" s="38" t="n"/>
      <c r="I951" s="38" t="n"/>
      <c r="J951" s="39">
        <f>IF($A951="","",IFERROR(IF($B951=0,0,$C951/$B951),0))</f>
        <v/>
      </c>
    </row>
    <row r="952">
      <c r="A952" s="38" t="n"/>
      <c r="B952" s="38" t="n"/>
      <c r="C952" s="38" t="n"/>
      <c r="D952" s="38" t="n"/>
      <c r="E952" s="38" t="n"/>
      <c r="F952" s="38" t="n"/>
      <c r="G952" s="38" t="n"/>
      <c r="H952" s="38" t="n"/>
      <c r="I952" s="38" t="n"/>
      <c r="J952" s="39">
        <f>IF($A952="","",IFERROR(IF($B952=0,0,$C952/$B952),0))</f>
        <v/>
      </c>
    </row>
    <row r="953">
      <c r="A953" s="38" t="n"/>
      <c r="B953" s="38" t="n"/>
      <c r="C953" s="38" t="n"/>
      <c r="D953" s="38" t="n"/>
      <c r="E953" s="38" t="n"/>
      <c r="F953" s="38" t="n"/>
      <c r="G953" s="38" t="n"/>
      <c r="H953" s="38" t="n"/>
      <c r="I953" s="38" t="n"/>
      <c r="J953" s="39">
        <f>IF($A953="","",IFERROR(IF($B953=0,0,$C953/$B953),0))</f>
        <v/>
      </c>
    </row>
    <row r="954">
      <c r="A954" s="38" t="n"/>
      <c r="B954" s="38" t="n"/>
      <c r="C954" s="38" t="n"/>
      <c r="D954" s="38" t="n"/>
      <c r="E954" s="38" t="n"/>
      <c r="F954" s="38" t="n"/>
      <c r="G954" s="38" t="n"/>
      <c r="H954" s="38" t="n"/>
      <c r="I954" s="38" t="n"/>
      <c r="J954" s="39">
        <f>IF($A954="","",IFERROR(IF($B954=0,0,$C954/$B954),0))</f>
        <v/>
      </c>
    </row>
    <row r="955">
      <c r="A955" s="38" t="n"/>
      <c r="B955" s="38" t="n"/>
      <c r="C955" s="38" t="n"/>
      <c r="D955" s="38" t="n"/>
      <c r="E955" s="38" t="n"/>
      <c r="F955" s="38" t="n"/>
      <c r="G955" s="38" t="n"/>
      <c r="H955" s="38" t="n"/>
      <c r="I955" s="38" t="n"/>
      <c r="J955" s="39">
        <f>IF($A955="","",IFERROR(IF($B955=0,0,$C955/$B955),0))</f>
        <v/>
      </c>
    </row>
    <row r="956">
      <c r="A956" s="38" t="n"/>
      <c r="B956" s="38" t="n"/>
      <c r="C956" s="38" t="n"/>
      <c r="D956" s="38" t="n"/>
      <c r="E956" s="38" t="n"/>
      <c r="F956" s="38" t="n"/>
      <c r="G956" s="38" t="n"/>
      <c r="H956" s="38" t="n"/>
      <c r="I956" s="38" t="n"/>
      <c r="J956" s="39">
        <f>IF($A956="","",IFERROR(IF($B956=0,0,$C956/$B956),0))</f>
        <v/>
      </c>
    </row>
    <row r="957">
      <c r="A957" s="38" t="n"/>
      <c r="B957" s="38" t="n"/>
      <c r="C957" s="38" t="n"/>
      <c r="D957" s="38" t="n"/>
      <c r="E957" s="38" t="n"/>
      <c r="F957" s="38" t="n"/>
      <c r="G957" s="38" t="n"/>
      <c r="H957" s="38" t="n"/>
      <c r="I957" s="38" t="n"/>
      <c r="J957" s="39">
        <f>IF($A957="","",IFERROR(IF($B957=0,0,$C957/$B957),0))</f>
        <v/>
      </c>
    </row>
    <row r="958">
      <c r="A958" s="38" t="n"/>
      <c r="B958" s="38" t="n"/>
      <c r="C958" s="38" t="n"/>
      <c r="D958" s="38" t="n"/>
      <c r="E958" s="38" t="n"/>
      <c r="F958" s="38" t="n"/>
      <c r="G958" s="38" t="n"/>
      <c r="H958" s="38" t="n"/>
      <c r="I958" s="38" t="n"/>
      <c r="J958" s="39">
        <f>IF($A958="","",IFERROR(IF($B958=0,0,$C958/$B958),0))</f>
        <v/>
      </c>
    </row>
    <row r="959">
      <c r="A959" s="38" t="n"/>
      <c r="B959" s="38" t="n"/>
      <c r="C959" s="38" t="n"/>
      <c r="D959" s="38" t="n"/>
      <c r="E959" s="38" t="n"/>
      <c r="F959" s="38" t="n"/>
      <c r="G959" s="38" t="n"/>
      <c r="H959" s="38" t="n"/>
      <c r="I959" s="38" t="n"/>
      <c r="J959" s="39">
        <f>IF($A959="","",IFERROR(IF($B959=0,0,$C959/$B959),0))</f>
        <v/>
      </c>
    </row>
    <row r="960">
      <c r="A960" s="38" t="n"/>
      <c r="B960" s="38" t="n"/>
      <c r="C960" s="38" t="n"/>
      <c r="D960" s="38" t="n"/>
      <c r="E960" s="38" t="n"/>
      <c r="F960" s="38" t="n"/>
      <c r="G960" s="38" t="n"/>
      <c r="H960" s="38" t="n"/>
      <c r="I960" s="38" t="n"/>
      <c r="J960" s="39">
        <f>IF($A960="","",IFERROR(IF($B960=0,0,$C960/$B960),0))</f>
        <v/>
      </c>
    </row>
    <row r="961">
      <c r="A961" s="38" t="n"/>
      <c r="B961" s="38" t="n"/>
      <c r="C961" s="38" t="n"/>
      <c r="D961" s="38" t="n"/>
      <c r="E961" s="38" t="n"/>
      <c r="F961" s="38" t="n"/>
      <c r="G961" s="38" t="n"/>
      <c r="H961" s="38" t="n"/>
      <c r="I961" s="38" t="n"/>
      <c r="J961" s="39">
        <f>IF($A961="","",IFERROR(IF($B961=0,0,$C961/$B961),0))</f>
        <v/>
      </c>
    </row>
    <row r="962">
      <c r="A962" s="38" t="n"/>
      <c r="B962" s="38" t="n"/>
      <c r="C962" s="38" t="n"/>
      <c r="D962" s="38" t="n"/>
      <c r="E962" s="38" t="n"/>
      <c r="F962" s="38" t="n"/>
      <c r="G962" s="38" t="n"/>
      <c r="H962" s="38" t="n"/>
      <c r="I962" s="38" t="n"/>
      <c r="J962" s="39">
        <f>IF($A962="","",IFERROR(IF($B962=0,0,$C962/$B962),0))</f>
        <v/>
      </c>
    </row>
    <row r="963">
      <c r="A963" s="38" t="n"/>
      <c r="B963" s="38" t="n"/>
      <c r="C963" s="38" t="n"/>
      <c r="D963" s="38" t="n"/>
      <c r="E963" s="38" t="n"/>
      <c r="F963" s="38" t="n"/>
      <c r="G963" s="38" t="n"/>
      <c r="H963" s="38" t="n"/>
      <c r="I963" s="38" t="n"/>
      <c r="J963" s="39">
        <f>IF($A963="","",IFERROR(IF($B963=0,0,$C963/$B963),0))</f>
        <v/>
      </c>
    </row>
    <row r="964">
      <c r="A964" s="38" t="n"/>
      <c r="B964" s="38" t="n"/>
      <c r="C964" s="38" t="n"/>
      <c r="D964" s="38" t="n"/>
      <c r="E964" s="38" t="n"/>
      <c r="F964" s="38" t="n"/>
      <c r="G964" s="38" t="n"/>
      <c r="H964" s="38" t="n"/>
      <c r="I964" s="38" t="n"/>
      <c r="J964" s="39">
        <f>IF($A964="","",IFERROR(IF($B964=0,0,$C964/$B964),0))</f>
        <v/>
      </c>
    </row>
    <row r="965">
      <c r="A965" s="38" t="n"/>
      <c r="B965" s="38" t="n"/>
      <c r="C965" s="38" t="n"/>
      <c r="D965" s="38" t="n"/>
      <c r="E965" s="38" t="n"/>
      <c r="F965" s="38" t="n"/>
      <c r="G965" s="38" t="n"/>
      <c r="H965" s="38" t="n"/>
      <c r="I965" s="38" t="n"/>
      <c r="J965" s="39">
        <f>IF($A965="","",IFERROR(IF($B965=0,0,$C965/$B965),0))</f>
        <v/>
      </c>
    </row>
    <row r="966">
      <c r="A966" s="38" t="n"/>
      <c r="B966" s="38" t="n"/>
      <c r="C966" s="38" t="n"/>
      <c r="D966" s="38" t="n"/>
      <c r="E966" s="38" t="n"/>
      <c r="F966" s="38" t="n"/>
      <c r="G966" s="38" t="n"/>
      <c r="H966" s="38" t="n"/>
      <c r="I966" s="38" t="n"/>
      <c r="J966" s="39">
        <f>IF($A966="","",IFERROR(IF($B966=0,0,$C966/$B966),0))</f>
        <v/>
      </c>
    </row>
    <row r="967">
      <c r="A967" s="38" t="n"/>
      <c r="B967" s="38" t="n"/>
      <c r="C967" s="38" t="n"/>
      <c r="D967" s="38" t="n"/>
      <c r="E967" s="38" t="n"/>
      <c r="F967" s="38" t="n"/>
      <c r="G967" s="38" t="n"/>
      <c r="H967" s="38" t="n"/>
      <c r="I967" s="38" t="n"/>
      <c r="J967" s="39">
        <f>IF($A967="","",IFERROR(IF($B967=0,0,$C967/$B967),0))</f>
        <v/>
      </c>
    </row>
    <row r="968">
      <c r="A968" s="38" t="n"/>
      <c r="B968" s="38" t="n"/>
      <c r="C968" s="38" t="n"/>
      <c r="D968" s="38" t="n"/>
      <c r="E968" s="38" t="n"/>
      <c r="F968" s="38" t="n"/>
      <c r="G968" s="38" t="n"/>
      <c r="H968" s="38" t="n"/>
      <c r="I968" s="38" t="n"/>
      <c r="J968" s="39">
        <f>IF($A968="","",IFERROR(IF($B968=0,0,$C968/$B968),0))</f>
        <v/>
      </c>
    </row>
    <row r="969">
      <c r="A969" s="38" t="n"/>
      <c r="B969" s="38" t="n"/>
      <c r="C969" s="38" t="n"/>
      <c r="D969" s="38" t="n"/>
      <c r="E969" s="38" t="n"/>
      <c r="F969" s="38" t="n"/>
      <c r="G969" s="38" t="n"/>
      <c r="H969" s="38" t="n"/>
      <c r="I969" s="38" t="n"/>
      <c r="J969" s="39">
        <f>IF($A969="","",IFERROR(IF($B969=0,0,$C969/$B969),0))</f>
        <v/>
      </c>
    </row>
    <row r="970">
      <c r="A970" s="38" t="n"/>
      <c r="B970" s="38" t="n"/>
      <c r="C970" s="38" t="n"/>
      <c r="D970" s="38" t="n"/>
      <c r="E970" s="38" t="n"/>
      <c r="F970" s="38" t="n"/>
      <c r="G970" s="38" t="n"/>
      <c r="H970" s="38" t="n"/>
      <c r="I970" s="38" t="n"/>
      <c r="J970" s="39">
        <f>IF($A970="","",IFERROR(IF($B970=0,0,$C970/$B970),0))</f>
        <v/>
      </c>
    </row>
    <row r="971">
      <c r="A971" s="38" t="n"/>
      <c r="B971" s="38" t="n"/>
      <c r="C971" s="38" t="n"/>
      <c r="D971" s="38" t="n"/>
      <c r="E971" s="38" t="n"/>
      <c r="F971" s="38" t="n"/>
      <c r="G971" s="38" t="n"/>
      <c r="H971" s="38" t="n"/>
      <c r="I971" s="38" t="n"/>
      <c r="J971" s="39">
        <f>IF($A971="","",IFERROR(IF($B971=0,0,$C971/$B971),0))</f>
        <v/>
      </c>
    </row>
    <row r="972">
      <c r="A972" s="38" t="n"/>
      <c r="B972" s="38" t="n"/>
      <c r="C972" s="38" t="n"/>
      <c r="D972" s="38" t="n"/>
      <c r="E972" s="38" t="n"/>
      <c r="F972" s="38" t="n"/>
      <c r="G972" s="38" t="n"/>
      <c r="H972" s="38" t="n"/>
      <c r="I972" s="38" t="n"/>
      <c r="J972" s="39">
        <f>IF($A972="","",IFERROR(IF($B972=0,0,$C972/$B972),0))</f>
        <v/>
      </c>
    </row>
    <row r="973">
      <c r="A973" s="38" t="n"/>
      <c r="B973" s="38" t="n"/>
      <c r="C973" s="38" t="n"/>
      <c r="D973" s="38" t="n"/>
      <c r="E973" s="38" t="n"/>
      <c r="F973" s="38" t="n"/>
      <c r="G973" s="38" t="n"/>
      <c r="H973" s="38" t="n"/>
      <c r="I973" s="38" t="n"/>
      <c r="J973" s="39">
        <f>IF($A973="","",IFERROR(IF($B973=0,0,$C973/$B973),0))</f>
        <v/>
      </c>
    </row>
    <row r="974">
      <c r="A974" s="38" t="n"/>
      <c r="B974" s="38" t="n"/>
      <c r="C974" s="38" t="n"/>
      <c r="D974" s="38" t="n"/>
      <c r="E974" s="38" t="n"/>
      <c r="F974" s="38" t="n"/>
      <c r="G974" s="38" t="n"/>
      <c r="H974" s="38" t="n"/>
      <c r="I974" s="38" t="n"/>
      <c r="J974" s="39">
        <f>IF($A974="","",IFERROR(IF($B974=0,0,$C974/$B974),0))</f>
        <v/>
      </c>
    </row>
    <row r="975">
      <c r="A975" s="38" t="n"/>
      <c r="B975" s="38" t="n"/>
      <c r="C975" s="38" t="n"/>
      <c r="D975" s="38" t="n"/>
      <c r="E975" s="38" t="n"/>
      <c r="F975" s="38" t="n"/>
      <c r="G975" s="38" t="n"/>
      <c r="H975" s="38" t="n"/>
      <c r="I975" s="38" t="n"/>
      <c r="J975" s="39">
        <f>IF($A975="","",IFERROR(IF($B975=0,0,$C975/$B975),0))</f>
        <v/>
      </c>
    </row>
    <row r="976">
      <c r="A976" s="38" t="n"/>
      <c r="B976" s="38" t="n"/>
      <c r="C976" s="38" t="n"/>
      <c r="D976" s="38" t="n"/>
      <c r="E976" s="38" t="n"/>
      <c r="F976" s="38" t="n"/>
      <c r="G976" s="38" t="n"/>
      <c r="H976" s="38" t="n"/>
      <c r="I976" s="38" t="n"/>
      <c r="J976" s="39">
        <f>IF($A976="","",IFERROR(IF($B976=0,0,$C976/$B976),0))</f>
        <v/>
      </c>
    </row>
    <row r="977">
      <c r="A977" s="38" t="n"/>
      <c r="B977" s="38" t="n"/>
      <c r="C977" s="38" t="n"/>
      <c r="D977" s="38" t="n"/>
      <c r="E977" s="38" t="n"/>
      <c r="F977" s="38" t="n"/>
      <c r="G977" s="38" t="n"/>
      <c r="H977" s="38" t="n"/>
      <c r="I977" s="38" t="n"/>
      <c r="J977" s="39">
        <f>IF($A977="","",IFERROR(IF($B977=0,0,$C977/$B977),0))</f>
        <v/>
      </c>
    </row>
    <row r="978">
      <c r="A978" s="38" t="n"/>
      <c r="B978" s="38" t="n"/>
      <c r="C978" s="38" t="n"/>
      <c r="D978" s="38" t="n"/>
      <c r="E978" s="38" t="n"/>
      <c r="F978" s="38" t="n"/>
      <c r="G978" s="38" t="n"/>
      <c r="H978" s="38" t="n"/>
      <c r="I978" s="38" t="n"/>
      <c r="J978" s="39">
        <f>IF($A978="","",IFERROR(IF($B978=0,0,$C978/$B978),0))</f>
        <v/>
      </c>
    </row>
    <row r="979">
      <c r="A979" s="38" t="n"/>
      <c r="B979" s="38" t="n"/>
      <c r="C979" s="38" t="n"/>
      <c r="D979" s="38" t="n"/>
      <c r="E979" s="38" t="n"/>
      <c r="F979" s="38" t="n"/>
      <c r="G979" s="38" t="n"/>
      <c r="H979" s="38" t="n"/>
      <c r="I979" s="38" t="n"/>
      <c r="J979" s="39">
        <f>IF($A979="","",IFERROR(IF($B979=0,0,$C979/$B979),0))</f>
        <v/>
      </c>
    </row>
    <row r="980">
      <c r="A980" s="38" t="n"/>
      <c r="B980" s="38" t="n"/>
      <c r="C980" s="38" t="n"/>
      <c r="D980" s="38" t="n"/>
      <c r="E980" s="38" t="n"/>
      <c r="F980" s="38" t="n"/>
      <c r="G980" s="38" t="n"/>
      <c r="H980" s="38" t="n"/>
      <c r="I980" s="38" t="n"/>
      <c r="J980" s="39">
        <f>IF($A980="","",IFERROR(IF($B980=0,0,$C980/$B980),0))</f>
        <v/>
      </c>
    </row>
    <row r="981">
      <c r="A981" s="38" t="n"/>
      <c r="B981" s="38" t="n"/>
      <c r="C981" s="38" t="n"/>
      <c r="D981" s="38" t="n"/>
      <c r="E981" s="38" t="n"/>
      <c r="F981" s="38" t="n"/>
      <c r="G981" s="38" t="n"/>
      <c r="H981" s="38" t="n"/>
      <c r="I981" s="38" t="n"/>
      <c r="J981" s="39">
        <f>IF($A981="","",IFERROR(IF($B981=0,0,$C981/$B981),0))</f>
        <v/>
      </c>
    </row>
    <row r="982">
      <c r="A982" s="38" t="n"/>
      <c r="B982" s="38" t="n"/>
      <c r="C982" s="38" t="n"/>
      <c r="D982" s="38" t="n"/>
      <c r="E982" s="38" t="n"/>
      <c r="F982" s="38" t="n"/>
      <c r="G982" s="38" t="n"/>
      <c r="H982" s="38" t="n"/>
      <c r="I982" s="38" t="n"/>
      <c r="J982" s="39">
        <f>IF($A982="","",IFERROR(IF($B982=0,0,$C982/$B982),0))</f>
        <v/>
      </c>
    </row>
    <row r="983">
      <c r="A983" s="38" t="n"/>
      <c r="B983" s="38" t="n"/>
      <c r="C983" s="38" t="n"/>
      <c r="D983" s="38" t="n"/>
      <c r="E983" s="38" t="n"/>
      <c r="F983" s="38" t="n"/>
      <c r="G983" s="38" t="n"/>
      <c r="H983" s="38" t="n"/>
      <c r="I983" s="38" t="n"/>
      <c r="J983" s="39">
        <f>IF($A983="","",IFERROR(IF($B983=0,0,$C983/$B983),0))</f>
        <v/>
      </c>
    </row>
    <row r="984">
      <c r="A984" s="38" t="n"/>
      <c r="B984" s="38" t="n"/>
      <c r="C984" s="38" t="n"/>
      <c r="D984" s="38" t="n"/>
      <c r="E984" s="38" t="n"/>
      <c r="F984" s="38" t="n"/>
      <c r="G984" s="38" t="n"/>
      <c r="H984" s="38" t="n"/>
      <c r="I984" s="38" t="n"/>
      <c r="J984" s="39">
        <f>IF($A984="","",IFERROR(IF($B984=0,0,$C984/$B984),0))</f>
        <v/>
      </c>
    </row>
    <row r="985">
      <c r="A985" s="38" t="n"/>
      <c r="B985" s="38" t="n"/>
      <c r="C985" s="38" t="n"/>
      <c r="D985" s="38" t="n"/>
      <c r="E985" s="38" t="n"/>
      <c r="F985" s="38" t="n"/>
      <c r="G985" s="38" t="n"/>
      <c r="H985" s="38" t="n"/>
      <c r="I985" s="38" t="n"/>
      <c r="J985" s="39">
        <f>IF($A985="","",IFERROR(IF($B985=0,0,$C985/$B985),0))</f>
        <v/>
      </c>
    </row>
    <row r="986">
      <c r="A986" s="38" t="n"/>
      <c r="B986" s="38" t="n"/>
      <c r="C986" s="38" t="n"/>
      <c r="D986" s="38" t="n"/>
      <c r="E986" s="38" t="n"/>
      <c r="F986" s="38" t="n"/>
      <c r="G986" s="38" t="n"/>
      <c r="H986" s="38" t="n"/>
      <c r="I986" s="38" t="n"/>
      <c r="J986" s="39">
        <f>IF($A986="","",IFERROR(IF($B986=0,0,$C986/$B986),0))</f>
        <v/>
      </c>
    </row>
    <row r="987">
      <c r="A987" s="38" t="n"/>
      <c r="B987" s="38" t="n"/>
      <c r="C987" s="38" t="n"/>
      <c r="D987" s="38" t="n"/>
      <c r="E987" s="38" t="n"/>
      <c r="F987" s="38" t="n"/>
      <c r="G987" s="38" t="n"/>
      <c r="H987" s="38" t="n"/>
      <c r="I987" s="38" t="n"/>
      <c r="J987" s="39">
        <f>IF($A987="","",IFERROR(IF($B987=0,0,$C987/$B987),0))</f>
        <v/>
      </c>
    </row>
    <row r="988">
      <c r="A988" s="38" t="n"/>
      <c r="B988" s="38" t="n"/>
      <c r="C988" s="38" t="n"/>
      <c r="D988" s="38" t="n"/>
      <c r="E988" s="38" t="n"/>
      <c r="F988" s="38" t="n"/>
      <c r="G988" s="38" t="n"/>
      <c r="H988" s="38" t="n"/>
      <c r="I988" s="38" t="n"/>
      <c r="J988" s="39">
        <f>IF($A988="","",IFERROR(IF($B988=0,0,$C988/$B988),0))</f>
        <v/>
      </c>
    </row>
    <row r="989">
      <c r="A989" s="38" t="n"/>
      <c r="B989" s="38" t="n"/>
      <c r="C989" s="38" t="n"/>
      <c r="D989" s="38" t="n"/>
      <c r="E989" s="38" t="n"/>
      <c r="F989" s="38" t="n"/>
      <c r="G989" s="38" t="n"/>
      <c r="H989" s="38" t="n"/>
      <c r="I989" s="38" t="n"/>
      <c r="J989" s="39">
        <f>IF($A989="","",IFERROR(IF($B989=0,0,$C989/$B989),0))</f>
        <v/>
      </c>
    </row>
    <row r="990">
      <c r="A990" s="38" t="n"/>
      <c r="B990" s="38" t="n"/>
      <c r="C990" s="38" t="n"/>
      <c r="D990" s="38" t="n"/>
      <c r="E990" s="38" t="n"/>
      <c r="F990" s="38" t="n"/>
      <c r="G990" s="38" t="n"/>
      <c r="H990" s="38" t="n"/>
      <c r="I990" s="38" t="n"/>
      <c r="J990" s="39">
        <f>IF($A990="","",IFERROR(IF($B990=0,0,$C990/$B990),0))</f>
        <v/>
      </c>
    </row>
    <row r="991">
      <c r="A991" s="38" t="n"/>
      <c r="B991" s="38" t="n"/>
      <c r="C991" s="38" t="n"/>
      <c r="D991" s="38" t="n"/>
      <c r="E991" s="38" t="n"/>
      <c r="F991" s="38" t="n"/>
      <c r="G991" s="38" t="n"/>
      <c r="H991" s="38" t="n"/>
      <c r="I991" s="38" t="n"/>
      <c r="J991" s="39">
        <f>IF($A991="","",IFERROR(IF($B991=0,0,$C991/$B991),0))</f>
        <v/>
      </c>
    </row>
    <row r="992">
      <c r="A992" s="38" t="n"/>
      <c r="B992" s="38" t="n"/>
      <c r="C992" s="38" t="n"/>
      <c r="D992" s="38" t="n"/>
      <c r="E992" s="38" t="n"/>
      <c r="F992" s="38" t="n"/>
      <c r="G992" s="38" t="n"/>
      <c r="H992" s="38" t="n"/>
      <c r="I992" s="38" t="n"/>
      <c r="J992" s="39">
        <f>IF($A992="","",IFERROR(IF($B992=0,0,$C992/$B992),0))</f>
        <v/>
      </c>
    </row>
    <row r="993">
      <c r="A993" s="38" t="n"/>
      <c r="B993" s="38" t="n"/>
      <c r="C993" s="38" t="n"/>
      <c r="D993" s="38" t="n"/>
      <c r="E993" s="38" t="n"/>
      <c r="F993" s="38" t="n"/>
      <c r="G993" s="38" t="n"/>
      <c r="H993" s="38" t="n"/>
      <c r="I993" s="38" t="n"/>
      <c r="J993" s="39">
        <f>IF($A993="","",IFERROR(IF($B993=0,0,$C993/$B993),0))</f>
        <v/>
      </c>
    </row>
    <row r="994">
      <c r="A994" s="38" t="n"/>
      <c r="B994" s="38" t="n"/>
      <c r="C994" s="38" t="n"/>
      <c r="D994" s="38" t="n"/>
      <c r="E994" s="38" t="n"/>
      <c r="F994" s="38" t="n"/>
      <c r="G994" s="38" t="n"/>
      <c r="H994" s="38" t="n"/>
      <c r="I994" s="38" t="n"/>
      <c r="J994" s="39">
        <f>IF($A994="","",IFERROR(IF($B994=0,0,$C994/$B994),0))</f>
        <v/>
      </c>
    </row>
    <row r="995">
      <c r="A995" s="38" t="n"/>
      <c r="B995" s="38" t="n"/>
      <c r="C995" s="38" t="n"/>
      <c r="D995" s="38" t="n"/>
      <c r="E995" s="38" t="n"/>
      <c r="F995" s="38" t="n"/>
      <c r="G995" s="38" t="n"/>
      <c r="H995" s="38" t="n"/>
      <c r="I995" s="38" t="n"/>
      <c r="J995" s="39">
        <f>IF($A995="","",IFERROR(IF($B995=0,0,$C995/$B995),0))</f>
        <v/>
      </c>
    </row>
    <row r="996">
      <c r="A996" s="38" t="n"/>
      <c r="B996" s="38" t="n"/>
      <c r="C996" s="38" t="n"/>
      <c r="D996" s="38" t="n"/>
      <c r="E996" s="38" t="n"/>
      <c r="F996" s="38" t="n"/>
      <c r="G996" s="38" t="n"/>
      <c r="H996" s="38" t="n"/>
      <c r="I996" s="38" t="n"/>
      <c r="J996" s="39">
        <f>IF($A996="","",IFERROR(IF($B996=0,0,$C996/$B996),0))</f>
        <v/>
      </c>
    </row>
    <row r="997">
      <c r="A997" s="38" t="n"/>
      <c r="B997" s="38" t="n"/>
      <c r="C997" s="38" t="n"/>
      <c r="D997" s="38" t="n"/>
      <c r="E997" s="38" t="n"/>
      <c r="F997" s="38" t="n"/>
      <c r="G997" s="38" t="n"/>
      <c r="H997" s="38" t="n"/>
      <c r="I997" s="38" t="n"/>
      <c r="J997" s="39">
        <f>IF($A997="","",IFERROR(IF($B997=0,0,$C997/$B997),0))</f>
        <v/>
      </c>
    </row>
    <row r="998">
      <c r="A998" s="38" t="n"/>
      <c r="B998" s="38" t="n"/>
      <c r="C998" s="38" t="n"/>
      <c r="D998" s="38" t="n"/>
      <c r="E998" s="38" t="n"/>
      <c r="F998" s="38" t="n"/>
      <c r="G998" s="38" t="n"/>
      <c r="H998" s="38" t="n"/>
      <c r="I998" s="38" t="n"/>
      <c r="J998" s="39">
        <f>IF($A998="","",IFERROR(IF($B998=0,0,$C998/$B998),0))</f>
        <v/>
      </c>
    </row>
    <row r="999">
      <c r="A999" s="38" t="n"/>
      <c r="B999" s="38" t="n"/>
      <c r="C999" s="38" t="n"/>
      <c r="D999" s="38" t="n"/>
      <c r="E999" s="38" t="n"/>
      <c r="F999" s="38" t="n"/>
      <c r="G999" s="38" t="n"/>
      <c r="H999" s="38" t="n"/>
      <c r="I999" s="38" t="n"/>
      <c r="J999" s="39">
        <f>IF($A999="","",IFERROR(IF($B999=0,0,$C999/$B999),0))</f>
        <v/>
      </c>
    </row>
    <row r="1000">
      <c r="A1000" s="38" t="n"/>
      <c r="B1000" s="38" t="n"/>
      <c r="C1000" s="38" t="n"/>
      <c r="D1000" s="38" t="n"/>
      <c r="E1000" s="38" t="n"/>
      <c r="F1000" s="38" t="n"/>
      <c r="G1000" s="38" t="n"/>
      <c r="H1000" s="38" t="n"/>
      <c r="I1000" s="38" t="n"/>
      <c r="J1000" s="39">
        <f>IF($A1000="","",IFERROR(IF($B1000=0,0,$C1000/$B1000),0))</f>
        <v/>
      </c>
    </row>
    <row r="1001">
      <c r="A1001" s="38" t="n"/>
      <c r="B1001" s="38" t="n"/>
      <c r="C1001" s="38" t="n"/>
      <c r="D1001" s="38" t="n"/>
      <c r="E1001" s="38" t="n"/>
      <c r="F1001" s="38" t="n"/>
      <c r="G1001" s="38" t="n"/>
      <c r="H1001" s="38" t="n"/>
      <c r="I1001" s="38" t="n"/>
      <c r="J1001" s="39">
        <f>IF($A1001="","",IFERROR(IF($B1001=0,0,$C1001/$B1001),0))</f>
        <v/>
      </c>
    </row>
    <row r="1002">
      <c r="A1002" s="38" t="n"/>
      <c r="B1002" s="38" t="n"/>
      <c r="C1002" s="38" t="n"/>
      <c r="D1002" s="38" t="n"/>
      <c r="E1002" s="38" t="n"/>
      <c r="F1002" s="38" t="n"/>
      <c r="G1002" s="38" t="n"/>
      <c r="H1002" s="38" t="n"/>
      <c r="I1002" s="38" t="n"/>
      <c r="J1002" s="39">
        <f>IF($A1002="","",IFERROR(IF($B1002=0,0,$C1002/$B1002),0))</f>
        <v/>
      </c>
    </row>
    <row r="1003">
      <c r="A1003" s="38" t="n"/>
      <c r="B1003" s="38" t="n"/>
      <c r="C1003" s="38" t="n"/>
      <c r="D1003" s="38" t="n"/>
      <c r="E1003" s="38" t="n"/>
      <c r="F1003" s="38" t="n"/>
      <c r="G1003" s="38" t="n"/>
      <c r="H1003" s="38" t="n"/>
      <c r="I1003" s="38" t="n"/>
      <c r="J1003" s="39">
        <f>IF($A1003="","",IFERROR(IF($B1003=0,0,$C1003/$B1003),0))</f>
        <v/>
      </c>
    </row>
    <row r="1004">
      <c r="A1004" s="38" t="n"/>
      <c r="B1004" s="38" t="n"/>
      <c r="C1004" s="38" t="n"/>
      <c r="D1004" s="38" t="n"/>
      <c r="E1004" s="38" t="n"/>
      <c r="F1004" s="38" t="n"/>
      <c r="G1004" s="38" t="n"/>
      <c r="H1004" s="38" t="n"/>
      <c r="I1004" s="38" t="n"/>
      <c r="J1004" s="39">
        <f>IF($A1004="","",IFERROR(IF($B1004=0,0,$C1004/$B1004),0))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G6:G20">
    <cfRule type="cellIs" priority="4" operator="lessThan" dxfId="3">
      <formula>0</formula>
    </cfRule>
  </conditionalFormatting>
  <conditionalFormatting sqref="H6:H20">
    <cfRule type="cellIs" priority="5" operator="lessThan" dxfId="3">
      <formula>0</formula>
    </cfRule>
  </conditionalFormatting>
  <conditionalFormatting sqref="J6:J20">
    <cfRule type="cellIs" priority="6" operator="lessThan" dxfId="3">
      <formula>0</formula>
    </cfRule>
    <cfRule type="cellIs" priority="7" operator="greaterThan" dxfId="3">
      <formula>3</formula>
    </cfRule>
  </conditionalFormatting>
  <dataValidations count="7">
    <dataValidation sqref="B6:B1004" showDropDown="0" showInputMessage="1" showErrorMessage="1" allowBlank="1" errorTitle="Geçersiz" error="Sınır dışı değer." promptTitle="Özkaynak" prompt="Özkaynak değerini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Sınır dışı değer." promptTitle="İlişkili Borç" prompt="İlişkili Borç değerini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Sınır dışı değer." promptTitle="Faiz" prompt="Faiz değerini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Sınır dışı değer." promptTitle="İşlem" prompt="İşlem değerini girin." type="decimal" errorStyle="stop" operator="between">
      <formula1>0</formula1>
      <formula2>1000000000000</formula2>
    </dataValidation>
    <dataValidation sqref="H6:H1004" showDropDown="0" showInputMessage="1" showErrorMessage="1" allowBlank="1" errorTitle="Geçersiz" error="Sınır dışı değer." promptTitle="Emsal Bedel" prompt="Emsal Bedel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-1." promptTitle="Uygulanan" prompt="0-1 oran." type="decimal" errorStyle="stop" operator="between">
      <formula1>0</formula1>
      <formula2>1</formula2>
    </dataValidation>
    <dataValidation sqref="F6:F1004" showDropDown="0" showInputMessage="1" showErrorMessage="1" allowBlank="1" errorTitle="Geçersiz" error="0-1." promptTitle="Emsal" prompt="0-1 oran." type="decimal" errorStyle="stop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.5" customWidth="1" min="3" max="3"/>
    <col width="13" customWidth="1" min="4" max="4"/>
    <col width="14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LISTELER — Örtülü Sermaye + Emsal Faiz + TF Paketi</t>
        </is>
      </c>
    </row>
    <row r="3" ht="22" customHeight="1">
      <c r="A3" s="228" t="inlineStr">
        <is>
          <t>Doğrulama listeleri</t>
        </is>
      </c>
    </row>
    <row r="5">
      <c r="A5" s="53" t="inlineStr">
        <is>
          <t>Yıllar</t>
        </is>
      </c>
      <c r="C5" s="53" t="inlineStr">
        <is>
          <t>Yorum A/B</t>
        </is>
      </c>
      <c r="E5" s="53" t="inlineStr">
        <is>
          <t>Evet/Hayır</t>
        </is>
      </c>
    </row>
    <row r="6">
      <c r="A6" s="65" t="n">
        <v>2025</v>
      </c>
      <c r="C6" s="63" t="inlineStr">
        <is>
          <t>A</t>
        </is>
      </c>
      <c r="E6" s="63" t="inlineStr">
        <is>
          <t>Evet</t>
        </is>
      </c>
    </row>
    <row r="7">
      <c r="A7" s="65" t="n">
        <v>2026</v>
      </c>
      <c r="C7" s="63" t="inlineStr">
        <is>
          <t>B</t>
        </is>
      </c>
      <c r="E7" s="63" t="inlineStr">
        <is>
          <t>Hayır</t>
        </is>
      </c>
    </row>
    <row r="8">
      <c r="A8" s="65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.5" customWidth="1" min="3" max="3"/>
    <col width="39.5" customWidth="1" min="4" max="4"/>
    <col width="24.5" customWidth="1" min="5" max="5"/>
    <col width="19.5" customWidth="1" min="6" max="6"/>
    <col width="20.5" customWidth="1" min="7" max="7"/>
    <col width="12" customWidth="1" min="8" max="8"/>
    <col width="13" customWidth="1" min="9" max="9"/>
  </cols>
  <sheetData>
    <row r="1" ht="32" customHeight="1">
      <c r="A1" s="208" t="inlineStr">
        <is>
          <t>AYARLAR — Örtülü Sermaye + Emsal Faiz + TF Paketi</t>
        </is>
      </c>
    </row>
    <row r="3" ht="22" customHeight="1">
      <c r="A3" s="228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6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6">
        <f>IF(A6="","",IF(B6="","EKSİK","TAM"))</f>
        <v/>
      </c>
    </row>
    <row r="7">
      <c r="A7" s="7" t="inlineStr">
        <is>
          <t>raporTarihi</t>
        </is>
      </c>
      <c r="B7" s="67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6">
        <f>IF(A7="","",IF(B7="","EKSİK","TAM"))</f>
        <v/>
      </c>
    </row>
    <row r="8">
      <c r="A8" s="7" t="inlineStr">
        <is>
          <t>ose_tolerans</t>
        </is>
      </c>
      <c r="B8" s="68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6">
        <f>IF(A8="","",IF(B8="","EKSİK","TAM"))</f>
        <v/>
      </c>
    </row>
    <row r="9">
      <c r="A9" s="7" t="inlineStr">
        <is>
          <t>ose_kacirilanEsik</t>
        </is>
      </c>
      <c r="B9" s="68" t="n">
        <v>50000</v>
      </c>
      <c r="C9" s="7" t="inlineStr">
        <is>
          <t>TL</t>
        </is>
      </c>
      <c r="D9" s="7" t="inlineStr">
        <is>
          <t>PANO KKEG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6">
        <f>IF(A9="","",IF(B9="","EKSİK","TAM"))</f>
        <v/>
      </c>
    </row>
    <row r="10">
      <c r="A10" s="7" t="inlineStr">
        <is>
          <t>ose_senaryoIyi</t>
        </is>
      </c>
      <c r="B10" s="47" t="n">
        <v>1.1</v>
      </c>
      <c r="C10" s="7" t="inlineStr">
        <is>
          <t>çarpan</t>
        </is>
      </c>
      <c r="D10" s="7" t="inlineStr">
        <is>
          <t>Kötümser KKEG çarpanı (yüksek)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6">
        <f>IF(A10="","",IF(B10="","EKSİK","TAM"))</f>
        <v/>
      </c>
    </row>
    <row r="11">
      <c r="A11" s="7" t="inlineStr">
        <is>
          <t>ose_senaryoKotu</t>
        </is>
      </c>
      <c r="B11" s="47" t="n">
        <v>0.85</v>
      </c>
      <c r="C11" s="7" t="inlineStr">
        <is>
          <t>çarpan</t>
        </is>
      </c>
      <c r="D11" s="7" t="inlineStr">
        <is>
          <t>İyimser KKEG çarpanı (düşük)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6">
        <f>IF(A11="","",IF(B11="","EKSİK","TAM"))</f>
        <v/>
      </c>
    </row>
    <row r="12">
      <c r="A12" s="7" t="inlineStr">
        <is>
          <t>ose_oranArtisPuan</t>
        </is>
      </c>
      <c r="B12" s="47" t="n">
        <v>0.01</v>
      </c>
      <c r="C12" s="7" t="inlineStr">
        <is>
          <t>oran</t>
        </is>
      </c>
      <c r="D12" s="7" t="inlineStr">
        <is>
          <t>Yedek oran artış puanı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6">
        <f>IF(A12="","",IF(B12="","EKSİK","TAM"))</f>
        <v/>
      </c>
    </row>
    <row r="13">
      <c r="A13" s="7" t="inlineStr">
        <is>
          <t>ose_tahminAlt</t>
        </is>
      </c>
      <c r="B13" s="47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6">
        <f>IF(A13="","",IF(B13="","EKSİK","TAM"))</f>
        <v/>
      </c>
    </row>
    <row r="14">
      <c r="A14" s="7" t="inlineStr">
        <is>
          <t>ose_tahminUst</t>
        </is>
      </c>
      <c r="B14" s="47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6">
        <f>IF(A14="","",IF(B14="","EKSİK","TAM"))</f>
        <v/>
      </c>
    </row>
    <row r="15">
      <c r="A15" s="7" t="inlineStr">
        <is>
          <t>ose_tornadoHasilat</t>
        </is>
      </c>
      <c r="B15" s="47" t="n">
        <v>1.05</v>
      </c>
      <c r="C15" s="7" t="inlineStr">
        <is>
          <t>çarpan</t>
        </is>
      </c>
      <c r="D15" s="7" t="inlineStr">
        <is>
          <t>Tornado borç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6">
        <f>IF(A15="","",IF(B15="","EKSİK","TAM"))</f>
        <v/>
      </c>
    </row>
    <row r="16">
      <c r="A16" s="7" t="inlineStr">
        <is>
          <t>ose_tornadoMaliyet</t>
        </is>
      </c>
      <c r="B16" s="47" t="n">
        <v>1.05</v>
      </c>
      <c r="C16" s="7" t="inlineStr">
        <is>
          <t>çarpan</t>
        </is>
      </c>
      <c r="D16" s="7" t="inlineStr">
        <is>
          <t>Tornado faiz oranı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6">
        <f>IF(A16="","",IF(B16="","EKSİK","TAM"))</f>
        <v/>
      </c>
    </row>
    <row r="17">
      <c r="A17" s="7" t="inlineStr">
        <is>
          <t>ose_payArtisOran</t>
        </is>
      </c>
      <c r="B17" s="47" t="n">
        <v>0.1</v>
      </c>
      <c r="C17" s="7" t="inlineStr">
        <is>
          <t>oran</t>
        </is>
      </c>
      <c r="D17" s="7" t="inlineStr">
        <is>
          <t>Yorum B aşan borç +%10</t>
        </is>
      </c>
      <c r="E17" s="7" t="inlineStr">
        <is>
          <t>İlişkili kişi modeli</t>
        </is>
      </c>
      <c r="F17" s="7" t="inlineStr">
        <is>
          <t>01.01.2025</t>
        </is>
      </c>
      <c r="G17" s="7" t="inlineStr">
        <is>
          <t>11.08.2026</t>
        </is>
      </c>
      <c r="H17" s="66">
        <f>IF(A17="","",IF(B17="","EKSİK","TAM"))</f>
        <v/>
      </c>
    </row>
    <row r="18">
      <c r="A18" s="7" t="inlineStr">
        <is>
          <t>ose_yuzdelikOran</t>
        </is>
      </c>
      <c r="B18" s="47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6">
        <f>IF(A18="","",IF(B18="","EKSİK","TAM"))</f>
        <v/>
      </c>
    </row>
    <row r="19">
      <c r="A19" s="7" t="inlineStr">
        <is>
          <t>ose_parmakIzi</t>
        </is>
      </c>
      <c r="B19" s="69" t="inlineStr">
        <is>
          <t>c39686c7d2af666e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6">
        <f>IF(A19="","",IF(B19="","EKSİK","TAM"))</f>
        <v/>
      </c>
    </row>
    <row r="20">
      <c r="A20" s="7" t="inlineStr">
        <is>
          <t>dosya_surumu</t>
        </is>
      </c>
      <c r="B20" s="69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6">
        <f>IF(A20="","",IF(B20="","EKSİK","TAM"))</f>
        <v/>
      </c>
    </row>
    <row r="21">
      <c r="A21" s="7" t="inlineStr">
        <is>
          <t>ose_girisBeklenen</t>
        </is>
      </c>
      <c r="B21" s="46" t="n">
        <v>11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6">
        <f>IF(A21="","",IF(B21="","EKSİK","TAM"))</f>
        <v/>
      </c>
    </row>
    <row r="22">
      <c r="A22" s="7" t="inlineStr">
        <is>
          <t>ose_riskDusuk</t>
        </is>
      </c>
      <c r="B22" s="46" t="n">
        <v>15</v>
      </c>
      <c r="C22" s="7" t="inlineStr">
        <is>
          <t>puan</t>
        </is>
      </c>
      <c r="D22" s="7" t="inlineStr">
        <is>
          <t>TEMİZ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6">
        <f>IF(A22="","",IF(B22="","EKSİK","TAM"))</f>
        <v/>
      </c>
    </row>
    <row r="23">
      <c r="A23" s="7" t="inlineStr">
        <is>
          <t>ose_riskOrta</t>
        </is>
      </c>
      <c r="B23" s="46" t="n">
        <v>55</v>
      </c>
      <c r="C23" s="7" t="inlineStr">
        <is>
          <t>puan</t>
        </is>
      </c>
      <c r="D23" s="7" t="inlineStr">
        <is>
          <t>DİKKAT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6">
        <f>IF(A23="","",IF(B23="","EKSİK","TAM"))</f>
        <v/>
      </c>
    </row>
    <row r="24">
      <c r="A24" s="7" t="inlineStr">
        <is>
          <t>ose_riskYuksek</t>
        </is>
      </c>
      <c r="B24" s="46" t="n">
        <v>85</v>
      </c>
      <c r="C24" s="7" t="inlineStr">
        <is>
          <t>puan</t>
        </is>
      </c>
      <c r="D24" s="7" t="inlineStr">
        <is>
          <t>KKEG RİSKİ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6">
        <f>IF(A24="","",IF(B24="","EKSİK","TAM"))</f>
        <v/>
      </c>
    </row>
    <row r="25">
      <c r="A25" s="7" t="inlineStr">
        <is>
          <t>ose_riskEsikOran</t>
        </is>
      </c>
      <c r="B25" s="47" t="n">
        <v>0.5</v>
      </c>
      <c r="C25" s="7" t="inlineStr">
        <is>
          <t>oran</t>
        </is>
      </c>
      <c r="D25" s="7" t="inlineStr">
        <is>
          <t>Yedek risk oranı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6">
        <f>IF(A25="","",IF(B25="","EKSİK","TAM"))</f>
        <v/>
      </c>
    </row>
    <row r="26">
      <c r="A26" s="7" t="inlineStr">
        <is>
          <t>ose_yilTaban</t>
        </is>
      </c>
      <c r="B26" s="46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6">
        <f>IF(A26="","",IF(B26="","EKSİK","TAM"))</f>
        <v/>
      </c>
    </row>
    <row r="27">
      <c r="A27" s="7" t="inlineStr">
        <is>
          <t>ose_yuvarMax</t>
        </is>
      </c>
      <c r="B27" s="46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6">
        <f>IF(A27="","",IF(B27="","EKSİK","TAM"))</f>
        <v/>
      </c>
    </row>
    <row r="28">
      <c r="A28" s="7" t="inlineStr">
        <is>
          <t>ose_dayanakCarpan</t>
        </is>
      </c>
      <c r="B28" s="46" t="n">
        <v>10</v>
      </c>
      <c r="C28" s="7" t="inlineStr">
        <is>
          <t>adet</t>
        </is>
      </c>
      <c r="D28" s="7" t="inlineStr">
        <is>
          <t>Yedek çarpan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6">
        <f>IF(A28="","",IF(B28="","EKSİK","TAM"))</f>
        <v/>
      </c>
    </row>
    <row r="29">
      <c r="A29" s="7" t="inlineStr">
        <is>
          <t>ose_bazCarpan</t>
        </is>
      </c>
      <c r="B29" s="47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66">
        <f>IF(A29="","",IF(B29="","EKSİK","TAM"))</f>
        <v/>
      </c>
    </row>
    <row r="30">
      <c r="A30" s="7" t="inlineStr">
        <is>
          <t>ose_sifirCarpan</t>
        </is>
      </c>
      <c r="B30" s="47" t="n">
        <v>0</v>
      </c>
      <c r="C30" s="7" t="inlineStr">
        <is>
          <t>çarpan</t>
        </is>
      </c>
      <c r="D30" s="7" t="inlineStr">
        <is>
          <t>Nötr çarpan (sıfır)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6">
        <f>IF(A30="","",IF(B30="","EKSİK","TAM"))</f>
        <v/>
      </c>
    </row>
    <row r="31">
      <c r="A31" s="7" t="inlineStr">
        <is>
          <t>ose_siraBir</t>
        </is>
      </c>
      <c r="B31" s="46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6">
        <f>IF(A31="","",IF(B31="","EKSİK","TAM"))</f>
        <v/>
      </c>
    </row>
    <row r="32">
      <c r="A32" s="7" t="inlineStr">
        <is>
          <t>ose_siraIki</t>
        </is>
      </c>
      <c r="B32" s="46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6">
        <f>IF(A32="","",IF(B32="","EKSİK","TAM"))</f>
        <v/>
      </c>
    </row>
    <row r="33">
      <c r="A33" s="7" t="inlineStr">
        <is>
          <t>ose_siraUc</t>
        </is>
      </c>
      <c r="B33" s="46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6">
        <f>IF(A33="","",IF(B33="","EKSİK","TAM"))</f>
        <v/>
      </c>
    </row>
    <row r="34">
      <c r="A34" s="7" t="inlineStr">
        <is>
          <t>ose_tahminX</t>
        </is>
      </c>
      <c r="B34" s="46" t="n">
        <v>5</v>
      </c>
      <c r="C34" s="7" t="inlineStr">
        <is>
          <t>adet</t>
        </is>
      </c>
      <c r="D34" s="7" t="inlineStr">
        <is>
          <t>FORECAST X noktası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6">
        <f>IF(A34="","",IF(B34="","EKSİK","TAM"))</f>
        <v/>
      </c>
    </row>
    <row r="35">
      <c r="A35" s="7" t="inlineStr">
        <is>
          <t>ose_esikSikilastirma</t>
        </is>
      </c>
      <c r="B35" s="46" t="n">
        <v>0.5</v>
      </c>
      <c r="C35" s="7" t="inlineStr">
        <is>
          <t>kat</t>
        </is>
      </c>
      <c r="D35" s="7" t="inlineStr">
        <is>
          <t>M-SEN eşik azaltma (kat)</t>
        </is>
      </c>
      <c r="E35" s="7" t="inlineStr">
        <is>
          <t>Senaryo motoru</t>
        </is>
      </c>
      <c r="F35" s="7" t="inlineStr">
        <is>
          <t>01.01.2025</t>
        </is>
      </c>
      <c r="G35" s="7" t="inlineStr">
        <is>
          <t>11.08.2026</t>
        </is>
      </c>
      <c r="H35" s="66">
        <f>IF(A35="","",IF(B35="","EKSİK","TAM"))</f>
        <v/>
      </c>
    </row>
    <row r="36">
      <c r="A36" s="7" t="inlineStr">
        <is>
          <t>vaka_ozkaynak</t>
        </is>
      </c>
      <c r="B36" s="68" t="n">
        <v>10000000</v>
      </c>
      <c r="C36" s="7" t="inlineStr">
        <is>
          <t>TL</t>
        </is>
      </c>
      <c r="D36" s="7" t="inlineStr">
        <is>
          <t>Vaka özkaynak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6">
        <f>IF(A36="","",IF(B36="","EKSİK","TAM"))</f>
        <v/>
      </c>
    </row>
    <row r="37">
      <c r="A37" s="7" t="inlineStr">
        <is>
          <t>vaka_borc</t>
        </is>
      </c>
      <c r="B37" s="68" t="n">
        <v>40000000</v>
      </c>
      <c r="C37" s="7" t="inlineStr">
        <is>
          <t>TL</t>
        </is>
      </c>
      <c r="D37" s="7" t="inlineStr">
        <is>
          <t>Vaka ilişkili borç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6">
        <f>IF(A37="","",IF(B37="","EKSİK","TAM"))</f>
        <v/>
      </c>
    </row>
    <row r="38">
      <c r="A38" s="7" t="inlineStr">
        <is>
          <t>vaka_faiz</t>
        </is>
      </c>
      <c r="B38" s="68" t="n">
        <v>4000000</v>
      </c>
      <c r="C38" s="7" t="inlineStr">
        <is>
          <t>TL</t>
        </is>
      </c>
      <c r="D38" s="7" t="inlineStr">
        <is>
          <t>Vaka yıllık faiz</t>
        </is>
      </c>
      <c r="E38" s="7" t="inlineStr">
        <is>
          <t>Tebliğ örneği</t>
        </is>
      </c>
      <c r="F38" s="7" t="inlineStr">
        <is>
          <t>01.01.2025</t>
        </is>
      </c>
      <c r="G38" s="7" t="inlineStr">
        <is>
          <t>11.08.2026</t>
        </is>
      </c>
      <c r="H38" s="66">
        <f>IF(A38="","",IF(B38="","EKSİK","TAM"))</f>
        <v/>
      </c>
    </row>
    <row r="39">
      <c r="A39" s="7" t="inlineStr">
        <is>
          <t>vaka_uygulanan</t>
        </is>
      </c>
      <c r="B39" s="47" t="n">
        <v>0.12</v>
      </c>
      <c r="C39" s="7" t="inlineStr">
        <is>
          <t>oran</t>
        </is>
      </c>
      <c r="D39" s="7" t="inlineStr">
        <is>
          <t>Vaka uygulanan faiz</t>
        </is>
      </c>
      <c r="E39" s="7" t="inlineStr">
        <is>
          <t>Tebliğ örneği</t>
        </is>
      </c>
      <c r="F39" s="7" t="inlineStr">
        <is>
          <t>01.01.2025</t>
        </is>
      </c>
      <c r="G39" s="7" t="inlineStr">
        <is>
          <t>11.08.2026</t>
        </is>
      </c>
      <c r="H39" s="66">
        <f>IF(A39="","",IF(B39="","EKSİK","TAM"))</f>
        <v/>
      </c>
    </row>
    <row r="40">
      <c r="A40" s="7" t="inlineStr">
        <is>
          <t>vaka_emsal</t>
        </is>
      </c>
      <c r="B40" s="47" t="n">
        <v>0.1</v>
      </c>
      <c r="C40" s="7" t="inlineStr">
        <is>
          <t>oran</t>
        </is>
      </c>
      <c r="D40" s="7" t="inlineStr">
        <is>
          <t>Vaka emsal faiz</t>
        </is>
      </c>
      <c r="E40" s="7" t="inlineStr">
        <is>
          <t>Tebliğ örneği</t>
        </is>
      </c>
      <c r="F40" s="7" t="inlineStr">
        <is>
          <t>01.01.2025</t>
        </is>
      </c>
      <c r="G40" s="7" t="inlineStr">
        <is>
          <t>11.08.2026</t>
        </is>
      </c>
      <c r="H40" s="66">
        <f>IF(A40="","",IF(B40="","EKSİK","TAM"))</f>
        <v/>
      </c>
    </row>
    <row r="41">
      <c r="A41" s="7" t="inlineStr">
        <is>
          <t>vaka_islem</t>
        </is>
      </c>
      <c r="B41" s="68" t="n">
        <v>5000000</v>
      </c>
      <c r="C41" s="7" t="inlineStr">
        <is>
          <t>TL</t>
        </is>
      </c>
      <c r="D41" s="7" t="inlineStr">
        <is>
          <t>Vaka ilişkili işlem</t>
        </is>
      </c>
      <c r="E41" s="7" t="inlineStr">
        <is>
          <t>Tebliğ örneği</t>
        </is>
      </c>
      <c r="F41" s="7" t="inlineStr">
        <is>
          <t>01.01.2025</t>
        </is>
      </c>
      <c r="G41" s="7" t="inlineStr">
        <is>
          <t>11.08.2026</t>
        </is>
      </c>
      <c r="H41" s="66">
        <f>IF(A41="","",IF(B41="","EKSİK","TAM"))</f>
        <v/>
      </c>
    </row>
    <row r="42">
      <c r="A42" s="7" t="inlineStr">
        <is>
          <t>vaka_bedel</t>
        </is>
      </c>
      <c r="B42" s="68" t="n">
        <v>4500000</v>
      </c>
      <c r="C42" s="7" t="inlineStr">
        <is>
          <t>TL</t>
        </is>
      </c>
      <c r="D42" s="7" t="inlineStr">
        <is>
          <t>Vaka emsal bedel</t>
        </is>
      </c>
      <c r="E42" s="7" t="inlineStr">
        <is>
          <t>Tebliğ örneği</t>
        </is>
      </c>
      <c r="F42" s="7" t="inlineStr">
        <is>
          <t>01.01.2025</t>
        </is>
      </c>
      <c r="G42" s="7" t="inlineStr">
        <is>
          <t>11.08.2026</t>
        </is>
      </c>
      <c r="H42" s="66">
        <f>IF(A42="","",IF(B42="","EKSİK","TAM"))</f>
        <v/>
      </c>
    </row>
    <row r="44">
      <c r="B44" s="70" t="inlineStr">
        <is>
          <t>Parametre satırları yukarıda; ad tanımları B kolonuna bağlı.</t>
        </is>
      </c>
    </row>
    <row r="46">
      <c r="B46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cols>
    <col width="111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8" t="inlineStr">
        <is>
          <t>KILAVUZ — Örtülü Sermaye + Emsal Faiz + TF Paketi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KKEG RİSKİ — toplam KKEG eşiğin üzerinde veya örtülü sermaye + faiz kısıtı oluştu.</t>
        </is>
      </c>
    </row>
    <row r="7">
      <c r="A7" s="6" t="inlineStr">
        <is>
          <t>• DİKKAT — oran veya KKEG riski dikkat bandında; dayanak gözden geçirilmeli.</t>
        </is>
      </c>
    </row>
    <row r="8">
      <c r="A8" s="6" t="inlineStr">
        <is>
          <t>• TEMİZ — borç/özkaynak eşiğin altında ve KKEG riski düşük.</t>
        </is>
      </c>
    </row>
    <row r="10">
      <c r="A10" s="71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iliskili_kisi_yorumu</t>
        </is>
      </c>
    </row>
    <row r="13">
      <c r="A13" s="10" t="inlineStr">
        <is>
          <t>Yorum A</t>
        </is>
      </c>
      <c r="B13" s="6" t="inlineStr">
        <is>
          <t>Aşan borç = MAX(0, ilişkili borç − özkaynak × 3x eşik). Kabul edilmeyen faiz = yıllık faiz × (aşan borç / ilişkili borç).</t>
        </is>
      </c>
    </row>
    <row r="14">
      <c r="A14" s="10" t="inlineStr">
        <is>
          <t>Yorum B</t>
        </is>
      </c>
      <c r="B14" s="6" t="inlineStr">
        <is>
          <t>Yorum B, aşan borcu +%10 sıkılaştırır (daha yüksek örtülü faiz KKEG).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1:I1"/>
    <mergeCell ref="A7:T7"/>
    <mergeCell ref="B13:J13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2026-08-11T10:21:28Z</dcterms:created>
  <dcterms:modified xmlns:dcterms="http://purl.org/dc/terms/" xmlns:xsi="http://www.w3.org/2001/XMLSchema-instance" xsi:type="dcterms:W3CDTF">2026-09-25T22:34:38Z</dcterms:modified>
</cp:coreProperties>
</file>