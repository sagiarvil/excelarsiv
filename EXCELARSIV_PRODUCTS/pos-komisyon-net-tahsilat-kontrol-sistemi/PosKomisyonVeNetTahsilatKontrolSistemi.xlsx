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2.xml" ContentType="application/vnd.openxmlformats-officedocument.spreadsheetml.comments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POS_HAREKETLER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ANAHTAR" sheetId="12" state="visible" r:id="rId14"/>
    <sheet name="ESLESTIRME" sheetId="13" state="visible" r:id="rId15"/>
    <sheet name="KOK_NEDEN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7" name="_xlnm.Print_Area" vbProcedure="false">PANO!$A$1:$M$46</definedName>
    <definedName function="false" hidden="false" localSheetId="9" name="_xlnm.Print_Area" vbProcedure="false">RAPOR!$A$1:$L$28</definedName>
    <definedName function="false" hidden="false" name="DosyaSurumu" vbProcedure="false">AYARLAR!$B$10</definedName>
    <definedName function="false" hidden="false" name="FirmaUnvan" vbProcedure="false">AYARLAR!$B$7</definedName>
    <definedName function="false" hidden="false" name="ListeKanalAdlari" vbProcedure="false">LISTELER!$A$7:$A$11</definedName>
    <definedName function="false" hidden="false" name="modulI1Tahmin" vbProcedure="false">ANALITIK_MOTOR!$C$13</definedName>
    <definedName function="false" hidden="false" name="modulI1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Tornado" vbProcedure="false">ANALITIK_MOTOR!$C$9</definedName>
    <definedName function="false" hidden="false" name="modulO2Tornado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6Hhi" vbProcedure="false">ANALITIK_MOTOR!$C$11</definedName>
    <definedName function="false" hidden="false" name="modulO6Hhi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2TrendOrt" vbProcedure="false">ANALITIK_MOTOR!$C$6</definedName>
    <definedName function="false" hidden="false" name="modulT2TrendOrtYorum" vbProcedure="false">ANALITIK_MOTOR!$D$6</definedName>
    <definedName function="false" hidden="false" name="modulT4DonemFark" vbProcedure="false">ANALITIK_MOTOR!$C$7</definedName>
    <definedName function="false" hidden="false" name="modulT4DonemFarkYorum" vbProcedure="false">ANALITIK_MOTOR!$D$7</definedName>
    <definedName function="false" hidden="false" name="PanelSatir1" vbProcedure="false">AYARLAR!$B$26</definedName>
    <definedName function="false" hidden="false" name="PanelSatir10" vbProcedure="false">AYARLAR!$B$35</definedName>
    <definedName function="false" hidden="false" name="PanelSatir11" vbProcedure="false">AYARLAR!$B$36</definedName>
    <definedName function="false" hidden="false" name="PanelSatir12" vbProcedure="false">AYARLAR!$B$37</definedName>
    <definedName function="false" hidden="false" name="PanelSatir2" vbProcedure="false">AYARLAR!$B$27</definedName>
    <definedName function="false" hidden="false" name="PanelSatir3" vbProcedure="false">AYARLAR!$B$28</definedName>
    <definedName function="false" hidden="false" name="PanelSatir4" vbProcedure="false">AYARLAR!$B$29</definedName>
    <definedName function="false" hidden="false" name="PanelSatir5" vbProcedure="false">AYARLAR!$B$30</definedName>
    <definedName function="false" hidden="false" name="PanelSatir6" vbProcedure="false">AYARLAR!$B$31</definedName>
    <definedName function="false" hidden="false" name="PanelSatir7" vbProcedure="false">AYARLAR!$B$32</definedName>
    <definedName function="false" hidden="false" name="PanelSatir8" vbProcedure="false">AYARLAR!$B$33</definedName>
    <definedName function="false" hidden="false" name="PanelSatir9" vbProcedure="false">AYARLAR!$B$34</definedName>
    <definedName function="false" hidden="false" name="PosAksiyon1_ACIKLAMA" vbProcedure="false">AYARLAR!$B$22</definedName>
    <definedName function="false" hidden="false" name="PosAksiyon2_ACIKLAMA" vbProcedure="false">AYARLAR!$B$23</definedName>
    <definedName function="false" hidden="false" name="PosAksiyon3_ACIKLAMA" vbProcedure="false">AYARLAR!$B$24</definedName>
    <definedName function="false" hidden="false" name="PosBazSenaryo" vbProcedure="false">AYARLAR!$B$15</definedName>
    <definedName function="false" hidden="false" name="PosBrutToplam" vbProcedure="false">HESAP!$B$11</definedName>
    <definedName function="false" hidden="false" name="PosDoluGiris" vbProcedure="false">KONTROLLER!$B$18</definedName>
    <definedName function="false" hidden="false" name="PosEnPahaliKanal" vbProcedure="false">HESAP!$B$13</definedName>
    <definedName function="false" hidden="false" name="PosIadeOrani" vbProcedure="false">HESAP!$G$11</definedName>
    <definedName function="false" hidden="false" name="PosIadeRiskEsik" vbProcedure="false">AYARLAR!$B$12</definedName>
    <definedName function="false" hidden="false" name="PosIadeToplam" vbProcedure="false">HESAP!$D$11</definedName>
    <definedName function="false" hidden="false" name="PosIyiSenaryo" vbProcedure="false">AYARLAR!$B$14</definedName>
    <definedName function="false" hidden="false" name="PosKaliteIyi" vbProcedure="false">AYARLAR!$B$20</definedName>
    <definedName function="false" hidden="false" name="PosKaliteOrta" vbProcedure="false">AYARLAR!$B$21</definedName>
    <definedName function="false" hidden="false" name="PosKomisyonOrani" vbProcedure="false">HESAP!$H$11</definedName>
    <definedName function="false" hidden="false" name="PosKomisyonRiskEsik" vbProcedure="false">AYARLAR!$B$13</definedName>
    <definedName function="false" hidden="false" name="PosKomisyonToplam" vbProcedure="false">HESAP!$E$11</definedName>
    <definedName function="false" hidden="false" name="PosKotuSenaryo" vbProcedure="false">AYARLAR!$B$16</definedName>
    <definedName function="false" hidden="false" name="PosNetHedefOran" vbProcedure="false">AYARLAR!$B$11</definedName>
    <definedName function="false" hidden="false" name="PosNetOran" vbProcedure="false">HESAP!$I$11</definedName>
    <definedName function="false" hidden="false" name="PosNetTahsilatToplam" vbProcedure="false">HESAP!$F$11</definedName>
    <definedName function="false" hidden="false" name="PosP90Oran" vbProcedure="false">AYARLAR!$B$25</definedName>
    <definedName function="false" hidden="false" name="PosTahminCarpan" vbProcedure="false">AYARLAR!$B$19</definedName>
    <definedName function="false" hidden="false" name="PosToplamGiris" vbProcedure="false">KONTROLLER!$B$17</definedName>
    <definedName function="false" hidden="false" name="PosTornadoIade" vbProcedure="false">AYARLAR!$B$18</definedName>
    <definedName function="false" hidden="false" name="PosTornadoKomisyon" vbProcedure="false">AYARLAR!$B$17</definedName>
    <definedName function="false" hidden="false" name="RaporHazirlayan" vbProcedure="false">AYARLAR!$B$9</definedName>
    <definedName function="false" hidden="false" name="RaporTarihi" vbProcedure="false">AYARLAR!$B$8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POS hareketlerini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Sonuçları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Karar ve rapor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Oranları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  <comment ref="I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Mağaza POS kanalı Brüt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Sanal POS kanalı Brüt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Mobil POS kanalı Brüt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Pazaryeri POS kanalı Brüt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Diğer kanalı Brüt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Mağaza POS kanalı Net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Sanal POS kanalı Net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Mobil POS kanalı Net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Pazaryeri POS kanalı Net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Diğer kanalı Net Satış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Mağaza POS kanalı İade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Sanal POS kanalı İade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Mobil POS kanalı İade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Pazaryeri POS kanalı İade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Diğer kanalı İade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Mağaza POS kanalı Komisyon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Sanal POS kanalı Komisyon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Mobil POS kanalı Komisyon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Pazaryeri POS kanalı Komisyon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Diğer kanalı Komisyon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Mağaza POS kanalı Net Tahsilat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Sanal POS kanalı Net Tahsilat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Mobil POS kanalı Net Tahsilat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Pazaryeri POS kanalı Net Tahsilat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Diğer kanalı Net Tahsilat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Mağaza POS kanalı İade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Sanal POS kanalı İade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Mobil POS kanalı İade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Pazaryeri POS kanalı İade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Diğer kanalı İade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Mağaza POS kanalı Komisyon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Sanal POS kanalı Komisyon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Mobil POS kanalı Komisyon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Pazaryeri POS kanalı Komisyon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Diğer kanalı Komisyon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Mağaza POS kanalı Net Tahsilat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Sanal POS kanalı Net Tahsilat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Mobil POS kanalı Net Tahsilat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Pazaryeri POS kanalı Net Tahsilat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Diğer kanalı Net Tahsilat Oranı | Neden önemli: Kanal maliyetini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kanal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brüt satış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brüt satış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İade tutarı brütü aşıyor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Komisyon oranı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Genel iade oranı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Net tahsilat oranı hedefte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En pahalı kanal riskli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Kanal adı | Neden önemli: Açılır listeyi besler | Doğru kullanım: Yeni kanal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Kanal adı | Neden önemli: Açılır listeyi besler | Doğru kullanım: Yeni kanal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Kanal adı | Neden önemli: Açılır listeyi besler | Doğru kullanım: Yeni kanal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Kanal adı | Neden önemli: Açılır listeyi besler | Doğru kullanım: Yeni kanal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Kanal adı | Neden önemli: Açılır listeyi besler | Doğru kullanım: Yeni kanal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Panel satır numarası 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Panel satır numarası 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Panel satır numarası 3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Panel satır numarası 4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Panel satır numarası 5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Panel satır numarası 6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7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8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9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10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11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12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<sst xmlns="http://schemas.openxmlformats.org/spreadsheetml/2006/main" count="468" uniqueCount="348">
  <si>
    <t xml:space="preserve">KAPAK — POS, Komisyon ve Net Tahsilat Kontrol Sistemi</t>
  </si>
  <si>
    <t xml:space="preserve">POS, Komisyon ve Net Tahsilat Kontrol Sistemi</t>
  </si>
  <si>
    <t xml:space="preserve">POS kanallarının brüt satışını, komisyon ve iade düşüldükten sonraki net tahsilatını karşılaştırın; kanal maliyetini görün.</t>
  </si>
  <si>
    <t xml:space="preserve">Bu ürün ne sağlar?</t>
  </si>
  <si>
    <t xml:space="preserve">• Kanal bazlı brüt satış, iade ve komisyon ayrıştırması</t>
  </si>
  <si>
    <t xml:space="preserve">• Net tahsilat ve net tahsilat oranının otomatik hesabı</t>
  </si>
  <si>
    <t xml:space="preserve">• En pahalı kanal ve iade riski göstergesi</t>
  </si>
  <si>
    <t xml:space="preserve">• Senaryo ve duyarlılık analiziyle komisyon yapısı yönetimi</t>
  </si>
  <si>
    <t xml:space="preserve">• Yönetici raporu ve karar kapısı (UYGUN/İNCELE/DURDUR)</t>
  </si>
  <si>
    <t xml:space="preserve">Kimler için?</t>
  </si>
  <si>
    <t xml:space="preserve">• Çoklu POS kullanan perakendeciler</t>
  </si>
  <si>
    <t xml:space="preserve">• Online satış yapan işletmeler</t>
  </si>
  <si>
    <t xml:space="preserve">• Kanal maliyetini karşılaştırmak isteyenler</t>
  </si>
  <si>
    <t xml:space="preserve">Nasıl başlanır?</t>
  </si>
  <si>
    <t xml:space="preserve">1. HIZLI_BASLANGIC sayfasını okuyun. 2. POS_HAREKETLER sayfasına işlemlerinizi girin. 3. PANO ve RAPOR sayfalarından sonucu izleyin.</t>
  </si>
  <si>
    <t xml:space="preserve">Sürüm 1.0.0 | 2026 | ExcelArşiv | Lisans: Tek kullanıcı</t>
  </si>
  <si>
    <t xml:space="preserve">HIZLI BASLANGIC — POS, Komisyon ve Net Tahsilat Kontrol Sistemi</t>
  </si>
  <si>
    <t xml:space="preserve">Nasıl kullanılır?</t>
  </si>
  <si>
    <t xml:space="preserve">Adım 1 — POS hareketlerini girin</t>
  </si>
  <si>
    <t xml:space="preserve">POS_HAREKETLER sayfasındaki sarı hücrelere kanal adı, işlem tarihi, brüt satış, iade tutarı ve komisyon oranını girin. Her satır bir işlemdir.</t>
  </si>
  <si>
    <t xml:space="preserve">Adım 2 — Sonuçları izleyin</t>
  </si>
  <si>
    <t xml:space="preserve">Hesap sayfası kanal bazlı net tahsilatı hesaplar; PANO özeti ve grafikleri gösterir.</t>
  </si>
  <si>
    <t xml:space="preserve">Adım 3 — Karar ve rapor</t>
  </si>
  <si>
    <t xml:space="preserve">KARAR sayfası UYGUN/İNCELE/DURDUR üretir; RAPOR yöneticiye sunulabilir.</t>
  </si>
  <si>
    <t xml:space="preserve">Adım 4 — Oranları ayarlayın</t>
  </si>
  <si>
    <t xml:space="preserve">Komisyon ve iade eşikleri AYARLAR sayfasından değiştirilir.</t>
  </si>
  <si>
    <t xml:space="preserve">Sık yapılan hatalar</t>
  </si>
  <si>
    <t xml:space="preserve">• Komisyon oranını yüzde değil katsayı girmek (0,03 yerine 3)</t>
  </si>
  <si>
    <t xml:space="preserve">• İade tutarını negatif girmek</t>
  </si>
  <si>
    <t xml:space="preserve">• Kanal adını listeden seçmeyip elle farklı yazmak</t>
  </si>
  <si>
    <t xml:space="preserve">Bu dosya karar destek aracıdır; muhasebe kaydı veya vergi beyanı değildir.</t>
  </si>
  <si>
    <t xml:space="preserve">POS HAREKETLER — POS, Komisyon ve Net Tahsilat Kontrol Sistemi</t>
  </si>
  <si>
    <t xml:space="preserve">POS Kanal Hareketleri</t>
  </si>
  <si>
    <t xml:space="preserve">Sarı hücrelere manuel veri girin. Her satır bir işlemi temsil eder; net satış, komisyon ve net tahsilat otomatik hesaplanır.</t>
  </si>
  <si>
    <t xml:space="preserve">Kanal</t>
  </si>
  <si>
    <t xml:space="preserve">İşlem Tarihi</t>
  </si>
  <si>
    <t xml:space="preserve">Brüt Satış (₺)</t>
  </si>
  <si>
    <t xml:space="preserve">İade Tutarı (₺)</t>
  </si>
  <si>
    <t xml:space="preserve">Komisyon Oranı</t>
  </si>
  <si>
    <t xml:space="preserve">Net Satış (₺)</t>
  </si>
  <si>
    <t xml:space="preserve">Komisyon Tutarı (₺)</t>
  </si>
  <si>
    <t xml:space="preserve">Net Tahsilat (₺)</t>
  </si>
  <si>
    <t xml:space="preserve">Not</t>
  </si>
  <si>
    <t xml:space="preserve">Mağaza POS</t>
  </si>
  <si>
    <t xml:space="preserve">Örnek: ocak satışı</t>
  </si>
  <si>
    <t xml:space="preserve">Sanal POS</t>
  </si>
  <si>
    <t xml:space="preserve">Örnek: e-ticaret</t>
  </si>
  <si>
    <t xml:space="preserve">Örnek: şubat satışı</t>
  </si>
  <si>
    <t xml:space="preserve">Örnek: kampanya</t>
  </si>
  <si>
    <t xml:space="preserve">Mobil POS</t>
  </si>
  <si>
    <t xml:space="preserve">Örnek: sahada satış</t>
  </si>
  <si>
    <t xml:space="preserve">Örnek: mart satışı</t>
  </si>
  <si>
    <t xml:space="preserve">Örnek: nisan satışı</t>
  </si>
  <si>
    <t xml:space="preserve">Örnek: fuar satışı</t>
  </si>
  <si>
    <t xml:space="preserve">Örnek: mayıs satışı</t>
  </si>
  <si>
    <t xml:space="preserve">Örnek: özel gün</t>
  </si>
  <si>
    <t xml:space="preserve">Örnek: haziran</t>
  </si>
  <si>
    <t xml:space="preserve">Örnek: haziran satışı</t>
  </si>
  <si>
    <t xml:space="preserve">Sarı hücreler manuel giriştir; formül hücreleri kilitli ve korumalıdır.</t>
  </si>
  <si>
    <t xml:space="preserve">HESAP — POS, Komisyon ve Net Tahsilat Kontrol Sistemi</t>
  </si>
  <si>
    <t xml:space="preserve">Kanal Bazlı Net Tahsilat Hesabı</t>
  </si>
  <si>
    <t xml:space="preserve">Aşağıdaki özet kanal adlarına göre POS hareketlerinden otomatik beslenir; elle değiştirilmez.</t>
  </si>
  <si>
    <t xml:space="preserve">İade (₺)</t>
  </si>
  <si>
    <t xml:space="preserve">Komisyon (₺)</t>
  </si>
  <si>
    <t xml:space="preserve">İade Oranı</t>
  </si>
  <si>
    <t xml:space="preserve">Net Tahsilat Oranı</t>
  </si>
  <si>
    <t xml:space="preserve">Pazaryeri POS</t>
  </si>
  <si>
    <t xml:space="preserve">Diğer</t>
  </si>
  <si>
    <t xml:space="preserve">TOPLAM</t>
  </si>
  <si>
    <t xml:space="preserve">En Pahalı Kanal</t>
  </si>
  <si>
    <t xml:space="preserve">Hesap satırları yalnızca POS hareketlerinden beslenir; korumalıdır.</t>
  </si>
  <si>
    <t xml:space="preserve">ANALITIK MOTOR — POS, Komisyon ve Net Tahsilat Kontrol Sistemi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</si>
  <si>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</si>
  <si>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</si>
  <si>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</si>
  <si>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</si>
  <si>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</si>
  <si>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T2</t>
  </si>
  <si>
    <t xml:space="preserve">Aylık Ortalama Net Tahsilat</t>
  </si>
  <si>
    <t xml:space="preserve">T4</t>
  </si>
  <si>
    <t xml:space="preserve">İlk-Son Ay Net Tahsilat Farkı</t>
  </si>
  <si>
    <t xml:space="preserve">O1</t>
  </si>
  <si>
    <t xml:space="preserve">Net Tahsilat Sapması (STDEV)</t>
  </si>
  <si>
    <t xml:space="preserve">O2</t>
  </si>
  <si>
    <t xml:space="preserve">Tornado: En Büyük Etki</t>
  </si>
  <si>
    <t xml:space="preserve">O3</t>
  </si>
  <si>
    <t xml:space="preserve">Senaryo Bant Genişliği</t>
  </si>
  <si>
    <t xml:space="preserve">O6</t>
  </si>
  <si>
    <t xml:space="preserve">Kanal Yoğunlaşma (HHI)</t>
  </si>
  <si>
    <t xml:space="preserve">O8</t>
  </si>
  <si>
    <t xml:space="preserve">Veri Kalite Skoru</t>
  </si>
  <si>
    <t xml:space="preserve">I1</t>
  </si>
  <si>
    <t xml:space="preserve">Gelecek Ay Net Tahsilat Tahmini</t>
  </si>
  <si>
    <t xml:space="preserve">I2</t>
  </si>
  <si>
    <t xml:space="preserve">Net Tahsilat Yüzdelik P90</t>
  </si>
  <si>
    <t xml:space="preserve">KONTROLLER — POS, Komisyon ve Net Tahsilat Kontrol Sistemi</t>
  </si>
  <si>
    <t xml:space="preserve">Giriş Kalite Kontrolleri</t>
  </si>
  <si>
    <t xml:space="preserve">Aşağıdaki kontroller canlı formüllerle çalışır; sorun varsa uyarı üretir.</t>
  </si>
  <si>
    <t xml:space="preserve">Boş kanal satırı var mı?</t>
  </si>
  <si>
    <t xml:space="preserve">Boş brüt satış var mı?</t>
  </si>
  <si>
    <t xml:space="preserve">Negatif brüt satış var mı?</t>
  </si>
  <si>
    <t xml:space="preserve">İade tutarı brütü aşıyor mu?</t>
  </si>
  <si>
    <t xml:space="preserve">Komisyon oranı eşiği aşılıyor mu?</t>
  </si>
  <si>
    <t xml:space="preserve">Genel iade oranı eşiği aşılıyor mu?</t>
  </si>
  <si>
    <t xml:space="preserve">Net tahsilat oranı hedefte mi?</t>
  </si>
  <si>
    <t xml:space="preserve">En pahalı kanal riskli mi?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</si>
  <si>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</si>
  <si>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</si>
  <si>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</si>
  <si>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</si>
  <si>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</si>
  <si>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</si>
  <si>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</si>
  <si>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POS, Komisyon ve Net Tahsilat Kontrol Sistemi</t>
  </si>
  <si>
    <t xml:space="preserve">Karar Kapısı — Net Tahsilat Yeterliliği</t>
  </si>
  <si>
    <t xml:space="preserve">Net tahsilat oranı, komisyon ve iade eşiklerine göre üretilen karar.</t>
  </si>
  <si>
    <t xml:space="preserve">Toplam Net Tahsilat</t>
  </si>
  <si>
    <t xml:space="preserve">Komisyon Oranı (Ağırlıklı)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</si>
  <si>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</si>
  <si>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</si>
  <si>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</si>
  <si>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</si>
  <si>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</si>
  <si>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</si>
  <si>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finansal tavsiye değildir.</t>
  </si>
  <si>
    <t xml:space="preserve">PANO — POS, Komisyon ve Net Tahsilat Kontrol Sistemi</t>
  </si>
  <si>
    <t xml:space="preserve">Yönetim Paneli</t>
  </si>
  <si>
    <t xml:space="preserve">Toplam Brüt Satış</t>
  </si>
  <si>
    <t xml:space="preserve">Toplam İade</t>
  </si>
  <si>
    <t xml:space="preserve">Toplam Komisyon</t>
  </si>
  <si>
    <t xml:space="preserve">Net Tahsilat</t>
  </si>
  <si>
    <t xml:space="preserve">Karar</t>
  </si>
  <si>
    <t xml:space="preserve">Kanal Bazlı Net Tahsilat</t>
  </si>
  <si>
    <t xml:space="preserve">Aylık Net Tahsilat Trendi</t>
  </si>
  <si>
    <t xml:space="preserve">AY1</t>
  </si>
  <si>
    <t xml:space="preserve">AY2</t>
  </si>
  <si>
    <t xml:space="preserve">AY3</t>
  </si>
  <si>
    <t xml:space="preserve">AY4</t>
  </si>
  <si>
    <t xml:space="preserve">AY5</t>
  </si>
  <si>
    <t xml:space="preserve">AY6</t>
  </si>
  <si>
    <t xml:space="preserve">AY7</t>
  </si>
  <si>
    <t xml:space="preserve">AY8</t>
  </si>
  <si>
    <t xml:space="preserve">AY9</t>
  </si>
  <si>
    <t xml:space="preserve">AY10</t>
  </si>
  <si>
    <t xml:space="preserve">AY11</t>
  </si>
  <si>
    <t xml:space="preserve">AY12</t>
  </si>
  <si>
    <t xml:space="preserve">Gelecek 1 Ay Net Tahsilat Tahmini (Tahmin Aralıklı)</t>
  </si>
  <si>
    <t xml:space="preserve">Son 12 Ay Ortalama Net Tahsilat</t>
  </si>
  <si>
    <t xml:space="preserve">Son 12 Ay Standart Sapma</t>
  </si>
  <si>
    <t xml:space="preserve">Alt Tahmin Sınırı</t>
  </si>
  <si>
    <t xml:space="preserve">Üst Tahmin Sınırı</t>
  </si>
  <si>
    <t xml:space="preserve">Paneldeki tüm göstergeler canlı formüllerden beslenir.</t>
  </si>
  <si>
    <t xml:space="preserve">EslesmeOraniKanit</t>
  </si>
  <si>
    <t xml:space="preserve">SENARYO DUYARLILIK — POS, Komisyon ve Net Tahsilat Kontrol Sistemi</t>
  </si>
  <si>
    <t xml:space="preserve">Senaryo ve Duyarlılık Analizi</t>
  </si>
  <si>
    <t xml:space="preserve">İyimser, baz ve kötümser senaryolarda net tahsilat; ardından hangi değişkenin sonucu en çok etkilediğini gösteren tornado analizi.</t>
  </si>
  <si>
    <t xml:space="preserve">Senaryo</t>
  </si>
  <si>
    <t xml:space="preserve">Net Tahsilat Çarpanı</t>
  </si>
  <si>
    <t xml:space="preserve">İYİMSER</t>
  </si>
  <si>
    <t xml:space="preserve">BAZ</t>
  </si>
  <si>
    <t xml:space="preserve">KÖTÜMSER</t>
  </si>
  <si>
    <t xml:space="preserve">Tornado: Toplam Net Tahsilata Etki</t>
  </si>
  <si>
    <t xml:space="preserve">Komisyon +1 puan</t>
  </si>
  <si>
    <t xml:space="preserve">İade +1 puan</t>
  </si>
  <si>
    <t xml:space="preserve">En Etkili Değişken</t>
  </si>
  <si>
    <t xml:space="preserve">Tornado etkileri AYARLAR'daki çarpanlardan türetilir.</t>
  </si>
  <si>
    <t xml:space="preserve">POS, KOMİSYON VE NET TAHSİLAT KONTROL SİSTEMİ — YÖNETİCİ ÖZETİ</t>
  </si>
  <si>
    <t xml:space="preserve">Varsayımlar ve Önemli Notlar</t>
  </si>
  <si>
    <t xml:space="preserve">• Komisyon oranları her işlem için ayrı ayrı giriş yapılır; katsayı olarak girilir.</t>
  </si>
  <si>
    <t xml:space="preserve">• İade tutarı brüt satıştan düşülür; komisyon net tutar üzerinden hesaplanır.</t>
  </si>
  <si>
    <t xml:space="preserve">• Eşikler ve senaryo çarpanları AYARLAR sayfasından alınır.</t>
  </si>
  <si>
    <t xml:space="preserve">• Bu dosya muhasebe kaydı değildir; kanal maliyeti karar destek aracıdır.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</si>
  <si>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</si>
  <si>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</si>
  <si>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POS, Komisyon ve Net Tahsilat Kontrol Sistemi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</si>
  <si>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</si>
  <si>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</si>
  <si>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2026-01-05</t>
  </si>
  <si>
    <t xml:space="preserve">Örnek işlem 1</t>
  </si>
  <si>
    <t xml:space="preserve">2026-01-12</t>
  </si>
  <si>
    <t xml:space="preserve">Örnek işlem 2</t>
  </si>
  <si>
    <t xml:space="preserve">2026-02-03</t>
  </si>
  <si>
    <t xml:space="preserve">Örnek işlem 3</t>
  </si>
  <si>
    <t xml:space="preserve">2026-02-18</t>
  </si>
  <si>
    <t xml:space="preserve">Örnek işlem 4</t>
  </si>
  <si>
    <t xml:space="preserve">2026-03-07</t>
  </si>
  <si>
    <t xml:space="preserve">Örnek işlem 5</t>
  </si>
  <si>
    <t xml:space="preserve">2026-03-21</t>
  </si>
  <si>
    <t xml:space="preserve">Örnek işlem 6</t>
  </si>
  <si>
    <t xml:space="preserve">Demo veriler rapor sonuçlarını örnekler; satın alma sonrası silinerek gerçek veriler girilir.</t>
  </si>
  <si>
    <t xml:space="preserve">ANAHTAR — PosKomisyonVeNetTahsilatKontrolSistemi</t>
  </si>
  <si>
    <t xml:space="preserve">ham_anahtar</t>
  </si>
  <si>
    <t xml:space="preserve">norm_anahtar</t>
  </si>
  <si>
    <t xml:space="preserve">duplike_sayisi</t>
  </si>
  <si>
    <t xml:space="preserve">not</t>
  </si>
  <si>
    <t xml:space="preserve">ORNEK-001</t>
  </si>
  <si>
    <t xml:space="preserve">normalize + duplike izi</t>
  </si>
  <si>
    <t xml:space="preserve">ORNEK-002</t>
  </si>
  <si>
    <t xml:space="preserve">kisa/uzun numara senaryosu</t>
  </si>
  <si>
    <t xml:space="preserve">ESLESTIRME — PosKomisyonVeNetTahsilatKontrolSistemi</t>
  </si>
  <si>
    <t xml:space="preserve">kova</t>
  </si>
  <si>
    <t xml:space="preserve">aciklama</t>
  </si>
  <si>
    <t xml:space="preserve">tutar</t>
  </si>
  <si>
    <t xml:space="preserve">tolerans</t>
  </si>
  <si>
    <t xml:space="preserve">ESLESEN</t>
  </si>
  <si>
    <t xml:space="preserve">Tam eşleşen kayıtlar</t>
  </si>
  <si>
    <t xml:space="preserve">TOLERANS</t>
  </si>
  <si>
    <t xml:space="preserve">Tolerans içi fark</t>
  </si>
  <si>
    <t xml:space="preserve">TUTARSIZ</t>
  </si>
  <si>
    <t xml:space="preserve">Tutar uyuşmazlığı</t>
  </si>
  <si>
    <t xml:space="preserve">ESLESMEYEN</t>
  </si>
  <si>
    <t xml:space="preserve">Eşleşmeyen kayıtlar</t>
  </si>
  <si>
    <t xml:space="preserve">KOK_NEDEN — PosKomisyonVeNetTahsilatKontrolSistemi</t>
  </si>
  <si>
    <t xml:space="preserve">kok_neden</t>
  </si>
  <si>
    <t xml:space="preserve">aksiyon</t>
  </si>
  <si>
    <t xml:space="preserve">TANIMSIZ</t>
  </si>
  <si>
    <t xml:space="preserve">Sınıflandırılamayan kayıt — elle incele</t>
  </si>
  <si>
    <t xml:space="preserve">Manuel inceleme</t>
  </si>
  <si>
    <t xml:space="preserve">Karşı tarafta yok</t>
  </si>
  <si>
    <t xml:space="preserve">Veri tamamlama</t>
  </si>
  <si>
    <t xml:space="preserve">Tutar farkı</t>
  </si>
  <si>
    <t xml:space="preserve">Mutabakat</t>
  </si>
  <si>
    <t xml:space="preserve">DEGISIKLIK KAYDI — POS, Komisyon ve Net Tahsilat Kontrol Sistemi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</si>
  <si>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</si>
  <si>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</si>
  <si>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</si>
  <si>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</si>
  <si>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</si>
  <si>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</si>
  <si>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</si>
  <si>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</si>
  <si>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</si>
  <si>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</si>
  <si>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</si>
  <si>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POS, Komisyon ve Net Tahsilat Kontrol Sistemi</t>
  </si>
  <si>
    <t xml:space="preserve">Bağlı Listeler</t>
  </si>
  <si>
    <t xml:space="preserve">Bu sayfadaki listeler açılır menüleri besler; yeni seçenek eklemek için sarı hücrelere yazın.</t>
  </si>
  <si>
    <t xml:space="preserve">AYARLAR — POS, Komisyon ve Net Tahsilat Kontrol Sistemi</t>
  </si>
  <si>
    <t xml:space="preserve">Sistem Ayarları ve Oranlar</t>
  </si>
  <si>
    <t xml:space="preserve">Tüm sabitler bu sayfadadır. Eşikleri ve çarpanları kendi işletmenize göre güncelleyin.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</si>
  <si>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</si>
  <si>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</si>
  <si>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</si>
  <si>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</si>
  <si>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</si>
  <si>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kaynak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</si>
  <si>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</si>
  <si>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</si>
  <si>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</si>
  <si>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</si>
  <si>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</si>
  <si>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</si>
  <si>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</si>
  <si>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RaporTarihi</t>
  </si>
  <si>
    <t xml:space="preserve">Tüm hesapların ve kararın alındığı tarih.</t>
  </si>
  <si>
    <t xml:space="preserve">RaporHazirlayan</t>
  </si>
  <si>
    <t xml:space="preserve">Finans Direktörü</t>
  </si>
  <si>
    <t xml:space="preserve">Raporu hazırlayan kişi/rol.</t>
  </si>
  <si>
    <t xml:space="preserve">DosyaSurumu</t>
  </si>
  <si>
    <t xml:space="preserve">Ürün sürüm bilgisi; rapor alt bilgisinde görünür.</t>
  </si>
  <si>
    <t xml:space="preserve">PosNetHedefOran</t>
  </si>
  <si>
    <t xml:space="preserve">Oran</t>
  </si>
  <si>
    <t xml:space="preserve">Hedef net tahsilat oranı; bu değerin altındaki oran İNCELE kararı üretir.</t>
  </si>
  <si>
    <t xml:space="preserve">Varsayım</t>
  </si>
  <si>
    <t xml:space="preserve">PosIadeRiskEsik</t>
  </si>
  <si>
    <t xml:space="preserve">İade oranı bu eşiği aşarsa kanal riskli işaretlenir.</t>
  </si>
  <si>
    <t xml:space="preserve">PosKomisyonRiskEsik</t>
  </si>
  <si>
    <t xml:space="preserve">Komisyon oranı bu eşiği aşarsa karar DURDUR olur.</t>
  </si>
  <si>
    <t xml:space="preserve">PosIyiSenaryo</t>
  </si>
  <si>
    <t xml:space="preserve">İyimser senaryoda net tahsilat bu çarpanla hesaplanır.</t>
  </si>
  <si>
    <t xml:space="preserve">PosBazSenaryo</t>
  </si>
  <si>
    <t xml:space="preserve">Baz senaryoda net tahsilat bu çarpanla hesaplanır.</t>
  </si>
  <si>
    <t xml:space="preserve">PosKotuSenaryo</t>
  </si>
  <si>
    <t xml:space="preserve">Kötümser senaryoda net tahsilat bu çarpanla hesaplanır.</t>
  </si>
  <si>
    <t xml:space="preserve">PosTornadoKomisyon</t>
  </si>
  <si>
    <t xml:space="preserve">Komisyon oranının %1 puan artışının net tahsilata etkisi.</t>
  </si>
  <si>
    <t xml:space="preserve">PosTornadoIade</t>
  </si>
  <si>
    <t xml:space="preserve">İade oranının %1 puan artışının net tahsilata etkisi.</t>
  </si>
  <si>
    <t xml:space="preserve">PosTahminCarpan</t>
  </si>
  <si>
    <t xml:space="preserve">Tahmin bandı genişliği (standart sapma katı).</t>
  </si>
  <si>
    <t xml:space="preserve">PosKaliteIyi</t>
  </si>
  <si>
    <t xml:space="preserve">Skor</t>
  </si>
  <si>
    <t xml:space="preserve">Kalite skoru bu eşiğin üzerindeyse YÜKSEK kalite.</t>
  </si>
  <si>
    <t xml:space="preserve">PosKaliteOrta</t>
  </si>
  <si>
    <t xml:space="preserve">Kalite skoru bu eşiğin üzerindeyse ORTA kalite.</t>
  </si>
  <si>
    <t xml:space="preserve">PosAksiyon1_ACIKLAMA</t>
  </si>
  <si>
    <t xml:space="preserve">Komisyon oranı eşiği aşıyorsa kanal sözleşmesini yeniden müzakere edin.</t>
  </si>
  <si>
    <t xml:space="preserve">DURDUR kararında gösterilen ilk öneri.</t>
  </si>
  <si>
    <t xml:space="preserve">PosAksiyon2_ACIKLAMA</t>
  </si>
  <si>
    <t xml:space="preserve">İade oranı yüksek kanalda ürün/hizmet kalitesini inceleyin.</t>
  </si>
  <si>
    <t xml:space="preserve">İNCELE kararında gösterilen ikinci öneri.</t>
  </si>
  <si>
    <t xml:space="preserve">PosAksiyon3_ACIKLAMA</t>
  </si>
  <si>
    <t xml:space="preserve">Net tahsilat oranı hedefin altındaysa komisyon ve iade yapısını birlikte gözden geçirin.</t>
  </si>
  <si>
    <t xml:space="preserve">İNCELE kararında gösterilen üçüncü öneri.</t>
  </si>
  <si>
    <t xml:space="preserve">PosP90Oran</t>
  </si>
  <si>
    <t xml:space="preserve">Net tahsilat dağılımında üst yüzdelik dilimin oranı.</t>
  </si>
  <si>
    <t xml:space="preserve">PanelSatir1</t>
  </si>
  <si>
    <t xml:space="preserve">Satır</t>
  </si>
  <si>
    <t xml:space="preserve">PANO'daki aylık grafik serisinin tablodaki veri satırı (1. ay).</t>
  </si>
  <si>
    <t xml:space="preserve">PanelSatir2</t>
  </si>
  <si>
    <t xml:space="preserve">PANO'daki aylık grafik serisinin tablodaki veri satırı (2. ay).</t>
  </si>
  <si>
    <t xml:space="preserve">PanelSatir3</t>
  </si>
  <si>
    <t xml:space="preserve">PANO'daki aylık grafik serisinin tablodaki veri satırı (3. ay).</t>
  </si>
  <si>
    <t xml:space="preserve">PanelSatir4</t>
  </si>
  <si>
    <t xml:space="preserve">PANO'daki aylık grafik serisinin tablodaki veri satırı (4. ay).</t>
  </si>
  <si>
    <t xml:space="preserve">PanelSatir5</t>
  </si>
  <si>
    <t xml:space="preserve">PANO'daki aylık grafik serisinin tablodaki veri satırı (5. ay).</t>
  </si>
  <si>
    <t xml:space="preserve">PanelSatir6</t>
  </si>
  <si>
    <t xml:space="preserve">PANO'daki aylık grafik serisinin tablodaki veri satırı (6. ay).</t>
  </si>
  <si>
    <t xml:space="preserve">PanelSatir7</t>
  </si>
  <si>
    <t xml:space="preserve">PANO'daki aylık grafik serisinin tablodaki veri satırı (7. ay).</t>
  </si>
  <si>
    <t xml:space="preserve">PanelSatir8</t>
  </si>
  <si>
    <t xml:space="preserve">PANO'daki aylık grafik serisinin tablodaki veri satırı (8. ay).</t>
  </si>
  <si>
    <t xml:space="preserve">PanelSatir9</t>
  </si>
  <si>
    <t xml:space="preserve">PANO'daki aylık grafik serisinin tablodaki veri satırı (9. ay).</t>
  </si>
  <si>
    <t xml:space="preserve">PanelSatir10</t>
  </si>
  <si>
    <t xml:space="preserve">PANO'daki aylık grafik serisinin tablodaki veri satırı (10. ay).</t>
  </si>
  <si>
    <t xml:space="preserve">PanelSatir11</t>
  </si>
  <si>
    <t xml:space="preserve">PANO'daki aylık grafik serisinin tablodaki veri satırı (11. ay).</t>
  </si>
  <si>
    <t xml:space="preserve">PanelSatir12</t>
  </si>
  <si>
    <t xml:space="preserve">PANO'daki aylık grafik serisinin tablodaki veri satırı (12. ay).</t>
  </si>
  <si>
    <t xml:space="preserve">VARSAYIM AÇIKLAMALARI</t>
  </si>
  <si>
    <t xml:space="preserve">Tüm eşikler ve çarpanlar kullanıcı tarafından değiştirilebilir varsayımlardır. Kaynak değeri 'Varsayım' olan parametreler KILAVUZ sayfasında toplu listelenir.</t>
  </si>
  <si>
    <t xml:space="preserve">KILAVUZ — POS, Komisyon ve Net Tahsilat Kontrol Sistemi</t>
  </si>
  <si>
    <t xml:space="preserve">Kullanım Kılavuzu</t>
  </si>
  <si>
    <t xml:space="preserve">Veri girişi</t>
  </si>
  <si>
    <t xml:space="preserve">POS_HAREKETLER sayfasında sarı hücrelere işlem girin. Kanalı listeden seçin, tarihi GG.AA.YYYY biçiminde yazın, komisyonu katsayı olarak girin (örnek %3 = 0,03).</t>
  </si>
  <si>
    <t xml:space="preserve">Hesap katmanı</t>
  </si>
  <si>
    <t xml:space="preserve">HESAP sayfası kanal bazlı brüt, iade, komisyon ve net tahsilatı otomatik özetler.</t>
  </si>
  <si>
    <t xml:space="preserve">Karar ve rapor</t>
  </si>
  <si>
    <t xml:space="preserve">KARAR sayfası UYGUN/İNCELE/DURDUR kararını üretir; RAPOR yöneticiye sunulabilir.</t>
  </si>
  <si>
    <t xml:space="preserve">Ayarlar</t>
  </si>
  <si>
    <t xml:space="preserve">AYARLAR sayfasındaki eşikleri ve çarpanları mali müşavir veya kendi tecrübenize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</si>
  <si>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</si>
  <si>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</si>
  <si>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muhasebe kaydı ve vergi beyanı niteliği taşımaz.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</si>
  <si>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</si>
  <si>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</si>
  <si>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Hedef Net Tahsilat Oranı</t>
  </si>
  <si>
    <t xml:space="preserve">• İade Oranı Risk Eşiği</t>
  </si>
  <si>
    <t xml:space="preserve">• Komisyon Oranı Risk Eşiği</t>
  </si>
  <si>
    <t xml:space="preserve">• İyimser, Baz ve Kötümser Senaryo Çarpanları</t>
  </si>
  <si>
    <t xml:space="preserve">• Tornado Komisyon ve İade Etkisi Oranları</t>
  </si>
  <si>
    <t xml:space="preserve">• Tahmin Çarpanı (standart sapma katı)</t>
  </si>
  <si>
    <t xml:space="preserve">• Kalite Skoru İyi ve Orta Eşikleri</t>
  </si>
  <si>
    <t xml:space="preserve">• P90 Yüzdelik Oranı</t>
  </si>
  <si>
    <t xml:space="preserve">• Aksiyon Önerisi Açıklamaları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</si>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</sst>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  <numFmt numFmtId="169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3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4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8" fontId="21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2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Kanal Bazlı Net Tahsilat ve Komisyon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Mağaza POS</c:v>
                </c:pt>
                <c:pt idx="1">
                  <c:v>Sanal POS</c:v>
                </c:pt>
                <c:pt idx="2">
                  <c:v>Mobil POS</c:v>
                </c:pt>
                <c:pt idx="3">
                  <c:v>Pazaryeri POS</c:v>
                </c:pt>
                <c:pt idx="4">
                  <c:v>Diğer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878766</c:v>
                </c:pt>
                <c:pt idx="1">
                  <c:v>424503.5</c:v>
                </c:pt>
                <c:pt idx="2">
                  <c:v>213449.5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Mağaza POS</c:v>
                </c:pt>
                <c:pt idx="1">
                  <c:v>Sanal POS</c:v>
                </c:pt>
                <c:pt idx="2">
                  <c:v>Mobil POS</c:v>
                </c:pt>
                <c:pt idx="3">
                  <c:v>Pazaryeri POS</c:v>
                </c:pt>
                <c:pt idx="4">
                  <c:v>Diğer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17934</c:v>
                </c:pt>
                <c:pt idx="1">
                  <c:v>15396.5</c:v>
                </c:pt>
                <c:pt idx="2">
                  <c:v>3250.5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4032279"/>
        <c:axId val="50249228"/>
      </c:barChart>
      <c:catAx>
        <c:axId val="340322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249228"/>
        <c:crosses val="autoZero"/>
        <c:auto val="1"/>
        <c:lblAlgn val="ctr"/>
        <c:lblOffset val="100"/>
        <c:noMultiLvlLbl val="0"/>
      </c:catAx>
      <c:valAx>
        <c:axId val="502492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03227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Komisyon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PANO!$A$11:$A$15</c:f>
              <c:strCache>
                <c:ptCount val="5"/>
                <c:pt idx="0">
                  <c:v>Mağaza POS</c:v>
                </c:pt>
                <c:pt idx="1">
                  <c:v>Sanal POS</c:v>
                </c:pt>
                <c:pt idx="2">
                  <c:v>Mobil POS</c:v>
                </c:pt>
                <c:pt idx="3">
                  <c:v>Pazaryeri POS</c:v>
                </c:pt>
                <c:pt idx="4">
                  <c:v>Diğer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17934</c:v>
                </c:pt>
                <c:pt idx="1">
                  <c:v>15396.5</c:v>
                </c:pt>
                <c:pt idx="2">
                  <c:v>3250.5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Kanal İade Oranı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Mağaza POS</c:v>
                </c:pt>
                <c:pt idx="1">
                  <c:v>Sanal POS</c:v>
                </c:pt>
                <c:pt idx="2">
                  <c:v>Mobil POS</c:v>
                </c:pt>
                <c:pt idx="3">
                  <c:v>Pazaryeri POS</c:v>
                </c:pt>
                <c:pt idx="4">
                  <c:v>Diğer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17934</c:v>
                </c:pt>
                <c:pt idx="1">
                  <c:v>15396.5</c:v>
                </c:pt>
                <c:pt idx="2">
                  <c:v>3250.5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81390311"/>
        <c:axId val="5043545"/>
      </c:barChart>
      <c:catAx>
        <c:axId val="813903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43545"/>
        <c:crosses val="autoZero"/>
        <c:auto val="1"/>
        <c:lblAlgn val="ctr"/>
        <c:lblOffset val="100"/>
        <c:noMultiLvlLbl val="0"/>
      </c:catAx>
      <c:valAx>
        <c:axId val="50435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3903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Net Tahsilat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PANO!$D$11:$D$22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PANO!$E$11:$E$23</c:f>
              <c:numCache>
                <c:formatCode>"₺ "#,##0;[RED]"(₺ "#,##0\);\-</c:formatCode>
                <c:ptCount val="13"/>
                <c:pt idx="0">
                  <c:v>169540</c:v>
                </c:pt>
                <c:pt idx="1">
                  <c:v>85885</c:v>
                </c:pt>
                <c:pt idx="2">
                  <c:v>160230</c:v>
                </c:pt>
                <c:pt idx="3">
                  <c:v>110782</c:v>
                </c:pt>
                <c:pt idx="4">
                  <c:v>64911.5</c:v>
                </c:pt>
                <c:pt idx="5">
                  <c:v>183848</c:v>
                </c:pt>
                <c:pt idx="6">
                  <c:v>104413</c:v>
                </c:pt>
                <c:pt idx="7">
                  <c:v>71018.5</c:v>
                </c:pt>
                <c:pt idx="8">
                  <c:v>190610</c:v>
                </c:pt>
                <c:pt idx="9">
                  <c:v>123423.5</c:v>
                </c:pt>
                <c:pt idx="10">
                  <c:v>77519.5</c:v>
                </c:pt>
                <c:pt idx="11">
                  <c:v>174538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578884"/>
        <c:axId val="22937070"/>
      </c:lineChart>
      <c:catAx>
        <c:axId val="2057888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937070"/>
        <c:crosses val="autoZero"/>
        <c:auto val="1"/>
        <c:lblAlgn val="ctr"/>
        <c:lblOffset val="100"/>
        <c:noMultiLvlLbl val="0"/>
      </c:catAx>
      <c:valAx>
        <c:axId val="229370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57888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PANO!B24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PANO!$A$25:$A$28</c:f>
              <c:strCache>
                <c:ptCount val="4"/>
                <c:pt idx="0">
                  <c:v>Son 12 Ay Ortalama Net Tahsilat</c:v>
                </c:pt>
                <c:pt idx="1">
                  <c:v>Son 12 Ay Standart Sapma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PANO!$B$25:$B$28</c:f>
              <c:numCache>
                <c:formatCode>"₺ "#,##0;[RED]"(₺ "#,##0\);\-</c:formatCode>
                <c:ptCount val="4"/>
                <c:pt idx="0">
                  <c:v>126393</c:v>
                </c:pt>
                <c:pt idx="1">
                  <c:v>0</c:v>
                </c:pt>
                <c:pt idx="2">
                  <c:v>126393</c:v>
                </c:pt>
                <c:pt idx="3">
                  <c:v>126393</c:v>
                </c:pt>
              </c:numCache>
            </c:numRef>
          </c:val>
        </c:ser>
        <c:gapWidth val="150"/>
        <c:overlap val="0"/>
        <c:axId val="55250538"/>
        <c:axId val="56286235"/>
      </c:barChart>
      <c:catAx>
        <c:axId val="552505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286235"/>
        <c:crosses val="autoZero"/>
        <c:auto val="1"/>
        <c:lblAlgn val="ctr"/>
        <c:lblOffset val="100"/>
        <c:noMultiLvlLbl val="0"/>
      </c:catAx>
      <c:valAx>
        <c:axId val="562862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2505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Kanal Net Tahsilat Oranı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Mağaza POS</c:v>
                </c:pt>
                <c:pt idx="1">
                  <c:v>Sanal POS</c:v>
                </c:pt>
                <c:pt idx="2">
                  <c:v>Mobil POS</c:v>
                </c:pt>
                <c:pt idx="3">
                  <c:v>Pazaryeri POS</c:v>
                </c:pt>
                <c:pt idx="4">
                  <c:v>Diğer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878766</c:v>
                </c:pt>
                <c:pt idx="1">
                  <c:v>424503.5</c:v>
                </c:pt>
                <c:pt idx="2">
                  <c:v>213449.5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261455"/>
        <c:axId val="44057551"/>
      </c:lineChart>
      <c:catAx>
        <c:axId val="252614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057551"/>
        <c:crosses val="autoZero"/>
        <c:auto val="1"/>
        <c:lblAlgn val="ctr"/>
        <c:lblOffset val="100"/>
        <c:noMultiLvlLbl val="0"/>
      </c:catAx>
      <c:valAx>
        <c:axId val="440575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2614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</xdr:row>
      <xdr:rowOff>0</xdr:rowOff>
    </xdr:from>
    <xdr:to>
      <xdr:col>14</xdr:col>
      <xdr:colOff>255600</xdr:colOff>
      <xdr:row>20</xdr:row>
      <xdr:rowOff>165960</xdr:rowOff>
    </xdr:to>
    <xdr:graphicFrame>
      <xdr:nvGraphicFramePr>
        <xdr:cNvPr id="1" name="Chart 1"/>
        <xdr:cNvGraphicFramePr/>
      </xdr:nvGraphicFramePr>
      <xdr:xfrm>
        <a:off x="9374400" y="1114560"/>
        <a:ext cx="5759280" cy="3223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5</xdr:row>
      <xdr:rowOff>0</xdr:rowOff>
    </xdr:from>
    <xdr:to>
      <xdr:col>27</xdr:col>
      <xdr:colOff>38880</xdr:colOff>
      <xdr:row>20</xdr:row>
      <xdr:rowOff>165960</xdr:rowOff>
    </xdr:to>
    <xdr:graphicFrame>
      <xdr:nvGraphicFramePr>
        <xdr:cNvPr id="2" name="Chart 2"/>
        <xdr:cNvGraphicFramePr/>
      </xdr:nvGraphicFramePr>
      <xdr:xfrm>
        <a:off x="18547200" y="1114560"/>
        <a:ext cx="4319280" cy="3223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12</xdr:col>
      <xdr:colOff>398520</xdr:colOff>
      <xdr:row>33</xdr:row>
      <xdr:rowOff>21600</xdr:rowOff>
    </xdr:to>
    <xdr:graphicFrame>
      <xdr:nvGraphicFramePr>
        <xdr:cNvPr id="3" name="Chart 3"/>
        <xdr:cNvGraphicFramePr/>
      </xdr:nvGraphicFramePr>
      <xdr:xfrm>
        <a:off x="9374400" y="379080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18</xdr:row>
      <xdr:rowOff>0</xdr:rowOff>
    </xdr:from>
    <xdr:to>
      <xdr:col>29</xdr:col>
      <xdr:colOff>255960</xdr:colOff>
      <xdr:row>35</xdr:row>
      <xdr:rowOff>720</xdr:rowOff>
    </xdr:to>
    <xdr:graphicFrame>
      <xdr:nvGraphicFramePr>
        <xdr:cNvPr id="4" name="Chart 4"/>
        <xdr:cNvGraphicFramePr/>
      </xdr:nvGraphicFramePr>
      <xdr:xfrm>
        <a:off x="18547200" y="379080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12</xdr:col>
      <xdr:colOff>398520</xdr:colOff>
      <xdr:row>46</xdr:row>
      <xdr:rowOff>155160</xdr:rowOff>
    </xdr:to>
    <xdr:graphicFrame>
      <xdr:nvGraphicFramePr>
        <xdr:cNvPr id="5" name="Chart 5"/>
        <xdr:cNvGraphicFramePr/>
      </xdr:nvGraphicFramePr>
      <xdr:xfrm>
        <a:off x="9374400" y="645804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32</xdr:row>
      <xdr:rowOff>0</xdr:rowOff>
    </xdr:from>
    <xdr:to>
      <xdr:col>27</xdr:col>
      <xdr:colOff>398880</xdr:colOff>
      <xdr:row>46</xdr:row>
      <xdr:rowOff>155160</xdr:rowOff>
    </xdr:to>
    <xdr:graphicFrame>
      <xdr:nvGraphicFramePr>
        <xdr:cNvPr id="6" name="Chart 6"/>
        <xdr:cNvGraphicFramePr/>
      </xdr:nvGraphicFramePr>
      <xdr:xfrm>
        <a:off x="18547200" y="645804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Ornek" displayName="tblOrnek" ref="A5:G1004" headerRowCount="1" totalsRowCount="0" totalsRowShown="0">
  <tableColumns count="7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=IF(tblOrnek[[#This Row],[Brüt Satış (₺)]]=0,0,tblOrnek[[#This Row],[Brüt Satış (₺)]]-tblOrnek[[#This Row],[İade Tutarı (₺)]])</calculatedColumnFormula>
    </tableColumn>
    <tableColumn id="7" name="Not"/>
  </tableColumns>
</table>
</file>

<file path=xl/tables/table2.xml><?xml version="1.0" encoding="utf-8"?>
<table xmlns="http://schemas.openxmlformats.org/spreadsheetml/2006/main" id="2" name="tblPos" displayName="tblPos" ref="A5:I1004" headerRowCount="1" totalsRowCount="0" totalsRowShown="0">
  <tableColumns count="9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=IF(tblPos[[#This Row],[Brüt Satış (₺)]]=0,0,tblPos[[#This Row],[Brüt Satış (₺)]]-tblPos[[#This Row],[İade Tutarı (₺)]])</calculatedColumnFormula>
    </tableColumn>
    <tableColumn id="7" name="Komisyon Tutarı (₺)">
      <calculatedColumnFormula>=IF(tblPos[[#This Row],[Net Satış (₺)]]=0,0,tblPos[[#This Row],[Net Satış (₺)]]*tblPos[[#This Row],[Komisyon Oranı]])</calculatedColumnFormula>
    </tableColumn>
    <tableColumn id="8" name="Net Tahsilat (₺)">
      <calculatedColumnFormula>=tblPos[[#This Row],[Net Satış (₺)]]-tblPos[[#This Row],[Komisyon Tutarı (₺)]]</calculatedColumnFormula>
    </tableColumn>
    <tableColumn id="9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1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4" min="3" style="1" width="16"/>
    <col collapsed="false" customWidth="true" hidden="false" outlineLevel="0" max="5" min="5" style="1" width="14"/>
    <col collapsed="false" customWidth="true" hidden="false" outlineLevel="0" max="8" min="6" style="1" width="16"/>
    <col collapsed="false" customWidth="true" hidden="false" outlineLevel="0" max="9" min="9" style="1" width="20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</v>
      </c>
    </row>
    <row r="4" customFormat="false" ht="95.25" hidden="false" customHeight="true" outlineLevel="0" collapsed="false">
      <c r="A4" s="14" t="s">
        <v>33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</row>
    <row r="6" customFormat="false" ht="15.75" hidden="false" customHeight="true" outlineLevel="0" collapsed="false">
      <c r="A6" s="16" t="s">
        <v>43</v>
      </c>
      <c r="B6" s="17" t="n">
        <v>46027</v>
      </c>
      <c r="C6" s="18" t="n">
        <v>185000</v>
      </c>
      <c r="D6" s="18" t="n">
        <v>12000</v>
      </c>
      <c r="E6" s="19" t="n">
        <v>0.02</v>
      </c>
      <c r="F6" s="20" t="n">
        <f aca="false">IF($C6=0,0,$C6-$D6)</f>
        <v>173000</v>
      </c>
      <c r="G6" s="20" t="n">
        <f aca="false">IF($F6=0,0,$F6*$E6)</f>
        <v>3460</v>
      </c>
      <c r="H6" s="20" t="n">
        <f aca="false">$F6-$G6</f>
        <v>169540</v>
      </c>
      <c r="I6" s="16" t="s">
        <v>44</v>
      </c>
    </row>
    <row r="7" customFormat="false" ht="15.75" hidden="false" customHeight="true" outlineLevel="0" collapsed="false">
      <c r="A7" s="16" t="s">
        <v>45</v>
      </c>
      <c r="B7" s="17" t="n">
        <v>46034</v>
      </c>
      <c r="C7" s="18" t="n">
        <v>94000</v>
      </c>
      <c r="D7" s="18" t="n">
        <v>5000</v>
      </c>
      <c r="E7" s="19" t="n">
        <v>0.035</v>
      </c>
      <c r="F7" s="20" t="n">
        <f aca="false">IF($C7=0,0,$C7-$D7)</f>
        <v>89000</v>
      </c>
      <c r="G7" s="20" t="n">
        <f aca="false">IF($F7=0,0,$F7*$E7)</f>
        <v>3115</v>
      </c>
      <c r="H7" s="20" t="n">
        <f aca="false">$F7-$G7</f>
        <v>85885</v>
      </c>
      <c r="I7" s="16" t="s">
        <v>46</v>
      </c>
    </row>
    <row r="8" customFormat="false" ht="15.75" hidden="false" customHeight="true" outlineLevel="0" collapsed="false">
      <c r="A8" s="16" t="s">
        <v>43</v>
      </c>
      <c r="B8" s="17" t="n">
        <v>46055</v>
      </c>
      <c r="C8" s="18" t="n">
        <v>172000</v>
      </c>
      <c r="D8" s="18" t="n">
        <v>8500</v>
      </c>
      <c r="E8" s="19" t="n">
        <v>0.02</v>
      </c>
      <c r="F8" s="20" t="n">
        <f aca="false">IF($C8=0,0,$C8-$D8)</f>
        <v>163500</v>
      </c>
      <c r="G8" s="20" t="n">
        <f aca="false">IF($F8=0,0,$F8*$E8)</f>
        <v>3270</v>
      </c>
      <c r="H8" s="20" t="n">
        <f aca="false">$F8-$G8</f>
        <v>160230</v>
      </c>
      <c r="I8" s="16" t="s">
        <v>47</v>
      </c>
    </row>
    <row r="9" customFormat="false" ht="15.75" hidden="false" customHeight="true" outlineLevel="0" collapsed="false">
      <c r="A9" s="16" t="s">
        <v>45</v>
      </c>
      <c r="B9" s="17" t="n">
        <v>46068</v>
      </c>
      <c r="C9" s="18" t="n">
        <v>121000</v>
      </c>
      <c r="D9" s="18" t="n">
        <v>6200</v>
      </c>
      <c r="E9" s="19" t="n">
        <v>0.035</v>
      </c>
      <c r="F9" s="20" t="n">
        <f aca="false">IF($C9=0,0,$C9-$D9)</f>
        <v>114800</v>
      </c>
      <c r="G9" s="20" t="n">
        <f aca="false">IF($F9=0,0,$F9*$E9)</f>
        <v>4018</v>
      </c>
      <c r="H9" s="20" t="n">
        <f aca="false">$F9-$G9</f>
        <v>110782</v>
      </c>
      <c r="I9" s="16" t="s">
        <v>48</v>
      </c>
    </row>
    <row r="10" customFormat="false" ht="15.75" hidden="false" customHeight="true" outlineLevel="0" collapsed="false">
      <c r="A10" s="16" t="s">
        <v>49</v>
      </c>
      <c r="B10" s="17" t="n">
        <v>46082</v>
      </c>
      <c r="C10" s="18" t="n">
        <v>68000</v>
      </c>
      <c r="D10" s="18" t="n">
        <v>2100</v>
      </c>
      <c r="E10" s="19" t="n">
        <v>0.015</v>
      </c>
      <c r="F10" s="20" t="n">
        <f aca="false">IF($C10=0,0,$C10-$D10)</f>
        <v>65900</v>
      </c>
      <c r="G10" s="20" t="n">
        <f aca="false">IF($F10=0,0,$F10*$E10)</f>
        <v>988.5</v>
      </c>
      <c r="H10" s="20" t="n">
        <f aca="false">$F10-$G10</f>
        <v>64911.5</v>
      </c>
      <c r="I10" s="16" t="s">
        <v>50</v>
      </c>
    </row>
    <row r="11" customFormat="false" ht="15.75" hidden="false" customHeight="true" outlineLevel="0" collapsed="false">
      <c r="A11" s="16" t="s">
        <v>43</v>
      </c>
      <c r="B11" s="17" t="n">
        <v>46099</v>
      </c>
      <c r="C11" s="18" t="n">
        <v>198000</v>
      </c>
      <c r="D11" s="18" t="n">
        <v>10400</v>
      </c>
      <c r="E11" s="19" t="n">
        <v>0.02</v>
      </c>
      <c r="F11" s="20" t="n">
        <f aca="false">IF($C11=0,0,$C11-$D11)</f>
        <v>187600</v>
      </c>
      <c r="G11" s="20" t="n">
        <f aca="false">IF($F11=0,0,$F11*$E11)</f>
        <v>3752</v>
      </c>
      <c r="H11" s="20" t="n">
        <f aca="false">$F11-$G11</f>
        <v>183848</v>
      </c>
      <c r="I11" s="16" t="s">
        <v>51</v>
      </c>
    </row>
    <row r="12" customFormat="false" ht="15.75" hidden="false" customHeight="true" outlineLevel="0" collapsed="false">
      <c r="A12" s="16" t="s">
        <v>45</v>
      </c>
      <c r="B12" s="17" t="n">
        <v>46118</v>
      </c>
      <c r="C12" s="18" t="n">
        <v>116000</v>
      </c>
      <c r="D12" s="18" t="n">
        <v>7800</v>
      </c>
      <c r="E12" s="19" t="n">
        <v>0.035</v>
      </c>
      <c r="F12" s="20" t="n">
        <f aca="false">IF($C12=0,0,$C12-$D12)</f>
        <v>108200</v>
      </c>
      <c r="G12" s="20" t="n">
        <f aca="false">IF($F12=0,0,$F12*$E12)</f>
        <v>3787</v>
      </c>
      <c r="H12" s="20" t="n">
        <f aca="false">$F12-$G12</f>
        <v>104413</v>
      </c>
      <c r="I12" s="16" t="s">
        <v>52</v>
      </c>
    </row>
    <row r="13" customFormat="false" ht="15.75" hidden="false" customHeight="true" outlineLevel="0" collapsed="false">
      <c r="A13" s="16" t="s">
        <v>49</v>
      </c>
      <c r="B13" s="17" t="n">
        <v>46134</v>
      </c>
      <c r="C13" s="18" t="n">
        <v>74000</v>
      </c>
      <c r="D13" s="18" t="n">
        <v>1900</v>
      </c>
      <c r="E13" s="19" t="n">
        <v>0.015</v>
      </c>
      <c r="F13" s="20" t="n">
        <f aca="false">IF($C13=0,0,$C13-$D13)</f>
        <v>72100</v>
      </c>
      <c r="G13" s="20" t="n">
        <f aca="false">IF($F13=0,0,$F13*$E13)</f>
        <v>1081.5</v>
      </c>
      <c r="H13" s="20" t="n">
        <f aca="false">$F13-$G13</f>
        <v>71018.5</v>
      </c>
      <c r="I13" s="16" t="s">
        <v>53</v>
      </c>
    </row>
    <row r="14" customFormat="false" ht="15.75" hidden="false" customHeight="true" outlineLevel="0" collapsed="false">
      <c r="A14" s="16" t="s">
        <v>43</v>
      </c>
      <c r="B14" s="17" t="n">
        <v>46146</v>
      </c>
      <c r="C14" s="18" t="n">
        <v>204000</v>
      </c>
      <c r="D14" s="18" t="n">
        <v>9500</v>
      </c>
      <c r="E14" s="19" t="n">
        <v>0.02</v>
      </c>
      <c r="F14" s="20" t="n">
        <f aca="false">IF($C14=0,0,$C14-$D14)</f>
        <v>194500</v>
      </c>
      <c r="G14" s="20" t="n">
        <f aca="false">IF($F14=0,0,$F14*$E14)</f>
        <v>3890</v>
      </c>
      <c r="H14" s="20" t="n">
        <f aca="false">$F14-$G14</f>
        <v>190610</v>
      </c>
      <c r="I14" s="16" t="s">
        <v>54</v>
      </c>
    </row>
    <row r="15" customFormat="false" ht="15.75" hidden="false" customHeight="true" outlineLevel="0" collapsed="false">
      <c r="A15" s="16" t="s">
        <v>45</v>
      </c>
      <c r="B15" s="17" t="n">
        <v>46162</v>
      </c>
      <c r="C15" s="18" t="n">
        <v>133000</v>
      </c>
      <c r="D15" s="18" t="n">
        <v>5100</v>
      </c>
      <c r="E15" s="19" t="n">
        <v>0.035</v>
      </c>
      <c r="F15" s="20" t="n">
        <f aca="false">IF($C15=0,0,$C15-$D15)</f>
        <v>127900</v>
      </c>
      <c r="G15" s="20" t="n">
        <f aca="false">IF($F15=0,0,$F15*$E15)</f>
        <v>4476.5</v>
      </c>
      <c r="H15" s="20" t="n">
        <f aca="false">$F15-$G15</f>
        <v>123423.5</v>
      </c>
      <c r="I15" s="16" t="s">
        <v>55</v>
      </c>
    </row>
    <row r="16" customFormat="false" ht="15.75" hidden="false" customHeight="true" outlineLevel="0" collapsed="false">
      <c r="A16" s="16" t="s">
        <v>49</v>
      </c>
      <c r="B16" s="17" t="n">
        <v>46175</v>
      </c>
      <c r="C16" s="18" t="n">
        <v>81000</v>
      </c>
      <c r="D16" s="18" t="n">
        <v>2300</v>
      </c>
      <c r="E16" s="19" t="n">
        <v>0.015</v>
      </c>
      <c r="F16" s="20" t="n">
        <f aca="false">IF($C16=0,0,$C16-$D16)</f>
        <v>78700</v>
      </c>
      <c r="G16" s="20" t="n">
        <f aca="false">IF($F16=0,0,$F16*$E16)</f>
        <v>1180.5</v>
      </c>
      <c r="H16" s="20" t="n">
        <f aca="false">$F16-$G16</f>
        <v>77519.5</v>
      </c>
      <c r="I16" s="16" t="s">
        <v>56</v>
      </c>
    </row>
    <row r="17" customFormat="false" ht="15.75" hidden="false" customHeight="true" outlineLevel="0" collapsed="false">
      <c r="A17" s="16" t="s">
        <v>43</v>
      </c>
      <c r="B17" s="17" t="n">
        <v>46189</v>
      </c>
      <c r="C17" s="18" t="n">
        <v>187000</v>
      </c>
      <c r="D17" s="18" t="n">
        <v>8900</v>
      </c>
      <c r="E17" s="19" t="n">
        <v>0.02</v>
      </c>
      <c r="F17" s="20" t="n">
        <f aca="false">IF($C17=0,0,$C17-$D17)</f>
        <v>178100</v>
      </c>
      <c r="G17" s="20" t="n">
        <f aca="false">IF($F17=0,0,$F17*$E17)</f>
        <v>3562</v>
      </c>
      <c r="H17" s="20" t="n">
        <f aca="false">$F17-$G17</f>
        <v>174538</v>
      </c>
      <c r="I17" s="16" t="s">
        <v>57</v>
      </c>
    </row>
    <row r="18" customFormat="false" ht="15" hidden="false" customHeight="true" outlineLevel="0" collapsed="false">
      <c r="A18" s="16"/>
      <c r="B18" s="17"/>
      <c r="C18" s="18"/>
      <c r="D18" s="18"/>
      <c r="E18" s="19"/>
      <c r="F18" s="20" t="n">
        <f aca="false">IF($C18=0,0,$C18-$D18)</f>
        <v>0</v>
      </c>
      <c r="G18" s="20" t="n">
        <f aca="false">IF($F18=0,0,$F18*$E18)</f>
        <v>0</v>
      </c>
      <c r="H18" s="20" t="n">
        <f aca="false">$F18-$G18</f>
        <v>0</v>
      </c>
      <c r="I18" s="16"/>
    </row>
    <row r="19" customFormat="false" ht="15" hidden="false" customHeight="true" outlineLevel="0" collapsed="false">
      <c r="A19" s="16"/>
      <c r="B19" s="17"/>
      <c r="C19" s="18"/>
      <c r="D19" s="18"/>
      <c r="E19" s="19"/>
      <c r="F19" s="20" t="n">
        <f aca="false">IF($C19=0,0,$C19-$D19)</f>
        <v>0</v>
      </c>
      <c r="G19" s="20" t="n">
        <f aca="false">IF($F19=0,0,$F19*$E19)</f>
        <v>0</v>
      </c>
      <c r="H19" s="20" t="n">
        <f aca="false">$F19-$G19</f>
        <v>0</v>
      </c>
      <c r="I19" s="16"/>
    </row>
    <row r="20" customFormat="false" ht="15" hidden="false" customHeight="true" outlineLevel="0" collapsed="false">
      <c r="A20" s="16"/>
      <c r="B20" s="17"/>
      <c r="C20" s="18"/>
      <c r="D20" s="18"/>
      <c r="E20" s="19"/>
      <c r="F20" s="20" t="n">
        <f aca="false">IF($C20=0,0,$C20-$D20)</f>
        <v>0</v>
      </c>
      <c r="G20" s="20" t="n">
        <f aca="false">IF($F20=0,0,$F20*$E20)</f>
        <v>0</v>
      </c>
      <c r="H20" s="20" t="n">
        <f aca="false">$F20-$G20</f>
        <v>0</v>
      </c>
      <c r="I20" s="16"/>
    </row>
    <row r="21" customFormat="false" ht="15" hidden="false" customHeight="true" outlineLevel="0" collapsed="false">
      <c r="A21" s="16"/>
      <c r="B21" s="17"/>
      <c r="C21" s="18"/>
      <c r="D21" s="18"/>
      <c r="E21" s="19"/>
      <c r="F21" s="20" t="n">
        <f aca="false">IF($C21=0,0,$C21-$D21)</f>
        <v>0</v>
      </c>
      <c r="G21" s="20" t="n">
        <f aca="false">IF($F21=0,0,$F21*$E21)</f>
        <v>0</v>
      </c>
      <c r="H21" s="20" t="n">
        <f aca="false">$F21-$G21</f>
        <v>0</v>
      </c>
      <c r="I21" s="16"/>
    </row>
    <row r="22" customFormat="false" ht="15" hidden="false" customHeight="true" outlineLevel="0" collapsed="false">
      <c r="A22" s="16"/>
      <c r="B22" s="17"/>
      <c r="C22" s="18"/>
      <c r="D22" s="18"/>
      <c r="E22" s="19"/>
      <c r="F22" s="20" t="n">
        <f aca="false">IF($C22=0,0,$C22-$D22)</f>
        <v>0</v>
      </c>
      <c r="G22" s="20" t="n">
        <f aca="false">IF($F22=0,0,$F22*$E22)</f>
        <v>0</v>
      </c>
      <c r="H22" s="20" t="n">
        <f aca="false">$F22-$G22</f>
        <v>0</v>
      </c>
      <c r="I22" s="16"/>
    </row>
    <row r="23" customFormat="false" ht="15" hidden="false" customHeight="true" outlineLevel="0" collapsed="false">
      <c r="A23" s="16"/>
      <c r="B23" s="17"/>
      <c r="C23" s="18"/>
      <c r="D23" s="18"/>
      <c r="E23" s="19"/>
      <c r="F23" s="20" t="n">
        <f aca="false">IF($C23=0,0,$C23-$D23)</f>
        <v>0</v>
      </c>
      <c r="G23" s="20" t="n">
        <f aca="false">IF($F23=0,0,$F23*$E23)</f>
        <v>0</v>
      </c>
      <c r="H23" s="20" t="n">
        <f aca="false">$F23-$G23</f>
        <v>0</v>
      </c>
      <c r="I23" s="16"/>
    </row>
    <row r="24" customFormat="false" ht="15" hidden="false" customHeight="true" outlineLevel="0" collapsed="false">
      <c r="A24" s="16"/>
      <c r="B24" s="17"/>
      <c r="C24" s="18"/>
      <c r="D24" s="18"/>
      <c r="E24" s="19"/>
      <c r="F24" s="20" t="n">
        <f aca="false">IF($C24=0,0,$C24-$D24)</f>
        <v>0</v>
      </c>
      <c r="G24" s="20" t="n">
        <f aca="false">IF($F24=0,0,$F24*$E24)</f>
        <v>0</v>
      </c>
      <c r="H24" s="20" t="n">
        <f aca="false">$F24-$G24</f>
        <v>0</v>
      </c>
      <c r="I24" s="16"/>
    </row>
    <row r="25" customFormat="false" ht="15" hidden="false" customHeight="true" outlineLevel="0" collapsed="false">
      <c r="A25" s="16"/>
      <c r="B25" s="17"/>
      <c r="C25" s="18"/>
      <c r="D25" s="18"/>
      <c r="E25" s="19"/>
      <c r="F25" s="20" t="n">
        <f aca="false">IF($C25=0,0,$C25-$D25)</f>
        <v>0</v>
      </c>
      <c r="G25" s="20" t="n">
        <f aca="false">IF($F25=0,0,$F25*$E25)</f>
        <v>0</v>
      </c>
      <c r="H25" s="20" t="n">
        <f aca="false">$F25-$G25</f>
        <v>0</v>
      </c>
      <c r="I25" s="16"/>
    </row>
    <row r="26" customFormat="false" ht="15" hidden="false" customHeight="true" outlineLevel="0" collapsed="false">
      <c r="A26" s="16"/>
      <c r="B26" s="17"/>
      <c r="C26" s="18"/>
      <c r="D26" s="18"/>
      <c r="E26" s="19"/>
      <c r="F26" s="20" t="n">
        <f aca="false">IF($C26=0,0,$C26-$D26)</f>
        <v>0</v>
      </c>
      <c r="G26" s="20" t="n">
        <f aca="false">IF($F26=0,0,$F26*$E26)</f>
        <v>0</v>
      </c>
      <c r="H26" s="20" t="n">
        <f aca="false">$F26-$G26</f>
        <v>0</v>
      </c>
      <c r="I26" s="16"/>
    </row>
    <row r="27" customFormat="false" ht="15" hidden="false" customHeight="true" outlineLevel="0" collapsed="false">
      <c r="A27" s="16"/>
      <c r="B27" s="17"/>
      <c r="C27" s="18"/>
      <c r="D27" s="18"/>
      <c r="E27" s="19"/>
      <c r="F27" s="20" t="n">
        <f aca="false">IF($C27=0,0,$C27-$D27)</f>
        <v>0</v>
      </c>
      <c r="G27" s="20" t="n">
        <f aca="false">IF($F27=0,0,$F27*$E27)</f>
        <v>0</v>
      </c>
      <c r="H27" s="20" t="n">
        <f aca="false">$F27-$G27</f>
        <v>0</v>
      </c>
      <c r="I27" s="16"/>
    </row>
    <row r="28" customFormat="false" ht="15" hidden="false" customHeight="true" outlineLevel="0" collapsed="false">
      <c r="A28" s="16"/>
      <c r="B28" s="17"/>
      <c r="C28" s="18"/>
      <c r="D28" s="18"/>
      <c r="E28" s="19"/>
      <c r="F28" s="20" t="n">
        <f aca="false">IF($C28=0,0,$C28-$D28)</f>
        <v>0</v>
      </c>
      <c r="G28" s="20" t="n">
        <f aca="false">IF($F28=0,0,$F28*$E28)</f>
        <v>0</v>
      </c>
      <c r="H28" s="20" t="n">
        <f aca="false">$F28-$G28</f>
        <v>0</v>
      </c>
      <c r="I28" s="16"/>
    </row>
    <row r="29" customFormat="false" ht="15" hidden="false" customHeight="true" outlineLevel="0" collapsed="false">
      <c r="A29" s="16"/>
      <c r="B29" s="17"/>
      <c r="C29" s="18"/>
      <c r="D29" s="18"/>
      <c r="E29" s="19"/>
      <c r="F29" s="20" t="n">
        <f aca="false">IF($C29=0,0,$C29-$D29)</f>
        <v>0</v>
      </c>
      <c r="G29" s="20" t="n">
        <f aca="false">IF($F29=0,0,$F29*$E29)</f>
        <v>0</v>
      </c>
      <c r="H29" s="20" t="n">
        <f aca="false">$F29-$G29</f>
        <v>0</v>
      </c>
      <c r="I29" s="16"/>
    </row>
    <row r="30" customFormat="false" ht="15" hidden="false" customHeight="true" outlineLevel="0" collapsed="false">
      <c r="A30" s="16"/>
      <c r="B30" s="17"/>
      <c r="C30" s="18"/>
      <c r="D30" s="18"/>
      <c r="E30" s="19"/>
      <c r="F30" s="20" t="n">
        <f aca="false">IF($C30=0,0,$C30-$D30)</f>
        <v>0</v>
      </c>
      <c r="G30" s="20" t="n">
        <f aca="false">IF($F30=0,0,$F30*$E30)</f>
        <v>0</v>
      </c>
      <c r="H30" s="20" t="n">
        <f aca="false">$F30-$G30</f>
        <v>0</v>
      </c>
      <c r="I30" s="16"/>
    </row>
    <row r="31" customFormat="false" ht="15" hidden="false" customHeight="true" outlineLevel="0" collapsed="false">
      <c r="A31" s="16"/>
      <c r="B31" s="17"/>
      <c r="C31" s="18"/>
      <c r="D31" s="18"/>
      <c r="E31" s="19"/>
      <c r="F31" s="20" t="n">
        <f aca="false">IF($C31=0,0,$C31-$D31)</f>
        <v>0</v>
      </c>
      <c r="G31" s="20" t="n">
        <f aca="false">IF($F31=0,0,$F31*$E31)</f>
        <v>0</v>
      </c>
      <c r="H31" s="20" t="n">
        <f aca="false">$F31-$G31</f>
        <v>0</v>
      </c>
      <c r="I31" s="16"/>
    </row>
    <row r="32" customFormat="false" ht="15" hidden="false" customHeight="true" outlineLevel="0" collapsed="false">
      <c r="A32" s="16"/>
      <c r="B32" s="17"/>
      <c r="C32" s="18"/>
      <c r="D32" s="18"/>
      <c r="E32" s="19"/>
      <c r="F32" s="20" t="n">
        <f aca="false">IF($C32=0,0,$C32-$D32)</f>
        <v>0</v>
      </c>
      <c r="G32" s="20" t="n">
        <f aca="false">IF($F32=0,0,$F32*$E32)</f>
        <v>0</v>
      </c>
      <c r="H32" s="20" t="n">
        <f aca="false">$F32-$G32</f>
        <v>0</v>
      </c>
      <c r="I32" s="16"/>
    </row>
    <row r="33" customFormat="false" ht="15" hidden="false" customHeight="true" outlineLevel="0" collapsed="false">
      <c r="A33" s="16"/>
      <c r="B33" s="17"/>
      <c r="C33" s="18"/>
      <c r="D33" s="18"/>
      <c r="E33" s="19"/>
      <c r="F33" s="20" t="n">
        <f aca="false">IF($C33=0,0,$C33-$D33)</f>
        <v>0</v>
      </c>
      <c r="G33" s="20" t="n">
        <f aca="false">IF($F33=0,0,$F33*$E33)</f>
        <v>0</v>
      </c>
      <c r="H33" s="20" t="n">
        <f aca="false">$F33-$G33</f>
        <v>0</v>
      </c>
      <c r="I33" s="16"/>
    </row>
    <row r="34" customFormat="false" ht="15" hidden="false" customHeight="true" outlineLevel="0" collapsed="false">
      <c r="A34" s="16"/>
      <c r="B34" s="17"/>
      <c r="C34" s="18"/>
      <c r="D34" s="18"/>
      <c r="E34" s="19"/>
      <c r="F34" s="20" t="n">
        <f aca="false">IF($C34=0,0,$C34-$D34)</f>
        <v>0</v>
      </c>
      <c r="G34" s="20" t="n">
        <f aca="false">IF($F34=0,0,$F34*$E34)</f>
        <v>0</v>
      </c>
      <c r="H34" s="20" t="n">
        <f aca="false">$F34-$G34</f>
        <v>0</v>
      </c>
      <c r="I34" s="16"/>
    </row>
    <row r="35" customFormat="false" ht="15" hidden="false" customHeight="true" outlineLevel="0" collapsed="false">
      <c r="A35" s="16"/>
      <c r="B35" s="17"/>
      <c r="C35" s="18"/>
      <c r="D35" s="18"/>
      <c r="E35" s="19"/>
      <c r="F35" s="20" t="n">
        <f aca="false">IF($C35=0,0,$C35-$D35)</f>
        <v>0</v>
      </c>
      <c r="G35" s="20" t="n">
        <f aca="false">IF($F35=0,0,$F35*$E35)</f>
        <v>0</v>
      </c>
      <c r="H35" s="20" t="n">
        <f aca="false">$F35-$G35</f>
        <v>0</v>
      </c>
      <c r="I35" s="16"/>
    </row>
    <row r="36" customFormat="false" ht="15" hidden="false" customHeight="true" outlineLevel="0" collapsed="false">
      <c r="A36" s="16"/>
      <c r="B36" s="17"/>
      <c r="C36" s="18"/>
      <c r="D36" s="18"/>
      <c r="E36" s="19"/>
      <c r="F36" s="20" t="n">
        <f aca="false">IF($C36=0,0,$C36-$D36)</f>
        <v>0</v>
      </c>
      <c r="G36" s="20" t="n">
        <f aca="false">IF($F36=0,0,$F36*$E36)</f>
        <v>0</v>
      </c>
      <c r="H36" s="20" t="n">
        <f aca="false">$F36-$G36</f>
        <v>0</v>
      </c>
      <c r="I36" s="16"/>
    </row>
    <row r="37" customFormat="false" ht="15" hidden="false" customHeight="true" outlineLevel="0" collapsed="false">
      <c r="A37" s="16"/>
      <c r="B37" s="17"/>
      <c r="C37" s="18"/>
      <c r="D37" s="18"/>
      <c r="E37" s="19"/>
      <c r="F37" s="20" t="n">
        <f aca="false">IF($C37=0,0,$C37-$D37)</f>
        <v>0</v>
      </c>
      <c r="G37" s="20" t="n">
        <f aca="false">IF($F37=0,0,$F37*$E37)</f>
        <v>0</v>
      </c>
      <c r="H37" s="20" t="n">
        <f aca="false">$F37-$G37</f>
        <v>0</v>
      </c>
      <c r="I37" s="16"/>
    </row>
    <row r="38" customFormat="false" ht="15" hidden="false" customHeight="true" outlineLevel="0" collapsed="false">
      <c r="A38" s="16"/>
      <c r="B38" s="17"/>
      <c r="C38" s="18"/>
      <c r="D38" s="18"/>
      <c r="E38" s="19"/>
      <c r="F38" s="20" t="n">
        <f aca="false">IF($C38=0,0,$C38-$D38)</f>
        <v>0</v>
      </c>
      <c r="G38" s="20" t="n">
        <f aca="false">IF($F38=0,0,$F38*$E38)</f>
        <v>0</v>
      </c>
      <c r="H38" s="20" t="n">
        <f aca="false">$F38-$G38</f>
        <v>0</v>
      </c>
      <c r="I38" s="16"/>
    </row>
    <row r="39" customFormat="false" ht="15" hidden="false" customHeight="true" outlineLevel="0" collapsed="false">
      <c r="A39" s="16"/>
      <c r="B39" s="17"/>
      <c r="C39" s="18"/>
      <c r="D39" s="18"/>
      <c r="E39" s="19"/>
      <c r="F39" s="20" t="n">
        <f aca="false">IF($C39=0,0,$C39-$D39)</f>
        <v>0</v>
      </c>
      <c r="G39" s="20" t="n">
        <f aca="false">IF($F39=0,0,$F39*$E39)</f>
        <v>0</v>
      </c>
      <c r="H39" s="20" t="n">
        <f aca="false">$F39-$G39</f>
        <v>0</v>
      </c>
      <c r="I39" s="16"/>
    </row>
    <row r="40" customFormat="false" ht="15" hidden="false" customHeight="true" outlineLevel="0" collapsed="false">
      <c r="A40" s="16"/>
      <c r="B40" s="17"/>
      <c r="C40" s="18"/>
      <c r="D40" s="18"/>
      <c r="E40" s="19"/>
      <c r="F40" s="20" t="n">
        <f aca="false">IF($C40=0,0,$C40-$D40)</f>
        <v>0</v>
      </c>
      <c r="G40" s="20" t="n">
        <f aca="false">IF($F40=0,0,$F40*$E40)</f>
        <v>0</v>
      </c>
      <c r="H40" s="20" t="n">
        <f aca="false">$F40-$G40</f>
        <v>0</v>
      </c>
      <c r="I40" s="16"/>
    </row>
    <row r="41" customFormat="false" ht="15" hidden="false" customHeight="true" outlineLevel="0" collapsed="false">
      <c r="A41" s="16"/>
      <c r="B41" s="17"/>
      <c r="C41" s="18"/>
      <c r="D41" s="18"/>
      <c r="E41" s="19"/>
      <c r="F41" s="20" t="n">
        <f aca="false">IF($C41=0,0,$C41-$D41)</f>
        <v>0</v>
      </c>
      <c r="G41" s="20" t="n">
        <f aca="false">IF($F41=0,0,$F41*$E41)</f>
        <v>0</v>
      </c>
      <c r="H41" s="20" t="n">
        <f aca="false">$F41-$G41</f>
        <v>0</v>
      </c>
      <c r="I41" s="16"/>
    </row>
    <row r="42" customFormat="false" ht="15" hidden="false" customHeight="true" outlineLevel="0" collapsed="false">
      <c r="A42" s="16"/>
      <c r="B42" s="17"/>
      <c r="C42" s="18"/>
      <c r="D42" s="18"/>
      <c r="E42" s="19"/>
      <c r="F42" s="20" t="n">
        <f aca="false">IF($C42=0,0,$C42-$D42)</f>
        <v>0</v>
      </c>
      <c r="G42" s="20" t="n">
        <f aca="false">IF($F42=0,0,$F42*$E42)</f>
        <v>0</v>
      </c>
      <c r="H42" s="20" t="n">
        <f aca="false">$F42-$G42</f>
        <v>0</v>
      </c>
      <c r="I42" s="16"/>
    </row>
    <row r="43" customFormat="false" ht="15" hidden="false" customHeight="true" outlineLevel="0" collapsed="false">
      <c r="A43" s="16"/>
      <c r="B43" s="17"/>
      <c r="C43" s="18"/>
      <c r="D43" s="18"/>
      <c r="E43" s="19"/>
      <c r="F43" s="20" t="n">
        <f aca="false">IF($C43=0,0,$C43-$D43)</f>
        <v>0</v>
      </c>
      <c r="G43" s="20" t="n">
        <f aca="false">IF($F43=0,0,$F43*$E43)</f>
        <v>0</v>
      </c>
      <c r="H43" s="20" t="n">
        <f aca="false">$F43-$G43</f>
        <v>0</v>
      </c>
      <c r="I43" s="16"/>
    </row>
    <row r="44" customFormat="false" ht="15" hidden="false" customHeight="true" outlineLevel="0" collapsed="false">
      <c r="A44" s="16"/>
      <c r="B44" s="17"/>
      <c r="C44" s="18"/>
      <c r="D44" s="18"/>
      <c r="E44" s="19"/>
      <c r="F44" s="20" t="n">
        <f aca="false">IF($C44=0,0,$C44-$D44)</f>
        <v>0</v>
      </c>
      <c r="G44" s="20" t="n">
        <f aca="false">IF($F44=0,0,$F44*$E44)</f>
        <v>0</v>
      </c>
      <c r="H44" s="20" t="n">
        <f aca="false">$F44-$G44</f>
        <v>0</v>
      </c>
      <c r="I44" s="16"/>
    </row>
    <row r="45" customFormat="false" ht="15" hidden="false" customHeight="true" outlineLevel="0" collapsed="false">
      <c r="A45" s="16"/>
      <c r="B45" s="17"/>
      <c r="C45" s="18"/>
      <c r="D45" s="18"/>
      <c r="E45" s="19"/>
      <c r="F45" s="20" t="n">
        <f aca="false">IF($C45=0,0,$C45-$D45)</f>
        <v>0</v>
      </c>
      <c r="G45" s="20" t="n">
        <f aca="false">IF($F45=0,0,$F45*$E45)</f>
        <v>0</v>
      </c>
      <c r="H45" s="20" t="n">
        <f aca="false">$F45-$G45</f>
        <v>0</v>
      </c>
      <c r="I45" s="16"/>
    </row>
    <row r="46" customFormat="false" ht="15" hidden="false" customHeight="true" outlineLevel="0" collapsed="false">
      <c r="A46" s="16"/>
      <c r="B46" s="17"/>
      <c r="C46" s="18"/>
      <c r="D46" s="18"/>
      <c r="E46" s="19"/>
      <c r="F46" s="20" t="n">
        <f aca="false">IF($C46=0,0,$C46-$D46)</f>
        <v>0</v>
      </c>
      <c r="G46" s="20" t="n">
        <f aca="false">IF($F46=0,0,$F46*$E46)</f>
        <v>0</v>
      </c>
      <c r="H46" s="20" t="n">
        <f aca="false">$F46-$G46</f>
        <v>0</v>
      </c>
      <c r="I46" s="16"/>
    </row>
    <row r="47" customFormat="false" ht="15" hidden="false" customHeight="true" outlineLevel="0" collapsed="false">
      <c r="A47" s="16"/>
      <c r="B47" s="17"/>
      <c r="C47" s="18"/>
      <c r="D47" s="18"/>
      <c r="E47" s="19"/>
      <c r="F47" s="20" t="n">
        <f aca="false">IF($C47=0,0,$C47-$D47)</f>
        <v>0</v>
      </c>
      <c r="G47" s="20" t="n">
        <f aca="false">IF($F47=0,0,$F47*$E47)</f>
        <v>0</v>
      </c>
      <c r="H47" s="20" t="n">
        <f aca="false">$F47-$G47</f>
        <v>0</v>
      </c>
      <c r="I47" s="16"/>
    </row>
    <row r="48" customFormat="false" ht="15" hidden="false" customHeight="true" outlineLevel="0" collapsed="false">
      <c r="A48" s="16"/>
      <c r="B48" s="17"/>
      <c r="C48" s="18"/>
      <c r="D48" s="18"/>
      <c r="E48" s="19"/>
      <c r="F48" s="20" t="n">
        <f aca="false">IF($C48=0,0,$C48-$D48)</f>
        <v>0</v>
      </c>
      <c r="G48" s="20" t="n">
        <f aca="false">IF($F48=0,0,$F48*$E48)</f>
        <v>0</v>
      </c>
      <c r="H48" s="20" t="n">
        <f aca="false">$F48-$G48</f>
        <v>0</v>
      </c>
      <c r="I48" s="16"/>
    </row>
    <row r="49" customFormat="false" ht="15" hidden="false" customHeight="true" outlineLevel="0" collapsed="false">
      <c r="A49" s="16"/>
      <c r="B49" s="17"/>
      <c r="C49" s="18"/>
      <c r="D49" s="18"/>
      <c r="E49" s="19"/>
      <c r="F49" s="20" t="n">
        <f aca="false">IF($C49=0,0,$C49-$D49)</f>
        <v>0</v>
      </c>
      <c r="G49" s="20" t="n">
        <f aca="false">IF($F49=0,0,$F49*$E49)</f>
        <v>0</v>
      </c>
      <c r="H49" s="20" t="n">
        <f aca="false">$F49-$G49</f>
        <v>0</v>
      </c>
      <c r="I49" s="16"/>
    </row>
    <row r="50" customFormat="false" ht="15" hidden="false" customHeight="true" outlineLevel="0" collapsed="false">
      <c r="A50" s="16"/>
      <c r="B50" s="17"/>
      <c r="C50" s="18"/>
      <c r="D50" s="18"/>
      <c r="E50" s="19"/>
      <c r="F50" s="20" t="n">
        <f aca="false">IF($C50=0,0,$C50-$D50)</f>
        <v>0</v>
      </c>
      <c r="G50" s="20" t="n">
        <f aca="false">IF($F50=0,0,$F50*$E50)</f>
        <v>0</v>
      </c>
      <c r="H50" s="20" t="n">
        <f aca="false">$F50-$G50</f>
        <v>0</v>
      </c>
      <c r="I50" s="16"/>
    </row>
    <row r="51" customFormat="false" ht="15" hidden="false" customHeight="true" outlineLevel="0" collapsed="false">
      <c r="A51" s="16"/>
      <c r="B51" s="17"/>
      <c r="C51" s="18"/>
      <c r="D51" s="18"/>
      <c r="E51" s="19"/>
      <c r="F51" s="20" t="n">
        <f aca="false">IF($C51=0,0,$C51-$D51)</f>
        <v>0</v>
      </c>
      <c r="G51" s="20" t="n">
        <f aca="false">IF($F51=0,0,$F51*$E51)</f>
        <v>0</v>
      </c>
      <c r="H51" s="20" t="n">
        <f aca="false">$F51-$G51</f>
        <v>0</v>
      </c>
      <c r="I51" s="16"/>
    </row>
    <row r="52" customFormat="false" ht="15" hidden="false" customHeight="true" outlineLevel="0" collapsed="false">
      <c r="A52" s="16"/>
      <c r="B52" s="17"/>
      <c r="C52" s="18"/>
      <c r="D52" s="18"/>
      <c r="E52" s="19"/>
      <c r="F52" s="20" t="n">
        <f aca="false">IF($C52=0,0,$C52-$D52)</f>
        <v>0</v>
      </c>
      <c r="G52" s="20" t="n">
        <f aca="false">IF($F52=0,0,$F52*$E52)</f>
        <v>0</v>
      </c>
      <c r="H52" s="20" t="n">
        <f aca="false">$F52-$G52</f>
        <v>0</v>
      </c>
      <c r="I52" s="16"/>
    </row>
    <row r="53" customFormat="false" ht="15" hidden="false" customHeight="true" outlineLevel="0" collapsed="false">
      <c r="A53" s="16"/>
      <c r="B53" s="17"/>
      <c r="C53" s="18"/>
      <c r="D53" s="18"/>
      <c r="E53" s="19"/>
      <c r="F53" s="20" t="n">
        <f aca="false">IF($C53=0,0,$C53-$D53)</f>
        <v>0</v>
      </c>
      <c r="G53" s="20" t="n">
        <f aca="false">IF($F53=0,0,$F53*$E53)</f>
        <v>0</v>
      </c>
      <c r="H53" s="20" t="n">
        <f aca="false">$F53-$G53</f>
        <v>0</v>
      </c>
      <c r="I53" s="16"/>
    </row>
    <row r="54" customFormat="false" ht="15" hidden="false" customHeight="true" outlineLevel="0" collapsed="false">
      <c r="A54" s="16"/>
      <c r="B54" s="17"/>
      <c r="C54" s="18"/>
      <c r="D54" s="18"/>
      <c r="E54" s="19"/>
      <c r="F54" s="20" t="n">
        <f aca="false">IF($C54=0,0,$C54-$D54)</f>
        <v>0</v>
      </c>
      <c r="G54" s="20" t="n">
        <f aca="false">IF($F54=0,0,$F54*$E54)</f>
        <v>0</v>
      </c>
      <c r="H54" s="20" t="n">
        <f aca="false">$F54-$G54</f>
        <v>0</v>
      </c>
      <c r="I54" s="16"/>
    </row>
    <row r="55" customFormat="false" ht="15" hidden="false" customHeight="true" outlineLevel="0" collapsed="false">
      <c r="A55" s="16"/>
      <c r="B55" s="17"/>
      <c r="C55" s="18"/>
      <c r="D55" s="18"/>
      <c r="E55" s="19"/>
      <c r="F55" s="20" t="n">
        <f aca="false">IF($C55=0,0,$C55-$D55)</f>
        <v>0</v>
      </c>
      <c r="G55" s="20" t="n">
        <f aca="false">IF($F55=0,0,$F55*$E55)</f>
        <v>0</v>
      </c>
      <c r="H55" s="20" t="n">
        <f aca="false">$F55-$G55</f>
        <v>0</v>
      </c>
      <c r="I55" s="16"/>
    </row>
    <row r="56" customFormat="false" ht="15" hidden="false" customHeight="true" outlineLevel="0" collapsed="false">
      <c r="A56" s="16"/>
      <c r="B56" s="17"/>
      <c r="C56" s="18"/>
      <c r="D56" s="18"/>
      <c r="E56" s="19"/>
      <c r="F56" s="20" t="n">
        <f aca="false">IF($C56=0,0,$C56-$D56)</f>
        <v>0</v>
      </c>
      <c r="G56" s="20" t="n">
        <f aca="false">IF($F56=0,0,$F56*$E56)</f>
        <v>0</v>
      </c>
      <c r="H56" s="20" t="n">
        <f aca="false">$F56-$G56</f>
        <v>0</v>
      </c>
      <c r="I56" s="16"/>
    </row>
    <row r="57" customFormat="false" ht="15" hidden="false" customHeight="true" outlineLevel="0" collapsed="false">
      <c r="A57" s="16"/>
      <c r="B57" s="17"/>
      <c r="C57" s="18"/>
      <c r="D57" s="18"/>
      <c r="E57" s="19"/>
      <c r="F57" s="20" t="n">
        <f aca="false">IF($C57=0,0,$C57-$D57)</f>
        <v>0</v>
      </c>
      <c r="G57" s="20" t="n">
        <f aca="false">IF($F57=0,0,$F57*$E57)</f>
        <v>0</v>
      </c>
      <c r="H57" s="20" t="n">
        <f aca="false">$F57-$G57</f>
        <v>0</v>
      </c>
      <c r="I57" s="16"/>
    </row>
    <row r="58" customFormat="false" ht="15" hidden="false" customHeight="true" outlineLevel="0" collapsed="false">
      <c r="A58" s="16"/>
      <c r="B58" s="17"/>
      <c r="C58" s="18"/>
      <c r="D58" s="18"/>
      <c r="E58" s="19"/>
      <c r="F58" s="20" t="n">
        <f aca="false">IF($C58=0,0,$C58-$D58)</f>
        <v>0</v>
      </c>
      <c r="G58" s="20" t="n">
        <f aca="false">IF($F58=0,0,$F58*$E58)</f>
        <v>0</v>
      </c>
      <c r="H58" s="20" t="n">
        <f aca="false">$F58-$G58</f>
        <v>0</v>
      </c>
      <c r="I58" s="16"/>
    </row>
    <row r="59" customFormat="false" ht="15" hidden="false" customHeight="true" outlineLevel="0" collapsed="false">
      <c r="A59" s="16"/>
      <c r="B59" s="17"/>
      <c r="C59" s="18"/>
      <c r="D59" s="18"/>
      <c r="E59" s="19"/>
      <c r="F59" s="20" t="n">
        <f aca="false">IF($C59=0,0,$C59-$D59)</f>
        <v>0</v>
      </c>
      <c r="G59" s="20" t="n">
        <f aca="false">IF($F59=0,0,$F59*$E59)</f>
        <v>0</v>
      </c>
      <c r="H59" s="20" t="n">
        <f aca="false">$F59-$G59</f>
        <v>0</v>
      </c>
      <c r="I59" s="16"/>
    </row>
    <row r="60" customFormat="false" ht="15" hidden="false" customHeight="true" outlineLevel="0" collapsed="false">
      <c r="A60" s="16"/>
      <c r="B60" s="17"/>
      <c r="C60" s="18"/>
      <c r="D60" s="18"/>
      <c r="E60" s="19"/>
      <c r="F60" s="20" t="n">
        <f aca="false">IF($C60=0,0,$C60-$D60)</f>
        <v>0</v>
      </c>
      <c r="G60" s="20" t="n">
        <f aca="false">IF($F60=0,0,$F60*$E60)</f>
        <v>0</v>
      </c>
      <c r="H60" s="20" t="n">
        <f aca="false">$F60-$G60</f>
        <v>0</v>
      </c>
      <c r="I60" s="16"/>
    </row>
    <row r="61" customFormat="false" ht="15" hidden="false" customHeight="true" outlineLevel="0" collapsed="false">
      <c r="A61" s="16"/>
      <c r="B61" s="17"/>
      <c r="C61" s="18"/>
      <c r="D61" s="18"/>
      <c r="E61" s="19"/>
      <c r="F61" s="20" t="n">
        <f aca="false">IF($C61=0,0,$C61-$D61)</f>
        <v>0</v>
      </c>
      <c r="G61" s="20" t="n">
        <f aca="false">IF($F61=0,0,$F61*$E61)</f>
        <v>0</v>
      </c>
      <c r="H61" s="20" t="n">
        <f aca="false">$F61-$G61</f>
        <v>0</v>
      </c>
      <c r="I61" s="16"/>
    </row>
    <row r="62" customFormat="false" ht="15" hidden="false" customHeight="true" outlineLevel="0" collapsed="false">
      <c r="A62" s="16"/>
      <c r="B62" s="17"/>
      <c r="C62" s="18"/>
      <c r="D62" s="18"/>
      <c r="E62" s="19"/>
      <c r="F62" s="20" t="n">
        <f aca="false">IF($C62=0,0,$C62-$D62)</f>
        <v>0</v>
      </c>
      <c r="G62" s="20" t="n">
        <f aca="false">IF($F62=0,0,$F62*$E62)</f>
        <v>0</v>
      </c>
      <c r="H62" s="20" t="n">
        <f aca="false">$F62-$G62</f>
        <v>0</v>
      </c>
      <c r="I62" s="16"/>
    </row>
    <row r="63" customFormat="false" ht="15" hidden="false" customHeight="true" outlineLevel="0" collapsed="false">
      <c r="A63" s="16"/>
      <c r="B63" s="17"/>
      <c r="C63" s="18"/>
      <c r="D63" s="18"/>
      <c r="E63" s="19"/>
      <c r="F63" s="20" t="n">
        <f aca="false">IF($C63=0,0,$C63-$D63)</f>
        <v>0</v>
      </c>
      <c r="G63" s="20" t="n">
        <f aca="false">IF($F63=0,0,$F63*$E63)</f>
        <v>0</v>
      </c>
      <c r="H63" s="20" t="n">
        <f aca="false">$F63-$G63</f>
        <v>0</v>
      </c>
      <c r="I63" s="16"/>
    </row>
    <row r="64" customFormat="false" ht="15" hidden="false" customHeight="true" outlineLevel="0" collapsed="false">
      <c r="A64" s="16"/>
      <c r="B64" s="17"/>
      <c r="C64" s="18"/>
      <c r="D64" s="18"/>
      <c r="E64" s="19"/>
      <c r="F64" s="20" t="n">
        <f aca="false">IF($C64=0,0,$C64-$D64)</f>
        <v>0</v>
      </c>
      <c r="G64" s="20" t="n">
        <f aca="false">IF($F64=0,0,$F64*$E64)</f>
        <v>0</v>
      </c>
      <c r="H64" s="20" t="n">
        <f aca="false">$F64-$G64</f>
        <v>0</v>
      </c>
      <c r="I64" s="16"/>
    </row>
    <row r="65" customFormat="false" ht="15" hidden="false" customHeight="true" outlineLevel="0" collapsed="false">
      <c r="A65" s="16"/>
      <c r="B65" s="17"/>
      <c r="C65" s="18"/>
      <c r="D65" s="18"/>
      <c r="E65" s="19"/>
      <c r="F65" s="20" t="n">
        <f aca="false">IF($C65=0,0,$C65-$D65)</f>
        <v>0</v>
      </c>
      <c r="G65" s="20" t="n">
        <f aca="false">IF($F65=0,0,$F65*$E65)</f>
        <v>0</v>
      </c>
      <c r="H65" s="20" t="n">
        <f aca="false">$F65-$G65</f>
        <v>0</v>
      </c>
      <c r="I65" s="16"/>
    </row>
    <row r="66" customFormat="false" ht="15" hidden="false" customHeight="true" outlineLevel="0" collapsed="false">
      <c r="A66" s="16"/>
      <c r="B66" s="17"/>
      <c r="C66" s="18"/>
      <c r="D66" s="18"/>
      <c r="E66" s="19"/>
      <c r="F66" s="20" t="n">
        <f aca="false">IF($C66=0,0,$C66-$D66)</f>
        <v>0</v>
      </c>
      <c r="G66" s="20" t="n">
        <f aca="false">IF($F66=0,0,$F66*$E66)</f>
        <v>0</v>
      </c>
      <c r="H66" s="20" t="n">
        <f aca="false">$F66-$G66</f>
        <v>0</v>
      </c>
      <c r="I66" s="16"/>
    </row>
    <row r="67" customFormat="false" ht="15" hidden="false" customHeight="true" outlineLevel="0" collapsed="false">
      <c r="A67" s="16"/>
      <c r="B67" s="17"/>
      <c r="C67" s="18"/>
      <c r="D67" s="18"/>
      <c r="E67" s="19"/>
      <c r="F67" s="20" t="n">
        <f aca="false">IF($C67=0,0,$C67-$D67)</f>
        <v>0</v>
      </c>
      <c r="G67" s="20" t="n">
        <f aca="false">IF($F67=0,0,$F67*$E67)</f>
        <v>0</v>
      </c>
      <c r="H67" s="20" t="n">
        <f aca="false">$F67-$G67</f>
        <v>0</v>
      </c>
      <c r="I67" s="16"/>
    </row>
    <row r="68" customFormat="false" ht="15" hidden="false" customHeight="true" outlineLevel="0" collapsed="false">
      <c r="A68" s="16"/>
      <c r="B68" s="17"/>
      <c r="C68" s="18"/>
      <c r="D68" s="18"/>
      <c r="E68" s="19"/>
      <c r="F68" s="20" t="n">
        <f aca="false">IF($C68=0,0,$C68-$D68)</f>
        <v>0</v>
      </c>
      <c r="G68" s="20" t="n">
        <f aca="false">IF($F68=0,0,$F68*$E68)</f>
        <v>0</v>
      </c>
      <c r="H68" s="20" t="n">
        <f aca="false">$F68-$G68</f>
        <v>0</v>
      </c>
      <c r="I68" s="16"/>
    </row>
    <row r="69" customFormat="false" ht="15" hidden="false" customHeight="true" outlineLevel="0" collapsed="false">
      <c r="A69" s="16"/>
      <c r="B69" s="17"/>
      <c r="C69" s="18"/>
      <c r="D69" s="18"/>
      <c r="E69" s="19"/>
      <c r="F69" s="20" t="n">
        <f aca="false">IF($C69=0,0,$C69-$D69)</f>
        <v>0</v>
      </c>
      <c r="G69" s="20" t="n">
        <f aca="false">IF($F69=0,0,$F69*$E69)</f>
        <v>0</v>
      </c>
      <c r="H69" s="20" t="n">
        <f aca="false">$F69-$G69</f>
        <v>0</v>
      </c>
      <c r="I69" s="16"/>
    </row>
    <row r="70" customFormat="false" ht="15" hidden="false" customHeight="true" outlineLevel="0" collapsed="false">
      <c r="A70" s="16"/>
      <c r="B70" s="17"/>
      <c r="C70" s="18"/>
      <c r="D70" s="18"/>
      <c r="E70" s="19"/>
      <c r="F70" s="20" t="n">
        <f aca="false">IF($C70=0,0,$C70-$D70)</f>
        <v>0</v>
      </c>
      <c r="G70" s="20" t="n">
        <f aca="false">IF($F70=0,0,$F70*$E70)</f>
        <v>0</v>
      </c>
      <c r="H70" s="20" t="n">
        <f aca="false">$F70-$G70</f>
        <v>0</v>
      </c>
      <c r="I70" s="16"/>
    </row>
    <row r="71" customFormat="false" ht="15" hidden="false" customHeight="true" outlineLevel="0" collapsed="false">
      <c r="A71" s="16"/>
      <c r="B71" s="17"/>
      <c r="C71" s="18"/>
      <c r="D71" s="18"/>
      <c r="E71" s="19"/>
      <c r="F71" s="20" t="n">
        <f aca="false">IF($C71=0,0,$C71-$D71)</f>
        <v>0</v>
      </c>
      <c r="G71" s="20" t="n">
        <f aca="false">IF($F71=0,0,$F71*$E71)</f>
        <v>0</v>
      </c>
      <c r="H71" s="20" t="n">
        <f aca="false">$F71-$G71</f>
        <v>0</v>
      </c>
      <c r="I71" s="16"/>
    </row>
    <row r="72" customFormat="false" ht="15" hidden="false" customHeight="true" outlineLevel="0" collapsed="false">
      <c r="A72" s="16"/>
      <c r="B72" s="17"/>
      <c r="C72" s="18"/>
      <c r="D72" s="18"/>
      <c r="E72" s="19"/>
      <c r="F72" s="20" t="n">
        <f aca="false">IF($C72=0,0,$C72-$D72)</f>
        <v>0</v>
      </c>
      <c r="G72" s="20" t="n">
        <f aca="false">IF($F72=0,0,$F72*$E72)</f>
        <v>0</v>
      </c>
      <c r="H72" s="20" t="n">
        <f aca="false">$F72-$G72</f>
        <v>0</v>
      </c>
      <c r="I72" s="16"/>
    </row>
    <row r="73" customFormat="false" ht="15" hidden="false" customHeight="true" outlineLevel="0" collapsed="false">
      <c r="A73" s="16"/>
      <c r="B73" s="17"/>
      <c r="C73" s="18"/>
      <c r="D73" s="18"/>
      <c r="E73" s="19"/>
      <c r="F73" s="20" t="n">
        <f aca="false">IF($C73=0,0,$C73-$D73)</f>
        <v>0</v>
      </c>
      <c r="G73" s="20" t="n">
        <f aca="false">IF($F73=0,0,$F73*$E73)</f>
        <v>0</v>
      </c>
      <c r="H73" s="20" t="n">
        <f aca="false">$F73-$G73</f>
        <v>0</v>
      </c>
      <c r="I73" s="16"/>
    </row>
    <row r="74" customFormat="false" ht="15" hidden="false" customHeight="true" outlineLevel="0" collapsed="false">
      <c r="A74" s="16"/>
      <c r="B74" s="17"/>
      <c r="C74" s="18"/>
      <c r="D74" s="18"/>
      <c r="E74" s="19"/>
      <c r="F74" s="20" t="n">
        <f aca="false">IF($C74=0,0,$C74-$D74)</f>
        <v>0</v>
      </c>
      <c r="G74" s="20" t="n">
        <f aca="false">IF($F74=0,0,$F74*$E74)</f>
        <v>0</v>
      </c>
      <c r="H74" s="20" t="n">
        <f aca="false">$F74-$G74</f>
        <v>0</v>
      </c>
      <c r="I74" s="16"/>
    </row>
    <row r="75" customFormat="false" ht="15" hidden="false" customHeight="true" outlineLevel="0" collapsed="false">
      <c r="A75" s="16"/>
      <c r="B75" s="17"/>
      <c r="C75" s="18"/>
      <c r="D75" s="18"/>
      <c r="E75" s="19"/>
      <c r="F75" s="20" t="n">
        <f aca="false">IF($C75=0,0,$C75-$D75)</f>
        <v>0</v>
      </c>
      <c r="G75" s="20" t="n">
        <f aca="false">IF($F75=0,0,$F75*$E75)</f>
        <v>0</v>
      </c>
      <c r="H75" s="20" t="n">
        <f aca="false">$F75-$G75</f>
        <v>0</v>
      </c>
      <c r="I75" s="16"/>
    </row>
    <row r="76" customFormat="false" ht="15" hidden="false" customHeight="true" outlineLevel="0" collapsed="false">
      <c r="A76" s="16"/>
      <c r="B76" s="17"/>
      <c r="C76" s="18"/>
      <c r="D76" s="18"/>
      <c r="E76" s="19"/>
      <c r="F76" s="20" t="n">
        <f aca="false">IF($C76=0,0,$C76-$D76)</f>
        <v>0</v>
      </c>
      <c r="G76" s="20" t="n">
        <f aca="false">IF($F76=0,0,$F76*$E76)</f>
        <v>0</v>
      </c>
      <c r="H76" s="20" t="n">
        <f aca="false">$F76-$G76</f>
        <v>0</v>
      </c>
      <c r="I76" s="16"/>
    </row>
    <row r="77" customFormat="false" ht="15" hidden="false" customHeight="true" outlineLevel="0" collapsed="false">
      <c r="A77" s="16"/>
      <c r="B77" s="17"/>
      <c r="C77" s="18"/>
      <c r="D77" s="18"/>
      <c r="E77" s="19"/>
      <c r="F77" s="20" t="n">
        <f aca="false">IF($C77=0,0,$C77-$D77)</f>
        <v>0</v>
      </c>
      <c r="G77" s="20" t="n">
        <f aca="false">IF($F77=0,0,$F77*$E77)</f>
        <v>0</v>
      </c>
      <c r="H77" s="20" t="n">
        <f aca="false">$F77-$G77</f>
        <v>0</v>
      </c>
      <c r="I77" s="16"/>
    </row>
    <row r="78" customFormat="false" ht="15" hidden="false" customHeight="true" outlineLevel="0" collapsed="false">
      <c r="A78" s="16"/>
      <c r="B78" s="17"/>
      <c r="C78" s="18"/>
      <c r="D78" s="18"/>
      <c r="E78" s="19"/>
      <c r="F78" s="20" t="n">
        <f aca="false">IF($C78=0,0,$C78-$D78)</f>
        <v>0</v>
      </c>
      <c r="G78" s="20" t="n">
        <f aca="false">IF($F78=0,0,$F78*$E78)</f>
        <v>0</v>
      </c>
      <c r="H78" s="20" t="n">
        <f aca="false">$F78-$G78</f>
        <v>0</v>
      </c>
      <c r="I78" s="16"/>
    </row>
    <row r="79" customFormat="false" ht="15" hidden="false" customHeight="true" outlineLevel="0" collapsed="false">
      <c r="A79" s="16"/>
      <c r="B79" s="17"/>
      <c r="C79" s="18"/>
      <c r="D79" s="18"/>
      <c r="E79" s="19"/>
      <c r="F79" s="20" t="n">
        <f aca="false">IF($C79=0,0,$C79-$D79)</f>
        <v>0</v>
      </c>
      <c r="G79" s="20" t="n">
        <f aca="false">IF($F79=0,0,$F79*$E79)</f>
        <v>0</v>
      </c>
      <c r="H79" s="20" t="n">
        <f aca="false">$F79-$G79</f>
        <v>0</v>
      </c>
      <c r="I79" s="16"/>
    </row>
    <row r="80" customFormat="false" ht="15" hidden="false" customHeight="true" outlineLevel="0" collapsed="false">
      <c r="A80" s="16"/>
      <c r="B80" s="17"/>
      <c r="C80" s="18"/>
      <c r="D80" s="18"/>
      <c r="E80" s="19"/>
      <c r="F80" s="20" t="n">
        <f aca="false">IF($C80=0,0,$C80-$D80)</f>
        <v>0</v>
      </c>
      <c r="G80" s="20" t="n">
        <f aca="false">IF($F80=0,0,$F80*$E80)</f>
        <v>0</v>
      </c>
      <c r="H80" s="20" t="n">
        <f aca="false">$F80-$G80</f>
        <v>0</v>
      </c>
      <c r="I80" s="16"/>
    </row>
    <row r="81" customFormat="false" ht="15" hidden="false" customHeight="true" outlineLevel="0" collapsed="false">
      <c r="A81" s="16"/>
      <c r="B81" s="17"/>
      <c r="C81" s="18"/>
      <c r="D81" s="18"/>
      <c r="E81" s="19"/>
      <c r="F81" s="20" t="n">
        <f aca="false">IF($C81=0,0,$C81-$D81)</f>
        <v>0</v>
      </c>
      <c r="G81" s="20" t="n">
        <f aca="false">IF($F81=0,0,$F81*$E81)</f>
        <v>0</v>
      </c>
      <c r="H81" s="20" t="n">
        <f aca="false">$F81-$G81</f>
        <v>0</v>
      </c>
      <c r="I81" s="16"/>
    </row>
    <row r="82" customFormat="false" ht="15" hidden="false" customHeight="true" outlineLevel="0" collapsed="false">
      <c r="A82" s="16"/>
      <c r="B82" s="17"/>
      <c r="C82" s="18"/>
      <c r="D82" s="18"/>
      <c r="E82" s="19"/>
      <c r="F82" s="20" t="n">
        <f aca="false">IF($C82=0,0,$C82-$D82)</f>
        <v>0</v>
      </c>
      <c r="G82" s="20" t="n">
        <f aca="false">IF($F82=0,0,$F82*$E82)</f>
        <v>0</v>
      </c>
      <c r="H82" s="20" t="n">
        <f aca="false">$F82-$G82</f>
        <v>0</v>
      </c>
      <c r="I82" s="16"/>
    </row>
    <row r="83" customFormat="false" ht="15" hidden="false" customHeight="true" outlineLevel="0" collapsed="false">
      <c r="A83" s="16"/>
      <c r="B83" s="17"/>
      <c r="C83" s="18"/>
      <c r="D83" s="18"/>
      <c r="E83" s="19"/>
      <c r="F83" s="20" t="n">
        <f aca="false">IF($C83=0,0,$C83-$D83)</f>
        <v>0</v>
      </c>
      <c r="G83" s="20" t="n">
        <f aca="false">IF($F83=0,0,$F83*$E83)</f>
        <v>0</v>
      </c>
      <c r="H83" s="20" t="n">
        <f aca="false">$F83-$G83</f>
        <v>0</v>
      </c>
      <c r="I83" s="16"/>
    </row>
    <row r="84" customFormat="false" ht="15" hidden="false" customHeight="true" outlineLevel="0" collapsed="false">
      <c r="A84" s="16"/>
      <c r="B84" s="17"/>
      <c r="C84" s="18"/>
      <c r="D84" s="18"/>
      <c r="E84" s="19"/>
      <c r="F84" s="20" t="n">
        <f aca="false">IF($C84=0,0,$C84-$D84)</f>
        <v>0</v>
      </c>
      <c r="G84" s="20" t="n">
        <f aca="false">IF($F84=0,0,$F84*$E84)</f>
        <v>0</v>
      </c>
      <c r="H84" s="20" t="n">
        <f aca="false">$F84-$G84</f>
        <v>0</v>
      </c>
      <c r="I84" s="16"/>
    </row>
    <row r="85" customFormat="false" ht="15" hidden="false" customHeight="true" outlineLevel="0" collapsed="false">
      <c r="A85" s="16"/>
      <c r="B85" s="17"/>
      <c r="C85" s="18"/>
      <c r="D85" s="18"/>
      <c r="E85" s="19"/>
      <c r="F85" s="20" t="n">
        <f aca="false">IF($C85=0,0,$C85-$D85)</f>
        <v>0</v>
      </c>
      <c r="G85" s="20" t="n">
        <f aca="false">IF($F85=0,0,$F85*$E85)</f>
        <v>0</v>
      </c>
      <c r="H85" s="20" t="n">
        <f aca="false">$F85-$G85</f>
        <v>0</v>
      </c>
      <c r="I85" s="16"/>
    </row>
    <row r="86" customFormat="false" ht="15" hidden="false" customHeight="true" outlineLevel="0" collapsed="false">
      <c r="A86" s="16"/>
      <c r="B86" s="17"/>
      <c r="C86" s="18"/>
      <c r="D86" s="18"/>
      <c r="E86" s="19"/>
      <c r="F86" s="20" t="n">
        <f aca="false">IF($C86=0,0,$C86-$D86)</f>
        <v>0</v>
      </c>
      <c r="G86" s="20" t="n">
        <f aca="false">IF($F86=0,0,$F86*$E86)</f>
        <v>0</v>
      </c>
      <c r="H86" s="20" t="n">
        <f aca="false">$F86-$G86</f>
        <v>0</v>
      </c>
      <c r="I86" s="16"/>
    </row>
    <row r="87" customFormat="false" ht="15" hidden="false" customHeight="true" outlineLevel="0" collapsed="false">
      <c r="A87" s="16"/>
      <c r="B87" s="17"/>
      <c r="C87" s="18"/>
      <c r="D87" s="18"/>
      <c r="E87" s="19"/>
      <c r="F87" s="20" t="n">
        <f aca="false">IF($C87=0,0,$C87-$D87)</f>
        <v>0</v>
      </c>
      <c r="G87" s="20" t="n">
        <f aca="false">IF($F87=0,0,$F87*$E87)</f>
        <v>0</v>
      </c>
      <c r="H87" s="20" t="n">
        <f aca="false">$F87-$G87</f>
        <v>0</v>
      </c>
      <c r="I87" s="16"/>
    </row>
    <row r="88" customFormat="false" ht="15" hidden="false" customHeight="true" outlineLevel="0" collapsed="false">
      <c r="A88" s="16"/>
      <c r="B88" s="17"/>
      <c r="C88" s="18"/>
      <c r="D88" s="18"/>
      <c r="E88" s="19"/>
      <c r="F88" s="20" t="n">
        <f aca="false">IF($C88=0,0,$C88-$D88)</f>
        <v>0</v>
      </c>
      <c r="G88" s="20" t="n">
        <f aca="false">IF($F88=0,0,$F88*$E88)</f>
        <v>0</v>
      </c>
      <c r="H88" s="20" t="n">
        <f aca="false">$F88-$G88</f>
        <v>0</v>
      </c>
      <c r="I88" s="16"/>
    </row>
    <row r="89" customFormat="false" ht="15" hidden="false" customHeight="true" outlineLevel="0" collapsed="false">
      <c r="A89" s="16"/>
      <c r="B89" s="17"/>
      <c r="C89" s="18"/>
      <c r="D89" s="18"/>
      <c r="E89" s="19"/>
      <c r="F89" s="20" t="n">
        <f aca="false">IF($C89=0,0,$C89-$D89)</f>
        <v>0</v>
      </c>
      <c r="G89" s="20" t="n">
        <f aca="false">IF($F89=0,0,$F89*$E89)</f>
        <v>0</v>
      </c>
      <c r="H89" s="20" t="n">
        <f aca="false">$F89-$G89</f>
        <v>0</v>
      </c>
      <c r="I89" s="16"/>
    </row>
    <row r="90" customFormat="false" ht="15" hidden="false" customHeight="true" outlineLevel="0" collapsed="false">
      <c r="A90" s="16"/>
      <c r="B90" s="17"/>
      <c r="C90" s="18"/>
      <c r="D90" s="18"/>
      <c r="E90" s="19"/>
      <c r="F90" s="20" t="n">
        <f aca="false">IF($C90=0,0,$C90-$D90)</f>
        <v>0</v>
      </c>
      <c r="G90" s="20" t="n">
        <f aca="false">IF($F90=0,0,$F90*$E90)</f>
        <v>0</v>
      </c>
      <c r="H90" s="20" t="n">
        <f aca="false">$F90-$G90</f>
        <v>0</v>
      </c>
      <c r="I90" s="16"/>
    </row>
    <row r="91" customFormat="false" ht="15" hidden="false" customHeight="true" outlineLevel="0" collapsed="false">
      <c r="A91" s="16"/>
      <c r="B91" s="17"/>
      <c r="C91" s="18"/>
      <c r="D91" s="18"/>
      <c r="E91" s="19"/>
      <c r="F91" s="20" t="n">
        <f aca="false">IF($C91=0,0,$C91-$D91)</f>
        <v>0</v>
      </c>
      <c r="G91" s="20" t="n">
        <f aca="false">IF($F91=0,0,$F91*$E91)</f>
        <v>0</v>
      </c>
      <c r="H91" s="20" t="n">
        <f aca="false">$F91-$G91</f>
        <v>0</v>
      </c>
      <c r="I91" s="16"/>
    </row>
    <row r="92" customFormat="false" ht="15" hidden="false" customHeight="true" outlineLevel="0" collapsed="false">
      <c r="A92" s="16"/>
      <c r="B92" s="17"/>
      <c r="C92" s="18"/>
      <c r="D92" s="18"/>
      <c r="E92" s="19"/>
      <c r="F92" s="20" t="n">
        <f aca="false">IF($C92=0,0,$C92-$D92)</f>
        <v>0</v>
      </c>
      <c r="G92" s="20" t="n">
        <f aca="false">IF($F92=0,0,$F92*$E92)</f>
        <v>0</v>
      </c>
      <c r="H92" s="20" t="n">
        <f aca="false">$F92-$G92</f>
        <v>0</v>
      </c>
      <c r="I92" s="16"/>
    </row>
    <row r="93" customFormat="false" ht="15" hidden="false" customHeight="true" outlineLevel="0" collapsed="false">
      <c r="A93" s="16"/>
      <c r="B93" s="17"/>
      <c r="C93" s="18"/>
      <c r="D93" s="18"/>
      <c r="E93" s="19"/>
      <c r="F93" s="20" t="n">
        <f aca="false">IF($C93=0,0,$C93-$D93)</f>
        <v>0</v>
      </c>
      <c r="G93" s="20" t="n">
        <f aca="false">IF($F93=0,0,$F93*$E93)</f>
        <v>0</v>
      </c>
      <c r="H93" s="20" t="n">
        <f aca="false">$F93-$G93</f>
        <v>0</v>
      </c>
      <c r="I93" s="16"/>
    </row>
    <row r="94" customFormat="false" ht="15" hidden="false" customHeight="true" outlineLevel="0" collapsed="false">
      <c r="A94" s="16"/>
      <c r="B94" s="17"/>
      <c r="C94" s="18"/>
      <c r="D94" s="18"/>
      <c r="E94" s="19"/>
      <c r="F94" s="20" t="n">
        <f aca="false">IF($C94=0,0,$C94-$D94)</f>
        <v>0</v>
      </c>
      <c r="G94" s="20" t="n">
        <f aca="false">IF($F94=0,0,$F94*$E94)</f>
        <v>0</v>
      </c>
      <c r="H94" s="20" t="n">
        <f aca="false">$F94-$G94</f>
        <v>0</v>
      </c>
      <c r="I94" s="16"/>
    </row>
    <row r="95" customFormat="false" ht="15" hidden="false" customHeight="true" outlineLevel="0" collapsed="false">
      <c r="A95" s="16"/>
      <c r="B95" s="17"/>
      <c r="C95" s="18"/>
      <c r="D95" s="18"/>
      <c r="E95" s="19"/>
      <c r="F95" s="20" t="n">
        <f aca="false">IF($C95=0,0,$C95-$D95)</f>
        <v>0</v>
      </c>
      <c r="G95" s="20" t="n">
        <f aca="false">IF($F95=0,0,$F95*$E95)</f>
        <v>0</v>
      </c>
      <c r="H95" s="20" t="n">
        <f aca="false">$F95-$G95</f>
        <v>0</v>
      </c>
      <c r="I95" s="16"/>
    </row>
    <row r="96" customFormat="false" ht="15" hidden="false" customHeight="true" outlineLevel="0" collapsed="false">
      <c r="A96" s="16"/>
      <c r="B96" s="17"/>
      <c r="C96" s="18"/>
      <c r="D96" s="18"/>
      <c r="E96" s="19"/>
      <c r="F96" s="20" t="n">
        <f aca="false">IF($C96=0,0,$C96-$D96)</f>
        <v>0</v>
      </c>
      <c r="G96" s="20" t="n">
        <f aca="false">IF($F96=0,0,$F96*$E96)</f>
        <v>0</v>
      </c>
      <c r="H96" s="20" t="n">
        <f aca="false">$F96-$G96</f>
        <v>0</v>
      </c>
      <c r="I96" s="16"/>
    </row>
    <row r="97" customFormat="false" ht="15" hidden="false" customHeight="true" outlineLevel="0" collapsed="false">
      <c r="A97" s="16"/>
      <c r="B97" s="17"/>
      <c r="C97" s="18"/>
      <c r="D97" s="18"/>
      <c r="E97" s="19"/>
      <c r="F97" s="20" t="n">
        <f aca="false">IF($C97=0,0,$C97-$D97)</f>
        <v>0</v>
      </c>
      <c r="G97" s="20" t="n">
        <f aca="false">IF($F97=0,0,$F97*$E97)</f>
        <v>0</v>
      </c>
      <c r="H97" s="20" t="n">
        <f aca="false">$F97-$G97</f>
        <v>0</v>
      </c>
      <c r="I97" s="16"/>
    </row>
    <row r="98" customFormat="false" ht="15" hidden="false" customHeight="true" outlineLevel="0" collapsed="false">
      <c r="A98" s="16"/>
      <c r="B98" s="17"/>
      <c r="C98" s="18"/>
      <c r="D98" s="18"/>
      <c r="E98" s="19"/>
      <c r="F98" s="20" t="n">
        <f aca="false">IF($C98=0,0,$C98-$D98)</f>
        <v>0</v>
      </c>
      <c r="G98" s="20" t="n">
        <f aca="false">IF($F98=0,0,$F98*$E98)</f>
        <v>0</v>
      </c>
      <c r="H98" s="20" t="n">
        <f aca="false">$F98-$G98</f>
        <v>0</v>
      </c>
      <c r="I98" s="16"/>
    </row>
    <row r="99" customFormat="false" ht="15" hidden="false" customHeight="true" outlineLevel="0" collapsed="false">
      <c r="A99" s="16"/>
      <c r="B99" s="17"/>
      <c r="C99" s="18"/>
      <c r="D99" s="18"/>
      <c r="E99" s="19"/>
      <c r="F99" s="20" t="n">
        <f aca="false">IF($C99=0,0,$C99-$D99)</f>
        <v>0</v>
      </c>
      <c r="G99" s="20" t="n">
        <f aca="false">IF($F99=0,0,$F99*$E99)</f>
        <v>0</v>
      </c>
      <c r="H99" s="20" t="n">
        <f aca="false">$F99-$G99</f>
        <v>0</v>
      </c>
      <c r="I99" s="16"/>
    </row>
    <row r="100" customFormat="false" ht="15" hidden="false" customHeight="true" outlineLevel="0" collapsed="false">
      <c r="A100" s="16"/>
      <c r="B100" s="17"/>
      <c r="C100" s="18"/>
      <c r="D100" s="18"/>
      <c r="E100" s="19"/>
      <c r="F100" s="20" t="n">
        <f aca="false">IF($C100=0,0,$C100-$D100)</f>
        <v>0</v>
      </c>
      <c r="G100" s="20" t="n">
        <f aca="false">IF($F100=0,0,$F100*$E100)</f>
        <v>0</v>
      </c>
      <c r="H100" s="20" t="n">
        <f aca="false">$F100-$G100</f>
        <v>0</v>
      </c>
      <c r="I100" s="16"/>
    </row>
    <row r="101" customFormat="false" ht="15" hidden="false" customHeight="true" outlineLevel="0" collapsed="false">
      <c r="A101" s="16"/>
      <c r="B101" s="17"/>
      <c r="C101" s="18"/>
      <c r="D101" s="18"/>
      <c r="E101" s="19"/>
      <c r="F101" s="20" t="n">
        <f aca="false">IF($C101=0,0,$C101-$D101)</f>
        <v>0</v>
      </c>
      <c r="G101" s="20" t="n">
        <f aca="false">IF($F101=0,0,$F101*$E101)</f>
        <v>0</v>
      </c>
      <c r="H101" s="20" t="n">
        <f aca="false">$F101-$G101</f>
        <v>0</v>
      </c>
      <c r="I101" s="16"/>
    </row>
    <row r="102" customFormat="false" ht="15" hidden="false" customHeight="true" outlineLevel="0" collapsed="false">
      <c r="A102" s="16"/>
      <c r="B102" s="17"/>
      <c r="C102" s="18"/>
      <c r="D102" s="18"/>
      <c r="E102" s="19"/>
      <c r="F102" s="20" t="n">
        <f aca="false">IF($C102=0,0,$C102-$D102)</f>
        <v>0</v>
      </c>
      <c r="G102" s="20" t="n">
        <f aca="false">IF($F102=0,0,$F102*$E102)</f>
        <v>0</v>
      </c>
      <c r="H102" s="20" t="n">
        <f aca="false">$F102-$G102</f>
        <v>0</v>
      </c>
      <c r="I102" s="16"/>
    </row>
    <row r="103" customFormat="false" ht="15" hidden="false" customHeight="true" outlineLevel="0" collapsed="false">
      <c r="A103" s="16"/>
      <c r="B103" s="17"/>
      <c r="C103" s="18"/>
      <c r="D103" s="18"/>
      <c r="E103" s="19"/>
      <c r="F103" s="20" t="n">
        <f aca="false">IF($C103=0,0,$C103-$D103)</f>
        <v>0</v>
      </c>
      <c r="G103" s="20" t="n">
        <f aca="false">IF($F103=0,0,$F103*$E103)</f>
        <v>0</v>
      </c>
      <c r="H103" s="20" t="n">
        <f aca="false">$F103-$G103</f>
        <v>0</v>
      </c>
      <c r="I103" s="16"/>
    </row>
    <row r="104" customFormat="false" ht="15" hidden="false" customHeight="true" outlineLevel="0" collapsed="false">
      <c r="A104" s="16"/>
      <c r="B104" s="17"/>
      <c r="C104" s="18"/>
      <c r="D104" s="18"/>
      <c r="E104" s="19"/>
      <c r="F104" s="20" t="n">
        <f aca="false">IF($C104=0,0,$C104-$D104)</f>
        <v>0</v>
      </c>
      <c r="G104" s="20" t="n">
        <f aca="false">IF($F104=0,0,$F104*$E104)</f>
        <v>0</v>
      </c>
      <c r="H104" s="20" t="n">
        <f aca="false">$F104-$G104</f>
        <v>0</v>
      </c>
      <c r="I104" s="16"/>
    </row>
    <row r="105" customFormat="false" ht="15" hidden="false" customHeight="true" outlineLevel="0" collapsed="false">
      <c r="A105" s="16"/>
      <c r="B105" s="17"/>
      <c r="C105" s="18"/>
      <c r="D105" s="18"/>
      <c r="E105" s="19"/>
      <c r="F105" s="20" t="n">
        <f aca="false">IF($C105=0,0,$C105-$D105)</f>
        <v>0</v>
      </c>
      <c r="G105" s="20" t="n">
        <f aca="false">IF($F105=0,0,$F105*$E105)</f>
        <v>0</v>
      </c>
      <c r="H105" s="20" t="n">
        <f aca="false">$F105-$G105</f>
        <v>0</v>
      </c>
      <c r="I105" s="16"/>
    </row>
    <row r="106" customFormat="false" ht="15" hidden="false" customHeight="true" outlineLevel="0" collapsed="false">
      <c r="A106" s="16"/>
      <c r="B106" s="17"/>
      <c r="C106" s="18"/>
      <c r="D106" s="18"/>
      <c r="E106" s="19"/>
      <c r="F106" s="20" t="n">
        <f aca="false">IF($C106=0,0,$C106-$D106)</f>
        <v>0</v>
      </c>
      <c r="G106" s="20" t="n">
        <f aca="false">IF($F106=0,0,$F106*$E106)</f>
        <v>0</v>
      </c>
      <c r="H106" s="20" t="n">
        <f aca="false">$F106-$G106</f>
        <v>0</v>
      </c>
      <c r="I106" s="16"/>
    </row>
    <row r="107" customFormat="false" ht="15" hidden="false" customHeight="true" outlineLevel="0" collapsed="false">
      <c r="A107" s="16"/>
      <c r="B107" s="17"/>
      <c r="C107" s="18"/>
      <c r="D107" s="18"/>
      <c r="E107" s="19"/>
      <c r="F107" s="20" t="n">
        <f aca="false">IF($C107=0,0,$C107-$D107)</f>
        <v>0</v>
      </c>
      <c r="G107" s="20" t="n">
        <f aca="false">IF($F107=0,0,$F107*$E107)</f>
        <v>0</v>
      </c>
      <c r="H107" s="20" t="n">
        <f aca="false">$F107-$G107</f>
        <v>0</v>
      </c>
      <c r="I107" s="16"/>
    </row>
    <row r="108" customFormat="false" ht="15" hidden="false" customHeight="true" outlineLevel="0" collapsed="false">
      <c r="A108" s="16"/>
      <c r="B108" s="17"/>
      <c r="C108" s="18"/>
      <c r="D108" s="18"/>
      <c r="E108" s="19"/>
      <c r="F108" s="20" t="n">
        <f aca="false">IF($C108=0,0,$C108-$D108)</f>
        <v>0</v>
      </c>
      <c r="G108" s="20" t="n">
        <f aca="false">IF($F108=0,0,$F108*$E108)</f>
        <v>0</v>
      </c>
      <c r="H108" s="20" t="n">
        <f aca="false">$F108-$G108</f>
        <v>0</v>
      </c>
      <c r="I108" s="16"/>
    </row>
    <row r="109" customFormat="false" ht="15" hidden="false" customHeight="true" outlineLevel="0" collapsed="false">
      <c r="A109" s="16"/>
      <c r="B109" s="17"/>
      <c r="C109" s="18"/>
      <c r="D109" s="18"/>
      <c r="E109" s="19"/>
      <c r="F109" s="20" t="n">
        <f aca="false">IF($C109=0,0,$C109-$D109)</f>
        <v>0</v>
      </c>
      <c r="G109" s="20" t="n">
        <f aca="false">IF($F109=0,0,$F109*$E109)</f>
        <v>0</v>
      </c>
      <c r="H109" s="20" t="n">
        <f aca="false">$F109-$G109</f>
        <v>0</v>
      </c>
      <c r="I109" s="16"/>
    </row>
    <row r="110" customFormat="false" ht="15" hidden="false" customHeight="true" outlineLevel="0" collapsed="false">
      <c r="A110" s="16"/>
      <c r="B110" s="17"/>
      <c r="C110" s="18"/>
      <c r="D110" s="18"/>
      <c r="E110" s="19"/>
      <c r="F110" s="20" t="n">
        <f aca="false">IF($C110=0,0,$C110-$D110)</f>
        <v>0</v>
      </c>
      <c r="G110" s="20" t="n">
        <f aca="false">IF($F110=0,0,$F110*$E110)</f>
        <v>0</v>
      </c>
      <c r="H110" s="20" t="n">
        <f aca="false">$F110-$G110</f>
        <v>0</v>
      </c>
      <c r="I110" s="16"/>
    </row>
    <row r="111" customFormat="false" ht="15" hidden="false" customHeight="true" outlineLevel="0" collapsed="false">
      <c r="A111" s="16"/>
      <c r="B111" s="17"/>
      <c r="C111" s="18"/>
      <c r="D111" s="18"/>
      <c r="E111" s="19"/>
      <c r="F111" s="20" t="n">
        <f aca="false">IF($C111=0,0,$C111-$D111)</f>
        <v>0</v>
      </c>
      <c r="G111" s="20" t="n">
        <f aca="false">IF($F111=0,0,$F111*$E111)</f>
        <v>0</v>
      </c>
      <c r="H111" s="20" t="n">
        <f aca="false">$F111-$G111</f>
        <v>0</v>
      </c>
      <c r="I111" s="16"/>
    </row>
    <row r="112" customFormat="false" ht="15" hidden="false" customHeight="true" outlineLevel="0" collapsed="false">
      <c r="A112" s="16"/>
      <c r="B112" s="17"/>
      <c r="C112" s="18"/>
      <c r="D112" s="18"/>
      <c r="E112" s="19"/>
      <c r="F112" s="20" t="n">
        <f aca="false">IF($C112=0,0,$C112-$D112)</f>
        <v>0</v>
      </c>
      <c r="G112" s="20" t="n">
        <f aca="false">IF($F112=0,0,$F112*$E112)</f>
        <v>0</v>
      </c>
      <c r="H112" s="20" t="n">
        <f aca="false">$F112-$G112</f>
        <v>0</v>
      </c>
      <c r="I112" s="16"/>
    </row>
    <row r="113" customFormat="false" ht="15" hidden="false" customHeight="true" outlineLevel="0" collapsed="false">
      <c r="A113" s="16"/>
      <c r="B113" s="17"/>
      <c r="C113" s="18"/>
      <c r="D113" s="18"/>
      <c r="E113" s="19"/>
      <c r="F113" s="20" t="n">
        <f aca="false">IF($C113=0,0,$C113-$D113)</f>
        <v>0</v>
      </c>
      <c r="G113" s="20" t="n">
        <f aca="false">IF($F113=0,0,$F113*$E113)</f>
        <v>0</v>
      </c>
      <c r="H113" s="20" t="n">
        <f aca="false">$F113-$G113</f>
        <v>0</v>
      </c>
      <c r="I113" s="16"/>
    </row>
    <row r="114" customFormat="false" ht="15" hidden="false" customHeight="true" outlineLevel="0" collapsed="false">
      <c r="A114" s="16"/>
      <c r="B114" s="17"/>
      <c r="C114" s="18"/>
      <c r="D114" s="18"/>
      <c r="E114" s="19"/>
      <c r="F114" s="20" t="n">
        <f aca="false">IF($C114=0,0,$C114-$D114)</f>
        <v>0</v>
      </c>
      <c r="G114" s="20" t="n">
        <f aca="false">IF($F114=0,0,$F114*$E114)</f>
        <v>0</v>
      </c>
      <c r="H114" s="20" t="n">
        <f aca="false">$F114-$G114</f>
        <v>0</v>
      </c>
      <c r="I114" s="16"/>
    </row>
    <row r="115" customFormat="false" ht="15" hidden="false" customHeight="true" outlineLevel="0" collapsed="false">
      <c r="A115" s="16"/>
      <c r="B115" s="17"/>
      <c r="C115" s="18"/>
      <c r="D115" s="18"/>
      <c r="E115" s="19"/>
      <c r="F115" s="20" t="n">
        <f aca="false">IF($C115=0,0,$C115-$D115)</f>
        <v>0</v>
      </c>
      <c r="G115" s="20" t="n">
        <f aca="false">IF($F115=0,0,$F115*$E115)</f>
        <v>0</v>
      </c>
      <c r="H115" s="20" t="n">
        <f aca="false">$F115-$G115</f>
        <v>0</v>
      </c>
      <c r="I115" s="16"/>
    </row>
    <row r="116" customFormat="false" ht="15" hidden="false" customHeight="true" outlineLevel="0" collapsed="false">
      <c r="A116" s="16"/>
      <c r="B116" s="17"/>
      <c r="C116" s="18"/>
      <c r="D116" s="18"/>
      <c r="E116" s="19"/>
      <c r="F116" s="20" t="n">
        <f aca="false">IF($C116=0,0,$C116-$D116)</f>
        <v>0</v>
      </c>
      <c r="G116" s="20" t="n">
        <f aca="false">IF($F116=0,0,$F116*$E116)</f>
        <v>0</v>
      </c>
      <c r="H116" s="20" t="n">
        <f aca="false">$F116-$G116</f>
        <v>0</v>
      </c>
      <c r="I116" s="16"/>
    </row>
    <row r="117" customFormat="false" ht="15" hidden="false" customHeight="true" outlineLevel="0" collapsed="false">
      <c r="A117" s="16"/>
      <c r="B117" s="17"/>
      <c r="C117" s="18"/>
      <c r="D117" s="18"/>
      <c r="E117" s="19"/>
      <c r="F117" s="20" t="n">
        <f aca="false">IF($C117=0,0,$C117-$D117)</f>
        <v>0</v>
      </c>
      <c r="G117" s="20" t="n">
        <f aca="false">IF($F117=0,0,$F117*$E117)</f>
        <v>0</v>
      </c>
      <c r="H117" s="20" t="n">
        <f aca="false">$F117-$G117</f>
        <v>0</v>
      </c>
      <c r="I117" s="16"/>
    </row>
    <row r="118" customFormat="false" ht="15" hidden="false" customHeight="true" outlineLevel="0" collapsed="false">
      <c r="A118" s="16"/>
      <c r="B118" s="17"/>
      <c r="C118" s="18"/>
      <c r="D118" s="18"/>
      <c r="E118" s="19"/>
      <c r="F118" s="20" t="n">
        <f aca="false">IF($C118=0,0,$C118-$D118)</f>
        <v>0</v>
      </c>
      <c r="G118" s="20" t="n">
        <f aca="false">IF($F118=0,0,$F118*$E118)</f>
        <v>0</v>
      </c>
      <c r="H118" s="20" t="n">
        <f aca="false">$F118-$G118</f>
        <v>0</v>
      </c>
      <c r="I118" s="16"/>
    </row>
    <row r="119" customFormat="false" ht="15" hidden="false" customHeight="true" outlineLevel="0" collapsed="false">
      <c r="A119" s="16"/>
      <c r="B119" s="17"/>
      <c r="C119" s="18"/>
      <c r="D119" s="18"/>
      <c r="E119" s="19"/>
      <c r="F119" s="20" t="n">
        <f aca="false">IF($C119=0,0,$C119-$D119)</f>
        <v>0</v>
      </c>
      <c r="G119" s="20" t="n">
        <f aca="false">IF($F119=0,0,$F119*$E119)</f>
        <v>0</v>
      </c>
      <c r="H119" s="20" t="n">
        <f aca="false">$F119-$G119</f>
        <v>0</v>
      </c>
      <c r="I119" s="16"/>
    </row>
    <row r="120" customFormat="false" ht="15" hidden="false" customHeight="true" outlineLevel="0" collapsed="false">
      <c r="A120" s="16"/>
      <c r="B120" s="17"/>
      <c r="C120" s="18"/>
      <c r="D120" s="18"/>
      <c r="E120" s="19"/>
      <c r="F120" s="20" t="n">
        <f aca="false">IF($C120=0,0,$C120-$D120)</f>
        <v>0</v>
      </c>
      <c r="G120" s="20" t="n">
        <f aca="false">IF($F120=0,0,$F120*$E120)</f>
        <v>0</v>
      </c>
      <c r="H120" s="20" t="n">
        <f aca="false">$F120-$G120</f>
        <v>0</v>
      </c>
      <c r="I120" s="16"/>
    </row>
    <row r="121" customFormat="false" ht="15" hidden="false" customHeight="true" outlineLevel="0" collapsed="false">
      <c r="A121" s="16"/>
      <c r="B121" s="17"/>
      <c r="C121" s="18"/>
      <c r="D121" s="18"/>
      <c r="E121" s="19"/>
      <c r="F121" s="20" t="n">
        <f aca="false">IF($C121=0,0,$C121-$D121)</f>
        <v>0</v>
      </c>
      <c r="G121" s="20" t="n">
        <f aca="false">IF($F121=0,0,$F121*$E121)</f>
        <v>0</v>
      </c>
      <c r="H121" s="20" t="n">
        <f aca="false">$F121-$G121</f>
        <v>0</v>
      </c>
      <c r="I121" s="16"/>
    </row>
    <row r="122" customFormat="false" ht="15" hidden="false" customHeight="true" outlineLevel="0" collapsed="false">
      <c r="A122" s="16"/>
      <c r="B122" s="17"/>
      <c r="C122" s="18"/>
      <c r="D122" s="18"/>
      <c r="E122" s="19"/>
      <c r="F122" s="20" t="n">
        <f aca="false">IF($C122=0,0,$C122-$D122)</f>
        <v>0</v>
      </c>
      <c r="G122" s="20" t="n">
        <f aca="false">IF($F122=0,0,$F122*$E122)</f>
        <v>0</v>
      </c>
      <c r="H122" s="20" t="n">
        <f aca="false">$F122-$G122</f>
        <v>0</v>
      </c>
      <c r="I122" s="16"/>
    </row>
    <row r="123" customFormat="false" ht="15" hidden="false" customHeight="true" outlineLevel="0" collapsed="false">
      <c r="A123" s="16"/>
      <c r="B123" s="17"/>
      <c r="C123" s="18"/>
      <c r="D123" s="18"/>
      <c r="E123" s="19"/>
      <c r="F123" s="20" t="n">
        <f aca="false">IF($C123=0,0,$C123-$D123)</f>
        <v>0</v>
      </c>
      <c r="G123" s="20" t="n">
        <f aca="false">IF($F123=0,0,$F123*$E123)</f>
        <v>0</v>
      </c>
      <c r="H123" s="20" t="n">
        <f aca="false">$F123-$G123</f>
        <v>0</v>
      </c>
      <c r="I123" s="16"/>
    </row>
    <row r="124" customFormat="false" ht="15" hidden="false" customHeight="true" outlineLevel="0" collapsed="false">
      <c r="A124" s="16"/>
      <c r="B124" s="17"/>
      <c r="C124" s="18"/>
      <c r="D124" s="18"/>
      <c r="E124" s="19"/>
      <c r="F124" s="20" t="n">
        <f aca="false">IF($C124=0,0,$C124-$D124)</f>
        <v>0</v>
      </c>
      <c r="G124" s="20" t="n">
        <f aca="false">IF($F124=0,0,$F124*$E124)</f>
        <v>0</v>
      </c>
      <c r="H124" s="20" t="n">
        <f aca="false">$F124-$G124</f>
        <v>0</v>
      </c>
      <c r="I124" s="16"/>
    </row>
    <row r="125" customFormat="false" ht="15" hidden="false" customHeight="true" outlineLevel="0" collapsed="false">
      <c r="A125" s="16"/>
      <c r="B125" s="17"/>
      <c r="C125" s="18"/>
      <c r="D125" s="18"/>
      <c r="E125" s="19"/>
      <c r="F125" s="20" t="n">
        <f aca="false">IF($C125=0,0,$C125-$D125)</f>
        <v>0</v>
      </c>
      <c r="G125" s="20" t="n">
        <f aca="false">IF($F125=0,0,$F125*$E125)</f>
        <v>0</v>
      </c>
      <c r="H125" s="20" t="n">
        <f aca="false">$F125-$G125</f>
        <v>0</v>
      </c>
      <c r="I125" s="16"/>
    </row>
    <row r="126" customFormat="false" ht="15" hidden="false" customHeight="true" outlineLevel="0" collapsed="false">
      <c r="A126" s="16"/>
      <c r="B126" s="17"/>
      <c r="C126" s="18"/>
      <c r="D126" s="18"/>
      <c r="E126" s="19"/>
      <c r="F126" s="20" t="n">
        <f aca="false">IF($C126=0,0,$C126-$D126)</f>
        <v>0</v>
      </c>
      <c r="G126" s="20" t="n">
        <f aca="false">IF($F126=0,0,$F126*$E126)</f>
        <v>0</v>
      </c>
      <c r="H126" s="20" t="n">
        <f aca="false">$F126-$G126</f>
        <v>0</v>
      </c>
      <c r="I126" s="16"/>
    </row>
    <row r="127" customFormat="false" ht="15" hidden="false" customHeight="true" outlineLevel="0" collapsed="false">
      <c r="A127" s="16"/>
      <c r="B127" s="17"/>
      <c r="C127" s="18"/>
      <c r="D127" s="18"/>
      <c r="E127" s="19"/>
      <c r="F127" s="20" t="n">
        <f aca="false">IF($C127=0,0,$C127-$D127)</f>
        <v>0</v>
      </c>
      <c r="G127" s="20" t="n">
        <f aca="false">IF($F127=0,0,$F127*$E127)</f>
        <v>0</v>
      </c>
      <c r="H127" s="20" t="n">
        <f aca="false">$F127-$G127</f>
        <v>0</v>
      </c>
      <c r="I127" s="16"/>
    </row>
    <row r="128" customFormat="false" ht="15" hidden="false" customHeight="true" outlineLevel="0" collapsed="false">
      <c r="A128" s="16"/>
      <c r="B128" s="17"/>
      <c r="C128" s="18"/>
      <c r="D128" s="18"/>
      <c r="E128" s="19"/>
      <c r="F128" s="20" t="n">
        <f aca="false">IF($C128=0,0,$C128-$D128)</f>
        <v>0</v>
      </c>
      <c r="G128" s="20" t="n">
        <f aca="false">IF($F128=0,0,$F128*$E128)</f>
        <v>0</v>
      </c>
      <c r="H128" s="20" t="n">
        <f aca="false">$F128-$G128</f>
        <v>0</v>
      </c>
      <c r="I128" s="16"/>
    </row>
    <row r="129" customFormat="false" ht="15" hidden="false" customHeight="true" outlineLevel="0" collapsed="false">
      <c r="A129" s="16"/>
      <c r="B129" s="17"/>
      <c r="C129" s="18"/>
      <c r="D129" s="18"/>
      <c r="E129" s="19"/>
      <c r="F129" s="20" t="n">
        <f aca="false">IF($C129=0,0,$C129-$D129)</f>
        <v>0</v>
      </c>
      <c r="G129" s="20" t="n">
        <f aca="false">IF($F129=0,0,$F129*$E129)</f>
        <v>0</v>
      </c>
      <c r="H129" s="20" t="n">
        <f aca="false">$F129-$G129</f>
        <v>0</v>
      </c>
      <c r="I129" s="16"/>
    </row>
    <row r="130" customFormat="false" ht="15" hidden="false" customHeight="true" outlineLevel="0" collapsed="false">
      <c r="A130" s="16"/>
      <c r="B130" s="17"/>
      <c r="C130" s="18"/>
      <c r="D130" s="18"/>
      <c r="E130" s="19"/>
      <c r="F130" s="20" t="n">
        <f aca="false">IF($C130=0,0,$C130-$D130)</f>
        <v>0</v>
      </c>
      <c r="G130" s="20" t="n">
        <f aca="false">IF($F130=0,0,$F130*$E130)</f>
        <v>0</v>
      </c>
      <c r="H130" s="20" t="n">
        <f aca="false">$F130-$G130</f>
        <v>0</v>
      </c>
      <c r="I130" s="16"/>
    </row>
    <row r="131" customFormat="false" ht="15" hidden="false" customHeight="true" outlineLevel="0" collapsed="false">
      <c r="A131" s="16"/>
      <c r="B131" s="17"/>
      <c r="C131" s="18"/>
      <c r="D131" s="18"/>
      <c r="E131" s="19"/>
      <c r="F131" s="20" t="n">
        <f aca="false">IF($C131=0,0,$C131-$D131)</f>
        <v>0</v>
      </c>
      <c r="G131" s="20" t="n">
        <f aca="false">IF($F131=0,0,$F131*$E131)</f>
        <v>0</v>
      </c>
      <c r="H131" s="20" t="n">
        <f aca="false">$F131-$G131</f>
        <v>0</v>
      </c>
      <c r="I131" s="16"/>
    </row>
    <row r="132" customFormat="false" ht="15" hidden="false" customHeight="true" outlineLevel="0" collapsed="false">
      <c r="A132" s="16"/>
      <c r="B132" s="17"/>
      <c r="C132" s="18"/>
      <c r="D132" s="18"/>
      <c r="E132" s="19"/>
      <c r="F132" s="20" t="n">
        <f aca="false">IF($C132=0,0,$C132-$D132)</f>
        <v>0</v>
      </c>
      <c r="G132" s="20" t="n">
        <f aca="false">IF($F132=0,0,$F132*$E132)</f>
        <v>0</v>
      </c>
      <c r="H132" s="20" t="n">
        <f aca="false">$F132-$G132</f>
        <v>0</v>
      </c>
      <c r="I132" s="16"/>
    </row>
    <row r="133" customFormat="false" ht="15" hidden="false" customHeight="true" outlineLevel="0" collapsed="false">
      <c r="A133" s="16"/>
      <c r="B133" s="17"/>
      <c r="C133" s="18"/>
      <c r="D133" s="18"/>
      <c r="E133" s="19"/>
      <c r="F133" s="20" t="n">
        <f aca="false">IF($C133=0,0,$C133-$D133)</f>
        <v>0</v>
      </c>
      <c r="G133" s="20" t="n">
        <f aca="false">IF($F133=0,0,$F133*$E133)</f>
        <v>0</v>
      </c>
      <c r="H133" s="20" t="n">
        <f aca="false">$F133-$G133</f>
        <v>0</v>
      </c>
      <c r="I133" s="16"/>
    </row>
    <row r="134" customFormat="false" ht="15" hidden="false" customHeight="true" outlineLevel="0" collapsed="false">
      <c r="A134" s="16"/>
      <c r="B134" s="17"/>
      <c r="C134" s="18"/>
      <c r="D134" s="18"/>
      <c r="E134" s="19"/>
      <c r="F134" s="20" t="n">
        <f aca="false">IF($C134=0,0,$C134-$D134)</f>
        <v>0</v>
      </c>
      <c r="G134" s="20" t="n">
        <f aca="false">IF($F134=0,0,$F134*$E134)</f>
        <v>0</v>
      </c>
      <c r="H134" s="20" t="n">
        <f aca="false">$F134-$G134</f>
        <v>0</v>
      </c>
      <c r="I134" s="16"/>
    </row>
    <row r="135" customFormat="false" ht="15" hidden="false" customHeight="true" outlineLevel="0" collapsed="false">
      <c r="A135" s="16"/>
      <c r="B135" s="17"/>
      <c r="C135" s="18"/>
      <c r="D135" s="18"/>
      <c r="E135" s="19"/>
      <c r="F135" s="20" t="n">
        <f aca="false">IF($C135=0,0,$C135-$D135)</f>
        <v>0</v>
      </c>
      <c r="G135" s="20" t="n">
        <f aca="false">IF($F135=0,0,$F135*$E135)</f>
        <v>0</v>
      </c>
      <c r="H135" s="20" t="n">
        <f aca="false">$F135-$G135</f>
        <v>0</v>
      </c>
      <c r="I135" s="16"/>
    </row>
    <row r="136" customFormat="false" ht="15" hidden="false" customHeight="true" outlineLevel="0" collapsed="false">
      <c r="A136" s="16"/>
      <c r="B136" s="17"/>
      <c r="C136" s="18"/>
      <c r="D136" s="18"/>
      <c r="E136" s="19"/>
      <c r="F136" s="20" t="n">
        <f aca="false">IF($C136=0,0,$C136-$D136)</f>
        <v>0</v>
      </c>
      <c r="G136" s="20" t="n">
        <f aca="false">IF($F136=0,0,$F136*$E136)</f>
        <v>0</v>
      </c>
      <c r="H136" s="20" t="n">
        <f aca="false">$F136-$G136</f>
        <v>0</v>
      </c>
      <c r="I136" s="16"/>
    </row>
    <row r="137" customFormat="false" ht="15" hidden="false" customHeight="true" outlineLevel="0" collapsed="false">
      <c r="A137" s="16"/>
      <c r="B137" s="17"/>
      <c r="C137" s="18"/>
      <c r="D137" s="18"/>
      <c r="E137" s="19"/>
      <c r="F137" s="20" t="n">
        <f aca="false">IF($C137=0,0,$C137-$D137)</f>
        <v>0</v>
      </c>
      <c r="G137" s="20" t="n">
        <f aca="false">IF($F137=0,0,$F137*$E137)</f>
        <v>0</v>
      </c>
      <c r="H137" s="20" t="n">
        <f aca="false">$F137-$G137</f>
        <v>0</v>
      </c>
      <c r="I137" s="16"/>
    </row>
    <row r="138" customFormat="false" ht="15" hidden="false" customHeight="true" outlineLevel="0" collapsed="false">
      <c r="A138" s="16"/>
      <c r="B138" s="17"/>
      <c r="C138" s="18"/>
      <c r="D138" s="18"/>
      <c r="E138" s="19"/>
      <c r="F138" s="20" t="n">
        <f aca="false">IF($C138=0,0,$C138-$D138)</f>
        <v>0</v>
      </c>
      <c r="G138" s="20" t="n">
        <f aca="false">IF($F138=0,0,$F138*$E138)</f>
        <v>0</v>
      </c>
      <c r="H138" s="20" t="n">
        <f aca="false">$F138-$G138</f>
        <v>0</v>
      </c>
      <c r="I138" s="16"/>
    </row>
    <row r="139" customFormat="false" ht="15" hidden="false" customHeight="true" outlineLevel="0" collapsed="false">
      <c r="A139" s="16"/>
      <c r="B139" s="17"/>
      <c r="C139" s="18"/>
      <c r="D139" s="18"/>
      <c r="E139" s="19"/>
      <c r="F139" s="20" t="n">
        <f aca="false">IF($C139=0,0,$C139-$D139)</f>
        <v>0</v>
      </c>
      <c r="G139" s="20" t="n">
        <f aca="false">IF($F139=0,0,$F139*$E139)</f>
        <v>0</v>
      </c>
      <c r="H139" s="20" t="n">
        <f aca="false">$F139-$G139</f>
        <v>0</v>
      </c>
      <c r="I139" s="16"/>
    </row>
    <row r="140" customFormat="false" ht="15" hidden="false" customHeight="true" outlineLevel="0" collapsed="false">
      <c r="A140" s="16"/>
      <c r="B140" s="17"/>
      <c r="C140" s="18"/>
      <c r="D140" s="18"/>
      <c r="E140" s="19"/>
      <c r="F140" s="20" t="n">
        <f aca="false">IF($C140=0,0,$C140-$D140)</f>
        <v>0</v>
      </c>
      <c r="G140" s="20" t="n">
        <f aca="false">IF($F140=0,0,$F140*$E140)</f>
        <v>0</v>
      </c>
      <c r="H140" s="20" t="n">
        <f aca="false">$F140-$G140</f>
        <v>0</v>
      </c>
      <c r="I140" s="16"/>
    </row>
    <row r="141" customFormat="false" ht="15" hidden="false" customHeight="true" outlineLevel="0" collapsed="false">
      <c r="A141" s="16"/>
      <c r="B141" s="17"/>
      <c r="C141" s="18"/>
      <c r="D141" s="18"/>
      <c r="E141" s="19"/>
      <c r="F141" s="20" t="n">
        <f aca="false">IF($C141=0,0,$C141-$D141)</f>
        <v>0</v>
      </c>
      <c r="G141" s="20" t="n">
        <f aca="false">IF($F141=0,0,$F141*$E141)</f>
        <v>0</v>
      </c>
      <c r="H141" s="20" t="n">
        <f aca="false">$F141-$G141</f>
        <v>0</v>
      </c>
      <c r="I141" s="16"/>
    </row>
    <row r="142" customFormat="false" ht="15" hidden="false" customHeight="true" outlineLevel="0" collapsed="false">
      <c r="A142" s="16"/>
      <c r="B142" s="17"/>
      <c r="C142" s="18"/>
      <c r="D142" s="18"/>
      <c r="E142" s="19"/>
      <c r="F142" s="20" t="n">
        <f aca="false">IF($C142=0,0,$C142-$D142)</f>
        <v>0</v>
      </c>
      <c r="G142" s="20" t="n">
        <f aca="false">IF($F142=0,0,$F142*$E142)</f>
        <v>0</v>
      </c>
      <c r="H142" s="20" t="n">
        <f aca="false">$F142-$G142</f>
        <v>0</v>
      </c>
      <c r="I142" s="16"/>
    </row>
    <row r="143" customFormat="false" ht="15" hidden="false" customHeight="true" outlineLevel="0" collapsed="false">
      <c r="A143" s="16"/>
      <c r="B143" s="17"/>
      <c r="C143" s="18"/>
      <c r="D143" s="18"/>
      <c r="E143" s="19"/>
      <c r="F143" s="20" t="n">
        <f aca="false">IF($C143=0,0,$C143-$D143)</f>
        <v>0</v>
      </c>
      <c r="G143" s="20" t="n">
        <f aca="false">IF($F143=0,0,$F143*$E143)</f>
        <v>0</v>
      </c>
      <c r="H143" s="20" t="n">
        <f aca="false">$F143-$G143</f>
        <v>0</v>
      </c>
      <c r="I143" s="16"/>
    </row>
    <row r="144" customFormat="false" ht="15" hidden="false" customHeight="true" outlineLevel="0" collapsed="false">
      <c r="A144" s="16"/>
      <c r="B144" s="17"/>
      <c r="C144" s="18"/>
      <c r="D144" s="18"/>
      <c r="E144" s="19"/>
      <c r="F144" s="20" t="n">
        <f aca="false">IF($C144=0,0,$C144-$D144)</f>
        <v>0</v>
      </c>
      <c r="G144" s="20" t="n">
        <f aca="false">IF($F144=0,0,$F144*$E144)</f>
        <v>0</v>
      </c>
      <c r="H144" s="20" t="n">
        <f aca="false">$F144-$G144</f>
        <v>0</v>
      </c>
      <c r="I144" s="16"/>
    </row>
    <row r="145" customFormat="false" ht="15" hidden="false" customHeight="true" outlineLevel="0" collapsed="false">
      <c r="A145" s="16"/>
      <c r="B145" s="17"/>
      <c r="C145" s="18"/>
      <c r="D145" s="18"/>
      <c r="E145" s="19"/>
      <c r="F145" s="20" t="n">
        <f aca="false">IF($C145=0,0,$C145-$D145)</f>
        <v>0</v>
      </c>
      <c r="G145" s="20" t="n">
        <f aca="false">IF($F145=0,0,$F145*$E145)</f>
        <v>0</v>
      </c>
      <c r="H145" s="20" t="n">
        <f aca="false">$F145-$G145</f>
        <v>0</v>
      </c>
      <c r="I145" s="16"/>
    </row>
    <row r="146" customFormat="false" ht="15" hidden="false" customHeight="true" outlineLevel="0" collapsed="false">
      <c r="A146" s="16"/>
      <c r="B146" s="17"/>
      <c r="C146" s="18"/>
      <c r="D146" s="18"/>
      <c r="E146" s="19"/>
      <c r="F146" s="20" t="n">
        <f aca="false">IF($C146=0,0,$C146-$D146)</f>
        <v>0</v>
      </c>
      <c r="G146" s="20" t="n">
        <f aca="false">IF($F146=0,0,$F146*$E146)</f>
        <v>0</v>
      </c>
      <c r="H146" s="20" t="n">
        <f aca="false">$F146-$G146</f>
        <v>0</v>
      </c>
      <c r="I146" s="16"/>
    </row>
    <row r="147" customFormat="false" ht="15" hidden="false" customHeight="true" outlineLevel="0" collapsed="false">
      <c r="A147" s="16"/>
      <c r="B147" s="17"/>
      <c r="C147" s="18"/>
      <c r="D147" s="18"/>
      <c r="E147" s="19"/>
      <c r="F147" s="20" t="n">
        <f aca="false">IF($C147=0,0,$C147-$D147)</f>
        <v>0</v>
      </c>
      <c r="G147" s="20" t="n">
        <f aca="false">IF($F147=0,0,$F147*$E147)</f>
        <v>0</v>
      </c>
      <c r="H147" s="20" t="n">
        <f aca="false">$F147-$G147</f>
        <v>0</v>
      </c>
      <c r="I147" s="16"/>
    </row>
    <row r="148" customFormat="false" ht="15" hidden="false" customHeight="true" outlineLevel="0" collapsed="false">
      <c r="A148" s="16"/>
      <c r="B148" s="17"/>
      <c r="C148" s="18"/>
      <c r="D148" s="18"/>
      <c r="E148" s="19"/>
      <c r="F148" s="20" t="n">
        <f aca="false">IF($C148=0,0,$C148-$D148)</f>
        <v>0</v>
      </c>
      <c r="G148" s="20" t="n">
        <f aca="false">IF($F148=0,0,$F148*$E148)</f>
        <v>0</v>
      </c>
      <c r="H148" s="20" t="n">
        <f aca="false">$F148-$G148</f>
        <v>0</v>
      </c>
      <c r="I148" s="16"/>
    </row>
    <row r="149" customFormat="false" ht="15" hidden="false" customHeight="true" outlineLevel="0" collapsed="false">
      <c r="A149" s="16"/>
      <c r="B149" s="17"/>
      <c r="C149" s="18"/>
      <c r="D149" s="18"/>
      <c r="E149" s="19"/>
      <c r="F149" s="20" t="n">
        <f aca="false">IF($C149=0,0,$C149-$D149)</f>
        <v>0</v>
      </c>
      <c r="G149" s="20" t="n">
        <f aca="false">IF($F149=0,0,$F149*$E149)</f>
        <v>0</v>
      </c>
      <c r="H149" s="20" t="n">
        <f aca="false">$F149-$G149</f>
        <v>0</v>
      </c>
      <c r="I149" s="16"/>
    </row>
    <row r="150" customFormat="false" ht="15" hidden="false" customHeight="true" outlineLevel="0" collapsed="false">
      <c r="A150" s="16"/>
      <c r="B150" s="17"/>
      <c r="C150" s="18"/>
      <c r="D150" s="18"/>
      <c r="E150" s="19"/>
      <c r="F150" s="20" t="n">
        <f aca="false">IF($C150=0,0,$C150-$D150)</f>
        <v>0</v>
      </c>
      <c r="G150" s="20" t="n">
        <f aca="false">IF($F150=0,0,$F150*$E150)</f>
        <v>0</v>
      </c>
      <c r="H150" s="20" t="n">
        <f aca="false">$F150-$G150</f>
        <v>0</v>
      </c>
      <c r="I150" s="16"/>
    </row>
    <row r="151" customFormat="false" ht="15" hidden="false" customHeight="true" outlineLevel="0" collapsed="false">
      <c r="A151" s="16"/>
      <c r="B151" s="17"/>
      <c r="C151" s="18"/>
      <c r="D151" s="18"/>
      <c r="E151" s="19"/>
      <c r="F151" s="20" t="n">
        <f aca="false">IF($C151=0,0,$C151-$D151)</f>
        <v>0</v>
      </c>
      <c r="G151" s="20" t="n">
        <f aca="false">IF($F151=0,0,$F151*$E151)</f>
        <v>0</v>
      </c>
      <c r="H151" s="20" t="n">
        <f aca="false">$F151-$G151</f>
        <v>0</v>
      </c>
      <c r="I151" s="16"/>
    </row>
    <row r="152" customFormat="false" ht="15" hidden="false" customHeight="true" outlineLevel="0" collapsed="false">
      <c r="A152" s="16"/>
      <c r="B152" s="17"/>
      <c r="C152" s="18"/>
      <c r="D152" s="18"/>
      <c r="E152" s="19"/>
      <c r="F152" s="20" t="n">
        <f aca="false">IF($C152=0,0,$C152-$D152)</f>
        <v>0</v>
      </c>
      <c r="G152" s="20" t="n">
        <f aca="false">IF($F152=0,0,$F152*$E152)</f>
        <v>0</v>
      </c>
      <c r="H152" s="20" t="n">
        <f aca="false">$F152-$G152</f>
        <v>0</v>
      </c>
      <c r="I152" s="16"/>
    </row>
    <row r="153" customFormat="false" ht="15" hidden="false" customHeight="true" outlineLevel="0" collapsed="false">
      <c r="A153" s="16"/>
      <c r="B153" s="17"/>
      <c r="C153" s="18"/>
      <c r="D153" s="18"/>
      <c r="E153" s="19"/>
      <c r="F153" s="20" t="n">
        <f aca="false">IF($C153=0,0,$C153-$D153)</f>
        <v>0</v>
      </c>
      <c r="G153" s="20" t="n">
        <f aca="false">IF($F153=0,0,$F153*$E153)</f>
        <v>0</v>
      </c>
      <c r="H153" s="20" t="n">
        <f aca="false">$F153-$G153</f>
        <v>0</v>
      </c>
      <c r="I153" s="16"/>
    </row>
    <row r="154" customFormat="false" ht="15" hidden="false" customHeight="true" outlineLevel="0" collapsed="false">
      <c r="A154" s="16"/>
      <c r="B154" s="17"/>
      <c r="C154" s="18"/>
      <c r="D154" s="18"/>
      <c r="E154" s="19"/>
      <c r="F154" s="20" t="n">
        <f aca="false">IF($C154=0,0,$C154-$D154)</f>
        <v>0</v>
      </c>
      <c r="G154" s="20" t="n">
        <f aca="false">IF($F154=0,0,$F154*$E154)</f>
        <v>0</v>
      </c>
      <c r="H154" s="20" t="n">
        <f aca="false">$F154-$G154</f>
        <v>0</v>
      </c>
      <c r="I154" s="16"/>
    </row>
    <row r="155" customFormat="false" ht="15" hidden="false" customHeight="true" outlineLevel="0" collapsed="false">
      <c r="A155" s="16"/>
      <c r="B155" s="17"/>
      <c r="C155" s="18"/>
      <c r="D155" s="18"/>
      <c r="E155" s="19"/>
      <c r="F155" s="20" t="n">
        <f aca="false">IF($C155=0,0,$C155-$D155)</f>
        <v>0</v>
      </c>
      <c r="G155" s="20" t="n">
        <f aca="false">IF($F155=0,0,$F155*$E155)</f>
        <v>0</v>
      </c>
      <c r="H155" s="20" t="n">
        <f aca="false">$F155-$G155</f>
        <v>0</v>
      </c>
      <c r="I155" s="16"/>
    </row>
    <row r="156" customFormat="false" ht="15" hidden="false" customHeight="true" outlineLevel="0" collapsed="false">
      <c r="A156" s="16"/>
      <c r="B156" s="17"/>
      <c r="C156" s="18"/>
      <c r="D156" s="18"/>
      <c r="E156" s="19"/>
      <c r="F156" s="20" t="n">
        <f aca="false">IF($C156=0,0,$C156-$D156)</f>
        <v>0</v>
      </c>
      <c r="G156" s="20" t="n">
        <f aca="false">IF($F156=0,0,$F156*$E156)</f>
        <v>0</v>
      </c>
      <c r="H156" s="20" t="n">
        <f aca="false">$F156-$G156</f>
        <v>0</v>
      </c>
      <c r="I156" s="16"/>
    </row>
    <row r="157" customFormat="false" ht="15" hidden="false" customHeight="true" outlineLevel="0" collapsed="false">
      <c r="A157" s="16"/>
      <c r="B157" s="17"/>
      <c r="C157" s="18"/>
      <c r="D157" s="18"/>
      <c r="E157" s="19"/>
      <c r="F157" s="20" t="n">
        <f aca="false">IF($C157=0,0,$C157-$D157)</f>
        <v>0</v>
      </c>
      <c r="G157" s="20" t="n">
        <f aca="false">IF($F157=0,0,$F157*$E157)</f>
        <v>0</v>
      </c>
      <c r="H157" s="20" t="n">
        <f aca="false">$F157-$G157</f>
        <v>0</v>
      </c>
      <c r="I157" s="16"/>
    </row>
    <row r="158" customFormat="false" ht="15" hidden="false" customHeight="true" outlineLevel="0" collapsed="false">
      <c r="A158" s="16"/>
      <c r="B158" s="17"/>
      <c r="C158" s="18"/>
      <c r="D158" s="18"/>
      <c r="E158" s="19"/>
      <c r="F158" s="20" t="n">
        <f aca="false">IF($C158=0,0,$C158-$D158)</f>
        <v>0</v>
      </c>
      <c r="G158" s="20" t="n">
        <f aca="false">IF($F158=0,0,$F158*$E158)</f>
        <v>0</v>
      </c>
      <c r="H158" s="20" t="n">
        <f aca="false">$F158-$G158</f>
        <v>0</v>
      </c>
      <c r="I158" s="16"/>
    </row>
    <row r="159" customFormat="false" ht="15" hidden="false" customHeight="true" outlineLevel="0" collapsed="false">
      <c r="A159" s="16"/>
      <c r="B159" s="17"/>
      <c r="C159" s="18"/>
      <c r="D159" s="18"/>
      <c r="E159" s="19"/>
      <c r="F159" s="20" t="n">
        <f aca="false">IF($C159=0,0,$C159-$D159)</f>
        <v>0</v>
      </c>
      <c r="G159" s="20" t="n">
        <f aca="false">IF($F159=0,0,$F159*$E159)</f>
        <v>0</v>
      </c>
      <c r="H159" s="20" t="n">
        <f aca="false">$F159-$G159</f>
        <v>0</v>
      </c>
      <c r="I159" s="16"/>
    </row>
    <row r="160" customFormat="false" ht="15" hidden="false" customHeight="true" outlineLevel="0" collapsed="false">
      <c r="A160" s="16"/>
      <c r="B160" s="17"/>
      <c r="C160" s="18"/>
      <c r="D160" s="18"/>
      <c r="E160" s="19"/>
      <c r="F160" s="20" t="n">
        <f aca="false">IF($C160=0,0,$C160-$D160)</f>
        <v>0</v>
      </c>
      <c r="G160" s="20" t="n">
        <f aca="false">IF($F160=0,0,$F160*$E160)</f>
        <v>0</v>
      </c>
      <c r="H160" s="20" t="n">
        <f aca="false">$F160-$G160</f>
        <v>0</v>
      </c>
      <c r="I160" s="16"/>
    </row>
    <row r="161" customFormat="false" ht="15" hidden="false" customHeight="true" outlineLevel="0" collapsed="false">
      <c r="A161" s="16"/>
      <c r="B161" s="17"/>
      <c r="C161" s="18"/>
      <c r="D161" s="18"/>
      <c r="E161" s="19"/>
      <c r="F161" s="20" t="n">
        <f aca="false">IF($C161=0,0,$C161-$D161)</f>
        <v>0</v>
      </c>
      <c r="G161" s="20" t="n">
        <f aca="false">IF($F161=0,0,$F161*$E161)</f>
        <v>0</v>
      </c>
      <c r="H161" s="20" t="n">
        <f aca="false">$F161-$G161</f>
        <v>0</v>
      </c>
      <c r="I161" s="16"/>
    </row>
    <row r="162" customFormat="false" ht="15" hidden="false" customHeight="true" outlineLevel="0" collapsed="false">
      <c r="A162" s="16"/>
      <c r="B162" s="17"/>
      <c r="C162" s="18"/>
      <c r="D162" s="18"/>
      <c r="E162" s="19"/>
      <c r="F162" s="20" t="n">
        <f aca="false">IF($C162=0,0,$C162-$D162)</f>
        <v>0</v>
      </c>
      <c r="G162" s="20" t="n">
        <f aca="false">IF($F162=0,0,$F162*$E162)</f>
        <v>0</v>
      </c>
      <c r="H162" s="20" t="n">
        <f aca="false">$F162-$G162</f>
        <v>0</v>
      </c>
      <c r="I162" s="16"/>
    </row>
    <row r="163" customFormat="false" ht="15" hidden="false" customHeight="true" outlineLevel="0" collapsed="false">
      <c r="A163" s="16"/>
      <c r="B163" s="17"/>
      <c r="C163" s="18"/>
      <c r="D163" s="18"/>
      <c r="E163" s="19"/>
      <c r="F163" s="20" t="n">
        <f aca="false">IF($C163=0,0,$C163-$D163)</f>
        <v>0</v>
      </c>
      <c r="G163" s="20" t="n">
        <f aca="false">IF($F163=0,0,$F163*$E163)</f>
        <v>0</v>
      </c>
      <c r="H163" s="20" t="n">
        <f aca="false">$F163-$G163</f>
        <v>0</v>
      </c>
      <c r="I163" s="16"/>
    </row>
    <row r="164" customFormat="false" ht="15" hidden="false" customHeight="true" outlineLevel="0" collapsed="false">
      <c r="A164" s="16"/>
      <c r="B164" s="17"/>
      <c r="C164" s="18"/>
      <c r="D164" s="18"/>
      <c r="E164" s="19"/>
      <c r="F164" s="20" t="n">
        <f aca="false">IF($C164=0,0,$C164-$D164)</f>
        <v>0</v>
      </c>
      <c r="G164" s="20" t="n">
        <f aca="false">IF($F164=0,0,$F164*$E164)</f>
        <v>0</v>
      </c>
      <c r="H164" s="20" t="n">
        <f aca="false">$F164-$G164</f>
        <v>0</v>
      </c>
      <c r="I164" s="16"/>
    </row>
    <row r="165" customFormat="false" ht="15" hidden="false" customHeight="true" outlineLevel="0" collapsed="false">
      <c r="A165" s="16"/>
      <c r="B165" s="17"/>
      <c r="C165" s="18"/>
      <c r="D165" s="18"/>
      <c r="E165" s="19"/>
      <c r="F165" s="20" t="n">
        <f aca="false">IF($C165=0,0,$C165-$D165)</f>
        <v>0</v>
      </c>
      <c r="G165" s="20" t="n">
        <f aca="false">IF($F165=0,0,$F165*$E165)</f>
        <v>0</v>
      </c>
      <c r="H165" s="20" t="n">
        <f aca="false">$F165-$G165</f>
        <v>0</v>
      </c>
      <c r="I165" s="16"/>
    </row>
    <row r="166" customFormat="false" ht="15" hidden="false" customHeight="true" outlineLevel="0" collapsed="false">
      <c r="A166" s="16"/>
      <c r="B166" s="17"/>
      <c r="C166" s="18"/>
      <c r="D166" s="18"/>
      <c r="E166" s="19"/>
      <c r="F166" s="20" t="n">
        <f aca="false">IF($C166=0,0,$C166-$D166)</f>
        <v>0</v>
      </c>
      <c r="G166" s="20" t="n">
        <f aca="false">IF($F166=0,0,$F166*$E166)</f>
        <v>0</v>
      </c>
      <c r="H166" s="20" t="n">
        <f aca="false">$F166-$G166</f>
        <v>0</v>
      </c>
      <c r="I166" s="16"/>
    </row>
    <row r="167" customFormat="false" ht="15" hidden="false" customHeight="true" outlineLevel="0" collapsed="false">
      <c r="A167" s="16"/>
      <c r="B167" s="17"/>
      <c r="C167" s="18"/>
      <c r="D167" s="18"/>
      <c r="E167" s="19"/>
      <c r="F167" s="20" t="n">
        <f aca="false">IF($C167=0,0,$C167-$D167)</f>
        <v>0</v>
      </c>
      <c r="G167" s="20" t="n">
        <f aca="false">IF($F167=0,0,$F167*$E167)</f>
        <v>0</v>
      </c>
      <c r="H167" s="20" t="n">
        <f aca="false">$F167-$G167</f>
        <v>0</v>
      </c>
      <c r="I167" s="16"/>
    </row>
    <row r="168" customFormat="false" ht="15" hidden="false" customHeight="true" outlineLevel="0" collapsed="false">
      <c r="A168" s="16"/>
      <c r="B168" s="17"/>
      <c r="C168" s="18"/>
      <c r="D168" s="18"/>
      <c r="E168" s="19"/>
      <c r="F168" s="20" t="n">
        <f aca="false">IF($C168=0,0,$C168-$D168)</f>
        <v>0</v>
      </c>
      <c r="G168" s="20" t="n">
        <f aca="false">IF($F168=0,0,$F168*$E168)</f>
        <v>0</v>
      </c>
      <c r="H168" s="20" t="n">
        <f aca="false">$F168-$G168</f>
        <v>0</v>
      </c>
      <c r="I168" s="16"/>
    </row>
    <row r="169" customFormat="false" ht="15" hidden="false" customHeight="true" outlineLevel="0" collapsed="false">
      <c r="A169" s="16"/>
      <c r="B169" s="17"/>
      <c r="C169" s="18"/>
      <c r="D169" s="18"/>
      <c r="E169" s="19"/>
      <c r="F169" s="20" t="n">
        <f aca="false">IF($C169=0,0,$C169-$D169)</f>
        <v>0</v>
      </c>
      <c r="G169" s="20" t="n">
        <f aca="false">IF($F169=0,0,$F169*$E169)</f>
        <v>0</v>
      </c>
      <c r="H169" s="20" t="n">
        <f aca="false">$F169-$G169</f>
        <v>0</v>
      </c>
      <c r="I169" s="16"/>
    </row>
    <row r="170" customFormat="false" ht="15" hidden="false" customHeight="true" outlineLevel="0" collapsed="false">
      <c r="A170" s="16"/>
      <c r="B170" s="17"/>
      <c r="C170" s="18"/>
      <c r="D170" s="18"/>
      <c r="E170" s="19"/>
      <c r="F170" s="20" t="n">
        <f aca="false">IF($C170=0,0,$C170-$D170)</f>
        <v>0</v>
      </c>
      <c r="G170" s="20" t="n">
        <f aca="false">IF($F170=0,0,$F170*$E170)</f>
        <v>0</v>
      </c>
      <c r="H170" s="20" t="n">
        <f aca="false">$F170-$G170</f>
        <v>0</v>
      </c>
      <c r="I170" s="16"/>
    </row>
    <row r="171" customFormat="false" ht="15" hidden="false" customHeight="true" outlineLevel="0" collapsed="false">
      <c r="A171" s="16"/>
      <c r="B171" s="17"/>
      <c r="C171" s="18"/>
      <c r="D171" s="18"/>
      <c r="E171" s="19"/>
      <c r="F171" s="20" t="n">
        <f aca="false">IF($C171=0,0,$C171-$D171)</f>
        <v>0</v>
      </c>
      <c r="G171" s="20" t="n">
        <f aca="false">IF($F171=0,0,$F171*$E171)</f>
        <v>0</v>
      </c>
      <c r="H171" s="20" t="n">
        <f aca="false">$F171-$G171</f>
        <v>0</v>
      </c>
      <c r="I171" s="16"/>
    </row>
    <row r="172" customFormat="false" ht="15" hidden="false" customHeight="true" outlineLevel="0" collapsed="false">
      <c r="A172" s="16"/>
      <c r="B172" s="17"/>
      <c r="C172" s="18"/>
      <c r="D172" s="18"/>
      <c r="E172" s="19"/>
      <c r="F172" s="20" t="n">
        <f aca="false">IF($C172=0,0,$C172-$D172)</f>
        <v>0</v>
      </c>
      <c r="G172" s="20" t="n">
        <f aca="false">IF($F172=0,0,$F172*$E172)</f>
        <v>0</v>
      </c>
      <c r="H172" s="20" t="n">
        <f aca="false">$F172-$G172</f>
        <v>0</v>
      </c>
      <c r="I172" s="16"/>
    </row>
    <row r="173" customFormat="false" ht="15" hidden="false" customHeight="true" outlineLevel="0" collapsed="false">
      <c r="A173" s="16"/>
      <c r="B173" s="17"/>
      <c r="C173" s="18"/>
      <c r="D173" s="18"/>
      <c r="E173" s="19"/>
      <c r="F173" s="20" t="n">
        <f aca="false">IF($C173=0,0,$C173-$D173)</f>
        <v>0</v>
      </c>
      <c r="G173" s="20" t="n">
        <f aca="false">IF($F173=0,0,$F173*$E173)</f>
        <v>0</v>
      </c>
      <c r="H173" s="20" t="n">
        <f aca="false">$F173-$G173</f>
        <v>0</v>
      </c>
      <c r="I173" s="16"/>
    </row>
    <row r="174" customFormat="false" ht="15" hidden="false" customHeight="true" outlineLevel="0" collapsed="false">
      <c r="A174" s="16"/>
      <c r="B174" s="17"/>
      <c r="C174" s="18"/>
      <c r="D174" s="18"/>
      <c r="E174" s="19"/>
      <c r="F174" s="20" t="n">
        <f aca="false">IF($C174=0,0,$C174-$D174)</f>
        <v>0</v>
      </c>
      <c r="G174" s="20" t="n">
        <f aca="false">IF($F174=0,0,$F174*$E174)</f>
        <v>0</v>
      </c>
      <c r="H174" s="20" t="n">
        <f aca="false">$F174-$G174</f>
        <v>0</v>
      </c>
      <c r="I174" s="16"/>
    </row>
    <row r="175" customFormat="false" ht="15" hidden="false" customHeight="true" outlineLevel="0" collapsed="false">
      <c r="A175" s="16"/>
      <c r="B175" s="17"/>
      <c r="C175" s="18"/>
      <c r="D175" s="18"/>
      <c r="E175" s="19"/>
      <c r="F175" s="20" t="n">
        <f aca="false">IF($C175=0,0,$C175-$D175)</f>
        <v>0</v>
      </c>
      <c r="G175" s="20" t="n">
        <f aca="false">IF($F175=0,0,$F175*$E175)</f>
        <v>0</v>
      </c>
      <c r="H175" s="20" t="n">
        <f aca="false">$F175-$G175</f>
        <v>0</v>
      </c>
      <c r="I175" s="16"/>
    </row>
    <row r="176" customFormat="false" ht="15" hidden="false" customHeight="true" outlineLevel="0" collapsed="false">
      <c r="A176" s="16"/>
      <c r="B176" s="17"/>
      <c r="C176" s="18"/>
      <c r="D176" s="18"/>
      <c r="E176" s="19"/>
      <c r="F176" s="20" t="n">
        <f aca="false">IF($C176=0,0,$C176-$D176)</f>
        <v>0</v>
      </c>
      <c r="G176" s="20" t="n">
        <f aca="false">IF($F176=0,0,$F176*$E176)</f>
        <v>0</v>
      </c>
      <c r="H176" s="20" t="n">
        <f aca="false">$F176-$G176</f>
        <v>0</v>
      </c>
      <c r="I176" s="16"/>
    </row>
    <row r="177" customFormat="false" ht="15" hidden="false" customHeight="true" outlineLevel="0" collapsed="false">
      <c r="A177" s="16"/>
      <c r="B177" s="17"/>
      <c r="C177" s="18"/>
      <c r="D177" s="18"/>
      <c r="E177" s="19"/>
      <c r="F177" s="20" t="n">
        <f aca="false">IF($C177=0,0,$C177-$D177)</f>
        <v>0</v>
      </c>
      <c r="G177" s="20" t="n">
        <f aca="false">IF($F177=0,0,$F177*$E177)</f>
        <v>0</v>
      </c>
      <c r="H177" s="20" t="n">
        <f aca="false">$F177-$G177</f>
        <v>0</v>
      </c>
      <c r="I177" s="16"/>
    </row>
    <row r="178" customFormat="false" ht="15" hidden="false" customHeight="true" outlineLevel="0" collapsed="false">
      <c r="A178" s="16"/>
      <c r="B178" s="17"/>
      <c r="C178" s="18"/>
      <c r="D178" s="18"/>
      <c r="E178" s="19"/>
      <c r="F178" s="20" t="n">
        <f aca="false">IF($C178=0,0,$C178-$D178)</f>
        <v>0</v>
      </c>
      <c r="G178" s="20" t="n">
        <f aca="false">IF($F178=0,0,$F178*$E178)</f>
        <v>0</v>
      </c>
      <c r="H178" s="20" t="n">
        <f aca="false">$F178-$G178</f>
        <v>0</v>
      </c>
      <c r="I178" s="16"/>
    </row>
    <row r="179" customFormat="false" ht="15" hidden="false" customHeight="true" outlineLevel="0" collapsed="false">
      <c r="A179" s="16"/>
      <c r="B179" s="17"/>
      <c r="C179" s="18"/>
      <c r="D179" s="18"/>
      <c r="E179" s="19"/>
      <c r="F179" s="20" t="n">
        <f aca="false">IF($C179=0,0,$C179-$D179)</f>
        <v>0</v>
      </c>
      <c r="G179" s="20" t="n">
        <f aca="false">IF($F179=0,0,$F179*$E179)</f>
        <v>0</v>
      </c>
      <c r="H179" s="20" t="n">
        <f aca="false">$F179-$G179</f>
        <v>0</v>
      </c>
      <c r="I179" s="16"/>
    </row>
    <row r="180" customFormat="false" ht="15" hidden="false" customHeight="true" outlineLevel="0" collapsed="false">
      <c r="A180" s="16"/>
      <c r="B180" s="17"/>
      <c r="C180" s="18"/>
      <c r="D180" s="18"/>
      <c r="E180" s="19"/>
      <c r="F180" s="20" t="n">
        <f aca="false">IF($C180=0,0,$C180-$D180)</f>
        <v>0</v>
      </c>
      <c r="G180" s="20" t="n">
        <f aca="false">IF($F180=0,0,$F180*$E180)</f>
        <v>0</v>
      </c>
      <c r="H180" s="20" t="n">
        <f aca="false">$F180-$G180</f>
        <v>0</v>
      </c>
      <c r="I180" s="16"/>
    </row>
    <row r="181" customFormat="false" ht="15" hidden="false" customHeight="true" outlineLevel="0" collapsed="false">
      <c r="A181" s="16"/>
      <c r="B181" s="17"/>
      <c r="C181" s="18"/>
      <c r="D181" s="18"/>
      <c r="E181" s="19"/>
      <c r="F181" s="20" t="n">
        <f aca="false">IF($C181=0,0,$C181-$D181)</f>
        <v>0</v>
      </c>
      <c r="G181" s="20" t="n">
        <f aca="false">IF($F181=0,0,$F181*$E181)</f>
        <v>0</v>
      </c>
      <c r="H181" s="20" t="n">
        <f aca="false">$F181-$G181</f>
        <v>0</v>
      </c>
      <c r="I181" s="16"/>
    </row>
    <row r="182" customFormat="false" ht="15" hidden="false" customHeight="true" outlineLevel="0" collapsed="false">
      <c r="A182" s="16"/>
      <c r="B182" s="17"/>
      <c r="C182" s="18"/>
      <c r="D182" s="18"/>
      <c r="E182" s="19"/>
      <c r="F182" s="20" t="n">
        <f aca="false">IF($C182=0,0,$C182-$D182)</f>
        <v>0</v>
      </c>
      <c r="G182" s="20" t="n">
        <f aca="false">IF($F182=0,0,$F182*$E182)</f>
        <v>0</v>
      </c>
      <c r="H182" s="20" t="n">
        <f aca="false">$F182-$G182</f>
        <v>0</v>
      </c>
      <c r="I182" s="16"/>
    </row>
    <row r="183" customFormat="false" ht="15" hidden="false" customHeight="true" outlineLevel="0" collapsed="false">
      <c r="A183" s="16"/>
      <c r="B183" s="17"/>
      <c r="C183" s="18"/>
      <c r="D183" s="18"/>
      <c r="E183" s="19"/>
      <c r="F183" s="20" t="n">
        <f aca="false">IF($C183=0,0,$C183-$D183)</f>
        <v>0</v>
      </c>
      <c r="G183" s="20" t="n">
        <f aca="false">IF($F183=0,0,$F183*$E183)</f>
        <v>0</v>
      </c>
      <c r="H183" s="20" t="n">
        <f aca="false">$F183-$G183</f>
        <v>0</v>
      </c>
      <c r="I183" s="16"/>
    </row>
    <row r="184" customFormat="false" ht="15" hidden="false" customHeight="true" outlineLevel="0" collapsed="false">
      <c r="A184" s="16"/>
      <c r="B184" s="17"/>
      <c r="C184" s="18"/>
      <c r="D184" s="18"/>
      <c r="E184" s="19"/>
      <c r="F184" s="20" t="n">
        <f aca="false">IF($C184=0,0,$C184-$D184)</f>
        <v>0</v>
      </c>
      <c r="G184" s="20" t="n">
        <f aca="false">IF($F184=0,0,$F184*$E184)</f>
        <v>0</v>
      </c>
      <c r="H184" s="20" t="n">
        <f aca="false">$F184-$G184</f>
        <v>0</v>
      </c>
      <c r="I184" s="16"/>
    </row>
    <row r="185" customFormat="false" ht="15" hidden="false" customHeight="true" outlineLevel="0" collapsed="false">
      <c r="A185" s="16"/>
      <c r="B185" s="17"/>
      <c r="C185" s="18"/>
      <c r="D185" s="18"/>
      <c r="E185" s="19"/>
      <c r="F185" s="20" t="n">
        <f aca="false">IF($C185=0,0,$C185-$D185)</f>
        <v>0</v>
      </c>
      <c r="G185" s="20" t="n">
        <f aca="false">IF($F185=0,0,$F185*$E185)</f>
        <v>0</v>
      </c>
      <c r="H185" s="20" t="n">
        <f aca="false">$F185-$G185</f>
        <v>0</v>
      </c>
      <c r="I185" s="16"/>
    </row>
    <row r="186" customFormat="false" ht="15" hidden="false" customHeight="true" outlineLevel="0" collapsed="false">
      <c r="A186" s="16"/>
      <c r="B186" s="17"/>
      <c r="C186" s="18"/>
      <c r="D186" s="18"/>
      <c r="E186" s="19"/>
      <c r="F186" s="20" t="n">
        <f aca="false">IF($C186=0,0,$C186-$D186)</f>
        <v>0</v>
      </c>
      <c r="G186" s="20" t="n">
        <f aca="false">IF($F186=0,0,$F186*$E186)</f>
        <v>0</v>
      </c>
      <c r="H186" s="20" t="n">
        <f aca="false">$F186-$G186</f>
        <v>0</v>
      </c>
      <c r="I186" s="16"/>
    </row>
    <row r="187" customFormat="false" ht="15" hidden="false" customHeight="true" outlineLevel="0" collapsed="false">
      <c r="A187" s="16"/>
      <c r="B187" s="17"/>
      <c r="C187" s="18"/>
      <c r="D187" s="18"/>
      <c r="E187" s="19"/>
      <c r="F187" s="20" t="n">
        <f aca="false">IF($C187=0,0,$C187-$D187)</f>
        <v>0</v>
      </c>
      <c r="G187" s="20" t="n">
        <f aca="false">IF($F187=0,0,$F187*$E187)</f>
        <v>0</v>
      </c>
      <c r="H187" s="20" t="n">
        <f aca="false">$F187-$G187</f>
        <v>0</v>
      </c>
      <c r="I187" s="16"/>
    </row>
    <row r="188" customFormat="false" ht="15" hidden="false" customHeight="true" outlineLevel="0" collapsed="false">
      <c r="A188" s="16"/>
      <c r="B188" s="17"/>
      <c r="C188" s="18"/>
      <c r="D188" s="18"/>
      <c r="E188" s="19"/>
      <c r="F188" s="20" t="n">
        <f aca="false">IF($C188=0,0,$C188-$D188)</f>
        <v>0</v>
      </c>
      <c r="G188" s="20" t="n">
        <f aca="false">IF($F188=0,0,$F188*$E188)</f>
        <v>0</v>
      </c>
      <c r="H188" s="20" t="n">
        <f aca="false">$F188-$G188</f>
        <v>0</v>
      </c>
      <c r="I188" s="16"/>
    </row>
    <row r="189" customFormat="false" ht="15" hidden="false" customHeight="true" outlineLevel="0" collapsed="false">
      <c r="A189" s="16"/>
      <c r="B189" s="17"/>
      <c r="C189" s="18"/>
      <c r="D189" s="18"/>
      <c r="E189" s="19"/>
      <c r="F189" s="20" t="n">
        <f aca="false">IF($C189=0,0,$C189-$D189)</f>
        <v>0</v>
      </c>
      <c r="G189" s="20" t="n">
        <f aca="false">IF($F189=0,0,$F189*$E189)</f>
        <v>0</v>
      </c>
      <c r="H189" s="20" t="n">
        <f aca="false">$F189-$G189</f>
        <v>0</v>
      </c>
      <c r="I189" s="16"/>
    </row>
    <row r="190" customFormat="false" ht="15" hidden="false" customHeight="true" outlineLevel="0" collapsed="false">
      <c r="A190" s="16"/>
      <c r="B190" s="17"/>
      <c r="C190" s="18"/>
      <c r="D190" s="18"/>
      <c r="E190" s="19"/>
      <c r="F190" s="20" t="n">
        <f aca="false">IF($C190=0,0,$C190-$D190)</f>
        <v>0</v>
      </c>
      <c r="G190" s="20" t="n">
        <f aca="false">IF($F190=0,0,$F190*$E190)</f>
        <v>0</v>
      </c>
      <c r="H190" s="20" t="n">
        <f aca="false">$F190-$G190</f>
        <v>0</v>
      </c>
      <c r="I190" s="16"/>
    </row>
    <row r="191" customFormat="false" ht="15" hidden="false" customHeight="true" outlineLevel="0" collapsed="false">
      <c r="A191" s="16"/>
      <c r="B191" s="17"/>
      <c r="C191" s="18"/>
      <c r="D191" s="18"/>
      <c r="E191" s="19"/>
      <c r="F191" s="20" t="n">
        <f aca="false">IF($C191=0,0,$C191-$D191)</f>
        <v>0</v>
      </c>
      <c r="G191" s="20" t="n">
        <f aca="false">IF($F191=0,0,$F191*$E191)</f>
        <v>0</v>
      </c>
      <c r="H191" s="20" t="n">
        <f aca="false">$F191-$G191</f>
        <v>0</v>
      </c>
      <c r="I191" s="16"/>
    </row>
    <row r="192" customFormat="false" ht="15" hidden="false" customHeight="true" outlineLevel="0" collapsed="false">
      <c r="A192" s="16"/>
      <c r="B192" s="17"/>
      <c r="C192" s="18"/>
      <c r="D192" s="18"/>
      <c r="E192" s="19"/>
      <c r="F192" s="20" t="n">
        <f aca="false">IF($C192=0,0,$C192-$D192)</f>
        <v>0</v>
      </c>
      <c r="G192" s="20" t="n">
        <f aca="false">IF($F192=0,0,$F192*$E192)</f>
        <v>0</v>
      </c>
      <c r="H192" s="20" t="n">
        <f aca="false">$F192-$G192</f>
        <v>0</v>
      </c>
      <c r="I192" s="16"/>
    </row>
    <row r="193" customFormat="false" ht="15" hidden="false" customHeight="true" outlineLevel="0" collapsed="false">
      <c r="A193" s="16"/>
      <c r="B193" s="17"/>
      <c r="C193" s="18"/>
      <c r="D193" s="18"/>
      <c r="E193" s="19"/>
      <c r="F193" s="20" t="n">
        <f aca="false">IF($C193=0,0,$C193-$D193)</f>
        <v>0</v>
      </c>
      <c r="G193" s="20" t="n">
        <f aca="false">IF($F193=0,0,$F193*$E193)</f>
        <v>0</v>
      </c>
      <c r="H193" s="20" t="n">
        <f aca="false">$F193-$G193</f>
        <v>0</v>
      </c>
      <c r="I193" s="16"/>
    </row>
    <row r="194" customFormat="false" ht="15" hidden="false" customHeight="true" outlineLevel="0" collapsed="false">
      <c r="A194" s="16"/>
      <c r="B194" s="17"/>
      <c r="C194" s="18"/>
      <c r="D194" s="18"/>
      <c r="E194" s="19"/>
      <c r="F194" s="20" t="n">
        <f aca="false">IF($C194=0,0,$C194-$D194)</f>
        <v>0</v>
      </c>
      <c r="G194" s="20" t="n">
        <f aca="false">IF($F194=0,0,$F194*$E194)</f>
        <v>0</v>
      </c>
      <c r="H194" s="20" t="n">
        <f aca="false">$F194-$G194</f>
        <v>0</v>
      </c>
      <c r="I194" s="16"/>
    </row>
    <row r="195" customFormat="false" ht="15" hidden="false" customHeight="true" outlineLevel="0" collapsed="false">
      <c r="A195" s="16"/>
      <c r="B195" s="17"/>
      <c r="C195" s="18"/>
      <c r="D195" s="18"/>
      <c r="E195" s="19"/>
      <c r="F195" s="20" t="n">
        <f aca="false">IF($C195=0,0,$C195-$D195)</f>
        <v>0</v>
      </c>
      <c r="G195" s="20" t="n">
        <f aca="false">IF($F195=0,0,$F195*$E195)</f>
        <v>0</v>
      </c>
      <c r="H195" s="20" t="n">
        <f aca="false">$F195-$G195</f>
        <v>0</v>
      </c>
      <c r="I195" s="16"/>
    </row>
    <row r="196" customFormat="false" ht="15" hidden="false" customHeight="true" outlineLevel="0" collapsed="false">
      <c r="A196" s="16"/>
      <c r="B196" s="17"/>
      <c r="C196" s="18"/>
      <c r="D196" s="18"/>
      <c r="E196" s="19"/>
      <c r="F196" s="20" t="n">
        <f aca="false">IF($C196=0,0,$C196-$D196)</f>
        <v>0</v>
      </c>
      <c r="G196" s="20" t="n">
        <f aca="false">IF($F196=0,0,$F196*$E196)</f>
        <v>0</v>
      </c>
      <c r="H196" s="20" t="n">
        <f aca="false">$F196-$G196</f>
        <v>0</v>
      </c>
      <c r="I196" s="16"/>
    </row>
    <row r="197" customFormat="false" ht="15" hidden="false" customHeight="true" outlineLevel="0" collapsed="false">
      <c r="A197" s="16"/>
      <c r="B197" s="17"/>
      <c r="C197" s="18"/>
      <c r="D197" s="18"/>
      <c r="E197" s="19"/>
      <c r="F197" s="20" t="n">
        <f aca="false">IF($C197=0,0,$C197-$D197)</f>
        <v>0</v>
      </c>
      <c r="G197" s="20" t="n">
        <f aca="false">IF($F197=0,0,$F197*$E197)</f>
        <v>0</v>
      </c>
      <c r="H197" s="20" t="n">
        <f aca="false">$F197-$G197</f>
        <v>0</v>
      </c>
      <c r="I197" s="16"/>
    </row>
    <row r="198" customFormat="false" ht="15" hidden="false" customHeight="true" outlineLevel="0" collapsed="false">
      <c r="A198" s="16"/>
      <c r="B198" s="17"/>
      <c r="C198" s="18"/>
      <c r="D198" s="18"/>
      <c r="E198" s="19"/>
      <c r="F198" s="20" t="n">
        <f aca="false">IF($C198=0,0,$C198-$D198)</f>
        <v>0</v>
      </c>
      <c r="G198" s="20" t="n">
        <f aca="false">IF($F198=0,0,$F198*$E198)</f>
        <v>0</v>
      </c>
      <c r="H198" s="20" t="n">
        <f aca="false">$F198-$G198</f>
        <v>0</v>
      </c>
      <c r="I198" s="16"/>
    </row>
    <row r="199" customFormat="false" ht="15" hidden="false" customHeight="true" outlineLevel="0" collapsed="false">
      <c r="A199" s="16"/>
      <c r="B199" s="17"/>
      <c r="C199" s="18"/>
      <c r="D199" s="18"/>
      <c r="E199" s="19"/>
      <c r="F199" s="20" t="n">
        <f aca="false">IF($C199=0,0,$C199-$D199)</f>
        <v>0</v>
      </c>
      <c r="G199" s="20" t="n">
        <f aca="false">IF($F199=0,0,$F199*$E199)</f>
        <v>0</v>
      </c>
      <c r="H199" s="20" t="n">
        <f aca="false">$F199-$G199</f>
        <v>0</v>
      </c>
      <c r="I199" s="16"/>
    </row>
    <row r="200" customFormat="false" ht="15" hidden="false" customHeight="true" outlineLevel="0" collapsed="false">
      <c r="A200" s="16"/>
      <c r="B200" s="17"/>
      <c r="C200" s="18"/>
      <c r="D200" s="18"/>
      <c r="E200" s="19"/>
      <c r="F200" s="20" t="n">
        <f aca="false">IF($C200=0,0,$C200-$D200)</f>
        <v>0</v>
      </c>
      <c r="G200" s="20" t="n">
        <f aca="false">IF($F200=0,0,$F200*$E200)</f>
        <v>0</v>
      </c>
      <c r="H200" s="20" t="n">
        <f aca="false">$F200-$G200</f>
        <v>0</v>
      </c>
      <c r="I200" s="16"/>
    </row>
    <row r="201" customFormat="false" ht="15" hidden="false" customHeight="true" outlineLevel="0" collapsed="false">
      <c r="A201" s="16"/>
      <c r="B201" s="17"/>
      <c r="C201" s="18"/>
      <c r="D201" s="18"/>
      <c r="E201" s="19"/>
      <c r="F201" s="20" t="n">
        <f aca="false">IF($C201=0,0,$C201-$D201)</f>
        <v>0</v>
      </c>
      <c r="G201" s="20" t="n">
        <f aca="false">IF($F201=0,0,$F201*$E201)</f>
        <v>0</v>
      </c>
      <c r="H201" s="20" t="n">
        <f aca="false">$F201-$G201</f>
        <v>0</v>
      </c>
      <c r="I201" s="16"/>
    </row>
    <row r="202" customFormat="false" ht="15" hidden="false" customHeight="true" outlineLevel="0" collapsed="false">
      <c r="A202" s="16"/>
      <c r="B202" s="17"/>
      <c r="C202" s="18"/>
      <c r="D202" s="18"/>
      <c r="E202" s="19"/>
      <c r="F202" s="20" t="n">
        <f aca="false">IF($C202=0,0,$C202-$D202)</f>
        <v>0</v>
      </c>
      <c r="G202" s="20" t="n">
        <f aca="false">IF($F202=0,0,$F202*$E202)</f>
        <v>0</v>
      </c>
      <c r="H202" s="20" t="n">
        <f aca="false">$F202-$G202</f>
        <v>0</v>
      </c>
      <c r="I202" s="16"/>
    </row>
    <row r="203" customFormat="false" ht="15" hidden="false" customHeight="true" outlineLevel="0" collapsed="false">
      <c r="A203" s="16"/>
      <c r="B203" s="17"/>
      <c r="C203" s="18"/>
      <c r="D203" s="18"/>
      <c r="E203" s="19"/>
      <c r="F203" s="20" t="n">
        <f aca="false">IF($C203=0,0,$C203-$D203)</f>
        <v>0</v>
      </c>
      <c r="G203" s="20" t="n">
        <f aca="false">IF($F203=0,0,$F203*$E203)</f>
        <v>0</v>
      </c>
      <c r="H203" s="20" t="n">
        <f aca="false">$F203-$G203</f>
        <v>0</v>
      </c>
      <c r="I203" s="16"/>
    </row>
    <row r="204" customFormat="false" ht="15" hidden="false" customHeight="true" outlineLevel="0" collapsed="false">
      <c r="A204" s="16"/>
      <c r="B204" s="17"/>
      <c r="C204" s="18"/>
      <c r="D204" s="18"/>
      <c r="E204" s="19"/>
      <c r="F204" s="20" t="n">
        <f aca="false">IF($C204=0,0,$C204-$D204)</f>
        <v>0</v>
      </c>
      <c r="G204" s="20" t="n">
        <f aca="false">IF($F204=0,0,$F204*$E204)</f>
        <v>0</v>
      </c>
      <c r="H204" s="20" t="n">
        <f aca="false">$F204-$G204</f>
        <v>0</v>
      </c>
      <c r="I204" s="16"/>
    </row>
    <row r="205" customFormat="false" ht="15" hidden="false" customHeight="true" outlineLevel="0" collapsed="false">
      <c r="A205" s="16"/>
      <c r="B205" s="17"/>
      <c r="C205" s="18"/>
      <c r="D205" s="18"/>
      <c r="E205" s="19"/>
      <c r="F205" s="20" t="n">
        <f aca="false">IF($C205=0,0,$C205-$D205)</f>
        <v>0</v>
      </c>
      <c r="G205" s="20" t="n">
        <f aca="false">IF($F205=0,0,$F205*$E205)</f>
        <v>0</v>
      </c>
      <c r="H205" s="20" t="n">
        <f aca="false">$F205-$G205</f>
        <v>0</v>
      </c>
      <c r="I205" s="16"/>
    </row>
    <row r="206" customFormat="false" ht="15" hidden="false" customHeight="true" outlineLevel="0" collapsed="false">
      <c r="A206" s="16"/>
      <c r="B206" s="17"/>
      <c r="C206" s="18"/>
      <c r="D206" s="18"/>
      <c r="E206" s="19"/>
      <c r="F206" s="20" t="n">
        <f aca="false">IF($C206=0,0,$C206-$D206)</f>
        <v>0</v>
      </c>
      <c r="G206" s="20" t="n">
        <f aca="false">IF($F206=0,0,$F206*$E206)</f>
        <v>0</v>
      </c>
      <c r="H206" s="20" t="n">
        <f aca="false">$F206-$G206</f>
        <v>0</v>
      </c>
      <c r="I206" s="16"/>
    </row>
    <row r="207" customFormat="false" ht="15" hidden="false" customHeight="true" outlineLevel="0" collapsed="false">
      <c r="A207" s="16"/>
      <c r="B207" s="17"/>
      <c r="C207" s="18"/>
      <c r="D207" s="18"/>
      <c r="E207" s="19"/>
      <c r="F207" s="20" t="n">
        <f aca="false">IF($C207=0,0,$C207-$D207)</f>
        <v>0</v>
      </c>
      <c r="G207" s="20" t="n">
        <f aca="false">IF($F207=0,0,$F207*$E207)</f>
        <v>0</v>
      </c>
      <c r="H207" s="20" t="n">
        <f aca="false">$F207-$G207</f>
        <v>0</v>
      </c>
      <c r="I207" s="16"/>
    </row>
    <row r="208" customFormat="false" ht="15" hidden="false" customHeight="true" outlineLevel="0" collapsed="false">
      <c r="A208" s="16"/>
      <c r="B208" s="17"/>
      <c r="C208" s="18"/>
      <c r="D208" s="18"/>
      <c r="E208" s="19"/>
      <c r="F208" s="20" t="n">
        <f aca="false">IF($C208=0,0,$C208-$D208)</f>
        <v>0</v>
      </c>
      <c r="G208" s="20" t="n">
        <f aca="false">IF($F208=0,0,$F208*$E208)</f>
        <v>0</v>
      </c>
      <c r="H208" s="20" t="n">
        <f aca="false">$F208-$G208</f>
        <v>0</v>
      </c>
      <c r="I208" s="16"/>
    </row>
    <row r="209" customFormat="false" ht="15" hidden="false" customHeight="true" outlineLevel="0" collapsed="false">
      <c r="A209" s="16"/>
      <c r="B209" s="17"/>
      <c r="C209" s="18"/>
      <c r="D209" s="18"/>
      <c r="E209" s="19"/>
      <c r="F209" s="20" t="n">
        <f aca="false">IF($C209=0,0,$C209-$D209)</f>
        <v>0</v>
      </c>
      <c r="G209" s="20" t="n">
        <f aca="false">IF($F209=0,0,$F209*$E209)</f>
        <v>0</v>
      </c>
      <c r="H209" s="20" t="n">
        <f aca="false">$F209-$G209</f>
        <v>0</v>
      </c>
      <c r="I209" s="16"/>
    </row>
    <row r="210" customFormat="false" ht="15" hidden="false" customHeight="true" outlineLevel="0" collapsed="false">
      <c r="A210" s="16"/>
      <c r="B210" s="17"/>
      <c r="C210" s="18"/>
      <c r="D210" s="18"/>
      <c r="E210" s="19"/>
      <c r="F210" s="20" t="n">
        <f aca="false">IF($C210=0,0,$C210-$D210)</f>
        <v>0</v>
      </c>
      <c r="G210" s="20" t="n">
        <f aca="false">IF($F210=0,0,$F210*$E210)</f>
        <v>0</v>
      </c>
      <c r="H210" s="20" t="n">
        <f aca="false">$F210-$G210</f>
        <v>0</v>
      </c>
      <c r="I210" s="16"/>
    </row>
    <row r="211" customFormat="false" ht="15" hidden="false" customHeight="true" outlineLevel="0" collapsed="false">
      <c r="A211" s="16"/>
      <c r="B211" s="17"/>
      <c r="C211" s="18"/>
      <c r="D211" s="18"/>
      <c r="E211" s="19"/>
      <c r="F211" s="20" t="n">
        <f aca="false">IF($C211=0,0,$C211-$D211)</f>
        <v>0</v>
      </c>
      <c r="G211" s="20" t="n">
        <f aca="false">IF($F211=0,0,$F211*$E211)</f>
        <v>0</v>
      </c>
      <c r="H211" s="20" t="n">
        <f aca="false">$F211-$G211</f>
        <v>0</v>
      </c>
      <c r="I211" s="16"/>
    </row>
    <row r="212" customFormat="false" ht="15" hidden="false" customHeight="true" outlineLevel="0" collapsed="false">
      <c r="A212" s="16"/>
      <c r="B212" s="17"/>
      <c r="C212" s="18"/>
      <c r="D212" s="18"/>
      <c r="E212" s="19"/>
      <c r="F212" s="20" t="n">
        <f aca="false">IF($C212=0,0,$C212-$D212)</f>
        <v>0</v>
      </c>
      <c r="G212" s="20" t="n">
        <f aca="false">IF($F212=0,0,$F212*$E212)</f>
        <v>0</v>
      </c>
      <c r="H212" s="20" t="n">
        <f aca="false">$F212-$G212</f>
        <v>0</v>
      </c>
      <c r="I212" s="16"/>
    </row>
    <row r="213" customFormat="false" ht="15" hidden="false" customHeight="true" outlineLevel="0" collapsed="false">
      <c r="A213" s="16"/>
      <c r="B213" s="17"/>
      <c r="C213" s="18"/>
      <c r="D213" s="18"/>
      <c r="E213" s="19"/>
      <c r="F213" s="20" t="n">
        <f aca="false">IF($C213=0,0,$C213-$D213)</f>
        <v>0</v>
      </c>
      <c r="G213" s="20" t="n">
        <f aca="false">IF($F213=0,0,$F213*$E213)</f>
        <v>0</v>
      </c>
      <c r="H213" s="20" t="n">
        <f aca="false">$F213-$G213</f>
        <v>0</v>
      </c>
      <c r="I213" s="16"/>
    </row>
    <row r="214" customFormat="false" ht="15" hidden="false" customHeight="true" outlineLevel="0" collapsed="false">
      <c r="A214" s="16"/>
      <c r="B214" s="17"/>
      <c r="C214" s="18"/>
      <c r="D214" s="18"/>
      <c r="E214" s="19"/>
      <c r="F214" s="20" t="n">
        <f aca="false">IF($C214=0,0,$C214-$D214)</f>
        <v>0</v>
      </c>
      <c r="G214" s="20" t="n">
        <f aca="false">IF($F214=0,0,$F214*$E214)</f>
        <v>0</v>
      </c>
      <c r="H214" s="20" t="n">
        <f aca="false">$F214-$G214</f>
        <v>0</v>
      </c>
      <c r="I214" s="16"/>
    </row>
    <row r="215" customFormat="false" ht="15" hidden="false" customHeight="true" outlineLevel="0" collapsed="false">
      <c r="A215" s="16"/>
      <c r="B215" s="17"/>
      <c r="C215" s="18"/>
      <c r="D215" s="18"/>
      <c r="E215" s="19"/>
      <c r="F215" s="20" t="n">
        <f aca="false">IF($C215=0,0,$C215-$D215)</f>
        <v>0</v>
      </c>
      <c r="G215" s="20" t="n">
        <f aca="false">IF($F215=0,0,$F215*$E215)</f>
        <v>0</v>
      </c>
      <c r="H215" s="20" t="n">
        <f aca="false">$F215-$G215</f>
        <v>0</v>
      </c>
      <c r="I215" s="16"/>
    </row>
    <row r="216" customFormat="false" ht="15" hidden="false" customHeight="true" outlineLevel="0" collapsed="false">
      <c r="A216" s="16"/>
      <c r="B216" s="17"/>
      <c r="C216" s="18"/>
      <c r="D216" s="18"/>
      <c r="E216" s="19"/>
      <c r="F216" s="20" t="n">
        <f aca="false">IF($C216=0,0,$C216-$D216)</f>
        <v>0</v>
      </c>
      <c r="G216" s="20" t="n">
        <f aca="false">IF($F216=0,0,$F216*$E216)</f>
        <v>0</v>
      </c>
      <c r="H216" s="20" t="n">
        <f aca="false">$F216-$G216</f>
        <v>0</v>
      </c>
      <c r="I216" s="16"/>
    </row>
    <row r="217" customFormat="false" ht="15" hidden="false" customHeight="true" outlineLevel="0" collapsed="false">
      <c r="A217" s="16"/>
      <c r="B217" s="17"/>
      <c r="C217" s="18"/>
      <c r="D217" s="18"/>
      <c r="E217" s="19"/>
      <c r="F217" s="20" t="n">
        <f aca="false">IF($C217=0,0,$C217-$D217)</f>
        <v>0</v>
      </c>
      <c r="G217" s="20" t="n">
        <f aca="false">IF($F217=0,0,$F217*$E217)</f>
        <v>0</v>
      </c>
      <c r="H217" s="20" t="n">
        <f aca="false">$F217-$G217</f>
        <v>0</v>
      </c>
      <c r="I217" s="16"/>
    </row>
    <row r="218" customFormat="false" ht="15" hidden="false" customHeight="true" outlineLevel="0" collapsed="false">
      <c r="A218" s="16"/>
      <c r="B218" s="17"/>
      <c r="C218" s="18"/>
      <c r="D218" s="18"/>
      <c r="E218" s="19"/>
      <c r="F218" s="20" t="n">
        <f aca="false">IF($C218=0,0,$C218-$D218)</f>
        <v>0</v>
      </c>
      <c r="G218" s="20" t="n">
        <f aca="false">IF($F218=0,0,$F218*$E218)</f>
        <v>0</v>
      </c>
      <c r="H218" s="20" t="n">
        <f aca="false">$F218-$G218</f>
        <v>0</v>
      </c>
      <c r="I218" s="16"/>
    </row>
    <row r="219" customFormat="false" ht="15" hidden="false" customHeight="true" outlineLevel="0" collapsed="false">
      <c r="A219" s="16"/>
      <c r="B219" s="17"/>
      <c r="C219" s="18"/>
      <c r="D219" s="18"/>
      <c r="E219" s="19"/>
      <c r="F219" s="20" t="n">
        <f aca="false">IF($C219=0,0,$C219-$D219)</f>
        <v>0</v>
      </c>
      <c r="G219" s="20" t="n">
        <f aca="false">IF($F219=0,0,$F219*$E219)</f>
        <v>0</v>
      </c>
      <c r="H219" s="20" t="n">
        <f aca="false">$F219-$G219</f>
        <v>0</v>
      </c>
      <c r="I219" s="16"/>
    </row>
    <row r="220" customFormat="false" ht="15" hidden="false" customHeight="true" outlineLevel="0" collapsed="false">
      <c r="A220" s="16"/>
      <c r="B220" s="17"/>
      <c r="C220" s="18"/>
      <c r="D220" s="18"/>
      <c r="E220" s="19"/>
      <c r="F220" s="20" t="n">
        <f aca="false">IF($C220=0,0,$C220-$D220)</f>
        <v>0</v>
      </c>
      <c r="G220" s="20" t="n">
        <f aca="false">IF($F220=0,0,$F220*$E220)</f>
        <v>0</v>
      </c>
      <c r="H220" s="20" t="n">
        <f aca="false">$F220-$G220</f>
        <v>0</v>
      </c>
      <c r="I220" s="16"/>
    </row>
    <row r="221" customFormat="false" ht="15" hidden="false" customHeight="true" outlineLevel="0" collapsed="false">
      <c r="A221" s="16"/>
      <c r="B221" s="17"/>
      <c r="C221" s="18"/>
      <c r="D221" s="18"/>
      <c r="E221" s="19"/>
      <c r="F221" s="20" t="n">
        <f aca="false">IF($C221=0,0,$C221-$D221)</f>
        <v>0</v>
      </c>
      <c r="G221" s="20" t="n">
        <f aca="false">IF($F221=0,0,$F221*$E221)</f>
        <v>0</v>
      </c>
      <c r="H221" s="20" t="n">
        <f aca="false">$F221-$G221</f>
        <v>0</v>
      </c>
      <c r="I221" s="16"/>
    </row>
    <row r="222" customFormat="false" ht="15" hidden="false" customHeight="true" outlineLevel="0" collapsed="false">
      <c r="A222" s="16"/>
      <c r="B222" s="17"/>
      <c r="C222" s="18"/>
      <c r="D222" s="18"/>
      <c r="E222" s="19"/>
      <c r="F222" s="20" t="n">
        <f aca="false">IF($C222=0,0,$C222-$D222)</f>
        <v>0</v>
      </c>
      <c r="G222" s="20" t="n">
        <f aca="false">IF($F222=0,0,$F222*$E222)</f>
        <v>0</v>
      </c>
      <c r="H222" s="20" t="n">
        <f aca="false">$F222-$G222</f>
        <v>0</v>
      </c>
      <c r="I222" s="16"/>
    </row>
    <row r="223" customFormat="false" ht="15" hidden="false" customHeight="true" outlineLevel="0" collapsed="false">
      <c r="A223" s="16"/>
      <c r="B223" s="17"/>
      <c r="C223" s="18"/>
      <c r="D223" s="18"/>
      <c r="E223" s="19"/>
      <c r="F223" s="20" t="n">
        <f aca="false">IF($C223=0,0,$C223-$D223)</f>
        <v>0</v>
      </c>
      <c r="G223" s="20" t="n">
        <f aca="false">IF($F223=0,0,$F223*$E223)</f>
        <v>0</v>
      </c>
      <c r="H223" s="20" t="n">
        <f aca="false">$F223-$G223</f>
        <v>0</v>
      </c>
      <c r="I223" s="16"/>
    </row>
    <row r="224" customFormat="false" ht="15" hidden="false" customHeight="true" outlineLevel="0" collapsed="false">
      <c r="A224" s="16"/>
      <c r="B224" s="17"/>
      <c r="C224" s="18"/>
      <c r="D224" s="18"/>
      <c r="E224" s="19"/>
      <c r="F224" s="20" t="n">
        <f aca="false">IF($C224=0,0,$C224-$D224)</f>
        <v>0</v>
      </c>
      <c r="G224" s="20" t="n">
        <f aca="false">IF($F224=0,0,$F224*$E224)</f>
        <v>0</v>
      </c>
      <c r="H224" s="20" t="n">
        <f aca="false">$F224-$G224</f>
        <v>0</v>
      </c>
      <c r="I224" s="16"/>
    </row>
    <row r="225" customFormat="false" ht="15" hidden="false" customHeight="true" outlineLevel="0" collapsed="false">
      <c r="A225" s="16"/>
      <c r="B225" s="17"/>
      <c r="C225" s="18"/>
      <c r="D225" s="18"/>
      <c r="E225" s="19"/>
      <c r="F225" s="20" t="n">
        <f aca="false">IF($C225=0,0,$C225-$D225)</f>
        <v>0</v>
      </c>
      <c r="G225" s="20" t="n">
        <f aca="false">IF($F225=0,0,$F225*$E225)</f>
        <v>0</v>
      </c>
      <c r="H225" s="20" t="n">
        <f aca="false">$F225-$G225</f>
        <v>0</v>
      </c>
      <c r="I225" s="16"/>
    </row>
    <row r="226" customFormat="false" ht="15" hidden="false" customHeight="true" outlineLevel="0" collapsed="false">
      <c r="A226" s="16"/>
      <c r="B226" s="17"/>
      <c r="C226" s="18"/>
      <c r="D226" s="18"/>
      <c r="E226" s="19"/>
      <c r="F226" s="20" t="n">
        <f aca="false">IF($C226=0,0,$C226-$D226)</f>
        <v>0</v>
      </c>
      <c r="G226" s="20" t="n">
        <f aca="false">IF($F226=0,0,$F226*$E226)</f>
        <v>0</v>
      </c>
      <c r="H226" s="20" t="n">
        <f aca="false">$F226-$G226</f>
        <v>0</v>
      </c>
      <c r="I226" s="16"/>
    </row>
    <row r="227" customFormat="false" ht="15" hidden="false" customHeight="true" outlineLevel="0" collapsed="false">
      <c r="A227" s="16"/>
      <c r="B227" s="17"/>
      <c r="C227" s="18"/>
      <c r="D227" s="18"/>
      <c r="E227" s="19"/>
      <c r="F227" s="20" t="n">
        <f aca="false">IF($C227=0,0,$C227-$D227)</f>
        <v>0</v>
      </c>
      <c r="G227" s="20" t="n">
        <f aca="false">IF($F227=0,0,$F227*$E227)</f>
        <v>0</v>
      </c>
      <c r="H227" s="20" t="n">
        <f aca="false">$F227-$G227</f>
        <v>0</v>
      </c>
      <c r="I227" s="16"/>
    </row>
    <row r="228" customFormat="false" ht="15" hidden="false" customHeight="true" outlineLevel="0" collapsed="false">
      <c r="A228" s="16"/>
      <c r="B228" s="17"/>
      <c r="C228" s="18"/>
      <c r="D228" s="18"/>
      <c r="E228" s="19"/>
      <c r="F228" s="20" t="n">
        <f aca="false">IF($C228=0,0,$C228-$D228)</f>
        <v>0</v>
      </c>
      <c r="G228" s="20" t="n">
        <f aca="false">IF($F228=0,0,$F228*$E228)</f>
        <v>0</v>
      </c>
      <c r="H228" s="20" t="n">
        <f aca="false">$F228-$G228</f>
        <v>0</v>
      </c>
      <c r="I228" s="16"/>
    </row>
    <row r="229" customFormat="false" ht="15" hidden="false" customHeight="true" outlineLevel="0" collapsed="false">
      <c r="A229" s="16"/>
      <c r="B229" s="17"/>
      <c r="C229" s="18"/>
      <c r="D229" s="18"/>
      <c r="E229" s="19"/>
      <c r="F229" s="20" t="n">
        <f aca="false">IF($C229=0,0,$C229-$D229)</f>
        <v>0</v>
      </c>
      <c r="G229" s="20" t="n">
        <f aca="false">IF($F229=0,0,$F229*$E229)</f>
        <v>0</v>
      </c>
      <c r="H229" s="20" t="n">
        <f aca="false">$F229-$G229</f>
        <v>0</v>
      </c>
      <c r="I229" s="16"/>
    </row>
    <row r="230" customFormat="false" ht="15" hidden="false" customHeight="true" outlineLevel="0" collapsed="false">
      <c r="A230" s="16"/>
      <c r="B230" s="17"/>
      <c r="C230" s="18"/>
      <c r="D230" s="18"/>
      <c r="E230" s="19"/>
      <c r="F230" s="20" t="n">
        <f aca="false">IF($C230=0,0,$C230-$D230)</f>
        <v>0</v>
      </c>
      <c r="G230" s="20" t="n">
        <f aca="false">IF($F230=0,0,$F230*$E230)</f>
        <v>0</v>
      </c>
      <c r="H230" s="20" t="n">
        <f aca="false">$F230-$G230</f>
        <v>0</v>
      </c>
      <c r="I230" s="16"/>
    </row>
    <row r="231" customFormat="false" ht="15" hidden="false" customHeight="true" outlineLevel="0" collapsed="false">
      <c r="A231" s="16"/>
      <c r="B231" s="17"/>
      <c r="C231" s="18"/>
      <c r="D231" s="18"/>
      <c r="E231" s="19"/>
      <c r="F231" s="20" t="n">
        <f aca="false">IF($C231=0,0,$C231-$D231)</f>
        <v>0</v>
      </c>
      <c r="G231" s="20" t="n">
        <f aca="false">IF($F231=0,0,$F231*$E231)</f>
        <v>0</v>
      </c>
      <c r="H231" s="20" t="n">
        <f aca="false">$F231-$G231</f>
        <v>0</v>
      </c>
      <c r="I231" s="16"/>
    </row>
    <row r="232" customFormat="false" ht="15" hidden="false" customHeight="true" outlineLevel="0" collapsed="false">
      <c r="A232" s="16"/>
      <c r="B232" s="17"/>
      <c r="C232" s="18"/>
      <c r="D232" s="18"/>
      <c r="E232" s="19"/>
      <c r="F232" s="20" t="n">
        <f aca="false">IF($C232=0,0,$C232-$D232)</f>
        <v>0</v>
      </c>
      <c r="G232" s="20" t="n">
        <f aca="false">IF($F232=0,0,$F232*$E232)</f>
        <v>0</v>
      </c>
      <c r="H232" s="20" t="n">
        <f aca="false">$F232-$G232</f>
        <v>0</v>
      </c>
      <c r="I232" s="16"/>
    </row>
    <row r="233" customFormat="false" ht="15" hidden="false" customHeight="true" outlineLevel="0" collapsed="false">
      <c r="A233" s="16"/>
      <c r="B233" s="17"/>
      <c r="C233" s="18"/>
      <c r="D233" s="18"/>
      <c r="E233" s="19"/>
      <c r="F233" s="20" t="n">
        <f aca="false">IF($C233=0,0,$C233-$D233)</f>
        <v>0</v>
      </c>
      <c r="G233" s="20" t="n">
        <f aca="false">IF($F233=0,0,$F233*$E233)</f>
        <v>0</v>
      </c>
      <c r="H233" s="20" t="n">
        <f aca="false">$F233-$G233</f>
        <v>0</v>
      </c>
      <c r="I233" s="16"/>
    </row>
    <row r="234" customFormat="false" ht="15" hidden="false" customHeight="true" outlineLevel="0" collapsed="false">
      <c r="A234" s="16"/>
      <c r="B234" s="17"/>
      <c r="C234" s="18"/>
      <c r="D234" s="18"/>
      <c r="E234" s="19"/>
      <c r="F234" s="20" t="n">
        <f aca="false">IF($C234=0,0,$C234-$D234)</f>
        <v>0</v>
      </c>
      <c r="G234" s="20" t="n">
        <f aca="false">IF($F234=0,0,$F234*$E234)</f>
        <v>0</v>
      </c>
      <c r="H234" s="20" t="n">
        <f aca="false">$F234-$G234</f>
        <v>0</v>
      </c>
      <c r="I234" s="16"/>
    </row>
    <row r="235" customFormat="false" ht="15" hidden="false" customHeight="true" outlineLevel="0" collapsed="false">
      <c r="A235" s="16"/>
      <c r="B235" s="17"/>
      <c r="C235" s="18"/>
      <c r="D235" s="18"/>
      <c r="E235" s="19"/>
      <c r="F235" s="20" t="n">
        <f aca="false">IF($C235=0,0,$C235-$D235)</f>
        <v>0</v>
      </c>
      <c r="G235" s="20" t="n">
        <f aca="false">IF($F235=0,0,$F235*$E235)</f>
        <v>0</v>
      </c>
      <c r="H235" s="20" t="n">
        <f aca="false">$F235-$G235</f>
        <v>0</v>
      </c>
      <c r="I235" s="16"/>
    </row>
    <row r="236" customFormat="false" ht="15" hidden="false" customHeight="true" outlineLevel="0" collapsed="false">
      <c r="A236" s="16"/>
      <c r="B236" s="17"/>
      <c r="C236" s="18"/>
      <c r="D236" s="18"/>
      <c r="E236" s="19"/>
      <c r="F236" s="20" t="n">
        <f aca="false">IF($C236=0,0,$C236-$D236)</f>
        <v>0</v>
      </c>
      <c r="G236" s="20" t="n">
        <f aca="false">IF($F236=0,0,$F236*$E236)</f>
        <v>0</v>
      </c>
      <c r="H236" s="20" t="n">
        <f aca="false">$F236-$G236</f>
        <v>0</v>
      </c>
      <c r="I236" s="16"/>
    </row>
    <row r="237" customFormat="false" ht="15" hidden="false" customHeight="true" outlineLevel="0" collapsed="false">
      <c r="A237" s="16"/>
      <c r="B237" s="17"/>
      <c r="C237" s="18"/>
      <c r="D237" s="18"/>
      <c r="E237" s="19"/>
      <c r="F237" s="20" t="n">
        <f aca="false">IF($C237=0,0,$C237-$D237)</f>
        <v>0</v>
      </c>
      <c r="G237" s="20" t="n">
        <f aca="false">IF($F237=0,0,$F237*$E237)</f>
        <v>0</v>
      </c>
      <c r="H237" s="20" t="n">
        <f aca="false">$F237-$G237</f>
        <v>0</v>
      </c>
      <c r="I237" s="16"/>
    </row>
    <row r="238" customFormat="false" ht="15" hidden="false" customHeight="true" outlineLevel="0" collapsed="false">
      <c r="A238" s="16"/>
      <c r="B238" s="17"/>
      <c r="C238" s="18"/>
      <c r="D238" s="18"/>
      <c r="E238" s="19"/>
      <c r="F238" s="20" t="n">
        <f aca="false">IF($C238=0,0,$C238-$D238)</f>
        <v>0</v>
      </c>
      <c r="G238" s="20" t="n">
        <f aca="false">IF($F238=0,0,$F238*$E238)</f>
        <v>0</v>
      </c>
      <c r="H238" s="20" t="n">
        <f aca="false">$F238-$G238</f>
        <v>0</v>
      </c>
      <c r="I238" s="16"/>
    </row>
    <row r="239" customFormat="false" ht="15" hidden="false" customHeight="true" outlineLevel="0" collapsed="false">
      <c r="A239" s="16"/>
      <c r="B239" s="17"/>
      <c r="C239" s="18"/>
      <c r="D239" s="18"/>
      <c r="E239" s="19"/>
      <c r="F239" s="20" t="n">
        <f aca="false">IF($C239=0,0,$C239-$D239)</f>
        <v>0</v>
      </c>
      <c r="G239" s="20" t="n">
        <f aca="false">IF($F239=0,0,$F239*$E239)</f>
        <v>0</v>
      </c>
      <c r="H239" s="20" t="n">
        <f aca="false">$F239-$G239</f>
        <v>0</v>
      </c>
      <c r="I239" s="16"/>
    </row>
    <row r="240" customFormat="false" ht="15" hidden="false" customHeight="true" outlineLevel="0" collapsed="false">
      <c r="A240" s="16"/>
      <c r="B240" s="17"/>
      <c r="C240" s="18"/>
      <c r="D240" s="18"/>
      <c r="E240" s="19"/>
      <c r="F240" s="20" t="n">
        <f aca="false">IF($C240=0,0,$C240-$D240)</f>
        <v>0</v>
      </c>
      <c r="G240" s="20" t="n">
        <f aca="false">IF($F240=0,0,$F240*$E240)</f>
        <v>0</v>
      </c>
      <c r="H240" s="20" t="n">
        <f aca="false">$F240-$G240</f>
        <v>0</v>
      </c>
      <c r="I240" s="16"/>
    </row>
    <row r="241" customFormat="false" ht="15" hidden="false" customHeight="true" outlineLevel="0" collapsed="false">
      <c r="A241" s="16"/>
      <c r="B241" s="17"/>
      <c r="C241" s="18"/>
      <c r="D241" s="18"/>
      <c r="E241" s="19"/>
      <c r="F241" s="20" t="n">
        <f aca="false">IF($C241=0,0,$C241-$D241)</f>
        <v>0</v>
      </c>
      <c r="G241" s="20" t="n">
        <f aca="false">IF($F241=0,0,$F241*$E241)</f>
        <v>0</v>
      </c>
      <c r="H241" s="20" t="n">
        <f aca="false">$F241-$G241</f>
        <v>0</v>
      </c>
      <c r="I241" s="16"/>
    </row>
    <row r="242" customFormat="false" ht="15" hidden="false" customHeight="true" outlineLevel="0" collapsed="false">
      <c r="A242" s="16"/>
      <c r="B242" s="17"/>
      <c r="C242" s="18"/>
      <c r="D242" s="18"/>
      <c r="E242" s="19"/>
      <c r="F242" s="20" t="n">
        <f aca="false">IF($C242=0,0,$C242-$D242)</f>
        <v>0</v>
      </c>
      <c r="G242" s="20" t="n">
        <f aca="false">IF($F242=0,0,$F242*$E242)</f>
        <v>0</v>
      </c>
      <c r="H242" s="20" t="n">
        <f aca="false">$F242-$G242</f>
        <v>0</v>
      </c>
      <c r="I242" s="16"/>
    </row>
    <row r="243" customFormat="false" ht="15" hidden="false" customHeight="true" outlineLevel="0" collapsed="false">
      <c r="A243" s="16"/>
      <c r="B243" s="17"/>
      <c r="C243" s="18"/>
      <c r="D243" s="18"/>
      <c r="E243" s="19"/>
      <c r="F243" s="20" t="n">
        <f aca="false">IF($C243=0,0,$C243-$D243)</f>
        <v>0</v>
      </c>
      <c r="G243" s="20" t="n">
        <f aca="false">IF($F243=0,0,$F243*$E243)</f>
        <v>0</v>
      </c>
      <c r="H243" s="20" t="n">
        <f aca="false">$F243-$G243</f>
        <v>0</v>
      </c>
      <c r="I243" s="16"/>
    </row>
    <row r="244" customFormat="false" ht="15" hidden="false" customHeight="true" outlineLevel="0" collapsed="false">
      <c r="A244" s="16"/>
      <c r="B244" s="17"/>
      <c r="C244" s="18"/>
      <c r="D244" s="18"/>
      <c r="E244" s="19"/>
      <c r="F244" s="20" t="n">
        <f aca="false">IF($C244=0,0,$C244-$D244)</f>
        <v>0</v>
      </c>
      <c r="G244" s="20" t="n">
        <f aca="false">IF($F244=0,0,$F244*$E244)</f>
        <v>0</v>
      </c>
      <c r="H244" s="20" t="n">
        <f aca="false">$F244-$G244</f>
        <v>0</v>
      </c>
      <c r="I244" s="16"/>
    </row>
    <row r="245" customFormat="false" ht="15" hidden="false" customHeight="true" outlineLevel="0" collapsed="false">
      <c r="A245" s="16"/>
      <c r="B245" s="17"/>
      <c r="C245" s="18"/>
      <c r="D245" s="18"/>
      <c r="E245" s="19"/>
      <c r="F245" s="20" t="n">
        <f aca="false">IF($C245=0,0,$C245-$D245)</f>
        <v>0</v>
      </c>
      <c r="G245" s="20" t="n">
        <f aca="false">IF($F245=0,0,$F245*$E245)</f>
        <v>0</v>
      </c>
      <c r="H245" s="20" t="n">
        <f aca="false">$F245-$G245</f>
        <v>0</v>
      </c>
      <c r="I245" s="16"/>
    </row>
    <row r="246" customFormat="false" ht="15" hidden="false" customHeight="true" outlineLevel="0" collapsed="false">
      <c r="A246" s="16"/>
      <c r="B246" s="17"/>
      <c r="C246" s="18"/>
      <c r="D246" s="18"/>
      <c r="E246" s="19"/>
      <c r="F246" s="20" t="n">
        <f aca="false">IF($C246=0,0,$C246-$D246)</f>
        <v>0</v>
      </c>
      <c r="G246" s="20" t="n">
        <f aca="false">IF($F246=0,0,$F246*$E246)</f>
        <v>0</v>
      </c>
      <c r="H246" s="20" t="n">
        <f aca="false">$F246-$G246</f>
        <v>0</v>
      </c>
      <c r="I246" s="16"/>
    </row>
    <row r="247" customFormat="false" ht="15" hidden="false" customHeight="true" outlineLevel="0" collapsed="false">
      <c r="A247" s="16"/>
      <c r="B247" s="17"/>
      <c r="C247" s="18"/>
      <c r="D247" s="18"/>
      <c r="E247" s="19"/>
      <c r="F247" s="20" t="n">
        <f aca="false">IF($C247=0,0,$C247-$D247)</f>
        <v>0</v>
      </c>
      <c r="G247" s="20" t="n">
        <f aca="false">IF($F247=0,0,$F247*$E247)</f>
        <v>0</v>
      </c>
      <c r="H247" s="20" t="n">
        <f aca="false">$F247-$G247</f>
        <v>0</v>
      </c>
      <c r="I247" s="16"/>
    </row>
    <row r="248" customFormat="false" ht="15" hidden="false" customHeight="true" outlineLevel="0" collapsed="false">
      <c r="A248" s="16"/>
      <c r="B248" s="17"/>
      <c r="C248" s="18"/>
      <c r="D248" s="18"/>
      <c r="E248" s="19"/>
      <c r="F248" s="20" t="n">
        <f aca="false">IF($C248=0,0,$C248-$D248)</f>
        <v>0</v>
      </c>
      <c r="G248" s="20" t="n">
        <f aca="false">IF($F248=0,0,$F248*$E248)</f>
        <v>0</v>
      </c>
      <c r="H248" s="20" t="n">
        <f aca="false">$F248-$G248</f>
        <v>0</v>
      </c>
      <c r="I248" s="16"/>
    </row>
    <row r="249" customFormat="false" ht="15" hidden="false" customHeight="true" outlineLevel="0" collapsed="false">
      <c r="A249" s="16"/>
      <c r="B249" s="17"/>
      <c r="C249" s="18"/>
      <c r="D249" s="18"/>
      <c r="E249" s="19"/>
      <c r="F249" s="20" t="n">
        <f aca="false">IF($C249=0,0,$C249-$D249)</f>
        <v>0</v>
      </c>
      <c r="G249" s="20" t="n">
        <f aca="false">IF($F249=0,0,$F249*$E249)</f>
        <v>0</v>
      </c>
      <c r="H249" s="20" t="n">
        <f aca="false">$F249-$G249</f>
        <v>0</v>
      </c>
      <c r="I249" s="16"/>
    </row>
    <row r="250" customFormat="false" ht="15" hidden="false" customHeight="true" outlineLevel="0" collapsed="false">
      <c r="A250" s="16"/>
      <c r="B250" s="17"/>
      <c r="C250" s="18"/>
      <c r="D250" s="18"/>
      <c r="E250" s="19"/>
      <c r="F250" s="20" t="n">
        <f aca="false">IF($C250=0,0,$C250-$D250)</f>
        <v>0</v>
      </c>
      <c r="G250" s="20" t="n">
        <f aca="false">IF($F250=0,0,$F250*$E250)</f>
        <v>0</v>
      </c>
      <c r="H250" s="20" t="n">
        <f aca="false">$F250-$G250</f>
        <v>0</v>
      </c>
      <c r="I250" s="16"/>
    </row>
    <row r="251" customFormat="false" ht="15" hidden="false" customHeight="true" outlineLevel="0" collapsed="false">
      <c r="A251" s="16"/>
      <c r="B251" s="17"/>
      <c r="C251" s="18"/>
      <c r="D251" s="18"/>
      <c r="E251" s="19"/>
      <c r="F251" s="20" t="n">
        <f aca="false">IF($C251=0,0,$C251-$D251)</f>
        <v>0</v>
      </c>
      <c r="G251" s="20" t="n">
        <f aca="false">IF($F251=0,0,$F251*$E251)</f>
        <v>0</v>
      </c>
      <c r="H251" s="20" t="n">
        <f aca="false">$F251-$G251</f>
        <v>0</v>
      </c>
      <c r="I251" s="16"/>
    </row>
    <row r="252" customFormat="false" ht="15" hidden="false" customHeight="true" outlineLevel="0" collapsed="false">
      <c r="A252" s="16"/>
      <c r="B252" s="17"/>
      <c r="C252" s="18"/>
      <c r="D252" s="18"/>
      <c r="E252" s="19"/>
      <c r="F252" s="20" t="n">
        <f aca="false">IF($C252=0,0,$C252-$D252)</f>
        <v>0</v>
      </c>
      <c r="G252" s="20" t="n">
        <f aca="false">IF($F252=0,0,$F252*$E252)</f>
        <v>0</v>
      </c>
      <c r="H252" s="20" t="n">
        <f aca="false">$F252-$G252</f>
        <v>0</v>
      </c>
      <c r="I252" s="16"/>
    </row>
    <row r="253" customFormat="false" ht="15" hidden="false" customHeight="true" outlineLevel="0" collapsed="false">
      <c r="A253" s="16"/>
      <c r="B253" s="17"/>
      <c r="C253" s="18"/>
      <c r="D253" s="18"/>
      <c r="E253" s="19"/>
      <c r="F253" s="20" t="n">
        <f aca="false">IF($C253=0,0,$C253-$D253)</f>
        <v>0</v>
      </c>
      <c r="G253" s="20" t="n">
        <f aca="false">IF($F253=0,0,$F253*$E253)</f>
        <v>0</v>
      </c>
      <c r="H253" s="20" t="n">
        <f aca="false">$F253-$G253</f>
        <v>0</v>
      </c>
      <c r="I253" s="16"/>
    </row>
    <row r="254" customFormat="false" ht="15" hidden="false" customHeight="true" outlineLevel="0" collapsed="false">
      <c r="A254" s="16"/>
      <c r="B254" s="17"/>
      <c r="C254" s="18"/>
      <c r="D254" s="18"/>
      <c r="E254" s="19"/>
      <c r="F254" s="20" t="n">
        <f aca="false">IF($C254=0,0,$C254-$D254)</f>
        <v>0</v>
      </c>
      <c r="G254" s="20" t="n">
        <f aca="false">IF($F254=0,0,$F254*$E254)</f>
        <v>0</v>
      </c>
      <c r="H254" s="20" t="n">
        <f aca="false">$F254-$G254</f>
        <v>0</v>
      </c>
      <c r="I254" s="16"/>
    </row>
    <row r="255" customFormat="false" ht="15" hidden="false" customHeight="true" outlineLevel="0" collapsed="false">
      <c r="A255" s="16"/>
      <c r="B255" s="17"/>
      <c r="C255" s="18"/>
      <c r="D255" s="18"/>
      <c r="E255" s="19"/>
      <c r="F255" s="20" t="n">
        <f aca="false">IF($C255=0,0,$C255-$D255)</f>
        <v>0</v>
      </c>
      <c r="G255" s="20" t="n">
        <f aca="false">IF($F255=0,0,$F255*$E255)</f>
        <v>0</v>
      </c>
      <c r="H255" s="20" t="n">
        <f aca="false">$F255-$G255</f>
        <v>0</v>
      </c>
      <c r="I255" s="16"/>
    </row>
    <row r="256" customFormat="false" ht="15" hidden="false" customHeight="true" outlineLevel="0" collapsed="false">
      <c r="A256" s="16"/>
      <c r="B256" s="17"/>
      <c r="C256" s="18"/>
      <c r="D256" s="18"/>
      <c r="E256" s="19"/>
      <c r="F256" s="20" t="n">
        <f aca="false">IF($C256=0,0,$C256-$D256)</f>
        <v>0</v>
      </c>
      <c r="G256" s="20" t="n">
        <f aca="false">IF($F256=0,0,$F256*$E256)</f>
        <v>0</v>
      </c>
      <c r="H256" s="20" t="n">
        <f aca="false">$F256-$G256</f>
        <v>0</v>
      </c>
      <c r="I256" s="16"/>
    </row>
    <row r="257" customFormat="false" ht="15" hidden="false" customHeight="true" outlineLevel="0" collapsed="false">
      <c r="A257" s="16"/>
      <c r="B257" s="17"/>
      <c r="C257" s="18"/>
      <c r="D257" s="18"/>
      <c r="E257" s="19"/>
      <c r="F257" s="20" t="n">
        <f aca="false">IF($C257=0,0,$C257-$D257)</f>
        <v>0</v>
      </c>
      <c r="G257" s="20" t="n">
        <f aca="false">IF($F257=0,0,$F257*$E257)</f>
        <v>0</v>
      </c>
      <c r="H257" s="20" t="n">
        <f aca="false">$F257-$G257</f>
        <v>0</v>
      </c>
      <c r="I257" s="16"/>
    </row>
    <row r="258" customFormat="false" ht="15" hidden="false" customHeight="true" outlineLevel="0" collapsed="false">
      <c r="A258" s="16"/>
      <c r="B258" s="17"/>
      <c r="C258" s="18"/>
      <c r="D258" s="18"/>
      <c r="E258" s="19"/>
      <c r="F258" s="20" t="n">
        <f aca="false">IF($C258=0,0,$C258-$D258)</f>
        <v>0</v>
      </c>
      <c r="G258" s="20" t="n">
        <f aca="false">IF($F258=0,0,$F258*$E258)</f>
        <v>0</v>
      </c>
      <c r="H258" s="20" t="n">
        <f aca="false">$F258-$G258</f>
        <v>0</v>
      </c>
      <c r="I258" s="16"/>
    </row>
    <row r="259" customFormat="false" ht="15" hidden="false" customHeight="true" outlineLevel="0" collapsed="false">
      <c r="A259" s="16"/>
      <c r="B259" s="17"/>
      <c r="C259" s="18"/>
      <c r="D259" s="18"/>
      <c r="E259" s="19"/>
      <c r="F259" s="20" t="n">
        <f aca="false">IF($C259=0,0,$C259-$D259)</f>
        <v>0</v>
      </c>
      <c r="G259" s="20" t="n">
        <f aca="false">IF($F259=0,0,$F259*$E259)</f>
        <v>0</v>
      </c>
      <c r="H259" s="20" t="n">
        <f aca="false">$F259-$G259</f>
        <v>0</v>
      </c>
      <c r="I259" s="16"/>
    </row>
    <row r="260" customFormat="false" ht="15" hidden="false" customHeight="true" outlineLevel="0" collapsed="false">
      <c r="A260" s="16"/>
      <c r="B260" s="17"/>
      <c r="C260" s="18"/>
      <c r="D260" s="18"/>
      <c r="E260" s="19"/>
      <c r="F260" s="20" t="n">
        <f aca="false">IF($C260=0,0,$C260-$D260)</f>
        <v>0</v>
      </c>
      <c r="G260" s="20" t="n">
        <f aca="false">IF($F260=0,0,$F260*$E260)</f>
        <v>0</v>
      </c>
      <c r="H260" s="20" t="n">
        <f aca="false">$F260-$G260</f>
        <v>0</v>
      </c>
      <c r="I260" s="16"/>
    </row>
    <row r="261" customFormat="false" ht="15" hidden="false" customHeight="true" outlineLevel="0" collapsed="false">
      <c r="A261" s="16"/>
      <c r="B261" s="17"/>
      <c r="C261" s="18"/>
      <c r="D261" s="18"/>
      <c r="E261" s="19"/>
      <c r="F261" s="20" t="n">
        <f aca="false">IF($C261=0,0,$C261-$D261)</f>
        <v>0</v>
      </c>
      <c r="G261" s="20" t="n">
        <f aca="false">IF($F261=0,0,$F261*$E261)</f>
        <v>0</v>
      </c>
      <c r="H261" s="20" t="n">
        <f aca="false">$F261-$G261</f>
        <v>0</v>
      </c>
      <c r="I261" s="16"/>
    </row>
    <row r="262" customFormat="false" ht="15" hidden="false" customHeight="true" outlineLevel="0" collapsed="false">
      <c r="A262" s="16"/>
      <c r="B262" s="17"/>
      <c r="C262" s="18"/>
      <c r="D262" s="18"/>
      <c r="E262" s="19"/>
      <c r="F262" s="20" t="n">
        <f aca="false">IF($C262=0,0,$C262-$D262)</f>
        <v>0</v>
      </c>
      <c r="G262" s="20" t="n">
        <f aca="false">IF($F262=0,0,$F262*$E262)</f>
        <v>0</v>
      </c>
      <c r="H262" s="20" t="n">
        <f aca="false">$F262-$G262</f>
        <v>0</v>
      </c>
      <c r="I262" s="16"/>
    </row>
    <row r="263" customFormat="false" ht="15" hidden="false" customHeight="true" outlineLevel="0" collapsed="false">
      <c r="A263" s="16"/>
      <c r="B263" s="17"/>
      <c r="C263" s="18"/>
      <c r="D263" s="18"/>
      <c r="E263" s="19"/>
      <c r="F263" s="20" t="n">
        <f aca="false">IF($C263=0,0,$C263-$D263)</f>
        <v>0</v>
      </c>
      <c r="G263" s="20" t="n">
        <f aca="false">IF($F263=0,0,$F263*$E263)</f>
        <v>0</v>
      </c>
      <c r="H263" s="20" t="n">
        <f aca="false">$F263-$G263</f>
        <v>0</v>
      </c>
      <c r="I263" s="16"/>
    </row>
    <row r="264" customFormat="false" ht="15" hidden="false" customHeight="true" outlineLevel="0" collapsed="false">
      <c r="A264" s="16"/>
      <c r="B264" s="17"/>
      <c r="C264" s="18"/>
      <c r="D264" s="18"/>
      <c r="E264" s="19"/>
      <c r="F264" s="20" t="n">
        <f aca="false">IF($C264=0,0,$C264-$D264)</f>
        <v>0</v>
      </c>
      <c r="G264" s="20" t="n">
        <f aca="false">IF($F264=0,0,$F264*$E264)</f>
        <v>0</v>
      </c>
      <c r="H264" s="20" t="n">
        <f aca="false">$F264-$G264</f>
        <v>0</v>
      </c>
      <c r="I264" s="16"/>
    </row>
    <row r="265" customFormat="false" ht="15" hidden="false" customHeight="true" outlineLevel="0" collapsed="false">
      <c r="A265" s="16"/>
      <c r="B265" s="17"/>
      <c r="C265" s="18"/>
      <c r="D265" s="18"/>
      <c r="E265" s="19"/>
      <c r="F265" s="20" t="n">
        <f aca="false">IF($C265=0,0,$C265-$D265)</f>
        <v>0</v>
      </c>
      <c r="G265" s="20" t="n">
        <f aca="false">IF($F265=0,0,$F265*$E265)</f>
        <v>0</v>
      </c>
      <c r="H265" s="20" t="n">
        <f aca="false">$F265-$G265</f>
        <v>0</v>
      </c>
      <c r="I265" s="16"/>
    </row>
    <row r="266" customFormat="false" ht="15" hidden="false" customHeight="true" outlineLevel="0" collapsed="false">
      <c r="A266" s="16"/>
      <c r="B266" s="17"/>
      <c r="C266" s="18"/>
      <c r="D266" s="18"/>
      <c r="E266" s="19"/>
      <c r="F266" s="20" t="n">
        <f aca="false">IF($C266=0,0,$C266-$D266)</f>
        <v>0</v>
      </c>
      <c r="G266" s="20" t="n">
        <f aca="false">IF($F266=0,0,$F266*$E266)</f>
        <v>0</v>
      </c>
      <c r="H266" s="20" t="n">
        <f aca="false">$F266-$G266</f>
        <v>0</v>
      </c>
      <c r="I266" s="16"/>
    </row>
    <row r="267" customFormat="false" ht="15" hidden="false" customHeight="true" outlineLevel="0" collapsed="false">
      <c r="A267" s="16"/>
      <c r="B267" s="17"/>
      <c r="C267" s="18"/>
      <c r="D267" s="18"/>
      <c r="E267" s="19"/>
      <c r="F267" s="20" t="n">
        <f aca="false">IF($C267=0,0,$C267-$D267)</f>
        <v>0</v>
      </c>
      <c r="G267" s="20" t="n">
        <f aca="false">IF($F267=0,0,$F267*$E267)</f>
        <v>0</v>
      </c>
      <c r="H267" s="20" t="n">
        <f aca="false">$F267-$G267</f>
        <v>0</v>
      </c>
      <c r="I267" s="16"/>
    </row>
    <row r="268" customFormat="false" ht="15" hidden="false" customHeight="true" outlineLevel="0" collapsed="false">
      <c r="A268" s="16"/>
      <c r="B268" s="17"/>
      <c r="C268" s="18"/>
      <c r="D268" s="18"/>
      <c r="E268" s="19"/>
      <c r="F268" s="20" t="n">
        <f aca="false">IF($C268=0,0,$C268-$D268)</f>
        <v>0</v>
      </c>
      <c r="G268" s="20" t="n">
        <f aca="false">IF($F268=0,0,$F268*$E268)</f>
        <v>0</v>
      </c>
      <c r="H268" s="20" t="n">
        <f aca="false">$F268-$G268</f>
        <v>0</v>
      </c>
      <c r="I268" s="16"/>
    </row>
    <row r="269" customFormat="false" ht="15" hidden="false" customHeight="true" outlineLevel="0" collapsed="false">
      <c r="A269" s="16"/>
      <c r="B269" s="17"/>
      <c r="C269" s="18"/>
      <c r="D269" s="18"/>
      <c r="E269" s="19"/>
      <c r="F269" s="20" t="n">
        <f aca="false">IF($C269=0,0,$C269-$D269)</f>
        <v>0</v>
      </c>
      <c r="G269" s="20" t="n">
        <f aca="false">IF($F269=0,0,$F269*$E269)</f>
        <v>0</v>
      </c>
      <c r="H269" s="20" t="n">
        <f aca="false">$F269-$G269</f>
        <v>0</v>
      </c>
      <c r="I269" s="16"/>
    </row>
    <row r="270" customFormat="false" ht="15" hidden="false" customHeight="true" outlineLevel="0" collapsed="false">
      <c r="A270" s="16"/>
      <c r="B270" s="17"/>
      <c r="C270" s="18"/>
      <c r="D270" s="18"/>
      <c r="E270" s="19"/>
      <c r="F270" s="20" t="n">
        <f aca="false">IF($C270=0,0,$C270-$D270)</f>
        <v>0</v>
      </c>
      <c r="G270" s="20" t="n">
        <f aca="false">IF($F270=0,0,$F270*$E270)</f>
        <v>0</v>
      </c>
      <c r="H270" s="20" t="n">
        <f aca="false">$F270-$G270</f>
        <v>0</v>
      </c>
      <c r="I270" s="16"/>
    </row>
    <row r="271" customFormat="false" ht="15" hidden="false" customHeight="true" outlineLevel="0" collapsed="false">
      <c r="A271" s="16"/>
      <c r="B271" s="17"/>
      <c r="C271" s="18"/>
      <c r="D271" s="18"/>
      <c r="E271" s="19"/>
      <c r="F271" s="20" t="n">
        <f aca="false">IF($C271=0,0,$C271-$D271)</f>
        <v>0</v>
      </c>
      <c r="G271" s="20" t="n">
        <f aca="false">IF($F271=0,0,$F271*$E271)</f>
        <v>0</v>
      </c>
      <c r="H271" s="20" t="n">
        <f aca="false">$F271-$G271</f>
        <v>0</v>
      </c>
      <c r="I271" s="16"/>
    </row>
    <row r="272" customFormat="false" ht="15" hidden="false" customHeight="true" outlineLevel="0" collapsed="false">
      <c r="A272" s="16"/>
      <c r="B272" s="17"/>
      <c r="C272" s="18"/>
      <c r="D272" s="18"/>
      <c r="E272" s="19"/>
      <c r="F272" s="20" t="n">
        <f aca="false">IF($C272=0,0,$C272-$D272)</f>
        <v>0</v>
      </c>
      <c r="G272" s="20" t="n">
        <f aca="false">IF($F272=0,0,$F272*$E272)</f>
        <v>0</v>
      </c>
      <c r="H272" s="20" t="n">
        <f aca="false">$F272-$G272</f>
        <v>0</v>
      </c>
      <c r="I272" s="16"/>
    </row>
    <row r="273" customFormat="false" ht="15" hidden="false" customHeight="true" outlineLevel="0" collapsed="false">
      <c r="A273" s="16"/>
      <c r="B273" s="17"/>
      <c r="C273" s="18"/>
      <c r="D273" s="18"/>
      <c r="E273" s="19"/>
      <c r="F273" s="20" t="n">
        <f aca="false">IF($C273=0,0,$C273-$D273)</f>
        <v>0</v>
      </c>
      <c r="G273" s="20" t="n">
        <f aca="false">IF($F273=0,0,$F273*$E273)</f>
        <v>0</v>
      </c>
      <c r="H273" s="20" t="n">
        <f aca="false">$F273-$G273</f>
        <v>0</v>
      </c>
      <c r="I273" s="16"/>
    </row>
    <row r="274" customFormat="false" ht="15" hidden="false" customHeight="true" outlineLevel="0" collapsed="false">
      <c r="A274" s="16"/>
      <c r="B274" s="17"/>
      <c r="C274" s="18"/>
      <c r="D274" s="18"/>
      <c r="E274" s="19"/>
      <c r="F274" s="20" t="n">
        <f aca="false">IF($C274=0,0,$C274-$D274)</f>
        <v>0</v>
      </c>
      <c r="G274" s="20" t="n">
        <f aca="false">IF($F274=0,0,$F274*$E274)</f>
        <v>0</v>
      </c>
      <c r="H274" s="20" t="n">
        <f aca="false">$F274-$G274</f>
        <v>0</v>
      </c>
      <c r="I274" s="16"/>
    </row>
    <row r="275" customFormat="false" ht="15" hidden="false" customHeight="true" outlineLevel="0" collapsed="false">
      <c r="A275" s="16"/>
      <c r="B275" s="17"/>
      <c r="C275" s="18"/>
      <c r="D275" s="18"/>
      <c r="E275" s="19"/>
      <c r="F275" s="20" t="n">
        <f aca="false">IF($C275=0,0,$C275-$D275)</f>
        <v>0</v>
      </c>
      <c r="G275" s="20" t="n">
        <f aca="false">IF($F275=0,0,$F275*$E275)</f>
        <v>0</v>
      </c>
      <c r="H275" s="20" t="n">
        <f aca="false">$F275-$G275</f>
        <v>0</v>
      </c>
      <c r="I275" s="16"/>
    </row>
    <row r="276" customFormat="false" ht="15" hidden="false" customHeight="true" outlineLevel="0" collapsed="false">
      <c r="A276" s="16"/>
      <c r="B276" s="17"/>
      <c r="C276" s="18"/>
      <c r="D276" s="18"/>
      <c r="E276" s="19"/>
      <c r="F276" s="20" t="n">
        <f aca="false">IF($C276=0,0,$C276-$D276)</f>
        <v>0</v>
      </c>
      <c r="G276" s="20" t="n">
        <f aca="false">IF($F276=0,0,$F276*$E276)</f>
        <v>0</v>
      </c>
      <c r="H276" s="20" t="n">
        <f aca="false">$F276-$G276</f>
        <v>0</v>
      </c>
      <c r="I276" s="16"/>
    </row>
    <row r="277" customFormat="false" ht="15" hidden="false" customHeight="true" outlineLevel="0" collapsed="false">
      <c r="A277" s="16"/>
      <c r="B277" s="17"/>
      <c r="C277" s="18"/>
      <c r="D277" s="18"/>
      <c r="E277" s="19"/>
      <c r="F277" s="20" t="n">
        <f aca="false">IF($C277=0,0,$C277-$D277)</f>
        <v>0</v>
      </c>
      <c r="G277" s="20" t="n">
        <f aca="false">IF($F277=0,0,$F277*$E277)</f>
        <v>0</v>
      </c>
      <c r="H277" s="20" t="n">
        <f aca="false">$F277-$G277</f>
        <v>0</v>
      </c>
      <c r="I277" s="16"/>
    </row>
    <row r="278" customFormat="false" ht="15" hidden="false" customHeight="true" outlineLevel="0" collapsed="false">
      <c r="A278" s="16"/>
      <c r="B278" s="17"/>
      <c r="C278" s="18"/>
      <c r="D278" s="18"/>
      <c r="E278" s="19"/>
      <c r="F278" s="20" t="n">
        <f aca="false">IF($C278=0,0,$C278-$D278)</f>
        <v>0</v>
      </c>
      <c r="G278" s="20" t="n">
        <f aca="false">IF($F278=0,0,$F278*$E278)</f>
        <v>0</v>
      </c>
      <c r="H278" s="20" t="n">
        <f aca="false">$F278-$G278</f>
        <v>0</v>
      </c>
      <c r="I278" s="16"/>
    </row>
    <row r="279" customFormat="false" ht="15" hidden="false" customHeight="true" outlineLevel="0" collapsed="false">
      <c r="A279" s="16"/>
      <c r="B279" s="17"/>
      <c r="C279" s="18"/>
      <c r="D279" s="18"/>
      <c r="E279" s="19"/>
      <c r="F279" s="20" t="n">
        <f aca="false">IF($C279=0,0,$C279-$D279)</f>
        <v>0</v>
      </c>
      <c r="G279" s="20" t="n">
        <f aca="false">IF($F279=0,0,$F279*$E279)</f>
        <v>0</v>
      </c>
      <c r="H279" s="20" t="n">
        <f aca="false">$F279-$G279</f>
        <v>0</v>
      </c>
      <c r="I279" s="16"/>
    </row>
    <row r="280" customFormat="false" ht="15" hidden="false" customHeight="true" outlineLevel="0" collapsed="false">
      <c r="A280" s="16"/>
      <c r="B280" s="17"/>
      <c r="C280" s="18"/>
      <c r="D280" s="18"/>
      <c r="E280" s="19"/>
      <c r="F280" s="20" t="n">
        <f aca="false">IF($C280=0,0,$C280-$D280)</f>
        <v>0</v>
      </c>
      <c r="G280" s="20" t="n">
        <f aca="false">IF($F280=0,0,$F280*$E280)</f>
        <v>0</v>
      </c>
      <c r="H280" s="20" t="n">
        <f aca="false">$F280-$G280</f>
        <v>0</v>
      </c>
      <c r="I280" s="16"/>
    </row>
    <row r="281" customFormat="false" ht="15" hidden="false" customHeight="true" outlineLevel="0" collapsed="false">
      <c r="A281" s="16"/>
      <c r="B281" s="17"/>
      <c r="C281" s="18"/>
      <c r="D281" s="18"/>
      <c r="E281" s="19"/>
      <c r="F281" s="20" t="n">
        <f aca="false">IF($C281=0,0,$C281-$D281)</f>
        <v>0</v>
      </c>
      <c r="G281" s="20" t="n">
        <f aca="false">IF($F281=0,0,$F281*$E281)</f>
        <v>0</v>
      </c>
      <c r="H281" s="20" t="n">
        <f aca="false">$F281-$G281</f>
        <v>0</v>
      </c>
      <c r="I281" s="16"/>
    </row>
    <row r="282" customFormat="false" ht="15" hidden="false" customHeight="true" outlineLevel="0" collapsed="false">
      <c r="A282" s="16"/>
      <c r="B282" s="17"/>
      <c r="C282" s="18"/>
      <c r="D282" s="18"/>
      <c r="E282" s="19"/>
      <c r="F282" s="20" t="n">
        <f aca="false">IF($C282=0,0,$C282-$D282)</f>
        <v>0</v>
      </c>
      <c r="G282" s="20" t="n">
        <f aca="false">IF($F282=0,0,$F282*$E282)</f>
        <v>0</v>
      </c>
      <c r="H282" s="20" t="n">
        <f aca="false">$F282-$G282</f>
        <v>0</v>
      </c>
      <c r="I282" s="16"/>
    </row>
    <row r="283" customFormat="false" ht="15" hidden="false" customHeight="true" outlineLevel="0" collapsed="false">
      <c r="A283" s="16"/>
      <c r="B283" s="17"/>
      <c r="C283" s="18"/>
      <c r="D283" s="18"/>
      <c r="E283" s="19"/>
      <c r="F283" s="20" t="n">
        <f aca="false">IF($C283=0,0,$C283-$D283)</f>
        <v>0</v>
      </c>
      <c r="G283" s="20" t="n">
        <f aca="false">IF($F283=0,0,$F283*$E283)</f>
        <v>0</v>
      </c>
      <c r="H283" s="20" t="n">
        <f aca="false">$F283-$G283</f>
        <v>0</v>
      </c>
      <c r="I283" s="16"/>
    </row>
    <row r="284" customFormat="false" ht="15" hidden="false" customHeight="true" outlineLevel="0" collapsed="false">
      <c r="A284" s="16"/>
      <c r="B284" s="17"/>
      <c r="C284" s="18"/>
      <c r="D284" s="18"/>
      <c r="E284" s="19"/>
      <c r="F284" s="20" t="n">
        <f aca="false">IF($C284=0,0,$C284-$D284)</f>
        <v>0</v>
      </c>
      <c r="G284" s="20" t="n">
        <f aca="false">IF($F284=0,0,$F284*$E284)</f>
        <v>0</v>
      </c>
      <c r="H284" s="20" t="n">
        <f aca="false">$F284-$G284</f>
        <v>0</v>
      </c>
      <c r="I284" s="16"/>
    </row>
    <row r="285" customFormat="false" ht="15" hidden="false" customHeight="true" outlineLevel="0" collapsed="false">
      <c r="A285" s="16"/>
      <c r="B285" s="17"/>
      <c r="C285" s="18"/>
      <c r="D285" s="18"/>
      <c r="E285" s="19"/>
      <c r="F285" s="20" t="n">
        <f aca="false">IF($C285=0,0,$C285-$D285)</f>
        <v>0</v>
      </c>
      <c r="G285" s="20" t="n">
        <f aca="false">IF($F285=0,0,$F285*$E285)</f>
        <v>0</v>
      </c>
      <c r="H285" s="20" t="n">
        <f aca="false">$F285-$G285</f>
        <v>0</v>
      </c>
      <c r="I285" s="16"/>
    </row>
    <row r="286" customFormat="false" ht="15" hidden="false" customHeight="true" outlineLevel="0" collapsed="false">
      <c r="A286" s="16"/>
      <c r="B286" s="17"/>
      <c r="C286" s="18"/>
      <c r="D286" s="18"/>
      <c r="E286" s="19"/>
      <c r="F286" s="20" t="n">
        <f aca="false">IF($C286=0,0,$C286-$D286)</f>
        <v>0</v>
      </c>
      <c r="G286" s="20" t="n">
        <f aca="false">IF($F286=0,0,$F286*$E286)</f>
        <v>0</v>
      </c>
      <c r="H286" s="20" t="n">
        <f aca="false">$F286-$G286</f>
        <v>0</v>
      </c>
      <c r="I286" s="16"/>
    </row>
    <row r="287" customFormat="false" ht="15" hidden="false" customHeight="true" outlineLevel="0" collapsed="false">
      <c r="A287" s="16"/>
      <c r="B287" s="17"/>
      <c r="C287" s="18"/>
      <c r="D287" s="18"/>
      <c r="E287" s="19"/>
      <c r="F287" s="20" t="n">
        <f aca="false">IF($C287=0,0,$C287-$D287)</f>
        <v>0</v>
      </c>
      <c r="G287" s="20" t="n">
        <f aca="false">IF($F287=0,0,$F287*$E287)</f>
        <v>0</v>
      </c>
      <c r="H287" s="20" t="n">
        <f aca="false">$F287-$G287</f>
        <v>0</v>
      </c>
      <c r="I287" s="16"/>
    </row>
    <row r="288" customFormat="false" ht="15" hidden="false" customHeight="true" outlineLevel="0" collapsed="false">
      <c r="A288" s="16"/>
      <c r="B288" s="17"/>
      <c r="C288" s="18"/>
      <c r="D288" s="18"/>
      <c r="E288" s="19"/>
      <c r="F288" s="20" t="n">
        <f aca="false">IF($C288=0,0,$C288-$D288)</f>
        <v>0</v>
      </c>
      <c r="G288" s="20" t="n">
        <f aca="false">IF($F288=0,0,$F288*$E288)</f>
        <v>0</v>
      </c>
      <c r="H288" s="20" t="n">
        <f aca="false">$F288-$G288</f>
        <v>0</v>
      </c>
      <c r="I288" s="16"/>
    </row>
    <row r="289" customFormat="false" ht="15" hidden="false" customHeight="true" outlineLevel="0" collapsed="false">
      <c r="A289" s="16"/>
      <c r="B289" s="17"/>
      <c r="C289" s="18"/>
      <c r="D289" s="18"/>
      <c r="E289" s="19"/>
      <c r="F289" s="20" t="n">
        <f aca="false">IF($C289=0,0,$C289-$D289)</f>
        <v>0</v>
      </c>
      <c r="G289" s="20" t="n">
        <f aca="false">IF($F289=0,0,$F289*$E289)</f>
        <v>0</v>
      </c>
      <c r="H289" s="20" t="n">
        <f aca="false">$F289-$G289</f>
        <v>0</v>
      </c>
      <c r="I289" s="16"/>
    </row>
    <row r="290" customFormat="false" ht="15" hidden="false" customHeight="true" outlineLevel="0" collapsed="false">
      <c r="A290" s="16"/>
      <c r="B290" s="17"/>
      <c r="C290" s="18"/>
      <c r="D290" s="18"/>
      <c r="E290" s="19"/>
      <c r="F290" s="20" t="n">
        <f aca="false">IF($C290=0,0,$C290-$D290)</f>
        <v>0</v>
      </c>
      <c r="G290" s="20" t="n">
        <f aca="false">IF($F290=0,0,$F290*$E290)</f>
        <v>0</v>
      </c>
      <c r="H290" s="20" t="n">
        <f aca="false">$F290-$G290</f>
        <v>0</v>
      </c>
      <c r="I290" s="16"/>
    </row>
    <row r="291" customFormat="false" ht="15" hidden="false" customHeight="true" outlineLevel="0" collapsed="false">
      <c r="A291" s="16"/>
      <c r="B291" s="17"/>
      <c r="C291" s="18"/>
      <c r="D291" s="18"/>
      <c r="E291" s="19"/>
      <c r="F291" s="20" t="n">
        <f aca="false">IF($C291=0,0,$C291-$D291)</f>
        <v>0</v>
      </c>
      <c r="G291" s="20" t="n">
        <f aca="false">IF($F291=0,0,$F291*$E291)</f>
        <v>0</v>
      </c>
      <c r="H291" s="20" t="n">
        <f aca="false">$F291-$G291</f>
        <v>0</v>
      </c>
      <c r="I291" s="16"/>
    </row>
    <row r="292" customFormat="false" ht="15" hidden="false" customHeight="true" outlineLevel="0" collapsed="false">
      <c r="A292" s="16"/>
      <c r="B292" s="17"/>
      <c r="C292" s="18"/>
      <c r="D292" s="18"/>
      <c r="E292" s="19"/>
      <c r="F292" s="20" t="n">
        <f aca="false">IF($C292=0,0,$C292-$D292)</f>
        <v>0</v>
      </c>
      <c r="G292" s="20" t="n">
        <f aca="false">IF($F292=0,0,$F292*$E292)</f>
        <v>0</v>
      </c>
      <c r="H292" s="20" t="n">
        <f aca="false">$F292-$G292</f>
        <v>0</v>
      </c>
      <c r="I292" s="16"/>
    </row>
    <row r="293" customFormat="false" ht="15" hidden="false" customHeight="true" outlineLevel="0" collapsed="false">
      <c r="A293" s="16"/>
      <c r="B293" s="17"/>
      <c r="C293" s="18"/>
      <c r="D293" s="18"/>
      <c r="E293" s="19"/>
      <c r="F293" s="20" t="n">
        <f aca="false">IF($C293=0,0,$C293-$D293)</f>
        <v>0</v>
      </c>
      <c r="G293" s="20" t="n">
        <f aca="false">IF($F293=0,0,$F293*$E293)</f>
        <v>0</v>
      </c>
      <c r="H293" s="20" t="n">
        <f aca="false">$F293-$G293</f>
        <v>0</v>
      </c>
      <c r="I293" s="16"/>
    </row>
    <row r="294" customFormat="false" ht="15" hidden="false" customHeight="true" outlineLevel="0" collapsed="false">
      <c r="A294" s="16"/>
      <c r="B294" s="17"/>
      <c r="C294" s="18"/>
      <c r="D294" s="18"/>
      <c r="E294" s="19"/>
      <c r="F294" s="20" t="n">
        <f aca="false">IF($C294=0,0,$C294-$D294)</f>
        <v>0</v>
      </c>
      <c r="G294" s="20" t="n">
        <f aca="false">IF($F294=0,0,$F294*$E294)</f>
        <v>0</v>
      </c>
      <c r="H294" s="20" t="n">
        <f aca="false">$F294-$G294</f>
        <v>0</v>
      </c>
      <c r="I294" s="16"/>
    </row>
    <row r="295" customFormat="false" ht="15" hidden="false" customHeight="true" outlineLevel="0" collapsed="false">
      <c r="A295" s="16"/>
      <c r="B295" s="17"/>
      <c r="C295" s="18"/>
      <c r="D295" s="18"/>
      <c r="E295" s="19"/>
      <c r="F295" s="20" t="n">
        <f aca="false">IF($C295=0,0,$C295-$D295)</f>
        <v>0</v>
      </c>
      <c r="G295" s="20" t="n">
        <f aca="false">IF($F295=0,0,$F295*$E295)</f>
        <v>0</v>
      </c>
      <c r="H295" s="20" t="n">
        <f aca="false">$F295-$G295</f>
        <v>0</v>
      </c>
      <c r="I295" s="16"/>
    </row>
    <row r="296" customFormat="false" ht="15" hidden="false" customHeight="true" outlineLevel="0" collapsed="false">
      <c r="A296" s="16"/>
      <c r="B296" s="17"/>
      <c r="C296" s="18"/>
      <c r="D296" s="18"/>
      <c r="E296" s="19"/>
      <c r="F296" s="20" t="n">
        <f aca="false">IF($C296=0,0,$C296-$D296)</f>
        <v>0</v>
      </c>
      <c r="G296" s="20" t="n">
        <f aca="false">IF($F296=0,0,$F296*$E296)</f>
        <v>0</v>
      </c>
      <c r="H296" s="20" t="n">
        <f aca="false">$F296-$G296</f>
        <v>0</v>
      </c>
      <c r="I296" s="16"/>
    </row>
    <row r="297" customFormat="false" ht="15" hidden="false" customHeight="true" outlineLevel="0" collapsed="false">
      <c r="A297" s="16"/>
      <c r="B297" s="17"/>
      <c r="C297" s="18"/>
      <c r="D297" s="18"/>
      <c r="E297" s="19"/>
      <c r="F297" s="20" t="n">
        <f aca="false">IF($C297=0,0,$C297-$D297)</f>
        <v>0</v>
      </c>
      <c r="G297" s="20" t="n">
        <f aca="false">IF($F297=0,0,$F297*$E297)</f>
        <v>0</v>
      </c>
      <c r="H297" s="20" t="n">
        <f aca="false">$F297-$G297</f>
        <v>0</v>
      </c>
      <c r="I297" s="16"/>
    </row>
    <row r="298" customFormat="false" ht="15" hidden="false" customHeight="true" outlineLevel="0" collapsed="false">
      <c r="A298" s="16"/>
      <c r="B298" s="17"/>
      <c r="C298" s="18"/>
      <c r="D298" s="18"/>
      <c r="E298" s="19"/>
      <c r="F298" s="20" t="n">
        <f aca="false">IF($C298=0,0,$C298-$D298)</f>
        <v>0</v>
      </c>
      <c r="G298" s="20" t="n">
        <f aca="false">IF($F298=0,0,$F298*$E298)</f>
        <v>0</v>
      </c>
      <c r="H298" s="20" t="n">
        <f aca="false">$F298-$G298</f>
        <v>0</v>
      </c>
      <c r="I298" s="16"/>
    </row>
    <row r="299" customFormat="false" ht="15" hidden="false" customHeight="true" outlineLevel="0" collapsed="false">
      <c r="A299" s="16"/>
      <c r="B299" s="17"/>
      <c r="C299" s="18"/>
      <c r="D299" s="18"/>
      <c r="E299" s="19"/>
      <c r="F299" s="20" t="n">
        <f aca="false">IF($C299=0,0,$C299-$D299)</f>
        <v>0</v>
      </c>
      <c r="G299" s="20" t="n">
        <f aca="false">IF($F299=0,0,$F299*$E299)</f>
        <v>0</v>
      </c>
      <c r="H299" s="20" t="n">
        <f aca="false">$F299-$G299</f>
        <v>0</v>
      </c>
      <c r="I299" s="16"/>
    </row>
    <row r="300" customFormat="false" ht="15" hidden="false" customHeight="true" outlineLevel="0" collapsed="false">
      <c r="A300" s="16"/>
      <c r="B300" s="17"/>
      <c r="C300" s="18"/>
      <c r="D300" s="18"/>
      <c r="E300" s="19"/>
      <c r="F300" s="20" t="n">
        <f aca="false">IF($C300=0,0,$C300-$D300)</f>
        <v>0</v>
      </c>
      <c r="G300" s="20" t="n">
        <f aca="false">IF($F300=0,0,$F300*$E300)</f>
        <v>0</v>
      </c>
      <c r="H300" s="20" t="n">
        <f aca="false">$F300-$G300</f>
        <v>0</v>
      </c>
      <c r="I300" s="16"/>
    </row>
    <row r="301" customFormat="false" ht="15" hidden="false" customHeight="true" outlineLevel="0" collapsed="false">
      <c r="A301" s="16"/>
      <c r="B301" s="17"/>
      <c r="C301" s="18"/>
      <c r="D301" s="18"/>
      <c r="E301" s="19"/>
      <c r="F301" s="20" t="n">
        <f aca="false">IF($C301=0,0,$C301-$D301)</f>
        <v>0</v>
      </c>
      <c r="G301" s="20" t="n">
        <f aca="false">IF($F301=0,0,$F301*$E301)</f>
        <v>0</v>
      </c>
      <c r="H301" s="20" t="n">
        <f aca="false">$F301-$G301</f>
        <v>0</v>
      </c>
      <c r="I301" s="16"/>
    </row>
    <row r="302" customFormat="false" ht="15" hidden="false" customHeight="true" outlineLevel="0" collapsed="false">
      <c r="A302" s="16"/>
      <c r="B302" s="17"/>
      <c r="C302" s="18"/>
      <c r="D302" s="18"/>
      <c r="E302" s="19"/>
      <c r="F302" s="20" t="n">
        <f aca="false">IF($C302=0,0,$C302-$D302)</f>
        <v>0</v>
      </c>
      <c r="G302" s="20" t="n">
        <f aca="false">IF($F302=0,0,$F302*$E302)</f>
        <v>0</v>
      </c>
      <c r="H302" s="20" t="n">
        <f aca="false">$F302-$G302</f>
        <v>0</v>
      </c>
      <c r="I302" s="16"/>
    </row>
    <row r="303" customFormat="false" ht="15" hidden="false" customHeight="true" outlineLevel="0" collapsed="false">
      <c r="A303" s="16"/>
      <c r="B303" s="17"/>
      <c r="C303" s="18"/>
      <c r="D303" s="18"/>
      <c r="E303" s="19"/>
      <c r="F303" s="20" t="n">
        <f aca="false">IF($C303=0,0,$C303-$D303)</f>
        <v>0</v>
      </c>
      <c r="G303" s="20" t="n">
        <f aca="false">IF($F303=0,0,$F303*$E303)</f>
        <v>0</v>
      </c>
      <c r="H303" s="20" t="n">
        <f aca="false">$F303-$G303</f>
        <v>0</v>
      </c>
      <c r="I303" s="16"/>
    </row>
    <row r="304" customFormat="false" ht="15" hidden="false" customHeight="true" outlineLevel="0" collapsed="false">
      <c r="A304" s="16"/>
      <c r="B304" s="17"/>
      <c r="C304" s="18"/>
      <c r="D304" s="18"/>
      <c r="E304" s="19"/>
      <c r="F304" s="20" t="n">
        <f aca="false">IF($C304=0,0,$C304-$D304)</f>
        <v>0</v>
      </c>
      <c r="G304" s="20" t="n">
        <f aca="false">IF($F304=0,0,$F304*$E304)</f>
        <v>0</v>
      </c>
      <c r="H304" s="20" t="n">
        <f aca="false">$F304-$G304</f>
        <v>0</v>
      </c>
      <c r="I304" s="16"/>
    </row>
    <row r="305" customFormat="false" ht="15" hidden="false" customHeight="true" outlineLevel="0" collapsed="false">
      <c r="A305" s="16"/>
      <c r="B305" s="17"/>
      <c r="C305" s="18"/>
      <c r="D305" s="18"/>
      <c r="E305" s="19"/>
      <c r="F305" s="20" t="n">
        <f aca="false">IF($C305=0,0,$C305-$D305)</f>
        <v>0</v>
      </c>
      <c r="G305" s="20" t="n">
        <f aca="false">IF($F305=0,0,$F305*$E305)</f>
        <v>0</v>
      </c>
      <c r="H305" s="20" t="n">
        <f aca="false">$F305-$G305</f>
        <v>0</v>
      </c>
      <c r="I305" s="16"/>
    </row>
    <row r="306" customFormat="false" ht="15" hidden="false" customHeight="true" outlineLevel="0" collapsed="false">
      <c r="A306" s="16"/>
      <c r="B306" s="17"/>
      <c r="C306" s="18"/>
      <c r="D306" s="18"/>
      <c r="E306" s="19"/>
      <c r="F306" s="20" t="n">
        <f aca="false">IF($C306=0,0,$C306-$D306)</f>
        <v>0</v>
      </c>
      <c r="G306" s="20" t="n">
        <f aca="false">IF($F306=0,0,$F306*$E306)</f>
        <v>0</v>
      </c>
      <c r="H306" s="20" t="n">
        <f aca="false">$F306-$G306</f>
        <v>0</v>
      </c>
      <c r="I306" s="16"/>
    </row>
    <row r="307" customFormat="false" ht="15" hidden="false" customHeight="true" outlineLevel="0" collapsed="false">
      <c r="A307" s="16"/>
      <c r="B307" s="17"/>
      <c r="C307" s="18"/>
      <c r="D307" s="18"/>
      <c r="E307" s="19"/>
      <c r="F307" s="20" t="n">
        <f aca="false">IF($C307=0,0,$C307-$D307)</f>
        <v>0</v>
      </c>
      <c r="G307" s="20" t="n">
        <f aca="false">IF($F307=0,0,$F307*$E307)</f>
        <v>0</v>
      </c>
      <c r="H307" s="20" t="n">
        <f aca="false">$F307-$G307</f>
        <v>0</v>
      </c>
      <c r="I307" s="16"/>
    </row>
    <row r="308" customFormat="false" ht="15" hidden="false" customHeight="true" outlineLevel="0" collapsed="false">
      <c r="A308" s="16"/>
      <c r="B308" s="17"/>
      <c r="C308" s="18"/>
      <c r="D308" s="18"/>
      <c r="E308" s="19"/>
      <c r="F308" s="20" t="n">
        <f aca="false">IF($C308=0,0,$C308-$D308)</f>
        <v>0</v>
      </c>
      <c r="G308" s="20" t="n">
        <f aca="false">IF($F308=0,0,$F308*$E308)</f>
        <v>0</v>
      </c>
      <c r="H308" s="20" t="n">
        <f aca="false">$F308-$G308</f>
        <v>0</v>
      </c>
      <c r="I308" s="16"/>
    </row>
    <row r="309" customFormat="false" ht="15" hidden="false" customHeight="true" outlineLevel="0" collapsed="false">
      <c r="A309" s="16"/>
      <c r="B309" s="17"/>
      <c r="C309" s="18"/>
      <c r="D309" s="18"/>
      <c r="E309" s="19"/>
      <c r="F309" s="20" t="n">
        <f aca="false">IF($C309=0,0,$C309-$D309)</f>
        <v>0</v>
      </c>
      <c r="G309" s="20" t="n">
        <f aca="false">IF($F309=0,0,$F309*$E309)</f>
        <v>0</v>
      </c>
      <c r="H309" s="20" t="n">
        <f aca="false">$F309-$G309</f>
        <v>0</v>
      </c>
      <c r="I309" s="16"/>
    </row>
    <row r="310" customFormat="false" ht="15" hidden="false" customHeight="true" outlineLevel="0" collapsed="false">
      <c r="A310" s="16"/>
      <c r="B310" s="17"/>
      <c r="C310" s="18"/>
      <c r="D310" s="18"/>
      <c r="E310" s="19"/>
      <c r="F310" s="20" t="n">
        <f aca="false">IF($C310=0,0,$C310-$D310)</f>
        <v>0</v>
      </c>
      <c r="G310" s="20" t="n">
        <f aca="false">IF($F310=0,0,$F310*$E310)</f>
        <v>0</v>
      </c>
      <c r="H310" s="20" t="n">
        <f aca="false">$F310-$G310</f>
        <v>0</v>
      </c>
      <c r="I310" s="16"/>
    </row>
    <row r="311" customFormat="false" ht="15" hidden="false" customHeight="true" outlineLevel="0" collapsed="false">
      <c r="A311" s="16"/>
      <c r="B311" s="17"/>
      <c r="C311" s="18"/>
      <c r="D311" s="18"/>
      <c r="E311" s="19"/>
      <c r="F311" s="20" t="n">
        <f aca="false">IF($C311=0,0,$C311-$D311)</f>
        <v>0</v>
      </c>
      <c r="G311" s="20" t="n">
        <f aca="false">IF($F311=0,0,$F311*$E311)</f>
        <v>0</v>
      </c>
      <c r="H311" s="20" t="n">
        <f aca="false">$F311-$G311</f>
        <v>0</v>
      </c>
      <c r="I311" s="16"/>
    </row>
    <row r="312" customFormat="false" ht="15" hidden="false" customHeight="true" outlineLevel="0" collapsed="false">
      <c r="A312" s="16"/>
      <c r="B312" s="17"/>
      <c r="C312" s="18"/>
      <c r="D312" s="18"/>
      <c r="E312" s="19"/>
      <c r="F312" s="20" t="n">
        <f aca="false">IF($C312=0,0,$C312-$D312)</f>
        <v>0</v>
      </c>
      <c r="G312" s="20" t="n">
        <f aca="false">IF($F312=0,0,$F312*$E312)</f>
        <v>0</v>
      </c>
      <c r="H312" s="20" t="n">
        <f aca="false">$F312-$G312</f>
        <v>0</v>
      </c>
      <c r="I312" s="16"/>
    </row>
    <row r="313" customFormat="false" ht="15" hidden="false" customHeight="true" outlineLevel="0" collapsed="false">
      <c r="A313" s="16"/>
      <c r="B313" s="17"/>
      <c r="C313" s="18"/>
      <c r="D313" s="18"/>
      <c r="E313" s="19"/>
      <c r="F313" s="20" t="n">
        <f aca="false">IF($C313=0,0,$C313-$D313)</f>
        <v>0</v>
      </c>
      <c r="G313" s="20" t="n">
        <f aca="false">IF($F313=0,0,$F313*$E313)</f>
        <v>0</v>
      </c>
      <c r="H313" s="20" t="n">
        <f aca="false">$F313-$G313</f>
        <v>0</v>
      </c>
      <c r="I313" s="16"/>
    </row>
    <row r="314" customFormat="false" ht="15" hidden="false" customHeight="true" outlineLevel="0" collapsed="false">
      <c r="A314" s="16"/>
      <c r="B314" s="17"/>
      <c r="C314" s="18"/>
      <c r="D314" s="18"/>
      <c r="E314" s="19"/>
      <c r="F314" s="20" t="n">
        <f aca="false">IF($C314=0,0,$C314-$D314)</f>
        <v>0</v>
      </c>
      <c r="G314" s="20" t="n">
        <f aca="false">IF($F314=0,0,$F314*$E314)</f>
        <v>0</v>
      </c>
      <c r="H314" s="20" t="n">
        <f aca="false">$F314-$G314</f>
        <v>0</v>
      </c>
      <c r="I314" s="16"/>
    </row>
    <row r="315" customFormat="false" ht="15" hidden="false" customHeight="true" outlineLevel="0" collapsed="false">
      <c r="A315" s="16"/>
      <c r="B315" s="17"/>
      <c r="C315" s="18"/>
      <c r="D315" s="18"/>
      <c r="E315" s="19"/>
      <c r="F315" s="20" t="n">
        <f aca="false">IF($C315=0,0,$C315-$D315)</f>
        <v>0</v>
      </c>
      <c r="G315" s="20" t="n">
        <f aca="false">IF($F315=0,0,$F315*$E315)</f>
        <v>0</v>
      </c>
      <c r="H315" s="20" t="n">
        <f aca="false">$F315-$G315</f>
        <v>0</v>
      </c>
      <c r="I315" s="16"/>
    </row>
    <row r="316" customFormat="false" ht="15" hidden="false" customHeight="true" outlineLevel="0" collapsed="false">
      <c r="A316" s="16"/>
      <c r="B316" s="17"/>
      <c r="C316" s="18"/>
      <c r="D316" s="18"/>
      <c r="E316" s="19"/>
      <c r="F316" s="20" t="n">
        <f aca="false">IF($C316=0,0,$C316-$D316)</f>
        <v>0</v>
      </c>
      <c r="G316" s="20" t="n">
        <f aca="false">IF($F316=0,0,$F316*$E316)</f>
        <v>0</v>
      </c>
      <c r="H316" s="20" t="n">
        <f aca="false">$F316-$G316</f>
        <v>0</v>
      </c>
      <c r="I316" s="16"/>
    </row>
    <row r="317" customFormat="false" ht="15" hidden="false" customHeight="true" outlineLevel="0" collapsed="false">
      <c r="A317" s="16"/>
      <c r="B317" s="17"/>
      <c r="C317" s="18"/>
      <c r="D317" s="18"/>
      <c r="E317" s="19"/>
      <c r="F317" s="20" t="n">
        <f aca="false">IF($C317=0,0,$C317-$D317)</f>
        <v>0</v>
      </c>
      <c r="G317" s="20" t="n">
        <f aca="false">IF($F317=0,0,$F317*$E317)</f>
        <v>0</v>
      </c>
      <c r="H317" s="20" t="n">
        <f aca="false">$F317-$G317</f>
        <v>0</v>
      </c>
      <c r="I317" s="16"/>
    </row>
    <row r="318" customFormat="false" ht="15" hidden="false" customHeight="true" outlineLevel="0" collapsed="false">
      <c r="A318" s="16"/>
      <c r="B318" s="17"/>
      <c r="C318" s="18"/>
      <c r="D318" s="18"/>
      <c r="E318" s="19"/>
      <c r="F318" s="20" t="n">
        <f aca="false">IF($C318=0,0,$C318-$D318)</f>
        <v>0</v>
      </c>
      <c r="G318" s="20" t="n">
        <f aca="false">IF($F318=0,0,$F318*$E318)</f>
        <v>0</v>
      </c>
      <c r="H318" s="20" t="n">
        <f aca="false">$F318-$G318</f>
        <v>0</v>
      </c>
      <c r="I318" s="16"/>
    </row>
    <row r="319" customFormat="false" ht="15" hidden="false" customHeight="true" outlineLevel="0" collapsed="false">
      <c r="A319" s="16"/>
      <c r="B319" s="17"/>
      <c r="C319" s="18"/>
      <c r="D319" s="18"/>
      <c r="E319" s="19"/>
      <c r="F319" s="20" t="n">
        <f aca="false">IF($C319=0,0,$C319-$D319)</f>
        <v>0</v>
      </c>
      <c r="G319" s="20" t="n">
        <f aca="false">IF($F319=0,0,$F319*$E319)</f>
        <v>0</v>
      </c>
      <c r="H319" s="20" t="n">
        <f aca="false">$F319-$G319</f>
        <v>0</v>
      </c>
      <c r="I319" s="16"/>
    </row>
    <row r="320" customFormat="false" ht="15" hidden="false" customHeight="true" outlineLevel="0" collapsed="false">
      <c r="A320" s="16"/>
      <c r="B320" s="17"/>
      <c r="C320" s="18"/>
      <c r="D320" s="18"/>
      <c r="E320" s="19"/>
      <c r="F320" s="20" t="n">
        <f aca="false">IF($C320=0,0,$C320-$D320)</f>
        <v>0</v>
      </c>
      <c r="G320" s="20" t="n">
        <f aca="false">IF($F320=0,0,$F320*$E320)</f>
        <v>0</v>
      </c>
      <c r="H320" s="20" t="n">
        <f aca="false">$F320-$G320</f>
        <v>0</v>
      </c>
      <c r="I320" s="16"/>
    </row>
    <row r="321" customFormat="false" ht="15" hidden="false" customHeight="true" outlineLevel="0" collapsed="false">
      <c r="A321" s="16"/>
      <c r="B321" s="17"/>
      <c r="C321" s="18"/>
      <c r="D321" s="18"/>
      <c r="E321" s="19"/>
      <c r="F321" s="20" t="n">
        <f aca="false">IF($C321=0,0,$C321-$D321)</f>
        <v>0</v>
      </c>
      <c r="G321" s="20" t="n">
        <f aca="false">IF($F321=0,0,$F321*$E321)</f>
        <v>0</v>
      </c>
      <c r="H321" s="20" t="n">
        <f aca="false">$F321-$G321</f>
        <v>0</v>
      </c>
      <c r="I321" s="16"/>
    </row>
    <row r="322" customFormat="false" ht="15" hidden="false" customHeight="true" outlineLevel="0" collapsed="false">
      <c r="A322" s="16"/>
      <c r="B322" s="17"/>
      <c r="C322" s="18"/>
      <c r="D322" s="18"/>
      <c r="E322" s="19"/>
      <c r="F322" s="20" t="n">
        <f aca="false">IF($C322=0,0,$C322-$D322)</f>
        <v>0</v>
      </c>
      <c r="G322" s="20" t="n">
        <f aca="false">IF($F322=0,0,$F322*$E322)</f>
        <v>0</v>
      </c>
      <c r="H322" s="20" t="n">
        <f aca="false">$F322-$G322</f>
        <v>0</v>
      </c>
      <c r="I322" s="16"/>
    </row>
    <row r="323" customFormat="false" ht="15" hidden="false" customHeight="true" outlineLevel="0" collapsed="false">
      <c r="A323" s="16"/>
      <c r="B323" s="17"/>
      <c r="C323" s="18"/>
      <c r="D323" s="18"/>
      <c r="E323" s="19"/>
      <c r="F323" s="20" t="n">
        <f aca="false">IF($C323=0,0,$C323-$D323)</f>
        <v>0</v>
      </c>
      <c r="G323" s="20" t="n">
        <f aca="false">IF($F323=0,0,$F323*$E323)</f>
        <v>0</v>
      </c>
      <c r="H323" s="20" t="n">
        <f aca="false">$F323-$G323</f>
        <v>0</v>
      </c>
      <c r="I323" s="16"/>
    </row>
    <row r="324" customFormat="false" ht="15" hidden="false" customHeight="true" outlineLevel="0" collapsed="false">
      <c r="A324" s="16"/>
      <c r="B324" s="17"/>
      <c r="C324" s="18"/>
      <c r="D324" s="18"/>
      <c r="E324" s="19"/>
      <c r="F324" s="20" t="n">
        <f aca="false">IF($C324=0,0,$C324-$D324)</f>
        <v>0</v>
      </c>
      <c r="G324" s="20" t="n">
        <f aca="false">IF($F324=0,0,$F324*$E324)</f>
        <v>0</v>
      </c>
      <c r="H324" s="20" t="n">
        <f aca="false">$F324-$G324</f>
        <v>0</v>
      </c>
      <c r="I324" s="16"/>
    </row>
    <row r="325" customFormat="false" ht="15" hidden="false" customHeight="true" outlineLevel="0" collapsed="false">
      <c r="A325" s="16"/>
      <c r="B325" s="17"/>
      <c r="C325" s="18"/>
      <c r="D325" s="18"/>
      <c r="E325" s="19"/>
      <c r="F325" s="20" t="n">
        <f aca="false">IF($C325=0,0,$C325-$D325)</f>
        <v>0</v>
      </c>
      <c r="G325" s="20" t="n">
        <f aca="false">IF($F325=0,0,$F325*$E325)</f>
        <v>0</v>
      </c>
      <c r="H325" s="20" t="n">
        <f aca="false">$F325-$G325</f>
        <v>0</v>
      </c>
      <c r="I325" s="16"/>
    </row>
    <row r="326" customFormat="false" ht="15" hidden="false" customHeight="true" outlineLevel="0" collapsed="false">
      <c r="A326" s="16"/>
      <c r="B326" s="17"/>
      <c r="C326" s="18"/>
      <c r="D326" s="18"/>
      <c r="E326" s="19"/>
      <c r="F326" s="20" t="n">
        <f aca="false">IF($C326=0,0,$C326-$D326)</f>
        <v>0</v>
      </c>
      <c r="G326" s="20" t="n">
        <f aca="false">IF($F326=0,0,$F326*$E326)</f>
        <v>0</v>
      </c>
      <c r="H326" s="20" t="n">
        <f aca="false">$F326-$G326</f>
        <v>0</v>
      </c>
      <c r="I326" s="16"/>
    </row>
    <row r="327" customFormat="false" ht="15" hidden="false" customHeight="true" outlineLevel="0" collapsed="false">
      <c r="A327" s="16"/>
      <c r="B327" s="17"/>
      <c r="C327" s="18"/>
      <c r="D327" s="18"/>
      <c r="E327" s="19"/>
      <c r="F327" s="20" t="n">
        <f aca="false">IF($C327=0,0,$C327-$D327)</f>
        <v>0</v>
      </c>
      <c r="G327" s="20" t="n">
        <f aca="false">IF($F327=0,0,$F327*$E327)</f>
        <v>0</v>
      </c>
      <c r="H327" s="20" t="n">
        <f aca="false">$F327-$G327</f>
        <v>0</v>
      </c>
      <c r="I327" s="16"/>
    </row>
    <row r="328" customFormat="false" ht="15" hidden="false" customHeight="true" outlineLevel="0" collapsed="false">
      <c r="A328" s="16"/>
      <c r="B328" s="17"/>
      <c r="C328" s="18"/>
      <c r="D328" s="18"/>
      <c r="E328" s="19"/>
      <c r="F328" s="20" t="n">
        <f aca="false">IF($C328=0,0,$C328-$D328)</f>
        <v>0</v>
      </c>
      <c r="G328" s="20" t="n">
        <f aca="false">IF($F328=0,0,$F328*$E328)</f>
        <v>0</v>
      </c>
      <c r="H328" s="20" t="n">
        <f aca="false">$F328-$G328</f>
        <v>0</v>
      </c>
      <c r="I328" s="16"/>
    </row>
    <row r="329" customFormat="false" ht="15" hidden="false" customHeight="true" outlineLevel="0" collapsed="false">
      <c r="A329" s="16"/>
      <c r="B329" s="17"/>
      <c r="C329" s="18"/>
      <c r="D329" s="18"/>
      <c r="E329" s="19"/>
      <c r="F329" s="20" t="n">
        <f aca="false">IF($C329=0,0,$C329-$D329)</f>
        <v>0</v>
      </c>
      <c r="G329" s="20" t="n">
        <f aca="false">IF($F329=0,0,$F329*$E329)</f>
        <v>0</v>
      </c>
      <c r="H329" s="20" t="n">
        <f aca="false">$F329-$G329</f>
        <v>0</v>
      </c>
      <c r="I329" s="16"/>
    </row>
    <row r="330" customFormat="false" ht="15" hidden="false" customHeight="true" outlineLevel="0" collapsed="false">
      <c r="A330" s="16"/>
      <c r="B330" s="17"/>
      <c r="C330" s="18"/>
      <c r="D330" s="18"/>
      <c r="E330" s="19"/>
      <c r="F330" s="20" t="n">
        <f aca="false">IF($C330=0,0,$C330-$D330)</f>
        <v>0</v>
      </c>
      <c r="G330" s="20" t="n">
        <f aca="false">IF($F330=0,0,$F330*$E330)</f>
        <v>0</v>
      </c>
      <c r="H330" s="20" t="n">
        <f aca="false">$F330-$G330</f>
        <v>0</v>
      </c>
      <c r="I330" s="16"/>
    </row>
    <row r="331" customFormat="false" ht="15" hidden="false" customHeight="true" outlineLevel="0" collapsed="false">
      <c r="A331" s="16"/>
      <c r="B331" s="17"/>
      <c r="C331" s="18"/>
      <c r="D331" s="18"/>
      <c r="E331" s="19"/>
      <c r="F331" s="20" t="n">
        <f aca="false">IF($C331=0,0,$C331-$D331)</f>
        <v>0</v>
      </c>
      <c r="G331" s="20" t="n">
        <f aca="false">IF($F331=0,0,$F331*$E331)</f>
        <v>0</v>
      </c>
      <c r="H331" s="20" t="n">
        <f aca="false">$F331-$G331</f>
        <v>0</v>
      </c>
      <c r="I331" s="16"/>
    </row>
    <row r="332" customFormat="false" ht="15" hidden="false" customHeight="true" outlineLevel="0" collapsed="false">
      <c r="A332" s="16"/>
      <c r="B332" s="17"/>
      <c r="C332" s="18"/>
      <c r="D332" s="18"/>
      <c r="E332" s="19"/>
      <c r="F332" s="20" t="n">
        <f aca="false">IF($C332=0,0,$C332-$D332)</f>
        <v>0</v>
      </c>
      <c r="G332" s="20" t="n">
        <f aca="false">IF($F332=0,0,$F332*$E332)</f>
        <v>0</v>
      </c>
      <c r="H332" s="20" t="n">
        <f aca="false">$F332-$G332</f>
        <v>0</v>
      </c>
      <c r="I332" s="16"/>
    </row>
    <row r="333" customFormat="false" ht="15" hidden="false" customHeight="true" outlineLevel="0" collapsed="false">
      <c r="A333" s="16"/>
      <c r="B333" s="17"/>
      <c r="C333" s="18"/>
      <c r="D333" s="18"/>
      <c r="E333" s="19"/>
      <c r="F333" s="20" t="n">
        <f aca="false">IF($C333=0,0,$C333-$D333)</f>
        <v>0</v>
      </c>
      <c r="G333" s="20" t="n">
        <f aca="false">IF($F333=0,0,$F333*$E333)</f>
        <v>0</v>
      </c>
      <c r="H333" s="20" t="n">
        <f aca="false">$F333-$G333</f>
        <v>0</v>
      </c>
      <c r="I333" s="16"/>
    </row>
    <row r="334" customFormat="false" ht="15" hidden="false" customHeight="true" outlineLevel="0" collapsed="false">
      <c r="A334" s="16"/>
      <c r="B334" s="17"/>
      <c r="C334" s="18"/>
      <c r="D334" s="18"/>
      <c r="E334" s="19"/>
      <c r="F334" s="20" t="n">
        <f aca="false">IF($C334=0,0,$C334-$D334)</f>
        <v>0</v>
      </c>
      <c r="G334" s="20" t="n">
        <f aca="false">IF($F334=0,0,$F334*$E334)</f>
        <v>0</v>
      </c>
      <c r="H334" s="20" t="n">
        <f aca="false">$F334-$G334</f>
        <v>0</v>
      </c>
      <c r="I334" s="16"/>
    </row>
    <row r="335" customFormat="false" ht="15" hidden="false" customHeight="true" outlineLevel="0" collapsed="false">
      <c r="A335" s="16"/>
      <c r="B335" s="17"/>
      <c r="C335" s="18"/>
      <c r="D335" s="18"/>
      <c r="E335" s="19"/>
      <c r="F335" s="20" t="n">
        <f aca="false">IF($C335=0,0,$C335-$D335)</f>
        <v>0</v>
      </c>
      <c r="G335" s="20" t="n">
        <f aca="false">IF($F335=0,0,$F335*$E335)</f>
        <v>0</v>
      </c>
      <c r="H335" s="20" t="n">
        <f aca="false">$F335-$G335</f>
        <v>0</v>
      </c>
      <c r="I335" s="16"/>
    </row>
    <row r="336" customFormat="false" ht="15" hidden="false" customHeight="true" outlineLevel="0" collapsed="false">
      <c r="A336" s="16"/>
      <c r="B336" s="17"/>
      <c r="C336" s="18"/>
      <c r="D336" s="18"/>
      <c r="E336" s="19"/>
      <c r="F336" s="20" t="n">
        <f aca="false">IF($C336=0,0,$C336-$D336)</f>
        <v>0</v>
      </c>
      <c r="G336" s="20" t="n">
        <f aca="false">IF($F336=0,0,$F336*$E336)</f>
        <v>0</v>
      </c>
      <c r="H336" s="20" t="n">
        <f aca="false">$F336-$G336</f>
        <v>0</v>
      </c>
      <c r="I336" s="16"/>
    </row>
    <row r="337" customFormat="false" ht="15" hidden="false" customHeight="true" outlineLevel="0" collapsed="false">
      <c r="A337" s="16"/>
      <c r="B337" s="17"/>
      <c r="C337" s="18"/>
      <c r="D337" s="18"/>
      <c r="E337" s="19"/>
      <c r="F337" s="20" t="n">
        <f aca="false">IF($C337=0,0,$C337-$D337)</f>
        <v>0</v>
      </c>
      <c r="G337" s="20" t="n">
        <f aca="false">IF($F337=0,0,$F337*$E337)</f>
        <v>0</v>
      </c>
      <c r="H337" s="20" t="n">
        <f aca="false">$F337-$G337</f>
        <v>0</v>
      </c>
      <c r="I337" s="16"/>
    </row>
    <row r="338" customFormat="false" ht="15" hidden="false" customHeight="true" outlineLevel="0" collapsed="false">
      <c r="A338" s="16"/>
      <c r="B338" s="17"/>
      <c r="C338" s="18"/>
      <c r="D338" s="18"/>
      <c r="E338" s="19"/>
      <c r="F338" s="20" t="n">
        <f aca="false">IF($C338=0,0,$C338-$D338)</f>
        <v>0</v>
      </c>
      <c r="G338" s="20" t="n">
        <f aca="false">IF($F338=0,0,$F338*$E338)</f>
        <v>0</v>
      </c>
      <c r="H338" s="20" t="n">
        <f aca="false">$F338-$G338</f>
        <v>0</v>
      </c>
      <c r="I338" s="16"/>
    </row>
    <row r="339" customFormat="false" ht="15" hidden="false" customHeight="true" outlineLevel="0" collapsed="false">
      <c r="A339" s="16"/>
      <c r="B339" s="17"/>
      <c r="C339" s="18"/>
      <c r="D339" s="18"/>
      <c r="E339" s="19"/>
      <c r="F339" s="20" t="n">
        <f aca="false">IF($C339=0,0,$C339-$D339)</f>
        <v>0</v>
      </c>
      <c r="G339" s="20" t="n">
        <f aca="false">IF($F339=0,0,$F339*$E339)</f>
        <v>0</v>
      </c>
      <c r="H339" s="20" t="n">
        <f aca="false">$F339-$G339</f>
        <v>0</v>
      </c>
      <c r="I339" s="16"/>
    </row>
    <row r="340" customFormat="false" ht="15" hidden="false" customHeight="true" outlineLevel="0" collapsed="false">
      <c r="A340" s="16"/>
      <c r="B340" s="17"/>
      <c r="C340" s="18"/>
      <c r="D340" s="18"/>
      <c r="E340" s="19"/>
      <c r="F340" s="20" t="n">
        <f aca="false">IF($C340=0,0,$C340-$D340)</f>
        <v>0</v>
      </c>
      <c r="G340" s="20" t="n">
        <f aca="false">IF($F340=0,0,$F340*$E340)</f>
        <v>0</v>
      </c>
      <c r="H340" s="20" t="n">
        <f aca="false">$F340-$G340</f>
        <v>0</v>
      </c>
      <c r="I340" s="16"/>
    </row>
    <row r="341" customFormat="false" ht="15" hidden="false" customHeight="true" outlineLevel="0" collapsed="false">
      <c r="A341" s="16"/>
      <c r="B341" s="17"/>
      <c r="C341" s="18"/>
      <c r="D341" s="18"/>
      <c r="E341" s="19"/>
      <c r="F341" s="20" t="n">
        <f aca="false">IF($C341=0,0,$C341-$D341)</f>
        <v>0</v>
      </c>
      <c r="G341" s="20" t="n">
        <f aca="false">IF($F341=0,0,$F341*$E341)</f>
        <v>0</v>
      </c>
      <c r="H341" s="20" t="n">
        <f aca="false">$F341-$G341</f>
        <v>0</v>
      </c>
      <c r="I341" s="16"/>
    </row>
    <row r="342" customFormat="false" ht="15" hidden="false" customHeight="true" outlineLevel="0" collapsed="false">
      <c r="A342" s="16"/>
      <c r="B342" s="17"/>
      <c r="C342" s="18"/>
      <c r="D342" s="18"/>
      <c r="E342" s="19"/>
      <c r="F342" s="20" t="n">
        <f aca="false">IF($C342=0,0,$C342-$D342)</f>
        <v>0</v>
      </c>
      <c r="G342" s="20" t="n">
        <f aca="false">IF($F342=0,0,$F342*$E342)</f>
        <v>0</v>
      </c>
      <c r="H342" s="20" t="n">
        <f aca="false">$F342-$G342</f>
        <v>0</v>
      </c>
      <c r="I342" s="16"/>
    </row>
    <row r="343" customFormat="false" ht="15" hidden="false" customHeight="true" outlineLevel="0" collapsed="false">
      <c r="A343" s="16"/>
      <c r="B343" s="17"/>
      <c r="C343" s="18"/>
      <c r="D343" s="18"/>
      <c r="E343" s="19"/>
      <c r="F343" s="20" t="n">
        <f aca="false">IF($C343=0,0,$C343-$D343)</f>
        <v>0</v>
      </c>
      <c r="G343" s="20" t="n">
        <f aca="false">IF($F343=0,0,$F343*$E343)</f>
        <v>0</v>
      </c>
      <c r="H343" s="20" t="n">
        <f aca="false">$F343-$G343</f>
        <v>0</v>
      </c>
      <c r="I343" s="16"/>
    </row>
    <row r="344" customFormat="false" ht="15" hidden="false" customHeight="true" outlineLevel="0" collapsed="false">
      <c r="A344" s="16"/>
      <c r="B344" s="17"/>
      <c r="C344" s="18"/>
      <c r="D344" s="18"/>
      <c r="E344" s="19"/>
      <c r="F344" s="20" t="n">
        <f aca="false">IF($C344=0,0,$C344-$D344)</f>
        <v>0</v>
      </c>
      <c r="G344" s="20" t="n">
        <f aca="false">IF($F344=0,0,$F344*$E344)</f>
        <v>0</v>
      </c>
      <c r="H344" s="20" t="n">
        <f aca="false">$F344-$G344</f>
        <v>0</v>
      </c>
      <c r="I344" s="16"/>
    </row>
    <row r="345" customFormat="false" ht="15" hidden="false" customHeight="true" outlineLevel="0" collapsed="false">
      <c r="A345" s="16"/>
      <c r="B345" s="17"/>
      <c r="C345" s="18"/>
      <c r="D345" s="18"/>
      <c r="E345" s="19"/>
      <c r="F345" s="20" t="n">
        <f aca="false">IF($C345=0,0,$C345-$D345)</f>
        <v>0</v>
      </c>
      <c r="G345" s="20" t="n">
        <f aca="false">IF($F345=0,0,$F345*$E345)</f>
        <v>0</v>
      </c>
      <c r="H345" s="20" t="n">
        <f aca="false">$F345-$G345</f>
        <v>0</v>
      </c>
      <c r="I345" s="16"/>
    </row>
    <row r="346" customFormat="false" ht="15" hidden="false" customHeight="true" outlineLevel="0" collapsed="false">
      <c r="A346" s="16"/>
      <c r="B346" s="17"/>
      <c r="C346" s="18"/>
      <c r="D346" s="18"/>
      <c r="E346" s="19"/>
      <c r="F346" s="20" t="n">
        <f aca="false">IF($C346=0,0,$C346-$D346)</f>
        <v>0</v>
      </c>
      <c r="G346" s="20" t="n">
        <f aca="false">IF($F346=0,0,$F346*$E346)</f>
        <v>0</v>
      </c>
      <c r="H346" s="20" t="n">
        <f aca="false">$F346-$G346</f>
        <v>0</v>
      </c>
      <c r="I346" s="16"/>
    </row>
    <row r="347" customFormat="false" ht="15" hidden="false" customHeight="true" outlineLevel="0" collapsed="false">
      <c r="A347" s="16"/>
      <c r="B347" s="17"/>
      <c r="C347" s="18"/>
      <c r="D347" s="18"/>
      <c r="E347" s="19"/>
      <c r="F347" s="20" t="n">
        <f aca="false">IF($C347=0,0,$C347-$D347)</f>
        <v>0</v>
      </c>
      <c r="G347" s="20" t="n">
        <f aca="false">IF($F347=0,0,$F347*$E347)</f>
        <v>0</v>
      </c>
      <c r="H347" s="20" t="n">
        <f aca="false">$F347-$G347</f>
        <v>0</v>
      </c>
      <c r="I347" s="16"/>
    </row>
    <row r="348" customFormat="false" ht="15" hidden="false" customHeight="true" outlineLevel="0" collapsed="false">
      <c r="A348" s="16"/>
      <c r="B348" s="17"/>
      <c r="C348" s="18"/>
      <c r="D348" s="18"/>
      <c r="E348" s="19"/>
      <c r="F348" s="20" t="n">
        <f aca="false">IF($C348=0,0,$C348-$D348)</f>
        <v>0</v>
      </c>
      <c r="G348" s="20" t="n">
        <f aca="false">IF($F348=0,0,$F348*$E348)</f>
        <v>0</v>
      </c>
      <c r="H348" s="20" t="n">
        <f aca="false">$F348-$G348</f>
        <v>0</v>
      </c>
      <c r="I348" s="16"/>
    </row>
    <row r="349" customFormat="false" ht="15" hidden="false" customHeight="true" outlineLevel="0" collapsed="false">
      <c r="A349" s="16"/>
      <c r="B349" s="17"/>
      <c r="C349" s="18"/>
      <c r="D349" s="18"/>
      <c r="E349" s="19"/>
      <c r="F349" s="20" t="n">
        <f aca="false">IF($C349=0,0,$C349-$D349)</f>
        <v>0</v>
      </c>
      <c r="G349" s="20" t="n">
        <f aca="false">IF($F349=0,0,$F349*$E349)</f>
        <v>0</v>
      </c>
      <c r="H349" s="20" t="n">
        <f aca="false">$F349-$G349</f>
        <v>0</v>
      </c>
      <c r="I349" s="16"/>
    </row>
    <row r="350" customFormat="false" ht="15" hidden="false" customHeight="true" outlineLevel="0" collapsed="false">
      <c r="A350" s="16"/>
      <c r="B350" s="17"/>
      <c r="C350" s="18"/>
      <c r="D350" s="18"/>
      <c r="E350" s="19"/>
      <c r="F350" s="20" t="n">
        <f aca="false">IF($C350=0,0,$C350-$D350)</f>
        <v>0</v>
      </c>
      <c r="G350" s="20" t="n">
        <f aca="false">IF($F350=0,0,$F350*$E350)</f>
        <v>0</v>
      </c>
      <c r="H350" s="20" t="n">
        <f aca="false">$F350-$G350</f>
        <v>0</v>
      </c>
      <c r="I350" s="16"/>
    </row>
    <row r="351" customFormat="false" ht="15" hidden="false" customHeight="true" outlineLevel="0" collapsed="false">
      <c r="A351" s="16"/>
      <c r="B351" s="17"/>
      <c r="C351" s="18"/>
      <c r="D351" s="18"/>
      <c r="E351" s="19"/>
      <c r="F351" s="20" t="n">
        <f aca="false">IF($C351=0,0,$C351-$D351)</f>
        <v>0</v>
      </c>
      <c r="G351" s="20" t="n">
        <f aca="false">IF($F351=0,0,$F351*$E351)</f>
        <v>0</v>
      </c>
      <c r="H351" s="20" t="n">
        <f aca="false">$F351-$G351</f>
        <v>0</v>
      </c>
      <c r="I351" s="16"/>
    </row>
    <row r="352" customFormat="false" ht="15" hidden="false" customHeight="true" outlineLevel="0" collapsed="false">
      <c r="A352" s="16"/>
      <c r="B352" s="17"/>
      <c r="C352" s="18"/>
      <c r="D352" s="18"/>
      <c r="E352" s="19"/>
      <c r="F352" s="20" t="n">
        <f aca="false">IF($C352=0,0,$C352-$D352)</f>
        <v>0</v>
      </c>
      <c r="G352" s="20" t="n">
        <f aca="false">IF($F352=0,0,$F352*$E352)</f>
        <v>0</v>
      </c>
      <c r="H352" s="20" t="n">
        <f aca="false">$F352-$G352</f>
        <v>0</v>
      </c>
      <c r="I352" s="16"/>
    </row>
    <row r="353" customFormat="false" ht="15" hidden="false" customHeight="true" outlineLevel="0" collapsed="false">
      <c r="A353" s="16"/>
      <c r="B353" s="17"/>
      <c r="C353" s="18"/>
      <c r="D353" s="18"/>
      <c r="E353" s="19"/>
      <c r="F353" s="20" t="n">
        <f aca="false">IF($C353=0,0,$C353-$D353)</f>
        <v>0</v>
      </c>
      <c r="G353" s="20" t="n">
        <f aca="false">IF($F353=0,0,$F353*$E353)</f>
        <v>0</v>
      </c>
      <c r="H353" s="20" t="n">
        <f aca="false">$F353-$G353</f>
        <v>0</v>
      </c>
      <c r="I353" s="16"/>
    </row>
    <row r="354" customFormat="false" ht="15" hidden="false" customHeight="true" outlineLevel="0" collapsed="false">
      <c r="A354" s="16"/>
      <c r="B354" s="17"/>
      <c r="C354" s="18"/>
      <c r="D354" s="18"/>
      <c r="E354" s="19"/>
      <c r="F354" s="20" t="n">
        <f aca="false">IF($C354=0,0,$C354-$D354)</f>
        <v>0</v>
      </c>
      <c r="G354" s="20" t="n">
        <f aca="false">IF($F354=0,0,$F354*$E354)</f>
        <v>0</v>
      </c>
      <c r="H354" s="20" t="n">
        <f aca="false">$F354-$G354</f>
        <v>0</v>
      </c>
      <c r="I354" s="16"/>
    </row>
    <row r="355" customFormat="false" ht="15" hidden="false" customHeight="true" outlineLevel="0" collapsed="false">
      <c r="A355" s="16"/>
      <c r="B355" s="17"/>
      <c r="C355" s="18"/>
      <c r="D355" s="18"/>
      <c r="E355" s="19"/>
      <c r="F355" s="20" t="n">
        <f aca="false">IF($C355=0,0,$C355-$D355)</f>
        <v>0</v>
      </c>
      <c r="G355" s="20" t="n">
        <f aca="false">IF($F355=0,0,$F355*$E355)</f>
        <v>0</v>
      </c>
      <c r="H355" s="20" t="n">
        <f aca="false">$F355-$G355</f>
        <v>0</v>
      </c>
      <c r="I355" s="16"/>
    </row>
    <row r="356" customFormat="false" ht="15" hidden="false" customHeight="true" outlineLevel="0" collapsed="false">
      <c r="A356" s="16"/>
      <c r="B356" s="17"/>
      <c r="C356" s="18"/>
      <c r="D356" s="18"/>
      <c r="E356" s="19"/>
      <c r="F356" s="20" t="n">
        <f aca="false">IF($C356=0,0,$C356-$D356)</f>
        <v>0</v>
      </c>
      <c r="G356" s="20" t="n">
        <f aca="false">IF($F356=0,0,$F356*$E356)</f>
        <v>0</v>
      </c>
      <c r="H356" s="20" t="n">
        <f aca="false">$F356-$G356</f>
        <v>0</v>
      </c>
      <c r="I356" s="16"/>
    </row>
    <row r="357" customFormat="false" ht="15" hidden="false" customHeight="true" outlineLevel="0" collapsed="false">
      <c r="A357" s="16"/>
      <c r="B357" s="17"/>
      <c r="C357" s="18"/>
      <c r="D357" s="18"/>
      <c r="E357" s="19"/>
      <c r="F357" s="20" t="n">
        <f aca="false">IF($C357=0,0,$C357-$D357)</f>
        <v>0</v>
      </c>
      <c r="G357" s="20" t="n">
        <f aca="false">IF($F357=0,0,$F357*$E357)</f>
        <v>0</v>
      </c>
      <c r="H357" s="20" t="n">
        <f aca="false">$F357-$G357</f>
        <v>0</v>
      </c>
      <c r="I357" s="16"/>
    </row>
    <row r="358" customFormat="false" ht="15" hidden="false" customHeight="true" outlineLevel="0" collapsed="false">
      <c r="A358" s="16"/>
      <c r="B358" s="17"/>
      <c r="C358" s="18"/>
      <c r="D358" s="18"/>
      <c r="E358" s="19"/>
      <c r="F358" s="20" t="n">
        <f aca="false">IF($C358=0,0,$C358-$D358)</f>
        <v>0</v>
      </c>
      <c r="G358" s="20" t="n">
        <f aca="false">IF($F358=0,0,$F358*$E358)</f>
        <v>0</v>
      </c>
      <c r="H358" s="20" t="n">
        <f aca="false">$F358-$G358</f>
        <v>0</v>
      </c>
      <c r="I358" s="16"/>
    </row>
    <row r="359" customFormat="false" ht="15" hidden="false" customHeight="true" outlineLevel="0" collapsed="false">
      <c r="A359" s="16"/>
      <c r="B359" s="17"/>
      <c r="C359" s="18"/>
      <c r="D359" s="18"/>
      <c r="E359" s="19"/>
      <c r="F359" s="20" t="n">
        <f aca="false">IF($C359=0,0,$C359-$D359)</f>
        <v>0</v>
      </c>
      <c r="G359" s="20" t="n">
        <f aca="false">IF($F359=0,0,$F359*$E359)</f>
        <v>0</v>
      </c>
      <c r="H359" s="20" t="n">
        <f aca="false">$F359-$G359</f>
        <v>0</v>
      </c>
      <c r="I359" s="16"/>
    </row>
    <row r="360" customFormat="false" ht="15" hidden="false" customHeight="true" outlineLevel="0" collapsed="false">
      <c r="A360" s="16"/>
      <c r="B360" s="17"/>
      <c r="C360" s="18"/>
      <c r="D360" s="18"/>
      <c r="E360" s="19"/>
      <c r="F360" s="20" t="n">
        <f aca="false">IF($C360=0,0,$C360-$D360)</f>
        <v>0</v>
      </c>
      <c r="G360" s="20" t="n">
        <f aca="false">IF($F360=0,0,$F360*$E360)</f>
        <v>0</v>
      </c>
      <c r="H360" s="20" t="n">
        <f aca="false">$F360-$G360</f>
        <v>0</v>
      </c>
      <c r="I360" s="16"/>
    </row>
    <row r="361" customFormat="false" ht="15" hidden="false" customHeight="true" outlineLevel="0" collapsed="false">
      <c r="A361" s="16"/>
      <c r="B361" s="17"/>
      <c r="C361" s="18"/>
      <c r="D361" s="18"/>
      <c r="E361" s="19"/>
      <c r="F361" s="20" t="n">
        <f aca="false">IF($C361=0,0,$C361-$D361)</f>
        <v>0</v>
      </c>
      <c r="G361" s="20" t="n">
        <f aca="false">IF($F361=0,0,$F361*$E361)</f>
        <v>0</v>
      </c>
      <c r="H361" s="20" t="n">
        <f aca="false">$F361-$G361</f>
        <v>0</v>
      </c>
      <c r="I361" s="16"/>
    </row>
    <row r="362" customFormat="false" ht="15" hidden="false" customHeight="true" outlineLevel="0" collapsed="false">
      <c r="A362" s="16"/>
      <c r="B362" s="17"/>
      <c r="C362" s="18"/>
      <c r="D362" s="18"/>
      <c r="E362" s="19"/>
      <c r="F362" s="20" t="n">
        <f aca="false">IF($C362=0,0,$C362-$D362)</f>
        <v>0</v>
      </c>
      <c r="G362" s="20" t="n">
        <f aca="false">IF($F362=0,0,$F362*$E362)</f>
        <v>0</v>
      </c>
      <c r="H362" s="20" t="n">
        <f aca="false">$F362-$G362</f>
        <v>0</v>
      </c>
      <c r="I362" s="16"/>
    </row>
    <row r="363" customFormat="false" ht="15" hidden="false" customHeight="true" outlineLevel="0" collapsed="false">
      <c r="A363" s="16"/>
      <c r="B363" s="17"/>
      <c r="C363" s="18"/>
      <c r="D363" s="18"/>
      <c r="E363" s="19"/>
      <c r="F363" s="20" t="n">
        <f aca="false">IF($C363=0,0,$C363-$D363)</f>
        <v>0</v>
      </c>
      <c r="G363" s="20" t="n">
        <f aca="false">IF($F363=0,0,$F363*$E363)</f>
        <v>0</v>
      </c>
      <c r="H363" s="20" t="n">
        <f aca="false">$F363-$G363</f>
        <v>0</v>
      </c>
      <c r="I363" s="16"/>
    </row>
    <row r="364" customFormat="false" ht="15" hidden="false" customHeight="true" outlineLevel="0" collapsed="false">
      <c r="A364" s="16"/>
      <c r="B364" s="17"/>
      <c r="C364" s="18"/>
      <c r="D364" s="18"/>
      <c r="E364" s="19"/>
      <c r="F364" s="20" t="n">
        <f aca="false">IF($C364=0,0,$C364-$D364)</f>
        <v>0</v>
      </c>
      <c r="G364" s="20" t="n">
        <f aca="false">IF($F364=0,0,$F364*$E364)</f>
        <v>0</v>
      </c>
      <c r="H364" s="20" t="n">
        <f aca="false">$F364-$G364</f>
        <v>0</v>
      </c>
      <c r="I364" s="16"/>
    </row>
    <row r="365" customFormat="false" ht="15" hidden="false" customHeight="true" outlineLevel="0" collapsed="false">
      <c r="A365" s="16"/>
      <c r="B365" s="17"/>
      <c r="C365" s="18"/>
      <c r="D365" s="18"/>
      <c r="E365" s="19"/>
      <c r="F365" s="20" t="n">
        <f aca="false">IF($C365=0,0,$C365-$D365)</f>
        <v>0</v>
      </c>
      <c r="G365" s="20" t="n">
        <f aca="false">IF($F365=0,0,$F365*$E365)</f>
        <v>0</v>
      </c>
      <c r="H365" s="20" t="n">
        <f aca="false">$F365-$G365</f>
        <v>0</v>
      </c>
      <c r="I365" s="16"/>
    </row>
    <row r="366" customFormat="false" ht="15" hidden="false" customHeight="true" outlineLevel="0" collapsed="false">
      <c r="A366" s="16"/>
      <c r="B366" s="17"/>
      <c r="C366" s="18"/>
      <c r="D366" s="18"/>
      <c r="E366" s="19"/>
      <c r="F366" s="20" t="n">
        <f aca="false">IF($C366=0,0,$C366-$D366)</f>
        <v>0</v>
      </c>
      <c r="G366" s="20" t="n">
        <f aca="false">IF($F366=0,0,$F366*$E366)</f>
        <v>0</v>
      </c>
      <c r="H366" s="20" t="n">
        <f aca="false">$F366-$G366</f>
        <v>0</v>
      </c>
      <c r="I366" s="16"/>
    </row>
    <row r="367" customFormat="false" ht="15" hidden="false" customHeight="true" outlineLevel="0" collapsed="false">
      <c r="A367" s="16"/>
      <c r="B367" s="17"/>
      <c r="C367" s="18"/>
      <c r="D367" s="18"/>
      <c r="E367" s="19"/>
      <c r="F367" s="20" t="n">
        <f aca="false">IF($C367=0,0,$C367-$D367)</f>
        <v>0</v>
      </c>
      <c r="G367" s="20" t="n">
        <f aca="false">IF($F367=0,0,$F367*$E367)</f>
        <v>0</v>
      </c>
      <c r="H367" s="20" t="n">
        <f aca="false">$F367-$G367</f>
        <v>0</v>
      </c>
      <c r="I367" s="16"/>
    </row>
    <row r="368" customFormat="false" ht="15" hidden="false" customHeight="true" outlineLevel="0" collapsed="false">
      <c r="A368" s="16"/>
      <c r="B368" s="17"/>
      <c r="C368" s="18"/>
      <c r="D368" s="18"/>
      <c r="E368" s="19"/>
      <c r="F368" s="20" t="n">
        <f aca="false">IF($C368=0,0,$C368-$D368)</f>
        <v>0</v>
      </c>
      <c r="G368" s="20" t="n">
        <f aca="false">IF($F368=0,0,$F368*$E368)</f>
        <v>0</v>
      </c>
      <c r="H368" s="20" t="n">
        <f aca="false">$F368-$G368</f>
        <v>0</v>
      </c>
      <c r="I368" s="16"/>
    </row>
    <row r="369" customFormat="false" ht="15" hidden="false" customHeight="true" outlineLevel="0" collapsed="false">
      <c r="A369" s="16"/>
      <c r="B369" s="17"/>
      <c r="C369" s="18"/>
      <c r="D369" s="18"/>
      <c r="E369" s="19"/>
      <c r="F369" s="20" t="n">
        <f aca="false">IF($C369=0,0,$C369-$D369)</f>
        <v>0</v>
      </c>
      <c r="G369" s="20" t="n">
        <f aca="false">IF($F369=0,0,$F369*$E369)</f>
        <v>0</v>
      </c>
      <c r="H369" s="20" t="n">
        <f aca="false">$F369-$G369</f>
        <v>0</v>
      </c>
      <c r="I369" s="16"/>
    </row>
    <row r="370" customFormat="false" ht="15" hidden="false" customHeight="true" outlineLevel="0" collapsed="false">
      <c r="A370" s="16"/>
      <c r="B370" s="17"/>
      <c r="C370" s="18"/>
      <c r="D370" s="18"/>
      <c r="E370" s="19"/>
      <c r="F370" s="20" t="n">
        <f aca="false">IF($C370=0,0,$C370-$D370)</f>
        <v>0</v>
      </c>
      <c r="G370" s="20" t="n">
        <f aca="false">IF($F370=0,0,$F370*$E370)</f>
        <v>0</v>
      </c>
      <c r="H370" s="20" t="n">
        <f aca="false">$F370-$G370</f>
        <v>0</v>
      </c>
      <c r="I370" s="16"/>
    </row>
    <row r="371" customFormat="false" ht="15" hidden="false" customHeight="true" outlineLevel="0" collapsed="false">
      <c r="A371" s="16"/>
      <c r="B371" s="17"/>
      <c r="C371" s="18"/>
      <c r="D371" s="18"/>
      <c r="E371" s="19"/>
      <c r="F371" s="20" t="n">
        <f aca="false">IF($C371=0,0,$C371-$D371)</f>
        <v>0</v>
      </c>
      <c r="G371" s="20" t="n">
        <f aca="false">IF($F371=0,0,$F371*$E371)</f>
        <v>0</v>
      </c>
      <c r="H371" s="20" t="n">
        <f aca="false">$F371-$G371</f>
        <v>0</v>
      </c>
      <c r="I371" s="16"/>
    </row>
    <row r="372" customFormat="false" ht="15" hidden="false" customHeight="true" outlineLevel="0" collapsed="false">
      <c r="A372" s="16"/>
      <c r="B372" s="17"/>
      <c r="C372" s="18"/>
      <c r="D372" s="18"/>
      <c r="E372" s="19"/>
      <c r="F372" s="20" t="n">
        <f aca="false">IF($C372=0,0,$C372-$D372)</f>
        <v>0</v>
      </c>
      <c r="G372" s="20" t="n">
        <f aca="false">IF($F372=0,0,$F372*$E372)</f>
        <v>0</v>
      </c>
      <c r="H372" s="20" t="n">
        <f aca="false">$F372-$G372</f>
        <v>0</v>
      </c>
      <c r="I372" s="16"/>
    </row>
    <row r="373" customFormat="false" ht="15" hidden="false" customHeight="true" outlineLevel="0" collapsed="false">
      <c r="A373" s="16"/>
      <c r="B373" s="17"/>
      <c r="C373" s="18"/>
      <c r="D373" s="18"/>
      <c r="E373" s="19"/>
      <c r="F373" s="20" t="n">
        <f aca="false">IF($C373=0,0,$C373-$D373)</f>
        <v>0</v>
      </c>
      <c r="G373" s="20" t="n">
        <f aca="false">IF($F373=0,0,$F373*$E373)</f>
        <v>0</v>
      </c>
      <c r="H373" s="20" t="n">
        <f aca="false">$F373-$G373</f>
        <v>0</v>
      </c>
      <c r="I373" s="16"/>
    </row>
    <row r="374" customFormat="false" ht="15" hidden="false" customHeight="true" outlineLevel="0" collapsed="false">
      <c r="A374" s="16"/>
      <c r="B374" s="17"/>
      <c r="C374" s="18"/>
      <c r="D374" s="18"/>
      <c r="E374" s="19"/>
      <c r="F374" s="20" t="n">
        <f aca="false">IF($C374=0,0,$C374-$D374)</f>
        <v>0</v>
      </c>
      <c r="G374" s="20" t="n">
        <f aca="false">IF($F374=0,0,$F374*$E374)</f>
        <v>0</v>
      </c>
      <c r="H374" s="20" t="n">
        <f aca="false">$F374-$G374</f>
        <v>0</v>
      </c>
      <c r="I374" s="16"/>
    </row>
    <row r="375" customFormat="false" ht="15" hidden="false" customHeight="true" outlineLevel="0" collapsed="false">
      <c r="A375" s="16"/>
      <c r="B375" s="17"/>
      <c r="C375" s="18"/>
      <c r="D375" s="18"/>
      <c r="E375" s="19"/>
      <c r="F375" s="20" t="n">
        <f aca="false">IF($C375=0,0,$C375-$D375)</f>
        <v>0</v>
      </c>
      <c r="G375" s="20" t="n">
        <f aca="false">IF($F375=0,0,$F375*$E375)</f>
        <v>0</v>
      </c>
      <c r="H375" s="20" t="n">
        <f aca="false">$F375-$G375</f>
        <v>0</v>
      </c>
      <c r="I375" s="16"/>
    </row>
    <row r="376" customFormat="false" ht="15" hidden="false" customHeight="true" outlineLevel="0" collapsed="false">
      <c r="A376" s="16"/>
      <c r="B376" s="17"/>
      <c r="C376" s="18"/>
      <c r="D376" s="18"/>
      <c r="E376" s="19"/>
      <c r="F376" s="20" t="n">
        <f aca="false">IF($C376=0,0,$C376-$D376)</f>
        <v>0</v>
      </c>
      <c r="G376" s="20" t="n">
        <f aca="false">IF($F376=0,0,$F376*$E376)</f>
        <v>0</v>
      </c>
      <c r="H376" s="20" t="n">
        <f aca="false">$F376-$G376</f>
        <v>0</v>
      </c>
      <c r="I376" s="16"/>
    </row>
    <row r="377" customFormat="false" ht="15" hidden="false" customHeight="true" outlineLevel="0" collapsed="false">
      <c r="A377" s="16"/>
      <c r="B377" s="17"/>
      <c r="C377" s="18"/>
      <c r="D377" s="18"/>
      <c r="E377" s="19"/>
      <c r="F377" s="20" t="n">
        <f aca="false">IF($C377=0,0,$C377-$D377)</f>
        <v>0</v>
      </c>
      <c r="G377" s="20" t="n">
        <f aca="false">IF($F377=0,0,$F377*$E377)</f>
        <v>0</v>
      </c>
      <c r="H377" s="20" t="n">
        <f aca="false">$F377-$G377</f>
        <v>0</v>
      </c>
      <c r="I377" s="16"/>
    </row>
    <row r="378" customFormat="false" ht="15" hidden="false" customHeight="true" outlineLevel="0" collapsed="false">
      <c r="A378" s="16"/>
      <c r="B378" s="17"/>
      <c r="C378" s="18"/>
      <c r="D378" s="18"/>
      <c r="E378" s="19"/>
      <c r="F378" s="20" t="n">
        <f aca="false">IF($C378=0,0,$C378-$D378)</f>
        <v>0</v>
      </c>
      <c r="G378" s="20" t="n">
        <f aca="false">IF($F378=0,0,$F378*$E378)</f>
        <v>0</v>
      </c>
      <c r="H378" s="20" t="n">
        <f aca="false">$F378-$G378</f>
        <v>0</v>
      </c>
      <c r="I378" s="16"/>
    </row>
    <row r="379" customFormat="false" ht="15" hidden="false" customHeight="true" outlineLevel="0" collapsed="false">
      <c r="A379" s="16"/>
      <c r="B379" s="17"/>
      <c r="C379" s="18"/>
      <c r="D379" s="18"/>
      <c r="E379" s="19"/>
      <c r="F379" s="20" t="n">
        <f aca="false">IF($C379=0,0,$C379-$D379)</f>
        <v>0</v>
      </c>
      <c r="G379" s="20" t="n">
        <f aca="false">IF($F379=0,0,$F379*$E379)</f>
        <v>0</v>
      </c>
      <c r="H379" s="20" t="n">
        <f aca="false">$F379-$G379</f>
        <v>0</v>
      </c>
      <c r="I379" s="16"/>
    </row>
    <row r="380" customFormat="false" ht="15" hidden="false" customHeight="true" outlineLevel="0" collapsed="false">
      <c r="A380" s="16"/>
      <c r="B380" s="17"/>
      <c r="C380" s="18"/>
      <c r="D380" s="18"/>
      <c r="E380" s="19"/>
      <c r="F380" s="20" t="n">
        <f aca="false">IF($C380=0,0,$C380-$D380)</f>
        <v>0</v>
      </c>
      <c r="G380" s="20" t="n">
        <f aca="false">IF($F380=0,0,$F380*$E380)</f>
        <v>0</v>
      </c>
      <c r="H380" s="20" t="n">
        <f aca="false">$F380-$G380</f>
        <v>0</v>
      </c>
      <c r="I380" s="16"/>
    </row>
    <row r="381" customFormat="false" ht="15" hidden="false" customHeight="true" outlineLevel="0" collapsed="false">
      <c r="A381" s="16"/>
      <c r="B381" s="17"/>
      <c r="C381" s="18"/>
      <c r="D381" s="18"/>
      <c r="E381" s="19"/>
      <c r="F381" s="20" t="n">
        <f aca="false">IF($C381=0,0,$C381-$D381)</f>
        <v>0</v>
      </c>
      <c r="G381" s="20" t="n">
        <f aca="false">IF($F381=0,0,$F381*$E381)</f>
        <v>0</v>
      </c>
      <c r="H381" s="20" t="n">
        <f aca="false">$F381-$G381</f>
        <v>0</v>
      </c>
      <c r="I381" s="16"/>
    </row>
    <row r="382" customFormat="false" ht="15" hidden="false" customHeight="true" outlineLevel="0" collapsed="false">
      <c r="A382" s="16"/>
      <c r="B382" s="17"/>
      <c r="C382" s="18"/>
      <c r="D382" s="18"/>
      <c r="E382" s="19"/>
      <c r="F382" s="20" t="n">
        <f aca="false">IF($C382=0,0,$C382-$D382)</f>
        <v>0</v>
      </c>
      <c r="G382" s="20" t="n">
        <f aca="false">IF($F382=0,0,$F382*$E382)</f>
        <v>0</v>
      </c>
      <c r="H382" s="20" t="n">
        <f aca="false">$F382-$G382</f>
        <v>0</v>
      </c>
      <c r="I382" s="16"/>
    </row>
    <row r="383" customFormat="false" ht="15" hidden="false" customHeight="true" outlineLevel="0" collapsed="false">
      <c r="A383" s="16"/>
      <c r="B383" s="17"/>
      <c r="C383" s="18"/>
      <c r="D383" s="18"/>
      <c r="E383" s="19"/>
      <c r="F383" s="20" t="n">
        <f aca="false">IF($C383=0,0,$C383-$D383)</f>
        <v>0</v>
      </c>
      <c r="G383" s="20" t="n">
        <f aca="false">IF($F383=0,0,$F383*$E383)</f>
        <v>0</v>
      </c>
      <c r="H383" s="20" t="n">
        <f aca="false">$F383-$G383</f>
        <v>0</v>
      </c>
      <c r="I383" s="16"/>
    </row>
    <row r="384" customFormat="false" ht="15" hidden="false" customHeight="true" outlineLevel="0" collapsed="false">
      <c r="A384" s="16"/>
      <c r="B384" s="17"/>
      <c r="C384" s="18"/>
      <c r="D384" s="18"/>
      <c r="E384" s="19"/>
      <c r="F384" s="20" t="n">
        <f aca="false">IF($C384=0,0,$C384-$D384)</f>
        <v>0</v>
      </c>
      <c r="G384" s="20" t="n">
        <f aca="false">IF($F384=0,0,$F384*$E384)</f>
        <v>0</v>
      </c>
      <c r="H384" s="20" t="n">
        <f aca="false">$F384-$G384</f>
        <v>0</v>
      </c>
      <c r="I384" s="16"/>
    </row>
    <row r="385" customFormat="false" ht="15" hidden="false" customHeight="true" outlineLevel="0" collapsed="false">
      <c r="A385" s="16"/>
      <c r="B385" s="17"/>
      <c r="C385" s="18"/>
      <c r="D385" s="18"/>
      <c r="E385" s="19"/>
      <c r="F385" s="20" t="n">
        <f aca="false">IF($C385=0,0,$C385-$D385)</f>
        <v>0</v>
      </c>
      <c r="G385" s="20" t="n">
        <f aca="false">IF($F385=0,0,$F385*$E385)</f>
        <v>0</v>
      </c>
      <c r="H385" s="20" t="n">
        <f aca="false">$F385-$G385</f>
        <v>0</v>
      </c>
      <c r="I385" s="16"/>
    </row>
    <row r="386" customFormat="false" ht="15" hidden="false" customHeight="true" outlineLevel="0" collapsed="false">
      <c r="A386" s="16"/>
      <c r="B386" s="17"/>
      <c r="C386" s="18"/>
      <c r="D386" s="18"/>
      <c r="E386" s="19"/>
      <c r="F386" s="20" t="n">
        <f aca="false">IF($C386=0,0,$C386-$D386)</f>
        <v>0</v>
      </c>
      <c r="G386" s="20" t="n">
        <f aca="false">IF($F386=0,0,$F386*$E386)</f>
        <v>0</v>
      </c>
      <c r="H386" s="20" t="n">
        <f aca="false">$F386-$G386</f>
        <v>0</v>
      </c>
      <c r="I386" s="16"/>
    </row>
    <row r="387" customFormat="false" ht="15" hidden="false" customHeight="true" outlineLevel="0" collapsed="false">
      <c r="A387" s="16"/>
      <c r="B387" s="17"/>
      <c r="C387" s="18"/>
      <c r="D387" s="18"/>
      <c r="E387" s="19"/>
      <c r="F387" s="20" t="n">
        <f aca="false">IF($C387=0,0,$C387-$D387)</f>
        <v>0</v>
      </c>
      <c r="G387" s="20" t="n">
        <f aca="false">IF($F387=0,0,$F387*$E387)</f>
        <v>0</v>
      </c>
      <c r="H387" s="20" t="n">
        <f aca="false">$F387-$G387</f>
        <v>0</v>
      </c>
      <c r="I387" s="16"/>
    </row>
    <row r="388" customFormat="false" ht="15" hidden="false" customHeight="true" outlineLevel="0" collapsed="false">
      <c r="A388" s="16"/>
      <c r="B388" s="17"/>
      <c r="C388" s="18"/>
      <c r="D388" s="18"/>
      <c r="E388" s="19"/>
      <c r="F388" s="20" t="n">
        <f aca="false">IF($C388=0,0,$C388-$D388)</f>
        <v>0</v>
      </c>
      <c r="G388" s="20" t="n">
        <f aca="false">IF($F388=0,0,$F388*$E388)</f>
        <v>0</v>
      </c>
      <c r="H388" s="20" t="n">
        <f aca="false">$F388-$G388</f>
        <v>0</v>
      </c>
      <c r="I388" s="16"/>
    </row>
    <row r="389" customFormat="false" ht="15" hidden="false" customHeight="true" outlineLevel="0" collapsed="false">
      <c r="A389" s="16"/>
      <c r="B389" s="17"/>
      <c r="C389" s="18"/>
      <c r="D389" s="18"/>
      <c r="E389" s="19"/>
      <c r="F389" s="20" t="n">
        <f aca="false">IF($C389=0,0,$C389-$D389)</f>
        <v>0</v>
      </c>
      <c r="G389" s="20" t="n">
        <f aca="false">IF($F389=0,0,$F389*$E389)</f>
        <v>0</v>
      </c>
      <c r="H389" s="20" t="n">
        <f aca="false">$F389-$G389</f>
        <v>0</v>
      </c>
      <c r="I389" s="16"/>
    </row>
    <row r="390" customFormat="false" ht="15" hidden="false" customHeight="true" outlineLevel="0" collapsed="false">
      <c r="A390" s="16"/>
      <c r="B390" s="17"/>
      <c r="C390" s="18"/>
      <c r="D390" s="18"/>
      <c r="E390" s="19"/>
      <c r="F390" s="20" t="n">
        <f aca="false">IF($C390=0,0,$C390-$D390)</f>
        <v>0</v>
      </c>
      <c r="G390" s="20" t="n">
        <f aca="false">IF($F390=0,0,$F390*$E390)</f>
        <v>0</v>
      </c>
      <c r="H390" s="20" t="n">
        <f aca="false">$F390-$G390</f>
        <v>0</v>
      </c>
      <c r="I390" s="16"/>
    </row>
    <row r="391" customFormat="false" ht="15" hidden="false" customHeight="true" outlineLevel="0" collapsed="false">
      <c r="A391" s="16"/>
      <c r="B391" s="17"/>
      <c r="C391" s="18"/>
      <c r="D391" s="18"/>
      <c r="E391" s="19"/>
      <c r="F391" s="20" t="n">
        <f aca="false">IF($C391=0,0,$C391-$D391)</f>
        <v>0</v>
      </c>
      <c r="G391" s="20" t="n">
        <f aca="false">IF($F391=0,0,$F391*$E391)</f>
        <v>0</v>
      </c>
      <c r="H391" s="20" t="n">
        <f aca="false">$F391-$G391</f>
        <v>0</v>
      </c>
      <c r="I391" s="16"/>
    </row>
    <row r="392" customFormat="false" ht="15" hidden="false" customHeight="true" outlineLevel="0" collapsed="false">
      <c r="A392" s="16"/>
      <c r="B392" s="17"/>
      <c r="C392" s="18"/>
      <c r="D392" s="18"/>
      <c r="E392" s="19"/>
      <c r="F392" s="20" t="n">
        <f aca="false">IF($C392=0,0,$C392-$D392)</f>
        <v>0</v>
      </c>
      <c r="G392" s="20" t="n">
        <f aca="false">IF($F392=0,0,$F392*$E392)</f>
        <v>0</v>
      </c>
      <c r="H392" s="20" t="n">
        <f aca="false">$F392-$G392</f>
        <v>0</v>
      </c>
      <c r="I392" s="16"/>
    </row>
    <row r="393" customFormat="false" ht="15" hidden="false" customHeight="true" outlineLevel="0" collapsed="false">
      <c r="A393" s="16"/>
      <c r="B393" s="17"/>
      <c r="C393" s="18"/>
      <c r="D393" s="18"/>
      <c r="E393" s="19"/>
      <c r="F393" s="20" t="n">
        <f aca="false">IF($C393=0,0,$C393-$D393)</f>
        <v>0</v>
      </c>
      <c r="G393" s="20" t="n">
        <f aca="false">IF($F393=0,0,$F393*$E393)</f>
        <v>0</v>
      </c>
      <c r="H393" s="20" t="n">
        <f aca="false">$F393-$G393</f>
        <v>0</v>
      </c>
      <c r="I393" s="16"/>
    </row>
    <row r="394" customFormat="false" ht="15" hidden="false" customHeight="true" outlineLevel="0" collapsed="false">
      <c r="A394" s="16"/>
      <c r="B394" s="17"/>
      <c r="C394" s="18"/>
      <c r="D394" s="18"/>
      <c r="E394" s="19"/>
      <c r="F394" s="20" t="n">
        <f aca="false">IF($C394=0,0,$C394-$D394)</f>
        <v>0</v>
      </c>
      <c r="G394" s="20" t="n">
        <f aca="false">IF($F394=0,0,$F394*$E394)</f>
        <v>0</v>
      </c>
      <c r="H394" s="20" t="n">
        <f aca="false">$F394-$G394</f>
        <v>0</v>
      </c>
      <c r="I394" s="16"/>
    </row>
    <row r="395" customFormat="false" ht="15" hidden="false" customHeight="true" outlineLevel="0" collapsed="false">
      <c r="A395" s="16"/>
      <c r="B395" s="17"/>
      <c r="C395" s="18"/>
      <c r="D395" s="18"/>
      <c r="E395" s="19"/>
      <c r="F395" s="20" t="n">
        <f aca="false">IF($C395=0,0,$C395-$D395)</f>
        <v>0</v>
      </c>
      <c r="G395" s="20" t="n">
        <f aca="false">IF($F395=0,0,$F395*$E395)</f>
        <v>0</v>
      </c>
      <c r="H395" s="20" t="n">
        <f aca="false">$F395-$G395</f>
        <v>0</v>
      </c>
      <c r="I395" s="16"/>
    </row>
    <row r="396" customFormat="false" ht="15" hidden="false" customHeight="true" outlineLevel="0" collapsed="false">
      <c r="A396" s="16"/>
      <c r="B396" s="17"/>
      <c r="C396" s="18"/>
      <c r="D396" s="18"/>
      <c r="E396" s="19"/>
      <c r="F396" s="20" t="n">
        <f aca="false">IF($C396=0,0,$C396-$D396)</f>
        <v>0</v>
      </c>
      <c r="G396" s="20" t="n">
        <f aca="false">IF($F396=0,0,$F396*$E396)</f>
        <v>0</v>
      </c>
      <c r="H396" s="20" t="n">
        <f aca="false">$F396-$G396</f>
        <v>0</v>
      </c>
      <c r="I396" s="16"/>
    </row>
    <row r="397" customFormat="false" ht="15" hidden="false" customHeight="true" outlineLevel="0" collapsed="false">
      <c r="A397" s="16"/>
      <c r="B397" s="17"/>
      <c r="C397" s="18"/>
      <c r="D397" s="18"/>
      <c r="E397" s="19"/>
      <c r="F397" s="20" t="n">
        <f aca="false">IF($C397=0,0,$C397-$D397)</f>
        <v>0</v>
      </c>
      <c r="G397" s="20" t="n">
        <f aca="false">IF($F397=0,0,$F397*$E397)</f>
        <v>0</v>
      </c>
      <c r="H397" s="20" t="n">
        <f aca="false">$F397-$G397</f>
        <v>0</v>
      </c>
      <c r="I397" s="16"/>
    </row>
    <row r="398" customFormat="false" ht="15" hidden="false" customHeight="true" outlineLevel="0" collapsed="false">
      <c r="A398" s="16"/>
      <c r="B398" s="17"/>
      <c r="C398" s="18"/>
      <c r="D398" s="18"/>
      <c r="E398" s="19"/>
      <c r="F398" s="20" t="n">
        <f aca="false">IF($C398=0,0,$C398-$D398)</f>
        <v>0</v>
      </c>
      <c r="G398" s="20" t="n">
        <f aca="false">IF($F398=0,0,$F398*$E398)</f>
        <v>0</v>
      </c>
      <c r="H398" s="20" t="n">
        <f aca="false">$F398-$G398</f>
        <v>0</v>
      </c>
      <c r="I398" s="16"/>
    </row>
    <row r="399" customFormat="false" ht="15" hidden="false" customHeight="true" outlineLevel="0" collapsed="false">
      <c r="A399" s="16"/>
      <c r="B399" s="17"/>
      <c r="C399" s="18"/>
      <c r="D399" s="18"/>
      <c r="E399" s="19"/>
      <c r="F399" s="20" t="n">
        <f aca="false">IF($C399=0,0,$C399-$D399)</f>
        <v>0</v>
      </c>
      <c r="G399" s="20" t="n">
        <f aca="false">IF($F399=0,0,$F399*$E399)</f>
        <v>0</v>
      </c>
      <c r="H399" s="20" t="n">
        <f aca="false">$F399-$G399</f>
        <v>0</v>
      </c>
      <c r="I399" s="16"/>
    </row>
    <row r="400" customFormat="false" ht="15" hidden="false" customHeight="true" outlineLevel="0" collapsed="false">
      <c r="A400" s="16"/>
      <c r="B400" s="17"/>
      <c r="C400" s="18"/>
      <c r="D400" s="18"/>
      <c r="E400" s="19"/>
      <c r="F400" s="20" t="n">
        <f aca="false">IF($C400=0,0,$C400-$D400)</f>
        <v>0</v>
      </c>
      <c r="G400" s="20" t="n">
        <f aca="false">IF($F400=0,0,$F400*$E400)</f>
        <v>0</v>
      </c>
      <c r="H400" s="20" t="n">
        <f aca="false">$F400-$G400</f>
        <v>0</v>
      </c>
      <c r="I400" s="16"/>
    </row>
    <row r="401" customFormat="false" ht="15" hidden="false" customHeight="true" outlineLevel="0" collapsed="false">
      <c r="A401" s="16"/>
      <c r="B401" s="17"/>
      <c r="C401" s="18"/>
      <c r="D401" s="18"/>
      <c r="E401" s="19"/>
      <c r="F401" s="20" t="n">
        <f aca="false">IF($C401=0,0,$C401-$D401)</f>
        <v>0</v>
      </c>
      <c r="G401" s="20" t="n">
        <f aca="false">IF($F401=0,0,$F401*$E401)</f>
        <v>0</v>
      </c>
      <c r="H401" s="20" t="n">
        <f aca="false">$F401-$G401</f>
        <v>0</v>
      </c>
      <c r="I401" s="16"/>
    </row>
    <row r="402" customFormat="false" ht="15" hidden="false" customHeight="true" outlineLevel="0" collapsed="false">
      <c r="A402" s="16"/>
      <c r="B402" s="17"/>
      <c r="C402" s="18"/>
      <c r="D402" s="18"/>
      <c r="E402" s="19"/>
      <c r="F402" s="20" t="n">
        <f aca="false">IF($C402=0,0,$C402-$D402)</f>
        <v>0</v>
      </c>
      <c r="G402" s="20" t="n">
        <f aca="false">IF($F402=0,0,$F402*$E402)</f>
        <v>0</v>
      </c>
      <c r="H402" s="20" t="n">
        <f aca="false">$F402-$G402</f>
        <v>0</v>
      </c>
      <c r="I402" s="16"/>
    </row>
    <row r="403" customFormat="false" ht="15" hidden="false" customHeight="true" outlineLevel="0" collapsed="false">
      <c r="A403" s="16"/>
      <c r="B403" s="17"/>
      <c r="C403" s="18"/>
      <c r="D403" s="18"/>
      <c r="E403" s="19"/>
      <c r="F403" s="20" t="n">
        <f aca="false">IF($C403=0,0,$C403-$D403)</f>
        <v>0</v>
      </c>
      <c r="G403" s="20" t="n">
        <f aca="false">IF($F403=0,0,$F403*$E403)</f>
        <v>0</v>
      </c>
      <c r="H403" s="20" t="n">
        <f aca="false">$F403-$G403</f>
        <v>0</v>
      </c>
      <c r="I403" s="16"/>
    </row>
    <row r="404" customFormat="false" ht="15" hidden="false" customHeight="true" outlineLevel="0" collapsed="false">
      <c r="A404" s="16"/>
      <c r="B404" s="17"/>
      <c r="C404" s="18"/>
      <c r="D404" s="18"/>
      <c r="E404" s="19"/>
      <c r="F404" s="20" t="n">
        <f aca="false">IF($C404=0,0,$C404-$D404)</f>
        <v>0</v>
      </c>
      <c r="G404" s="20" t="n">
        <f aca="false">IF($F404=0,0,$F404*$E404)</f>
        <v>0</v>
      </c>
      <c r="H404" s="20" t="n">
        <f aca="false">$F404-$G404</f>
        <v>0</v>
      </c>
      <c r="I404" s="16"/>
    </row>
    <row r="405" customFormat="false" ht="15" hidden="false" customHeight="true" outlineLevel="0" collapsed="false">
      <c r="A405" s="16"/>
      <c r="B405" s="17"/>
      <c r="C405" s="18"/>
      <c r="D405" s="18"/>
      <c r="E405" s="19"/>
      <c r="F405" s="20" t="n">
        <f aca="false">IF($C405=0,0,$C405-$D405)</f>
        <v>0</v>
      </c>
      <c r="G405" s="20" t="n">
        <f aca="false">IF($F405=0,0,$F405*$E405)</f>
        <v>0</v>
      </c>
      <c r="H405" s="20" t="n">
        <f aca="false">$F405-$G405</f>
        <v>0</v>
      </c>
      <c r="I405" s="16"/>
    </row>
    <row r="406" customFormat="false" ht="15" hidden="false" customHeight="true" outlineLevel="0" collapsed="false">
      <c r="A406" s="16"/>
      <c r="B406" s="17"/>
      <c r="C406" s="18"/>
      <c r="D406" s="18"/>
      <c r="E406" s="19"/>
      <c r="F406" s="20" t="n">
        <f aca="false">IF($C406=0,0,$C406-$D406)</f>
        <v>0</v>
      </c>
      <c r="G406" s="20" t="n">
        <f aca="false">IF($F406=0,0,$F406*$E406)</f>
        <v>0</v>
      </c>
      <c r="H406" s="20" t="n">
        <f aca="false">$F406-$G406</f>
        <v>0</v>
      </c>
      <c r="I406" s="16"/>
    </row>
    <row r="407" customFormat="false" ht="15" hidden="false" customHeight="true" outlineLevel="0" collapsed="false">
      <c r="A407" s="16"/>
      <c r="B407" s="17"/>
      <c r="C407" s="18"/>
      <c r="D407" s="18"/>
      <c r="E407" s="19"/>
      <c r="F407" s="20" t="n">
        <f aca="false">IF($C407=0,0,$C407-$D407)</f>
        <v>0</v>
      </c>
      <c r="G407" s="20" t="n">
        <f aca="false">IF($F407=0,0,$F407*$E407)</f>
        <v>0</v>
      </c>
      <c r="H407" s="20" t="n">
        <f aca="false">$F407-$G407</f>
        <v>0</v>
      </c>
      <c r="I407" s="16"/>
    </row>
    <row r="408" customFormat="false" ht="15" hidden="false" customHeight="true" outlineLevel="0" collapsed="false">
      <c r="A408" s="16"/>
      <c r="B408" s="17"/>
      <c r="C408" s="18"/>
      <c r="D408" s="18"/>
      <c r="E408" s="19"/>
      <c r="F408" s="20" t="n">
        <f aca="false">IF($C408=0,0,$C408-$D408)</f>
        <v>0</v>
      </c>
      <c r="G408" s="20" t="n">
        <f aca="false">IF($F408=0,0,$F408*$E408)</f>
        <v>0</v>
      </c>
      <c r="H408" s="20" t="n">
        <f aca="false">$F408-$G408</f>
        <v>0</v>
      </c>
      <c r="I408" s="16"/>
    </row>
    <row r="409" customFormat="false" ht="15" hidden="false" customHeight="true" outlineLevel="0" collapsed="false">
      <c r="A409" s="16"/>
      <c r="B409" s="17"/>
      <c r="C409" s="18"/>
      <c r="D409" s="18"/>
      <c r="E409" s="19"/>
      <c r="F409" s="20" t="n">
        <f aca="false">IF($C409=0,0,$C409-$D409)</f>
        <v>0</v>
      </c>
      <c r="G409" s="20" t="n">
        <f aca="false">IF($F409=0,0,$F409*$E409)</f>
        <v>0</v>
      </c>
      <c r="H409" s="20" t="n">
        <f aca="false">$F409-$G409</f>
        <v>0</v>
      </c>
      <c r="I409" s="16"/>
    </row>
    <row r="410" customFormat="false" ht="15" hidden="false" customHeight="true" outlineLevel="0" collapsed="false">
      <c r="A410" s="16"/>
      <c r="B410" s="17"/>
      <c r="C410" s="18"/>
      <c r="D410" s="18"/>
      <c r="E410" s="19"/>
      <c r="F410" s="20" t="n">
        <f aca="false">IF($C410=0,0,$C410-$D410)</f>
        <v>0</v>
      </c>
      <c r="G410" s="20" t="n">
        <f aca="false">IF($F410=0,0,$F410*$E410)</f>
        <v>0</v>
      </c>
      <c r="H410" s="20" t="n">
        <f aca="false">$F410-$G410</f>
        <v>0</v>
      </c>
      <c r="I410" s="16"/>
    </row>
    <row r="411" customFormat="false" ht="15" hidden="false" customHeight="true" outlineLevel="0" collapsed="false">
      <c r="A411" s="16"/>
      <c r="B411" s="17"/>
      <c r="C411" s="18"/>
      <c r="D411" s="18"/>
      <c r="E411" s="19"/>
      <c r="F411" s="20" t="n">
        <f aca="false">IF($C411=0,0,$C411-$D411)</f>
        <v>0</v>
      </c>
      <c r="G411" s="20" t="n">
        <f aca="false">IF($F411=0,0,$F411*$E411)</f>
        <v>0</v>
      </c>
      <c r="H411" s="20" t="n">
        <f aca="false">$F411-$G411</f>
        <v>0</v>
      </c>
      <c r="I411" s="16"/>
    </row>
    <row r="412" customFormat="false" ht="15" hidden="false" customHeight="true" outlineLevel="0" collapsed="false">
      <c r="A412" s="16"/>
      <c r="B412" s="17"/>
      <c r="C412" s="18"/>
      <c r="D412" s="18"/>
      <c r="E412" s="19"/>
      <c r="F412" s="20" t="n">
        <f aca="false">IF($C412=0,0,$C412-$D412)</f>
        <v>0</v>
      </c>
      <c r="G412" s="20" t="n">
        <f aca="false">IF($F412=0,0,$F412*$E412)</f>
        <v>0</v>
      </c>
      <c r="H412" s="20" t="n">
        <f aca="false">$F412-$G412</f>
        <v>0</v>
      </c>
      <c r="I412" s="16"/>
    </row>
    <row r="413" customFormat="false" ht="15" hidden="false" customHeight="true" outlineLevel="0" collapsed="false">
      <c r="A413" s="16"/>
      <c r="B413" s="17"/>
      <c r="C413" s="18"/>
      <c r="D413" s="18"/>
      <c r="E413" s="19"/>
      <c r="F413" s="20" t="n">
        <f aca="false">IF($C413=0,0,$C413-$D413)</f>
        <v>0</v>
      </c>
      <c r="G413" s="20" t="n">
        <f aca="false">IF($F413=0,0,$F413*$E413)</f>
        <v>0</v>
      </c>
      <c r="H413" s="20" t="n">
        <f aca="false">$F413-$G413</f>
        <v>0</v>
      </c>
      <c r="I413" s="16"/>
    </row>
    <row r="414" customFormat="false" ht="15" hidden="false" customHeight="true" outlineLevel="0" collapsed="false">
      <c r="A414" s="16"/>
      <c r="B414" s="17"/>
      <c r="C414" s="18"/>
      <c r="D414" s="18"/>
      <c r="E414" s="19"/>
      <c r="F414" s="20" t="n">
        <f aca="false">IF($C414=0,0,$C414-$D414)</f>
        <v>0</v>
      </c>
      <c r="G414" s="20" t="n">
        <f aca="false">IF($F414=0,0,$F414*$E414)</f>
        <v>0</v>
      </c>
      <c r="H414" s="20" t="n">
        <f aca="false">$F414-$G414</f>
        <v>0</v>
      </c>
      <c r="I414" s="16"/>
    </row>
    <row r="415" customFormat="false" ht="15" hidden="false" customHeight="true" outlineLevel="0" collapsed="false">
      <c r="A415" s="16"/>
      <c r="B415" s="17"/>
      <c r="C415" s="18"/>
      <c r="D415" s="18"/>
      <c r="E415" s="19"/>
      <c r="F415" s="20" t="n">
        <f aca="false">IF($C415=0,0,$C415-$D415)</f>
        <v>0</v>
      </c>
      <c r="G415" s="20" t="n">
        <f aca="false">IF($F415=0,0,$F415*$E415)</f>
        <v>0</v>
      </c>
      <c r="H415" s="20" t="n">
        <f aca="false">$F415-$G415</f>
        <v>0</v>
      </c>
      <c r="I415" s="16"/>
    </row>
    <row r="416" customFormat="false" ht="15" hidden="false" customHeight="true" outlineLevel="0" collapsed="false">
      <c r="A416" s="16"/>
      <c r="B416" s="17"/>
      <c r="C416" s="18"/>
      <c r="D416" s="18"/>
      <c r="E416" s="19"/>
      <c r="F416" s="20" t="n">
        <f aca="false">IF($C416=0,0,$C416-$D416)</f>
        <v>0</v>
      </c>
      <c r="G416" s="20" t="n">
        <f aca="false">IF($F416=0,0,$F416*$E416)</f>
        <v>0</v>
      </c>
      <c r="H416" s="20" t="n">
        <f aca="false">$F416-$G416</f>
        <v>0</v>
      </c>
      <c r="I416" s="16"/>
    </row>
    <row r="417" customFormat="false" ht="15" hidden="false" customHeight="true" outlineLevel="0" collapsed="false">
      <c r="A417" s="16"/>
      <c r="B417" s="17"/>
      <c r="C417" s="18"/>
      <c r="D417" s="18"/>
      <c r="E417" s="19"/>
      <c r="F417" s="20" t="n">
        <f aca="false">IF($C417=0,0,$C417-$D417)</f>
        <v>0</v>
      </c>
      <c r="G417" s="20" t="n">
        <f aca="false">IF($F417=0,0,$F417*$E417)</f>
        <v>0</v>
      </c>
      <c r="H417" s="20" t="n">
        <f aca="false">$F417-$G417</f>
        <v>0</v>
      </c>
      <c r="I417" s="16"/>
    </row>
    <row r="418" customFormat="false" ht="15" hidden="false" customHeight="true" outlineLevel="0" collapsed="false">
      <c r="A418" s="16"/>
      <c r="B418" s="17"/>
      <c r="C418" s="18"/>
      <c r="D418" s="18"/>
      <c r="E418" s="19"/>
      <c r="F418" s="20" t="n">
        <f aca="false">IF($C418=0,0,$C418-$D418)</f>
        <v>0</v>
      </c>
      <c r="G418" s="20" t="n">
        <f aca="false">IF($F418=0,0,$F418*$E418)</f>
        <v>0</v>
      </c>
      <c r="H418" s="20" t="n">
        <f aca="false">$F418-$G418</f>
        <v>0</v>
      </c>
      <c r="I418" s="16"/>
    </row>
    <row r="419" customFormat="false" ht="15" hidden="false" customHeight="true" outlineLevel="0" collapsed="false">
      <c r="A419" s="16"/>
      <c r="B419" s="17"/>
      <c r="C419" s="18"/>
      <c r="D419" s="18"/>
      <c r="E419" s="19"/>
      <c r="F419" s="20" t="n">
        <f aca="false">IF($C419=0,0,$C419-$D419)</f>
        <v>0</v>
      </c>
      <c r="G419" s="20" t="n">
        <f aca="false">IF($F419=0,0,$F419*$E419)</f>
        <v>0</v>
      </c>
      <c r="H419" s="20" t="n">
        <f aca="false">$F419-$G419</f>
        <v>0</v>
      </c>
      <c r="I419" s="16"/>
    </row>
    <row r="420" customFormat="false" ht="15" hidden="false" customHeight="true" outlineLevel="0" collapsed="false">
      <c r="A420" s="16"/>
      <c r="B420" s="17"/>
      <c r="C420" s="18"/>
      <c r="D420" s="18"/>
      <c r="E420" s="19"/>
      <c r="F420" s="20" t="n">
        <f aca="false">IF($C420=0,0,$C420-$D420)</f>
        <v>0</v>
      </c>
      <c r="G420" s="20" t="n">
        <f aca="false">IF($F420=0,0,$F420*$E420)</f>
        <v>0</v>
      </c>
      <c r="H420" s="20" t="n">
        <f aca="false">$F420-$G420</f>
        <v>0</v>
      </c>
      <c r="I420" s="16"/>
    </row>
    <row r="421" customFormat="false" ht="15" hidden="false" customHeight="true" outlineLevel="0" collapsed="false">
      <c r="A421" s="16"/>
      <c r="B421" s="17"/>
      <c r="C421" s="18"/>
      <c r="D421" s="18"/>
      <c r="E421" s="19"/>
      <c r="F421" s="20" t="n">
        <f aca="false">IF($C421=0,0,$C421-$D421)</f>
        <v>0</v>
      </c>
      <c r="G421" s="20" t="n">
        <f aca="false">IF($F421=0,0,$F421*$E421)</f>
        <v>0</v>
      </c>
      <c r="H421" s="20" t="n">
        <f aca="false">$F421-$G421</f>
        <v>0</v>
      </c>
      <c r="I421" s="16"/>
    </row>
    <row r="422" customFormat="false" ht="15" hidden="false" customHeight="true" outlineLevel="0" collapsed="false">
      <c r="A422" s="16"/>
      <c r="B422" s="17"/>
      <c r="C422" s="18"/>
      <c r="D422" s="18"/>
      <c r="E422" s="19"/>
      <c r="F422" s="20" t="n">
        <f aca="false">IF($C422=0,0,$C422-$D422)</f>
        <v>0</v>
      </c>
      <c r="G422" s="20" t="n">
        <f aca="false">IF($F422=0,0,$F422*$E422)</f>
        <v>0</v>
      </c>
      <c r="H422" s="20" t="n">
        <f aca="false">$F422-$G422</f>
        <v>0</v>
      </c>
      <c r="I422" s="16"/>
    </row>
    <row r="423" customFormat="false" ht="15" hidden="false" customHeight="true" outlineLevel="0" collapsed="false">
      <c r="A423" s="16"/>
      <c r="B423" s="17"/>
      <c r="C423" s="18"/>
      <c r="D423" s="18"/>
      <c r="E423" s="19"/>
      <c r="F423" s="20" t="n">
        <f aca="false">IF($C423=0,0,$C423-$D423)</f>
        <v>0</v>
      </c>
      <c r="G423" s="20" t="n">
        <f aca="false">IF($F423=0,0,$F423*$E423)</f>
        <v>0</v>
      </c>
      <c r="H423" s="20" t="n">
        <f aca="false">$F423-$G423</f>
        <v>0</v>
      </c>
      <c r="I423" s="16"/>
    </row>
    <row r="424" customFormat="false" ht="15" hidden="false" customHeight="true" outlineLevel="0" collapsed="false">
      <c r="A424" s="16"/>
      <c r="B424" s="17"/>
      <c r="C424" s="18"/>
      <c r="D424" s="18"/>
      <c r="E424" s="19"/>
      <c r="F424" s="20" t="n">
        <f aca="false">IF($C424=0,0,$C424-$D424)</f>
        <v>0</v>
      </c>
      <c r="G424" s="20" t="n">
        <f aca="false">IF($F424=0,0,$F424*$E424)</f>
        <v>0</v>
      </c>
      <c r="H424" s="20" t="n">
        <f aca="false">$F424-$G424</f>
        <v>0</v>
      </c>
      <c r="I424" s="16"/>
    </row>
    <row r="425" customFormat="false" ht="15" hidden="false" customHeight="true" outlineLevel="0" collapsed="false">
      <c r="A425" s="16"/>
      <c r="B425" s="17"/>
      <c r="C425" s="18"/>
      <c r="D425" s="18"/>
      <c r="E425" s="19"/>
      <c r="F425" s="20" t="n">
        <f aca="false">IF($C425=0,0,$C425-$D425)</f>
        <v>0</v>
      </c>
      <c r="G425" s="20" t="n">
        <f aca="false">IF($F425=0,0,$F425*$E425)</f>
        <v>0</v>
      </c>
      <c r="H425" s="20" t="n">
        <f aca="false">$F425-$G425</f>
        <v>0</v>
      </c>
      <c r="I425" s="16"/>
    </row>
    <row r="426" customFormat="false" ht="15" hidden="false" customHeight="true" outlineLevel="0" collapsed="false">
      <c r="A426" s="16"/>
      <c r="B426" s="17"/>
      <c r="C426" s="18"/>
      <c r="D426" s="18"/>
      <c r="E426" s="19"/>
      <c r="F426" s="20" t="n">
        <f aca="false">IF($C426=0,0,$C426-$D426)</f>
        <v>0</v>
      </c>
      <c r="G426" s="20" t="n">
        <f aca="false">IF($F426=0,0,$F426*$E426)</f>
        <v>0</v>
      </c>
      <c r="H426" s="20" t="n">
        <f aca="false">$F426-$G426</f>
        <v>0</v>
      </c>
      <c r="I426" s="16"/>
    </row>
    <row r="427" customFormat="false" ht="15" hidden="false" customHeight="true" outlineLevel="0" collapsed="false">
      <c r="A427" s="16"/>
      <c r="B427" s="17"/>
      <c r="C427" s="18"/>
      <c r="D427" s="18"/>
      <c r="E427" s="19"/>
      <c r="F427" s="20" t="n">
        <f aca="false">IF($C427=0,0,$C427-$D427)</f>
        <v>0</v>
      </c>
      <c r="G427" s="20" t="n">
        <f aca="false">IF($F427=0,0,$F427*$E427)</f>
        <v>0</v>
      </c>
      <c r="H427" s="20" t="n">
        <f aca="false">$F427-$G427</f>
        <v>0</v>
      </c>
      <c r="I427" s="16"/>
    </row>
    <row r="428" customFormat="false" ht="15" hidden="false" customHeight="true" outlineLevel="0" collapsed="false">
      <c r="A428" s="16"/>
      <c r="B428" s="17"/>
      <c r="C428" s="18"/>
      <c r="D428" s="18"/>
      <c r="E428" s="19"/>
      <c r="F428" s="20" t="n">
        <f aca="false">IF($C428=0,0,$C428-$D428)</f>
        <v>0</v>
      </c>
      <c r="G428" s="20" t="n">
        <f aca="false">IF($F428=0,0,$F428*$E428)</f>
        <v>0</v>
      </c>
      <c r="H428" s="20" t="n">
        <f aca="false">$F428-$G428</f>
        <v>0</v>
      </c>
      <c r="I428" s="16"/>
    </row>
    <row r="429" customFormat="false" ht="15" hidden="false" customHeight="true" outlineLevel="0" collapsed="false">
      <c r="A429" s="16"/>
      <c r="B429" s="17"/>
      <c r="C429" s="18"/>
      <c r="D429" s="18"/>
      <c r="E429" s="19"/>
      <c r="F429" s="20" t="n">
        <f aca="false">IF($C429=0,0,$C429-$D429)</f>
        <v>0</v>
      </c>
      <c r="G429" s="20" t="n">
        <f aca="false">IF($F429=0,0,$F429*$E429)</f>
        <v>0</v>
      </c>
      <c r="H429" s="20" t="n">
        <f aca="false">$F429-$G429</f>
        <v>0</v>
      </c>
      <c r="I429" s="16"/>
    </row>
    <row r="430" customFormat="false" ht="15" hidden="false" customHeight="true" outlineLevel="0" collapsed="false">
      <c r="A430" s="16"/>
      <c r="B430" s="17"/>
      <c r="C430" s="18"/>
      <c r="D430" s="18"/>
      <c r="E430" s="19"/>
      <c r="F430" s="20" t="n">
        <f aca="false">IF($C430=0,0,$C430-$D430)</f>
        <v>0</v>
      </c>
      <c r="G430" s="20" t="n">
        <f aca="false">IF($F430=0,0,$F430*$E430)</f>
        <v>0</v>
      </c>
      <c r="H430" s="20" t="n">
        <f aca="false">$F430-$G430</f>
        <v>0</v>
      </c>
      <c r="I430" s="16"/>
    </row>
    <row r="431" customFormat="false" ht="15" hidden="false" customHeight="true" outlineLevel="0" collapsed="false">
      <c r="A431" s="16"/>
      <c r="B431" s="17"/>
      <c r="C431" s="18"/>
      <c r="D431" s="18"/>
      <c r="E431" s="19"/>
      <c r="F431" s="20" t="n">
        <f aca="false">IF($C431=0,0,$C431-$D431)</f>
        <v>0</v>
      </c>
      <c r="G431" s="20" t="n">
        <f aca="false">IF($F431=0,0,$F431*$E431)</f>
        <v>0</v>
      </c>
      <c r="H431" s="20" t="n">
        <f aca="false">$F431-$G431</f>
        <v>0</v>
      </c>
      <c r="I431" s="16"/>
    </row>
    <row r="432" customFormat="false" ht="15" hidden="false" customHeight="true" outlineLevel="0" collapsed="false">
      <c r="A432" s="16"/>
      <c r="B432" s="17"/>
      <c r="C432" s="18"/>
      <c r="D432" s="18"/>
      <c r="E432" s="19"/>
      <c r="F432" s="20" t="n">
        <f aca="false">IF($C432=0,0,$C432-$D432)</f>
        <v>0</v>
      </c>
      <c r="G432" s="20" t="n">
        <f aca="false">IF($F432=0,0,$F432*$E432)</f>
        <v>0</v>
      </c>
      <c r="H432" s="20" t="n">
        <f aca="false">$F432-$G432</f>
        <v>0</v>
      </c>
      <c r="I432" s="16"/>
    </row>
    <row r="433" customFormat="false" ht="15" hidden="false" customHeight="true" outlineLevel="0" collapsed="false">
      <c r="A433" s="16"/>
      <c r="B433" s="17"/>
      <c r="C433" s="18"/>
      <c r="D433" s="18"/>
      <c r="E433" s="19"/>
      <c r="F433" s="20" t="n">
        <f aca="false">IF($C433=0,0,$C433-$D433)</f>
        <v>0</v>
      </c>
      <c r="G433" s="20" t="n">
        <f aca="false">IF($F433=0,0,$F433*$E433)</f>
        <v>0</v>
      </c>
      <c r="H433" s="20" t="n">
        <f aca="false">$F433-$G433</f>
        <v>0</v>
      </c>
      <c r="I433" s="16"/>
    </row>
    <row r="434" customFormat="false" ht="15" hidden="false" customHeight="true" outlineLevel="0" collapsed="false">
      <c r="A434" s="16"/>
      <c r="B434" s="17"/>
      <c r="C434" s="18"/>
      <c r="D434" s="18"/>
      <c r="E434" s="19"/>
      <c r="F434" s="20" t="n">
        <f aca="false">IF($C434=0,0,$C434-$D434)</f>
        <v>0</v>
      </c>
      <c r="G434" s="20" t="n">
        <f aca="false">IF($F434=0,0,$F434*$E434)</f>
        <v>0</v>
      </c>
      <c r="H434" s="20" t="n">
        <f aca="false">$F434-$G434</f>
        <v>0</v>
      </c>
      <c r="I434" s="16"/>
    </row>
    <row r="435" customFormat="false" ht="15" hidden="false" customHeight="true" outlineLevel="0" collapsed="false">
      <c r="A435" s="16"/>
      <c r="B435" s="17"/>
      <c r="C435" s="18"/>
      <c r="D435" s="18"/>
      <c r="E435" s="19"/>
      <c r="F435" s="20" t="n">
        <f aca="false">IF($C435=0,0,$C435-$D435)</f>
        <v>0</v>
      </c>
      <c r="G435" s="20" t="n">
        <f aca="false">IF($F435=0,0,$F435*$E435)</f>
        <v>0</v>
      </c>
      <c r="H435" s="20" t="n">
        <f aca="false">$F435-$G435</f>
        <v>0</v>
      </c>
      <c r="I435" s="16"/>
    </row>
    <row r="436" customFormat="false" ht="15" hidden="false" customHeight="true" outlineLevel="0" collapsed="false">
      <c r="A436" s="16"/>
      <c r="B436" s="17"/>
      <c r="C436" s="18"/>
      <c r="D436" s="18"/>
      <c r="E436" s="19"/>
      <c r="F436" s="20" t="n">
        <f aca="false">IF($C436=0,0,$C436-$D436)</f>
        <v>0</v>
      </c>
      <c r="G436" s="20" t="n">
        <f aca="false">IF($F436=0,0,$F436*$E436)</f>
        <v>0</v>
      </c>
      <c r="H436" s="20" t="n">
        <f aca="false">$F436-$G436</f>
        <v>0</v>
      </c>
      <c r="I436" s="16"/>
    </row>
    <row r="437" customFormat="false" ht="15" hidden="false" customHeight="true" outlineLevel="0" collapsed="false">
      <c r="A437" s="16"/>
      <c r="B437" s="17"/>
      <c r="C437" s="18"/>
      <c r="D437" s="18"/>
      <c r="E437" s="19"/>
      <c r="F437" s="20" t="n">
        <f aca="false">IF($C437=0,0,$C437-$D437)</f>
        <v>0</v>
      </c>
      <c r="G437" s="20" t="n">
        <f aca="false">IF($F437=0,0,$F437*$E437)</f>
        <v>0</v>
      </c>
      <c r="H437" s="20" t="n">
        <f aca="false">$F437-$G437</f>
        <v>0</v>
      </c>
      <c r="I437" s="16"/>
    </row>
    <row r="438" customFormat="false" ht="15" hidden="false" customHeight="true" outlineLevel="0" collapsed="false">
      <c r="A438" s="16"/>
      <c r="B438" s="17"/>
      <c r="C438" s="18"/>
      <c r="D438" s="18"/>
      <c r="E438" s="19"/>
      <c r="F438" s="20" t="n">
        <f aca="false">IF($C438=0,0,$C438-$D438)</f>
        <v>0</v>
      </c>
      <c r="G438" s="20" t="n">
        <f aca="false">IF($F438=0,0,$F438*$E438)</f>
        <v>0</v>
      </c>
      <c r="H438" s="20" t="n">
        <f aca="false">$F438-$G438</f>
        <v>0</v>
      </c>
      <c r="I438" s="16"/>
    </row>
    <row r="439" customFormat="false" ht="15" hidden="false" customHeight="true" outlineLevel="0" collapsed="false">
      <c r="A439" s="16"/>
      <c r="B439" s="17"/>
      <c r="C439" s="18"/>
      <c r="D439" s="18"/>
      <c r="E439" s="19"/>
      <c r="F439" s="20" t="n">
        <f aca="false">IF($C439=0,0,$C439-$D439)</f>
        <v>0</v>
      </c>
      <c r="G439" s="20" t="n">
        <f aca="false">IF($F439=0,0,$F439*$E439)</f>
        <v>0</v>
      </c>
      <c r="H439" s="20" t="n">
        <f aca="false">$F439-$G439</f>
        <v>0</v>
      </c>
      <c r="I439" s="16"/>
    </row>
    <row r="440" customFormat="false" ht="15" hidden="false" customHeight="true" outlineLevel="0" collapsed="false">
      <c r="A440" s="16"/>
      <c r="B440" s="17"/>
      <c r="C440" s="18"/>
      <c r="D440" s="18"/>
      <c r="E440" s="19"/>
      <c r="F440" s="20" t="n">
        <f aca="false">IF($C440=0,0,$C440-$D440)</f>
        <v>0</v>
      </c>
      <c r="G440" s="20" t="n">
        <f aca="false">IF($F440=0,0,$F440*$E440)</f>
        <v>0</v>
      </c>
      <c r="H440" s="20" t="n">
        <f aca="false">$F440-$G440</f>
        <v>0</v>
      </c>
      <c r="I440" s="16"/>
    </row>
    <row r="441" customFormat="false" ht="15" hidden="false" customHeight="true" outlineLevel="0" collapsed="false">
      <c r="A441" s="16"/>
      <c r="B441" s="17"/>
      <c r="C441" s="18"/>
      <c r="D441" s="18"/>
      <c r="E441" s="19"/>
      <c r="F441" s="20" t="n">
        <f aca="false">IF($C441=0,0,$C441-$D441)</f>
        <v>0</v>
      </c>
      <c r="G441" s="20" t="n">
        <f aca="false">IF($F441=0,0,$F441*$E441)</f>
        <v>0</v>
      </c>
      <c r="H441" s="20" t="n">
        <f aca="false">$F441-$G441</f>
        <v>0</v>
      </c>
      <c r="I441" s="16"/>
    </row>
    <row r="442" customFormat="false" ht="15" hidden="false" customHeight="true" outlineLevel="0" collapsed="false">
      <c r="A442" s="16"/>
      <c r="B442" s="17"/>
      <c r="C442" s="18"/>
      <c r="D442" s="18"/>
      <c r="E442" s="19"/>
      <c r="F442" s="20" t="n">
        <f aca="false">IF($C442=0,0,$C442-$D442)</f>
        <v>0</v>
      </c>
      <c r="G442" s="20" t="n">
        <f aca="false">IF($F442=0,0,$F442*$E442)</f>
        <v>0</v>
      </c>
      <c r="H442" s="20" t="n">
        <f aca="false">$F442-$G442</f>
        <v>0</v>
      </c>
      <c r="I442" s="16"/>
    </row>
    <row r="443" customFormat="false" ht="15" hidden="false" customHeight="true" outlineLevel="0" collapsed="false">
      <c r="A443" s="16"/>
      <c r="B443" s="17"/>
      <c r="C443" s="18"/>
      <c r="D443" s="18"/>
      <c r="E443" s="19"/>
      <c r="F443" s="20" t="n">
        <f aca="false">IF($C443=0,0,$C443-$D443)</f>
        <v>0</v>
      </c>
      <c r="G443" s="20" t="n">
        <f aca="false">IF($F443=0,0,$F443*$E443)</f>
        <v>0</v>
      </c>
      <c r="H443" s="20" t="n">
        <f aca="false">$F443-$G443</f>
        <v>0</v>
      </c>
      <c r="I443" s="16"/>
    </row>
    <row r="444" customFormat="false" ht="15" hidden="false" customHeight="true" outlineLevel="0" collapsed="false">
      <c r="A444" s="16"/>
      <c r="B444" s="17"/>
      <c r="C444" s="18"/>
      <c r="D444" s="18"/>
      <c r="E444" s="19"/>
      <c r="F444" s="20" t="n">
        <f aca="false">IF($C444=0,0,$C444-$D444)</f>
        <v>0</v>
      </c>
      <c r="G444" s="20" t="n">
        <f aca="false">IF($F444=0,0,$F444*$E444)</f>
        <v>0</v>
      </c>
      <c r="H444" s="20" t="n">
        <f aca="false">$F444-$G444</f>
        <v>0</v>
      </c>
      <c r="I444" s="16"/>
    </row>
    <row r="445" customFormat="false" ht="15" hidden="false" customHeight="true" outlineLevel="0" collapsed="false">
      <c r="A445" s="16"/>
      <c r="B445" s="17"/>
      <c r="C445" s="18"/>
      <c r="D445" s="18"/>
      <c r="E445" s="19"/>
      <c r="F445" s="20" t="n">
        <f aca="false">IF($C445=0,0,$C445-$D445)</f>
        <v>0</v>
      </c>
      <c r="G445" s="20" t="n">
        <f aca="false">IF($F445=0,0,$F445*$E445)</f>
        <v>0</v>
      </c>
      <c r="H445" s="20" t="n">
        <f aca="false">$F445-$G445</f>
        <v>0</v>
      </c>
      <c r="I445" s="16"/>
    </row>
    <row r="446" customFormat="false" ht="15" hidden="false" customHeight="true" outlineLevel="0" collapsed="false">
      <c r="A446" s="16"/>
      <c r="B446" s="17"/>
      <c r="C446" s="18"/>
      <c r="D446" s="18"/>
      <c r="E446" s="19"/>
      <c r="F446" s="20" t="n">
        <f aca="false">IF($C446=0,0,$C446-$D446)</f>
        <v>0</v>
      </c>
      <c r="G446" s="20" t="n">
        <f aca="false">IF($F446=0,0,$F446*$E446)</f>
        <v>0</v>
      </c>
      <c r="H446" s="20" t="n">
        <f aca="false">$F446-$G446</f>
        <v>0</v>
      </c>
      <c r="I446" s="16"/>
    </row>
    <row r="447" customFormat="false" ht="15" hidden="false" customHeight="true" outlineLevel="0" collapsed="false">
      <c r="A447" s="16"/>
      <c r="B447" s="17"/>
      <c r="C447" s="18"/>
      <c r="D447" s="18"/>
      <c r="E447" s="19"/>
      <c r="F447" s="20" t="n">
        <f aca="false">IF($C447=0,0,$C447-$D447)</f>
        <v>0</v>
      </c>
      <c r="G447" s="20" t="n">
        <f aca="false">IF($F447=0,0,$F447*$E447)</f>
        <v>0</v>
      </c>
      <c r="H447" s="20" t="n">
        <f aca="false">$F447-$G447</f>
        <v>0</v>
      </c>
      <c r="I447" s="16"/>
    </row>
    <row r="448" customFormat="false" ht="15" hidden="false" customHeight="true" outlineLevel="0" collapsed="false">
      <c r="A448" s="16"/>
      <c r="B448" s="17"/>
      <c r="C448" s="18"/>
      <c r="D448" s="18"/>
      <c r="E448" s="19"/>
      <c r="F448" s="20" t="n">
        <f aca="false">IF($C448=0,0,$C448-$D448)</f>
        <v>0</v>
      </c>
      <c r="G448" s="20" t="n">
        <f aca="false">IF($F448=0,0,$F448*$E448)</f>
        <v>0</v>
      </c>
      <c r="H448" s="20" t="n">
        <f aca="false">$F448-$G448</f>
        <v>0</v>
      </c>
      <c r="I448" s="16"/>
    </row>
    <row r="449" customFormat="false" ht="15" hidden="false" customHeight="true" outlineLevel="0" collapsed="false">
      <c r="A449" s="16"/>
      <c r="B449" s="17"/>
      <c r="C449" s="18"/>
      <c r="D449" s="18"/>
      <c r="E449" s="19"/>
      <c r="F449" s="20" t="n">
        <f aca="false">IF($C449=0,0,$C449-$D449)</f>
        <v>0</v>
      </c>
      <c r="G449" s="20" t="n">
        <f aca="false">IF($F449=0,0,$F449*$E449)</f>
        <v>0</v>
      </c>
      <c r="H449" s="20" t="n">
        <f aca="false">$F449-$G449</f>
        <v>0</v>
      </c>
      <c r="I449" s="16"/>
    </row>
    <row r="450" customFormat="false" ht="15" hidden="false" customHeight="true" outlineLevel="0" collapsed="false">
      <c r="A450" s="16"/>
      <c r="B450" s="17"/>
      <c r="C450" s="18"/>
      <c r="D450" s="18"/>
      <c r="E450" s="19"/>
      <c r="F450" s="20" t="n">
        <f aca="false">IF($C450=0,0,$C450-$D450)</f>
        <v>0</v>
      </c>
      <c r="G450" s="20" t="n">
        <f aca="false">IF($F450=0,0,$F450*$E450)</f>
        <v>0</v>
      </c>
      <c r="H450" s="20" t="n">
        <f aca="false">$F450-$G450</f>
        <v>0</v>
      </c>
      <c r="I450" s="16"/>
    </row>
    <row r="451" customFormat="false" ht="15" hidden="false" customHeight="true" outlineLevel="0" collapsed="false">
      <c r="A451" s="16"/>
      <c r="B451" s="17"/>
      <c r="C451" s="18"/>
      <c r="D451" s="18"/>
      <c r="E451" s="19"/>
      <c r="F451" s="20" t="n">
        <f aca="false">IF($C451=0,0,$C451-$D451)</f>
        <v>0</v>
      </c>
      <c r="G451" s="20" t="n">
        <f aca="false">IF($F451=0,0,$F451*$E451)</f>
        <v>0</v>
      </c>
      <c r="H451" s="20" t="n">
        <f aca="false">$F451-$G451</f>
        <v>0</v>
      </c>
      <c r="I451" s="16"/>
    </row>
    <row r="452" customFormat="false" ht="15" hidden="false" customHeight="true" outlineLevel="0" collapsed="false">
      <c r="A452" s="16"/>
      <c r="B452" s="17"/>
      <c r="C452" s="18"/>
      <c r="D452" s="18"/>
      <c r="E452" s="19"/>
      <c r="F452" s="20" t="n">
        <f aca="false">IF($C452=0,0,$C452-$D452)</f>
        <v>0</v>
      </c>
      <c r="G452" s="20" t="n">
        <f aca="false">IF($F452=0,0,$F452*$E452)</f>
        <v>0</v>
      </c>
      <c r="H452" s="20" t="n">
        <f aca="false">$F452-$G452</f>
        <v>0</v>
      </c>
      <c r="I452" s="16"/>
    </row>
    <row r="453" customFormat="false" ht="15" hidden="false" customHeight="true" outlineLevel="0" collapsed="false">
      <c r="A453" s="16"/>
      <c r="B453" s="17"/>
      <c r="C453" s="18"/>
      <c r="D453" s="18"/>
      <c r="E453" s="19"/>
      <c r="F453" s="20" t="n">
        <f aca="false">IF($C453=0,0,$C453-$D453)</f>
        <v>0</v>
      </c>
      <c r="G453" s="20" t="n">
        <f aca="false">IF($F453=0,0,$F453*$E453)</f>
        <v>0</v>
      </c>
      <c r="H453" s="20" t="n">
        <f aca="false">$F453-$G453</f>
        <v>0</v>
      </c>
      <c r="I453" s="16"/>
    </row>
    <row r="454" customFormat="false" ht="15" hidden="false" customHeight="true" outlineLevel="0" collapsed="false">
      <c r="A454" s="16"/>
      <c r="B454" s="17"/>
      <c r="C454" s="18"/>
      <c r="D454" s="18"/>
      <c r="E454" s="19"/>
      <c r="F454" s="20" t="n">
        <f aca="false">IF($C454=0,0,$C454-$D454)</f>
        <v>0</v>
      </c>
      <c r="G454" s="20" t="n">
        <f aca="false">IF($F454=0,0,$F454*$E454)</f>
        <v>0</v>
      </c>
      <c r="H454" s="20" t="n">
        <f aca="false">$F454-$G454</f>
        <v>0</v>
      </c>
      <c r="I454" s="16"/>
    </row>
    <row r="455" customFormat="false" ht="15" hidden="false" customHeight="true" outlineLevel="0" collapsed="false">
      <c r="A455" s="16"/>
      <c r="B455" s="17"/>
      <c r="C455" s="18"/>
      <c r="D455" s="18"/>
      <c r="E455" s="19"/>
      <c r="F455" s="20" t="n">
        <f aca="false">IF($C455=0,0,$C455-$D455)</f>
        <v>0</v>
      </c>
      <c r="G455" s="20" t="n">
        <f aca="false">IF($F455=0,0,$F455*$E455)</f>
        <v>0</v>
      </c>
      <c r="H455" s="20" t="n">
        <f aca="false">$F455-$G455</f>
        <v>0</v>
      </c>
      <c r="I455" s="16"/>
    </row>
    <row r="456" customFormat="false" ht="15" hidden="false" customHeight="true" outlineLevel="0" collapsed="false">
      <c r="A456" s="16"/>
      <c r="B456" s="17"/>
      <c r="C456" s="18"/>
      <c r="D456" s="18"/>
      <c r="E456" s="19"/>
      <c r="F456" s="20" t="n">
        <f aca="false">IF($C456=0,0,$C456-$D456)</f>
        <v>0</v>
      </c>
      <c r="G456" s="20" t="n">
        <f aca="false">IF($F456=0,0,$F456*$E456)</f>
        <v>0</v>
      </c>
      <c r="H456" s="20" t="n">
        <f aca="false">$F456-$G456</f>
        <v>0</v>
      </c>
      <c r="I456" s="16"/>
    </row>
    <row r="457" customFormat="false" ht="15" hidden="false" customHeight="true" outlineLevel="0" collapsed="false">
      <c r="A457" s="16"/>
      <c r="B457" s="17"/>
      <c r="C457" s="18"/>
      <c r="D457" s="18"/>
      <c r="E457" s="19"/>
      <c r="F457" s="20" t="n">
        <f aca="false">IF($C457=0,0,$C457-$D457)</f>
        <v>0</v>
      </c>
      <c r="G457" s="20" t="n">
        <f aca="false">IF($F457=0,0,$F457*$E457)</f>
        <v>0</v>
      </c>
      <c r="H457" s="20" t="n">
        <f aca="false">$F457-$G457</f>
        <v>0</v>
      </c>
      <c r="I457" s="16"/>
    </row>
    <row r="458" customFormat="false" ht="15" hidden="false" customHeight="true" outlineLevel="0" collapsed="false">
      <c r="A458" s="16"/>
      <c r="B458" s="17"/>
      <c r="C458" s="18"/>
      <c r="D458" s="18"/>
      <c r="E458" s="19"/>
      <c r="F458" s="20" t="n">
        <f aca="false">IF($C458=0,0,$C458-$D458)</f>
        <v>0</v>
      </c>
      <c r="G458" s="20" t="n">
        <f aca="false">IF($F458=0,0,$F458*$E458)</f>
        <v>0</v>
      </c>
      <c r="H458" s="20" t="n">
        <f aca="false">$F458-$G458</f>
        <v>0</v>
      </c>
      <c r="I458" s="16"/>
    </row>
    <row r="459" customFormat="false" ht="15" hidden="false" customHeight="true" outlineLevel="0" collapsed="false">
      <c r="A459" s="16"/>
      <c r="B459" s="17"/>
      <c r="C459" s="18"/>
      <c r="D459" s="18"/>
      <c r="E459" s="19"/>
      <c r="F459" s="20" t="n">
        <f aca="false">IF($C459=0,0,$C459-$D459)</f>
        <v>0</v>
      </c>
      <c r="G459" s="20" t="n">
        <f aca="false">IF($F459=0,0,$F459*$E459)</f>
        <v>0</v>
      </c>
      <c r="H459" s="20" t="n">
        <f aca="false">$F459-$G459</f>
        <v>0</v>
      </c>
      <c r="I459" s="16"/>
    </row>
    <row r="460" customFormat="false" ht="15" hidden="false" customHeight="true" outlineLevel="0" collapsed="false">
      <c r="A460" s="16"/>
      <c r="B460" s="17"/>
      <c r="C460" s="18"/>
      <c r="D460" s="18"/>
      <c r="E460" s="19"/>
      <c r="F460" s="20" t="n">
        <f aca="false">IF($C460=0,0,$C460-$D460)</f>
        <v>0</v>
      </c>
      <c r="G460" s="20" t="n">
        <f aca="false">IF($F460=0,0,$F460*$E460)</f>
        <v>0</v>
      </c>
      <c r="H460" s="20" t="n">
        <f aca="false">$F460-$G460</f>
        <v>0</v>
      </c>
      <c r="I460" s="16"/>
    </row>
    <row r="461" customFormat="false" ht="15" hidden="false" customHeight="true" outlineLevel="0" collapsed="false">
      <c r="A461" s="16"/>
      <c r="B461" s="17"/>
      <c r="C461" s="18"/>
      <c r="D461" s="18"/>
      <c r="E461" s="19"/>
      <c r="F461" s="20" t="n">
        <f aca="false">IF($C461=0,0,$C461-$D461)</f>
        <v>0</v>
      </c>
      <c r="G461" s="20" t="n">
        <f aca="false">IF($F461=0,0,$F461*$E461)</f>
        <v>0</v>
      </c>
      <c r="H461" s="20" t="n">
        <f aca="false">$F461-$G461</f>
        <v>0</v>
      </c>
      <c r="I461" s="16"/>
    </row>
    <row r="462" customFormat="false" ht="15" hidden="false" customHeight="true" outlineLevel="0" collapsed="false">
      <c r="A462" s="16"/>
      <c r="B462" s="17"/>
      <c r="C462" s="18"/>
      <c r="D462" s="18"/>
      <c r="E462" s="19"/>
      <c r="F462" s="20" t="n">
        <f aca="false">IF($C462=0,0,$C462-$D462)</f>
        <v>0</v>
      </c>
      <c r="G462" s="20" t="n">
        <f aca="false">IF($F462=0,0,$F462*$E462)</f>
        <v>0</v>
      </c>
      <c r="H462" s="20" t="n">
        <f aca="false">$F462-$G462</f>
        <v>0</v>
      </c>
      <c r="I462" s="16"/>
    </row>
    <row r="463" customFormat="false" ht="15" hidden="false" customHeight="true" outlineLevel="0" collapsed="false">
      <c r="A463" s="16"/>
      <c r="B463" s="17"/>
      <c r="C463" s="18"/>
      <c r="D463" s="18"/>
      <c r="E463" s="19"/>
      <c r="F463" s="20" t="n">
        <f aca="false">IF($C463=0,0,$C463-$D463)</f>
        <v>0</v>
      </c>
      <c r="G463" s="20" t="n">
        <f aca="false">IF($F463=0,0,$F463*$E463)</f>
        <v>0</v>
      </c>
      <c r="H463" s="20" t="n">
        <f aca="false">$F463-$G463</f>
        <v>0</v>
      </c>
      <c r="I463" s="16"/>
    </row>
    <row r="464" customFormat="false" ht="15" hidden="false" customHeight="true" outlineLevel="0" collapsed="false">
      <c r="A464" s="16"/>
      <c r="B464" s="17"/>
      <c r="C464" s="18"/>
      <c r="D464" s="18"/>
      <c r="E464" s="19"/>
      <c r="F464" s="20" t="n">
        <f aca="false">IF($C464=0,0,$C464-$D464)</f>
        <v>0</v>
      </c>
      <c r="G464" s="20" t="n">
        <f aca="false">IF($F464=0,0,$F464*$E464)</f>
        <v>0</v>
      </c>
      <c r="H464" s="20" t="n">
        <f aca="false">$F464-$G464</f>
        <v>0</v>
      </c>
      <c r="I464" s="16"/>
    </row>
    <row r="465" customFormat="false" ht="15" hidden="false" customHeight="true" outlineLevel="0" collapsed="false">
      <c r="A465" s="16"/>
      <c r="B465" s="17"/>
      <c r="C465" s="18"/>
      <c r="D465" s="18"/>
      <c r="E465" s="19"/>
      <c r="F465" s="20" t="n">
        <f aca="false">IF($C465=0,0,$C465-$D465)</f>
        <v>0</v>
      </c>
      <c r="G465" s="20" t="n">
        <f aca="false">IF($F465=0,0,$F465*$E465)</f>
        <v>0</v>
      </c>
      <c r="H465" s="20" t="n">
        <f aca="false">$F465-$G465</f>
        <v>0</v>
      </c>
      <c r="I465" s="16"/>
    </row>
    <row r="466" customFormat="false" ht="15" hidden="false" customHeight="true" outlineLevel="0" collapsed="false">
      <c r="A466" s="16"/>
      <c r="B466" s="17"/>
      <c r="C466" s="18"/>
      <c r="D466" s="18"/>
      <c r="E466" s="19"/>
      <c r="F466" s="20" t="n">
        <f aca="false">IF($C466=0,0,$C466-$D466)</f>
        <v>0</v>
      </c>
      <c r="G466" s="20" t="n">
        <f aca="false">IF($F466=0,0,$F466*$E466)</f>
        <v>0</v>
      </c>
      <c r="H466" s="20" t="n">
        <f aca="false">$F466-$G466</f>
        <v>0</v>
      </c>
      <c r="I466" s="16"/>
    </row>
    <row r="467" customFormat="false" ht="15" hidden="false" customHeight="true" outlineLevel="0" collapsed="false">
      <c r="A467" s="16"/>
      <c r="B467" s="17"/>
      <c r="C467" s="18"/>
      <c r="D467" s="18"/>
      <c r="E467" s="19"/>
      <c r="F467" s="20" t="n">
        <f aca="false">IF($C467=0,0,$C467-$D467)</f>
        <v>0</v>
      </c>
      <c r="G467" s="20" t="n">
        <f aca="false">IF($F467=0,0,$F467*$E467)</f>
        <v>0</v>
      </c>
      <c r="H467" s="20" t="n">
        <f aca="false">$F467-$G467</f>
        <v>0</v>
      </c>
      <c r="I467" s="16"/>
    </row>
    <row r="468" customFormat="false" ht="15" hidden="false" customHeight="true" outlineLevel="0" collapsed="false">
      <c r="A468" s="16"/>
      <c r="B468" s="17"/>
      <c r="C468" s="18"/>
      <c r="D468" s="18"/>
      <c r="E468" s="19"/>
      <c r="F468" s="20" t="n">
        <f aca="false">IF($C468=0,0,$C468-$D468)</f>
        <v>0</v>
      </c>
      <c r="G468" s="20" t="n">
        <f aca="false">IF($F468=0,0,$F468*$E468)</f>
        <v>0</v>
      </c>
      <c r="H468" s="20" t="n">
        <f aca="false">$F468-$G468</f>
        <v>0</v>
      </c>
      <c r="I468" s="16"/>
    </row>
    <row r="469" customFormat="false" ht="15" hidden="false" customHeight="true" outlineLevel="0" collapsed="false">
      <c r="A469" s="16"/>
      <c r="B469" s="17"/>
      <c r="C469" s="18"/>
      <c r="D469" s="18"/>
      <c r="E469" s="19"/>
      <c r="F469" s="20" t="n">
        <f aca="false">IF($C469=0,0,$C469-$D469)</f>
        <v>0</v>
      </c>
      <c r="G469" s="20" t="n">
        <f aca="false">IF($F469=0,0,$F469*$E469)</f>
        <v>0</v>
      </c>
      <c r="H469" s="20" t="n">
        <f aca="false">$F469-$G469</f>
        <v>0</v>
      </c>
      <c r="I469" s="16"/>
    </row>
    <row r="470" customFormat="false" ht="15" hidden="false" customHeight="true" outlineLevel="0" collapsed="false">
      <c r="A470" s="16"/>
      <c r="B470" s="17"/>
      <c r="C470" s="18"/>
      <c r="D470" s="18"/>
      <c r="E470" s="19"/>
      <c r="F470" s="20" t="n">
        <f aca="false">IF($C470=0,0,$C470-$D470)</f>
        <v>0</v>
      </c>
      <c r="G470" s="20" t="n">
        <f aca="false">IF($F470=0,0,$F470*$E470)</f>
        <v>0</v>
      </c>
      <c r="H470" s="20" t="n">
        <f aca="false">$F470-$G470</f>
        <v>0</v>
      </c>
      <c r="I470" s="16"/>
    </row>
    <row r="471" customFormat="false" ht="15" hidden="false" customHeight="true" outlineLevel="0" collapsed="false">
      <c r="A471" s="16"/>
      <c r="B471" s="17"/>
      <c r="C471" s="18"/>
      <c r="D471" s="18"/>
      <c r="E471" s="19"/>
      <c r="F471" s="20" t="n">
        <f aca="false">IF($C471=0,0,$C471-$D471)</f>
        <v>0</v>
      </c>
      <c r="G471" s="20" t="n">
        <f aca="false">IF($F471=0,0,$F471*$E471)</f>
        <v>0</v>
      </c>
      <c r="H471" s="20" t="n">
        <f aca="false">$F471-$G471</f>
        <v>0</v>
      </c>
      <c r="I471" s="16"/>
    </row>
    <row r="472" customFormat="false" ht="15" hidden="false" customHeight="true" outlineLevel="0" collapsed="false">
      <c r="A472" s="16"/>
      <c r="B472" s="17"/>
      <c r="C472" s="18"/>
      <c r="D472" s="18"/>
      <c r="E472" s="19"/>
      <c r="F472" s="20" t="n">
        <f aca="false">IF($C472=0,0,$C472-$D472)</f>
        <v>0</v>
      </c>
      <c r="G472" s="20" t="n">
        <f aca="false">IF($F472=0,0,$F472*$E472)</f>
        <v>0</v>
      </c>
      <c r="H472" s="20" t="n">
        <f aca="false">$F472-$G472</f>
        <v>0</v>
      </c>
      <c r="I472" s="16"/>
    </row>
    <row r="473" customFormat="false" ht="15" hidden="false" customHeight="true" outlineLevel="0" collapsed="false">
      <c r="A473" s="16"/>
      <c r="B473" s="17"/>
      <c r="C473" s="18"/>
      <c r="D473" s="18"/>
      <c r="E473" s="19"/>
      <c r="F473" s="20" t="n">
        <f aca="false">IF($C473=0,0,$C473-$D473)</f>
        <v>0</v>
      </c>
      <c r="G473" s="20" t="n">
        <f aca="false">IF($F473=0,0,$F473*$E473)</f>
        <v>0</v>
      </c>
      <c r="H473" s="20" t="n">
        <f aca="false">$F473-$G473</f>
        <v>0</v>
      </c>
      <c r="I473" s="16"/>
    </row>
    <row r="474" customFormat="false" ht="15" hidden="false" customHeight="true" outlineLevel="0" collapsed="false">
      <c r="A474" s="16"/>
      <c r="B474" s="17"/>
      <c r="C474" s="18"/>
      <c r="D474" s="18"/>
      <c r="E474" s="19"/>
      <c r="F474" s="20" t="n">
        <f aca="false">IF($C474=0,0,$C474-$D474)</f>
        <v>0</v>
      </c>
      <c r="G474" s="20" t="n">
        <f aca="false">IF($F474=0,0,$F474*$E474)</f>
        <v>0</v>
      </c>
      <c r="H474" s="20" t="n">
        <f aca="false">$F474-$G474</f>
        <v>0</v>
      </c>
      <c r="I474" s="16"/>
    </row>
    <row r="475" customFormat="false" ht="15" hidden="false" customHeight="true" outlineLevel="0" collapsed="false">
      <c r="A475" s="16"/>
      <c r="B475" s="17"/>
      <c r="C475" s="18"/>
      <c r="D475" s="18"/>
      <c r="E475" s="19"/>
      <c r="F475" s="20" t="n">
        <f aca="false">IF($C475=0,0,$C475-$D475)</f>
        <v>0</v>
      </c>
      <c r="G475" s="20" t="n">
        <f aca="false">IF($F475=0,0,$F475*$E475)</f>
        <v>0</v>
      </c>
      <c r="H475" s="20" t="n">
        <f aca="false">$F475-$G475</f>
        <v>0</v>
      </c>
      <c r="I475" s="16"/>
    </row>
    <row r="476" customFormat="false" ht="15" hidden="false" customHeight="true" outlineLevel="0" collapsed="false">
      <c r="A476" s="16"/>
      <c r="B476" s="17"/>
      <c r="C476" s="18"/>
      <c r="D476" s="18"/>
      <c r="E476" s="19"/>
      <c r="F476" s="20" t="n">
        <f aca="false">IF($C476=0,0,$C476-$D476)</f>
        <v>0</v>
      </c>
      <c r="G476" s="20" t="n">
        <f aca="false">IF($F476=0,0,$F476*$E476)</f>
        <v>0</v>
      </c>
      <c r="H476" s="20" t="n">
        <f aca="false">$F476-$G476</f>
        <v>0</v>
      </c>
      <c r="I476" s="16"/>
    </row>
    <row r="477" customFormat="false" ht="15" hidden="false" customHeight="true" outlineLevel="0" collapsed="false">
      <c r="A477" s="16"/>
      <c r="B477" s="17"/>
      <c r="C477" s="18"/>
      <c r="D477" s="18"/>
      <c r="E477" s="19"/>
      <c r="F477" s="20" t="n">
        <f aca="false">IF($C477=0,0,$C477-$D477)</f>
        <v>0</v>
      </c>
      <c r="G477" s="20" t="n">
        <f aca="false">IF($F477=0,0,$F477*$E477)</f>
        <v>0</v>
      </c>
      <c r="H477" s="20" t="n">
        <f aca="false">$F477-$G477</f>
        <v>0</v>
      </c>
      <c r="I477" s="16"/>
    </row>
    <row r="478" customFormat="false" ht="15" hidden="false" customHeight="true" outlineLevel="0" collapsed="false">
      <c r="A478" s="16"/>
      <c r="B478" s="17"/>
      <c r="C478" s="18"/>
      <c r="D478" s="18"/>
      <c r="E478" s="19"/>
      <c r="F478" s="20" t="n">
        <f aca="false">IF($C478=0,0,$C478-$D478)</f>
        <v>0</v>
      </c>
      <c r="G478" s="20" t="n">
        <f aca="false">IF($F478=0,0,$F478*$E478)</f>
        <v>0</v>
      </c>
      <c r="H478" s="20" t="n">
        <f aca="false">$F478-$G478</f>
        <v>0</v>
      </c>
      <c r="I478" s="16"/>
    </row>
    <row r="479" customFormat="false" ht="15" hidden="false" customHeight="true" outlineLevel="0" collapsed="false">
      <c r="A479" s="16"/>
      <c r="B479" s="17"/>
      <c r="C479" s="18"/>
      <c r="D479" s="18"/>
      <c r="E479" s="19"/>
      <c r="F479" s="20" t="n">
        <f aca="false">IF($C479=0,0,$C479-$D479)</f>
        <v>0</v>
      </c>
      <c r="G479" s="20" t="n">
        <f aca="false">IF($F479=0,0,$F479*$E479)</f>
        <v>0</v>
      </c>
      <c r="H479" s="20" t="n">
        <f aca="false">$F479-$G479</f>
        <v>0</v>
      </c>
      <c r="I479" s="16"/>
    </row>
    <row r="480" customFormat="false" ht="15" hidden="false" customHeight="true" outlineLevel="0" collapsed="false">
      <c r="A480" s="16"/>
      <c r="B480" s="17"/>
      <c r="C480" s="18"/>
      <c r="D480" s="18"/>
      <c r="E480" s="19"/>
      <c r="F480" s="20" t="n">
        <f aca="false">IF($C480=0,0,$C480-$D480)</f>
        <v>0</v>
      </c>
      <c r="G480" s="20" t="n">
        <f aca="false">IF($F480=0,0,$F480*$E480)</f>
        <v>0</v>
      </c>
      <c r="H480" s="20" t="n">
        <f aca="false">$F480-$G480</f>
        <v>0</v>
      </c>
      <c r="I480" s="16"/>
    </row>
    <row r="481" customFormat="false" ht="15" hidden="false" customHeight="true" outlineLevel="0" collapsed="false">
      <c r="A481" s="16"/>
      <c r="B481" s="17"/>
      <c r="C481" s="18"/>
      <c r="D481" s="18"/>
      <c r="E481" s="19"/>
      <c r="F481" s="20" t="n">
        <f aca="false">IF($C481=0,0,$C481-$D481)</f>
        <v>0</v>
      </c>
      <c r="G481" s="20" t="n">
        <f aca="false">IF($F481=0,0,$F481*$E481)</f>
        <v>0</v>
      </c>
      <c r="H481" s="20" t="n">
        <f aca="false">$F481-$G481</f>
        <v>0</v>
      </c>
      <c r="I481" s="16"/>
    </row>
    <row r="482" customFormat="false" ht="15" hidden="false" customHeight="true" outlineLevel="0" collapsed="false">
      <c r="A482" s="16"/>
      <c r="B482" s="17"/>
      <c r="C482" s="18"/>
      <c r="D482" s="18"/>
      <c r="E482" s="19"/>
      <c r="F482" s="20" t="n">
        <f aca="false">IF($C482=0,0,$C482-$D482)</f>
        <v>0</v>
      </c>
      <c r="G482" s="20" t="n">
        <f aca="false">IF($F482=0,0,$F482*$E482)</f>
        <v>0</v>
      </c>
      <c r="H482" s="20" t="n">
        <f aca="false">$F482-$G482</f>
        <v>0</v>
      </c>
      <c r="I482" s="16"/>
    </row>
    <row r="483" customFormat="false" ht="15" hidden="false" customHeight="true" outlineLevel="0" collapsed="false">
      <c r="A483" s="16"/>
      <c r="B483" s="17"/>
      <c r="C483" s="18"/>
      <c r="D483" s="18"/>
      <c r="E483" s="19"/>
      <c r="F483" s="20" t="n">
        <f aca="false">IF($C483=0,0,$C483-$D483)</f>
        <v>0</v>
      </c>
      <c r="G483" s="20" t="n">
        <f aca="false">IF($F483=0,0,$F483*$E483)</f>
        <v>0</v>
      </c>
      <c r="H483" s="20" t="n">
        <f aca="false">$F483-$G483</f>
        <v>0</v>
      </c>
      <c r="I483" s="16"/>
    </row>
    <row r="484" customFormat="false" ht="15" hidden="false" customHeight="true" outlineLevel="0" collapsed="false">
      <c r="A484" s="16"/>
      <c r="B484" s="17"/>
      <c r="C484" s="18"/>
      <c r="D484" s="18"/>
      <c r="E484" s="19"/>
      <c r="F484" s="20" t="n">
        <f aca="false">IF($C484=0,0,$C484-$D484)</f>
        <v>0</v>
      </c>
      <c r="G484" s="20" t="n">
        <f aca="false">IF($F484=0,0,$F484*$E484)</f>
        <v>0</v>
      </c>
      <c r="H484" s="20" t="n">
        <f aca="false">$F484-$G484</f>
        <v>0</v>
      </c>
      <c r="I484" s="16"/>
    </row>
    <row r="485" customFormat="false" ht="15" hidden="false" customHeight="true" outlineLevel="0" collapsed="false">
      <c r="A485" s="16"/>
      <c r="B485" s="17"/>
      <c r="C485" s="18"/>
      <c r="D485" s="18"/>
      <c r="E485" s="19"/>
      <c r="F485" s="20" t="n">
        <f aca="false">IF($C485=0,0,$C485-$D485)</f>
        <v>0</v>
      </c>
      <c r="G485" s="20" t="n">
        <f aca="false">IF($F485=0,0,$F485*$E485)</f>
        <v>0</v>
      </c>
      <c r="H485" s="20" t="n">
        <f aca="false">$F485-$G485</f>
        <v>0</v>
      </c>
      <c r="I485" s="16"/>
    </row>
    <row r="486" customFormat="false" ht="15" hidden="false" customHeight="true" outlineLevel="0" collapsed="false">
      <c r="A486" s="16"/>
      <c r="B486" s="17"/>
      <c r="C486" s="18"/>
      <c r="D486" s="18"/>
      <c r="E486" s="19"/>
      <c r="F486" s="20" t="n">
        <f aca="false">IF($C486=0,0,$C486-$D486)</f>
        <v>0</v>
      </c>
      <c r="G486" s="20" t="n">
        <f aca="false">IF($F486=0,0,$F486*$E486)</f>
        <v>0</v>
      </c>
      <c r="H486" s="20" t="n">
        <f aca="false">$F486-$G486</f>
        <v>0</v>
      </c>
      <c r="I486" s="16"/>
    </row>
    <row r="487" customFormat="false" ht="15" hidden="false" customHeight="true" outlineLevel="0" collapsed="false">
      <c r="A487" s="16"/>
      <c r="B487" s="17"/>
      <c r="C487" s="18"/>
      <c r="D487" s="18"/>
      <c r="E487" s="19"/>
      <c r="F487" s="20" t="n">
        <f aca="false">IF($C487=0,0,$C487-$D487)</f>
        <v>0</v>
      </c>
      <c r="G487" s="20" t="n">
        <f aca="false">IF($F487=0,0,$F487*$E487)</f>
        <v>0</v>
      </c>
      <c r="H487" s="20" t="n">
        <f aca="false">$F487-$G487</f>
        <v>0</v>
      </c>
      <c r="I487" s="16"/>
    </row>
    <row r="488" customFormat="false" ht="15" hidden="false" customHeight="true" outlineLevel="0" collapsed="false">
      <c r="A488" s="16"/>
      <c r="B488" s="17"/>
      <c r="C488" s="18"/>
      <c r="D488" s="18"/>
      <c r="E488" s="19"/>
      <c r="F488" s="20" t="n">
        <f aca="false">IF($C488=0,0,$C488-$D488)</f>
        <v>0</v>
      </c>
      <c r="G488" s="20" t="n">
        <f aca="false">IF($F488=0,0,$F488*$E488)</f>
        <v>0</v>
      </c>
      <c r="H488" s="20" t="n">
        <f aca="false">$F488-$G488</f>
        <v>0</v>
      </c>
      <c r="I488" s="16"/>
    </row>
    <row r="489" customFormat="false" ht="15" hidden="false" customHeight="true" outlineLevel="0" collapsed="false">
      <c r="A489" s="16"/>
      <c r="B489" s="17"/>
      <c r="C489" s="18"/>
      <c r="D489" s="18"/>
      <c r="E489" s="19"/>
      <c r="F489" s="20" t="n">
        <f aca="false">IF($C489=0,0,$C489-$D489)</f>
        <v>0</v>
      </c>
      <c r="G489" s="20" t="n">
        <f aca="false">IF($F489=0,0,$F489*$E489)</f>
        <v>0</v>
      </c>
      <c r="H489" s="20" t="n">
        <f aca="false">$F489-$G489</f>
        <v>0</v>
      </c>
      <c r="I489" s="16"/>
    </row>
    <row r="490" customFormat="false" ht="15" hidden="false" customHeight="true" outlineLevel="0" collapsed="false">
      <c r="A490" s="16"/>
      <c r="B490" s="17"/>
      <c r="C490" s="18"/>
      <c r="D490" s="18"/>
      <c r="E490" s="19"/>
      <c r="F490" s="20" t="n">
        <f aca="false">IF($C490=0,0,$C490-$D490)</f>
        <v>0</v>
      </c>
      <c r="G490" s="20" t="n">
        <f aca="false">IF($F490=0,0,$F490*$E490)</f>
        <v>0</v>
      </c>
      <c r="H490" s="20" t="n">
        <f aca="false">$F490-$G490</f>
        <v>0</v>
      </c>
      <c r="I490" s="16"/>
    </row>
    <row r="491" customFormat="false" ht="15" hidden="false" customHeight="true" outlineLevel="0" collapsed="false">
      <c r="A491" s="16"/>
      <c r="B491" s="17"/>
      <c r="C491" s="18"/>
      <c r="D491" s="18"/>
      <c r="E491" s="19"/>
      <c r="F491" s="20" t="n">
        <f aca="false">IF($C491=0,0,$C491-$D491)</f>
        <v>0</v>
      </c>
      <c r="G491" s="20" t="n">
        <f aca="false">IF($F491=0,0,$F491*$E491)</f>
        <v>0</v>
      </c>
      <c r="H491" s="20" t="n">
        <f aca="false">$F491-$G491</f>
        <v>0</v>
      </c>
      <c r="I491" s="16"/>
    </row>
    <row r="492" customFormat="false" ht="15" hidden="false" customHeight="true" outlineLevel="0" collapsed="false">
      <c r="A492" s="16"/>
      <c r="B492" s="17"/>
      <c r="C492" s="18"/>
      <c r="D492" s="18"/>
      <c r="E492" s="19"/>
      <c r="F492" s="20" t="n">
        <f aca="false">IF($C492=0,0,$C492-$D492)</f>
        <v>0</v>
      </c>
      <c r="G492" s="20" t="n">
        <f aca="false">IF($F492=0,0,$F492*$E492)</f>
        <v>0</v>
      </c>
      <c r="H492" s="20" t="n">
        <f aca="false">$F492-$G492</f>
        <v>0</v>
      </c>
      <c r="I492" s="16"/>
    </row>
    <row r="493" customFormat="false" ht="15" hidden="false" customHeight="true" outlineLevel="0" collapsed="false">
      <c r="A493" s="16"/>
      <c r="B493" s="17"/>
      <c r="C493" s="18"/>
      <c r="D493" s="18"/>
      <c r="E493" s="19"/>
      <c r="F493" s="20" t="n">
        <f aca="false">IF($C493=0,0,$C493-$D493)</f>
        <v>0</v>
      </c>
      <c r="G493" s="20" t="n">
        <f aca="false">IF($F493=0,0,$F493*$E493)</f>
        <v>0</v>
      </c>
      <c r="H493" s="20" t="n">
        <f aca="false">$F493-$G493</f>
        <v>0</v>
      </c>
      <c r="I493" s="16"/>
    </row>
    <row r="494" customFormat="false" ht="15" hidden="false" customHeight="true" outlineLevel="0" collapsed="false">
      <c r="A494" s="16"/>
      <c r="B494" s="17"/>
      <c r="C494" s="18"/>
      <c r="D494" s="18"/>
      <c r="E494" s="19"/>
      <c r="F494" s="20" t="n">
        <f aca="false">IF($C494=0,0,$C494-$D494)</f>
        <v>0</v>
      </c>
      <c r="G494" s="20" t="n">
        <f aca="false">IF($F494=0,0,$F494*$E494)</f>
        <v>0</v>
      </c>
      <c r="H494" s="20" t="n">
        <f aca="false">$F494-$G494</f>
        <v>0</v>
      </c>
      <c r="I494" s="16"/>
    </row>
    <row r="495" customFormat="false" ht="15" hidden="false" customHeight="true" outlineLevel="0" collapsed="false">
      <c r="A495" s="16"/>
      <c r="B495" s="17"/>
      <c r="C495" s="18"/>
      <c r="D495" s="18"/>
      <c r="E495" s="19"/>
      <c r="F495" s="20" t="n">
        <f aca="false">IF($C495=0,0,$C495-$D495)</f>
        <v>0</v>
      </c>
      <c r="G495" s="20" t="n">
        <f aca="false">IF($F495=0,0,$F495*$E495)</f>
        <v>0</v>
      </c>
      <c r="H495" s="20" t="n">
        <f aca="false">$F495-$G495</f>
        <v>0</v>
      </c>
      <c r="I495" s="16"/>
    </row>
    <row r="496" customFormat="false" ht="15" hidden="false" customHeight="true" outlineLevel="0" collapsed="false">
      <c r="A496" s="16"/>
      <c r="B496" s="17"/>
      <c r="C496" s="18"/>
      <c r="D496" s="18"/>
      <c r="E496" s="19"/>
      <c r="F496" s="20" t="n">
        <f aca="false">IF($C496=0,0,$C496-$D496)</f>
        <v>0</v>
      </c>
      <c r="G496" s="20" t="n">
        <f aca="false">IF($F496=0,0,$F496*$E496)</f>
        <v>0</v>
      </c>
      <c r="H496" s="20" t="n">
        <f aca="false">$F496-$G496</f>
        <v>0</v>
      </c>
      <c r="I496" s="16"/>
    </row>
    <row r="497" customFormat="false" ht="15" hidden="false" customHeight="true" outlineLevel="0" collapsed="false">
      <c r="A497" s="16"/>
      <c r="B497" s="17"/>
      <c r="C497" s="18"/>
      <c r="D497" s="18"/>
      <c r="E497" s="19"/>
      <c r="F497" s="20" t="n">
        <f aca="false">IF($C497=0,0,$C497-$D497)</f>
        <v>0</v>
      </c>
      <c r="G497" s="20" t="n">
        <f aca="false">IF($F497=0,0,$F497*$E497)</f>
        <v>0</v>
      </c>
      <c r="H497" s="20" t="n">
        <f aca="false">$F497-$G497</f>
        <v>0</v>
      </c>
      <c r="I497" s="16"/>
    </row>
    <row r="498" customFormat="false" ht="15" hidden="false" customHeight="true" outlineLevel="0" collapsed="false">
      <c r="A498" s="16"/>
      <c r="B498" s="17"/>
      <c r="C498" s="18"/>
      <c r="D498" s="18"/>
      <c r="E498" s="19"/>
      <c r="F498" s="20" t="n">
        <f aca="false">IF($C498=0,0,$C498-$D498)</f>
        <v>0</v>
      </c>
      <c r="G498" s="20" t="n">
        <f aca="false">IF($F498=0,0,$F498*$E498)</f>
        <v>0</v>
      </c>
      <c r="H498" s="20" t="n">
        <f aca="false">$F498-$G498</f>
        <v>0</v>
      </c>
      <c r="I498" s="16"/>
    </row>
    <row r="499" customFormat="false" ht="15" hidden="false" customHeight="true" outlineLevel="0" collapsed="false">
      <c r="A499" s="16"/>
      <c r="B499" s="17"/>
      <c r="C499" s="18"/>
      <c r="D499" s="18"/>
      <c r="E499" s="19"/>
      <c r="F499" s="20" t="n">
        <f aca="false">IF($C499=0,0,$C499-$D499)</f>
        <v>0</v>
      </c>
      <c r="G499" s="20" t="n">
        <f aca="false">IF($F499=0,0,$F499*$E499)</f>
        <v>0</v>
      </c>
      <c r="H499" s="20" t="n">
        <f aca="false">$F499-$G499</f>
        <v>0</v>
      </c>
      <c r="I499" s="16"/>
    </row>
    <row r="500" customFormat="false" ht="15" hidden="false" customHeight="true" outlineLevel="0" collapsed="false">
      <c r="A500" s="16"/>
      <c r="B500" s="17"/>
      <c r="C500" s="18"/>
      <c r="D500" s="18"/>
      <c r="E500" s="19"/>
      <c r="F500" s="20" t="n">
        <f aca="false">IF($C500=0,0,$C500-$D500)</f>
        <v>0</v>
      </c>
      <c r="G500" s="20" t="n">
        <f aca="false">IF($F500=0,0,$F500*$E500)</f>
        <v>0</v>
      </c>
      <c r="H500" s="20" t="n">
        <f aca="false">$F500-$G500</f>
        <v>0</v>
      </c>
      <c r="I500" s="16"/>
    </row>
    <row r="501" customFormat="false" ht="15" hidden="false" customHeight="true" outlineLevel="0" collapsed="false">
      <c r="A501" s="16"/>
      <c r="B501" s="17"/>
      <c r="C501" s="18"/>
      <c r="D501" s="18"/>
      <c r="E501" s="19"/>
      <c r="F501" s="20" t="n">
        <f aca="false">IF($C501=0,0,$C501-$D501)</f>
        <v>0</v>
      </c>
      <c r="G501" s="20" t="n">
        <f aca="false">IF($F501=0,0,$F501*$E501)</f>
        <v>0</v>
      </c>
      <c r="H501" s="20" t="n">
        <f aca="false">$F501-$G501</f>
        <v>0</v>
      </c>
      <c r="I501" s="16"/>
    </row>
    <row r="502" customFormat="false" ht="15" hidden="false" customHeight="true" outlineLevel="0" collapsed="false">
      <c r="A502" s="16"/>
      <c r="B502" s="17"/>
      <c r="C502" s="18"/>
      <c r="D502" s="18"/>
      <c r="E502" s="19"/>
      <c r="F502" s="20" t="n">
        <f aca="false">IF($C502=0,0,$C502-$D502)</f>
        <v>0</v>
      </c>
      <c r="G502" s="20" t="n">
        <f aca="false">IF($F502=0,0,$F502*$E502)</f>
        <v>0</v>
      </c>
      <c r="H502" s="20" t="n">
        <f aca="false">$F502-$G502</f>
        <v>0</v>
      </c>
      <c r="I502" s="16"/>
    </row>
    <row r="503" customFormat="false" ht="15" hidden="false" customHeight="true" outlineLevel="0" collapsed="false">
      <c r="A503" s="16"/>
      <c r="B503" s="17"/>
      <c r="C503" s="18"/>
      <c r="D503" s="18"/>
      <c r="E503" s="19"/>
      <c r="F503" s="20" t="n">
        <f aca="false">IF($C503=0,0,$C503-$D503)</f>
        <v>0</v>
      </c>
      <c r="G503" s="20" t="n">
        <f aca="false">IF($F503=0,0,$F503*$E503)</f>
        <v>0</v>
      </c>
      <c r="H503" s="20" t="n">
        <f aca="false">$F503-$G503</f>
        <v>0</v>
      </c>
      <c r="I503" s="16"/>
    </row>
    <row r="504" customFormat="false" ht="15" hidden="false" customHeight="true" outlineLevel="0" collapsed="false">
      <c r="A504" s="16"/>
      <c r="B504" s="17"/>
      <c r="C504" s="18"/>
      <c r="D504" s="18"/>
      <c r="E504" s="19"/>
      <c r="F504" s="20" t="n">
        <f aca="false">IF($C504=0,0,$C504-$D504)</f>
        <v>0</v>
      </c>
      <c r="G504" s="20" t="n">
        <f aca="false">IF($F504=0,0,$F504*$E504)</f>
        <v>0</v>
      </c>
      <c r="H504" s="20" t="n">
        <f aca="false">$F504-$G504</f>
        <v>0</v>
      </c>
      <c r="I504" s="16"/>
    </row>
    <row r="505" customFormat="false" ht="15" hidden="false" customHeight="true" outlineLevel="0" collapsed="false">
      <c r="A505" s="16"/>
      <c r="B505" s="17"/>
      <c r="C505" s="18"/>
      <c r="D505" s="18"/>
      <c r="E505" s="19"/>
      <c r="F505" s="20" t="n">
        <f aca="false">IF($C505=0,0,$C505-$D505)</f>
        <v>0</v>
      </c>
      <c r="G505" s="20" t="n">
        <f aca="false">IF($F505=0,0,$F505*$E505)</f>
        <v>0</v>
      </c>
      <c r="H505" s="20" t="n">
        <f aca="false">$F505-$G505</f>
        <v>0</v>
      </c>
      <c r="I505" s="16"/>
    </row>
    <row r="506" customFormat="false" ht="15" hidden="false" customHeight="true" outlineLevel="0" collapsed="false">
      <c r="A506" s="16"/>
      <c r="B506" s="17"/>
      <c r="C506" s="18"/>
      <c r="D506" s="18"/>
      <c r="E506" s="19"/>
      <c r="F506" s="20" t="n">
        <f aca="false">IF($C506=0,0,$C506-$D506)</f>
        <v>0</v>
      </c>
      <c r="G506" s="20" t="n">
        <f aca="false">IF($F506=0,0,$F506*$E506)</f>
        <v>0</v>
      </c>
      <c r="H506" s="20" t="n">
        <f aca="false">$F506-$G506</f>
        <v>0</v>
      </c>
      <c r="I506" s="16"/>
    </row>
    <row r="507" customFormat="false" ht="15" hidden="false" customHeight="true" outlineLevel="0" collapsed="false">
      <c r="A507" s="16"/>
      <c r="B507" s="17"/>
      <c r="C507" s="18"/>
      <c r="D507" s="18"/>
      <c r="E507" s="19"/>
      <c r="F507" s="20" t="n">
        <f aca="false">IF($C507=0,0,$C507-$D507)</f>
        <v>0</v>
      </c>
      <c r="G507" s="20" t="n">
        <f aca="false">IF($F507=0,0,$F507*$E507)</f>
        <v>0</v>
      </c>
      <c r="H507" s="20" t="n">
        <f aca="false">$F507-$G507</f>
        <v>0</v>
      </c>
      <c r="I507" s="16"/>
    </row>
    <row r="508" customFormat="false" ht="15" hidden="false" customHeight="true" outlineLevel="0" collapsed="false">
      <c r="A508" s="16"/>
      <c r="B508" s="17"/>
      <c r="C508" s="18"/>
      <c r="D508" s="18"/>
      <c r="E508" s="19"/>
      <c r="F508" s="20" t="n">
        <f aca="false">IF($C508=0,0,$C508-$D508)</f>
        <v>0</v>
      </c>
      <c r="G508" s="20" t="n">
        <f aca="false">IF($F508=0,0,$F508*$E508)</f>
        <v>0</v>
      </c>
      <c r="H508" s="20" t="n">
        <f aca="false">$F508-$G508</f>
        <v>0</v>
      </c>
      <c r="I508" s="16"/>
    </row>
    <row r="509" customFormat="false" ht="15" hidden="false" customHeight="true" outlineLevel="0" collapsed="false">
      <c r="A509" s="16"/>
      <c r="B509" s="17"/>
      <c r="C509" s="18"/>
      <c r="D509" s="18"/>
      <c r="E509" s="19"/>
      <c r="F509" s="20" t="n">
        <f aca="false">IF($C509=0,0,$C509-$D509)</f>
        <v>0</v>
      </c>
      <c r="G509" s="20" t="n">
        <f aca="false">IF($F509=0,0,$F509*$E509)</f>
        <v>0</v>
      </c>
      <c r="H509" s="20" t="n">
        <f aca="false">$F509-$G509</f>
        <v>0</v>
      </c>
      <c r="I509" s="16"/>
    </row>
    <row r="510" customFormat="false" ht="15" hidden="false" customHeight="true" outlineLevel="0" collapsed="false">
      <c r="A510" s="16"/>
      <c r="B510" s="17"/>
      <c r="C510" s="18"/>
      <c r="D510" s="18"/>
      <c r="E510" s="19"/>
      <c r="F510" s="20" t="n">
        <f aca="false">IF($C510=0,0,$C510-$D510)</f>
        <v>0</v>
      </c>
      <c r="G510" s="20" t="n">
        <f aca="false">IF($F510=0,0,$F510*$E510)</f>
        <v>0</v>
      </c>
      <c r="H510" s="20" t="n">
        <f aca="false">$F510-$G510</f>
        <v>0</v>
      </c>
      <c r="I510" s="16"/>
    </row>
    <row r="511" customFormat="false" ht="15" hidden="false" customHeight="true" outlineLevel="0" collapsed="false">
      <c r="A511" s="16"/>
      <c r="B511" s="17"/>
      <c r="C511" s="18"/>
      <c r="D511" s="18"/>
      <c r="E511" s="19"/>
      <c r="F511" s="20" t="n">
        <f aca="false">IF($C511=0,0,$C511-$D511)</f>
        <v>0</v>
      </c>
      <c r="G511" s="20" t="n">
        <f aca="false">IF($F511=0,0,$F511*$E511)</f>
        <v>0</v>
      </c>
      <c r="H511" s="20" t="n">
        <f aca="false">$F511-$G511</f>
        <v>0</v>
      </c>
      <c r="I511" s="16"/>
    </row>
    <row r="512" customFormat="false" ht="15" hidden="false" customHeight="true" outlineLevel="0" collapsed="false">
      <c r="A512" s="16"/>
      <c r="B512" s="17"/>
      <c r="C512" s="18"/>
      <c r="D512" s="18"/>
      <c r="E512" s="19"/>
      <c r="F512" s="20" t="n">
        <f aca="false">IF($C512=0,0,$C512-$D512)</f>
        <v>0</v>
      </c>
      <c r="G512" s="20" t="n">
        <f aca="false">IF($F512=0,0,$F512*$E512)</f>
        <v>0</v>
      </c>
      <c r="H512" s="20" t="n">
        <f aca="false">$F512-$G512</f>
        <v>0</v>
      </c>
      <c r="I512" s="16"/>
    </row>
    <row r="513" customFormat="false" ht="15" hidden="false" customHeight="true" outlineLevel="0" collapsed="false">
      <c r="A513" s="16"/>
      <c r="B513" s="17"/>
      <c r="C513" s="18"/>
      <c r="D513" s="18"/>
      <c r="E513" s="19"/>
      <c r="F513" s="20" t="n">
        <f aca="false">IF($C513=0,0,$C513-$D513)</f>
        <v>0</v>
      </c>
      <c r="G513" s="20" t="n">
        <f aca="false">IF($F513=0,0,$F513*$E513)</f>
        <v>0</v>
      </c>
      <c r="H513" s="20" t="n">
        <f aca="false">$F513-$G513</f>
        <v>0</v>
      </c>
      <c r="I513" s="16"/>
    </row>
    <row r="514" customFormat="false" ht="15" hidden="false" customHeight="true" outlineLevel="0" collapsed="false">
      <c r="A514" s="16"/>
      <c r="B514" s="17"/>
      <c r="C514" s="18"/>
      <c r="D514" s="18"/>
      <c r="E514" s="19"/>
      <c r="F514" s="20" t="n">
        <f aca="false">IF($C514=0,0,$C514-$D514)</f>
        <v>0</v>
      </c>
      <c r="G514" s="20" t="n">
        <f aca="false">IF($F514=0,0,$F514*$E514)</f>
        <v>0</v>
      </c>
      <c r="H514" s="20" t="n">
        <f aca="false">$F514-$G514</f>
        <v>0</v>
      </c>
      <c r="I514" s="16"/>
    </row>
    <row r="515" customFormat="false" ht="15" hidden="false" customHeight="true" outlineLevel="0" collapsed="false">
      <c r="A515" s="16"/>
      <c r="B515" s="17"/>
      <c r="C515" s="18"/>
      <c r="D515" s="18"/>
      <c r="E515" s="19"/>
      <c r="F515" s="20" t="n">
        <f aca="false">IF($C515=0,0,$C515-$D515)</f>
        <v>0</v>
      </c>
      <c r="G515" s="20" t="n">
        <f aca="false">IF($F515=0,0,$F515*$E515)</f>
        <v>0</v>
      </c>
      <c r="H515" s="20" t="n">
        <f aca="false">$F515-$G515</f>
        <v>0</v>
      </c>
      <c r="I515" s="16"/>
    </row>
    <row r="516" customFormat="false" ht="15" hidden="false" customHeight="true" outlineLevel="0" collapsed="false">
      <c r="A516" s="16"/>
      <c r="B516" s="17"/>
      <c r="C516" s="18"/>
      <c r="D516" s="18"/>
      <c r="E516" s="19"/>
      <c r="F516" s="20" t="n">
        <f aca="false">IF($C516=0,0,$C516-$D516)</f>
        <v>0</v>
      </c>
      <c r="G516" s="20" t="n">
        <f aca="false">IF($F516=0,0,$F516*$E516)</f>
        <v>0</v>
      </c>
      <c r="H516" s="20" t="n">
        <f aca="false">$F516-$G516</f>
        <v>0</v>
      </c>
      <c r="I516" s="16"/>
    </row>
    <row r="517" customFormat="false" ht="15" hidden="false" customHeight="true" outlineLevel="0" collapsed="false">
      <c r="A517" s="16"/>
      <c r="B517" s="17"/>
      <c r="C517" s="18"/>
      <c r="D517" s="18"/>
      <c r="E517" s="19"/>
      <c r="F517" s="20" t="n">
        <f aca="false">IF($C517=0,0,$C517-$D517)</f>
        <v>0</v>
      </c>
      <c r="G517" s="20" t="n">
        <f aca="false">IF($F517=0,0,$F517*$E517)</f>
        <v>0</v>
      </c>
      <c r="H517" s="20" t="n">
        <f aca="false">$F517-$G517</f>
        <v>0</v>
      </c>
      <c r="I517" s="16"/>
    </row>
    <row r="518" customFormat="false" ht="15" hidden="false" customHeight="true" outlineLevel="0" collapsed="false">
      <c r="A518" s="16"/>
      <c r="B518" s="17"/>
      <c r="C518" s="18"/>
      <c r="D518" s="18"/>
      <c r="E518" s="19"/>
      <c r="F518" s="20" t="n">
        <f aca="false">IF($C518=0,0,$C518-$D518)</f>
        <v>0</v>
      </c>
      <c r="G518" s="20" t="n">
        <f aca="false">IF($F518=0,0,$F518*$E518)</f>
        <v>0</v>
      </c>
      <c r="H518" s="20" t="n">
        <f aca="false">$F518-$G518</f>
        <v>0</v>
      </c>
      <c r="I518" s="16"/>
    </row>
    <row r="519" customFormat="false" ht="15" hidden="false" customHeight="true" outlineLevel="0" collapsed="false">
      <c r="A519" s="16"/>
      <c r="B519" s="17"/>
      <c r="C519" s="18"/>
      <c r="D519" s="18"/>
      <c r="E519" s="19"/>
      <c r="F519" s="20" t="n">
        <f aca="false">IF($C519=0,0,$C519-$D519)</f>
        <v>0</v>
      </c>
      <c r="G519" s="20" t="n">
        <f aca="false">IF($F519=0,0,$F519*$E519)</f>
        <v>0</v>
      </c>
      <c r="H519" s="20" t="n">
        <f aca="false">$F519-$G519</f>
        <v>0</v>
      </c>
      <c r="I519" s="16"/>
    </row>
    <row r="520" customFormat="false" ht="15" hidden="false" customHeight="true" outlineLevel="0" collapsed="false">
      <c r="A520" s="16"/>
      <c r="B520" s="17"/>
      <c r="C520" s="18"/>
      <c r="D520" s="18"/>
      <c r="E520" s="19"/>
      <c r="F520" s="20" t="n">
        <f aca="false">IF($C520=0,0,$C520-$D520)</f>
        <v>0</v>
      </c>
      <c r="G520" s="20" t="n">
        <f aca="false">IF($F520=0,0,$F520*$E520)</f>
        <v>0</v>
      </c>
      <c r="H520" s="20" t="n">
        <f aca="false">$F520-$G520</f>
        <v>0</v>
      </c>
      <c r="I520" s="16"/>
    </row>
    <row r="521" customFormat="false" ht="15" hidden="false" customHeight="true" outlineLevel="0" collapsed="false">
      <c r="A521" s="16"/>
      <c r="B521" s="17"/>
      <c r="C521" s="18"/>
      <c r="D521" s="18"/>
      <c r="E521" s="19"/>
      <c r="F521" s="20" t="n">
        <f aca="false">IF($C521=0,0,$C521-$D521)</f>
        <v>0</v>
      </c>
      <c r="G521" s="20" t="n">
        <f aca="false">IF($F521=0,0,$F521*$E521)</f>
        <v>0</v>
      </c>
      <c r="H521" s="20" t="n">
        <f aca="false">$F521-$G521</f>
        <v>0</v>
      </c>
      <c r="I521" s="16"/>
    </row>
    <row r="522" customFormat="false" ht="15" hidden="false" customHeight="true" outlineLevel="0" collapsed="false">
      <c r="A522" s="16"/>
      <c r="B522" s="17"/>
      <c r="C522" s="18"/>
      <c r="D522" s="18"/>
      <c r="E522" s="19"/>
      <c r="F522" s="20" t="n">
        <f aca="false">IF($C522=0,0,$C522-$D522)</f>
        <v>0</v>
      </c>
      <c r="G522" s="20" t="n">
        <f aca="false">IF($F522=0,0,$F522*$E522)</f>
        <v>0</v>
      </c>
      <c r="H522" s="20" t="n">
        <f aca="false">$F522-$G522</f>
        <v>0</v>
      </c>
      <c r="I522" s="16"/>
    </row>
    <row r="523" customFormat="false" ht="15" hidden="false" customHeight="true" outlineLevel="0" collapsed="false">
      <c r="A523" s="16"/>
      <c r="B523" s="17"/>
      <c r="C523" s="18"/>
      <c r="D523" s="18"/>
      <c r="E523" s="19"/>
      <c r="F523" s="20" t="n">
        <f aca="false">IF($C523=0,0,$C523-$D523)</f>
        <v>0</v>
      </c>
      <c r="G523" s="20" t="n">
        <f aca="false">IF($F523=0,0,$F523*$E523)</f>
        <v>0</v>
      </c>
      <c r="H523" s="20" t="n">
        <f aca="false">$F523-$G523</f>
        <v>0</v>
      </c>
      <c r="I523" s="16"/>
    </row>
    <row r="524" customFormat="false" ht="15" hidden="false" customHeight="true" outlineLevel="0" collapsed="false">
      <c r="A524" s="16"/>
      <c r="B524" s="17"/>
      <c r="C524" s="18"/>
      <c r="D524" s="18"/>
      <c r="E524" s="19"/>
      <c r="F524" s="20" t="n">
        <f aca="false">IF($C524=0,0,$C524-$D524)</f>
        <v>0</v>
      </c>
      <c r="G524" s="20" t="n">
        <f aca="false">IF($F524=0,0,$F524*$E524)</f>
        <v>0</v>
      </c>
      <c r="H524" s="20" t="n">
        <f aca="false">$F524-$G524</f>
        <v>0</v>
      </c>
      <c r="I524" s="16"/>
    </row>
    <row r="525" customFormat="false" ht="15" hidden="false" customHeight="true" outlineLevel="0" collapsed="false">
      <c r="A525" s="16"/>
      <c r="B525" s="17"/>
      <c r="C525" s="18"/>
      <c r="D525" s="18"/>
      <c r="E525" s="19"/>
      <c r="F525" s="20" t="n">
        <f aca="false">IF($C525=0,0,$C525-$D525)</f>
        <v>0</v>
      </c>
      <c r="G525" s="20" t="n">
        <f aca="false">IF($F525=0,0,$F525*$E525)</f>
        <v>0</v>
      </c>
      <c r="H525" s="20" t="n">
        <f aca="false">$F525-$G525</f>
        <v>0</v>
      </c>
      <c r="I525" s="16"/>
    </row>
    <row r="526" customFormat="false" ht="15" hidden="false" customHeight="true" outlineLevel="0" collapsed="false">
      <c r="A526" s="16"/>
      <c r="B526" s="17"/>
      <c r="C526" s="18"/>
      <c r="D526" s="18"/>
      <c r="E526" s="19"/>
      <c r="F526" s="20" t="n">
        <f aca="false">IF($C526=0,0,$C526-$D526)</f>
        <v>0</v>
      </c>
      <c r="G526" s="20" t="n">
        <f aca="false">IF($F526=0,0,$F526*$E526)</f>
        <v>0</v>
      </c>
      <c r="H526" s="20" t="n">
        <f aca="false">$F526-$G526</f>
        <v>0</v>
      </c>
      <c r="I526" s="16"/>
    </row>
    <row r="527" customFormat="false" ht="15" hidden="false" customHeight="true" outlineLevel="0" collapsed="false">
      <c r="A527" s="16"/>
      <c r="B527" s="17"/>
      <c r="C527" s="18"/>
      <c r="D527" s="18"/>
      <c r="E527" s="19"/>
      <c r="F527" s="20" t="n">
        <f aca="false">IF($C527=0,0,$C527-$D527)</f>
        <v>0</v>
      </c>
      <c r="G527" s="20" t="n">
        <f aca="false">IF($F527=0,0,$F527*$E527)</f>
        <v>0</v>
      </c>
      <c r="H527" s="20" t="n">
        <f aca="false">$F527-$G527</f>
        <v>0</v>
      </c>
      <c r="I527" s="16"/>
    </row>
    <row r="528" customFormat="false" ht="15" hidden="false" customHeight="true" outlineLevel="0" collapsed="false">
      <c r="A528" s="16"/>
      <c r="B528" s="17"/>
      <c r="C528" s="18"/>
      <c r="D528" s="18"/>
      <c r="E528" s="19"/>
      <c r="F528" s="20" t="n">
        <f aca="false">IF($C528=0,0,$C528-$D528)</f>
        <v>0</v>
      </c>
      <c r="G528" s="20" t="n">
        <f aca="false">IF($F528=0,0,$F528*$E528)</f>
        <v>0</v>
      </c>
      <c r="H528" s="20" t="n">
        <f aca="false">$F528-$G528</f>
        <v>0</v>
      </c>
      <c r="I528" s="16"/>
    </row>
    <row r="529" customFormat="false" ht="15" hidden="false" customHeight="true" outlineLevel="0" collapsed="false">
      <c r="A529" s="16"/>
      <c r="B529" s="17"/>
      <c r="C529" s="18"/>
      <c r="D529" s="18"/>
      <c r="E529" s="19"/>
      <c r="F529" s="20" t="n">
        <f aca="false">IF($C529=0,0,$C529-$D529)</f>
        <v>0</v>
      </c>
      <c r="G529" s="20" t="n">
        <f aca="false">IF($F529=0,0,$F529*$E529)</f>
        <v>0</v>
      </c>
      <c r="H529" s="20" t="n">
        <f aca="false">$F529-$G529</f>
        <v>0</v>
      </c>
      <c r="I529" s="16"/>
    </row>
    <row r="530" customFormat="false" ht="15" hidden="false" customHeight="true" outlineLevel="0" collapsed="false">
      <c r="A530" s="16"/>
      <c r="B530" s="17"/>
      <c r="C530" s="18"/>
      <c r="D530" s="18"/>
      <c r="E530" s="19"/>
      <c r="F530" s="20" t="n">
        <f aca="false">IF($C530=0,0,$C530-$D530)</f>
        <v>0</v>
      </c>
      <c r="G530" s="20" t="n">
        <f aca="false">IF($F530=0,0,$F530*$E530)</f>
        <v>0</v>
      </c>
      <c r="H530" s="20" t="n">
        <f aca="false">$F530-$G530</f>
        <v>0</v>
      </c>
      <c r="I530" s="16"/>
    </row>
    <row r="531" customFormat="false" ht="15" hidden="false" customHeight="true" outlineLevel="0" collapsed="false">
      <c r="A531" s="16"/>
      <c r="B531" s="17"/>
      <c r="C531" s="18"/>
      <c r="D531" s="18"/>
      <c r="E531" s="19"/>
      <c r="F531" s="20" t="n">
        <f aca="false">IF($C531=0,0,$C531-$D531)</f>
        <v>0</v>
      </c>
      <c r="G531" s="20" t="n">
        <f aca="false">IF($F531=0,0,$F531*$E531)</f>
        <v>0</v>
      </c>
      <c r="H531" s="20" t="n">
        <f aca="false">$F531-$G531</f>
        <v>0</v>
      </c>
      <c r="I531" s="16"/>
    </row>
    <row r="532" customFormat="false" ht="15" hidden="false" customHeight="true" outlineLevel="0" collapsed="false">
      <c r="A532" s="16"/>
      <c r="B532" s="17"/>
      <c r="C532" s="18"/>
      <c r="D532" s="18"/>
      <c r="E532" s="19"/>
      <c r="F532" s="20" t="n">
        <f aca="false">IF($C532=0,0,$C532-$D532)</f>
        <v>0</v>
      </c>
      <c r="G532" s="20" t="n">
        <f aca="false">IF($F532=0,0,$F532*$E532)</f>
        <v>0</v>
      </c>
      <c r="H532" s="20" t="n">
        <f aca="false">$F532-$G532</f>
        <v>0</v>
      </c>
      <c r="I532" s="16"/>
    </row>
    <row r="533" customFormat="false" ht="15" hidden="false" customHeight="true" outlineLevel="0" collapsed="false">
      <c r="A533" s="16"/>
      <c r="B533" s="17"/>
      <c r="C533" s="18"/>
      <c r="D533" s="18"/>
      <c r="E533" s="19"/>
      <c r="F533" s="20" t="n">
        <f aca="false">IF($C533=0,0,$C533-$D533)</f>
        <v>0</v>
      </c>
      <c r="G533" s="20" t="n">
        <f aca="false">IF($F533=0,0,$F533*$E533)</f>
        <v>0</v>
      </c>
      <c r="H533" s="20" t="n">
        <f aca="false">$F533-$G533</f>
        <v>0</v>
      </c>
      <c r="I533" s="16"/>
    </row>
    <row r="534" customFormat="false" ht="15" hidden="false" customHeight="true" outlineLevel="0" collapsed="false">
      <c r="A534" s="16"/>
      <c r="B534" s="17"/>
      <c r="C534" s="18"/>
      <c r="D534" s="18"/>
      <c r="E534" s="19"/>
      <c r="F534" s="20" t="n">
        <f aca="false">IF($C534=0,0,$C534-$D534)</f>
        <v>0</v>
      </c>
      <c r="G534" s="20" t="n">
        <f aca="false">IF($F534=0,0,$F534*$E534)</f>
        <v>0</v>
      </c>
      <c r="H534" s="20" t="n">
        <f aca="false">$F534-$G534</f>
        <v>0</v>
      </c>
      <c r="I534" s="16"/>
    </row>
    <row r="535" customFormat="false" ht="15" hidden="false" customHeight="true" outlineLevel="0" collapsed="false">
      <c r="A535" s="16"/>
      <c r="B535" s="17"/>
      <c r="C535" s="18"/>
      <c r="D535" s="18"/>
      <c r="E535" s="19"/>
      <c r="F535" s="20" t="n">
        <f aca="false">IF($C535=0,0,$C535-$D535)</f>
        <v>0</v>
      </c>
      <c r="G535" s="20" t="n">
        <f aca="false">IF($F535=0,0,$F535*$E535)</f>
        <v>0</v>
      </c>
      <c r="H535" s="20" t="n">
        <f aca="false">$F535-$G535</f>
        <v>0</v>
      </c>
      <c r="I535" s="16"/>
    </row>
    <row r="536" customFormat="false" ht="15" hidden="false" customHeight="true" outlineLevel="0" collapsed="false">
      <c r="A536" s="16"/>
      <c r="B536" s="17"/>
      <c r="C536" s="18"/>
      <c r="D536" s="18"/>
      <c r="E536" s="19"/>
      <c r="F536" s="20" t="n">
        <f aca="false">IF($C536=0,0,$C536-$D536)</f>
        <v>0</v>
      </c>
      <c r="G536" s="20" t="n">
        <f aca="false">IF($F536=0,0,$F536*$E536)</f>
        <v>0</v>
      </c>
      <c r="H536" s="20" t="n">
        <f aca="false">$F536-$G536</f>
        <v>0</v>
      </c>
      <c r="I536" s="16"/>
    </row>
    <row r="537" customFormat="false" ht="15" hidden="false" customHeight="true" outlineLevel="0" collapsed="false">
      <c r="A537" s="16"/>
      <c r="B537" s="17"/>
      <c r="C537" s="18"/>
      <c r="D537" s="18"/>
      <c r="E537" s="19"/>
      <c r="F537" s="20" t="n">
        <f aca="false">IF($C537=0,0,$C537-$D537)</f>
        <v>0</v>
      </c>
      <c r="G537" s="20" t="n">
        <f aca="false">IF($F537=0,0,$F537*$E537)</f>
        <v>0</v>
      </c>
      <c r="H537" s="20" t="n">
        <f aca="false">$F537-$G537</f>
        <v>0</v>
      </c>
      <c r="I537" s="16"/>
    </row>
    <row r="538" customFormat="false" ht="15" hidden="false" customHeight="true" outlineLevel="0" collapsed="false">
      <c r="A538" s="16"/>
      <c r="B538" s="17"/>
      <c r="C538" s="18"/>
      <c r="D538" s="18"/>
      <c r="E538" s="19"/>
      <c r="F538" s="20" t="n">
        <f aca="false">IF($C538=0,0,$C538-$D538)</f>
        <v>0</v>
      </c>
      <c r="G538" s="20" t="n">
        <f aca="false">IF($F538=0,0,$F538*$E538)</f>
        <v>0</v>
      </c>
      <c r="H538" s="20" t="n">
        <f aca="false">$F538-$G538</f>
        <v>0</v>
      </c>
      <c r="I538" s="16"/>
    </row>
    <row r="539" customFormat="false" ht="15" hidden="false" customHeight="true" outlineLevel="0" collapsed="false">
      <c r="A539" s="16"/>
      <c r="B539" s="17"/>
      <c r="C539" s="18"/>
      <c r="D539" s="18"/>
      <c r="E539" s="19"/>
      <c r="F539" s="20" t="n">
        <f aca="false">IF($C539=0,0,$C539-$D539)</f>
        <v>0</v>
      </c>
      <c r="G539" s="20" t="n">
        <f aca="false">IF($F539=0,0,$F539*$E539)</f>
        <v>0</v>
      </c>
      <c r="H539" s="20" t="n">
        <f aca="false">$F539-$G539</f>
        <v>0</v>
      </c>
      <c r="I539" s="16"/>
    </row>
    <row r="540" customFormat="false" ht="15" hidden="false" customHeight="true" outlineLevel="0" collapsed="false">
      <c r="A540" s="16"/>
      <c r="B540" s="17"/>
      <c r="C540" s="18"/>
      <c r="D540" s="18"/>
      <c r="E540" s="19"/>
      <c r="F540" s="20" t="n">
        <f aca="false">IF($C540=0,0,$C540-$D540)</f>
        <v>0</v>
      </c>
      <c r="G540" s="20" t="n">
        <f aca="false">IF($F540=0,0,$F540*$E540)</f>
        <v>0</v>
      </c>
      <c r="H540" s="20" t="n">
        <f aca="false">$F540-$G540</f>
        <v>0</v>
      </c>
      <c r="I540" s="16"/>
    </row>
    <row r="541" customFormat="false" ht="15" hidden="false" customHeight="true" outlineLevel="0" collapsed="false">
      <c r="A541" s="16"/>
      <c r="B541" s="17"/>
      <c r="C541" s="18"/>
      <c r="D541" s="18"/>
      <c r="E541" s="19"/>
      <c r="F541" s="20" t="n">
        <f aca="false">IF($C541=0,0,$C541-$D541)</f>
        <v>0</v>
      </c>
      <c r="G541" s="20" t="n">
        <f aca="false">IF($F541=0,0,$F541*$E541)</f>
        <v>0</v>
      </c>
      <c r="H541" s="20" t="n">
        <f aca="false">$F541-$G541</f>
        <v>0</v>
      </c>
      <c r="I541" s="16"/>
    </row>
    <row r="542" customFormat="false" ht="15" hidden="false" customHeight="true" outlineLevel="0" collapsed="false">
      <c r="A542" s="16"/>
      <c r="B542" s="17"/>
      <c r="C542" s="18"/>
      <c r="D542" s="18"/>
      <c r="E542" s="19"/>
      <c r="F542" s="20" t="n">
        <f aca="false">IF($C542=0,0,$C542-$D542)</f>
        <v>0</v>
      </c>
      <c r="G542" s="20" t="n">
        <f aca="false">IF($F542=0,0,$F542*$E542)</f>
        <v>0</v>
      </c>
      <c r="H542" s="20" t="n">
        <f aca="false">$F542-$G542</f>
        <v>0</v>
      </c>
      <c r="I542" s="16"/>
    </row>
    <row r="543" customFormat="false" ht="15" hidden="false" customHeight="true" outlineLevel="0" collapsed="false">
      <c r="A543" s="16"/>
      <c r="B543" s="17"/>
      <c r="C543" s="18"/>
      <c r="D543" s="18"/>
      <c r="E543" s="19"/>
      <c r="F543" s="20" t="n">
        <f aca="false">IF($C543=0,0,$C543-$D543)</f>
        <v>0</v>
      </c>
      <c r="G543" s="20" t="n">
        <f aca="false">IF($F543=0,0,$F543*$E543)</f>
        <v>0</v>
      </c>
      <c r="H543" s="20" t="n">
        <f aca="false">$F543-$G543</f>
        <v>0</v>
      </c>
      <c r="I543" s="16"/>
    </row>
    <row r="544" customFormat="false" ht="15" hidden="false" customHeight="true" outlineLevel="0" collapsed="false">
      <c r="A544" s="16"/>
      <c r="B544" s="17"/>
      <c r="C544" s="18"/>
      <c r="D544" s="18"/>
      <c r="E544" s="19"/>
      <c r="F544" s="20" t="n">
        <f aca="false">IF($C544=0,0,$C544-$D544)</f>
        <v>0</v>
      </c>
      <c r="G544" s="20" t="n">
        <f aca="false">IF($F544=0,0,$F544*$E544)</f>
        <v>0</v>
      </c>
      <c r="H544" s="20" t="n">
        <f aca="false">$F544-$G544</f>
        <v>0</v>
      </c>
      <c r="I544" s="16"/>
    </row>
    <row r="545" customFormat="false" ht="15" hidden="false" customHeight="true" outlineLevel="0" collapsed="false">
      <c r="A545" s="16"/>
      <c r="B545" s="17"/>
      <c r="C545" s="18"/>
      <c r="D545" s="18"/>
      <c r="E545" s="19"/>
      <c r="F545" s="20" t="n">
        <f aca="false">IF($C545=0,0,$C545-$D545)</f>
        <v>0</v>
      </c>
      <c r="G545" s="20" t="n">
        <f aca="false">IF($F545=0,0,$F545*$E545)</f>
        <v>0</v>
      </c>
      <c r="H545" s="20" t="n">
        <f aca="false">$F545-$G545</f>
        <v>0</v>
      </c>
      <c r="I545" s="16"/>
    </row>
    <row r="546" customFormat="false" ht="15" hidden="false" customHeight="true" outlineLevel="0" collapsed="false">
      <c r="A546" s="16"/>
      <c r="B546" s="17"/>
      <c r="C546" s="18"/>
      <c r="D546" s="18"/>
      <c r="E546" s="19"/>
      <c r="F546" s="20" t="n">
        <f aca="false">IF($C546=0,0,$C546-$D546)</f>
        <v>0</v>
      </c>
      <c r="G546" s="20" t="n">
        <f aca="false">IF($F546=0,0,$F546*$E546)</f>
        <v>0</v>
      </c>
      <c r="H546" s="20" t="n">
        <f aca="false">$F546-$G546</f>
        <v>0</v>
      </c>
      <c r="I546" s="16"/>
    </row>
    <row r="547" customFormat="false" ht="15" hidden="false" customHeight="true" outlineLevel="0" collapsed="false">
      <c r="A547" s="16"/>
      <c r="B547" s="17"/>
      <c r="C547" s="18"/>
      <c r="D547" s="18"/>
      <c r="E547" s="19"/>
      <c r="F547" s="20" t="n">
        <f aca="false">IF($C547=0,0,$C547-$D547)</f>
        <v>0</v>
      </c>
      <c r="G547" s="20" t="n">
        <f aca="false">IF($F547=0,0,$F547*$E547)</f>
        <v>0</v>
      </c>
      <c r="H547" s="20" t="n">
        <f aca="false">$F547-$G547</f>
        <v>0</v>
      </c>
      <c r="I547" s="16"/>
    </row>
    <row r="548" customFormat="false" ht="15" hidden="false" customHeight="true" outlineLevel="0" collapsed="false">
      <c r="A548" s="16"/>
      <c r="B548" s="17"/>
      <c r="C548" s="18"/>
      <c r="D548" s="18"/>
      <c r="E548" s="19"/>
      <c r="F548" s="20" t="n">
        <f aca="false">IF($C548=0,0,$C548-$D548)</f>
        <v>0</v>
      </c>
      <c r="G548" s="20" t="n">
        <f aca="false">IF($F548=0,0,$F548*$E548)</f>
        <v>0</v>
      </c>
      <c r="H548" s="20" t="n">
        <f aca="false">$F548-$G548</f>
        <v>0</v>
      </c>
      <c r="I548" s="16"/>
    </row>
    <row r="549" customFormat="false" ht="15" hidden="false" customHeight="true" outlineLevel="0" collapsed="false">
      <c r="A549" s="16"/>
      <c r="B549" s="17"/>
      <c r="C549" s="18"/>
      <c r="D549" s="18"/>
      <c r="E549" s="19"/>
      <c r="F549" s="20" t="n">
        <f aca="false">IF($C549=0,0,$C549-$D549)</f>
        <v>0</v>
      </c>
      <c r="G549" s="20" t="n">
        <f aca="false">IF($F549=0,0,$F549*$E549)</f>
        <v>0</v>
      </c>
      <c r="H549" s="20" t="n">
        <f aca="false">$F549-$G549</f>
        <v>0</v>
      </c>
      <c r="I549" s="16"/>
    </row>
    <row r="550" customFormat="false" ht="15" hidden="false" customHeight="true" outlineLevel="0" collapsed="false">
      <c r="A550" s="16"/>
      <c r="B550" s="17"/>
      <c r="C550" s="18"/>
      <c r="D550" s="18"/>
      <c r="E550" s="19"/>
      <c r="F550" s="20" t="n">
        <f aca="false">IF($C550=0,0,$C550-$D550)</f>
        <v>0</v>
      </c>
      <c r="G550" s="20" t="n">
        <f aca="false">IF($F550=0,0,$F550*$E550)</f>
        <v>0</v>
      </c>
      <c r="H550" s="20" t="n">
        <f aca="false">$F550-$G550</f>
        <v>0</v>
      </c>
      <c r="I550" s="16"/>
    </row>
    <row r="551" customFormat="false" ht="15" hidden="false" customHeight="true" outlineLevel="0" collapsed="false">
      <c r="A551" s="16"/>
      <c r="B551" s="17"/>
      <c r="C551" s="18"/>
      <c r="D551" s="18"/>
      <c r="E551" s="19"/>
      <c r="F551" s="20" t="n">
        <f aca="false">IF($C551=0,0,$C551-$D551)</f>
        <v>0</v>
      </c>
      <c r="G551" s="20" t="n">
        <f aca="false">IF($F551=0,0,$F551*$E551)</f>
        <v>0</v>
      </c>
      <c r="H551" s="20" t="n">
        <f aca="false">$F551-$G551</f>
        <v>0</v>
      </c>
      <c r="I551" s="16"/>
    </row>
    <row r="552" customFormat="false" ht="15" hidden="false" customHeight="true" outlineLevel="0" collapsed="false">
      <c r="A552" s="16"/>
      <c r="B552" s="17"/>
      <c r="C552" s="18"/>
      <c r="D552" s="18"/>
      <c r="E552" s="19"/>
      <c r="F552" s="20" t="n">
        <f aca="false">IF($C552=0,0,$C552-$D552)</f>
        <v>0</v>
      </c>
      <c r="G552" s="20" t="n">
        <f aca="false">IF($F552=0,0,$F552*$E552)</f>
        <v>0</v>
      </c>
      <c r="H552" s="20" t="n">
        <f aca="false">$F552-$G552</f>
        <v>0</v>
      </c>
      <c r="I552" s="16"/>
    </row>
    <row r="553" customFormat="false" ht="15" hidden="false" customHeight="true" outlineLevel="0" collapsed="false">
      <c r="A553" s="16"/>
      <c r="B553" s="17"/>
      <c r="C553" s="18"/>
      <c r="D553" s="18"/>
      <c r="E553" s="19"/>
      <c r="F553" s="20" t="n">
        <f aca="false">IF($C553=0,0,$C553-$D553)</f>
        <v>0</v>
      </c>
      <c r="G553" s="20" t="n">
        <f aca="false">IF($F553=0,0,$F553*$E553)</f>
        <v>0</v>
      </c>
      <c r="H553" s="20" t="n">
        <f aca="false">$F553-$G553</f>
        <v>0</v>
      </c>
      <c r="I553" s="16"/>
    </row>
    <row r="554" customFormat="false" ht="15" hidden="false" customHeight="true" outlineLevel="0" collapsed="false">
      <c r="A554" s="16"/>
      <c r="B554" s="17"/>
      <c r="C554" s="18"/>
      <c r="D554" s="18"/>
      <c r="E554" s="19"/>
      <c r="F554" s="20" t="n">
        <f aca="false">IF($C554=0,0,$C554-$D554)</f>
        <v>0</v>
      </c>
      <c r="G554" s="20" t="n">
        <f aca="false">IF($F554=0,0,$F554*$E554)</f>
        <v>0</v>
      </c>
      <c r="H554" s="20" t="n">
        <f aca="false">$F554-$G554</f>
        <v>0</v>
      </c>
      <c r="I554" s="16"/>
    </row>
    <row r="555" customFormat="false" ht="15" hidden="false" customHeight="true" outlineLevel="0" collapsed="false">
      <c r="A555" s="16"/>
      <c r="B555" s="17"/>
      <c r="C555" s="18"/>
      <c r="D555" s="18"/>
      <c r="E555" s="19"/>
      <c r="F555" s="20" t="n">
        <f aca="false">IF($C555=0,0,$C555-$D555)</f>
        <v>0</v>
      </c>
      <c r="G555" s="20" t="n">
        <f aca="false">IF($F555=0,0,$F555*$E555)</f>
        <v>0</v>
      </c>
      <c r="H555" s="20" t="n">
        <f aca="false">$F555-$G555</f>
        <v>0</v>
      </c>
      <c r="I555" s="16"/>
    </row>
    <row r="556" customFormat="false" ht="15" hidden="false" customHeight="true" outlineLevel="0" collapsed="false">
      <c r="A556" s="16"/>
      <c r="B556" s="17"/>
      <c r="C556" s="18"/>
      <c r="D556" s="18"/>
      <c r="E556" s="19"/>
      <c r="F556" s="20" t="n">
        <f aca="false">IF($C556=0,0,$C556-$D556)</f>
        <v>0</v>
      </c>
      <c r="G556" s="20" t="n">
        <f aca="false">IF($F556=0,0,$F556*$E556)</f>
        <v>0</v>
      </c>
      <c r="H556" s="20" t="n">
        <f aca="false">$F556-$G556</f>
        <v>0</v>
      </c>
      <c r="I556" s="16"/>
    </row>
    <row r="557" customFormat="false" ht="15" hidden="false" customHeight="true" outlineLevel="0" collapsed="false">
      <c r="A557" s="16"/>
      <c r="B557" s="17"/>
      <c r="C557" s="18"/>
      <c r="D557" s="18"/>
      <c r="E557" s="19"/>
      <c r="F557" s="20" t="n">
        <f aca="false">IF($C557=0,0,$C557-$D557)</f>
        <v>0</v>
      </c>
      <c r="G557" s="20" t="n">
        <f aca="false">IF($F557=0,0,$F557*$E557)</f>
        <v>0</v>
      </c>
      <c r="H557" s="20" t="n">
        <f aca="false">$F557-$G557</f>
        <v>0</v>
      </c>
      <c r="I557" s="16"/>
    </row>
    <row r="558" customFormat="false" ht="15" hidden="false" customHeight="true" outlineLevel="0" collapsed="false">
      <c r="A558" s="16"/>
      <c r="B558" s="17"/>
      <c r="C558" s="18"/>
      <c r="D558" s="18"/>
      <c r="E558" s="19"/>
      <c r="F558" s="20" t="n">
        <f aca="false">IF($C558=0,0,$C558-$D558)</f>
        <v>0</v>
      </c>
      <c r="G558" s="20" t="n">
        <f aca="false">IF($F558=0,0,$F558*$E558)</f>
        <v>0</v>
      </c>
      <c r="H558" s="20" t="n">
        <f aca="false">$F558-$G558</f>
        <v>0</v>
      </c>
      <c r="I558" s="16"/>
    </row>
    <row r="559" customFormat="false" ht="15" hidden="false" customHeight="true" outlineLevel="0" collapsed="false">
      <c r="A559" s="16"/>
      <c r="B559" s="17"/>
      <c r="C559" s="18"/>
      <c r="D559" s="18"/>
      <c r="E559" s="19"/>
      <c r="F559" s="20" t="n">
        <f aca="false">IF($C559=0,0,$C559-$D559)</f>
        <v>0</v>
      </c>
      <c r="G559" s="20" t="n">
        <f aca="false">IF($F559=0,0,$F559*$E559)</f>
        <v>0</v>
      </c>
      <c r="H559" s="20" t="n">
        <f aca="false">$F559-$G559</f>
        <v>0</v>
      </c>
      <c r="I559" s="16"/>
    </row>
    <row r="560" customFormat="false" ht="15" hidden="false" customHeight="true" outlineLevel="0" collapsed="false">
      <c r="A560" s="16"/>
      <c r="B560" s="17"/>
      <c r="C560" s="18"/>
      <c r="D560" s="18"/>
      <c r="E560" s="19"/>
      <c r="F560" s="20" t="n">
        <f aca="false">IF($C560=0,0,$C560-$D560)</f>
        <v>0</v>
      </c>
      <c r="G560" s="20" t="n">
        <f aca="false">IF($F560=0,0,$F560*$E560)</f>
        <v>0</v>
      </c>
      <c r="H560" s="20" t="n">
        <f aca="false">$F560-$G560</f>
        <v>0</v>
      </c>
      <c r="I560" s="16"/>
    </row>
    <row r="561" customFormat="false" ht="15" hidden="false" customHeight="true" outlineLevel="0" collapsed="false">
      <c r="A561" s="16"/>
      <c r="B561" s="17"/>
      <c r="C561" s="18"/>
      <c r="D561" s="18"/>
      <c r="E561" s="19"/>
      <c r="F561" s="20" t="n">
        <f aca="false">IF($C561=0,0,$C561-$D561)</f>
        <v>0</v>
      </c>
      <c r="G561" s="20" t="n">
        <f aca="false">IF($F561=0,0,$F561*$E561)</f>
        <v>0</v>
      </c>
      <c r="H561" s="20" t="n">
        <f aca="false">$F561-$G561</f>
        <v>0</v>
      </c>
      <c r="I561" s="16"/>
    </row>
    <row r="562" customFormat="false" ht="15" hidden="false" customHeight="true" outlineLevel="0" collapsed="false">
      <c r="A562" s="16"/>
      <c r="B562" s="17"/>
      <c r="C562" s="18"/>
      <c r="D562" s="18"/>
      <c r="E562" s="19"/>
      <c r="F562" s="20" t="n">
        <f aca="false">IF($C562=0,0,$C562-$D562)</f>
        <v>0</v>
      </c>
      <c r="G562" s="20" t="n">
        <f aca="false">IF($F562=0,0,$F562*$E562)</f>
        <v>0</v>
      </c>
      <c r="H562" s="20" t="n">
        <f aca="false">$F562-$G562</f>
        <v>0</v>
      </c>
      <c r="I562" s="16"/>
    </row>
    <row r="563" customFormat="false" ht="15" hidden="false" customHeight="true" outlineLevel="0" collapsed="false">
      <c r="A563" s="16"/>
      <c r="B563" s="17"/>
      <c r="C563" s="18"/>
      <c r="D563" s="18"/>
      <c r="E563" s="19"/>
      <c r="F563" s="20" t="n">
        <f aca="false">IF($C563=0,0,$C563-$D563)</f>
        <v>0</v>
      </c>
      <c r="G563" s="20" t="n">
        <f aca="false">IF($F563=0,0,$F563*$E563)</f>
        <v>0</v>
      </c>
      <c r="H563" s="20" t="n">
        <f aca="false">$F563-$G563</f>
        <v>0</v>
      </c>
      <c r="I563" s="16"/>
    </row>
    <row r="564" customFormat="false" ht="15" hidden="false" customHeight="true" outlineLevel="0" collapsed="false">
      <c r="A564" s="16"/>
      <c r="B564" s="17"/>
      <c r="C564" s="18"/>
      <c r="D564" s="18"/>
      <c r="E564" s="19"/>
      <c r="F564" s="20" t="n">
        <f aca="false">IF($C564=0,0,$C564-$D564)</f>
        <v>0</v>
      </c>
      <c r="G564" s="20" t="n">
        <f aca="false">IF($F564=0,0,$F564*$E564)</f>
        <v>0</v>
      </c>
      <c r="H564" s="20" t="n">
        <f aca="false">$F564-$G564</f>
        <v>0</v>
      </c>
      <c r="I564" s="16"/>
    </row>
    <row r="565" customFormat="false" ht="15" hidden="false" customHeight="true" outlineLevel="0" collapsed="false">
      <c r="A565" s="16"/>
      <c r="B565" s="17"/>
      <c r="C565" s="18"/>
      <c r="D565" s="18"/>
      <c r="E565" s="19"/>
      <c r="F565" s="20" t="n">
        <f aca="false">IF($C565=0,0,$C565-$D565)</f>
        <v>0</v>
      </c>
      <c r="G565" s="20" t="n">
        <f aca="false">IF($F565=0,0,$F565*$E565)</f>
        <v>0</v>
      </c>
      <c r="H565" s="20" t="n">
        <f aca="false">$F565-$G565</f>
        <v>0</v>
      </c>
      <c r="I565" s="16"/>
    </row>
    <row r="566" customFormat="false" ht="15" hidden="false" customHeight="true" outlineLevel="0" collapsed="false">
      <c r="A566" s="16"/>
      <c r="B566" s="17"/>
      <c r="C566" s="18"/>
      <c r="D566" s="18"/>
      <c r="E566" s="19"/>
      <c r="F566" s="20" t="n">
        <f aca="false">IF($C566=0,0,$C566-$D566)</f>
        <v>0</v>
      </c>
      <c r="G566" s="20" t="n">
        <f aca="false">IF($F566=0,0,$F566*$E566)</f>
        <v>0</v>
      </c>
      <c r="H566" s="20" t="n">
        <f aca="false">$F566-$G566</f>
        <v>0</v>
      </c>
      <c r="I566" s="16"/>
    </row>
    <row r="567" customFormat="false" ht="15" hidden="false" customHeight="true" outlineLevel="0" collapsed="false">
      <c r="A567" s="16"/>
      <c r="B567" s="17"/>
      <c r="C567" s="18"/>
      <c r="D567" s="18"/>
      <c r="E567" s="19"/>
      <c r="F567" s="20" t="n">
        <f aca="false">IF($C567=0,0,$C567-$D567)</f>
        <v>0</v>
      </c>
      <c r="G567" s="20" t="n">
        <f aca="false">IF($F567=0,0,$F567*$E567)</f>
        <v>0</v>
      </c>
      <c r="H567" s="20" t="n">
        <f aca="false">$F567-$G567</f>
        <v>0</v>
      </c>
      <c r="I567" s="16"/>
    </row>
    <row r="568" customFormat="false" ht="15" hidden="false" customHeight="true" outlineLevel="0" collapsed="false">
      <c r="A568" s="16"/>
      <c r="B568" s="17"/>
      <c r="C568" s="18"/>
      <c r="D568" s="18"/>
      <c r="E568" s="19"/>
      <c r="F568" s="20" t="n">
        <f aca="false">IF($C568=0,0,$C568-$D568)</f>
        <v>0</v>
      </c>
      <c r="G568" s="20" t="n">
        <f aca="false">IF($F568=0,0,$F568*$E568)</f>
        <v>0</v>
      </c>
      <c r="H568" s="20" t="n">
        <f aca="false">$F568-$G568</f>
        <v>0</v>
      </c>
      <c r="I568" s="16"/>
    </row>
    <row r="569" customFormat="false" ht="15" hidden="false" customHeight="true" outlineLevel="0" collapsed="false">
      <c r="A569" s="16"/>
      <c r="B569" s="17"/>
      <c r="C569" s="18"/>
      <c r="D569" s="18"/>
      <c r="E569" s="19"/>
      <c r="F569" s="20" t="n">
        <f aca="false">IF($C569=0,0,$C569-$D569)</f>
        <v>0</v>
      </c>
      <c r="G569" s="20" t="n">
        <f aca="false">IF($F569=0,0,$F569*$E569)</f>
        <v>0</v>
      </c>
      <c r="H569" s="20" t="n">
        <f aca="false">$F569-$G569</f>
        <v>0</v>
      </c>
      <c r="I569" s="16"/>
    </row>
    <row r="570" customFormat="false" ht="15" hidden="false" customHeight="true" outlineLevel="0" collapsed="false">
      <c r="A570" s="16"/>
      <c r="B570" s="17"/>
      <c r="C570" s="18"/>
      <c r="D570" s="18"/>
      <c r="E570" s="19"/>
      <c r="F570" s="20" t="n">
        <f aca="false">IF($C570=0,0,$C570-$D570)</f>
        <v>0</v>
      </c>
      <c r="G570" s="20" t="n">
        <f aca="false">IF($F570=0,0,$F570*$E570)</f>
        <v>0</v>
      </c>
      <c r="H570" s="20" t="n">
        <f aca="false">$F570-$G570</f>
        <v>0</v>
      </c>
      <c r="I570" s="16"/>
    </row>
    <row r="571" customFormat="false" ht="15" hidden="false" customHeight="true" outlineLevel="0" collapsed="false">
      <c r="A571" s="16"/>
      <c r="B571" s="17"/>
      <c r="C571" s="18"/>
      <c r="D571" s="18"/>
      <c r="E571" s="19"/>
      <c r="F571" s="20" t="n">
        <f aca="false">IF($C571=0,0,$C571-$D571)</f>
        <v>0</v>
      </c>
      <c r="G571" s="20" t="n">
        <f aca="false">IF($F571=0,0,$F571*$E571)</f>
        <v>0</v>
      </c>
      <c r="H571" s="20" t="n">
        <f aca="false">$F571-$G571</f>
        <v>0</v>
      </c>
      <c r="I571" s="16"/>
    </row>
    <row r="572" customFormat="false" ht="15" hidden="false" customHeight="true" outlineLevel="0" collapsed="false">
      <c r="A572" s="16"/>
      <c r="B572" s="17"/>
      <c r="C572" s="18"/>
      <c r="D572" s="18"/>
      <c r="E572" s="19"/>
      <c r="F572" s="20" t="n">
        <f aca="false">IF($C572=0,0,$C572-$D572)</f>
        <v>0</v>
      </c>
      <c r="G572" s="20" t="n">
        <f aca="false">IF($F572=0,0,$F572*$E572)</f>
        <v>0</v>
      </c>
      <c r="H572" s="20" t="n">
        <f aca="false">$F572-$G572</f>
        <v>0</v>
      </c>
      <c r="I572" s="16"/>
    </row>
    <row r="573" customFormat="false" ht="15" hidden="false" customHeight="true" outlineLevel="0" collapsed="false">
      <c r="A573" s="16"/>
      <c r="B573" s="17"/>
      <c r="C573" s="18"/>
      <c r="D573" s="18"/>
      <c r="E573" s="19"/>
      <c r="F573" s="20" t="n">
        <f aca="false">IF($C573=0,0,$C573-$D573)</f>
        <v>0</v>
      </c>
      <c r="G573" s="20" t="n">
        <f aca="false">IF($F573=0,0,$F573*$E573)</f>
        <v>0</v>
      </c>
      <c r="H573" s="20" t="n">
        <f aca="false">$F573-$G573</f>
        <v>0</v>
      </c>
      <c r="I573" s="16"/>
    </row>
    <row r="574" customFormat="false" ht="15" hidden="false" customHeight="true" outlineLevel="0" collapsed="false">
      <c r="A574" s="16"/>
      <c r="B574" s="17"/>
      <c r="C574" s="18"/>
      <c r="D574" s="18"/>
      <c r="E574" s="19"/>
      <c r="F574" s="20" t="n">
        <f aca="false">IF($C574=0,0,$C574-$D574)</f>
        <v>0</v>
      </c>
      <c r="G574" s="20" t="n">
        <f aca="false">IF($F574=0,0,$F574*$E574)</f>
        <v>0</v>
      </c>
      <c r="H574" s="20" t="n">
        <f aca="false">$F574-$G574</f>
        <v>0</v>
      </c>
      <c r="I574" s="16"/>
    </row>
    <row r="575" customFormat="false" ht="15" hidden="false" customHeight="true" outlineLevel="0" collapsed="false">
      <c r="A575" s="16"/>
      <c r="B575" s="17"/>
      <c r="C575" s="18"/>
      <c r="D575" s="18"/>
      <c r="E575" s="19"/>
      <c r="F575" s="20" t="n">
        <f aca="false">IF($C575=0,0,$C575-$D575)</f>
        <v>0</v>
      </c>
      <c r="G575" s="20" t="n">
        <f aca="false">IF($F575=0,0,$F575*$E575)</f>
        <v>0</v>
      </c>
      <c r="H575" s="20" t="n">
        <f aca="false">$F575-$G575</f>
        <v>0</v>
      </c>
      <c r="I575" s="16"/>
    </row>
    <row r="576" customFormat="false" ht="15" hidden="false" customHeight="true" outlineLevel="0" collapsed="false">
      <c r="A576" s="16"/>
      <c r="B576" s="17"/>
      <c r="C576" s="18"/>
      <c r="D576" s="18"/>
      <c r="E576" s="19"/>
      <c r="F576" s="20" t="n">
        <f aca="false">IF($C576=0,0,$C576-$D576)</f>
        <v>0</v>
      </c>
      <c r="G576" s="20" t="n">
        <f aca="false">IF($F576=0,0,$F576*$E576)</f>
        <v>0</v>
      </c>
      <c r="H576" s="20" t="n">
        <f aca="false">$F576-$G576</f>
        <v>0</v>
      </c>
      <c r="I576" s="16"/>
    </row>
    <row r="577" customFormat="false" ht="15" hidden="false" customHeight="true" outlineLevel="0" collapsed="false">
      <c r="A577" s="16"/>
      <c r="B577" s="17"/>
      <c r="C577" s="18"/>
      <c r="D577" s="18"/>
      <c r="E577" s="19"/>
      <c r="F577" s="20" t="n">
        <f aca="false">IF($C577=0,0,$C577-$D577)</f>
        <v>0</v>
      </c>
      <c r="G577" s="20" t="n">
        <f aca="false">IF($F577=0,0,$F577*$E577)</f>
        <v>0</v>
      </c>
      <c r="H577" s="20" t="n">
        <f aca="false">$F577-$G577</f>
        <v>0</v>
      </c>
      <c r="I577" s="16"/>
    </row>
    <row r="578" customFormat="false" ht="15" hidden="false" customHeight="true" outlineLevel="0" collapsed="false">
      <c r="A578" s="16"/>
      <c r="B578" s="17"/>
      <c r="C578" s="18"/>
      <c r="D578" s="18"/>
      <c r="E578" s="19"/>
      <c r="F578" s="20" t="n">
        <f aca="false">IF($C578=0,0,$C578-$D578)</f>
        <v>0</v>
      </c>
      <c r="G578" s="20" t="n">
        <f aca="false">IF($F578=0,0,$F578*$E578)</f>
        <v>0</v>
      </c>
      <c r="H578" s="20" t="n">
        <f aca="false">$F578-$G578</f>
        <v>0</v>
      </c>
      <c r="I578" s="16"/>
    </row>
    <row r="579" customFormat="false" ht="15" hidden="false" customHeight="true" outlineLevel="0" collapsed="false">
      <c r="A579" s="16"/>
      <c r="B579" s="17"/>
      <c r="C579" s="18"/>
      <c r="D579" s="18"/>
      <c r="E579" s="19"/>
      <c r="F579" s="20" t="n">
        <f aca="false">IF($C579=0,0,$C579-$D579)</f>
        <v>0</v>
      </c>
      <c r="G579" s="20" t="n">
        <f aca="false">IF($F579=0,0,$F579*$E579)</f>
        <v>0</v>
      </c>
      <c r="H579" s="20" t="n">
        <f aca="false">$F579-$G579</f>
        <v>0</v>
      </c>
      <c r="I579" s="16"/>
    </row>
    <row r="580" customFormat="false" ht="15" hidden="false" customHeight="true" outlineLevel="0" collapsed="false">
      <c r="A580" s="16"/>
      <c r="B580" s="17"/>
      <c r="C580" s="18"/>
      <c r="D580" s="18"/>
      <c r="E580" s="19"/>
      <c r="F580" s="20" t="n">
        <f aca="false">IF($C580=0,0,$C580-$D580)</f>
        <v>0</v>
      </c>
      <c r="G580" s="20" t="n">
        <f aca="false">IF($F580=0,0,$F580*$E580)</f>
        <v>0</v>
      </c>
      <c r="H580" s="20" t="n">
        <f aca="false">$F580-$G580</f>
        <v>0</v>
      </c>
      <c r="I580" s="16"/>
    </row>
    <row r="581" customFormat="false" ht="15" hidden="false" customHeight="true" outlineLevel="0" collapsed="false">
      <c r="A581" s="16"/>
      <c r="B581" s="17"/>
      <c r="C581" s="18"/>
      <c r="D581" s="18"/>
      <c r="E581" s="19"/>
      <c r="F581" s="20" t="n">
        <f aca="false">IF($C581=0,0,$C581-$D581)</f>
        <v>0</v>
      </c>
      <c r="G581" s="20" t="n">
        <f aca="false">IF($F581=0,0,$F581*$E581)</f>
        <v>0</v>
      </c>
      <c r="H581" s="20" t="n">
        <f aca="false">$F581-$G581</f>
        <v>0</v>
      </c>
      <c r="I581" s="16"/>
    </row>
    <row r="582" customFormat="false" ht="15" hidden="false" customHeight="true" outlineLevel="0" collapsed="false">
      <c r="A582" s="16"/>
      <c r="B582" s="17"/>
      <c r="C582" s="18"/>
      <c r="D582" s="18"/>
      <c r="E582" s="19"/>
      <c r="F582" s="20" t="n">
        <f aca="false">IF($C582=0,0,$C582-$D582)</f>
        <v>0</v>
      </c>
      <c r="G582" s="20" t="n">
        <f aca="false">IF($F582=0,0,$F582*$E582)</f>
        <v>0</v>
      </c>
      <c r="H582" s="20" t="n">
        <f aca="false">$F582-$G582</f>
        <v>0</v>
      </c>
      <c r="I582" s="16"/>
    </row>
    <row r="583" customFormat="false" ht="15" hidden="false" customHeight="true" outlineLevel="0" collapsed="false">
      <c r="A583" s="16"/>
      <c r="B583" s="17"/>
      <c r="C583" s="18"/>
      <c r="D583" s="18"/>
      <c r="E583" s="19"/>
      <c r="F583" s="20" t="n">
        <f aca="false">IF($C583=0,0,$C583-$D583)</f>
        <v>0</v>
      </c>
      <c r="G583" s="20" t="n">
        <f aca="false">IF($F583=0,0,$F583*$E583)</f>
        <v>0</v>
      </c>
      <c r="H583" s="20" t="n">
        <f aca="false">$F583-$G583</f>
        <v>0</v>
      </c>
      <c r="I583" s="16"/>
    </row>
    <row r="584" customFormat="false" ht="15" hidden="false" customHeight="true" outlineLevel="0" collapsed="false">
      <c r="A584" s="16"/>
      <c r="B584" s="17"/>
      <c r="C584" s="18"/>
      <c r="D584" s="18"/>
      <c r="E584" s="19"/>
      <c r="F584" s="20" t="n">
        <f aca="false">IF($C584=0,0,$C584-$D584)</f>
        <v>0</v>
      </c>
      <c r="G584" s="20" t="n">
        <f aca="false">IF($F584=0,0,$F584*$E584)</f>
        <v>0</v>
      </c>
      <c r="H584" s="20" t="n">
        <f aca="false">$F584-$G584</f>
        <v>0</v>
      </c>
      <c r="I584" s="16"/>
    </row>
    <row r="585" customFormat="false" ht="15" hidden="false" customHeight="true" outlineLevel="0" collapsed="false">
      <c r="A585" s="16"/>
      <c r="B585" s="17"/>
      <c r="C585" s="18"/>
      <c r="D585" s="18"/>
      <c r="E585" s="19"/>
      <c r="F585" s="20" t="n">
        <f aca="false">IF($C585=0,0,$C585-$D585)</f>
        <v>0</v>
      </c>
      <c r="G585" s="20" t="n">
        <f aca="false">IF($F585=0,0,$F585*$E585)</f>
        <v>0</v>
      </c>
      <c r="H585" s="20" t="n">
        <f aca="false">$F585-$G585</f>
        <v>0</v>
      </c>
      <c r="I585" s="16"/>
    </row>
    <row r="586" customFormat="false" ht="15" hidden="false" customHeight="true" outlineLevel="0" collapsed="false">
      <c r="A586" s="16"/>
      <c r="B586" s="17"/>
      <c r="C586" s="18"/>
      <c r="D586" s="18"/>
      <c r="E586" s="19"/>
      <c r="F586" s="20" t="n">
        <f aca="false">IF($C586=0,0,$C586-$D586)</f>
        <v>0</v>
      </c>
      <c r="G586" s="20" t="n">
        <f aca="false">IF($F586=0,0,$F586*$E586)</f>
        <v>0</v>
      </c>
      <c r="H586" s="20" t="n">
        <f aca="false">$F586-$G586</f>
        <v>0</v>
      </c>
      <c r="I586" s="16"/>
    </row>
    <row r="587" customFormat="false" ht="15" hidden="false" customHeight="true" outlineLevel="0" collapsed="false">
      <c r="A587" s="16"/>
      <c r="B587" s="17"/>
      <c r="C587" s="18"/>
      <c r="D587" s="18"/>
      <c r="E587" s="19"/>
      <c r="F587" s="20" t="n">
        <f aca="false">IF($C587=0,0,$C587-$D587)</f>
        <v>0</v>
      </c>
      <c r="G587" s="20" t="n">
        <f aca="false">IF($F587=0,0,$F587*$E587)</f>
        <v>0</v>
      </c>
      <c r="H587" s="20" t="n">
        <f aca="false">$F587-$G587</f>
        <v>0</v>
      </c>
      <c r="I587" s="16"/>
    </row>
    <row r="588" customFormat="false" ht="15" hidden="false" customHeight="true" outlineLevel="0" collapsed="false">
      <c r="A588" s="16"/>
      <c r="B588" s="17"/>
      <c r="C588" s="18"/>
      <c r="D588" s="18"/>
      <c r="E588" s="19"/>
      <c r="F588" s="20" t="n">
        <f aca="false">IF($C588=0,0,$C588-$D588)</f>
        <v>0</v>
      </c>
      <c r="G588" s="20" t="n">
        <f aca="false">IF($F588=0,0,$F588*$E588)</f>
        <v>0</v>
      </c>
      <c r="H588" s="20" t="n">
        <f aca="false">$F588-$G588</f>
        <v>0</v>
      </c>
      <c r="I588" s="16"/>
    </row>
    <row r="589" customFormat="false" ht="15" hidden="false" customHeight="true" outlineLevel="0" collapsed="false">
      <c r="A589" s="16"/>
      <c r="B589" s="17"/>
      <c r="C589" s="18"/>
      <c r="D589" s="18"/>
      <c r="E589" s="19"/>
      <c r="F589" s="20" t="n">
        <f aca="false">IF($C589=0,0,$C589-$D589)</f>
        <v>0</v>
      </c>
      <c r="G589" s="20" t="n">
        <f aca="false">IF($F589=0,0,$F589*$E589)</f>
        <v>0</v>
      </c>
      <c r="H589" s="20" t="n">
        <f aca="false">$F589-$G589</f>
        <v>0</v>
      </c>
      <c r="I589" s="16"/>
    </row>
    <row r="590" customFormat="false" ht="15" hidden="false" customHeight="true" outlineLevel="0" collapsed="false">
      <c r="A590" s="16"/>
      <c r="B590" s="17"/>
      <c r="C590" s="18"/>
      <c r="D590" s="18"/>
      <c r="E590" s="19"/>
      <c r="F590" s="20" t="n">
        <f aca="false">IF($C590=0,0,$C590-$D590)</f>
        <v>0</v>
      </c>
      <c r="G590" s="20" t="n">
        <f aca="false">IF($F590=0,0,$F590*$E590)</f>
        <v>0</v>
      </c>
      <c r="H590" s="20" t="n">
        <f aca="false">$F590-$G590</f>
        <v>0</v>
      </c>
      <c r="I590" s="16"/>
    </row>
    <row r="591" customFormat="false" ht="15" hidden="false" customHeight="true" outlineLevel="0" collapsed="false">
      <c r="A591" s="16"/>
      <c r="B591" s="17"/>
      <c r="C591" s="18"/>
      <c r="D591" s="18"/>
      <c r="E591" s="19"/>
      <c r="F591" s="20" t="n">
        <f aca="false">IF($C591=0,0,$C591-$D591)</f>
        <v>0</v>
      </c>
      <c r="G591" s="20" t="n">
        <f aca="false">IF($F591=0,0,$F591*$E591)</f>
        <v>0</v>
      </c>
      <c r="H591" s="20" t="n">
        <f aca="false">$F591-$G591</f>
        <v>0</v>
      </c>
      <c r="I591" s="16"/>
    </row>
    <row r="592" customFormat="false" ht="15" hidden="false" customHeight="true" outlineLevel="0" collapsed="false">
      <c r="A592" s="16"/>
      <c r="B592" s="17"/>
      <c r="C592" s="18"/>
      <c r="D592" s="18"/>
      <c r="E592" s="19"/>
      <c r="F592" s="20" t="n">
        <f aca="false">IF($C592=0,0,$C592-$D592)</f>
        <v>0</v>
      </c>
      <c r="G592" s="20" t="n">
        <f aca="false">IF($F592=0,0,$F592*$E592)</f>
        <v>0</v>
      </c>
      <c r="H592" s="20" t="n">
        <f aca="false">$F592-$G592</f>
        <v>0</v>
      </c>
      <c r="I592" s="16"/>
    </row>
    <row r="593" customFormat="false" ht="15" hidden="false" customHeight="true" outlineLevel="0" collapsed="false">
      <c r="A593" s="16"/>
      <c r="B593" s="17"/>
      <c r="C593" s="18"/>
      <c r="D593" s="18"/>
      <c r="E593" s="19"/>
      <c r="F593" s="20" t="n">
        <f aca="false">IF($C593=0,0,$C593-$D593)</f>
        <v>0</v>
      </c>
      <c r="G593" s="20" t="n">
        <f aca="false">IF($F593=0,0,$F593*$E593)</f>
        <v>0</v>
      </c>
      <c r="H593" s="20" t="n">
        <f aca="false">$F593-$G593</f>
        <v>0</v>
      </c>
      <c r="I593" s="16"/>
    </row>
    <row r="594" customFormat="false" ht="15" hidden="false" customHeight="true" outlineLevel="0" collapsed="false">
      <c r="A594" s="16"/>
      <c r="B594" s="17"/>
      <c r="C594" s="18"/>
      <c r="D594" s="18"/>
      <c r="E594" s="19"/>
      <c r="F594" s="20" t="n">
        <f aca="false">IF($C594=0,0,$C594-$D594)</f>
        <v>0</v>
      </c>
      <c r="G594" s="20" t="n">
        <f aca="false">IF($F594=0,0,$F594*$E594)</f>
        <v>0</v>
      </c>
      <c r="H594" s="20" t="n">
        <f aca="false">$F594-$G594</f>
        <v>0</v>
      </c>
      <c r="I594" s="16"/>
    </row>
    <row r="595" customFormat="false" ht="15" hidden="false" customHeight="true" outlineLevel="0" collapsed="false">
      <c r="A595" s="16"/>
      <c r="B595" s="17"/>
      <c r="C595" s="18"/>
      <c r="D595" s="18"/>
      <c r="E595" s="19"/>
      <c r="F595" s="20" t="n">
        <f aca="false">IF($C595=0,0,$C595-$D595)</f>
        <v>0</v>
      </c>
      <c r="G595" s="20" t="n">
        <f aca="false">IF($F595=0,0,$F595*$E595)</f>
        <v>0</v>
      </c>
      <c r="H595" s="20" t="n">
        <f aca="false">$F595-$G595</f>
        <v>0</v>
      </c>
      <c r="I595" s="16"/>
    </row>
    <row r="596" customFormat="false" ht="15" hidden="false" customHeight="true" outlineLevel="0" collapsed="false">
      <c r="A596" s="16"/>
      <c r="B596" s="17"/>
      <c r="C596" s="18"/>
      <c r="D596" s="18"/>
      <c r="E596" s="19"/>
      <c r="F596" s="20" t="n">
        <f aca="false">IF($C596=0,0,$C596-$D596)</f>
        <v>0</v>
      </c>
      <c r="G596" s="20" t="n">
        <f aca="false">IF($F596=0,0,$F596*$E596)</f>
        <v>0</v>
      </c>
      <c r="H596" s="20" t="n">
        <f aca="false">$F596-$G596</f>
        <v>0</v>
      </c>
      <c r="I596" s="16"/>
    </row>
    <row r="597" customFormat="false" ht="15" hidden="false" customHeight="true" outlineLevel="0" collapsed="false">
      <c r="A597" s="16"/>
      <c r="B597" s="17"/>
      <c r="C597" s="18"/>
      <c r="D597" s="18"/>
      <c r="E597" s="19"/>
      <c r="F597" s="20" t="n">
        <f aca="false">IF($C597=0,0,$C597-$D597)</f>
        <v>0</v>
      </c>
      <c r="G597" s="20" t="n">
        <f aca="false">IF($F597=0,0,$F597*$E597)</f>
        <v>0</v>
      </c>
      <c r="H597" s="20" t="n">
        <f aca="false">$F597-$G597</f>
        <v>0</v>
      </c>
      <c r="I597" s="16"/>
    </row>
    <row r="598" customFormat="false" ht="15" hidden="false" customHeight="true" outlineLevel="0" collapsed="false">
      <c r="A598" s="16"/>
      <c r="B598" s="17"/>
      <c r="C598" s="18"/>
      <c r="D598" s="18"/>
      <c r="E598" s="19"/>
      <c r="F598" s="20" t="n">
        <f aca="false">IF($C598=0,0,$C598-$D598)</f>
        <v>0</v>
      </c>
      <c r="G598" s="20" t="n">
        <f aca="false">IF($F598=0,0,$F598*$E598)</f>
        <v>0</v>
      </c>
      <c r="H598" s="20" t="n">
        <f aca="false">$F598-$G598</f>
        <v>0</v>
      </c>
      <c r="I598" s="16"/>
    </row>
    <row r="599" customFormat="false" ht="15" hidden="false" customHeight="true" outlineLevel="0" collapsed="false">
      <c r="A599" s="16"/>
      <c r="B599" s="17"/>
      <c r="C599" s="18"/>
      <c r="D599" s="18"/>
      <c r="E599" s="19"/>
      <c r="F599" s="20" t="n">
        <f aca="false">IF($C599=0,0,$C599-$D599)</f>
        <v>0</v>
      </c>
      <c r="G599" s="20" t="n">
        <f aca="false">IF($F599=0,0,$F599*$E599)</f>
        <v>0</v>
      </c>
      <c r="H599" s="20" t="n">
        <f aca="false">$F599-$G599</f>
        <v>0</v>
      </c>
      <c r="I599" s="16"/>
    </row>
    <row r="600" customFormat="false" ht="15" hidden="false" customHeight="true" outlineLevel="0" collapsed="false">
      <c r="A600" s="16"/>
      <c r="B600" s="17"/>
      <c r="C600" s="18"/>
      <c r="D600" s="18"/>
      <c r="E600" s="19"/>
      <c r="F600" s="20" t="n">
        <f aca="false">IF($C600=0,0,$C600-$D600)</f>
        <v>0</v>
      </c>
      <c r="G600" s="20" t="n">
        <f aca="false">IF($F600=0,0,$F600*$E600)</f>
        <v>0</v>
      </c>
      <c r="H600" s="20" t="n">
        <f aca="false">$F600-$G600</f>
        <v>0</v>
      </c>
      <c r="I600" s="16"/>
    </row>
    <row r="601" customFormat="false" ht="15" hidden="false" customHeight="true" outlineLevel="0" collapsed="false">
      <c r="A601" s="16"/>
      <c r="B601" s="17"/>
      <c r="C601" s="18"/>
      <c r="D601" s="18"/>
      <c r="E601" s="19"/>
      <c r="F601" s="20" t="n">
        <f aca="false">IF($C601=0,0,$C601-$D601)</f>
        <v>0</v>
      </c>
      <c r="G601" s="20" t="n">
        <f aca="false">IF($F601=0,0,$F601*$E601)</f>
        <v>0</v>
      </c>
      <c r="H601" s="20" t="n">
        <f aca="false">$F601-$G601</f>
        <v>0</v>
      </c>
      <c r="I601" s="16"/>
    </row>
    <row r="602" customFormat="false" ht="15" hidden="false" customHeight="true" outlineLevel="0" collapsed="false">
      <c r="A602" s="16"/>
      <c r="B602" s="17"/>
      <c r="C602" s="18"/>
      <c r="D602" s="18"/>
      <c r="E602" s="19"/>
      <c r="F602" s="20" t="n">
        <f aca="false">IF($C602=0,0,$C602-$D602)</f>
        <v>0</v>
      </c>
      <c r="G602" s="20" t="n">
        <f aca="false">IF($F602=0,0,$F602*$E602)</f>
        <v>0</v>
      </c>
      <c r="H602" s="20" t="n">
        <f aca="false">$F602-$G602</f>
        <v>0</v>
      </c>
      <c r="I602" s="16"/>
    </row>
    <row r="603" customFormat="false" ht="15" hidden="false" customHeight="true" outlineLevel="0" collapsed="false">
      <c r="A603" s="16"/>
      <c r="B603" s="17"/>
      <c r="C603" s="18"/>
      <c r="D603" s="18"/>
      <c r="E603" s="19"/>
      <c r="F603" s="20" t="n">
        <f aca="false">IF($C603=0,0,$C603-$D603)</f>
        <v>0</v>
      </c>
      <c r="G603" s="20" t="n">
        <f aca="false">IF($F603=0,0,$F603*$E603)</f>
        <v>0</v>
      </c>
      <c r="H603" s="20" t="n">
        <f aca="false">$F603-$G603</f>
        <v>0</v>
      </c>
      <c r="I603" s="16"/>
    </row>
    <row r="604" customFormat="false" ht="15" hidden="false" customHeight="true" outlineLevel="0" collapsed="false">
      <c r="A604" s="16"/>
      <c r="B604" s="17"/>
      <c r="C604" s="18"/>
      <c r="D604" s="18"/>
      <c r="E604" s="19"/>
      <c r="F604" s="20" t="n">
        <f aca="false">IF($C604=0,0,$C604-$D604)</f>
        <v>0</v>
      </c>
      <c r="G604" s="20" t="n">
        <f aca="false">IF($F604=0,0,$F604*$E604)</f>
        <v>0</v>
      </c>
      <c r="H604" s="20" t="n">
        <f aca="false">$F604-$G604</f>
        <v>0</v>
      </c>
      <c r="I604" s="16"/>
    </row>
    <row r="605" customFormat="false" ht="15" hidden="false" customHeight="true" outlineLevel="0" collapsed="false">
      <c r="A605" s="16"/>
      <c r="B605" s="17"/>
      <c r="C605" s="18"/>
      <c r="D605" s="18"/>
      <c r="E605" s="19"/>
      <c r="F605" s="20" t="n">
        <f aca="false">IF($C605=0,0,$C605-$D605)</f>
        <v>0</v>
      </c>
      <c r="G605" s="20" t="n">
        <f aca="false">IF($F605=0,0,$F605*$E605)</f>
        <v>0</v>
      </c>
      <c r="H605" s="20" t="n">
        <f aca="false">$F605-$G605</f>
        <v>0</v>
      </c>
      <c r="I605" s="16"/>
    </row>
    <row r="606" customFormat="false" ht="15" hidden="false" customHeight="true" outlineLevel="0" collapsed="false">
      <c r="A606" s="16"/>
      <c r="B606" s="17"/>
      <c r="C606" s="18"/>
      <c r="D606" s="18"/>
      <c r="E606" s="19"/>
      <c r="F606" s="20" t="n">
        <f aca="false">IF($C606=0,0,$C606-$D606)</f>
        <v>0</v>
      </c>
      <c r="G606" s="20" t="n">
        <f aca="false">IF($F606=0,0,$F606*$E606)</f>
        <v>0</v>
      </c>
      <c r="H606" s="20" t="n">
        <f aca="false">$F606-$G606</f>
        <v>0</v>
      </c>
      <c r="I606" s="16"/>
    </row>
    <row r="607" customFormat="false" ht="15" hidden="false" customHeight="true" outlineLevel="0" collapsed="false">
      <c r="A607" s="16"/>
      <c r="B607" s="17"/>
      <c r="C607" s="18"/>
      <c r="D607" s="18"/>
      <c r="E607" s="19"/>
      <c r="F607" s="20" t="n">
        <f aca="false">IF($C607=0,0,$C607-$D607)</f>
        <v>0</v>
      </c>
      <c r="G607" s="20" t="n">
        <f aca="false">IF($F607=0,0,$F607*$E607)</f>
        <v>0</v>
      </c>
      <c r="H607" s="20" t="n">
        <f aca="false">$F607-$G607</f>
        <v>0</v>
      </c>
      <c r="I607" s="16"/>
    </row>
    <row r="608" customFormat="false" ht="15" hidden="false" customHeight="true" outlineLevel="0" collapsed="false">
      <c r="A608" s="16"/>
      <c r="B608" s="17"/>
      <c r="C608" s="18"/>
      <c r="D608" s="18"/>
      <c r="E608" s="19"/>
      <c r="F608" s="20" t="n">
        <f aca="false">IF($C608=0,0,$C608-$D608)</f>
        <v>0</v>
      </c>
      <c r="G608" s="20" t="n">
        <f aca="false">IF($F608=0,0,$F608*$E608)</f>
        <v>0</v>
      </c>
      <c r="H608" s="20" t="n">
        <f aca="false">$F608-$G608</f>
        <v>0</v>
      </c>
      <c r="I608" s="16"/>
    </row>
    <row r="609" customFormat="false" ht="15" hidden="false" customHeight="true" outlineLevel="0" collapsed="false">
      <c r="A609" s="16"/>
      <c r="B609" s="17"/>
      <c r="C609" s="18"/>
      <c r="D609" s="18"/>
      <c r="E609" s="19"/>
      <c r="F609" s="20" t="n">
        <f aca="false">IF($C609=0,0,$C609-$D609)</f>
        <v>0</v>
      </c>
      <c r="G609" s="20" t="n">
        <f aca="false">IF($F609=0,0,$F609*$E609)</f>
        <v>0</v>
      </c>
      <c r="H609" s="20" t="n">
        <f aca="false">$F609-$G609</f>
        <v>0</v>
      </c>
      <c r="I609" s="16"/>
    </row>
    <row r="610" customFormat="false" ht="15" hidden="false" customHeight="true" outlineLevel="0" collapsed="false">
      <c r="A610" s="16"/>
      <c r="B610" s="17"/>
      <c r="C610" s="18"/>
      <c r="D610" s="18"/>
      <c r="E610" s="19"/>
      <c r="F610" s="20" t="n">
        <f aca="false">IF($C610=0,0,$C610-$D610)</f>
        <v>0</v>
      </c>
      <c r="G610" s="20" t="n">
        <f aca="false">IF($F610=0,0,$F610*$E610)</f>
        <v>0</v>
      </c>
      <c r="H610" s="20" t="n">
        <f aca="false">$F610-$G610</f>
        <v>0</v>
      </c>
      <c r="I610" s="16"/>
    </row>
    <row r="611" customFormat="false" ht="15" hidden="false" customHeight="true" outlineLevel="0" collapsed="false">
      <c r="A611" s="16"/>
      <c r="B611" s="17"/>
      <c r="C611" s="18"/>
      <c r="D611" s="18"/>
      <c r="E611" s="19"/>
      <c r="F611" s="20" t="n">
        <f aca="false">IF($C611=0,0,$C611-$D611)</f>
        <v>0</v>
      </c>
      <c r="G611" s="20" t="n">
        <f aca="false">IF($F611=0,0,$F611*$E611)</f>
        <v>0</v>
      </c>
      <c r="H611" s="20" t="n">
        <f aca="false">$F611-$G611</f>
        <v>0</v>
      </c>
      <c r="I611" s="16"/>
    </row>
    <row r="612" customFormat="false" ht="15" hidden="false" customHeight="true" outlineLevel="0" collapsed="false">
      <c r="A612" s="16"/>
      <c r="B612" s="17"/>
      <c r="C612" s="18"/>
      <c r="D612" s="18"/>
      <c r="E612" s="19"/>
      <c r="F612" s="20" t="n">
        <f aca="false">IF($C612=0,0,$C612-$D612)</f>
        <v>0</v>
      </c>
      <c r="G612" s="20" t="n">
        <f aca="false">IF($F612=0,0,$F612*$E612)</f>
        <v>0</v>
      </c>
      <c r="H612" s="20" t="n">
        <f aca="false">$F612-$G612</f>
        <v>0</v>
      </c>
      <c r="I612" s="16"/>
    </row>
    <row r="613" customFormat="false" ht="15" hidden="false" customHeight="true" outlineLevel="0" collapsed="false">
      <c r="A613" s="16"/>
      <c r="B613" s="17"/>
      <c r="C613" s="18"/>
      <c r="D613" s="18"/>
      <c r="E613" s="19"/>
      <c r="F613" s="20" t="n">
        <f aca="false">IF($C613=0,0,$C613-$D613)</f>
        <v>0</v>
      </c>
      <c r="G613" s="20" t="n">
        <f aca="false">IF($F613=0,0,$F613*$E613)</f>
        <v>0</v>
      </c>
      <c r="H613" s="20" t="n">
        <f aca="false">$F613-$G613</f>
        <v>0</v>
      </c>
      <c r="I613" s="16"/>
    </row>
    <row r="614" customFormat="false" ht="15" hidden="false" customHeight="true" outlineLevel="0" collapsed="false">
      <c r="A614" s="16"/>
      <c r="B614" s="17"/>
      <c r="C614" s="18"/>
      <c r="D614" s="18"/>
      <c r="E614" s="19"/>
      <c r="F614" s="20" t="n">
        <f aca="false">IF($C614=0,0,$C614-$D614)</f>
        <v>0</v>
      </c>
      <c r="G614" s="20" t="n">
        <f aca="false">IF($F614=0,0,$F614*$E614)</f>
        <v>0</v>
      </c>
      <c r="H614" s="20" t="n">
        <f aca="false">$F614-$G614</f>
        <v>0</v>
      </c>
      <c r="I614" s="16"/>
    </row>
    <row r="615" customFormat="false" ht="15" hidden="false" customHeight="true" outlineLevel="0" collapsed="false">
      <c r="A615" s="16"/>
      <c r="B615" s="17"/>
      <c r="C615" s="18"/>
      <c r="D615" s="18"/>
      <c r="E615" s="19"/>
      <c r="F615" s="20" t="n">
        <f aca="false">IF($C615=0,0,$C615-$D615)</f>
        <v>0</v>
      </c>
      <c r="G615" s="20" t="n">
        <f aca="false">IF($F615=0,0,$F615*$E615)</f>
        <v>0</v>
      </c>
      <c r="H615" s="20" t="n">
        <f aca="false">$F615-$G615</f>
        <v>0</v>
      </c>
      <c r="I615" s="16"/>
    </row>
    <row r="616" customFormat="false" ht="15" hidden="false" customHeight="true" outlineLevel="0" collapsed="false">
      <c r="A616" s="16"/>
      <c r="B616" s="17"/>
      <c r="C616" s="18"/>
      <c r="D616" s="18"/>
      <c r="E616" s="19"/>
      <c r="F616" s="20" t="n">
        <f aca="false">IF($C616=0,0,$C616-$D616)</f>
        <v>0</v>
      </c>
      <c r="G616" s="20" t="n">
        <f aca="false">IF($F616=0,0,$F616*$E616)</f>
        <v>0</v>
      </c>
      <c r="H616" s="20" t="n">
        <f aca="false">$F616-$G616</f>
        <v>0</v>
      </c>
      <c r="I616" s="16"/>
    </row>
    <row r="617" customFormat="false" ht="15" hidden="false" customHeight="true" outlineLevel="0" collapsed="false">
      <c r="A617" s="16"/>
      <c r="B617" s="17"/>
      <c r="C617" s="18"/>
      <c r="D617" s="18"/>
      <c r="E617" s="19"/>
      <c r="F617" s="20" t="n">
        <f aca="false">IF($C617=0,0,$C617-$D617)</f>
        <v>0</v>
      </c>
      <c r="G617" s="20" t="n">
        <f aca="false">IF($F617=0,0,$F617*$E617)</f>
        <v>0</v>
      </c>
      <c r="H617" s="20" t="n">
        <f aca="false">$F617-$G617</f>
        <v>0</v>
      </c>
      <c r="I617" s="16"/>
    </row>
    <row r="618" customFormat="false" ht="15" hidden="false" customHeight="true" outlineLevel="0" collapsed="false">
      <c r="A618" s="16"/>
      <c r="B618" s="17"/>
      <c r="C618" s="18"/>
      <c r="D618" s="18"/>
      <c r="E618" s="19"/>
      <c r="F618" s="20" t="n">
        <f aca="false">IF($C618=0,0,$C618-$D618)</f>
        <v>0</v>
      </c>
      <c r="G618" s="20" t="n">
        <f aca="false">IF($F618=0,0,$F618*$E618)</f>
        <v>0</v>
      </c>
      <c r="H618" s="20" t="n">
        <f aca="false">$F618-$G618</f>
        <v>0</v>
      </c>
      <c r="I618" s="16"/>
    </row>
    <row r="619" customFormat="false" ht="15" hidden="false" customHeight="true" outlineLevel="0" collapsed="false">
      <c r="A619" s="16"/>
      <c r="B619" s="17"/>
      <c r="C619" s="18"/>
      <c r="D619" s="18"/>
      <c r="E619" s="19"/>
      <c r="F619" s="20" t="n">
        <f aca="false">IF($C619=0,0,$C619-$D619)</f>
        <v>0</v>
      </c>
      <c r="G619" s="20" t="n">
        <f aca="false">IF($F619=0,0,$F619*$E619)</f>
        <v>0</v>
      </c>
      <c r="H619" s="20" t="n">
        <f aca="false">$F619-$G619</f>
        <v>0</v>
      </c>
      <c r="I619" s="16"/>
    </row>
    <row r="620" customFormat="false" ht="15" hidden="false" customHeight="true" outlineLevel="0" collapsed="false">
      <c r="A620" s="16"/>
      <c r="B620" s="17"/>
      <c r="C620" s="18"/>
      <c r="D620" s="18"/>
      <c r="E620" s="19"/>
      <c r="F620" s="20" t="n">
        <f aca="false">IF($C620=0,0,$C620-$D620)</f>
        <v>0</v>
      </c>
      <c r="G620" s="20" t="n">
        <f aca="false">IF($F620=0,0,$F620*$E620)</f>
        <v>0</v>
      </c>
      <c r="H620" s="20" t="n">
        <f aca="false">$F620-$G620</f>
        <v>0</v>
      </c>
      <c r="I620" s="16"/>
    </row>
    <row r="621" customFormat="false" ht="15" hidden="false" customHeight="true" outlineLevel="0" collapsed="false">
      <c r="A621" s="16"/>
      <c r="B621" s="17"/>
      <c r="C621" s="18"/>
      <c r="D621" s="18"/>
      <c r="E621" s="19"/>
      <c r="F621" s="20" t="n">
        <f aca="false">IF($C621=0,0,$C621-$D621)</f>
        <v>0</v>
      </c>
      <c r="G621" s="20" t="n">
        <f aca="false">IF($F621=0,0,$F621*$E621)</f>
        <v>0</v>
      </c>
      <c r="H621" s="20" t="n">
        <f aca="false">$F621-$G621</f>
        <v>0</v>
      </c>
      <c r="I621" s="16"/>
    </row>
    <row r="622" customFormat="false" ht="15" hidden="false" customHeight="true" outlineLevel="0" collapsed="false">
      <c r="A622" s="16"/>
      <c r="B622" s="17"/>
      <c r="C622" s="18"/>
      <c r="D622" s="18"/>
      <c r="E622" s="19"/>
      <c r="F622" s="20" t="n">
        <f aca="false">IF($C622=0,0,$C622-$D622)</f>
        <v>0</v>
      </c>
      <c r="G622" s="20" t="n">
        <f aca="false">IF($F622=0,0,$F622*$E622)</f>
        <v>0</v>
      </c>
      <c r="H622" s="20" t="n">
        <f aca="false">$F622-$G622</f>
        <v>0</v>
      </c>
      <c r="I622" s="16"/>
    </row>
    <row r="623" customFormat="false" ht="15" hidden="false" customHeight="true" outlineLevel="0" collapsed="false">
      <c r="A623" s="16"/>
      <c r="B623" s="17"/>
      <c r="C623" s="18"/>
      <c r="D623" s="18"/>
      <c r="E623" s="19"/>
      <c r="F623" s="20" t="n">
        <f aca="false">IF($C623=0,0,$C623-$D623)</f>
        <v>0</v>
      </c>
      <c r="G623" s="20" t="n">
        <f aca="false">IF($F623=0,0,$F623*$E623)</f>
        <v>0</v>
      </c>
      <c r="H623" s="20" t="n">
        <f aca="false">$F623-$G623</f>
        <v>0</v>
      </c>
      <c r="I623" s="16"/>
    </row>
    <row r="624" customFormat="false" ht="15" hidden="false" customHeight="true" outlineLevel="0" collapsed="false">
      <c r="A624" s="16"/>
      <c r="B624" s="17"/>
      <c r="C624" s="18"/>
      <c r="D624" s="18"/>
      <c r="E624" s="19"/>
      <c r="F624" s="20" t="n">
        <f aca="false">IF($C624=0,0,$C624-$D624)</f>
        <v>0</v>
      </c>
      <c r="G624" s="20" t="n">
        <f aca="false">IF($F624=0,0,$F624*$E624)</f>
        <v>0</v>
      </c>
      <c r="H624" s="20" t="n">
        <f aca="false">$F624-$G624</f>
        <v>0</v>
      </c>
      <c r="I624" s="16"/>
    </row>
    <row r="625" customFormat="false" ht="15" hidden="false" customHeight="true" outlineLevel="0" collapsed="false">
      <c r="A625" s="16"/>
      <c r="B625" s="17"/>
      <c r="C625" s="18"/>
      <c r="D625" s="18"/>
      <c r="E625" s="19"/>
      <c r="F625" s="20" t="n">
        <f aca="false">IF($C625=0,0,$C625-$D625)</f>
        <v>0</v>
      </c>
      <c r="G625" s="20" t="n">
        <f aca="false">IF($F625=0,0,$F625*$E625)</f>
        <v>0</v>
      </c>
      <c r="H625" s="20" t="n">
        <f aca="false">$F625-$G625</f>
        <v>0</v>
      </c>
      <c r="I625" s="16"/>
    </row>
    <row r="626" customFormat="false" ht="15" hidden="false" customHeight="true" outlineLevel="0" collapsed="false">
      <c r="A626" s="16"/>
      <c r="B626" s="17"/>
      <c r="C626" s="18"/>
      <c r="D626" s="18"/>
      <c r="E626" s="19"/>
      <c r="F626" s="20" t="n">
        <f aca="false">IF($C626=0,0,$C626-$D626)</f>
        <v>0</v>
      </c>
      <c r="G626" s="20" t="n">
        <f aca="false">IF($F626=0,0,$F626*$E626)</f>
        <v>0</v>
      </c>
      <c r="H626" s="20" t="n">
        <f aca="false">$F626-$G626</f>
        <v>0</v>
      </c>
      <c r="I626" s="16"/>
    </row>
    <row r="627" customFormat="false" ht="15" hidden="false" customHeight="true" outlineLevel="0" collapsed="false">
      <c r="A627" s="16"/>
      <c r="B627" s="17"/>
      <c r="C627" s="18"/>
      <c r="D627" s="18"/>
      <c r="E627" s="19"/>
      <c r="F627" s="20" t="n">
        <f aca="false">IF($C627=0,0,$C627-$D627)</f>
        <v>0</v>
      </c>
      <c r="G627" s="20" t="n">
        <f aca="false">IF($F627=0,0,$F627*$E627)</f>
        <v>0</v>
      </c>
      <c r="H627" s="20" t="n">
        <f aca="false">$F627-$G627</f>
        <v>0</v>
      </c>
      <c r="I627" s="16"/>
    </row>
    <row r="628" customFormat="false" ht="15" hidden="false" customHeight="true" outlineLevel="0" collapsed="false">
      <c r="A628" s="16"/>
      <c r="B628" s="17"/>
      <c r="C628" s="18"/>
      <c r="D628" s="18"/>
      <c r="E628" s="19"/>
      <c r="F628" s="20" t="n">
        <f aca="false">IF($C628=0,0,$C628-$D628)</f>
        <v>0</v>
      </c>
      <c r="G628" s="20" t="n">
        <f aca="false">IF($F628=0,0,$F628*$E628)</f>
        <v>0</v>
      </c>
      <c r="H628" s="20" t="n">
        <f aca="false">$F628-$G628</f>
        <v>0</v>
      </c>
      <c r="I628" s="16"/>
    </row>
    <row r="629" customFormat="false" ht="15" hidden="false" customHeight="true" outlineLevel="0" collapsed="false">
      <c r="A629" s="16"/>
      <c r="B629" s="17"/>
      <c r="C629" s="18"/>
      <c r="D629" s="18"/>
      <c r="E629" s="19"/>
      <c r="F629" s="20" t="n">
        <f aca="false">IF($C629=0,0,$C629-$D629)</f>
        <v>0</v>
      </c>
      <c r="G629" s="20" t="n">
        <f aca="false">IF($F629=0,0,$F629*$E629)</f>
        <v>0</v>
      </c>
      <c r="H629" s="20" t="n">
        <f aca="false">$F629-$G629</f>
        <v>0</v>
      </c>
      <c r="I629" s="16"/>
    </row>
    <row r="630" customFormat="false" ht="15" hidden="false" customHeight="true" outlineLevel="0" collapsed="false">
      <c r="A630" s="16"/>
      <c r="B630" s="17"/>
      <c r="C630" s="18"/>
      <c r="D630" s="18"/>
      <c r="E630" s="19"/>
      <c r="F630" s="20" t="n">
        <f aca="false">IF($C630=0,0,$C630-$D630)</f>
        <v>0</v>
      </c>
      <c r="G630" s="20" t="n">
        <f aca="false">IF($F630=0,0,$F630*$E630)</f>
        <v>0</v>
      </c>
      <c r="H630" s="20" t="n">
        <f aca="false">$F630-$G630</f>
        <v>0</v>
      </c>
      <c r="I630" s="16"/>
    </row>
    <row r="631" customFormat="false" ht="15" hidden="false" customHeight="true" outlineLevel="0" collapsed="false">
      <c r="A631" s="16"/>
      <c r="B631" s="17"/>
      <c r="C631" s="18"/>
      <c r="D631" s="18"/>
      <c r="E631" s="19"/>
      <c r="F631" s="20" t="n">
        <f aca="false">IF($C631=0,0,$C631-$D631)</f>
        <v>0</v>
      </c>
      <c r="G631" s="20" t="n">
        <f aca="false">IF($F631=0,0,$F631*$E631)</f>
        <v>0</v>
      </c>
      <c r="H631" s="20" t="n">
        <f aca="false">$F631-$G631</f>
        <v>0</v>
      </c>
      <c r="I631" s="16"/>
    </row>
    <row r="632" customFormat="false" ht="15" hidden="false" customHeight="true" outlineLevel="0" collapsed="false">
      <c r="A632" s="16"/>
      <c r="B632" s="17"/>
      <c r="C632" s="18"/>
      <c r="D632" s="18"/>
      <c r="E632" s="19"/>
      <c r="F632" s="20" t="n">
        <f aca="false">IF($C632=0,0,$C632-$D632)</f>
        <v>0</v>
      </c>
      <c r="G632" s="20" t="n">
        <f aca="false">IF($F632=0,0,$F632*$E632)</f>
        <v>0</v>
      </c>
      <c r="H632" s="20" t="n">
        <f aca="false">$F632-$G632</f>
        <v>0</v>
      </c>
      <c r="I632" s="16"/>
    </row>
    <row r="633" customFormat="false" ht="15" hidden="false" customHeight="true" outlineLevel="0" collapsed="false">
      <c r="A633" s="16"/>
      <c r="B633" s="17"/>
      <c r="C633" s="18"/>
      <c r="D633" s="18"/>
      <c r="E633" s="19"/>
      <c r="F633" s="20" t="n">
        <f aca="false">IF($C633=0,0,$C633-$D633)</f>
        <v>0</v>
      </c>
      <c r="G633" s="20" t="n">
        <f aca="false">IF($F633=0,0,$F633*$E633)</f>
        <v>0</v>
      </c>
      <c r="H633" s="20" t="n">
        <f aca="false">$F633-$G633</f>
        <v>0</v>
      </c>
      <c r="I633" s="16"/>
    </row>
    <row r="634" customFormat="false" ht="15" hidden="false" customHeight="true" outlineLevel="0" collapsed="false">
      <c r="A634" s="16"/>
      <c r="B634" s="17"/>
      <c r="C634" s="18"/>
      <c r="D634" s="18"/>
      <c r="E634" s="19"/>
      <c r="F634" s="20" t="n">
        <f aca="false">IF($C634=0,0,$C634-$D634)</f>
        <v>0</v>
      </c>
      <c r="G634" s="20" t="n">
        <f aca="false">IF($F634=0,0,$F634*$E634)</f>
        <v>0</v>
      </c>
      <c r="H634" s="20" t="n">
        <f aca="false">$F634-$G634</f>
        <v>0</v>
      </c>
      <c r="I634" s="16"/>
    </row>
    <row r="635" customFormat="false" ht="15" hidden="false" customHeight="true" outlineLevel="0" collapsed="false">
      <c r="A635" s="16"/>
      <c r="B635" s="17"/>
      <c r="C635" s="18"/>
      <c r="D635" s="18"/>
      <c r="E635" s="19"/>
      <c r="F635" s="20" t="n">
        <f aca="false">IF($C635=0,0,$C635-$D635)</f>
        <v>0</v>
      </c>
      <c r="G635" s="20" t="n">
        <f aca="false">IF($F635=0,0,$F635*$E635)</f>
        <v>0</v>
      </c>
      <c r="H635" s="20" t="n">
        <f aca="false">$F635-$G635</f>
        <v>0</v>
      </c>
      <c r="I635" s="16"/>
    </row>
    <row r="636" customFormat="false" ht="15" hidden="false" customHeight="true" outlineLevel="0" collapsed="false">
      <c r="A636" s="16"/>
      <c r="B636" s="17"/>
      <c r="C636" s="18"/>
      <c r="D636" s="18"/>
      <c r="E636" s="19"/>
      <c r="F636" s="20" t="n">
        <f aca="false">IF($C636=0,0,$C636-$D636)</f>
        <v>0</v>
      </c>
      <c r="G636" s="20" t="n">
        <f aca="false">IF($F636=0,0,$F636*$E636)</f>
        <v>0</v>
      </c>
      <c r="H636" s="20" t="n">
        <f aca="false">$F636-$G636</f>
        <v>0</v>
      </c>
      <c r="I636" s="16"/>
    </row>
    <row r="637" customFormat="false" ht="15" hidden="false" customHeight="true" outlineLevel="0" collapsed="false">
      <c r="A637" s="16"/>
      <c r="B637" s="17"/>
      <c r="C637" s="18"/>
      <c r="D637" s="18"/>
      <c r="E637" s="19"/>
      <c r="F637" s="20" t="n">
        <f aca="false">IF($C637=0,0,$C637-$D637)</f>
        <v>0</v>
      </c>
      <c r="G637" s="20" t="n">
        <f aca="false">IF($F637=0,0,$F637*$E637)</f>
        <v>0</v>
      </c>
      <c r="H637" s="20" t="n">
        <f aca="false">$F637-$G637</f>
        <v>0</v>
      </c>
      <c r="I637" s="16"/>
    </row>
    <row r="638" customFormat="false" ht="15" hidden="false" customHeight="true" outlineLevel="0" collapsed="false">
      <c r="A638" s="16"/>
      <c r="B638" s="17"/>
      <c r="C638" s="18"/>
      <c r="D638" s="18"/>
      <c r="E638" s="19"/>
      <c r="F638" s="20" t="n">
        <f aca="false">IF($C638=0,0,$C638-$D638)</f>
        <v>0</v>
      </c>
      <c r="G638" s="20" t="n">
        <f aca="false">IF($F638=0,0,$F638*$E638)</f>
        <v>0</v>
      </c>
      <c r="H638" s="20" t="n">
        <f aca="false">$F638-$G638</f>
        <v>0</v>
      </c>
      <c r="I638" s="16"/>
    </row>
    <row r="639" customFormat="false" ht="15" hidden="false" customHeight="true" outlineLevel="0" collapsed="false">
      <c r="A639" s="16"/>
      <c r="B639" s="17"/>
      <c r="C639" s="18"/>
      <c r="D639" s="18"/>
      <c r="E639" s="19"/>
      <c r="F639" s="20" t="n">
        <f aca="false">IF($C639=0,0,$C639-$D639)</f>
        <v>0</v>
      </c>
      <c r="G639" s="20" t="n">
        <f aca="false">IF($F639=0,0,$F639*$E639)</f>
        <v>0</v>
      </c>
      <c r="H639" s="20" t="n">
        <f aca="false">$F639-$G639</f>
        <v>0</v>
      </c>
      <c r="I639" s="16"/>
    </row>
    <row r="640" customFormat="false" ht="15" hidden="false" customHeight="true" outlineLevel="0" collapsed="false">
      <c r="A640" s="16"/>
      <c r="B640" s="17"/>
      <c r="C640" s="18"/>
      <c r="D640" s="18"/>
      <c r="E640" s="19"/>
      <c r="F640" s="20" t="n">
        <f aca="false">IF($C640=0,0,$C640-$D640)</f>
        <v>0</v>
      </c>
      <c r="G640" s="20" t="n">
        <f aca="false">IF($F640=0,0,$F640*$E640)</f>
        <v>0</v>
      </c>
      <c r="H640" s="20" t="n">
        <f aca="false">$F640-$G640</f>
        <v>0</v>
      </c>
      <c r="I640" s="16"/>
    </row>
    <row r="641" customFormat="false" ht="15" hidden="false" customHeight="true" outlineLevel="0" collapsed="false">
      <c r="A641" s="16"/>
      <c r="B641" s="17"/>
      <c r="C641" s="18"/>
      <c r="D641" s="18"/>
      <c r="E641" s="19"/>
      <c r="F641" s="20" t="n">
        <f aca="false">IF($C641=0,0,$C641-$D641)</f>
        <v>0</v>
      </c>
      <c r="G641" s="20" t="n">
        <f aca="false">IF($F641=0,0,$F641*$E641)</f>
        <v>0</v>
      </c>
      <c r="H641" s="20" t="n">
        <f aca="false">$F641-$G641</f>
        <v>0</v>
      </c>
      <c r="I641" s="16"/>
    </row>
    <row r="642" customFormat="false" ht="15" hidden="false" customHeight="true" outlineLevel="0" collapsed="false">
      <c r="A642" s="16"/>
      <c r="B642" s="17"/>
      <c r="C642" s="18"/>
      <c r="D642" s="18"/>
      <c r="E642" s="19"/>
      <c r="F642" s="20" t="n">
        <f aca="false">IF($C642=0,0,$C642-$D642)</f>
        <v>0</v>
      </c>
      <c r="G642" s="20" t="n">
        <f aca="false">IF($F642=0,0,$F642*$E642)</f>
        <v>0</v>
      </c>
      <c r="H642" s="20" t="n">
        <f aca="false">$F642-$G642</f>
        <v>0</v>
      </c>
      <c r="I642" s="16"/>
    </row>
    <row r="643" customFormat="false" ht="15" hidden="false" customHeight="true" outlineLevel="0" collapsed="false">
      <c r="A643" s="16"/>
      <c r="B643" s="17"/>
      <c r="C643" s="18"/>
      <c r="D643" s="18"/>
      <c r="E643" s="19"/>
      <c r="F643" s="20" t="n">
        <f aca="false">IF($C643=0,0,$C643-$D643)</f>
        <v>0</v>
      </c>
      <c r="G643" s="20" t="n">
        <f aca="false">IF($F643=0,0,$F643*$E643)</f>
        <v>0</v>
      </c>
      <c r="H643" s="20" t="n">
        <f aca="false">$F643-$G643</f>
        <v>0</v>
      </c>
      <c r="I643" s="16"/>
    </row>
    <row r="644" customFormat="false" ht="15" hidden="false" customHeight="true" outlineLevel="0" collapsed="false">
      <c r="A644" s="16"/>
      <c r="B644" s="17"/>
      <c r="C644" s="18"/>
      <c r="D644" s="18"/>
      <c r="E644" s="19"/>
      <c r="F644" s="20" t="n">
        <f aca="false">IF($C644=0,0,$C644-$D644)</f>
        <v>0</v>
      </c>
      <c r="G644" s="20" t="n">
        <f aca="false">IF($F644=0,0,$F644*$E644)</f>
        <v>0</v>
      </c>
      <c r="H644" s="20" t="n">
        <f aca="false">$F644-$G644</f>
        <v>0</v>
      </c>
      <c r="I644" s="16"/>
    </row>
    <row r="645" customFormat="false" ht="15" hidden="false" customHeight="true" outlineLevel="0" collapsed="false">
      <c r="A645" s="16"/>
      <c r="B645" s="17"/>
      <c r="C645" s="18"/>
      <c r="D645" s="18"/>
      <c r="E645" s="19"/>
      <c r="F645" s="20" t="n">
        <f aca="false">IF($C645=0,0,$C645-$D645)</f>
        <v>0</v>
      </c>
      <c r="G645" s="20" t="n">
        <f aca="false">IF($F645=0,0,$F645*$E645)</f>
        <v>0</v>
      </c>
      <c r="H645" s="20" t="n">
        <f aca="false">$F645-$G645</f>
        <v>0</v>
      </c>
      <c r="I645" s="16"/>
    </row>
    <row r="646" customFormat="false" ht="15" hidden="false" customHeight="true" outlineLevel="0" collapsed="false">
      <c r="A646" s="16"/>
      <c r="B646" s="17"/>
      <c r="C646" s="18"/>
      <c r="D646" s="18"/>
      <c r="E646" s="19"/>
      <c r="F646" s="20" t="n">
        <f aca="false">IF($C646=0,0,$C646-$D646)</f>
        <v>0</v>
      </c>
      <c r="G646" s="20" t="n">
        <f aca="false">IF($F646=0,0,$F646*$E646)</f>
        <v>0</v>
      </c>
      <c r="H646" s="20" t="n">
        <f aca="false">$F646-$G646</f>
        <v>0</v>
      </c>
      <c r="I646" s="16"/>
    </row>
    <row r="647" customFormat="false" ht="15" hidden="false" customHeight="true" outlineLevel="0" collapsed="false">
      <c r="A647" s="16"/>
      <c r="B647" s="17"/>
      <c r="C647" s="18"/>
      <c r="D647" s="18"/>
      <c r="E647" s="19"/>
      <c r="F647" s="20" t="n">
        <f aca="false">IF($C647=0,0,$C647-$D647)</f>
        <v>0</v>
      </c>
      <c r="G647" s="20" t="n">
        <f aca="false">IF($F647=0,0,$F647*$E647)</f>
        <v>0</v>
      </c>
      <c r="H647" s="20" t="n">
        <f aca="false">$F647-$G647</f>
        <v>0</v>
      </c>
      <c r="I647" s="16"/>
    </row>
    <row r="648" customFormat="false" ht="15" hidden="false" customHeight="true" outlineLevel="0" collapsed="false">
      <c r="A648" s="16"/>
      <c r="B648" s="17"/>
      <c r="C648" s="18"/>
      <c r="D648" s="18"/>
      <c r="E648" s="19"/>
      <c r="F648" s="20" t="n">
        <f aca="false">IF($C648=0,0,$C648-$D648)</f>
        <v>0</v>
      </c>
      <c r="G648" s="20" t="n">
        <f aca="false">IF($F648=0,0,$F648*$E648)</f>
        <v>0</v>
      </c>
      <c r="H648" s="20" t="n">
        <f aca="false">$F648-$G648</f>
        <v>0</v>
      </c>
      <c r="I648" s="16"/>
    </row>
    <row r="649" customFormat="false" ht="15" hidden="false" customHeight="true" outlineLevel="0" collapsed="false">
      <c r="A649" s="16"/>
      <c r="B649" s="17"/>
      <c r="C649" s="18"/>
      <c r="D649" s="18"/>
      <c r="E649" s="19"/>
      <c r="F649" s="20" t="n">
        <f aca="false">IF($C649=0,0,$C649-$D649)</f>
        <v>0</v>
      </c>
      <c r="G649" s="20" t="n">
        <f aca="false">IF($F649=0,0,$F649*$E649)</f>
        <v>0</v>
      </c>
      <c r="H649" s="20" t="n">
        <f aca="false">$F649-$G649</f>
        <v>0</v>
      </c>
      <c r="I649" s="16"/>
    </row>
    <row r="650" customFormat="false" ht="15" hidden="false" customHeight="true" outlineLevel="0" collapsed="false">
      <c r="A650" s="16"/>
      <c r="B650" s="17"/>
      <c r="C650" s="18"/>
      <c r="D650" s="18"/>
      <c r="E650" s="19"/>
      <c r="F650" s="20" t="n">
        <f aca="false">IF($C650=0,0,$C650-$D650)</f>
        <v>0</v>
      </c>
      <c r="G650" s="20" t="n">
        <f aca="false">IF($F650=0,0,$F650*$E650)</f>
        <v>0</v>
      </c>
      <c r="H650" s="20" t="n">
        <f aca="false">$F650-$G650</f>
        <v>0</v>
      </c>
      <c r="I650" s="16"/>
    </row>
    <row r="651" customFormat="false" ht="15" hidden="false" customHeight="true" outlineLevel="0" collapsed="false">
      <c r="A651" s="16"/>
      <c r="B651" s="17"/>
      <c r="C651" s="18"/>
      <c r="D651" s="18"/>
      <c r="E651" s="19"/>
      <c r="F651" s="20" t="n">
        <f aca="false">IF($C651=0,0,$C651-$D651)</f>
        <v>0</v>
      </c>
      <c r="G651" s="20" t="n">
        <f aca="false">IF($F651=0,0,$F651*$E651)</f>
        <v>0</v>
      </c>
      <c r="H651" s="20" t="n">
        <f aca="false">$F651-$G651</f>
        <v>0</v>
      </c>
      <c r="I651" s="16"/>
    </row>
    <row r="652" customFormat="false" ht="15" hidden="false" customHeight="true" outlineLevel="0" collapsed="false">
      <c r="A652" s="16"/>
      <c r="B652" s="17"/>
      <c r="C652" s="18"/>
      <c r="D652" s="18"/>
      <c r="E652" s="19"/>
      <c r="F652" s="20" t="n">
        <f aca="false">IF($C652=0,0,$C652-$D652)</f>
        <v>0</v>
      </c>
      <c r="G652" s="20" t="n">
        <f aca="false">IF($F652=0,0,$F652*$E652)</f>
        <v>0</v>
      </c>
      <c r="H652" s="20" t="n">
        <f aca="false">$F652-$G652</f>
        <v>0</v>
      </c>
      <c r="I652" s="16"/>
    </row>
    <row r="653" customFormat="false" ht="15" hidden="false" customHeight="true" outlineLevel="0" collapsed="false">
      <c r="A653" s="16"/>
      <c r="B653" s="17"/>
      <c r="C653" s="18"/>
      <c r="D653" s="18"/>
      <c r="E653" s="19"/>
      <c r="F653" s="20" t="n">
        <f aca="false">IF($C653=0,0,$C653-$D653)</f>
        <v>0</v>
      </c>
      <c r="G653" s="20" t="n">
        <f aca="false">IF($F653=0,0,$F653*$E653)</f>
        <v>0</v>
      </c>
      <c r="H653" s="20" t="n">
        <f aca="false">$F653-$G653</f>
        <v>0</v>
      </c>
      <c r="I653" s="16"/>
    </row>
    <row r="654" customFormat="false" ht="15" hidden="false" customHeight="true" outlineLevel="0" collapsed="false">
      <c r="A654" s="16"/>
      <c r="B654" s="17"/>
      <c r="C654" s="18"/>
      <c r="D654" s="18"/>
      <c r="E654" s="19"/>
      <c r="F654" s="20" t="n">
        <f aca="false">IF($C654=0,0,$C654-$D654)</f>
        <v>0</v>
      </c>
      <c r="G654" s="20" t="n">
        <f aca="false">IF($F654=0,0,$F654*$E654)</f>
        <v>0</v>
      </c>
      <c r="H654" s="20" t="n">
        <f aca="false">$F654-$G654</f>
        <v>0</v>
      </c>
      <c r="I654" s="16"/>
    </row>
    <row r="655" customFormat="false" ht="15" hidden="false" customHeight="true" outlineLevel="0" collapsed="false">
      <c r="A655" s="16"/>
      <c r="B655" s="17"/>
      <c r="C655" s="18"/>
      <c r="D655" s="18"/>
      <c r="E655" s="19"/>
      <c r="F655" s="20" t="n">
        <f aca="false">IF($C655=0,0,$C655-$D655)</f>
        <v>0</v>
      </c>
      <c r="G655" s="20" t="n">
        <f aca="false">IF($F655=0,0,$F655*$E655)</f>
        <v>0</v>
      </c>
      <c r="H655" s="20" t="n">
        <f aca="false">$F655-$G655</f>
        <v>0</v>
      </c>
      <c r="I655" s="16"/>
    </row>
    <row r="656" customFormat="false" ht="15" hidden="false" customHeight="true" outlineLevel="0" collapsed="false">
      <c r="A656" s="16"/>
      <c r="B656" s="17"/>
      <c r="C656" s="18"/>
      <c r="D656" s="18"/>
      <c r="E656" s="19"/>
      <c r="F656" s="20" t="n">
        <f aca="false">IF($C656=0,0,$C656-$D656)</f>
        <v>0</v>
      </c>
      <c r="G656" s="20" t="n">
        <f aca="false">IF($F656=0,0,$F656*$E656)</f>
        <v>0</v>
      </c>
      <c r="H656" s="20" t="n">
        <f aca="false">$F656-$G656</f>
        <v>0</v>
      </c>
      <c r="I656" s="16"/>
    </row>
    <row r="657" customFormat="false" ht="15" hidden="false" customHeight="true" outlineLevel="0" collapsed="false">
      <c r="A657" s="16"/>
      <c r="B657" s="17"/>
      <c r="C657" s="18"/>
      <c r="D657" s="18"/>
      <c r="E657" s="19"/>
      <c r="F657" s="20" t="n">
        <f aca="false">IF($C657=0,0,$C657-$D657)</f>
        <v>0</v>
      </c>
      <c r="G657" s="20" t="n">
        <f aca="false">IF($F657=0,0,$F657*$E657)</f>
        <v>0</v>
      </c>
      <c r="H657" s="20" t="n">
        <f aca="false">$F657-$G657</f>
        <v>0</v>
      </c>
      <c r="I657" s="16"/>
    </row>
    <row r="658" customFormat="false" ht="15" hidden="false" customHeight="true" outlineLevel="0" collapsed="false">
      <c r="A658" s="16"/>
      <c r="B658" s="17"/>
      <c r="C658" s="18"/>
      <c r="D658" s="18"/>
      <c r="E658" s="19"/>
      <c r="F658" s="20" t="n">
        <f aca="false">IF($C658=0,0,$C658-$D658)</f>
        <v>0</v>
      </c>
      <c r="G658" s="20" t="n">
        <f aca="false">IF($F658=0,0,$F658*$E658)</f>
        <v>0</v>
      </c>
      <c r="H658" s="20" t="n">
        <f aca="false">$F658-$G658</f>
        <v>0</v>
      </c>
      <c r="I658" s="16"/>
    </row>
    <row r="659" customFormat="false" ht="15" hidden="false" customHeight="true" outlineLevel="0" collapsed="false">
      <c r="A659" s="16"/>
      <c r="B659" s="17"/>
      <c r="C659" s="18"/>
      <c r="D659" s="18"/>
      <c r="E659" s="19"/>
      <c r="F659" s="20" t="n">
        <f aca="false">IF($C659=0,0,$C659-$D659)</f>
        <v>0</v>
      </c>
      <c r="G659" s="20" t="n">
        <f aca="false">IF($F659=0,0,$F659*$E659)</f>
        <v>0</v>
      </c>
      <c r="H659" s="20" t="n">
        <f aca="false">$F659-$G659</f>
        <v>0</v>
      </c>
      <c r="I659" s="16"/>
    </row>
    <row r="660" customFormat="false" ht="15" hidden="false" customHeight="true" outlineLevel="0" collapsed="false">
      <c r="A660" s="16"/>
      <c r="B660" s="17"/>
      <c r="C660" s="18"/>
      <c r="D660" s="18"/>
      <c r="E660" s="19"/>
      <c r="F660" s="20" t="n">
        <f aca="false">IF($C660=0,0,$C660-$D660)</f>
        <v>0</v>
      </c>
      <c r="G660" s="20" t="n">
        <f aca="false">IF($F660=0,0,$F660*$E660)</f>
        <v>0</v>
      </c>
      <c r="H660" s="20" t="n">
        <f aca="false">$F660-$G660</f>
        <v>0</v>
      </c>
      <c r="I660" s="16"/>
    </row>
    <row r="661" customFormat="false" ht="15" hidden="false" customHeight="true" outlineLevel="0" collapsed="false">
      <c r="A661" s="16"/>
      <c r="B661" s="17"/>
      <c r="C661" s="18"/>
      <c r="D661" s="18"/>
      <c r="E661" s="19"/>
      <c r="F661" s="20" t="n">
        <f aca="false">IF($C661=0,0,$C661-$D661)</f>
        <v>0</v>
      </c>
      <c r="G661" s="20" t="n">
        <f aca="false">IF($F661=0,0,$F661*$E661)</f>
        <v>0</v>
      </c>
      <c r="H661" s="20" t="n">
        <f aca="false">$F661-$G661</f>
        <v>0</v>
      </c>
      <c r="I661" s="16"/>
    </row>
    <row r="662" customFormat="false" ht="15" hidden="false" customHeight="true" outlineLevel="0" collapsed="false">
      <c r="A662" s="16"/>
      <c r="B662" s="17"/>
      <c r="C662" s="18"/>
      <c r="D662" s="18"/>
      <c r="E662" s="19"/>
      <c r="F662" s="20" t="n">
        <f aca="false">IF($C662=0,0,$C662-$D662)</f>
        <v>0</v>
      </c>
      <c r="G662" s="20" t="n">
        <f aca="false">IF($F662=0,0,$F662*$E662)</f>
        <v>0</v>
      </c>
      <c r="H662" s="20" t="n">
        <f aca="false">$F662-$G662</f>
        <v>0</v>
      </c>
      <c r="I662" s="16"/>
    </row>
    <row r="663" customFormat="false" ht="15" hidden="false" customHeight="true" outlineLevel="0" collapsed="false">
      <c r="A663" s="16"/>
      <c r="B663" s="17"/>
      <c r="C663" s="18"/>
      <c r="D663" s="18"/>
      <c r="E663" s="19"/>
      <c r="F663" s="20" t="n">
        <f aca="false">IF($C663=0,0,$C663-$D663)</f>
        <v>0</v>
      </c>
      <c r="G663" s="20" t="n">
        <f aca="false">IF($F663=0,0,$F663*$E663)</f>
        <v>0</v>
      </c>
      <c r="H663" s="20" t="n">
        <f aca="false">$F663-$G663</f>
        <v>0</v>
      </c>
      <c r="I663" s="16"/>
    </row>
    <row r="664" customFormat="false" ht="15" hidden="false" customHeight="true" outlineLevel="0" collapsed="false">
      <c r="A664" s="16"/>
      <c r="B664" s="17"/>
      <c r="C664" s="18"/>
      <c r="D664" s="18"/>
      <c r="E664" s="19"/>
      <c r="F664" s="20" t="n">
        <f aca="false">IF($C664=0,0,$C664-$D664)</f>
        <v>0</v>
      </c>
      <c r="G664" s="20" t="n">
        <f aca="false">IF($F664=0,0,$F664*$E664)</f>
        <v>0</v>
      </c>
      <c r="H664" s="20" t="n">
        <f aca="false">$F664-$G664</f>
        <v>0</v>
      </c>
      <c r="I664" s="16"/>
    </row>
    <row r="665" customFormat="false" ht="15" hidden="false" customHeight="true" outlineLevel="0" collapsed="false">
      <c r="A665" s="16"/>
      <c r="B665" s="17"/>
      <c r="C665" s="18"/>
      <c r="D665" s="18"/>
      <c r="E665" s="19"/>
      <c r="F665" s="20" t="n">
        <f aca="false">IF($C665=0,0,$C665-$D665)</f>
        <v>0</v>
      </c>
      <c r="G665" s="20" t="n">
        <f aca="false">IF($F665=0,0,$F665*$E665)</f>
        <v>0</v>
      </c>
      <c r="H665" s="20" t="n">
        <f aca="false">$F665-$G665</f>
        <v>0</v>
      </c>
      <c r="I665" s="16"/>
    </row>
    <row r="666" customFormat="false" ht="15" hidden="false" customHeight="true" outlineLevel="0" collapsed="false">
      <c r="A666" s="16"/>
      <c r="B666" s="17"/>
      <c r="C666" s="18"/>
      <c r="D666" s="18"/>
      <c r="E666" s="19"/>
      <c r="F666" s="20" t="n">
        <f aca="false">IF($C666=0,0,$C666-$D666)</f>
        <v>0</v>
      </c>
      <c r="G666" s="20" t="n">
        <f aca="false">IF($F666=0,0,$F666*$E666)</f>
        <v>0</v>
      </c>
      <c r="H666" s="20" t="n">
        <f aca="false">$F666-$G666</f>
        <v>0</v>
      </c>
      <c r="I666" s="16"/>
    </row>
    <row r="667" customFormat="false" ht="15" hidden="false" customHeight="true" outlineLevel="0" collapsed="false">
      <c r="A667" s="16"/>
      <c r="B667" s="17"/>
      <c r="C667" s="18"/>
      <c r="D667" s="18"/>
      <c r="E667" s="19"/>
      <c r="F667" s="20" t="n">
        <f aca="false">IF($C667=0,0,$C667-$D667)</f>
        <v>0</v>
      </c>
      <c r="G667" s="20" t="n">
        <f aca="false">IF($F667=0,0,$F667*$E667)</f>
        <v>0</v>
      </c>
      <c r="H667" s="20" t="n">
        <f aca="false">$F667-$G667</f>
        <v>0</v>
      </c>
      <c r="I667" s="16"/>
    </row>
    <row r="668" customFormat="false" ht="15" hidden="false" customHeight="true" outlineLevel="0" collapsed="false">
      <c r="A668" s="16"/>
      <c r="B668" s="17"/>
      <c r="C668" s="18"/>
      <c r="D668" s="18"/>
      <c r="E668" s="19"/>
      <c r="F668" s="20" t="n">
        <f aca="false">IF($C668=0,0,$C668-$D668)</f>
        <v>0</v>
      </c>
      <c r="G668" s="20" t="n">
        <f aca="false">IF($F668=0,0,$F668*$E668)</f>
        <v>0</v>
      </c>
      <c r="H668" s="20" t="n">
        <f aca="false">$F668-$G668</f>
        <v>0</v>
      </c>
      <c r="I668" s="16"/>
    </row>
    <row r="669" customFormat="false" ht="15" hidden="false" customHeight="true" outlineLevel="0" collapsed="false">
      <c r="A669" s="16"/>
      <c r="B669" s="17"/>
      <c r="C669" s="18"/>
      <c r="D669" s="18"/>
      <c r="E669" s="19"/>
      <c r="F669" s="20" t="n">
        <f aca="false">IF($C669=0,0,$C669-$D669)</f>
        <v>0</v>
      </c>
      <c r="G669" s="20" t="n">
        <f aca="false">IF($F669=0,0,$F669*$E669)</f>
        <v>0</v>
      </c>
      <c r="H669" s="20" t="n">
        <f aca="false">$F669-$G669</f>
        <v>0</v>
      </c>
      <c r="I669" s="16"/>
    </row>
    <row r="670" customFormat="false" ht="15" hidden="false" customHeight="true" outlineLevel="0" collapsed="false">
      <c r="A670" s="16"/>
      <c r="B670" s="17"/>
      <c r="C670" s="18"/>
      <c r="D670" s="18"/>
      <c r="E670" s="19"/>
      <c r="F670" s="20" t="n">
        <f aca="false">IF($C670=0,0,$C670-$D670)</f>
        <v>0</v>
      </c>
      <c r="G670" s="20" t="n">
        <f aca="false">IF($F670=0,0,$F670*$E670)</f>
        <v>0</v>
      </c>
      <c r="H670" s="20" t="n">
        <f aca="false">$F670-$G670</f>
        <v>0</v>
      </c>
      <c r="I670" s="16"/>
    </row>
    <row r="671" customFormat="false" ht="15" hidden="false" customHeight="true" outlineLevel="0" collapsed="false">
      <c r="A671" s="16"/>
      <c r="B671" s="17"/>
      <c r="C671" s="18"/>
      <c r="D671" s="18"/>
      <c r="E671" s="19"/>
      <c r="F671" s="20" t="n">
        <f aca="false">IF($C671=0,0,$C671-$D671)</f>
        <v>0</v>
      </c>
      <c r="G671" s="20" t="n">
        <f aca="false">IF($F671=0,0,$F671*$E671)</f>
        <v>0</v>
      </c>
      <c r="H671" s="20" t="n">
        <f aca="false">$F671-$G671</f>
        <v>0</v>
      </c>
      <c r="I671" s="16"/>
    </row>
    <row r="672" customFormat="false" ht="15" hidden="false" customHeight="true" outlineLevel="0" collapsed="false">
      <c r="A672" s="16"/>
      <c r="B672" s="17"/>
      <c r="C672" s="18"/>
      <c r="D672" s="18"/>
      <c r="E672" s="19"/>
      <c r="F672" s="20" t="n">
        <f aca="false">IF($C672=0,0,$C672-$D672)</f>
        <v>0</v>
      </c>
      <c r="G672" s="20" t="n">
        <f aca="false">IF($F672=0,0,$F672*$E672)</f>
        <v>0</v>
      </c>
      <c r="H672" s="20" t="n">
        <f aca="false">$F672-$G672</f>
        <v>0</v>
      </c>
      <c r="I672" s="16"/>
    </row>
    <row r="673" customFormat="false" ht="15" hidden="false" customHeight="true" outlineLevel="0" collapsed="false">
      <c r="A673" s="16"/>
      <c r="B673" s="17"/>
      <c r="C673" s="18"/>
      <c r="D673" s="18"/>
      <c r="E673" s="19"/>
      <c r="F673" s="20" t="n">
        <f aca="false">IF($C673=0,0,$C673-$D673)</f>
        <v>0</v>
      </c>
      <c r="G673" s="20" t="n">
        <f aca="false">IF($F673=0,0,$F673*$E673)</f>
        <v>0</v>
      </c>
      <c r="H673" s="20" t="n">
        <f aca="false">$F673-$G673</f>
        <v>0</v>
      </c>
      <c r="I673" s="16"/>
    </row>
    <row r="674" customFormat="false" ht="15" hidden="false" customHeight="true" outlineLevel="0" collapsed="false">
      <c r="A674" s="16"/>
      <c r="B674" s="17"/>
      <c r="C674" s="18"/>
      <c r="D674" s="18"/>
      <c r="E674" s="19"/>
      <c r="F674" s="20" t="n">
        <f aca="false">IF($C674=0,0,$C674-$D674)</f>
        <v>0</v>
      </c>
      <c r="G674" s="20" t="n">
        <f aca="false">IF($F674=0,0,$F674*$E674)</f>
        <v>0</v>
      </c>
      <c r="H674" s="20" t="n">
        <f aca="false">$F674-$G674</f>
        <v>0</v>
      </c>
      <c r="I674" s="16"/>
    </row>
    <row r="675" customFormat="false" ht="15" hidden="false" customHeight="true" outlineLevel="0" collapsed="false">
      <c r="A675" s="16"/>
      <c r="B675" s="17"/>
      <c r="C675" s="18"/>
      <c r="D675" s="18"/>
      <c r="E675" s="19"/>
      <c r="F675" s="20" t="n">
        <f aca="false">IF($C675=0,0,$C675-$D675)</f>
        <v>0</v>
      </c>
      <c r="G675" s="20" t="n">
        <f aca="false">IF($F675=0,0,$F675*$E675)</f>
        <v>0</v>
      </c>
      <c r="H675" s="20" t="n">
        <f aca="false">$F675-$G675</f>
        <v>0</v>
      </c>
      <c r="I675" s="16"/>
    </row>
    <row r="676" customFormat="false" ht="15" hidden="false" customHeight="true" outlineLevel="0" collapsed="false">
      <c r="A676" s="16"/>
      <c r="B676" s="17"/>
      <c r="C676" s="18"/>
      <c r="D676" s="18"/>
      <c r="E676" s="19"/>
      <c r="F676" s="20" t="n">
        <f aca="false">IF($C676=0,0,$C676-$D676)</f>
        <v>0</v>
      </c>
      <c r="G676" s="20" t="n">
        <f aca="false">IF($F676=0,0,$F676*$E676)</f>
        <v>0</v>
      </c>
      <c r="H676" s="20" t="n">
        <f aca="false">$F676-$G676</f>
        <v>0</v>
      </c>
      <c r="I676" s="16"/>
    </row>
    <row r="677" customFormat="false" ht="15" hidden="false" customHeight="true" outlineLevel="0" collapsed="false">
      <c r="A677" s="16"/>
      <c r="B677" s="17"/>
      <c r="C677" s="18"/>
      <c r="D677" s="18"/>
      <c r="E677" s="19"/>
      <c r="F677" s="20" t="n">
        <f aca="false">IF($C677=0,0,$C677-$D677)</f>
        <v>0</v>
      </c>
      <c r="G677" s="20" t="n">
        <f aca="false">IF($F677=0,0,$F677*$E677)</f>
        <v>0</v>
      </c>
      <c r="H677" s="20" t="n">
        <f aca="false">$F677-$G677</f>
        <v>0</v>
      </c>
      <c r="I677" s="16"/>
    </row>
    <row r="678" customFormat="false" ht="15" hidden="false" customHeight="true" outlineLevel="0" collapsed="false">
      <c r="A678" s="16"/>
      <c r="B678" s="17"/>
      <c r="C678" s="18"/>
      <c r="D678" s="18"/>
      <c r="E678" s="19"/>
      <c r="F678" s="20" t="n">
        <f aca="false">IF($C678=0,0,$C678-$D678)</f>
        <v>0</v>
      </c>
      <c r="G678" s="20" t="n">
        <f aca="false">IF($F678=0,0,$F678*$E678)</f>
        <v>0</v>
      </c>
      <c r="H678" s="20" t="n">
        <f aca="false">$F678-$G678</f>
        <v>0</v>
      </c>
      <c r="I678" s="16"/>
    </row>
    <row r="679" customFormat="false" ht="15" hidden="false" customHeight="true" outlineLevel="0" collapsed="false">
      <c r="A679" s="16"/>
      <c r="B679" s="17"/>
      <c r="C679" s="18"/>
      <c r="D679" s="18"/>
      <c r="E679" s="19"/>
      <c r="F679" s="20" t="n">
        <f aca="false">IF($C679=0,0,$C679-$D679)</f>
        <v>0</v>
      </c>
      <c r="G679" s="20" t="n">
        <f aca="false">IF($F679=0,0,$F679*$E679)</f>
        <v>0</v>
      </c>
      <c r="H679" s="20" t="n">
        <f aca="false">$F679-$G679</f>
        <v>0</v>
      </c>
      <c r="I679" s="16"/>
    </row>
    <row r="680" customFormat="false" ht="15" hidden="false" customHeight="true" outlineLevel="0" collapsed="false">
      <c r="A680" s="16"/>
      <c r="B680" s="17"/>
      <c r="C680" s="18"/>
      <c r="D680" s="18"/>
      <c r="E680" s="19"/>
      <c r="F680" s="20" t="n">
        <f aca="false">IF($C680=0,0,$C680-$D680)</f>
        <v>0</v>
      </c>
      <c r="G680" s="20" t="n">
        <f aca="false">IF($F680=0,0,$F680*$E680)</f>
        <v>0</v>
      </c>
      <c r="H680" s="20" t="n">
        <f aca="false">$F680-$G680</f>
        <v>0</v>
      </c>
      <c r="I680" s="16"/>
    </row>
    <row r="681" customFormat="false" ht="15" hidden="false" customHeight="true" outlineLevel="0" collapsed="false">
      <c r="A681" s="16"/>
      <c r="B681" s="17"/>
      <c r="C681" s="18"/>
      <c r="D681" s="18"/>
      <c r="E681" s="19"/>
      <c r="F681" s="20" t="n">
        <f aca="false">IF($C681=0,0,$C681-$D681)</f>
        <v>0</v>
      </c>
      <c r="G681" s="20" t="n">
        <f aca="false">IF($F681=0,0,$F681*$E681)</f>
        <v>0</v>
      </c>
      <c r="H681" s="20" t="n">
        <f aca="false">$F681-$G681</f>
        <v>0</v>
      </c>
      <c r="I681" s="16"/>
    </row>
    <row r="682" customFormat="false" ht="15" hidden="false" customHeight="true" outlineLevel="0" collapsed="false">
      <c r="A682" s="16"/>
      <c r="B682" s="17"/>
      <c r="C682" s="18"/>
      <c r="D682" s="18"/>
      <c r="E682" s="19"/>
      <c r="F682" s="20" t="n">
        <f aca="false">IF($C682=0,0,$C682-$D682)</f>
        <v>0</v>
      </c>
      <c r="G682" s="20" t="n">
        <f aca="false">IF($F682=0,0,$F682*$E682)</f>
        <v>0</v>
      </c>
      <c r="H682" s="20" t="n">
        <f aca="false">$F682-$G682</f>
        <v>0</v>
      </c>
      <c r="I682" s="16"/>
    </row>
    <row r="683" customFormat="false" ht="15" hidden="false" customHeight="true" outlineLevel="0" collapsed="false">
      <c r="A683" s="16"/>
      <c r="B683" s="17"/>
      <c r="C683" s="18"/>
      <c r="D683" s="18"/>
      <c r="E683" s="19"/>
      <c r="F683" s="20" t="n">
        <f aca="false">IF($C683=0,0,$C683-$D683)</f>
        <v>0</v>
      </c>
      <c r="G683" s="20" t="n">
        <f aca="false">IF($F683=0,0,$F683*$E683)</f>
        <v>0</v>
      </c>
      <c r="H683" s="20" t="n">
        <f aca="false">$F683-$G683</f>
        <v>0</v>
      </c>
      <c r="I683" s="16"/>
    </row>
    <row r="684" customFormat="false" ht="15" hidden="false" customHeight="true" outlineLevel="0" collapsed="false">
      <c r="A684" s="16"/>
      <c r="B684" s="17"/>
      <c r="C684" s="18"/>
      <c r="D684" s="18"/>
      <c r="E684" s="19"/>
      <c r="F684" s="20" t="n">
        <f aca="false">IF($C684=0,0,$C684-$D684)</f>
        <v>0</v>
      </c>
      <c r="G684" s="20" t="n">
        <f aca="false">IF($F684=0,0,$F684*$E684)</f>
        <v>0</v>
      </c>
      <c r="H684" s="20" t="n">
        <f aca="false">$F684-$G684</f>
        <v>0</v>
      </c>
      <c r="I684" s="16"/>
    </row>
    <row r="685" customFormat="false" ht="15" hidden="false" customHeight="true" outlineLevel="0" collapsed="false">
      <c r="A685" s="16"/>
      <c r="B685" s="17"/>
      <c r="C685" s="18"/>
      <c r="D685" s="18"/>
      <c r="E685" s="19"/>
      <c r="F685" s="20" t="n">
        <f aca="false">IF($C685=0,0,$C685-$D685)</f>
        <v>0</v>
      </c>
      <c r="G685" s="20" t="n">
        <f aca="false">IF($F685=0,0,$F685*$E685)</f>
        <v>0</v>
      </c>
      <c r="H685" s="20" t="n">
        <f aca="false">$F685-$G685</f>
        <v>0</v>
      </c>
      <c r="I685" s="16"/>
    </row>
    <row r="686" customFormat="false" ht="15" hidden="false" customHeight="true" outlineLevel="0" collapsed="false">
      <c r="A686" s="16"/>
      <c r="B686" s="17"/>
      <c r="C686" s="18"/>
      <c r="D686" s="18"/>
      <c r="E686" s="19"/>
      <c r="F686" s="20" t="n">
        <f aca="false">IF($C686=0,0,$C686-$D686)</f>
        <v>0</v>
      </c>
      <c r="G686" s="20" t="n">
        <f aca="false">IF($F686=0,0,$F686*$E686)</f>
        <v>0</v>
      </c>
      <c r="H686" s="20" t="n">
        <f aca="false">$F686-$G686</f>
        <v>0</v>
      </c>
      <c r="I686" s="16"/>
    </row>
    <row r="687" customFormat="false" ht="15" hidden="false" customHeight="true" outlineLevel="0" collapsed="false">
      <c r="A687" s="16"/>
      <c r="B687" s="17"/>
      <c r="C687" s="18"/>
      <c r="D687" s="18"/>
      <c r="E687" s="19"/>
      <c r="F687" s="20" t="n">
        <f aca="false">IF($C687=0,0,$C687-$D687)</f>
        <v>0</v>
      </c>
      <c r="G687" s="20" t="n">
        <f aca="false">IF($F687=0,0,$F687*$E687)</f>
        <v>0</v>
      </c>
      <c r="H687" s="20" t="n">
        <f aca="false">$F687-$G687</f>
        <v>0</v>
      </c>
      <c r="I687" s="16"/>
    </row>
    <row r="688" customFormat="false" ht="15" hidden="false" customHeight="true" outlineLevel="0" collapsed="false">
      <c r="A688" s="16"/>
      <c r="B688" s="17"/>
      <c r="C688" s="18"/>
      <c r="D688" s="18"/>
      <c r="E688" s="19"/>
      <c r="F688" s="20" t="n">
        <f aca="false">IF($C688=0,0,$C688-$D688)</f>
        <v>0</v>
      </c>
      <c r="G688" s="20" t="n">
        <f aca="false">IF($F688=0,0,$F688*$E688)</f>
        <v>0</v>
      </c>
      <c r="H688" s="20" t="n">
        <f aca="false">$F688-$G688</f>
        <v>0</v>
      </c>
      <c r="I688" s="16"/>
    </row>
    <row r="689" customFormat="false" ht="15" hidden="false" customHeight="true" outlineLevel="0" collapsed="false">
      <c r="A689" s="16"/>
      <c r="B689" s="17"/>
      <c r="C689" s="18"/>
      <c r="D689" s="18"/>
      <c r="E689" s="19"/>
      <c r="F689" s="20" t="n">
        <f aca="false">IF($C689=0,0,$C689-$D689)</f>
        <v>0</v>
      </c>
      <c r="G689" s="20" t="n">
        <f aca="false">IF($F689=0,0,$F689*$E689)</f>
        <v>0</v>
      </c>
      <c r="H689" s="20" t="n">
        <f aca="false">$F689-$G689</f>
        <v>0</v>
      </c>
      <c r="I689" s="16"/>
    </row>
    <row r="690" customFormat="false" ht="15" hidden="false" customHeight="true" outlineLevel="0" collapsed="false">
      <c r="A690" s="16"/>
      <c r="B690" s="17"/>
      <c r="C690" s="18"/>
      <c r="D690" s="18"/>
      <c r="E690" s="19"/>
      <c r="F690" s="20" t="n">
        <f aca="false">IF($C690=0,0,$C690-$D690)</f>
        <v>0</v>
      </c>
      <c r="G690" s="20" t="n">
        <f aca="false">IF($F690=0,0,$F690*$E690)</f>
        <v>0</v>
      </c>
      <c r="H690" s="20" t="n">
        <f aca="false">$F690-$G690</f>
        <v>0</v>
      </c>
      <c r="I690" s="16"/>
    </row>
    <row r="691" customFormat="false" ht="15" hidden="false" customHeight="true" outlineLevel="0" collapsed="false">
      <c r="A691" s="16"/>
      <c r="B691" s="17"/>
      <c r="C691" s="18"/>
      <c r="D691" s="18"/>
      <c r="E691" s="19"/>
      <c r="F691" s="20" t="n">
        <f aca="false">IF($C691=0,0,$C691-$D691)</f>
        <v>0</v>
      </c>
      <c r="G691" s="20" t="n">
        <f aca="false">IF($F691=0,0,$F691*$E691)</f>
        <v>0</v>
      </c>
      <c r="H691" s="20" t="n">
        <f aca="false">$F691-$G691</f>
        <v>0</v>
      </c>
      <c r="I691" s="16"/>
    </row>
    <row r="692" customFormat="false" ht="15" hidden="false" customHeight="true" outlineLevel="0" collapsed="false">
      <c r="A692" s="16"/>
      <c r="B692" s="17"/>
      <c r="C692" s="18"/>
      <c r="D692" s="18"/>
      <c r="E692" s="19"/>
      <c r="F692" s="20" t="n">
        <f aca="false">IF($C692=0,0,$C692-$D692)</f>
        <v>0</v>
      </c>
      <c r="G692" s="20" t="n">
        <f aca="false">IF($F692=0,0,$F692*$E692)</f>
        <v>0</v>
      </c>
      <c r="H692" s="20" t="n">
        <f aca="false">$F692-$G692</f>
        <v>0</v>
      </c>
      <c r="I692" s="16"/>
    </row>
    <row r="693" customFormat="false" ht="15" hidden="false" customHeight="true" outlineLevel="0" collapsed="false">
      <c r="A693" s="16"/>
      <c r="B693" s="17"/>
      <c r="C693" s="18"/>
      <c r="D693" s="18"/>
      <c r="E693" s="19"/>
      <c r="F693" s="20" t="n">
        <f aca="false">IF($C693=0,0,$C693-$D693)</f>
        <v>0</v>
      </c>
      <c r="G693" s="20" t="n">
        <f aca="false">IF($F693=0,0,$F693*$E693)</f>
        <v>0</v>
      </c>
      <c r="H693" s="20" t="n">
        <f aca="false">$F693-$G693</f>
        <v>0</v>
      </c>
      <c r="I693" s="16"/>
    </row>
    <row r="694" customFormat="false" ht="15" hidden="false" customHeight="true" outlineLevel="0" collapsed="false">
      <c r="A694" s="16"/>
      <c r="B694" s="17"/>
      <c r="C694" s="18"/>
      <c r="D694" s="18"/>
      <c r="E694" s="19"/>
      <c r="F694" s="20" t="n">
        <f aca="false">IF($C694=0,0,$C694-$D694)</f>
        <v>0</v>
      </c>
      <c r="G694" s="20" t="n">
        <f aca="false">IF($F694=0,0,$F694*$E694)</f>
        <v>0</v>
      </c>
      <c r="H694" s="20" t="n">
        <f aca="false">$F694-$G694</f>
        <v>0</v>
      </c>
      <c r="I694" s="16"/>
    </row>
    <row r="695" customFormat="false" ht="15" hidden="false" customHeight="true" outlineLevel="0" collapsed="false">
      <c r="A695" s="16"/>
      <c r="B695" s="17"/>
      <c r="C695" s="18"/>
      <c r="D695" s="18"/>
      <c r="E695" s="19"/>
      <c r="F695" s="20" t="n">
        <f aca="false">IF($C695=0,0,$C695-$D695)</f>
        <v>0</v>
      </c>
      <c r="G695" s="20" t="n">
        <f aca="false">IF($F695=0,0,$F695*$E695)</f>
        <v>0</v>
      </c>
      <c r="H695" s="20" t="n">
        <f aca="false">$F695-$G695</f>
        <v>0</v>
      </c>
      <c r="I695" s="16"/>
    </row>
    <row r="696" customFormat="false" ht="15" hidden="false" customHeight="true" outlineLevel="0" collapsed="false">
      <c r="A696" s="16"/>
      <c r="B696" s="17"/>
      <c r="C696" s="18"/>
      <c r="D696" s="18"/>
      <c r="E696" s="19"/>
      <c r="F696" s="20" t="n">
        <f aca="false">IF($C696=0,0,$C696-$D696)</f>
        <v>0</v>
      </c>
      <c r="G696" s="20" t="n">
        <f aca="false">IF($F696=0,0,$F696*$E696)</f>
        <v>0</v>
      </c>
      <c r="H696" s="20" t="n">
        <f aca="false">$F696-$G696</f>
        <v>0</v>
      </c>
      <c r="I696" s="16"/>
    </row>
    <row r="697" customFormat="false" ht="15" hidden="false" customHeight="true" outlineLevel="0" collapsed="false">
      <c r="A697" s="16"/>
      <c r="B697" s="17"/>
      <c r="C697" s="18"/>
      <c r="D697" s="18"/>
      <c r="E697" s="19"/>
      <c r="F697" s="20" t="n">
        <f aca="false">IF($C697=0,0,$C697-$D697)</f>
        <v>0</v>
      </c>
      <c r="G697" s="20" t="n">
        <f aca="false">IF($F697=0,0,$F697*$E697)</f>
        <v>0</v>
      </c>
      <c r="H697" s="20" t="n">
        <f aca="false">$F697-$G697</f>
        <v>0</v>
      </c>
      <c r="I697" s="16"/>
    </row>
    <row r="698" customFormat="false" ht="15" hidden="false" customHeight="true" outlineLevel="0" collapsed="false">
      <c r="A698" s="16"/>
      <c r="B698" s="17"/>
      <c r="C698" s="18"/>
      <c r="D698" s="18"/>
      <c r="E698" s="19"/>
      <c r="F698" s="20" t="n">
        <f aca="false">IF($C698=0,0,$C698-$D698)</f>
        <v>0</v>
      </c>
      <c r="G698" s="20" t="n">
        <f aca="false">IF($F698=0,0,$F698*$E698)</f>
        <v>0</v>
      </c>
      <c r="H698" s="20" t="n">
        <f aca="false">$F698-$G698</f>
        <v>0</v>
      </c>
      <c r="I698" s="16"/>
    </row>
    <row r="699" customFormat="false" ht="15" hidden="false" customHeight="true" outlineLevel="0" collapsed="false">
      <c r="A699" s="16"/>
      <c r="B699" s="17"/>
      <c r="C699" s="18"/>
      <c r="D699" s="18"/>
      <c r="E699" s="19"/>
      <c r="F699" s="20" t="n">
        <f aca="false">IF($C699=0,0,$C699-$D699)</f>
        <v>0</v>
      </c>
      <c r="G699" s="20" t="n">
        <f aca="false">IF($F699=0,0,$F699*$E699)</f>
        <v>0</v>
      </c>
      <c r="H699" s="20" t="n">
        <f aca="false">$F699-$G699</f>
        <v>0</v>
      </c>
      <c r="I699" s="16"/>
    </row>
    <row r="700" customFormat="false" ht="15" hidden="false" customHeight="true" outlineLevel="0" collapsed="false">
      <c r="A700" s="16"/>
      <c r="B700" s="17"/>
      <c r="C700" s="18"/>
      <c r="D700" s="18"/>
      <c r="E700" s="19"/>
      <c r="F700" s="20" t="n">
        <f aca="false">IF($C700=0,0,$C700-$D700)</f>
        <v>0</v>
      </c>
      <c r="G700" s="20" t="n">
        <f aca="false">IF($F700=0,0,$F700*$E700)</f>
        <v>0</v>
      </c>
      <c r="H700" s="20" t="n">
        <f aca="false">$F700-$G700</f>
        <v>0</v>
      </c>
      <c r="I700" s="16"/>
    </row>
    <row r="701" customFormat="false" ht="15" hidden="false" customHeight="true" outlineLevel="0" collapsed="false">
      <c r="A701" s="16"/>
      <c r="B701" s="17"/>
      <c r="C701" s="18"/>
      <c r="D701" s="18"/>
      <c r="E701" s="19"/>
      <c r="F701" s="20" t="n">
        <f aca="false">IF($C701=0,0,$C701-$D701)</f>
        <v>0</v>
      </c>
      <c r="G701" s="20" t="n">
        <f aca="false">IF($F701=0,0,$F701*$E701)</f>
        <v>0</v>
      </c>
      <c r="H701" s="20" t="n">
        <f aca="false">$F701-$G701</f>
        <v>0</v>
      </c>
      <c r="I701" s="16"/>
    </row>
    <row r="702" customFormat="false" ht="15" hidden="false" customHeight="true" outlineLevel="0" collapsed="false">
      <c r="A702" s="16"/>
      <c r="B702" s="17"/>
      <c r="C702" s="18"/>
      <c r="D702" s="18"/>
      <c r="E702" s="19"/>
      <c r="F702" s="20" t="n">
        <f aca="false">IF($C702=0,0,$C702-$D702)</f>
        <v>0</v>
      </c>
      <c r="G702" s="20" t="n">
        <f aca="false">IF($F702=0,0,$F702*$E702)</f>
        <v>0</v>
      </c>
      <c r="H702" s="20" t="n">
        <f aca="false">$F702-$G702</f>
        <v>0</v>
      </c>
      <c r="I702" s="16"/>
    </row>
    <row r="703" customFormat="false" ht="15" hidden="false" customHeight="true" outlineLevel="0" collapsed="false">
      <c r="A703" s="16"/>
      <c r="B703" s="17"/>
      <c r="C703" s="18"/>
      <c r="D703" s="18"/>
      <c r="E703" s="19"/>
      <c r="F703" s="20" t="n">
        <f aca="false">IF($C703=0,0,$C703-$D703)</f>
        <v>0</v>
      </c>
      <c r="G703" s="20" t="n">
        <f aca="false">IF($F703=0,0,$F703*$E703)</f>
        <v>0</v>
      </c>
      <c r="H703" s="20" t="n">
        <f aca="false">$F703-$G703</f>
        <v>0</v>
      </c>
      <c r="I703" s="16"/>
    </row>
    <row r="704" customFormat="false" ht="15" hidden="false" customHeight="true" outlineLevel="0" collapsed="false">
      <c r="A704" s="16"/>
      <c r="B704" s="17"/>
      <c r="C704" s="18"/>
      <c r="D704" s="18"/>
      <c r="E704" s="19"/>
      <c r="F704" s="20" t="n">
        <f aca="false">IF($C704=0,0,$C704-$D704)</f>
        <v>0</v>
      </c>
      <c r="G704" s="20" t="n">
        <f aca="false">IF($F704=0,0,$F704*$E704)</f>
        <v>0</v>
      </c>
      <c r="H704" s="20" t="n">
        <f aca="false">$F704-$G704</f>
        <v>0</v>
      </c>
      <c r="I704" s="16"/>
    </row>
    <row r="705" customFormat="false" ht="15" hidden="false" customHeight="true" outlineLevel="0" collapsed="false">
      <c r="A705" s="16"/>
      <c r="B705" s="17"/>
      <c r="C705" s="18"/>
      <c r="D705" s="18"/>
      <c r="E705" s="19"/>
      <c r="F705" s="20" t="n">
        <f aca="false">IF($C705=0,0,$C705-$D705)</f>
        <v>0</v>
      </c>
      <c r="G705" s="20" t="n">
        <f aca="false">IF($F705=0,0,$F705*$E705)</f>
        <v>0</v>
      </c>
      <c r="H705" s="20" t="n">
        <f aca="false">$F705-$G705</f>
        <v>0</v>
      </c>
      <c r="I705" s="16"/>
    </row>
    <row r="706" customFormat="false" ht="15" hidden="false" customHeight="true" outlineLevel="0" collapsed="false">
      <c r="A706" s="16"/>
      <c r="B706" s="17"/>
      <c r="C706" s="18"/>
      <c r="D706" s="18"/>
      <c r="E706" s="19"/>
      <c r="F706" s="20" t="n">
        <f aca="false">IF($C706=0,0,$C706-$D706)</f>
        <v>0</v>
      </c>
      <c r="G706" s="20" t="n">
        <f aca="false">IF($F706=0,0,$F706*$E706)</f>
        <v>0</v>
      </c>
      <c r="H706" s="20" t="n">
        <f aca="false">$F706-$G706</f>
        <v>0</v>
      </c>
      <c r="I706" s="16"/>
    </row>
    <row r="707" customFormat="false" ht="15" hidden="false" customHeight="true" outlineLevel="0" collapsed="false">
      <c r="A707" s="16"/>
      <c r="B707" s="17"/>
      <c r="C707" s="18"/>
      <c r="D707" s="18"/>
      <c r="E707" s="19"/>
      <c r="F707" s="20" t="n">
        <f aca="false">IF($C707=0,0,$C707-$D707)</f>
        <v>0</v>
      </c>
      <c r="G707" s="20" t="n">
        <f aca="false">IF($F707=0,0,$F707*$E707)</f>
        <v>0</v>
      </c>
      <c r="H707" s="20" t="n">
        <f aca="false">$F707-$G707</f>
        <v>0</v>
      </c>
      <c r="I707" s="16"/>
    </row>
    <row r="708" customFormat="false" ht="15" hidden="false" customHeight="true" outlineLevel="0" collapsed="false">
      <c r="A708" s="16"/>
      <c r="B708" s="17"/>
      <c r="C708" s="18"/>
      <c r="D708" s="18"/>
      <c r="E708" s="19"/>
      <c r="F708" s="20" t="n">
        <f aca="false">IF($C708=0,0,$C708-$D708)</f>
        <v>0</v>
      </c>
      <c r="G708" s="20" t="n">
        <f aca="false">IF($F708=0,0,$F708*$E708)</f>
        <v>0</v>
      </c>
      <c r="H708" s="20" t="n">
        <f aca="false">$F708-$G708</f>
        <v>0</v>
      </c>
      <c r="I708" s="16"/>
    </row>
    <row r="709" customFormat="false" ht="15" hidden="false" customHeight="true" outlineLevel="0" collapsed="false">
      <c r="A709" s="16"/>
      <c r="B709" s="17"/>
      <c r="C709" s="18"/>
      <c r="D709" s="18"/>
      <c r="E709" s="19"/>
      <c r="F709" s="20" t="n">
        <f aca="false">IF($C709=0,0,$C709-$D709)</f>
        <v>0</v>
      </c>
      <c r="G709" s="20" t="n">
        <f aca="false">IF($F709=0,0,$F709*$E709)</f>
        <v>0</v>
      </c>
      <c r="H709" s="20" t="n">
        <f aca="false">$F709-$G709</f>
        <v>0</v>
      </c>
      <c r="I709" s="16"/>
    </row>
    <row r="710" customFormat="false" ht="15" hidden="false" customHeight="true" outlineLevel="0" collapsed="false">
      <c r="A710" s="16"/>
      <c r="B710" s="17"/>
      <c r="C710" s="18"/>
      <c r="D710" s="18"/>
      <c r="E710" s="19"/>
      <c r="F710" s="20" t="n">
        <f aca="false">IF($C710=0,0,$C710-$D710)</f>
        <v>0</v>
      </c>
      <c r="G710" s="20" t="n">
        <f aca="false">IF($F710=0,0,$F710*$E710)</f>
        <v>0</v>
      </c>
      <c r="H710" s="20" t="n">
        <f aca="false">$F710-$G710</f>
        <v>0</v>
      </c>
      <c r="I710" s="16"/>
    </row>
    <row r="711" customFormat="false" ht="15" hidden="false" customHeight="true" outlineLevel="0" collapsed="false">
      <c r="A711" s="16"/>
      <c r="B711" s="17"/>
      <c r="C711" s="18"/>
      <c r="D711" s="18"/>
      <c r="E711" s="19"/>
      <c r="F711" s="20" t="n">
        <f aca="false">IF($C711=0,0,$C711-$D711)</f>
        <v>0</v>
      </c>
      <c r="G711" s="20" t="n">
        <f aca="false">IF($F711=0,0,$F711*$E711)</f>
        <v>0</v>
      </c>
      <c r="H711" s="20" t="n">
        <f aca="false">$F711-$G711</f>
        <v>0</v>
      </c>
      <c r="I711" s="16"/>
    </row>
    <row r="712" customFormat="false" ht="15" hidden="false" customHeight="true" outlineLevel="0" collapsed="false">
      <c r="A712" s="16"/>
      <c r="B712" s="17"/>
      <c r="C712" s="18"/>
      <c r="D712" s="18"/>
      <c r="E712" s="19"/>
      <c r="F712" s="20" t="n">
        <f aca="false">IF($C712=0,0,$C712-$D712)</f>
        <v>0</v>
      </c>
      <c r="G712" s="20" t="n">
        <f aca="false">IF($F712=0,0,$F712*$E712)</f>
        <v>0</v>
      </c>
      <c r="H712" s="20" t="n">
        <f aca="false">$F712-$G712</f>
        <v>0</v>
      </c>
      <c r="I712" s="16"/>
    </row>
    <row r="713" customFormat="false" ht="15" hidden="false" customHeight="true" outlineLevel="0" collapsed="false">
      <c r="A713" s="16"/>
      <c r="B713" s="17"/>
      <c r="C713" s="18"/>
      <c r="D713" s="18"/>
      <c r="E713" s="19"/>
      <c r="F713" s="20" t="n">
        <f aca="false">IF($C713=0,0,$C713-$D713)</f>
        <v>0</v>
      </c>
      <c r="G713" s="20" t="n">
        <f aca="false">IF($F713=0,0,$F713*$E713)</f>
        <v>0</v>
      </c>
      <c r="H713" s="20" t="n">
        <f aca="false">$F713-$G713</f>
        <v>0</v>
      </c>
      <c r="I713" s="16"/>
    </row>
    <row r="714" customFormat="false" ht="15" hidden="false" customHeight="true" outlineLevel="0" collapsed="false">
      <c r="A714" s="16"/>
      <c r="B714" s="17"/>
      <c r="C714" s="18"/>
      <c r="D714" s="18"/>
      <c r="E714" s="19"/>
      <c r="F714" s="20" t="n">
        <f aca="false">IF($C714=0,0,$C714-$D714)</f>
        <v>0</v>
      </c>
      <c r="G714" s="20" t="n">
        <f aca="false">IF($F714=0,0,$F714*$E714)</f>
        <v>0</v>
      </c>
      <c r="H714" s="20" t="n">
        <f aca="false">$F714-$G714</f>
        <v>0</v>
      </c>
      <c r="I714" s="16"/>
    </row>
    <row r="715" customFormat="false" ht="15" hidden="false" customHeight="true" outlineLevel="0" collapsed="false">
      <c r="A715" s="16"/>
      <c r="B715" s="17"/>
      <c r="C715" s="18"/>
      <c r="D715" s="18"/>
      <c r="E715" s="19"/>
      <c r="F715" s="20" t="n">
        <f aca="false">IF($C715=0,0,$C715-$D715)</f>
        <v>0</v>
      </c>
      <c r="G715" s="20" t="n">
        <f aca="false">IF($F715=0,0,$F715*$E715)</f>
        <v>0</v>
      </c>
      <c r="H715" s="20" t="n">
        <f aca="false">$F715-$G715</f>
        <v>0</v>
      </c>
      <c r="I715" s="16"/>
    </row>
    <row r="716" customFormat="false" ht="15" hidden="false" customHeight="true" outlineLevel="0" collapsed="false">
      <c r="A716" s="16"/>
      <c r="B716" s="17"/>
      <c r="C716" s="18"/>
      <c r="D716" s="18"/>
      <c r="E716" s="19"/>
      <c r="F716" s="20" t="n">
        <f aca="false">IF($C716=0,0,$C716-$D716)</f>
        <v>0</v>
      </c>
      <c r="G716" s="20" t="n">
        <f aca="false">IF($F716=0,0,$F716*$E716)</f>
        <v>0</v>
      </c>
      <c r="H716" s="20" t="n">
        <f aca="false">$F716-$G716</f>
        <v>0</v>
      </c>
      <c r="I716" s="16"/>
    </row>
    <row r="717" customFormat="false" ht="15" hidden="false" customHeight="true" outlineLevel="0" collapsed="false">
      <c r="A717" s="16"/>
      <c r="B717" s="17"/>
      <c r="C717" s="18"/>
      <c r="D717" s="18"/>
      <c r="E717" s="19"/>
      <c r="F717" s="20" t="n">
        <f aca="false">IF($C717=0,0,$C717-$D717)</f>
        <v>0</v>
      </c>
      <c r="G717" s="20" t="n">
        <f aca="false">IF($F717=0,0,$F717*$E717)</f>
        <v>0</v>
      </c>
      <c r="H717" s="20" t="n">
        <f aca="false">$F717-$G717</f>
        <v>0</v>
      </c>
      <c r="I717" s="16"/>
    </row>
    <row r="718" customFormat="false" ht="15" hidden="false" customHeight="true" outlineLevel="0" collapsed="false">
      <c r="A718" s="16"/>
      <c r="B718" s="17"/>
      <c r="C718" s="18"/>
      <c r="D718" s="18"/>
      <c r="E718" s="19"/>
      <c r="F718" s="20" t="n">
        <f aca="false">IF($C718=0,0,$C718-$D718)</f>
        <v>0</v>
      </c>
      <c r="G718" s="20" t="n">
        <f aca="false">IF($F718=0,0,$F718*$E718)</f>
        <v>0</v>
      </c>
      <c r="H718" s="20" t="n">
        <f aca="false">$F718-$G718</f>
        <v>0</v>
      </c>
      <c r="I718" s="16"/>
    </row>
    <row r="719" customFormat="false" ht="15" hidden="false" customHeight="true" outlineLevel="0" collapsed="false">
      <c r="A719" s="16"/>
      <c r="B719" s="17"/>
      <c r="C719" s="18"/>
      <c r="D719" s="18"/>
      <c r="E719" s="19"/>
      <c r="F719" s="20" t="n">
        <f aca="false">IF($C719=0,0,$C719-$D719)</f>
        <v>0</v>
      </c>
      <c r="G719" s="20" t="n">
        <f aca="false">IF($F719=0,0,$F719*$E719)</f>
        <v>0</v>
      </c>
      <c r="H719" s="20" t="n">
        <f aca="false">$F719-$G719</f>
        <v>0</v>
      </c>
      <c r="I719" s="16"/>
    </row>
    <row r="720" customFormat="false" ht="15" hidden="false" customHeight="true" outlineLevel="0" collapsed="false">
      <c r="A720" s="16"/>
      <c r="B720" s="17"/>
      <c r="C720" s="18"/>
      <c r="D720" s="18"/>
      <c r="E720" s="19"/>
      <c r="F720" s="20" t="n">
        <f aca="false">IF($C720=0,0,$C720-$D720)</f>
        <v>0</v>
      </c>
      <c r="G720" s="20" t="n">
        <f aca="false">IF($F720=0,0,$F720*$E720)</f>
        <v>0</v>
      </c>
      <c r="H720" s="20" t="n">
        <f aca="false">$F720-$G720</f>
        <v>0</v>
      </c>
      <c r="I720" s="16"/>
    </row>
    <row r="721" customFormat="false" ht="15" hidden="false" customHeight="true" outlineLevel="0" collapsed="false">
      <c r="A721" s="16"/>
      <c r="B721" s="17"/>
      <c r="C721" s="18"/>
      <c r="D721" s="18"/>
      <c r="E721" s="19"/>
      <c r="F721" s="20" t="n">
        <f aca="false">IF($C721=0,0,$C721-$D721)</f>
        <v>0</v>
      </c>
      <c r="G721" s="20" t="n">
        <f aca="false">IF($F721=0,0,$F721*$E721)</f>
        <v>0</v>
      </c>
      <c r="H721" s="20" t="n">
        <f aca="false">$F721-$G721</f>
        <v>0</v>
      </c>
      <c r="I721" s="16"/>
    </row>
    <row r="722" customFormat="false" ht="15" hidden="false" customHeight="true" outlineLevel="0" collapsed="false">
      <c r="A722" s="16"/>
      <c r="B722" s="17"/>
      <c r="C722" s="18"/>
      <c r="D722" s="18"/>
      <c r="E722" s="19"/>
      <c r="F722" s="20" t="n">
        <f aca="false">IF($C722=0,0,$C722-$D722)</f>
        <v>0</v>
      </c>
      <c r="G722" s="20" t="n">
        <f aca="false">IF($F722=0,0,$F722*$E722)</f>
        <v>0</v>
      </c>
      <c r="H722" s="20" t="n">
        <f aca="false">$F722-$G722</f>
        <v>0</v>
      </c>
      <c r="I722" s="16"/>
    </row>
    <row r="723" customFormat="false" ht="15" hidden="false" customHeight="true" outlineLevel="0" collapsed="false">
      <c r="A723" s="16"/>
      <c r="B723" s="17"/>
      <c r="C723" s="18"/>
      <c r="D723" s="18"/>
      <c r="E723" s="19"/>
      <c r="F723" s="20" t="n">
        <f aca="false">IF($C723=0,0,$C723-$D723)</f>
        <v>0</v>
      </c>
      <c r="G723" s="20" t="n">
        <f aca="false">IF($F723=0,0,$F723*$E723)</f>
        <v>0</v>
      </c>
      <c r="H723" s="20" t="n">
        <f aca="false">$F723-$G723</f>
        <v>0</v>
      </c>
      <c r="I723" s="16"/>
    </row>
    <row r="724" customFormat="false" ht="15" hidden="false" customHeight="true" outlineLevel="0" collapsed="false">
      <c r="A724" s="16"/>
      <c r="B724" s="17"/>
      <c r="C724" s="18"/>
      <c r="D724" s="18"/>
      <c r="E724" s="19"/>
      <c r="F724" s="20" t="n">
        <f aca="false">IF($C724=0,0,$C724-$D724)</f>
        <v>0</v>
      </c>
      <c r="G724" s="20" t="n">
        <f aca="false">IF($F724=0,0,$F724*$E724)</f>
        <v>0</v>
      </c>
      <c r="H724" s="20" t="n">
        <f aca="false">$F724-$G724</f>
        <v>0</v>
      </c>
      <c r="I724" s="16"/>
    </row>
    <row r="725" customFormat="false" ht="15" hidden="false" customHeight="true" outlineLevel="0" collapsed="false">
      <c r="A725" s="16"/>
      <c r="B725" s="17"/>
      <c r="C725" s="18"/>
      <c r="D725" s="18"/>
      <c r="E725" s="19"/>
      <c r="F725" s="20" t="n">
        <f aca="false">IF($C725=0,0,$C725-$D725)</f>
        <v>0</v>
      </c>
      <c r="G725" s="20" t="n">
        <f aca="false">IF($F725=0,0,$F725*$E725)</f>
        <v>0</v>
      </c>
      <c r="H725" s="20" t="n">
        <f aca="false">$F725-$G725</f>
        <v>0</v>
      </c>
      <c r="I725" s="16"/>
    </row>
    <row r="726" customFormat="false" ht="15" hidden="false" customHeight="true" outlineLevel="0" collapsed="false">
      <c r="A726" s="16"/>
      <c r="B726" s="17"/>
      <c r="C726" s="18"/>
      <c r="D726" s="18"/>
      <c r="E726" s="19"/>
      <c r="F726" s="20" t="n">
        <f aca="false">IF($C726=0,0,$C726-$D726)</f>
        <v>0</v>
      </c>
      <c r="G726" s="20" t="n">
        <f aca="false">IF($F726=0,0,$F726*$E726)</f>
        <v>0</v>
      </c>
      <c r="H726" s="20" t="n">
        <f aca="false">$F726-$G726</f>
        <v>0</v>
      </c>
      <c r="I726" s="16"/>
    </row>
    <row r="727" customFormat="false" ht="15" hidden="false" customHeight="true" outlineLevel="0" collapsed="false">
      <c r="A727" s="16"/>
      <c r="B727" s="17"/>
      <c r="C727" s="18"/>
      <c r="D727" s="18"/>
      <c r="E727" s="19"/>
      <c r="F727" s="20" t="n">
        <f aca="false">IF($C727=0,0,$C727-$D727)</f>
        <v>0</v>
      </c>
      <c r="G727" s="20" t="n">
        <f aca="false">IF($F727=0,0,$F727*$E727)</f>
        <v>0</v>
      </c>
      <c r="H727" s="20" t="n">
        <f aca="false">$F727-$G727</f>
        <v>0</v>
      </c>
      <c r="I727" s="16"/>
    </row>
    <row r="728" customFormat="false" ht="15" hidden="false" customHeight="true" outlineLevel="0" collapsed="false">
      <c r="A728" s="16"/>
      <c r="B728" s="17"/>
      <c r="C728" s="18"/>
      <c r="D728" s="18"/>
      <c r="E728" s="19"/>
      <c r="F728" s="20" t="n">
        <f aca="false">IF($C728=0,0,$C728-$D728)</f>
        <v>0</v>
      </c>
      <c r="G728" s="20" t="n">
        <f aca="false">IF($F728=0,0,$F728*$E728)</f>
        <v>0</v>
      </c>
      <c r="H728" s="20" t="n">
        <f aca="false">$F728-$G728</f>
        <v>0</v>
      </c>
      <c r="I728" s="16"/>
    </row>
    <row r="729" customFormat="false" ht="15" hidden="false" customHeight="true" outlineLevel="0" collapsed="false">
      <c r="A729" s="16"/>
      <c r="B729" s="17"/>
      <c r="C729" s="18"/>
      <c r="D729" s="18"/>
      <c r="E729" s="19"/>
      <c r="F729" s="20" t="n">
        <f aca="false">IF($C729=0,0,$C729-$D729)</f>
        <v>0</v>
      </c>
      <c r="G729" s="20" t="n">
        <f aca="false">IF($F729=0,0,$F729*$E729)</f>
        <v>0</v>
      </c>
      <c r="H729" s="20" t="n">
        <f aca="false">$F729-$G729</f>
        <v>0</v>
      </c>
      <c r="I729" s="16"/>
    </row>
    <row r="730" customFormat="false" ht="15" hidden="false" customHeight="true" outlineLevel="0" collapsed="false">
      <c r="A730" s="16"/>
      <c r="B730" s="17"/>
      <c r="C730" s="18"/>
      <c r="D730" s="18"/>
      <c r="E730" s="19"/>
      <c r="F730" s="20" t="n">
        <f aca="false">IF($C730=0,0,$C730-$D730)</f>
        <v>0</v>
      </c>
      <c r="G730" s="20" t="n">
        <f aca="false">IF($F730=0,0,$F730*$E730)</f>
        <v>0</v>
      </c>
      <c r="H730" s="20" t="n">
        <f aca="false">$F730-$G730</f>
        <v>0</v>
      </c>
      <c r="I730" s="16"/>
    </row>
    <row r="731" customFormat="false" ht="15" hidden="false" customHeight="true" outlineLevel="0" collapsed="false">
      <c r="A731" s="16"/>
      <c r="B731" s="17"/>
      <c r="C731" s="18"/>
      <c r="D731" s="18"/>
      <c r="E731" s="19"/>
      <c r="F731" s="20" t="n">
        <f aca="false">IF($C731=0,0,$C731-$D731)</f>
        <v>0</v>
      </c>
      <c r="G731" s="20" t="n">
        <f aca="false">IF($F731=0,0,$F731*$E731)</f>
        <v>0</v>
      </c>
      <c r="H731" s="20" t="n">
        <f aca="false">$F731-$G731</f>
        <v>0</v>
      </c>
      <c r="I731" s="16"/>
    </row>
    <row r="732" customFormat="false" ht="15" hidden="false" customHeight="true" outlineLevel="0" collapsed="false">
      <c r="A732" s="16"/>
      <c r="B732" s="17"/>
      <c r="C732" s="18"/>
      <c r="D732" s="18"/>
      <c r="E732" s="19"/>
      <c r="F732" s="20" t="n">
        <f aca="false">IF($C732=0,0,$C732-$D732)</f>
        <v>0</v>
      </c>
      <c r="G732" s="20" t="n">
        <f aca="false">IF($F732=0,0,$F732*$E732)</f>
        <v>0</v>
      </c>
      <c r="H732" s="20" t="n">
        <f aca="false">$F732-$G732</f>
        <v>0</v>
      </c>
      <c r="I732" s="16"/>
    </row>
    <row r="733" customFormat="false" ht="15" hidden="false" customHeight="true" outlineLevel="0" collapsed="false">
      <c r="A733" s="16"/>
      <c r="B733" s="17"/>
      <c r="C733" s="18"/>
      <c r="D733" s="18"/>
      <c r="E733" s="19"/>
      <c r="F733" s="20" t="n">
        <f aca="false">IF($C733=0,0,$C733-$D733)</f>
        <v>0</v>
      </c>
      <c r="G733" s="20" t="n">
        <f aca="false">IF($F733=0,0,$F733*$E733)</f>
        <v>0</v>
      </c>
      <c r="H733" s="20" t="n">
        <f aca="false">$F733-$G733</f>
        <v>0</v>
      </c>
      <c r="I733" s="16"/>
    </row>
    <row r="734" customFormat="false" ht="15" hidden="false" customHeight="true" outlineLevel="0" collapsed="false">
      <c r="A734" s="16"/>
      <c r="B734" s="17"/>
      <c r="C734" s="18"/>
      <c r="D734" s="18"/>
      <c r="E734" s="19"/>
      <c r="F734" s="20" t="n">
        <f aca="false">IF($C734=0,0,$C734-$D734)</f>
        <v>0</v>
      </c>
      <c r="G734" s="20" t="n">
        <f aca="false">IF($F734=0,0,$F734*$E734)</f>
        <v>0</v>
      </c>
      <c r="H734" s="20" t="n">
        <f aca="false">$F734-$G734</f>
        <v>0</v>
      </c>
      <c r="I734" s="16"/>
    </row>
    <row r="735" customFormat="false" ht="15" hidden="false" customHeight="true" outlineLevel="0" collapsed="false">
      <c r="A735" s="16"/>
      <c r="B735" s="17"/>
      <c r="C735" s="18"/>
      <c r="D735" s="18"/>
      <c r="E735" s="19"/>
      <c r="F735" s="20" t="n">
        <f aca="false">IF($C735=0,0,$C735-$D735)</f>
        <v>0</v>
      </c>
      <c r="G735" s="20" t="n">
        <f aca="false">IF($F735=0,0,$F735*$E735)</f>
        <v>0</v>
      </c>
      <c r="H735" s="20" t="n">
        <f aca="false">$F735-$G735</f>
        <v>0</v>
      </c>
      <c r="I735" s="16"/>
    </row>
    <row r="736" customFormat="false" ht="15" hidden="false" customHeight="true" outlineLevel="0" collapsed="false">
      <c r="A736" s="16"/>
      <c r="B736" s="17"/>
      <c r="C736" s="18"/>
      <c r="D736" s="18"/>
      <c r="E736" s="19"/>
      <c r="F736" s="20" t="n">
        <f aca="false">IF($C736=0,0,$C736-$D736)</f>
        <v>0</v>
      </c>
      <c r="G736" s="20" t="n">
        <f aca="false">IF($F736=0,0,$F736*$E736)</f>
        <v>0</v>
      </c>
      <c r="H736" s="20" t="n">
        <f aca="false">$F736-$G736</f>
        <v>0</v>
      </c>
      <c r="I736" s="16"/>
    </row>
    <row r="737" customFormat="false" ht="15" hidden="false" customHeight="true" outlineLevel="0" collapsed="false">
      <c r="A737" s="16"/>
      <c r="B737" s="17"/>
      <c r="C737" s="18"/>
      <c r="D737" s="18"/>
      <c r="E737" s="19"/>
      <c r="F737" s="20" t="n">
        <f aca="false">IF($C737=0,0,$C737-$D737)</f>
        <v>0</v>
      </c>
      <c r="G737" s="20" t="n">
        <f aca="false">IF($F737=0,0,$F737*$E737)</f>
        <v>0</v>
      </c>
      <c r="H737" s="20" t="n">
        <f aca="false">$F737-$G737</f>
        <v>0</v>
      </c>
      <c r="I737" s="16"/>
    </row>
    <row r="738" customFormat="false" ht="15" hidden="false" customHeight="true" outlineLevel="0" collapsed="false">
      <c r="A738" s="16"/>
      <c r="B738" s="17"/>
      <c r="C738" s="18"/>
      <c r="D738" s="18"/>
      <c r="E738" s="19"/>
      <c r="F738" s="20" t="n">
        <f aca="false">IF($C738=0,0,$C738-$D738)</f>
        <v>0</v>
      </c>
      <c r="G738" s="20" t="n">
        <f aca="false">IF($F738=0,0,$F738*$E738)</f>
        <v>0</v>
      </c>
      <c r="H738" s="20" t="n">
        <f aca="false">$F738-$G738</f>
        <v>0</v>
      </c>
      <c r="I738" s="16"/>
    </row>
    <row r="739" customFormat="false" ht="15" hidden="false" customHeight="true" outlineLevel="0" collapsed="false">
      <c r="A739" s="16"/>
      <c r="B739" s="17"/>
      <c r="C739" s="18"/>
      <c r="D739" s="18"/>
      <c r="E739" s="19"/>
      <c r="F739" s="20" t="n">
        <f aca="false">IF($C739=0,0,$C739-$D739)</f>
        <v>0</v>
      </c>
      <c r="G739" s="20" t="n">
        <f aca="false">IF($F739=0,0,$F739*$E739)</f>
        <v>0</v>
      </c>
      <c r="H739" s="20" t="n">
        <f aca="false">$F739-$G739</f>
        <v>0</v>
      </c>
      <c r="I739" s="16"/>
    </row>
    <row r="740" customFormat="false" ht="15" hidden="false" customHeight="true" outlineLevel="0" collapsed="false">
      <c r="A740" s="16"/>
      <c r="B740" s="17"/>
      <c r="C740" s="18"/>
      <c r="D740" s="18"/>
      <c r="E740" s="19"/>
      <c r="F740" s="20" t="n">
        <f aca="false">IF($C740=0,0,$C740-$D740)</f>
        <v>0</v>
      </c>
      <c r="G740" s="20" t="n">
        <f aca="false">IF($F740=0,0,$F740*$E740)</f>
        <v>0</v>
      </c>
      <c r="H740" s="20" t="n">
        <f aca="false">$F740-$G740</f>
        <v>0</v>
      </c>
      <c r="I740" s="16"/>
    </row>
    <row r="741" customFormat="false" ht="15" hidden="false" customHeight="true" outlineLevel="0" collapsed="false">
      <c r="A741" s="16"/>
      <c r="B741" s="17"/>
      <c r="C741" s="18"/>
      <c r="D741" s="18"/>
      <c r="E741" s="19"/>
      <c r="F741" s="20" t="n">
        <f aca="false">IF($C741=0,0,$C741-$D741)</f>
        <v>0</v>
      </c>
      <c r="G741" s="20" t="n">
        <f aca="false">IF($F741=0,0,$F741*$E741)</f>
        <v>0</v>
      </c>
      <c r="H741" s="20" t="n">
        <f aca="false">$F741-$G741</f>
        <v>0</v>
      </c>
      <c r="I741" s="16"/>
    </row>
    <row r="742" customFormat="false" ht="15" hidden="false" customHeight="true" outlineLevel="0" collapsed="false">
      <c r="A742" s="16"/>
      <c r="B742" s="17"/>
      <c r="C742" s="18"/>
      <c r="D742" s="18"/>
      <c r="E742" s="19"/>
      <c r="F742" s="20" t="n">
        <f aca="false">IF($C742=0,0,$C742-$D742)</f>
        <v>0</v>
      </c>
      <c r="G742" s="20" t="n">
        <f aca="false">IF($F742=0,0,$F742*$E742)</f>
        <v>0</v>
      </c>
      <c r="H742" s="20" t="n">
        <f aca="false">$F742-$G742</f>
        <v>0</v>
      </c>
      <c r="I742" s="16"/>
    </row>
    <row r="743" customFormat="false" ht="15" hidden="false" customHeight="true" outlineLevel="0" collapsed="false">
      <c r="A743" s="16"/>
      <c r="B743" s="17"/>
      <c r="C743" s="18"/>
      <c r="D743" s="18"/>
      <c r="E743" s="19"/>
      <c r="F743" s="20" t="n">
        <f aca="false">IF($C743=0,0,$C743-$D743)</f>
        <v>0</v>
      </c>
      <c r="G743" s="20" t="n">
        <f aca="false">IF($F743=0,0,$F743*$E743)</f>
        <v>0</v>
      </c>
      <c r="H743" s="20" t="n">
        <f aca="false">$F743-$G743</f>
        <v>0</v>
      </c>
      <c r="I743" s="16"/>
    </row>
    <row r="744" customFormat="false" ht="15" hidden="false" customHeight="true" outlineLevel="0" collapsed="false">
      <c r="A744" s="16"/>
      <c r="B744" s="17"/>
      <c r="C744" s="18"/>
      <c r="D744" s="18"/>
      <c r="E744" s="19"/>
      <c r="F744" s="20" t="n">
        <f aca="false">IF($C744=0,0,$C744-$D744)</f>
        <v>0</v>
      </c>
      <c r="G744" s="20" t="n">
        <f aca="false">IF($F744=0,0,$F744*$E744)</f>
        <v>0</v>
      </c>
      <c r="H744" s="20" t="n">
        <f aca="false">$F744-$G744</f>
        <v>0</v>
      </c>
      <c r="I744" s="16"/>
    </row>
    <row r="745" customFormat="false" ht="15" hidden="false" customHeight="true" outlineLevel="0" collapsed="false">
      <c r="A745" s="16"/>
      <c r="B745" s="17"/>
      <c r="C745" s="18"/>
      <c r="D745" s="18"/>
      <c r="E745" s="19"/>
      <c r="F745" s="20" t="n">
        <f aca="false">IF($C745=0,0,$C745-$D745)</f>
        <v>0</v>
      </c>
      <c r="G745" s="20" t="n">
        <f aca="false">IF($F745=0,0,$F745*$E745)</f>
        <v>0</v>
      </c>
      <c r="H745" s="20" t="n">
        <f aca="false">$F745-$G745</f>
        <v>0</v>
      </c>
      <c r="I745" s="16"/>
    </row>
    <row r="746" customFormat="false" ht="15" hidden="false" customHeight="true" outlineLevel="0" collapsed="false">
      <c r="A746" s="16"/>
      <c r="B746" s="17"/>
      <c r="C746" s="18"/>
      <c r="D746" s="18"/>
      <c r="E746" s="19"/>
      <c r="F746" s="20" t="n">
        <f aca="false">IF($C746=0,0,$C746-$D746)</f>
        <v>0</v>
      </c>
      <c r="G746" s="20" t="n">
        <f aca="false">IF($F746=0,0,$F746*$E746)</f>
        <v>0</v>
      </c>
      <c r="H746" s="20" t="n">
        <f aca="false">$F746-$G746</f>
        <v>0</v>
      </c>
      <c r="I746" s="16"/>
    </row>
    <row r="747" customFormat="false" ht="15" hidden="false" customHeight="true" outlineLevel="0" collapsed="false">
      <c r="A747" s="16"/>
      <c r="B747" s="17"/>
      <c r="C747" s="18"/>
      <c r="D747" s="18"/>
      <c r="E747" s="19"/>
      <c r="F747" s="20" t="n">
        <f aca="false">IF($C747=0,0,$C747-$D747)</f>
        <v>0</v>
      </c>
      <c r="G747" s="20" t="n">
        <f aca="false">IF($F747=0,0,$F747*$E747)</f>
        <v>0</v>
      </c>
      <c r="H747" s="20" t="n">
        <f aca="false">$F747-$G747</f>
        <v>0</v>
      </c>
      <c r="I747" s="16"/>
    </row>
    <row r="748" customFormat="false" ht="15" hidden="false" customHeight="true" outlineLevel="0" collapsed="false">
      <c r="A748" s="16"/>
      <c r="B748" s="17"/>
      <c r="C748" s="18"/>
      <c r="D748" s="18"/>
      <c r="E748" s="19"/>
      <c r="F748" s="20" t="n">
        <f aca="false">IF($C748=0,0,$C748-$D748)</f>
        <v>0</v>
      </c>
      <c r="G748" s="20" t="n">
        <f aca="false">IF($F748=0,0,$F748*$E748)</f>
        <v>0</v>
      </c>
      <c r="H748" s="20" t="n">
        <f aca="false">$F748-$G748</f>
        <v>0</v>
      </c>
      <c r="I748" s="16"/>
    </row>
    <row r="749" customFormat="false" ht="15" hidden="false" customHeight="true" outlineLevel="0" collapsed="false">
      <c r="A749" s="16"/>
      <c r="B749" s="17"/>
      <c r="C749" s="18"/>
      <c r="D749" s="18"/>
      <c r="E749" s="19"/>
      <c r="F749" s="20" t="n">
        <f aca="false">IF($C749=0,0,$C749-$D749)</f>
        <v>0</v>
      </c>
      <c r="G749" s="20" t="n">
        <f aca="false">IF($F749=0,0,$F749*$E749)</f>
        <v>0</v>
      </c>
      <c r="H749" s="20" t="n">
        <f aca="false">$F749-$G749</f>
        <v>0</v>
      </c>
      <c r="I749" s="16"/>
    </row>
    <row r="750" customFormat="false" ht="15" hidden="false" customHeight="true" outlineLevel="0" collapsed="false">
      <c r="A750" s="16"/>
      <c r="B750" s="17"/>
      <c r="C750" s="18"/>
      <c r="D750" s="18"/>
      <c r="E750" s="19"/>
      <c r="F750" s="20" t="n">
        <f aca="false">IF($C750=0,0,$C750-$D750)</f>
        <v>0</v>
      </c>
      <c r="G750" s="20" t="n">
        <f aca="false">IF($F750=0,0,$F750*$E750)</f>
        <v>0</v>
      </c>
      <c r="H750" s="20" t="n">
        <f aca="false">$F750-$G750</f>
        <v>0</v>
      </c>
      <c r="I750" s="16"/>
    </row>
    <row r="751" customFormat="false" ht="15" hidden="false" customHeight="true" outlineLevel="0" collapsed="false">
      <c r="A751" s="16"/>
      <c r="B751" s="17"/>
      <c r="C751" s="18"/>
      <c r="D751" s="18"/>
      <c r="E751" s="19"/>
      <c r="F751" s="20" t="n">
        <f aca="false">IF($C751=0,0,$C751-$D751)</f>
        <v>0</v>
      </c>
      <c r="G751" s="20" t="n">
        <f aca="false">IF($F751=0,0,$F751*$E751)</f>
        <v>0</v>
      </c>
      <c r="H751" s="20" t="n">
        <f aca="false">$F751-$G751</f>
        <v>0</v>
      </c>
      <c r="I751" s="16"/>
    </row>
    <row r="752" customFormat="false" ht="15" hidden="false" customHeight="true" outlineLevel="0" collapsed="false">
      <c r="A752" s="16"/>
      <c r="B752" s="17"/>
      <c r="C752" s="18"/>
      <c r="D752" s="18"/>
      <c r="E752" s="19"/>
      <c r="F752" s="20" t="n">
        <f aca="false">IF($C752=0,0,$C752-$D752)</f>
        <v>0</v>
      </c>
      <c r="G752" s="20" t="n">
        <f aca="false">IF($F752=0,0,$F752*$E752)</f>
        <v>0</v>
      </c>
      <c r="H752" s="20" t="n">
        <f aca="false">$F752-$G752</f>
        <v>0</v>
      </c>
      <c r="I752" s="16"/>
    </row>
    <row r="753" customFormat="false" ht="15" hidden="false" customHeight="true" outlineLevel="0" collapsed="false">
      <c r="A753" s="16"/>
      <c r="B753" s="17"/>
      <c r="C753" s="18"/>
      <c r="D753" s="18"/>
      <c r="E753" s="19"/>
      <c r="F753" s="20" t="n">
        <f aca="false">IF($C753=0,0,$C753-$D753)</f>
        <v>0</v>
      </c>
      <c r="G753" s="20" t="n">
        <f aca="false">IF($F753=0,0,$F753*$E753)</f>
        <v>0</v>
      </c>
      <c r="H753" s="20" t="n">
        <f aca="false">$F753-$G753</f>
        <v>0</v>
      </c>
      <c r="I753" s="16"/>
    </row>
    <row r="754" customFormat="false" ht="15" hidden="false" customHeight="true" outlineLevel="0" collapsed="false">
      <c r="A754" s="16"/>
      <c r="B754" s="17"/>
      <c r="C754" s="18"/>
      <c r="D754" s="18"/>
      <c r="E754" s="19"/>
      <c r="F754" s="20" t="n">
        <f aca="false">IF($C754=0,0,$C754-$D754)</f>
        <v>0</v>
      </c>
      <c r="G754" s="20" t="n">
        <f aca="false">IF($F754=0,0,$F754*$E754)</f>
        <v>0</v>
      </c>
      <c r="H754" s="20" t="n">
        <f aca="false">$F754-$G754</f>
        <v>0</v>
      </c>
      <c r="I754" s="16"/>
    </row>
    <row r="755" customFormat="false" ht="15" hidden="false" customHeight="true" outlineLevel="0" collapsed="false">
      <c r="A755" s="16"/>
      <c r="B755" s="17"/>
      <c r="C755" s="18"/>
      <c r="D755" s="18"/>
      <c r="E755" s="19"/>
      <c r="F755" s="20" t="n">
        <f aca="false">IF($C755=0,0,$C755-$D755)</f>
        <v>0</v>
      </c>
      <c r="G755" s="20" t="n">
        <f aca="false">IF($F755=0,0,$F755*$E755)</f>
        <v>0</v>
      </c>
      <c r="H755" s="20" t="n">
        <f aca="false">$F755-$G755</f>
        <v>0</v>
      </c>
      <c r="I755" s="16"/>
    </row>
    <row r="756" customFormat="false" ht="15" hidden="false" customHeight="true" outlineLevel="0" collapsed="false">
      <c r="A756" s="16"/>
      <c r="B756" s="17"/>
      <c r="C756" s="18"/>
      <c r="D756" s="18"/>
      <c r="E756" s="19"/>
      <c r="F756" s="20" t="n">
        <f aca="false">IF($C756=0,0,$C756-$D756)</f>
        <v>0</v>
      </c>
      <c r="G756" s="20" t="n">
        <f aca="false">IF($F756=0,0,$F756*$E756)</f>
        <v>0</v>
      </c>
      <c r="H756" s="20" t="n">
        <f aca="false">$F756-$G756</f>
        <v>0</v>
      </c>
      <c r="I756" s="16"/>
    </row>
    <row r="757" customFormat="false" ht="15" hidden="false" customHeight="true" outlineLevel="0" collapsed="false">
      <c r="A757" s="16"/>
      <c r="B757" s="17"/>
      <c r="C757" s="18"/>
      <c r="D757" s="18"/>
      <c r="E757" s="19"/>
      <c r="F757" s="20" t="n">
        <f aca="false">IF($C757=0,0,$C757-$D757)</f>
        <v>0</v>
      </c>
      <c r="G757" s="20" t="n">
        <f aca="false">IF($F757=0,0,$F757*$E757)</f>
        <v>0</v>
      </c>
      <c r="H757" s="20" t="n">
        <f aca="false">$F757-$G757</f>
        <v>0</v>
      </c>
      <c r="I757" s="16"/>
    </row>
    <row r="758" customFormat="false" ht="15" hidden="false" customHeight="true" outlineLevel="0" collapsed="false">
      <c r="A758" s="16"/>
      <c r="B758" s="17"/>
      <c r="C758" s="18"/>
      <c r="D758" s="18"/>
      <c r="E758" s="19"/>
      <c r="F758" s="20" t="n">
        <f aca="false">IF($C758=0,0,$C758-$D758)</f>
        <v>0</v>
      </c>
      <c r="G758" s="20" t="n">
        <f aca="false">IF($F758=0,0,$F758*$E758)</f>
        <v>0</v>
      </c>
      <c r="H758" s="20" t="n">
        <f aca="false">$F758-$G758</f>
        <v>0</v>
      </c>
      <c r="I758" s="16"/>
    </row>
    <row r="759" customFormat="false" ht="15" hidden="false" customHeight="true" outlineLevel="0" collapsed="false">
      <c r="A759" s="16"/>
      <c r="B759" s="17"/>
      <c r="C759" s="18"/>
      <c r="D759" s="18"/>
      <c r="E759" s="19"/>
      <c r="F759" s="20" t="n">
        <f aca="false">IF($C759=0,0,$C759-$D759)</f>
        <v>0</v>
      </c>
      <c r="G759" s="20" t="n">
        <f aca="false">IF($F759=0,0,$F759*$E759)</f>
        <v>0</v>
      </c>
      <c r="H759" s="20" t="n">
        <f aca="false">$F759-$G759</f>
        <v>0</v>
      </c>
      <c r="I759" s="16"/>
    </row>
    <row r="760" customFormat="false" ht="15" hidden="false" customHeight="true" outlineLevel="0" collapsed="false">
      <c r="A760" s="16"/>
      <c r="B760" s="17"/>
      <c r="C760" s="18"/>
      <c r="D760" s="18"/>
      <c r="E760" s="19"/>
      <c r="F760" s="20" t="n">
        <f aca="false">IF($C760=0,0,$C760-$D760)</f>
        <v>0</v>
      </c>
      <c r="G760" s="20" t="n">
        <f aca="false">IF($F760=0,0,$F760*$E760)</f>
        <v>0</v>
      </c>
      <c r="H760" s="20" t="n">
        <f aca="false">$F760-$G760</f>
        <v>0</v>
      </c>
      <c r="I760" s="16"/>
    </row>
    <row r="761" customFormat="false" ht="15" hidden="false" customHeight="true" outlineLevel="0" collapsed="false">
      <c r="A761" s="16"/>
      <c r="B761" s="17"/>
      <c r="C761" s="18"/>
      <c r="D761" s="18"/>
      <c r="E761" s="19"/>
      <c r="F761" s="20" t="n">
        <f aca="false">IF($C761=0,0,$C761-$D761)</f>
        <v>0</v>
      </c>
      <c r="G761" s="20" t="n">
        <f aca="false">IF($F761=0,0,$F761*$E761)</f>
        <v>0</v>
      </c>
      <c r="H761" s="20" t="n">
        <f aca="false">$F761-$G761</f>
        <v>0</v>
      </c>
      <c r="I761" s="16"/>
    </row>
    <row r="762" customFormat="false" ht="15" hidden="false" customHeight="true" outlineLevel="0" collapsed="false">
      <c r="A762" s="16"/>
      <c r="B762" s="17"/>
      <c r="C762" s="18"/>
      <c r="D762" s="18"/>
      <c r="E762" s="19"/>
      <c r="F762" s="20" t="n">
        <f aca="false">IF($C762=0,0,$C762-$D762)</f>
        <v>0</v>
      </c>
      <c r="G762" s="20" t="n">
        <f aca="false">IF($F762=0,0,$F762*$E762)</f>
        <v>0</v>
      </c>
      <c r="H762" s="20" t="n">
        <f aca="false">$F762-$G762</f>
        <v>0</v>
      </c>
      <c r="I762" s="16"/>
    </row>
    <row r="763" customFormat="false" ht="15" hidden="false" customHeight="true" outlineLevel="0" collapsed="false">
      <c r="A763" s="16"/>
      <c r="B763" s="17"/>
      <c r="C763" s="18"/>
      <c r="D763" s="18"/>
      <c r="E763" s="19"/>
      <c r="F763" s="20" t="n">
        <f aca="false">IF($C763=0,0,$C763-$D763)</f>
        <v>0</v>
      </c>
      <c r="G763" s="20" t="n">
        <f aca="false">IF($F763=0,0,$F763*$E763)</f>
        <v>0</v>
      </c>
      <c r="H763" s="20" t="n">
        <f aca="false">$F763-$G763</f>
        <v>0</v>
      </c>
      <c r="I763" s="16"/>
    </row>
    <row r="764" customFormat="false" ht="15" hidden="false" customHeight="true" outlineLevel="0" collapsed="false">
      <c r="A764" s="16"/>
      <c r="B764" s="17"/>
      <c r="C764" s="18"/>
      <c r="D764" s="18"/>
      <c r="E764" s="19"/>
      <c r="F764" s="20" t="n">
        <f aca="false">IF($C764=0,0,$C764-$D764)</f>
        <v>0</v>
      </c>
      <c r="G764" s="20" t="n">
        <f aca="false">IF($F764=0,0,$F764*$E764)</f>
        <v>0</v>
      </c>
      <c r="H764" s="20" t="n">
        <f aca="false">$F764-$G764</f>
        <v>0</v>
      </c>
      <c r="I764" s="16"/>
    </row>
    <row r="765" customFormat="false" ht="15" hidden="false" customHeight="true" outlineLevel="0" collapsed="false">
      <c r="A765" s="16"/>
      <c r="B765" s="17"/>
      <c r="C765" s="18"/>
      <c r="D765" s="18"/>
      <c r="E765" s="19"/>
      <c r="F765" s="20" t="n">
        <f aca="false">IF($C765=0,0,$C765-$D765)</f>
        <v>0</v>
      </c>
      <c r="G765" s="20" t="n">
        <f aca="false">IF($F765=0,0,$F765*$E765)</f>
        <v>0</v>
      </c>
      <c r="H765" s="20" t="n">
        <f aca="false">$F765-$G765</f>
        <v>0</v>
      </c>
      <c r="I765" s="16"/>
    </row>
    <row r="766" customFormat="false" ht="15" hidden="false" customHeight="true" outlineLevel="0" collapsed="false">
      <c r="A766" s="16"/>
      <c r="B766" s="17"/>
      <c r="C766" s="18"/>
      <c r="D766" s="18"/>
      <c r="E766" s="19"/>
      <c r="F766" s="20" t="n">
        <f aca="false">IF($C766=0,0,$C766-$D766)</f>
        <v>0</v>
      </c>
      <c r="G766" s="20" t="n">
        <f aca="false">IF($F766=0,0,$F766*$E766)</f>
        <v>0</v>
      </c>
      <c r="H766" s="20" t="n">
        <f aca="false">$F766-$G766</f>
        <v>0</v>
      </c>
      <c r="I766" s="16"/>
    </row>
    <row r="767" customFormat="false" ht="15" hidden="false" customHeight="true" outlineLevel="0" collapsed="false">
      <c r="A767" s="16"/>
      <c r="B767" s="17"/>
      <c r="C767" s="18"/>
      <c r="D767" s="18"/>
      <c r="E767" s="19"/>
      <c r="F767" s="20" t="n">
        <f aca="false">IF($C767=0,0,$C767-$D767)</f>
        <v>0</v>
      </c>
      <c r="G767" s="20" t="n">
        <f aca="false">IF($F767=0,0,$F767*$E767)</f>
        <v>0</v>
      </c>
      <c r="H767" s="20" t="n">
        <f aca="false">$F767-$G767</f>
        <v>0</v>
      </c>
      <c r="I767" s="16"/>
    </row>
    <row r="768" customFormat="false" ht="15" hidden="false" customHeight="true" outlineLevel="0" collapsed="false">
      <c r="A768" s="16"/>
      <c r="B768" s="17"/>
      <c r="C768" s="18"/>
      <c r="D768" s="18"/>
      <c r="E768" s="19"/>
      <c r="F768" s="20" t="n">
        <f aca="false">IF($C768=0,0,$C768-$D768)</f>
        <v>0</v>
      </c>
      <c r="G768" s="20" t="n">
        <f aca="false">IF($F768=0,0,$F768*$E768)</f>
        <v>0</v>
      </c>
      <c r="H768" s="20" t="n">
        <f aca="false">$F768-$G768</f>
        <v>0</v>
      </c>
      <c r="I768" s="16"/>
    </row>
    <row r="769" customFormat="false" ht="15" hidden="false" customHeight="true" outlineLevel="0" collapsed="false">
      <c r="A769" s="16"/>
      <c r="B769" s="17"/>
      <c r="C769" s="18"/>
      <c r="D769" s="18"/>
      <c r="E769" s="19"/>
      <c r="F769" s="20" t="n">
        <f aca="false">IF($C769=0,0,$C769-$D769)</f>
        <v>0</v>
      </c>
      <c r="G769" s="20" t="n">
        <f aca="false">IF($F769=0,0,$F769*$E769)</f>
        <v>0</v>
      </c>
      <c r="H769" s="20" t="n">
        <f aca="false">$F769-$G769</f>
        <v>0</v>
      </c>
      <c r="I769" s="16"/>
    </row>
    <row r="770" customFormat="false" ht="15" hidden="false" customHeight="true" outlineLevel="0" collapsed="false">
      <c r="A770" s="16"/>
      <c r="B770" s="17"/>
      <c r="C770" s="18"/>
      <c r="D770" s="18"/>
      <c r="E770" s="19"/>
      <c r="F770" s="20" t="n">
        <f aca="false">IF($C770=0,0,$C770-$D770)</f>
        <v>0</v>
      </c>
      <c r="G770" s="20" t="n">
        <f aca="false">IF($F770=0,0,$F770*$E770)</f>
        <v>0</v>
      </c>
      <c r="H770" s="20" t="n">
        <f aca="false">$F770-$G770</f>
        <v>0</v>
      </c>
      <c r="I770" s="16"/>
    </row>
    <row r="771" customFormat="false" ht="15" hidden="false" customHeight="true" outlineLevel="0" collapsed="false">
      <c r="A771" s="16"/>
      <c r="B771" s="17"/>
      <c r="C771" s="18"/>
      <c r="D771" s="18"/>
      <c r="E771" s="19"/>
      <c r="F771" s="20" t="n">
        <f aca="false">IF($C771=0,0,$C771-$D771)</f>
        <v>0</v>
      </c>
      <c r="G771" s="20" t="n">
        <f aca="false">IF($F771=0,0,$F771*$E771)</f>
        <v>0</v>
      </c>
      <c r="H771" s="20" t="n">
        <f aca="false">$F771-$G771</f>
        <v>0</v>
      </c>
      <c r="I771" s="16"/>
    </row>
    <row r="772" customFormat="false" ht="15" hidden="false" customHeight="true" outlineLevel="0" collapsed="false">
      <c r="A772" s="16"/>
      <c r="B772" s="17"/>
      <c r="C772" s="18"/>
      <c r="D772" s="18"/>
      <c r="E772" s="19"/>
      <c r="F772" s="20" t="n">
        <f aca="false">IF($C772=0,0,$C772-$D772)</f>
        <v>0</v>
      </c>
      <c r="G772" s="20" t="n">
        <f aca="false">IF($F772=0,0,$F772*$E772)</f>
        <v>0</v>
      </c>
      <c r="H772" s="20" t="n">
        <f aca="false">$F772-$G772</f>
        <v>0</v>
      </c>
      <c r="I772" s="16"/>
    </row>
    <row r="773" customFormat="false" ht="15" hidden="false" customHeight="true" outlineLevel="0" collapsed="false">
      <c r="A773" s="16"/>
      <c r="B773" s="17"/>
      <c r="C773" s="18"/>
      <c r="D773" s="18"/>
      <c r="E773" s="19"/>
      <c r="F773" s="20" t="n">
        <f aca="false">IF($C773=0,0,$C773-$D773)</f>
        <v>0</v>
      </c>
      <c r="G773" s="20" t="n">
        <f aca="false">IF($F773=0,0,$F773*$E773)</f>
        <v>0</v>
      </c>
      <c r="H773" s="20" t="n">
        <f aca="false">$F773-$G773</f>
        <v>0</v>
      </c>
      <c r="I773" s="16"/>
    </row>
    <row r="774" customFormat="false" ht="15" hidden="false" customHeight="true" outlineLevel="0" collapsed="false">
      <c r="A774" s="16"/>
      <c r="B774" s="17"/>
      <c r="C774" s="18"/>
      <c r="D774" s="18"/>
      <c r="E774" s="19"/>
      <c r="F774" s="20" t="n">
        <f aca="false">IF($C774=0,0,$C774-$D774)</f>
        <v>0</v>
      </c>
      <c r="G774" s="20" t="n">
        <f aca="false">IF($F774=0,0,$F774*$E774)</f>
        <v>0</v>
      </c>
      <c r="H774" s="20" t="n">
        <f aca="false">$F774-$G774</f>
        <v>0</v>
      </c>
      <c r="I774" s="16"/>
    </row>
    <row r="775" customFormat="false" ht="15" hidden="false" customHeight="true" outlineLevel="0" collapsed="false">
      <c r="A775" s="16"/>
      <c r="B775" s="17"/>
      <c r="C775" s="18"/>
      <c r="D775" s="18"/>
      <c r="E775" s="19"/>
      <c r="F775" s="20" t="n">
        <f aca="false">IF($C775=0,0,$C775-$D775)</f>
        <v>0</v>
      </c>
      <c r="G775" s="20" t="n">
        <f aca="false">IF($F775=0,0,$F775*$E775)</f>
        <v>0</v>
      </c>
      <c r="H775" s="20" t="n">
        <f aca="false">$F775-$G775</f>
        <v>0</v>
      </c>
      <c r="I775" s="16"/>
    </row>
    <row r="776" customFormat="false" ht="15" hidden="false" customHeight="true" outlineLevel="0" collapsed="false">
      <c r="A776" s="16"/>
      <c r="B776" s="17"/>
      <c r="C776" s="18"/>
      <c r="D776" s="18"/>
      <c r="E776" s="19"/>
      <c r="F776" s="20" t="n">
        <f aca="false">IF($C776=0,0,$C776-$D776)</f>
        <v>0</v>
      </c>
      <c r="G776" s="20" t="n">
        <f aca="false">IF($F776=0,0,$F776*$E776)</f>
        <v>0</v>
      </c>
      <c r="H776" s="20" t="n">
        <f aca="false">$F776-$G776</f>
        <v>0</v>
      </c>
      <c r="I776" s="16"/>
    </row>
    <row r="777" customFormat="false" ht="15" hidden="false" customHeight="true" outlineLevel="0" collapsed="false">
      <c r="A777" s="16"/>
      <c r="B777" s="17"/>
      <c r="C777" s="18"/>
      <c r="D777" s="18"/>
      <c r="E777" s="19"/>
      <c r="F777" s="20" t="n">
        <f aca="false">IF($C777=0,0,$C777-$D777)</f>
        <v>0</v>
      </c>
      <c r="G777" s="20" t="n">
        <f aca="false">IF($F777=0,0,$F777*$E777)</f>
        <v>0</v>
      </c>
      <c r="H777" s="20" t="n">
        <f aca="false">$F777-$G777</f>
        <v>0</v>
      </c>
      <c r="I777" s="16"/>
    </row>
    <row r="778" customFormat="false" ht="15" hidden="false" customHeight="true" outlineLevel="0" collapsed="false">
      <c r="A778" s="16"/>
      <c r="B778" s="17"/>
      <c r="C778" s="18"/>
      <c r="D778" s="18"/>
      <c r="E778" s="19"/>
      <c r="F778" s="20" t="n">
        <f aca="false">IF($C778=0,0,$C778-$D778)</f>
        <v>0</v>
      </c>
      <c r="G778" s="20" t="n">
        <f aca="false">IF($F778=0,0,$F778*$E778)</f>
        <v>0</v>
      </c>
      <c r="H778" s="20" t="n">
        <f aca="false">$F778-$G778</f>
        <v>0</v>
      </c>
      <c r="I778" s="16"/>
    </row>
    <row r="779" customFormat="false" ht="15" hidden="false" customHeight="true" outlineLevel="0" collapsed="false">
      <c r="A779" s="16"/>
      <c r="B779" s="17"/>
      <c r="C779" s="18"/>
      <c r="D779" s="18"/>
      <c r="E779" s="19"/>
      <c r="F779" s="20" t="n">
        <f aca="false">IF($C779=0,0,$C779-$D779)</f>
        <v>0</v>
      </c>
      <c r="G779" s="20" t="n">
        <f aca="false">IF($F779=0,0,$F779*$E779)</f>
        <v>0</v>
      </c>
      <c r="H779" s="20" t="n">
        <f aca="false">$F779-$G779</f>
        <v>0</v>
      </c>
      <c r="I779" s="16"/>
    </row>
    <row r="780" customFormat="false" ht="15" hidden="false" customHeight="true" outlineLevel="0" collapsed="false">
      <c r="A780" s="16"/>
      <c r="B780" s="17"/>
      <c r="C780" s="18"/>
      <c r="D780" s="18"/>
      <c r="E780" s="19"/>
      <c r="F780" s="20" t="n">
        <f aca="false">IF($C780=0,0,$C780-$D780)</f>
        <v>0</v>
      </c>
      <c r="G780" s="20" t="n">
        <f aca="false">IF($F780=0,0,$F780*$E780)</f>
        <v>0</v>
      </c>
      <c r="H780" s="20" t="n">
        <f aca="false">$F780-$G780</f>
        <v>0</v>
      </c>
      <c r="I780" s="16"/>
    </row>
    <row r="781" customFormat="false" ht="15" hidden="false" customHeight="true" outlineLevel="0" collapsed="false">
      <c r="A781" s="16"/>
      <c r="B781" s="17"/>
      <c r="C781" s="18"/>
      <c r="D781" s="18"/>
      <c r="E781" s="19"/>
      <c r="F781" s="20" t="n">
        <f aca="false">IF($C781=0,0,$C781-$D781)</f>
        <v>0</v>
      </c>
      <c r="G781" s="20" t="n">
        <f aca="false">IF($F781=0,0,$F781*$E781)</f>
        <v>0</v>
      </c>
      <c r="H781" s="20" t="n">
        <f aca="false">$F781-$G781</f>
        <v>0</v>
      </c>
      <c r="I781" s="16"/>
    </row>
    <row r="782" customFormat="false" ht="15" hidden="false" customHeight="true" outlineLevel="0" collapsed="false">
      <c r="A782" s="16"/>
      <c r="B782" s="17"/>
      <c r="C782" s="18"/>
      <c r="D782" s="18"/>
      <c r="E782" s="19"/>
      <c r="F782" s="20" t="n">
        <f aca="false">IF($C782=0,0,$C782-$D782)</f>
        <v>0</v>
      </c>
      <c r="G782" s="20" t="n">
        <f aca="false">IF($F782=0,0,$F782*$E782)</f>
        <v>0</v>
      </c>
      <c r="H782" s="20" t="n">
        <f aca="false">$F782-$G782</f>
        <v>0</v>
      </c>
      <c r="I782" s="16"/>
    </row>
    <row r="783" customFormat="false" ht="15" hidden="false" customHeight="true" outlineLevel="0" collapsed="false">
      <c r="A783" s="16"/>
      <c r="B783" s="17"/>
      <c r="C783" s="18"/>
      <c r="D783" s="18"/>
      <c r="E783" s="19"/>
      <c r="F783" s="20" t="n">
        <f aca="false">IF($C783=0,0,$C783-$D783)</f>
        <v>0</v>
      </c>
      <c r="G783" s="20" t="n">
        <f aca="false">IF($F783=0,0,$F783*$E783)</f>
        <v>0</v>
      </c>
      <c r="H783" s="20" t="n">
        <f aca="false">$F783-$G783</f>
        <v>0</v>
      </c>
      <c r="I783" s="16"/>
    </row>
    <row r="784" customFormat="false" ht="15" hidden="false" customHeight="true" outlineLevel="0" collapsed="false">
      <c r="A784" s="16"/>
      <c r="B784" s="17"/>
      <c r="C784" s="18"/>
      <c r="D784" s="18"/>
      <c r="E784" s="19"/>
      <c r="F784" s="20" t="n">
        <f aca="false">IF($C784=0,0,$C784-$D784)</f>
        <v>0</v>
      </c>
      <c r="G784" s="20" t="n">
        <f aca="false">IF($F784=0,0,$F784*$E784)</f>
        <v>0</v>
      </c>
      <c r="H784" s="20" t="n">
        <f aca="false">$F784-$G784</f>
        <v>0</v>
      </c>
      <c r="I784" s="16"/>
    </row>
    <row r="785" customFormat="false" ht="15" hidden="false" customHeight="true" outlineLevel="0" collapsed="false">
      <c r="A785" s="16"/>
      <c r="B785" s="17"/>
      <c r="C785" s="18"/>
      <c r="D785" s="18"/>
      <c r="E785" s="19"/>
      <c r="F785" s="20" t="n">
        <f aca="false">IF($C785=0,0,$C785-$D785)</f>
        <v>0</v>
      </c>
      <c r="G785" s="20" t="n">
        <f aca="false">IF($F785=0,0,$F785*$E785)</f>
        <v>0</v>
      </c>
      <c r="H785" s="20" t="n">
        <f aca="false">$F785-$G785</f>
        <v>0</v>
      </c>
      <c r="I785" s="16"/>
    </row>
    <row r="786" customFormat="false" ht="15" hidden="false" customHeight="true" outlineLevel="0" collapsed="false">
      <c r="A786" s="16"/>
      <c r="B786" s="17"/>
      <c r="C786" s="18"/>
      <c r="D786" s="18"/>
      <c r="E786" s="19"/>
      <c r="F786" s="20" t="n">
        <f aca="false">IF($C786=0,0,$C786-$D786)</f>
        <v>0</v>
      </c>
      <c r="G786" s="20" t="n">
        <f aca="false">IF($F786=0,0,$F786*$E786)</f>
        <v>0</v>
      </c>
      <c r="H786" s="20" t="n">
        <f aca="false">$F786-$G786</f>
        <v>0</v>
      </c>
      <c r="I786" s="16"/>
    </row>
    <row r="787" customFormat="false" ht="15" hidden="false" customHeight="true" outlineLevel="0" collapsed="false">
      <c r="A787" s="16"/>
      <c r="B787" s="17"/>
      <c r="C787" s="18"/>
      <c r="D787" s="18"/>
      <c r="E787" s="19"/>
      <c r="F787" s="20" t="n">
        <f aca="false">IF($C787=0,0,$C787-$D787)</f>
        <v>0</v>
      </c>
      <c r="G787" s="20" t="n">
        <f aca="false">IF($F787=0,0,$F787*$E787)</f>
        <v>0</v>
      </c>
      <c r="H787" s="20" t="n">
        <f aca="false">$F787-$G787</f>
        <v>0</v>
      </c>
      <c r="I787" s="16"/>
    </row>
    <row r="788" customFormat="false" ht="15" hidden="false" customHeight="true" outlineLevel="0" collapsed="false">
      <c r="A788" s="16"/>
      <c r="B788" s="17"/>
      <c r="C788" s="18"/>
      <c r="D788" s="18"/>
      <c r="E788" s="19"/>
      <c r="F788" s="20" t="n">
        <f aca="false">IF($C788=0,0,$C788-$D788)</f>
        <v>0</v>
      </c>
      <c r="G788" s="20" t="n">
        <f aca="false">IF($F788=0,0,$F788*$E788)</f>
        <v>0</v>
      </c>
      <c r="H788" s="20" t="n">
        <f aca="false">$F788-$G788</f>
        <v>0</v>
      </c>
      <c r="I788" s="16"/>
    </row>
    <row r="789" customFormat="false" ht="15" hidden="false" customHeight="true" outlineLevel="0" collapsed="false">
      <c r="A789" s="16"/>
      <c r="B789" s="17"/>
      <c r="C789" s="18"/>
      <c r="D789" s="18"/>
      <c r="E789" s="19"/>
      <c r="F789" s="20" t="n">
        <f aca="false">IF($C789=0,0,$C789-$D789)</f>
        <v>0</v>
      </c>
      <c r="G789" s="20" t="n">
        <f aca="false">IF($F789=0,0,$F789*$E789)</f>
        <v>0</v>
      </c>
      <c r="H789" s="20" t="n">
        <f aca="false">$F789-$G789</f>
        <v>0</v>
      </c>
      <c r="I789" s="16"/>
    </row>
    <row r="790" customFormat="false" ht="15" hidden="false" customHeight="true" outlineLevel="0" collapsed="false">
      <c r="A790" s="16"/>
      <c r="B790" s="17"/>
      <c r="C790" s="18"/>
      <c r="D790" s="18"/>
      <c r="E790" s="19"/>
      <c r="F790" s="20" t="n">
        <f aca="false">IF($C790=0,0,$C790-$D790)</f>
        <v>0</v>
      </c>
      <c r="G790" s="20" t="n">
        <f aca="false">IF($F790=0,0,$F790*$E790)</f>
        <v>0</v>
      </c>
      <c r="H790" s="20" t="n">
        <f aca="false">$F790-$G790</f>
        <v>0</v>
      </c>
      <c r="I790" s="16"/>
    </row>
    <row r="791" customFormat="false" ht="15" hidden="false" customHeight="true" outlineLevel="0" collapsed="false">
      <c r="A791" s="16"/>
      <c r="B791" s="17"/>
      <c r="C791" s="18"/>
      <c r="D791" s="18"/>
      <c r="E791" s="19"/>
      <c r="F791" s="20" t="n">
        <f aca="false">IF($C791=0,0,$C791-$D791)</f>
        <v>0</v>
      </c>
      <c r="G791" s="20" t="n">
        <f aca="false">IF($F791=0,0,$F791*$E791)</f>
        <v>0</v>
      </c>
      <c r="H791" s="20" t="n">
        <f aca="false">$F791-$G791</f>
        <v>0</v>
      </c>
      <c r="I791" s="16"/>
    </row>
    <row r="792" customFormat="false" ht="15" hidden="false" customHeight="true" outlineLevel="0" collapsed="false">
      <c r="A792" s="16"/>
      <c r="B792" s="17"/>
      <c r="C792" s="18"/>
      <c r="D792" s="18"/>
      <c r="E792" s="19"/>
      <c r="F792" s="20" t="n">
        <f aca="false">IF($C792=0,0,$C792-$D792)</f>
        <v>0</v>
      </c>
      <c r="G792" s="20" t="n">
        <f aca="false">IF($F792=0,0,$F792*$E792)</f>
        <v>0</v>
      </c>
      <c r="H792" s="20" t="n">
        <f aca="false">$F792-$G792</f>
        <v>0</v>
      </c>
      <c r="I792" s="16"/>
    </row>
    <row r="793" customFormat="false" ht="15" hidden="false" customHeight="true" outlineLevel="0" collapsed="false">
      <c r="A793" s="16"/>
      <c r="B793" s="17"/>
      <c r="C793" s="18"/>
      <c r="D793" s="18"/>
      <c r="E793" s="19"/>
      <c r="F793" s="20" t="n">
        <f aca="false">IF($C793=0,0,$C793-$D793)</f>
        <v>0</v>
      </c>
      <c r="G793" s="20" t="n">
        <f aca="false">IF($F793=0,0,$F793*$E793)</f>
        <v>0</v>
      </c>
      <c r="H793" s="20" t="n">
        <f aca="false">$F793-$G793</f>
        <v>0</v>
      </c>
      <c r="I793" s="16"/>
    </row>
    <row r="794" customFormat="false" ht="15" hidden="false" customHeight="true" outlineLevel="0" collapsed="false">
      <c r="A794" s="16"/>
      <c r="B794" s="17"/>
      <c r="C794" s="18"/>
      <c r="D794" s="18"/>
      <c r="E794" s="19"/>
      <c r="F794" s="20" t="n">
        <f aca="false">IF($C794=0,0,$C794-$D794)</f>
        <v>0</v>
      </c>
      <c r="G794" s="20" t="n">
        <f aca="false">IF($F794=0,0,$F794*$E794)</f>
        <v>0</v>
      </c>
      <c r="H794" s="20" t="n">
        <f aca="false">$F794-$G794</f>
        <v>0</v>
      </c>
      <c r="I794" s="16"/>
    </row>
    <row r="795" customFormat="false" ht="15" hidden="false" customHeight="true" outlineLevel="0" collapsed="false">
      <c r="A795" s="16"/>
      <c r="B795" s="17"/>
      <c r="C795" s="18"/>
      <c r="D795" s="18"/>
      <c r="E795" s="19"/>
      <c r="F795" s="20" t="n">
        <f aca="false">IF($C795=0,0,$C795-$D795)</f>
        <v>0</v>
      </c>
      <c r="G795" s="20" t="n">
        <f aca="false">IF($F795=0,0,$F795*$E795)</f>
        <v>0</v>
      </c>
      <c r="H795" s="20" t="n">
        <f aca="false">$F795-$G795</f>
        <v>0</v>
      </c>
      <c r="I795" s="16"/>
    </row>
    <row r="796" customFormat="false" ht="15" hidden="false" customHeight="true" outlineLevel="0" collapsed="false">
      <c r="A796" s="16"/>
      <c r="B796" s="17"/>
      <c r="C796" s="18"/>
      <c r="D796" s="18"/>
      <c r="E796" s="19"/>
      <c r="F796" s="20" t="n">
        <f aca="false">IF($C796=0,0,$C796-$D796)</f>
        <v>0</v>
      </c>
      <c r="G796" s="20" t="n">
        <f aca="false">IF($F796=0,0,$F796*$E796)</f>
        <v>0</v>
      </c>
      <c r="H796" s="20" t="n">
        <f aca="false">$F796-$G796</f>
        <v>0</v>
      </c>
      <c r="I796" s="16"/>
    </row>
    <row r="797" customFormat="false" ht="15" hidden="false" customHeight="true" outlineLevel="0" collapsed="false">
      <c r="A797" s="16"/>
      <c r="B797" s="17"/>
      <c r="C797" s="18"/>
      <c r="D797" s="18"/>
      <c r="E797" s="19"/>
      <c r="F797" s="20" t="n">
        <f aca="false">IF($C797=0,0,$C797-$D797)</f>
        <v>0</v>
      </c>
      <c r="G797" s="20" t="n">
        <f aca="false">IF($F797=0,0,$F797*$E797)</f>
        <v>0</v>
      </c>
      <c r="H797" s="20" t="n">
        <f aca="false">$F797-$G797</f>
        <v>0</v>
      </c>
      <c r="I797" s="16"/>
    </row>
    <row r="798" customFormat="false" ht="15" hidden="false" customHeight="true" outlineLevel="0" collapsed="false">
      <c r="A798" s="16"/>
      <c r="B798" s="17"/>
      <c r="C798" s="18"/>
      <c r="D798" s="18"/>
      <c r="E798" s="19"/>
      <c r="F798" s="20" t="n">
        <f aca="false">IF($C798=0,0,$C798-$D798)</f>
        <v>0</v>
      </c>
      <c r="G798" s="20" t="n">
        <f aca="false">IF($F798=0,0,$F798*$E798)</f>
        <v>0</v>
      </c>
      <c r="H798" s="20" t="n">
        <f aca="false">$F798-$G798</f>
        <v>0</v>
      </c>
      <c r="I798" s="16"/>
    </row>
    <row r="799" customFormat="false" ht="15" hidden="false" customHeight="true" outlineLevel="0" collapsed="false">
      <c r="A799" s="16"/>
      <c r="B799" s="17"/>
      <c r="C799" s="18"/>
      <c r="D799" s="18"/>
      <c r="E799" s="19"/>
      <c r="F799" s="20" t="n">
        <f aca="false">IF($C799=0,0,$C799-$D799)</f>
        <v>0</v>
      </c>
      <c r="G799" s="20" t="n">
        <f aca="false">IF($F799=0,0,$F799*$E799)</f>
        <v>0</v>
      </c>
      <c r="H799" s="20" t="n">
        <f aca="false">$F799-$G799</f>
        <v>0</v>
      </c>
      <c r="I799" s="16"/>
    </row>
    <row r="800" customFormat="false" ht="15" hidden="false" customHeight="true" outlineLevel="0" collapsed="false">
      <c r="A800" s="16"/>
      <c r="B800" s="17"/>
      <c r="C800" s="18"/>
      <c r="D800" s="18"/>
      <c r="E800" s="19"/>
      <c r="F800" s="20" t="n">
        <f aca="false">IF($C800=0,0,$C800-$D800)</f>
        <v>0</v>
      </c>
      <c r="G800" s="20" t="n">
        <f aca="false">IF($F800=0,0,$F800*$E800)</f>
        <v>0</v>
      </c>
      <c r="H800" s="20" t="n">
        <f aca="false">$F800-$G800</f>
        <v>0</v>
      </c>
      <c r="I800" s="16"/>
    </row>
    <row r="801" customFormat="false" ht="15" hidden="false" customHeight="true" outlineLevel="0" collapsed="false">
      <c r="A801" s="16"/>
      <c r="B801" s="17"/>
      <c r="C801" s="18"/>
      <c r="D801" s="18"/>
      <c r="E801" s="19"/>
      <c r="F801" s="20" t="n">
        <f aca="false">IF($C801=0,0,$C801-$D801)</f>
        <v>0</v>
      </c>
      <c r="G801" s="20" t="n">
        <f aca="false">IF($F801=0,0,$F801*$E801)</f>
        <v>0</v>
      </c>
      <c r="H801" s="20" t="n">
        <f aca="false">$F801-$G801</f>
        <v>0</v>
      </c>
      <c r="I801" s="16"/>
    </row>
    <row r="802" customFormat="false" ht="15" hidden="false" customHeight="true" outlineLevel="0" collapsed="false">
      <c r="A802" s="16"/>
      <c r="B802" s="17"/>
      <c r="C802" s="18"/>
      <c r="D802" s="18"/>
      <c r="E802" s="19"/>
      <c r="F802" s="20" t="n">
        <f aca="false">IF($C802=0,0,$C802-$D802)</f>
        <v>0</v>
      </c>
      <c r="G802" s="20" t="n">
        <f aca="false">IF($F802=0,0,$F802*$E802)</f>
        <v>0</v>
      </c>
      <c r="H802" s="20" t="n">
        <f aca="false">$F802-$G802</f>
        <v>0</v>
      </c>
      <c r="I802" s="16"/>
    </row>
    <row r="803" customFormat="false" ht="15" hidden="false" customHeight="true" outlineLevel="0" collapsed="false">
      <c r="A803" s="16"/>
      <c r="B803" s="17"/>
      <c r="C803" s="18"/>
      <c r="D803" s="18"/>
      <c r="E803" s="19"/>
      <c r="F803" s="20" t="n">
        <f aca="false">IF($C803=0,0,$C803-$D803)</f>
        <v>0</v>
      </c>
      <c r="G803" s="20" t="n">
        <f aca="false">IF($F803=0,0,$F803*$E803)</f>
        <v>0</v>
      </c>
      <c r="H803" s="20" t="n">
        <f aca="false">$F803-$G803</f>
        <v>0</v>
      </c>
      <c r="I803" s="16"/>
    </row>
    <row r="804" customFormat="false" ht="15" hidden="false" customHeight="true" outlineLevel="0" collapsed="false">
      <c r="A804" s="16"/>
      <c r="B804" s="17"/>
      <c r="C804" s="18"/>
      <c r="D804" s="18"/>
      <c r="E804" s="19"/>
      <c r="F804" s="20" t="n">
        <f aca="false">IF($C804=0,0,$C804-$D804)</f>
        <v>0</v>
      </c>
      <c r="G804" s="20" t="n">
        <f aca="false">IF($F804=0,0,$F804*$E804)</f>
        <v>0</v>
      </c>
      <c r="H804" s="20" t="n">
        <f aca="false">$F804-$G804</f>
        <v>0</v>
      </c>
      <c r="I804" s="16"/>
    </row>
    <row r="805" customFormat="false" ht="15" hidden="false" customHeight="true" outlineLevel="0" collapsed="false">
      <c r="A805" s="16"/>
      <c r="B805" s="17"/>
      <c r="C805" s="18"/>
      <c r="D805" s="18"/>
      <c r="E805" s="19"/>
      <c r="F805" s="20" t="n">
        <f aca="false">IF($C805=0,0,$C805-$D805)</f>
        <v>0</v>
      </c>
      <c r="G805" s="20" t="n">
        <f aca="false">IF($F805=0,0,$F805*$E805)</f>
        <v>0</v>
      </c>
      <c r="H805" s="20" t="n">
        <f aca="false">$F805-$G805</f>
        <v>0</v>
      </c>
      <c r="I805" s="16"/>
    </row>
    <row r="806" customFormat="false" ht="15" hidden="false" customHeight="true" outlineLevel="0" collapsed="false">
      <c r="A806" s="16"/>
      <c r="B806" s="17"/>
      <c r="C806" s="18"/>
      <c r="D806" s="18"/>
      <c r="E806" s="19"/>
      <c r="F806" s="20" t="n">
        <f aca="false">IF($C806=0,0,$C806-$D806)</f>
        <v>0</v>
      </c>
      <c r="G806" s="20" t="n">
        <f aca="false">IF($F806=0,0,$F806*$E806)</f>
        <v>0</v>
      </c>
      <c r="H806" s="20" t="n">
        <f aca="false">$F806-$G806</f>
        <v>0</v>
      </c>
      <c r="I806" s="16"/>
    </row>
    <row r="807" customFormat="false" ht="15" hidden="false" customHeight="true" outlineLevel="0" collapsed="false">
      <c r="A807" s="16"/>
      <c r="B807" s="17"/>
      <c r="C807" s="18"/>
      <c r="D807" s="18"/>
      <c r="E807" s="19"/>
      <c r="F807" s="20" t="n">
        <f aca="false">IF($C807=0,0,$C807-$D807)</f>
        <v>0</v>
      </c>
      <c r="G807" s="20" t="n">
        <f aca="false">IF($F807=0,0,$F807*$E807)</f>
        <v>0</v>
      </c>
      <c r="H807" s="20" t="n">
        <f aca="false">$F807-$G807</f>
        <v>0</v>
      </c>
      <c r="I807" s="16"/>
    </row>
    <row r="808" customFormat="false" ht="15" hidden="false" customHeight="true" outlineLevel="0" collapsed="false">
      <c r="A808" s="16"/>
      <c r="B808" s="17"/>
      <c r="C808" s="18"/>
      <c r="D808" s="18"/>
      <c r="E808" s="19"/>
      <c r="F808" s="20" t="n">
        <f aca="false">IF($C808=0,0,$C808-$D808)</f>
        <v>0</v>
      </c>
      <c r="G808" s="20" t="n">
        <f aca="false">IF($F808=0,0,$F808*$E808)</f>
        <v>0</v>
      </c>
      <c r="H808" s="20" t="n">
        <f aca="false">$F808-$G808</f>
        <v>0</v>
      </c>
      <c r="I808" s="16"/>
    </row>
    <row r="809" customFormat="false" ht="15" hidden="false" customHeight="true" outlineLevel="0" collapsed="false">
      <c r="A809" s="16"/>
      <c r="B809" s="17"/>
      <c r="C809" s="18"/>
      <c r="D809" s="18"/>
      <c r="E809" s="19"/>
      <c r="F809" s="20" t="n">
        <f aca="false">IF($C809=0,0,$C809-$D809)</f>
        <v>0</v>
      </c>
      <c r="G809" s="20" t="n">
        <f aca="false">IF($F809=0,0,$F809*$E809)</f>
        <v>0</v>
      </c>
      <c r="H809" s="20" t="n">
        <f aca="false">$F809-$G809</f>
        <v>0</v>
      </c>
      <c r="I809" s="16"/>
    </row>
    <row r="810" customFormat="false" ht="15" hidden="false" customHeight="true" outlineLevel="0" collapsed="false">
      <c r="A810" s="16"/>
      <c r="B810" s="17"/>
      <c r="C810" s="18"/>
      <c r="D810" s="18"/>
      <c r="E810" s="19"/>
      <c r="F810" s="20" t="n">
        <f aca="false">IF($C810=0,0,$C810-$D810)</f>
        <v>0</v>
      </c>
      <c r="G810" s="20" t="n">
        <f aca="false">IF($F810=0,0,$F810*$E810)</f>
        <v>0</v>
      </c>
      <c r="H810" s="20" t="n">
        <f aca="false">$F810-$G810</f>
        <v>0</v>
      </c>
      <c r="I810" s="16"/>
    </row>
    <row r="811" customFormat="false" ht="15" hidden="false" customHeight="true" outlineLevel="0" collapsed="false">
      <c r="A811" s="16"/>
      <c r="B811" s="17"/>
      <c r="C811" s="18"/>
      <c r="D811" s="18"/>
      <c r="E811" s="19"/>
      <c r="F811" s="20" t="n">
        <f aca="false">IF($C811=0,0,$C811-$D811)</f>
        <v>0</v>
      </c>
      <c r="G811" s="20" t="n">
        <f aca="false">IF($F811=0,0,$F811*$E811)</f>
        <v>0</v>
      </c>
      <c r="H811" s="20" t="n">
        <f aca="false">$F811-$G811</f>
        <v>0</v>
      </c>
      <c r="I811" s="16"/>
    </row>
    <row r="812" customFormat="false" ht="15" hidden="false" customHeight="true" outlineLevel="0" collapsed="false">
      <c r="A812" s="16"/>
      <c r="B812" s="17"/>
      <c r="C812" s="18"/>
      <c r="D812" s="18"/>
      <c r="E812" s="19"/>
      <c r="F812" s="20" t="n">
        <f aca="false">IF($C812=0,0,$C812-$D812)</f>
        <v>0</v>
      </c>
      <c r="G812" s="20" t="n">
        <f aca="false">IF($F812=0,0,$F812*$E812)</f>
        <v>0</v>
      </c>
      <c r="H812" s="20" t="n">
        <f aca="false">$F812-$G812</f>
        <v>0</v>
      </c>
      <c r="I812" s="16"/>
    </row>
    <row r="813" customFormat="false" ht="15" hidden="false" customHeight="true" outlineLevel="0" collapsed="false">
      <c r="A813" s="16"/>
      <c r="B813" s="17"/>
      <c r="C813" s="18"/>
      <c r="D813" s="18"/>
      <c r="E813" s="19"/>
      <c r="F813" s="20" t="n">
        <f aca="false">IF($C813=0,0,$C813-$D813)</f>
        <v>0</v>
      </c>
      <c r="G813" s="20" t="n">
        <f aca="false">IF($F813=0,0,$F813*$E813)</f>
        <v>0</v>
      </c>
      <c r="H813" s="20" t="n">
        <f aca="false">$F813-$G813</f>
        <v>0</v>
      </c>
      <c r="I813" s="16"/>
    </row>
    <row r="814" customFormat="false" ht="15" hidden="false" customHeight="true" outlineLevel="0" collapsed="false">
      <c r="A814" s="16"/>
      <c r="B814" s="17"/>
      <c r="C814" s="18"/>
      <c r="D814" s="18"/>
      <c r="E814" s="19"/>
      <c r="F814" s="20" t="n">
        <f aca="false">IF($C814=0,0,$C814-$D814)</f>
        <v>0</v>
      </c>
      <c r="G814" s="20" t="n">
        <f aca="false">IF($F814=0,0,$F814*$E814)</f>
        <v>0</v>
      </c>
      <c r="H814" s="20" t="n">
        <f aca="false">$F814-$G814</f>
        <v>0</v>
      </c>
      <c r="I814" s="16"/>
    </row>
    <row r="815" customFormat="false" ht="15" hidden="false" customHeight="true" outlineLevel="0" collapsed="false">
      <c r="A815" s="16"/>
      <c r="B815" s="17"/>
      <c r="C815" s="18"/>
      <c r="D815" s="18"/>
      <c r="E815" s="19"/>
      <c r="F815" s="20" t="n">
        <f aca="false">IF($C815=0,0,$C815-$D815)</f>
        <v>0</v>
      </c>
      <c r="G815" s="20" t="n">
        <f aca="false">IF($F815=0,0,$F815*$E815)</f>
        <v>0</v>
      </c>
      <c r="H815" s="20" t="n">
        <f aca="false">$F815-$G815</f>
        <v>0</v>
      </c>
      <c r="I815" s="16"/>
    </row>
    <row r="816" customFormat="false" ht="15" hidden="false" customHeight="true" outlineLevel="0" collapsed="false">
      <c r="A816" s="16"/>
      <c r="B816" s="17"/>
      <c r="C816" s="18"/>
      <c r="D816" s="18"/>
      <c r="E816" s="19"/>
      <c r="F816" s="20" t="n">
        <f aca="false">IF($C816=0,0,$C816-$D816)</f>
        <v>0</v>
      </c>
      <c r="G816" s="20" t="n">
        <f aca="false">IF($F816=0,0,$F816*$E816)</f>
        <v>0</v>
      </c>
      <c r="H816" s="20" t="n">
        <f aca="false">$F816-$G816</f>
        <v>0</v>
      </c>
      <c r="I816" s="16"/>
    </row>
    <row r="817" customFormat="false" ht="15" hidden="false" customHeight="true" outlineLevel="0" collapsed="false">
      <c r="A817" s="16"/>
      <c r="B817" s="17"/>
      <c r="C817" s="18"/>
      <c r="D817" s="18"/>
      <c r="E817" s="19"/>
      <c r="F817" s="20" t="n">
        <f aca="false">IF($C817=0,0,$C817-$D817)</f>
        <v>0</v>
      </c>
      <c r="G817" s="20" t="n">
        <f aca="false">IF($F817=0,0,$F817*$E817)</f>
        <v>0</v>
      </c>
      <c r="H817" s="20" t="n">
        <f aca="false">$F817-$G817</f>
        <v>0</v>
      </c>
      <c r="I817" s="16"/>
    </row>
    <row r="818" customFormat="false" ht="15" hidden="false" customHeight="true" outlineLevel="0" collapsed="false">
      <c r="A818" s="16"/>
      <c r="B818" s="17"/>
      <c r="C818" s="18"/>
      <c r="D818" s="18"/>
      <c r="E818" s="19"/>
      <c r="F818" s="20" t="n">
        <f aca="false">IF($C818=0,0,$C818-$D818)</f>
        <v>0</v>
      </c>
      <c r="G818" s="20" t="n">
        <f aca="false">IF($F818=0,0,$F818*$E818)</f>
        <v>0</v>
      </c>
      <c r="H818" s="20" t="n">
        <f aca="false">$F818-$G818</f>
        <v>0</v>
      </c>
      <c r="I818" s="16"/>
    </row>
    <row r="819" customFormat="false" ht="15" hidden="false" customHeight="true" outlineLevel="0" collapsed="false">
      <c r="A819" s="16"/>
      <c r="B819" s="17"/>
      <c r="C819" s="18"/>
      <c r="D819" s="18"/>
      <c r="E819" s="19"/>
      <c r="F819" s="20" t="n">
        <f aca="false">IF($C819=0,0,$C819-$D819)</f>
        <v>0</v>
      </c>
      <c r="G819" s="20" t="n">
        <f aca="false">IF($F819=0,0,$F819*$E819)</f>
        <v>0</v>
      </c>
      <c r="H819" s="20" t="n">
        <f aca="false">$F819-$G819</f>
        <v>0</v>
      </c>
      <c r="I819" s="16"/>
    </row>
    <row r="820" customFormat="false" ht="15" hidden="false" customHeight="true" outlineLevel="0" collapsed="false">
      <c r="A820" s="16"/>
      <c r="B820" s="17"/>
      <c r="C820" s="18"/>
      <c r="D820" s="18"/>
      <c r="E820" s="19"/>
      <c r="F820" s="20" t="n">
        <f aca="false">IF($C820=0,0,$C820-$D820)</f>
        <v>0</v>
      </c>
      <c r="G820" s="20" t="n">
        <f aca="false">IF($F820=0,0,$F820*$E820)</f>
        <v>0</v>
      </c>
      <c r="H820" s="20" t="n">
        <f aca="false">$F820-$G820</f>
        <v>0</v>
      </c>
      <c r="I820" s="16"/>
    </row>
    <row r="821" customFormat="false" ht="15" hidden="false" customHeight="true" outlineLevel="0" collapsed="false">
      <c r="A821" s="16"/>
      <c r="B821" s="17"/>
      <c r="C821" s="18"/>
      <c r="D821" s="18"/>
      <c r="E821" s="19"/>
      <c r="F821" s="20" t="n">
        <f aca="false">IF($C821=0,0,$C821-$D821)</f>
        <v>0</v>
      </c>
      <c r="G821" s="20" t="n">
        <f aca="false">IF($F821=0,0,$F821*$E821)</f>
        <v>0</v>
      </c>
      <c r="H821" s="20" t="n">
        <f aca="false">$F821-$G821</f>
        <v>0</v>
      </c>
      <c r="I821" s="16"/>
    </row>
    <row r="822" customFormat="false" ht="15" hidden="false" customHeight="true" outlineLevel="0" collapsed="false">
      <c r="A822" s="16"/>
      <c r="B822" s="17"/>
      <c r="C822" s="18"/>
      <c r="D822" s="18"/>
      <c r="E822" s="19"/>
      <c r="F822" s="20" t="n">
        <f aca="false">IF($C822=0,0,$C822-$D822)</f>
        <v>0</v>
      </c>
      <c r="G822" s="20" t="n">
        <f aca="false">IF($F822=0,0,$F822*$E822)</f>
        <v>0</v>
      </c>
      <c r="H822" s="20" t="n">
        <f aca="false">$F822-$G822</f>
        <v>0</v>
      </c>
      <c r="I822" s="16"/>
    </row>
    <row r="823" customFormat="false" ht="15" hidden="false" customHeight="true" outlineLevel="0" collapsed="false">
      <c r="A823" s="16"/>
      <c r="B823" s="17"/>
      <c r="C823" s="18"/>
      <c r="D823" s="18"/>
      <c r="E823" s="19"/>
      <c r="F823" s="20" t="n">
        <f aca="false">IF($C823=0,0,$C823-$D823)</f>
        <v>0</v>
      </c>
      <c r="G823" s="20" t="n">
        <f aca="false">IF($F823=0,0,$F823*$E823)</f>
        <v>0</v>
      </c>
      <c r="H823" s="20" t="n">
        <f aca="false">$F823-$G823</f>
        <v>0</v>
      </c>
      <c r="I823" s="16"/>
    </row>
    <row r="824" customFormat="false" ht="15" hidden="false" customHeight="true" outlineLevel="0" collapsed="false">
      <c r="A824" s="16"/>
      <c r="B824" s="17"/>
      <c r="C824" s="18"/>
      <c r="D824" s="18"/>
      <c r="E824" s="19"/>
      <c r="F824" s="20" t="n">
        <f aca="false">IF($C824=0,0,$C824-$D824)</f>
        <v>0</v>
      </c>
      <c r="G824" s="20" t="n">
        <f aca="false">IF($F824=0,0,$F824*$E824)</f>
        <v>0</v>
      </c>
      <c r="H824" s="20" t="n">
        <f aca="false">$F824-$G824</f>
        <v>0</v>
      </c>
      <c r="I824" s="16"/>
    </row>
    <row r="825" customFormat="false" ht="15" hidden="false" customHeight="true" outlineLevel="0" collapsed="false">
      <c r="A825" s="16"/>
      <c r="B825" s="17"/>
      <c r="C825" s="18"/>
      <c r="D825" s="18"/>
      <c r="E825" s="19"/>
      <c r="F825" s="20" t="n">
        <f aca="false">IF($C825=0,0,$C825-$D825)</f>
        <v>0</v>
      </c>
      <c r="G825" s="20" t="n">
        <f aca="false">IF($F825=0,0,$F825*$E825)</f>
        <v>0</v>
      </c>
      <c r="H825" s="20" t="n">
        <f aca="false">$F825-$G825</f>
        <v>0</v>
      </c>
      <c r="I825" s="16"/>
    </row>
    <row r="826" customFormat="false" ht="15" hidden="false" customHeight="true" outlineLevel="0" collapsed="false">
      <c r="A826" s="16"/>
      <c r="B826" s="17"/>
      <c r="C826" s="18"/>
      <c r="D826" s="18"/>
      <c r="E826" s="19"/>
      <c r="F826" s="20" t="n">
        <f aca="false">IF($C826=0,0,$C826-$D826)</f>
        <v>0</v>
      </c>
      <c r="G826" s="20" t="n">
        <f aca="false">IF($F826=0,0,$F826*$E826)</f>
        <v>0</v>
      </c>
      <c r="H826" s="20" t="n">
        <f aca="false">$F826-$G826</f>
        <v>0</v>
      </c>
      <c r="I826" s="16"/>
    </row>
    <row r="827" customFormat="false" ht="15" hidden="false" customHeight="true" outlineLevel="0" collapsed="false">
      <c r="A827" s="16"/>
      <c r="B827" s="17"/>
      <c r="C827" s="18"/>
      <c r="D827" s="18"/>
      <c r="E827" s="19"/>
      <c r="F827" s="20" t="n">
        <f aca="false">IF($C827=0,0,$C827-$D827)</f>
        <v>0</v>
      </c>
      <c r="G827" s="20" t="n">
        <f aca="false">IF($F827=0,0,$F827*$E827)</f>
        <v>0</v>
      </c>
      <c r="H827" s="20" t="n">
        <f aca="false">$F827-$G827</f>
        <v>0</v>
      </c>
      <c r="I827" s="16"/>
    </row>
    <row r="828" customFormat="false" ht="15" hidden="false" customHeight="true" outlineLevel="0" collapsed="false">
      <c r="A828" s="16"/>
      <c r="B828" s="17"/>
      <c r="C828" s="18"/>
      <c r="D828" s="18"/>
      <c r="E828" s="19"/>
      <c r="F828" s="20" t="n">
        <f aca="false">IF($C828=0,0,$C828-$D828)</f>
        <v>0</v>
      </c>
      <c r="G828" s="20" t="n">
        <f aca="false">IF($F828=0,0,$F828*$E828)</f>
        <v>0</v>
      </c>
      <c r="H828" s="20" t="n">
        <f aca="false">$F828-$G828</f>
        <v>0</v>
      </c>
      <c r="I828" s="16"/>
    </row>
    <row r="829" customFormat="false" ht="15" hidden="false" customHeight="true" outlineLevel="0" collapsed="false">
      <c r="A829" s="16"/>
      <c r="B829" s="17"/>
      <c r="C829" s="18"/>
      <c r="D829" s="18"/>
      <c r="E829" s="19"/>
      <c r="F829" s="20" t="n">
        <f aca="false">IF($C829=0,0,$C829-$D829)</f>
        <v>0</v>
      </c>
      <c r="G829" s="20" t="n">
        <f aca="false">IF($F829=0,0,$F829*$E829)</f>
        <v>0</v>
      </c>
      <c r="H829" s="20" t="n">
        <f aca="false">$F829-$G829</f>
        <v>0</v>
      </c>
      <c r="I829" s="16"/>
    </row>
    <row r="830" customFormat="false" ht="15" hidden="false" customHeight="true" outlineLevel="0" collapsed="false">
      <c r="A830" s="16"/>
      <c r="B830" s="17"/>
      <c r="C830" s="18"/>
      <c r="D830" s="18"/>
      <c r="E830" s="19"/>
      <c r="F830" s="20" t="n">
        <f aca="false">IF($C830=0,0,$C830-$D830)</f>
        <v>0</v>
      </c>
      <c r="G830" s="20" t="n">
        <f aca="false">IF($F830=0,0,$F830*$E830)</f>
        <v>0</v>
      </c>
      <c r="H830" s="20" t="n">
        <f aca="false">$F830-$G830</f>
        <v>0</v>
      </c>
      <c r="I830" s="16"/>
    </row>
    <row r="831" customFormat="false" ht="15" hidden="false" customHeight="true" outlineLevel="0" collapsed="false">
      <c r="A831" s="16"/>
      <c r="B831" s="17"/>
      <c r="C831" s="18"/>
      <c r="D831" s="18"/>
      <c r="E831" s="19"/>
      <c r="F831" s="20" t="n">
        <f aca="false">IF($C831=0,0,$C831-$D831)</f>
        <v>0</v>
      </c>
      <c r="G831" s="20" t="n">
        <f aca="false">IF($F831=0,0,$F831*$E831)</f>
        <v>0</v>
      </c>
      <c r="H831" s="20" t="n">
        <f aca="false">$F831-$G831</f>
        <v>0</v>
      </c>
      <c r="I831" s="16"/>
    </row>
    <row r="832" customFormat="false" ht="15" hidden="false" customHeight="true" outlineLevel="0" collapsed="false">
      <c r="A832" s="16"/>
      <c r="B832" s="17"/>
      <c r="C832" s="18"/>
      <c r="D832" s="18"/>
      <c r="E832" s="19"/>
      <c r="F832" s="20" t="n">
        <f aca="false">IF($C832=0,0,$C832-$D832)</f>
        <v>0</v>
      </c>
      <c r="G832" s="20" t="n">
        <f aca="false">IF($F832=0,0,$F832*$E832)</f>
        <v>0</v>
      </c>
      <c r="H832" s="20" t="n">
        <f aca="false">$F832-$G832</f>
        <v>0</v>
      </c>
      <c r="I832" s="16"/>
    </row>
    <row r="833" customFormat="false" ht="15" hidden="false" customHeight="true" outlineLevel="0" collapsed="false">
      <c r="A833" s="16"/>
      <c r="B833" s="17"/>
      <c r="C833" s="18"/>
      <c r="D833" s="18"/>
      <c r="E833" s="19"/>
      <c r="F833" s="20" t="n">
        <f aca="false">IF($C833=0,0,$C833-$D833)</f>
        <v>0</v>
      </c>
      <c r="G833" s="20" t="n">
        <f aca="false">IF($F833=0,0,$F833*$E833)</f>
        <v>0</v>
      </c>
      <c r="H833" s="20" t="n">
        <f aca="false">$F833-$G833</f>
        <v>0</v>
      </c>
      <c r="I833" s="16"/>
    </row>
    <row r="834" customFormat="false" ht="15" hidden="false" customHeight="true" outlineLevel="0" collapsed="false">
      <c r="A834" s="16"/>
      <c r="B834" s="17"/>
      <c r="C834" s="18"/>
      <c r="D834" s="18"/>
      <c r="E834" s="19"/>
      <c r="F834" s="20" t="n">
        <f aca="false">IF($C834=0,0,$C834-$D834)</f>
        <v>0</v>
      </c>
      <c r="G834" s="20" t="n">
        <f aca="false">IF($F834=0,0,$F834*$E834)</f>
        <v>0</v>
      </c>
      <c r="H834" s="20" t="n">
        <f aca="false">$F834-$G834</f>
        <v>0</v>
      </c>
      <c r="I834" s="16"/>
    </row>
    <row r="835" customFormat="false" ht="15" hidden="false" customHeight="true" outlineLevel="0" collapsed="false">
      <c r="A835" s="16"/>
      <c r="B835" s="17"/>
      <c r="C835" s="18"/>
      <c r="D835" s="18"/>
      <c r="E835" s="19"/>
      <c r="F835" s="20" t="n">
        <f aca="false">IF($C835=0,0,$C835-$D835)</f>
        <v>0</v>
      </c>
      <c r="G835" s="20" t="n">
        <f aca="false">IF($F835=0,0,$F835*$E835)</f>
        <v>0</v>
      </c>
      <c r="H835" s="20" t="n">
        <f aca="false">$F835-$G835</f>
        <v>0</v>
      </c>
      <c r="I835" s="16"/>
    </row>
    <row r="836" customFormat="false" ht="15" hidden="false" customHeight="true" outlineLevel="0" collapsed="false">
      <c r="A836" s="16"/>
      <c r="B836" s="17"/>
      <c r="C836" s="18"/>
      <c r="D836" s="18"/>
      <c r="E836" s="19"/>
      <c r="F836" s="20" t="n">
        <f aca="false">IF($C836=0,0,$C836-$D836)</f>
        <v>0</v>
      </c>
      <c r="G836" s="20" t="n">
        <f aca="false">IF($F836=0,0,$F836*$E836)</f>
        <v>0</v>
      </c>
      <c r="H836" s="20" t="n">
        <f aca="false">$F836-$G836</f>
        <v>0</v>
      </c>
      <c r="I836" s="16"/>
    </row>
    <row r="837" customFormat="false" ht="15" hidden="false" customHeight="true" outlineLevel="0" collapsed="false">
      <c r="A837" s="16"/>
      <c r="B837" s="17"/>
      <c r="C837" s="18"/>
      <c r="D837" s="18"/>
      <c r="E837" s="19"/>
      <c r="F837" s="20" t="n">
        <f aca="false">IF($C837=0,0,$C837-$D837)</f>
        <v>0</v>
      </c>
      <c r="G837" s="20" t="n">
        <f aca="false">IF($F837=0,0,$F837*$E837)</f>
        <v>0</v>
      </c>
      <c r="H837" s="20" t="n">
        <f aca="false">$F837-$G837</f>
        <v>0</v>
      </c>
      <c r="I837" s="16"/>
    </row>
    <row r="838" customFormat="false" ht="15" hidden="false" customHeight="true" outlineLevel="0" collapsed="false">
      <c r="A838" s="16"/>
      <c r="B838" s="17"/>
      <c r="C838" s="18"/>
      <c r="D838" s="18"/>
      <c r="E838" s="19"/>
      <c r="F838" s="20" t="n">
        <f aca="false">IF($C838=0,0,$C838-$D838)</f>
        <v>0</v>
      </c>
      <c r="G838" s="20" t="n">
        <f aca="false">IF($F838=0,0,$F838*$E838)</f>
        <v>0</v>
      </c>
      <c r="H838" s="20" t="n">
        <f aca="false">$F838-$G838</f>
        <v>0</v>
      </c>
      <c r="I838" s="16"/>
    </row>
    <row r="839" customFormat="false" ht="15" hidden="false" customHeight="true" outlineLevel="0" collapsed="false">
      <c r="A839" s="16"/>
      <c r="B839" s="17"/>
      <c r="C839" s="18"/>
      <c r="D839" s="18"/>
      <c r="E839" s="19"/>
      <c r="F839" s="20" t="n">
        <f aca="false">IF($C839=0,0,$C839-$D839)</f>
        <v>0</v>
      </c>
      <c r="G839" s="20" t="n">
        <f aca="false">IF($F839=0,0,$F839*$E839)</f>
        <v>0</v>
      </c>
      <c r="H839" s="20" t="n">
        <f aca="false">$F839-$G839</f>
        <v>0</v>
      </c>
      <c r="I839" s="16"/>
    </row>
    <row r="840" customFormat="false" ht="15" hidden="false" customHeight="true" outlineLevel="0" collapsed="false">
      <c r="A840" s="16"/>
      <c r="B840" s="17"/>
      <c r="C840" s="18"/>
      <c r="D840" s="18"/>
      <c r="E840" s="19"/>
      <c r="F840" s="20" t="n">
        <f aca="false">IF($C840=0,0,$C840-$D840)</f>
        <v>0</v>
      </c>
      <c r="G840" s="20" t="n">
        <f aca="false">IF($F840=0,0,$F840*$E840)</f>
        <v>0</v>
      </c>
      <c r="H840" s="20" t="n">
        <f aca="false">$F840-$G840</f>
        <v>0</v>
      </c>
      <c r="I840" s="16"/>
    </row>
    <row r="841" customFormat="false" ht="15" hidden="false" customHeight="true" outlineLevel="0" collapsed="false">
      <c r="A841" s="16"/>
      <c r="B841" s="17"/>
      <c r="C841" s="18"/>
      <c r="D841" s="18"/>
      <c r="E841" s="19"/>
      <c r="F841" s="20" t="n">
        <f aca="false">IF($C841=0,0,$C841-$D841)</f>
        <v>0</v>
      </c>
      <c r="G841" s="20" t="n">
        <f aca="false">IF($F841=0,0,$F841*$E841)</f>
        <v>0</v>
      </c>
      <c r="H841" s="20" t="n">
        <f aca="false">$F841-$G841</f>
        <v>0</v>
      </c>
      <c r="I841" s="16"/>
    </row>
    <row r="842" customFormat="false" ht="15" hidden="false" customHeight="true" outlineLevel="0" collapsed="false">
      <c r="A842" s="16"/>
      <c r="B842" s="17"/>
      <c r="C842" s="18"/>
      <c r="D842" s="18"/>
      <c r="E842" s="19"/>
      <c r="F842" s="20" t="n">
        <f aca="false">IF($C842=0,0,$C842-$D842)</f>
        <v>0</v>
      </c>
      <c r="G842" s="20" t="n">
        <f aca="false">IF($F842=0,0,$F842*$E842)</f>
        <v>0</v>
      </c>
      <c r="H842" s="20" t="n">
        <f aca="false">$F842-$G842</f>
        <v>0</v>
      </c>
      <c r="I842" s="16"/>
    </row>
    <row r="843" customFormat="false" ht="15" hidden="false" customHeight="true" outlineLevel="0" collapsed="false">
      <c r="A843" s="16"/>
      <c r="B843" s="17"/>
      <c r="C843" s="18"/>
      <c r="D843" s="18"/>
      <c r="E843" s="19"/>
      <c r="F843" s="20" t="n">
        <f aca="false">IF($C843=0,0,$C843-$D843)</f>
        <v>0</v>
      </c>
      <c r="G843" s="20" t="n">
        <f aca="false">IF($F843=0,0,$F843*$E843)</f>
        <v>0</v>
      </c>
      <c r="H843" s="20" t="n">
        <f aca="false">$F843-$G843</f>
        <v>0</v>
      </c>
      <c r="I843" s="16"/>
    </row>
    <row r="844" customFormat="false" ht="15" hidden="false" customHeight="true" outlineLevel="0" collapsed="false">
      <c r="A844" s="16"/>
      <c r="B844" s="17"/>
      <c r="C844" s="18"/>
      <c r="D844" s="18"/>
      <c r="E844" s="19"/>
      <c r="F844" s="20" t="n">
        <f aca="false">IF($C844=0,0,$C844-$D844)</f>
        <v>0</v>
      </c>
      <c r="G844" s="20" t="n">
        <f aca="false">IF($F844=0,0,$F844*$E844)</f>
        <v>0</v>
      </c>
      <c r="H844" s="20" t="n">
        <f aca="false">$F844-$G844</f>
        <v>0</v>
      </c>
      <c r="I844" s="16"/>
    </row>
    <row r="845" customFormat="false" ht="15" hidden="false" customHeight="true" outlineLevel="0" collapsed="false">
      <c r="A845" s="16"/>
      <c r="B845" s="17"/>
      <c r="C845" s="18"/>
      <c r="D845" s="18"/>
      <c r="E845" s="19"/>
      <c r="F845" s="20" t="n">
        <f aca="false">IF($C845=0,0,$C845-$D845)</f>
        <v>0</v>
      </c>
      <c r="G845" s="20" t="n">
        <f aca="false">IF($F845=0,0,$F845*$E845)</f>
        <v>0</v>
      </c>
      <c r="H845" s="20" t="n">
        <f aca="false">$F845-$G845</f>
        <v>0</v>
      </c>
      <c r="I845" s="16"/>
    </row>
    <row r="846" customFormat="false" ht="15" hidden="false" customHeight="true" outlineLevel="0" collapsed="false">
      <c r="A846" s="16"/>
      <c r="B846" s="17"/>
      <c r="C846" s="18"/>
      <c r="D846" s="18"/>
      <c r="E846" s="19"/>
      <c r="F846" s="20" t="n">
        <f aca="false">IF($C846=0,0,$C846-$D846)</f>
        <v>0</v>
      </c>
      <c r="G846" s="20" t="n">
        <f aca="false">IF($F846=0,0,$F846*$E846)</f>
        <v>0</v>
      </c>
      <c r="H846" s="20" t="n">
        <f aca="false">$F846-$G846</f>
        <v>0</v>
      </c>
      <c r="I846" s="16"/>
    </row>
    <row r="847" customFormat="false" ht="15" hidden="false" customHeight="true" outlineLevel="0" collapsed="false">
      <c r="A847" s="16"/>
      <c r="B847" s="17"/>
      <c r="C847" s="18"/>
      <c r="D847" s="18"/>
      <c r="E847" s="19"/>
      <c r="F847" s="20" t="n">
        <f aca="false">IF($C847=0,0,$C847-$D847)</f>
        <v>0</v>
      </c>
      <c r="G847" s="20" t="n">
        <f aca="false">IF($F847=0,0,$F847*$E847)</f>
        <v>0</v>
      </c>
      <c r="H847" s="20" t="n">
        <f aca="false">$F847-$G847</f>
        <v>0</v>
      </c>
      <c r="I847" s="16"/>
    </row>
    <row r="848" customFormat="false" ht="15" hidden="false" customHeight="true" outlineLevel="0" collapsed="false">
      <c r="A848" s="16"/>
      <c r="B848" s="17"/>
      <c r="C848" s="18"/>
      <c r="D848" s="18"/>
      <c r="E848" s="19"/>
      <c r="F848" s="20" t="n">
        <f aca="false">IF($C848=0,0,$C848-$D848)</f>
        <v>0</v>
      </c>
      <c r="G848" s="20" t="n">
        <f aca="false">IF($F848=0,0,$F848*$E848)</f>
        <v>0</v>
      </c>
      <c r="H848" s="20" t="n">
        <f aca="false">$F848-$G848</f>
        <v>0</v>
      </c>
      <c r="I848" s="16"/>
    </row>
    <row r="849" customFormat="false" ht="15" hidden="false" customHeight="true" outlineLevel="0" collapsed="false">
      <c r="A849" s="16"/>
      <c r="B849" s="17"/>
      <c r="C849" s="18"/>
      <c r="D849" s="18"/>
      <c r="E849" s="19"/>
      <c r="F849" s="20" t="n">
        <f aca="false">IF($C849=0,0,$C849-$D849)</f>
        <v>0</v>
      </c>
      <c r="G849" s="20" t="n">
        <f aca="false">IF($F849=0,0,$F849*$E849)</f>
        <v>0</v>
      </c>
      <c r="H849" s="20" t="n">
        <f aca="false">$F849-$G849</f>
        <v>0</v>
      </c>
      <c r="I849" s="16"/>
    </row>
    <row r="850" customFormat="false" ht="15" hidden="false" customHeight="true" outlineLevel="0" collapsed="false">
      <c r="A850" s="16"/>
      <c r="B850" s="17"/>
      <c r="C850" s="18"/>
      <c r="D850" s="18"/>
      <c r="E850" s="19"/>
      <c r="F850" s="20" t="n">
        <f aca="false">IF($C850=0,0,$C850-$D850)</f>
        <v>0</v>
      </c>
      <c r="G850" s="20" t="n">
        <f aca="false">IF($F850=0,0,$F850*$E850)</f>
        <v>0</v>
      </c>
      <c r="H850" s="20" t="n">
        <f aca="false">$F850-$G850</f>
        <v>0</v>
      </c>
      <c r="I850" s="16"/>
    </row>
    <row r="851" customFormat="false" ht="15" hidden="false" customHeight="true" outlineLevel="0" collapsed="false">
      <c r="A851" s="16"/>
      <c r="B851" s="17"/>
      <c r="C851" s="18"/>
      <c r="D851" s="18"/>
      <c r="E851" s="19"/>
      <c r="F851" s="20" t="n">
        <f aca="false">IF($C851=0,0,$C851-$D851)</f>
        <v>0</v>
      </c>
      <c r="G851" s="20" t="n">
        <f aca="false">IF($F851=0,0,$F851*$E851)</f>
        <v>0</v>
      </c>
      <c r="H851" s="20" t="n">
        <f aca="false">$F851-$G851</f>
        <v>0</v>
      </c>
      <c r="I851" s="16"/>
    </row>
    <row r="852" customFormat="false" ht="15" hidden="false" customHeight="true" outlineLevel="0" collapsed="false">
      <c r="A852" s="16"/>
      <c r="B852" s="17"/>
      <c r="C852" s="18"/>
      <c r="D852" s="18"/>
      <c r="E852" s="19"/>
      <c r="F852" s="20" t="n">
        <f aca="false">IF($C852=0,0,$C852-$D852)</f>
        <v>0</v>
      </c>
      <c r="G852" s="20" t="n">
        <f aca="false">IF($F852=0,0,$F852*$E852)</f>
        <v>0</v>
      </c>
      <c r="H852" s="20" t="n">
        <f aca="false">$F852-$G852</f>
        <v>0</v>
      </c>
      <c r="I852" s="16"/>
    </row>
    <row r="853" customFormat="false" ht="15" hidden="false" customHeight="true" outlineLevel="0" collapsed="false">
      <c r="A853" s="16"/>
      <c r="B853" s="17"/>
      <c r="C853" s="18"/>
      <c r="D853" s="18"/>
      <c r="E853" s="19"/>
      <c r="F853" s="20" t="n">
        <f aca="false">IF($C853=0,0,$C853-$D853)</f>
        <v>0</v>
      </c>
      <c r="G853" s="20" t="n">
        <f aca="false">IF($F853=0,0,$F853*$E853)</f>
        <v>0</v>
      </c>
      <c r="H853" s="20" t="n">
        <f aca="false">$F853-$G853</f>
        <v>0</v>
      </c>
      <c r="I853" s="16"/>
    </row>
    <row r="854" customFormat="false" ht="15" hidden="false" customHeight="true" outlineLevel="0" collapsed="false">
      <c r="A854" s="16"/>
      <c r="B854" s="17"/>
      <c r="C854" s="18"/>
      <c r="D854" s="18"/>
      <c r="E854" s="19"/>
      <c r="F854" s="20" t="n">
        <f aca="false">IF($C854=0,0,$C854-$D854)</f>
        <v>0</v>
      </c>
      <c r="G854" s="20" t="n">
        <f aca="false">IF($F854=0,0,$F854*$E854)</f>
        <v>0</v>
      </c>
      <c r="H854" s="20" t="n">
        <f aca="false">$F854-$G854</f>
        <v>0</v>
      </c>
      <c r="I854" s="16"/>
    </row>
    <row r="855" customFormat="false" ht="15" hidden="false" customHeight="true" outlineLevel="0" collapsed="false">
      <c r="A855" s="16"/>
      <c r="B855" s="17"/>
      <c r="C855" s="18"/>
      <c r="D855" s="18"/>
      <c r="E855" s="19"/>
      <c r="F855" s="20" t="n">
        <f aca="false">IF($C855=0,0,$C855-$D855)</f>
        <v>0</v>
      </c>
      <c r="G855" s="20" t="n">
        <f aca="false">IF($F855=0,0,$F855*$E855)</f>
        <v>0</v>
      </c>
      <c r="H855" s="20" t="n">
        <f aca="false">$F855-$G855</f>
        <v>0</v>
      </c>
      <c r="I855" s="16"/>
    </row>
    <row r="856" customFormat="false" ht="15" hidden="false" customHeight="true" outlineLevel="0" collapsed="false">
      <c r="A856" s="16"/>
      <c r="B856" s="17"/>
      <c r="C856" s="18"/>
      <c r="D856" s="18"/>
      <c r="E856" s="19"/>
      <c r="F856" s="20" t="n">
        <f aca="false">IF($C856=0,0,$C856-$D856)</f>
        <v>0</v>
      </c>
      <c r="G856" s="20" t="n">
        <f aca="false">IF($F856=0,0,$F856*$E856)</f>
        <v>0</v>
      </c>
      <c r="H856" s="20" t="n">
        <f aca="false">$F856-$G856</f>
        <v>0</v>
      </c>
      <c r="I856" s="16"/>
    </row>
    <row r="857" customFormat="false" ht="15" hidden="false" customHeight="true" outlineLevel="0" collapsed="false">
      <c r="A857" s="16"/>
      <c r="B857" s="17"/>
      <c r="C857" s="18"/>
      <c r="D857" s="18"/>
      <c r="E857" s="19"/>
      <c r="F857" s="20" t="n">
        <f aca="false">IF($C857=0,0,$C857-$D857)</f>
        <v>0</v>
      </c>
      <c r="G857" s="20" t="n">
        <f aca="false">IF($F857=0,0,$F857*$E857)</f>
        <v>0</v>
      </c>
      <c r="H857" s="20" t="n">
        <f aca="false">$F857-$G857</f>
        <v>0</v>
      </c>
      <c r="I857" s="16"/>
    </row>
    <row r="858" customFormat="false" ht="15" hidden="false" customHeight="true" outlineLevel="0" collapsed="false">
      <c r="A858" s="16"/>
      <c r="B858" s="17"/>
      <c r="C858" s="18"/>
      <c r="D858" s="18"/>
      <c r="E858" s="19"/>
      <c r="F858" s="20" t="n">
        <f aca="false">IF($C858=0,0,$C858-$D858)</f>
        <v>0</v>
      </c>
      <c r="G858" s="20" t="n">
        <f aca="false">IF($F858=0,0,$F858*$E858)</f>
        <v>0</v>
      </c>
      <c r="H858" s="20" t="n">
        <f aca="false">$F858-$G858</f>
        <v>0</v>
      </c>
      <c r="I858" s="16"/>
    </row>
    <row r="859" customFormat="false" ht="15" hidden="false" customHeight="true" outlineLevel="0" collapsed="false">
      <c r="A859" s="16"/>
      <c r="B859" s="17"/>
      <c r="C859" s="18"/>
      <c r="D859" s="18"/>
      <c r="E859" s="19"/>
      <c r="F859" s="20" t="n">
        <f aca="false">IF($C859=0,0,$C859-$D859)</f>
        <v>0</v>
      </c>
      <c r="G859" s="20" t="n">
        <f aca="false">IF($F859=0,0,$F859*$E859)</f>
        <v>0</v>
      </c>
      <c r="H859" s="20" t="n">
        <f aca="false">$F859-$G859</f>
        <v>0</v>
      </c>
      <c r="I859" s="16"/>
    </row>
    <row r="860" customFormat="false" ht="15" hidden="false" customHeight="true" outlineLevel="0" collapsed="false">
      <c r="A860" s="16"/>
      <c r="B860" s="17"/>
      <c r="C860" s="18"/>
      <c r="D860" s="18"/>
      <c r="E860" s="19"/>
      <c r="F860" s="20" t="n">
        <f aca="false">IF($C860=0,0,$C860-$D860)</f>
        <v>0</v>
      </c>
      <c r="G860" s="20" t="n">
        <f aca="false">IF($F860=0,0,$F860*$E860)</f>
        <v>0</v>
      </c>
      <c r="H860" s="20" t="n">
        <f aca="false">$F860-$G860</f>
        <v>0</v>
      </c>
      <c r="I860" s="16"/>
    </row>
    <row r="861" customFormat="false" ht="15" hidden="false" customHeight="true" outlineLevel="0" collapsed="false">
      <c r="A861" s="16"/>
      <c r="B861" s="17"/>
      <c r="C861" s="18"/>
      <c r="D861" s="18"/>
      <c r="E861" s="19"/>
      <c r="F861" s="20" t="n">
        <f aca="false">IF($C861=0,0,$C861-$D861)</f>
        <v>0</v>
      </c>
      <c r="G861" s="20" t="n">
        <f aca="false">IF($F861=0,0,$F861*$E861)</f>
        <v>0</v>
      </c>
      <c r="H861" s="20" t="n">
        <f aca="false">$F861-$G861</f>
        <v>0</v>
      </c>
      <c r="I861" s="16"/>
    </row>
    <row r="862" customFormat="false" ht="15" hidden="false" customHeight="true" outlineLevel="0" collapsed="false">
      <c r="A862" s="16"/>
      <c r="B862" s="17"/>
      <c r="C862" s="18"/>
      <c r="D862" s="18"/>
      <c r="E862" s="19"/>
      <c r="F862" s="20" t="n">
        <f aca="false">IF($C862=0,0,$C862-$D862)</f>
        <v>0</v>
      </c>
      <c r="G862" s="20" t="n">
        <f aca="false">IF($F862=0,0,$F862*$E862)</f>
        <v>0</v>
      </c>
      <c r="H862" s="20" t="n">
        <f aca="false">$F862-$G862</f>
        <v>0</v>
      </c>
      <c r="I862" s="16"/>
    </row>
    <row r="863" customFormat="false" ht="15" hidden="false" customHeight="true" outlineLevel="0" collapsed="false">
      <c r="A863" s="16"/>
      <c r="B863" s="17"/>
      <c r="C863" s="18"/>
      <c r="D863" s="18"/>
      <c r="E863" s="19"/>
      <c r="F863" s="20" t="n">
        <f aca="false">IF($C863=0,0,$C863-$D863)</f>
        <v>0</v>
      </c>
      <c r="G863" s="20" t="n">
        <f aca="false">IF($F863=0,0,$F863*$E863)</f>
        <v>0</v>
      </c>
      <c r="H863" s="20" t="n">
        <f aca="false">$F863-$G863</f>
        <v>0</v>
      </c>
      <c r="I863" s="16"/>
    </row>
    <row r="864" customFormat="false" ht="15" hidden="false" customHeight="true" outlineLevel="0" collapsed="false">
      <c r="A864" s="16"/>
      <c r="B864" s="17"/>
      <c r="C864" s="18"/>
      <c r="D864" s="18"/>
      <c r="E864" s="19"/>
      <c r="F864" s="20" t="n">
        <f aca="false">IF($C864=0,0,$C864-$D864)</f>
        <v>0</v>
      </c>
      <c r="G864" s="20" t="n">
        <f aca="false">IF($F864=0,0,$F864*$E864)</f>
        <v>0</v>
      </c>
      <c r="H864" s="20" t="n">
        <f aca="false">$F864-$G864</f>
        <v>0</v>
      </c>
      <c r="I864" s="16"/>
    </row>
    <row r="865" customFormat="false" ht="15" hidden="false" customHeight="true" outlineLevel="0" collapsed="false">
      <c r="A865" s="16"/>
      <c r="B865" s="17"/>
      <c r="C865" s="18"/>
      <c r="D865" s="18"/>
      <c r="E865" s="19"/>
      <c r="F865" s="20" t="n">
        <f aca="false">IF($C865=0,0,$C865-$D865)</f>
        <v>0</v>
      </c>
      <c r="G865" s="20" t="n">
        <f aca="false">IF($F865=0,0,$F865*$E865)</f>
        <v>0</v>
      </c>
      <c r="H865" s="20" t="n">
        <f aca="false">$F865-$G865</f>
        <v>0</v>
      </c>
      <c r="I865" s="16"/>
    </row>
    <row r="866" customFormat="false" ht="15" hidden="false" customHeight="true" outlineLevel="0" collapsed="false">
      <c r="A866" s="16"/>
      <c r="B866" s="17"/>
      <c r="C866" s="18"/>
      <c r="D866" s="18"/>
      <c r="E866" s="19"/>
      <c r="F866" s="20" t="n">
        <f aca="false">IF($C866=0,0,$C866-$D866)</f>
        <v>0</v>
      </c>
      <c r="G866" s="20" t="n">
        <f aca="false">IF($F866=0,0,$F866*$E866)</f>
        <v>0</v>
      </c>
      <c r="H866" s="20" t="n">
        <f aca="false">$F866-$G866</f>
        <v>0</v>
      </c>
      <c r="I866" s="16"/>
    </row>
    <row r="867" customFormat="false" ht="15" hidden="false" customHeight="true" outlineLevel="0" collapsed="false">
      <c r="A867" s="16"/>
      <c r="B867" s="17"/>
      <c r="C867" s="18"/>
      <c r="D867" s="18"/>
      <c r="E867" s="19"/>
      <c r="F867" s="20" t="n">
        <f aca="false">IF($C867=0,0,$C867-$D867)</f>
        <v>0</v>
      </c>
      <c r="G867" s="20" t="n">
        <f aca="false">IF($F867=0,0,$F867*$E867)</f>
        <v>0</v>
      </c>
      <c r="H867" s="20" t="n">
        <f aca="false">$F867-$G867</f>
        <v>0</v>
      </c>
      <c r="I867" s="16"/>
    </row>
    <row r="868" customFormat="false" ht="15" hidden="false" customHeight="true" outlineLevel="0" collapsed="false">
      <c r="A868" s="16"/>
      <c r="B868" s="17"/>
      <c r="C868" s="18"/>
      <c r="D868" s="18"/>
      <c r="E868" s="19"/>
      <c r="F868" s="20" t="n">
        <f aca="false">IF($C868=0,0,$C868-$D868)</f>
        <v>0</v>
      </c>
      <c r="G868" s="20" t="n">
        <f aca="false">IF($F868=0,0,$F868*$E868)</f>
        <v>0</v>
      </c>
      <c r="H868" s="20" t="n">
        <f aca="false">$F868-$G868</f>
        <v>0</v>
      </c>
      <c r="I868" s="16"/>
    </row>
    <row r="869" customFormat="false" ht="15" hidden="false" customHeight="true" outlineLevel="0" collapsed="false">
      <c r="A869" s="16"/>
      <c r="B869" s="17"/>
      <c r="C869" s="18"/>
      <c r="D869" s="18"/>
      <c r="E869" s="19"/>
      <c r="F869" s="20" t="n">
        <f aca="false">IF($C869=0,0,$C869-$D869)</f>
        <v>0</v>
      </c>
      <c r="G869" s="20" t="n">
        <f aca="false">IF($F869=0,0,$F869*$E869)</f>
        <v>0</v>
      </c>
      <c r="H869" s="20" t="n">
        <f aca="false">$F869-$G869</f>
        <v>0</v>
      </c>
      <c r="I869" s="16"/>
    </row>
    <row r="870" customFormat="false" ht="15" hidden="false" customHeight="true" outlineLevel="0" collapsed="false">
      <c r="A870" s="16"/>
      <c r="B870" s="17"/>
      <c r="C870" s="18"/>
      <c r="D870" s="18"/>
      <c r="E870" s="19"/>
      <c r="F870" s="20" t="n">
        <f aca="false">IF($C870=0,0,$C870-$D870)</f>
        <v>0</v>
      </c>
      <c r="G870" s="20" t="n">
        <f aca="false">IF($F870=0,0,$F870*$E870)</f>
        <v>0</v>
      </c>
      <c r="H870" s="20" t="n">
        <f aca="false">$F870-$G870</f>
        <v>0</v>
      </c>
      <c r="I870" s="16"/>
    </row>
    <row r="871" customFormat="false" ht="15" hidden="false" customHeight="true" outlineLevel="0" collapsed="false">
      <c r="A871" s="16"/>
      <c r="B871" s="17"/>
      <c r="C871" s="18"/>
      <c r="D871" s="18"/>
      <c r="E871" s="19"/>
      <c r="F871" s="20" t="n">
        <f aca="false">IF($C871=0,0,$C871-$D871)</f>
        <v>0</v>
      </c>
      <c r="G871" s="20" t="n">
        <f aca="false">IF($F871=0,0,$F871*$E871)</f>
        <v>0</v>
      </c>
      <c r="H871" s="20" t="n">
        <f aca="false">$F871-$G871</f>
        <v>0</v>
      </c>
      <c r="I871" s="16"/>
    </row>
    <row r="872" customFormat="false" ht="15" hidden="false" customHeight="true" outlineLevel="0" collapsed="false">
      <c r="A872" s="16"/>
      <c r="B872" s="17"/>
      <c r="C872" s="18"/>
      <c r="D872" s="18"/>
      <c r="E872" s="19"/>
      <c r="F872" s="20" t="n">
        <f aca="false">IF($C872=0,0,$C872-$D872)</f>
        <v>0</v>
      </c>
      <c r="G872" s="20" t="n">
        <f aca="false">IF($F872=0,0,$F872*$E872)</f>
        <v>0</v>
      </c>
      <c r="H872" s="20" t="n">
        <f aca="false">$F872-$G872</f>
        <v>0</v>
      </c>
      <c r="I872" s="16"/>
    </row>
    <row r="873" customFormat="false" ht="15" hidden="false" customHeight="true" outlineLevel="0" collapsed="false">
      <c r="A873" s="16"/>
      <c r="B873" s="17"/>
      <c r="C873" s="18"/>
      <c r="D873" s="18"/>
      <c r="E873" s="19"/>
      <c r="F873" s="20" t="n">
        <f aca="false">IF($C873=0,0,$C873-$D873)</f>
        <v>0</v>
      </c>
      <c r="G873" s="20" t="n">
        <f aca="false">IF($F873=0,0,$F873*$E873)</f>
        <v>0</v>
      </c>
      <c r="H873" s="20" t="n">
        <f aca="false">$F873-$G873</f>
        <v>0</v>
      </c>
      <c r="I873" s="16"/>
    </row>
    <row r="874" customFormat="false" ht="15" hidden="false" customHeight="true" outlineLevel="0" collapsed="false">
      <c r="A874" s="16"/>
      <c r="B874" s="17"/>
      <c r="C874" s="18"/>
      <c r="D874" s="18"/>
      <c r="E874" s="19"/>
      <c r="F874" s="20" t="n">
        <f aca="false">IF($C874=0,0,$C874-$D874)</f>
        <v>0</v>
      </c>
      <c r="G874" s="20" t="n">
        <f aca="false">IF($F874=0,0,$F874*$E874)</f>
        <v>0</v>
      </c>
      <c r="H874" s="20" t="n">
        <f aca="false">$F874-$G874</f>
        <v>0</v>
      </c>
      <c r="I874" s="16"/>
    </row>
    <row r="875" customFormat="false" ht="15" hidden="false" customHeight="true" outlineLevel="0" collapsed="false">
      <c r="A875" s="16"/>
      <c r="B875" s="17"/>
      <c r="C875" s="18"/>
      <c r="D875" s="18"/>
      <c r="E875" s="19"/>
      <c r="F875" s="20" t="n">
        <f aca="false">IF($C875=0,0,$C875-$D875)</f>
        <v>0</v>
      </c>
      <c r="G875" s="20" t="n">
        <f aca="false">IF($F875=0,0,$F875*$E875)</f>
        <v>0</v>
      </c>
      <c r="H875" s="20" t="n">
        <f aca="false">$F875-$G875</f>
        <v>0</v>
      </c>
      <c r="I875" s="16"/>
    </row>
    <row r="876" customFormat="false" ht="15" hidden="false" customHeight="true" outlineLevel="0" collapsed="false">
      <c r="A876" s="16"/>
      <c r="B876" s="17"/>
      <c r="C876" s="18"/>
      <c r="D876" s="18"/>
      <c r="E876" s="19"/>
      <c r="F876" s="20" t="n">
        <f aca="false">IF($C876=0,0,$C876-$D876)</f>
        <v>0</v>
      </c>
      <c r="G876" s="20" t="n">
        <f aca="false">IF($F876=0,0,$F876*$E876)</f>
        <v>0</v>
      </c>
      <c r="H876" s="20" t="n">
        <f aca="false">$F876-$G876</f>
        <v>0</v>
      </c>
      <c r="I876" s="16"/>
    </row>
    <row r="877" customFormat="false" ht="15" hidden="false" customHeight="true" outlineLevel="0" collapsed="false">
      <c r="A877" s="16"/>
      <c r="B877" s="17"/>
      <c r="C877" s="18"/>
      <c r="D877" s="18"/>
      <c r="E877" s="19"/>
      <c r="F877" s="20" t="n">
        <f aca="false">IF($C877=0,0,$C877-$D877)</f>
        <v>0</v>
      </c>
      <c r="G877" s="20" t="n">
        <f aca="false">IF($F877=0,0,$F877*$E877)</f>
        <v>0</v>
      </c>
      <c r="H877" s="20" t="n">
        <f aca="false">$F877-$G877</f>
        <v>0</v>
      </c>
      <c r="I877" s="16"/>
    </row>
    <row r="878" customFormat="false" ht="15" hidden="false" customHeight="true" outlineLevel="0" collapsed="false">
      <c r="A878" s="16"/>
      <c r="B878" s="17"/>
      <c r="C878" s="18"/>
      <c r="D878" s="18"/>
      <c r="E878" s="19"/>
      <c r="F878" s="20" t="n">
        <f aca="false">IF($C878=0,0,$C878-$D878)</f>
        <v>0</v>
      </c>
      <c r="G878" s="20" t="n">
        <f aca="false">IF($F878=0,0,$F878*$E878)</f>
        <v>0</v>
      </c>
      <c r="H878" s="20" t="n">
        <f aca="false">$F878-$G878</f>
        <v>0</v>
      </c>
      <c r="I878" s="16"/>
    </row>
    <row r="879" customFormat="false" ht="15" hidden="false" customHeight="true" outlineLevel="0" collapsed="false">
      <c r="A879" s="16"/>
      <c r="B879" s="17"/>
      <c r="C879" s="18"/>
      <c r="D879" s="18"/>
      <c r="E879" s="19"/>
      <c r="F879" s="20" t="n">
        <f aca="false">IF($C879=0,0,$C879-$D879)</f>
        <v>0</v>
      </c>
      <c r="G879" s="20" t="n">
        <f aca="false">IF($F879=0,0,$F879*$E879)</f>
        <v>0</v>
      </c>
      <c r="H879" s="20" t="n">
        <f aca="false">$F879-$G879</f>
        <v>0</v>
      </c>
      <c r="I879" s="16"/>
    </row>
    <row r="880" customFormat="false" ht="15" hidden="false" customHeight="true" outlineLevel="0" collapsed="false">
      <c r="A880" s="16"/>
      <c r="B880" s="17"/>
      <c r="C880" s="18"/>
      <c r="D880" s="18"/>
      <c r="E880" s="19"/>
      <c r="F880" s="20" t="n">
        <f aca="false">IF($C880=0,0,$C880-$D880)</f>
        <v>0</v>
      </c>
      <c r="G880" s="20" t="n">
        <f aca="false">IF($F880=0,0,$F880*$E880)</f>
        <v>0</v>
      </c>
      <c r="H880" s="20" t="n">
        <f aca="false">$F880-$G880</f>
        <v>0</v>
      </c>
      <c r="I880" s="16"/>
    </row>
    <row r="881" customFormat="false" ht="15" hidden="false" customHeight="true" outlineLevel="0" collapsed="false">
      <c r="A881" s="16"/>
      <c r="B881" s="17"/>
      <c r="C881" s="18"/>
      <c r="D881" s="18"/>
      <c r="E881" s="19"/>
      <c r="F881" s="20" t="n">
        <f aca="false">IF($C881=0,0,$C881-$D881)</f>
        <v>0</v>
      </c>
      <c r="G881" s="20" t="n">
        <f aca="false">IF($F881=0,0,$F881*$E881)</f>
        <v>0</v>
      </c>
      <c r="H881" s="20" t="n">
        <f aca="false">$F881-$G881</f>
        <v>0</v>
      </c>
      <c r="I881" s="16"/>
    </row>
    <row r="882" customFormat="false" ht="15" hidden="false" customHeight="true" outlineLevel="0" collapsed="false">
      <c r="A882" s="16"/>
      <c r="B882" s="17"/>
      <c r="C882" s="18"/>
      <c r="D882" s="18"/>
      <c r="E882" s="19"/>
      <c r="F882" s="20" t="n">
        <f aca="false">IF($C882=0,0,$C882-$D882)</f>
        <v>0</v>
      </c>
      <c r="G882" s="20" t="n">
        <f aca="false">IF($F882=0,0,$F882*$E882)</f>
        <v>0</v>
      </c>
      <c r="H882" s="20" t="n">
        <f aca="false">$F882-$G882</f>
        <v>0</v>
      </c>
      <c r="I882" s="16"/>
    </row>
    <row r="883" customFormat="false" ht="15" hidden="false" customHeight="true" outlineLevel="0" collapsed="false">
      <c r="A883" s="16"/>
      <c r="B883" s="17"/>
      <c r="C883" s="18"/>
      <c r="D883" s="18"/>
      <c r="E883" s="19"/>
      <c r="F883" s="20" t="n">
        <f aca="false">IF($C883=0,0,$C883-$D883)</f>
        <v>0</v>
      </c>
      <c r="G883" s="20" t="n">
        <f aca="false">IF($F883=0,0,$F883*$E883)</f>
        <v>0</v>
      </c>
      <c r="H883" s="20" t="n">
        <f aca="false">$F883-$G883</f>
        <v>0</v>
      </c>
      <c r="I883" s="16"/>
    </row>
    <row r="884" customFormat="false" ht="15" hidden="false" customHeight="true" outlineLevel="0" collapsed="false">
      <c r="A884" s="16"/>
      <c r="B884" s="17"/>
      <c r="C884" s="18"/>
      <c r="D884" s="18"/>
      <c r="E884" s="19"/>
      <c r="F884" s="20" t="n">
        <f aca="false">IF($C884=0,0,$C884-$D884)</f>
        <v>0</v>
      </c>
      <c r="G884" s="20" t="n">
        <f aca="false">IF($F884=0,0,$F884*$E884)</f>
        <v>0</v>
      </c>
      <c r="H884" s="20" t="n">
        <f aca="false">$F884-$G884</f>
        <v>0</v>
      </c>
      <c r="I884" s="16"/>
    </row>
    <row r="885" customFormat="false" ht="15" hidden="false" customHeight="true" outlineLevel="0" collapsed="false">
      <c r="A885" s="16"/>
      <c r="B885" s="17"/>
      <c r="C885" s="18"/>
      <c r="D885" s="18"/>
      <c r="E885" s="19"/>
      <c r="F885" s="20" t="n">
        <f aca="false">IF($C885=0,0,$C885-$D885)</f>
        <v>0</v>
      </c>
      <c r="G885" s="20" t="n">
        <f aca="false">IF($F885=0,0,$F885*$E885)</f>
        <v>0</v>
      </c>
      <c r="H885" s="20" t="n">
        <f aca="false">$F885-$G885</f>
        <v>0</v>
      </c>
      <c r="I885" s="16"/>
    </row>
    <row r="886" customFormat="false" ht="15" hidden="false" customHeight="true" outlineLevel="0" collapsed="false">
      <c r="A886" s="16"/>
      <c r="B886" s="17"/>
      <c r="C886" s="18"/>
      <c r="D886" s="18"/>
      <c r="E886" s="19"/>
      <c r="F886" s="20" t="n">
        <f aca="false">IF($C886=0,0,$C886-$D886)</f>
        <v>0</v>
      </c>
      <c r="G886" s="20" t="n">
        <f aca="false">IF($F886=0,0,$F886*$E886)</f>
        <v>0</v>
      </c>
      <c r="H886" s="20" t="n">
        <f aca="false">$F886-$G886</f>
        <v>0</v>
      </c>
      <c r="I886" s="16"/>
    </row>
    <row r="887" customFormat="false" ht="15" hidden="false" customHeight="true" outlineLevel="0" collapsed="false">
      <c r="A887" s="16"/>
      <c r="B887" s="17"/>
      <c r="C887" s="18"/>
      <c r="D887" s="18"/>
      <c r="E887" s="19"/>
      <c r="F887" s="20" t="n">
        <f aca="false">IF($C887=0,0,$C887-$D887)</f>
        <v>0</v>
      </c>
      <c r="G887" s="20" t="n">
        <f aca="false">IF($F887=0,0,$F887*$E887)</f>
        <v>0</v>
      </c>
      <c r="H887" s="20" t="n">
        <f aca="false">$F887-$G887</f>
        <v>0</v>
      </c>
      <c r="I887" s="16"/>
    </row>
    <row r="888" customFormat="false" ht="15" hidden="false" customHeight="true" outlineLevel="0" collapsed="false">
      <c r="A888" s="16"/>
      <c r="B888" s="17"/>
      <c r="C888" s="18"/>
      <c r="D888" s="18"/>
      <c r="E888" s="19"/>
      <c r="F888" s="20" t="n">
        <f aca="false">IF($C888=0,0,$C888-$D888)</f>
        <v>0</v>
      </c>
      <c r="G888" s="20" t="n">
        <f aca="false">IF($F888=0,0,$F888*$E888)</f>
        <v>0</v>
      </c>
      <c r="H888" s="20" t="n">
        <f aca="false">$F888-$G888</f>
        <v>0</v>
      </c>
      <c r="I888" s="16"/>
    </row>
    <row r="889" customFormat="false" ht="15" hidden="false" customHeight="true" outlineLevel="0" collapsed="false">
      <c r="A889" s="16"/>
      <c r="B889" s="17"/>
      <c r="C889" s="18"/>
      <c r="D889" s="18"/>
      <c r="E889" s="19"/>
      <c r="F889" s="20" t="n">
        <f aca="false">IF($C889=0,0,$C889-$D889)</f>
        <v>0</v>
      </c>
      <c r="G889" s="20" t="n">
        <f aca="false">IF($F889=0,0,$F889*$E889)</f>
        <v>0</v>
      </c>
      <c r="H889" s="20" t="n">
        <f aca="false">$F889-$G889</f>
        <v>0</v>
      </c>
      <c r="I889" s="16"/>
    </row>
    <row r="890" customFormat="false" ht="15" hidden="false" customHeight="true" outlineLevel="0" collapsed="false">
      <c r="A890" s="16"/>
      <c r="B890" s="17"/>
      <c r="C890" s="18"/>
      <c r="D890" s="18"/>
      <c r="E890" s="19"/>
      <c r="F890" s="20" t="n">
        <f aca="false">IF($C890=0,0,$C890-$D890)</f>
        <v>0</v>
      </c>
      <c r="G890" s="20" t="n">
        <f aca="false">IF($F890=0,0,$F890*$E890)</f>
        <v>0</v>
      </c>
      <c r="H890" s="20" t="n">
        <f aca="false">$F890-$G890</f>
        <v>0</v>
      </c>
      <c r="I890" s="16"/>
    </row>
    <row r="891" customFormat="false" ht="15" hidden="false" customHeight="true" outlineLevel="0" collapsed="false">
      <c r="A891" s="16"/>
      <c r="B891" s="17"/>
      <c r="C891" s="18"/>
      <c r="D891" s="18"/>
      <c r="E891" s="19"/>
      <c r="F891" s="20" t="n">
        <f aca="false">IF($C891=0,0,$C891-$D891)</f>
        <v>0</v>
      </c>
      <c r="G891" s="20" t="n">
        <f aca="false">IF($F891=0,0,$F891*$E891)</f>
        <v>0</v>
      </c>
      <c r="H891" s="20" t="n">
        <f aca="false">$F891-$G891</f>
        <v>0</v>
      </c>
      <c r="I891" s="16"/>
    </row>
    <row r="892" customFormat="false" ht="15" hidden="false" customHeight="true" outlineLevel="0" collapsed="false">
      <c r="A892" s="16"/>
      <c r="B892" s="17"/>
      <c r="C892" s="18"/>
      <c r="D892" s="18"/>
      <c r="E892" s="19"/>
      <c r="F892" s="20" t="n">
        <f aca="false">IF($C892=0,0,$C892-$D892)</f>
        <v>0</v>
      </c>
      <c r="G892" s="20" t="n">
        <f aca="false">IF($F892=0,0,$F892*$E892)</f>
        <v>0</v>
      </c>
      <c r="H892" s="20" t="n">
        <f aca="false">$F892-$G892</f>
        <v>0</v>
      </c>
      <c r="I892" s="16"/>
    </row>
    <row r="893" customFormat="false" ht="15" hidden="false" customHeight="true" outlineLevel="0" collapsed="false">
      <c r="A893" s="16"/>
      <c r="B893" s="17"/>
      <c r="C893" s="18"/>
      <c r="D893" s="18"/>
      <c r="E893" s="19"/>
      <c r="F893" s="20" t="n">
        <f aca="false">IF($C893=0,0,$C893-$D893)</f>
        <v>0</v>
      </c>
      <c r="G893" s="20" t="n">
        <f aca="false">IF($F893=0,0,$F893*$E893)</f>
        <v>0</v>
      </c>
      <c r="H893" s="20" t="n">
        <f aca="false">$F893-$G893</f>
        <v>0</v>
      </c>
      <c r="I893" s="16"/>
    </row>
    <row r="894" customFormat="false" ht="15" hidden="false" customHeight="true" outlineLevel="0" collapsed="false">
      <c r="A894" s="16"/>
      <c r="B894" s="17"/>
      <c r="C894" s="18"/>
      <c r="D894" s="18"/>
      <c r="E894" s="19"/>
      <c r="F894" s="20" t="n">
        <f aca="false">IF($C894=0,0,$C894-$D894)</f>
        <v>0</v>
      </c>
      <c r="G894" s="20" t="n">
        <f aca="false">IF($F894=0,0,$F894*$E894)</f>
        <v>0</v>
      </c>
      <c r="H894" s="20" t="n">
        <f aca="false">$F894-$G894</f>
        <v>0</v>
      </c>
      <c r="I894" s="16"/>
    </row>
    <row r="895" customFormat="false" ht="15" hidden="false" customHeight="true" outlineLevel="0" collapsed="false">
      <c r="A895" s="16"/>
      <c r="B895" s="17"/>
      <c r="C895" s="18"/>
      <c r="D895" s="18"/>
      <c r="E895" s="19"/>
      <c r="F895" s="20" t="n">
        <f aca="false">IF($C895=0,0,$C895-$D895)</f>
        <v>0</v>
      </c>
      <c r="G895" s="20" t="n">
        <f aca="false">IF($F895=0,0,$F895*$E895)</f>
        <v>0</v>
      </c>
      <c r="H895" s="20" t="n">
        <f aca="false">$F895-$G895</f>
        <v>0</v>
      </c>
      <c r="I895" s="16"/>
    </row>
    <row r="896" customFormat="false" ht="15" hidden="false" customHeight="true" outlineLevel="0" collapsed="false">
      <c r="A896" s="16"/>
      <c r="B896" s="17"/>
      <c r="C896" s="18"/>
      <c r="D896" s="18"/>
      <c r="E896" s="19"/>
      <c r="F896" s="20" t="n">
        <f aca="false">IF($C896=0,0,$C896-$D896)</f>
        <v>0</v>
      </c>
      <c r="G896" s="20" t="n">
        <f aca="false">IF($F896=0,0,$F896*$E896)</f>
        <v>0</v>
      </c>
      <c r="H896" s="20" t="n">
        <f aca="false">$F896-$G896</f>
        <v>0</v>
      </c>
      <c r="I896" s="16"/>
    </row>
    <row r="897" customFormat="false" ht="15" hidden="false" customHeight="true" outlineLevel="0" collapsed="false">
      <c r="A897" s="16"/>
      <c r="B897" s="17"/>
      <c r="C897" s="18"/>
      <c r="D897" s="18"/>
      <c r="E897" s="19"/>
      <c r="F897" s="20" t="n">
        <f aca="false">IF($C897=0,0,$C897-$D897)</f>
        <v>0</v>
      </c>
      <c r="G897" s="20" t="n">
        <f aca="false">IF($F897=0,0,$F897*$E897)</f>
        <v>0</v>
      </c>
      <c r="H897" s="20" t="n">
        <f aca="false">$F897-$G897</f>
        <v>0</v>
      </c>
      <c r="I897" s="16"/>
    </row>
    <row r="898" customFormat="false" ht="15" hidden="false" customHeight="true" outlineLevel="0" collapsed="false">
      <c r="A898" s="16"/>
      <c r="B898" s="17"/>
      <c r="C898" s="18"/>
      <c r="D898" s="18"/>
      <c r="E898" s="19"/>
      <c r="F898" s="20" t="n">
        <f aca="false">IF($C898=0,0,$C898-$D898)</f>
        <v>0</v>
      </c>
      <c r="G898" s="20" t="n">
        <f aca="false">IF($F898=0,0,$F898*$E898)</f>
        <v>0</v>
      </c>
      <c r="H898" s="20" t="n">
        <f aca="false">$F898-$G898</f>
        <v>0</v>
      </c>
      <c r="I898" s="16"/>
    </row>
    <row r="899" customFormat="false" ht="15" hidden="false" customHeight="true" outlineLevel="0" collapsed="false">
      <c r="A899" s="16"/>
      <c r="B899" s="17"/>
      <c r="C899" s="18"/>
      <c r="D899" s="18"/>
      <c r="E899" s="19"/>
      <c r="F899" s="20" t="n">
        <f aca="false">IF($C899=0,0,$C899-$D899)</f>
        <v>0</v>
      </c>
      <c r="G899" s="20" t="n">
        <f aca="false">IF($F899=0,0,$F899*$E899)</f>
        <v>0</v>
      </c>
      <c r="H899" s="20" t="n">
        <f aca="false">$F899-$G899</f>
        <v>0</v>
      </c>
      <c r="I899" s="16"/>
    </row>
    <row r="900" customFormat="false" ht="15" hidden="false" customHeight="true" outlineLevel="0" collapsed="false">
      <c r="A900" s="16"/>
      <c r="B900" s="17"/>
      <c r="C900" s="18"/>
      <c r="D900" s="18"/>
      <c r="E900" s="19"/>
      <c r="F900" s="20" t="n">
        <f aca="false">IF($C900=0,0,$C900-$D900)</f>
        <v>0</v>
      </c>
      <c r="G900" s="20" t="n">
        <f aca="false">IF($F900=0,0,$F900*$E900)</f>
        <v>0</v>
      </c>
      <c r="H900" s="20" t="n">
        <f aca="false">$F900-$G900</f>
        <v>0</v>
      </c>
      <c r="I900" s="16"/>
    </row>
    <row r="901" customFormat="false" ht="15" hidden="false" customHeight="true" outlineLevel="0" collapsed="false">
      <c r="A901" s="16"/>
      <c r="B901" s="17"/>
      <c r="C901" s="18"/>
      <c r="D901" s="18"/>
      <c r="E901" s="19"/>
      <c r="F901" s="20" t="n">
        <f aca="false">IF($C901=0,0,$C901-$D901)</f>
        <v>0</v>
      </c>
      <c r="G901" s="20" t="n">
        <f aca="false">IF($F901=0,0,$F901*$E901)</f>
        <v>0</v>
      </c>
      <c r="H901" s="20" t="n">
        <f aca="false">$F901-$G901</f>
        <v>0</v>
      </c>
      <c r="I901" s="16"/>
    </row>
    <row r="902" customFormat="false" ht="15" hidden="false" customHeight="true" outlineLevel="0" collapsed="false">
      <c r="A902" s="16"/>
      <c r="B902" s="17"/>
      <c r="C902" s="18"/>
      <c r="D902" s="18"/>
      <c r="E902" s="19"/>
      <c r="F902" s="20" t="n">
        <f aca="false">IF($C902=0,0,$C902-$D902)</f>
        <v>0</v>
      </c>
      <c r="G902" s="20" t="n">
        <f aca="false">IF($F902=0,0,$F902*$E902)</f>
        <v>0</v>
      </c>
      <c r="H902" s="20" t="n">
        <f aca="false">$F902-$G902</f>
        <v>0</v>
      </c>
      <c r="I902" s="16"/>
    </row>
    <row r="903" customFormat="false" ht="15" hidden="false" customHeight="true" outlineLevel="0" collapsed="false">
      <c r="A903" s="16"/>
      <c r="B903" s="17"/>
      <c r="C903" s="18"/>
      <c r="D903" s="18"/>
      <c r="E903" s="19"/>
      <c r="F903" s="20" t="n">
        <f aca="false">IF($C903=0,0,$C903-$D903)</f>
        <v>0</v>
      </c>
      <c r="G903" s="20" t="n">
        <f aca="false">IF($F903=0,0,$F903*$E903)</f>
        <v>0</v>
      </c>
      <c r="H903" s="20" t="n">
        <f aca="false">$F903-$G903</f>
        <v>0</v>
      </c>
      <c r="I903" s="16"/>
    </row>
    <row r="904" customFormat="false" ht="15" hidden="false" customHeight="true" outlineLevel="0" collapsed="false">
      <c r="A904" s="16"/>
      <c r="B904" s="17"/>
      <c r="C904" s="18"/>
      <c r="D904" s="18"/>
      <c r="E904" s="19"/>
      <c r="F904" s="20" t="n">
        <f aca="false">IF($C904=0,0,$C904-$D904)</f>
        <v>0</v>
      </c>
      <c r="G904" s="20" t="n">
        <f aca="false">IF($F904=0,0,$F904*$E904)</f>
        <v>0</v>
      </c>
      <c r="H904" s="20" t="n">
        <f aca="false">$F904-$G904</f>
        <v>0</v>
      </c>
      <c r="I904" s="16"/>
    </row>
    <row r="905" customFormat="false" ht="15" hidden="false" customHeight="true" outlineLevel="0" collapsed="false">
      <c r="A905" s="16"/>
      <c r="B905" s="17"/>
      <c r="C905" s="18"/>
      <c r="D905" s="18"/>
      <c r="E905" s="19"/>
      <c r="F905" s="20" t="n">
        <f aca="false">IF($C905=0,0,$C905-$D905)</f>
        <v>0</v>
      </c>
      <c r="G905" s="20" t="n">
        <f aca="false">IF($F905=0,0,$F905*$E905)</f>
        <v>0</v>
      </c>
      <c r="H905" s="20" t="n">
        <f aca="false">$F905-$G905</f>
        <v>0</v>
      </c>
      <c r="I905" s="16"/>
    </row>
    <row r="906" customFormat="false" ht="15" hidden="false" customHeight="true" outlineLevel="0" collapsed="false">
      <c r="A906" s="16"/>
      <c r="B906" s="17"/>
      <c r="C906" s="18"/>
      <c r="D906" s="18"/>
      <c r="E906" s="19"/>
      <c r="F906" s="20" t="n">
        <f aca="false">IF($C906=0,0,$C906-$D906)</f>
        <v>0</v>
      </c>
      <c r="G906" s="20" t="n">
        <f aca="false">IF($F906=0,0,$F906*$E906)</f>
        <v>0</v>
      </c>
      <c r="H906" s="20" t="n">
        <f aca="false">$F906-$G906</f>
        <v>0</v>
      </c>
      <c r="I906" s="16"/>
    </row>
    <row r="907" customFormat="false" ht="15" hidden="false" customHeight="true" outlineLevel="0" collapsed="false">
      <c r="A907" s="16"/>
      <c r="B907" s="17"/>
      <c r="C907" s="18"/>
      <c r="D907" s="18"/>
      <c r="E907" s="19"/>
      <c r="F907" s="20" t="n">
        <f aca="false">IF($C907=0,0,$C907-$D907)</f>
        <v>0</v>
      </c>
      <c r="G907" s="20" t="n">
        <f aca="false">IF($F907=0,0,$F907*$E907)</f>
        <v>0</v>
      </c>
      <c r="H907" s="20" t="n">
        <f aca="false">$F907-$G907</f>
        <v>0</v>
      </c>
      <c r="I907" s="16"/>
    </row>
    <row r="908" customFormat="false" ht="15" hidden="false" customHeight="true" outlineLevel="0" collapsed="false">
      <c r="A908" s="16"/>
      <c r="B908" s="17"/>
      <c r="C908" s="18"/>
      <c r="D908" s="18"/>
      <c r="E908" s="19"/>
      <c r="F908" s="20" t="n">
        <f aca="false">IF($C908=0,0,$C908-$D908)</f>
        <v>0</v>
      </c>
      <c r="G908" s="20" t="n">
        <f aca="false">IF($F908=0,0,$F908*$E908)</f>
        <v>0</v>
      </c>
      <c r="H908" s="20" t="n">
        <f aca="false">$F908-$G908</f>
        <v>0</v>
      </c>
      <c r="I908" s="16"/>
    </row>
    <row r="909" customFormat="false" ht="15" hidden="false" customHeight="true" outlineLevel="0" collapsed="false">
      <c r="A909" s="16"/>
      <c r="B909" s="17"/>
      <c r="C909" s="18"/>
      <c r="D909" s="18"/>
      <c r="E909" s="19"/>
      <c r="F909" s="20" t="n">
        <f aca="false">IF($C909=0,0,$C909-$D909)</f>
        <v>0</v>
      </c>
      <c r="G909" s="20" t="n">
        <f aca="false">IF($F909=0,0,$F909*$E909)</f>
        <v>0</v>
      </c>
      <c r="H909" s="20" t="n">
        <f aca="false">$F909-$G909</f>
        <v>0</v>
      </c>
      <c r="I909" s="16"/>
    </row>
    <row r="910" customFormat="false" ht="15" hidden="false" customHeight="true" outlineLevel="0" collapsed="false">
      <c r="A910" s="16"/>
      <c r="B910" s="17"/>
      <c r="C910" s="18"/>
      <c r="D910" s="18"/>
      <c r="E910" s="19"/>
      <c r="F910" s="20" t="n">
        <f aca="false">IF($C910=0,0,$C910-$D910)</f>
        <v>0</v>
      </c>
      <c r="G910" s="20" t="n">
        <f aca="false">IF($F910=0,0,$F910*$E910)</f>
        <v>0</v>
      </c>
      <c r="H910" s="20" t="n">
        <f aca="false">$F910-$G910</f>
        <v>0</v>
      </c>
      <c r="I910" s="16"/>
    </row>
    <row r="911" customFormat="false" ht="15" hidden="false" customHeight="true" outlineLevel="0" collapsed="false">
      <c r="A911" s="16"/>
      <c r="B911" s="17"/>
      <c r="C911" s="18"/>
      <c r="D911" s="18"/>
      <c r="E911" s="19"/>
      <c r="F911" s="20" t="n">
        <f aca="false">IF($C911=0,0,$C911-$D911)</f>
        <v>0</v>
      </c>
      <c r="G911" s="20" t="n">
        <f aca="false">IF($F911=0,0,$F911*$E911)</f>
        <v>0</v>
      </c>
      <c r="H911" s="20" t="n">
        <f aca="false">$F911-$G911</f>
        <v>0</v>
      </c>
      <c r="I911" s="16"/>
    </row>
    <row r="912" customFormat="false" ht="15" hidden="false" customHeight="true" outlineLevel="0" collapsed="false">
      <c r="A912" s="16"/>
      <c r="B912" s="17"/>
      <c r="C912" s="18"/>
      <c r="D912" s="18"/>
      <c r="E912" s="19"/>
      <c r="F912" s="20" t="n">
        <f aca="false">IF($C912=0,0,$C912-$D912)</f>
        <v>0</v>
      </c>
      <c r="G912" s="20" t="n">
        <f aca="false">IF($F912=0,0,$F912*$E912)</f>
        <v>0</v>
      </c>
      <c r="H912" s="20" t="n">
        <f aca="false">$F912-$G912</f>
        <v>0</v>
      </c>
      <c r="I912" s="16"/>
    </row>
    <row r="913" customFormat="false" ht="15" hidden="false" customHeight="true" outlineLevel="0" collapsed="false">
      <c r="A913" s="16"/>
      <c r="B913" s="17"/>
      <c r="C913" s="18"/>
      <c r="D913" s="18"/>
      <c r="E913" s="19"/>
      <c r="F913" s="20" t="n">
        <f aca="false">IF($C913=0,0,$C913-$D913)</f>
        <v>0</v>
      </c>
      <c r="G913" s="20" t="n">
        <f aca="false">IF($F913=0,0,$F913*$E913)</f>
        <v>0</v>
      </c>
      <c r="H913" s="20" t="n">
        <f aca="false">$F913-$G913</f>
        <v>0</v>
      </c>
      <c r="I913" s="16"/>
    </row>
    <row r="914" customFormat="false" ht="15" hidden="false" customHeight="true" outlineLevel="0" collapsed="false">
      <c r="A914" s="16"/>
      <c r="B914" s="17"/>
      <c r="C914" s="18"/>
      <c r="D914" s="18"/>
      <c r="E914" s="19"/>
      <c r="F914" s="20" t="n">
        <f aca="false">IF($C914=0,0,$C914-$D914)</f>
        <v>0</v>
      </c>
      <c r="G914" s="20" t="n">
        <f aca="false">IF($F914=0,0,$F914*$E914)</f>
        <v>0</v>
      </c>
      <c r="H914" s="20" t="n">
        <f aca="false">$F914-$G914</f>
        <v>0</v>
      </c>
      <c r="I914" s="16"/>
    </row>
    <row r="915" customFormat="false" ht="15" hidden="false" customHeight="true" outlineLevel="0" collapsed="false">
      <c r="A915" s="16"/>
      <c r="B915" s="17"/>
      <c r="C915" s="18"/>
      <c r="D915" s="18"/>
      <c r="E915" s="19"/>
      <c r="F915" s="20" t="n">
        <f aca="false">IF($C915=0,0,$C915-$D915)</f>
        <v>0</v>
      </c>
      <c r="G915" s="20" t="n">
        <f aca="false">IF($F915=0,0,$F915*$E915)</f>
        <v>0</v>
      </c>
      <c r="H915" s="20" t="n">
        <f aca="false">$F915-$G915</f>
        <v>0</v>
      </c>
      <c r="I915" s="16"/>
    </row>
    <row r="916" customFormat="false" ht="15" hidden="false" customHeight="true" outlineLevel="0" collapsed="false">
      <c r="A916" s="16"/>
      <c r="B916" s="17"/>
      <c r="C916" s="18"/>
      <c r="D916" s="18"/>
      <c r="E916" s="19"/>
      <c r="F916" s="20" t="n">
        <f aca="false">IF($C916=0,0,$C916-$D916)</f>
        <v>0</v>
      </c>
      <c r="G916" s="20" t="n">
        <f aca="false">IF($F916=0,0,$F916*$E916)</f>
        <v>0</v>
      </c>
      <c r="H916" s="20" t="n">
        <f aca="false">$F916-$G916</f>
        <v>0</v>
      </c>
      <c r="I916" s="16"/>
    </row>
    <row r="917" customFormat="false" ht="15" hidden="false" customHeight="true" outlineLevel="0" collapsed="false">
      <c r="A917" s="16"/>
      <c r="B917" s="17"/>
      <c r="C917" s="18"/>
      <c r="D917" s="18"/>
      <c r="E917" s="19"/>
      <c r="F917" s="20" t="n">
        <f aca="false">IF($C917=0,0,$C917-$D917)</f>
        <v>0</v>
      </c>
      <c r="G917" s="20" t="n">
        <f aca="false">IF($F917=0,0,$F917*$E917)</f>
        <v>0</v>
      </c>
      <c r="H917" s="20" t="n">
        <f aca="false">$F917-$G917</f>
        <v>0</v>
      </c>
      <c r="I917" s="16"/>
    </row>
    <row r="918" customFormat="false" ht="15" hidden="false" customHeight="true" outlineLevel="0" collapsed="false">
      <c r="A918" s="16"/>
      <c r="B918" s="17"/>
      <c r="C918" s="18"/>
      <c r="D918" s="18"/>
      <c r="E918" s="19"/>
      <c r="F918" s="20" t="n">
        <f aca="false">IF($C918=0,0,$C918-$D918)</f>
        <v>0</v>
      </c>
      <c r="G918" s="20" t="n">
        <f aca="false">IF($F918=0,0,$F918*$E918)</f>
        <v>0</v>
      </c>
      <c r="H918" s="20" t="n">
        <f aca="false">$F918-$G918</f>
        <v>0</v>
      </c>
      <c r="I918" s="16"/>
    </row>
    <row r="919" customFormat="false" ht="15" hidden="false" customHeight="true" outlineLevel="0" collapsed="false">
      <c r="A919" s="16"/>
      <c r="B919" s="17"/>
      <c r="C919" s="18"/>
      <c r="D919" s="18"/>
      <c r="E919" s="19"/>
      <c r="F919" s="20" t="n">
        <f aca="false">IF($C919=0,0,$C919-$D919)</f>
        <v>0</v>
      </c>
      <c r="G919" s="20" t="n">
        <f aca="false">IF($F919=0,0,$F919*$E919)</f>
        <v>0</v>
      </c>
      <c r="H919" s="20" t="n">
        <f aca="false">$F919-$G919</f>
        <v>0</v>
      </c>
      <c r="I919" s="16"/>
    </row>
    <row r="920" customFormat="false" ht="15" hidden="false" customHeight="true" outlineLevel="0" collapsed="false">
      <c r="A920" s="16"/>
      <c r="B920" s="17"/>
      <c r="C920" s="18"/>
      <c r="D920" s="18"/>
      <c r="E920" s="19"/>
      <c r="F920" s="20" t="n">
        <f aca="false">IF($C920=0,0,$C920-$D920)</f>
        <v>0</v>
      </c>
      <c r="G920" s="20" t="n">
        <f aca="false">IF($F920=0,0,$F920*$E920)</f>
        <v>0</v>
      </c>
      <c r="H920" s="20" t="n">
        <f aca="false">$F920-$G920</f>
        <v>0</v>
      </c>
      <c r="I920" s="16"/>
    </row>
    <row r="921" customFormat="false" ht="15" hidden="false" customHeight="true" outlineLevel="0" collapsed="false">
      <c r="A921" s="16"/>
      <c r="B921" s="17"/>
      <c r="C921" s="18"/>
      <c r="D921" s="18"/>
      <c r="E921" s="19"/>
      <c r="F921" s="20" t="n">
        <f aca="false">IF($C921=0,0,$C921-$D921)</f>
        <v>0</v>
      </c>
      <c r="G921" s="20" t="n">
        <f aca="false">IF($F921=0,0,$F921*$E921)</f>
        <v>0</v>
      </c>
      <c r="H921" s="20" t="n">
        <f aca="false">$F921-$G921</f>
        <v>0</v>
      </c>
      <c r="I921" s="16"/>
    </row>
    <row r="922" customFormat="false" ht="15" hidden="false" customHeight="true" outlineLevel="0" collapsed="false">
      <c r="A922" s="16"/>
      <c r="B922" s="17"/>
      <c r="C922" s="18"/>
      <c r="D922" s="18"/>
      <c r="E922" s="19"/>
      <c r="F922" s="20" t="n">
        <f aca="false">IF($C922=0,0,$C922-$D922)</f>
        <v>0</v>
      </c>
      <c r="G922" s="20" t="n">
        <f aca="false">IF($F922=0,0,$F922*$E922)</f>
        <v>0</v>
      </c>
      <c r="H922" s="20" t="n">
        <f aca="false">$F922-$G922</f>
        <v>0</v>
      </c>
      <c r="I922" s="16"/>
    </row>
    <row r="923" customFormat="false" ht="15" hidden="false" customHeight="true" outlineLevel="0" collapsed="false">
      <c r="A923" s="16"/>
      <c r="B923" s="17"/>
      <c r="C923" s="18"/>
      <c r="D923" s="18"/>
      <c r="E923" s="19"/>
      <c r="F923" s="20" t="n">
        <f aca="false">IF($C923=0,0,$C923-$D923)</f>
        <v>0</v>
      </c>
      <c r="G923" s="20" t="n">
        <f aca="false">IF($F923=0,0,$F923*$E923)</f>
        <v>0</v>
      </c>
      <c r="H923" s="20" t="n">
        <f aca="false">$F923-$G923</f>
        <v>0</v>
      </c>
      <c r="I923" s="16"/>
    </row>
    <row r="924" customFormat="false" ht="15" hidden="false" customHeight="true" outlineLevel="0" collapsed="false">
      <c r="A924" s="16"/>
      <c r="B924" s="17"/>
      <c r="C924" s="18"/>
      <c r="D924" s="18"/>
      <c r="E924" s="19"/>
      <c r="F924" s="20" t="n">
        <f aca="false">IF($C924=0,0,$C924-$D924)</f>
        <v>0</v>
      </c>
      <c r="G924" s="20" t="n">
        <f aca="false">IF($F924=0,0,$F924*$E924)</f>
        <v>0</v>
      </c>
      <c r="H924" s="20" t="n">
        <f aca="false">$F924-$G924</f>
        <v>0</v>
      </c>
      <c r="I924" s="16"/>
    </row>
    <row r="925" customFormat="false" ht="15" hidden="false" customHeight="true" outlineLevel="0" collapsed="false">
      <c r="A925" s="16"/>
      <c r="B925" s="17"/>
      <c r="C925" s="18"/>
      <c r="D925" s="18"/>
      <c r="E925" s="19"/>
      <c r="F925" s="20" t="n">
        <f aca="false">IF($C925=0,0,$C925-$D925)</f>
        <v>0</v>
      </c>
      <c r="G925" s="20" t="n">
        <f aca="false">IF($F925=0,0,$F925*$E925)</f>
        <v>0</v>
      </c>
      <c r="H925" s="20" t="n">
        <f aca="false">$F925-$G925</f>
        <v>0</v>
      </c>
      <c r="I925" s="16"/>
    </row>
    <row r="926" customFormat="false" ht="15" hidden="false" customHeight="true" outlineLevel="0" collapsed="false">
      <c r="A926" s="16"/>
      <c r="B926" s="17"/>
      <c r="C926" s="18"/>
      <c r="D926" s="18"/>
      <c r="E926" s="19"/>
      <c r="F926" s="20" t="n">
        <f aca="false">IF($C926=0,0,$C926-$D926)</f>
        <v>0</v>
      </c>
      <c r="G926" s="20" t="n">
        <f aca="false">IF($F926=0,0,$F926*$E926)</f>
        <v>0</v>
      </c>
      <c r="H926" s="20" t="n">
        <f aca="false">$F926-$G926</f>
        <v>0</v>
      </c>
      <c r="I926" s="16"/>
    </row>
    <row r="927" customFormat="false" ht="15" hidden="false" customHeight="true" outlineLevel="0" collapsed="false">
      <c r="A927" s="16"/>
      <c r="B927" s="17"/>
      <c r="C927" s="18"/>
      <c r="D927" s="18"/>
      <c r="E927" s="19"/>
      <c r="F927" s="20" t="n">
        <f aca="false">IF($C927=0,0,$C927-$D927)</f>
        <v>0</v>
      </c>
      <c r="G927" s="20" t="n">
        <f aca="false">IF($F927=0,0,$F927*$E927)</f>
        <v>0</v>
      </c>
      <c r="H927" s="20" t="n">
        <f aca="false">$F927-$G927</f>
        <v>0</v>
      </c>
      <c r="I927" s="16"/>
    </row>
    <row r="928" customFormat="false" ht="15" hidden="false" customHeight="true" outlineLevel="0" collapsed="false">
      <c r="A928" s="16"/>
      <c r="B928" s="17"/>
      <c r="C928" s="18"/>
      <c r="D928" s="18"/>
      <c r="E928" s="19"/>
      <c r="F928" s="20" t="n">
        <f aca="false">IF($C928=0,0,$C928-$D928)</f>
        <v>0</v>
      </c>
      <c r="G928" s="20" t="n">
        <f aca="false">IF($F928=0,0,$F928*$E928)</f>
        <v>0</v>
      </c>
      <c r="H928" s="20" t="n">
        <f aca="false">$F928-$G928</f>
        <v>0</v>
      </c>
      <c r="I928" s="16"/>
    </row>
    <row r="929" customFormat="false" ht="15" hidden="false" customHeight="true" outlineLevel="0" collapsed="false">
      <c r="A929" s="16"/>
      <c r="B929" s="17"/>
      <c r="C929" s="18"/>
      <c r="D929" s="18"/>
      <c r="E929" s="19"/>
      <c r="F929" s="20" t="n">
        <f aca="false">IF($C929=0,0,$C929-$D929)</f>
        <v>0</v>
      </c>
      <c r="G929" s="20" t="n">
        <f aca="false">IF($F929=0,0,$F929*$E929)</f>
        <v>0</v>
      </c>
      <c r="H929" s="20" t="n">
        <f aca="false">$F929-$G929</f>
        <v>0</v>
      </c>
      <c r="I929" s="16"/>
    </row>
    <row r="930" customFormat="false" ht="15" hidden="false" customHeight="true" outlineLevel="0" collapsed="false">
      <c r="A930" s="16"/>
      <c r="B930" s="17"/>
      <c r="C930" s="18"/>
      <c r="D930" s="18"/>
      <c r="E930" s="19"/>
      <c r="F930" s="20" t="n">
        <f aca="false">IF($C930=0,0,$C930-$D930)</f>
        <v>0</v>
      </c>
      <c r="G930" s="20" t="n">
        <f aca="false">IF($F930=0,0,$F930*$E930)</f>
        <v>0</v>
      </c>
      <c r="H930" s="20" t="n">
        <f aca="false">$F930-$G930</f>
        <v>0</v>
      </c>
      <c r="I930" s="16"/>
    </row>
    <row r="931" customFormat="false" ht="15" hidden="false" customHeight="true" outlineLevel="0" collapsed="false">
      <c r="A931" s="16"/>
      <c r="B931" s="17"/>
      <c r="C931" s="18"/>
      <c r="D931" s="18"/>
      <c r="E931" s="19"/>
      <c r="F931" s="20" t="n">
        <f aca="false">IF($C931=0,0,$C931-$D931)</f>
        <v>0</v>
      </c>
      <c r="G931" s="20" t="n">
        <f aca="false">IF($F931=0,0,$F931*$E931)</f>
        <v>0</v>
      </c>
      <c r="H931" s="20" t="n">
        <f aca="false">$F931-$G931</f>
        <v>0</v>
      </c>
      <c r="I931" s="16"/>
    </row>
    <row r="932" customFormat="false" ht="15" hidden="false" customHeight="true" outlineLevel="0" collapsed="false">
      <c r="A932" s="16"/>
      <c r="B932" s="17"/>
      <c r="C932" s="18"/>
      <c r="D932" s="18"/>
      <c r="E932" s="19"/>
      <c r="F932" s="20" t="n">
        <f aca="false">IF($C932=0,0,$C932-$D932)</f>
        <v>0</v>
      </c>
      <c r="G932" s="20" t="n">
        <f aca="false">IF($F932=0,0,$F932*$E932)</f>
        <v>0</v>
      </c>
      <c r="H932" s="20" t="n">
        <f aca="false">$F932-$G932</f>
        <v>0</v>
      </c>
      <c r="I932" s="16"/>
    </row>
    <row r="933" customFormat="false" ht="15" hidden="false" customHeight="true" outlineLevel="0" collapsed="false">
      <c r="A933" s="16"/>
      <c r="B933" s="17"/>
      <c r="C933" s="18"/>
      <c r="D933" s="18"/>
      <c r="E933" s="19"/>
      <c r="F933" s="20" t="n">
        <f aca="false">IF($C933=0,0,$C933-$D933)</f>
        <v>0</v>
      </c>
      <c r="G933" s="20" t="n">
        <f aca="false">IF($F933=0,0,$F933*$E933)</f>
        <v>0</v>
      </c>
      <c r="H933" s="20" t="n">
        <f aca="false">$F933-$G933</f>
        <v>0</v>
      </c>
      <c r="I933" s="16"/>
    </row>
    <row r="934" customFormat="false" ht="15" hidden="false" customHeight="true" outlineLevel="0" collapsed="false">
      <c r="A934" s="16"/>
      <c r="B934" s="17"/>
      <c r="C934" s="18"/>
      <c r="D934" s="18"/>
      <c r="E934" s="19"/>
      <c r="F934" s="20" t="n">
        <f aca="false">IF($C934=0,0,$C934-$D934)</f>
        <v>0</v>
      </c>
      <c r="G934" s="20" t="n">
        <f aca="false">IF($F934=0,0,$F934*$E934)</f>
        <v>0</v>
      </c>
      <c r="H934" s="20" t="n">
        <f aca="false">$F934-$G934</f>
        <v>0</v>
      </c>
      <c r="I934" s="16"/>
    </row>
    <row r="935" customFormat="false" ht="15" hidden="false" customHeight="true" outlineLevel="0" collapsed="false">
      <c r="A935" s="16"/>
      <c r="B935" s="17"/>
      <c r="C935" s="18"/>
      <c r="D935" s="18"/>
      <c r="E935" s="19"/>
      <c r="F935" s="20" t="n">
        <f aca="false">IF($C935=0,0,$C935-$D935)</f>
        <v>0</v>
      </c>
      <c r="G935" s="20" t="n">
        <f aca="false">IF($F935=0,0,$F935*$E935)</f>
        <v>0</v>
      </c>
      <c r="H935" s="20" t="n">
        <f aca="false">$F935-$G935</f>
        <v>0</v>
      </c>
      <c r="I935" s="16"/>
    </row>
    <row r="936" customFormat="false" ht="15" hidden="false" customHeight="true" outlineLevel="0" collapsed="false">
      <c r="A936" s="16"/>
      <c r="B936" s="17"/>
      <c r="C936" s="18"/>
      <c r="D936" s="18"/>
      <c r="E936" s="19"/>
      <c r="F936" s="20" t="n">
        <f aca="false">IF($C936=0,0,$C936-$D936)</f>
        <v>0</v>
      </c>
      <c r="G936" s="20" t="n">
        <f aca="false">IF($F936=0,0,$F936*$E936)</f>
        <v>0</v>
      </c>
      <c r="H936" s="20" t="n">
        <f aca="false">$F936-$G936</f>
        <v>0</v>
      </c>
      <c r="I936" s="16"/>
    </row>
    <row r="937" customFormat="false" ht="15" hidden="false" customHeight="true" outlineLevel="0" collapsed="false">
      <c r="A937" s="16"/>
      <c r="B937" s="17"/>
      <c r="C937" s="18"/>
      <c r="D937" s="18"/>
      <c r="E937" s="19"/>
      <c r="F937" s="20" t="n">
        <f aca="false">IF($C937=0,0,$C937-$D937)</f>
        <v>0</v>
      </c>
      <c r="G937" s="20" t="n">
        <f aca="false">IF($F937=0,0,$F937*$E937)</f>
        <v>0</v>
      </c>
      <c r="H937" s="20" t="n">
        <f aca="false">$F937-$G937</f>
        <v>0</v>
      </c>
      <c r="I937" s="16"/>
    </row>
    <row r="938" customFormat="false" ht="15" hidden="false" customHeight="true" outlineLevel="0" collapsed="false">
      <c r="A938" s="16"/>
      <c r="B938" s="17"/>
      <c r="C938" s="18"/>
      <c r="D938" s="18"/>
      <c r="E938" s="19"/>
      <c r="F938" s="20" t="n">
        <f aca="false">IF($C938=0,0,$C938-$D938)</f>
        <v>0</v>
      </c>
      <c r="G938" s="20" t="n">
        <f aca="false">IF($F938=0,0,$F938*$E938)</f>
        <v>0</v>
      </c>
      <c r="H938" s="20" t="n">
        <f aca="false">$F938-$G938</f>
        <v>0</v>
      </c>
      <c r="I938" s="16"/>
    </row>
    <row r="939" customFormat="false" ht="15" hidden="false" customHeight="true" outlineLevel="0" collapsed="false">
      <c r="A939" s="16"/>
      <c r="B939" s="17"/>
      <c r="C939" s="18"/>
      <c r="D939" s="18"/>
      <c r="E939" s="19"/>
      <c r="F939" s="20" t="n">
        <f aca="false">IF($C939=0,0,$C939-$D939)</f>
        <v>0</v>
      </c>
      <c r="G939" s="20" t="n">
        <f aca="false">IF($F939=0,0,$F939*$E939)</f>
        <v>0</v>
      </c>
      <c r="H939" s="20" t="n">
        <f aca="false">$F939-$G939</f>
        <v>0</v>
      </c>
      <c r="I939" s="16"/>
    </row>
    <row r="940" customFormat="false" ht="15" hidden="false" customHeight="true" outlineLevel="0" collapsed="false">
      <c r="A940" s="16"/>
      <c r="B940" s="17"/>
      <c r="C940" s="18"/>
      <c r="D940" s="18"/>
      <c r="E940" s="19"/>
      <c r="F940" s="20" t="n">
        <f aca="false">IF($C940=0,0,$C940-$D940)</f>
        <v>0</v>
      </c>
      <c r="G940" s="20" t="n">
        <f aca="false">IF($F940=0,0,$F940*$E940)</f>
        <v>0</v>
      </c>
      <c r="H940" s="20" t="n">
        <f aca="false">$F940-$G940</f>
        <v>0</v>
      </c>
      <c r="I940" s="16"/>
    </row>
    <row r="941" customFormat="false" ht="15" hidden="false" customHeight="true" outlineLevel="0" collapsed="false">
      <c r="A941" s="16"/>
      <c r="B941" s="17"/>
      <c r="C941" s="18"/>
      <c r="D941" s="18"/>
      <c r="E941" s="19"/>
      <c r="F941" s="20" t="n">
        <f aca="false">IF($C941=0,0,$C941-$D941)</f>
        <v>0</v>
      </c>
      <c r="G941" s="20" t="n">
        <f aca="false">IF($F941=0,0,$F941*$E941)</f>
        <v>0</v>
      </c>
      <c r="H941" s="20" t="n">
        <f aca="false">$F941-$G941</f>
        <v>0</v>
      </c>
      <c r="I941" s="16"/>
    </row>
    <row r="942" customFormat="false" ht="15" hidden="false" customHeight="true" outlineLevel="0" collapsed="false">
      <c r="A942" s="16"/>
      <c r="B942" s="17"/>
      <c r="C942" s="18"/>
      <c r="D942" s="18"/>
      <c r="E942" s="19"/>
      <c r="F942" s="20" t="n">
        <f aca="false">IF($C942=0,0,$C942-$D942)</f>
        <v>0</v>
      </c>
      <c r="G942" s="20" t="n">
        <f aca="false">IF($F942=0,0,$F942*$E942)</f>
        <v>0</v>
      </c>
      <c r="H942" s="20" t="n">
        <f aca="false">$F942-$G942</f>
        <v>0</v>
      </c>
      <c r="I942" s="16"/>
    </row>
    <row r="943" customFormat="false" ht="15" hidden="false" customHeight="true" outlineLevel="0" collapsed="false">
      <c r="A943" s="16"/>
      <c r="B943" s="17"/>
      <c r="C943" s="18"/>
      <c r="D943" s="18"/>
      <c r="E943" s="19"/>
      <c r="F943" s="20" t="n">
        <f aca="false">IF($C943=0,0,$C943-$D943)</f>
        <v>0</v>
      </c>
      <c r="G943" s="20" t="n">
        <f aca="false">IF($F943=0,0,$F943*$E943)</f>
        <v>0</v>
      </c>
      <c r="H943" s="20" t="n">
        <f aca="false">$F943-$G943</f>
        <v>0</v>
      </c>
      <c r="I943" s="16"/>
    </row>
    <row r="944" customFormat="false" ht="15" hidden="false" customHeight="true" outlineLevel="0" collapsed="false">
      <c r="A944" s="16"/>
      <c r="B944" s="17"/>
      <c r="C944" s="18"/>
      <c r="D944" s="18"/>
      <c r="E944" s="19"/>
      <c r="F944" s="20" t="n">
        <f aca="false">IF($C944=0,0,$C944-$D944)</f>
        <v>0</v>
      </c>
      <c r="G944" s="20" t="n">
        <f aca="false">IF($F944=0,0,$F944*$E944)</f>
        <v>0</v>
      </c>
      <c r="H944" s="20" t="n">
        <f aca="false">$F944-$G944</f>
        <v>0</v>
      </c>
      <c r="I944" s="16"/>
    </row>
    <row r="945" customFormat="false" ht="15" hidden="false" customHeight="true" outlineLevel="0" collapsed="false">
      <c r="A945" s="16"/>
      <c r="B945" s="17"/>
      <c r="C945" s="18"/>
      <c r="D945" s="18"/>
      <c r="E945" s="19"/>
      <c r="F945" s="20" t="n">
        <f aca="false">IF($C945=0,0,$C945-$D945)</f>
        <v>0</v>
      </c>
      <c r="G945" s="20" t="n">
        <f aca="false">IF($F945=0,0,$F945*$E945)</f>
        <v>0</v>
      </c>
      <c r="H945" s="20" t="n">
        <f aca="false">$F945-$G945</f>
        <v>0</v>
      </c>
      <c r="I945" s="16"/>
    </row>
    <row r="946" customFormat="false" ht="15" hidden="false" customHeight="true" outlineLevel="0" collapsed="false">
      <c r="A946" s="16"/>
      <c r="B946" s="17"/>
      <c r="C946" s="18"/>
      <c r="D946" s="18"/>
      <c r="E946" s="19"/>
      <c r="F946" s="20" t="n">
        <f aca="false">IF($C946=0,0,$C946-$D946)</f>
        <v>0</v>
      </c>
      <c r="G946" s="20" t="n">
        <f aca="false">IF($F946=0,0,$F946*$E946)</f>
        <v>0</v>
      </c>
      <c r="H946" s="20" t="n">
        <f aca="false">$F946-$G946</f>
        <v>0</v>
      </c>
      <c r="I946" s="16"/>
    </row>
    <row r="947" customFormat="false" ht="15" hidden="false" customHeight="true" outlineLevel="0" collapsed="false">
      <c r="A947" s="16"/>
      <c r="B947" s="17"/>
      <c r="C947" s="18"/>
      <c r="D947" s="18"/>
      <c r="E947" s="19"/>
      <c r="F947" s="20" t="n">
        <f aca="false">IF($C947=0,0,$C947-$D947)</f>
        <v>0</v>
      </c>
      <c r="G947" s="20" t="n">
        <f aca="false">IF($F947=0,0,$F947*$E947)</f>
        <v>0</v>
      </c>
      <c r="H947" s="20" t="n">
        <f aca="false">$F947-$G947</f>
        <v>0</v>
      </c>
      <c r="I947" s="16"/>
    </row>
    <row r="948" customFormat="false" ht="15" hidden="false" customHeight="true" outlineLevel="0" collapsed="false">
      <c r="A948" s="16"/>
      <c r="B948" s="17"/>
      <c r="C948" s="18"/>
      <c r="D948" s="18"/>
      <c r="E948" s="19"/>
      <c r="F948" s="20" t="n">
        <f aca="false">IF($C948=0,0,$C948-$D948)</f>
        <v>0</v>
      </c>
      <c r="G948" s="20" t="n">
        <f aca="false">IF($F948=0,0,$F948*$E948)</f>
        <v>0</v>
      </c>
      <c r="H948" s="20" t="n">
        <f aca="false">$F948-$G948</f>
        <v>0</v>
      </c>
      <c r="I948" s="16"/>
    </row>
    <row r="949" customFormat="false" ht="15" hidden="false" customHeight="true" outlineLevel="0" collapsed="false">
      <c r="A949" s="16"/>
      <c r="B949" s="17"/>
      <c r="C949" s="18"/>
      <c r="D949" s="18"/>
      <c r="E949" s="19"/>
      <c r="F949" s="20" t="n">
        <f aca="false">IF($C949=0,0,$C949-$D949)</f>
        <v>0</v>
      </c>
      <c r="G949" s="20" t="n">
        <f aca="false">IF($F949=0,0,$F949*$E949)</f>
        <v>0</v>
      </c>
      <c r="H949" s="20" t="n">
        <f aca="false">$F949-$G949</f>
        <v>0</v>
      </c>
      <c r="I949" s="16"/>
    </row>
    <row r="950" customFormat="false" ht="15" hidden="false" customHeight="true" outlineLevel="0" collapsed="false">
      <c r="A950" s="16"/>
      <c r="B950" s="17"/>
      <c r="C950" s="18"/>
      <c r="D950" s="18"/>
      <c r="E950" s="19"/>
      <c r="F950" s="20" t="n">
        <f aca="false">IF($C950=0,0,$C950-$D950)</f>
        <v>0</v>
      </c>
      <c r="G950" s="20" t="n">
        <f aca="false">IF($F950=0,0,$F950*$E950)</f>
        <v>0</v>
      </c>
      <c r="H950" s="20" t="n">
        <f aca="false">$F950-$G950</f>
        <v>0</v>
      </c>
      <c r="I950" s="16"/>
    </row>
    <row r="951" customFormat="false" ht="15" hidden="false" customHeight="true" outlineLevel="0" collapsed="false">
      <c r="A951" s="16"/>
      <c r="B951" s="17"/>
      <c r="C951" s="18"/>
      <c r="D951" s="18"/>
      <c r="E951" s="19"/>
      <c r="F951" s="20" t="n">
        <f aca="false">IF($C951=0,0,$C951-$D951)</f>
        <v>0</v>
      </c>
      <c r="G951" s="20" t="n">
        <f aca="false">IF($F951=0,0,$F951*$E951)</f>
        <v>0</v>
      </c>
      <c r="H951" s="20" t="n">
        <f aca="false">$F951-$G951</f>
        <v>0</v>
      </c>
      <c r="I951" s="16"/>
    </row>
    <row r="952" customFormat="false" ht="15" hidden="false" customHeight="true" outlineLevel="0" collapsed="false">
      <c r="A952" s="16"/>
      <c r="B952" s="17"/>
      <c r="C952" s="18"/>
      <c r="D952" s="18"/>
      <c r="E952" s="19"/>
      <c r="F952" s="20" t="n">
        <f aca="false">IF($C952=0,0,$C952-$D952)</f>
        <v>0</v>
      </c>
      <c r="G952" s="20" t="n">
        <f aca="false">IF($F952=0,0,$F952*$E952)</f>
        <v>0</v>
      </c>
      <c r="H952" s="20" t="n">
        <f aca="false">$F952-$G952</f>
        <v>0</v>
      </c>
      <c r="I952" s="16"/>
    </row>
    <row r="953" customFormat="false" ht="15" hidden="false" customHeight="true" outlineLevel="0" collapsed="false">
      <c r="A953" s="16"/>
      <c r="B953" s="17"/>
      <c r="C953" s="18"/>
      <c r="D953" s="18"/>
      <c r="E953" s="19"/>
      <c r="F953" s="20" t="n">
        <f aca="false">IF($C953=0,0,$C953-$D953)</f>
        <v>0</v>
      </c>
      <c r="G953" s="20" t="n">
        <f aca="false">IF($F953=0,0,$F953*$E953)</f>
        <v>0</v>
      </c>
      <c r="H953" s="20" t="n">
        <f aca="false">$F953-$G953</f>
        <v>0</v>
      </c>
      <c r="I953" s="16"/>
    </row>
    <row r="954" customFormat="false" ht="15" hidden="false" customHeight="true" outlineLevel="0" collapsed="false">
      <c r="A954" s="16"/>
      <c r="B954" s="17"/>
      <c r="C954" s="18"/>
      <c r="D954" s="18"/>
      <c r="E954" s="19"/>
      <c r="F954" s="20" t="n">
        <f aca="false">IF($C954=0,0,$C954-$D954)</f>
        <v>0</v>
      </c>
      <c r="G954" s="20" t="n">
        <f aca="false">IF($F954=0,0,$F954*$E954)</f>
        <v>0</v>
      </c>
      <c r="H954" s="20" t="n">
        <f aca="false">$F954-$G954</f>
        <v>0</v>
      </c>
      <c r="I954" s="16"/>
    </row>
    <row r="955" customFormat="false" ht="15" hidden="false" customHeight="true" outlineLevel="0" collapsed="false">
      <c r="A955" s="16"/>
      <c r="B955" s="17"/>
      <c r="C955" s="18"/>
      <c r="D955" s="18"/>
      <c r="E955" s="19"/>
      <c r="F955" s="20" t="n">
        <f aca="false">IF($C955=0,0,$C955-$D955)</f>
        <v>0</v>
      </c>
      <c r="G955" s="20" t="n">
        <f aca="false">IF($F955=0,0,$F955*$E955)</f>
        <v>0</v>
      </c>
      <c r="H955" s="20" t="n">
        <f aca="false">$F955-$G955</f>
        <v>0</v>
      </c>
      <c r="I955" s="16"/>
    </row>
    <row r="956" customFormat="false" ht="15" hidden="false" customHeight="true" outlineLevel="0" collapsed="false">
      <c r="A956" s="16"/>
      <c r="B956" s="17"/>
      <c r="C956" s="18"/>
      <c r="D956" s="18"/>
      <c r="E956" s="19"/>
      <c r="F956" s="20" t="n">
        <f aca="false">IF($C956=0,0,$C956-$D956)</f>
        <v>0</v>
      </c>
      <c r="G956" s="20" t="n">
        <f aca="false">IF($F956=0,0,$F956*$E956)</f>
        <v>0</v>
      </c>
      <c r="H956" s="20" t="n">
        <f aca="false">$F956-$G956</f>
        <v>0</v>
      </c>
      <c r="I956" s="16"/>
    </row>
    <row r="957" customFormat="false" ht="15" hidden="false" customHeight="true" outlineLevel="0" collapsed="false">
      <c r="A957" s="16"/>
      <c r="B957" s="17"/>
      <c r="C957" s="18"/>
      <c r="D957" s="18"/>
      <c r="E957" s="19"/>
      <c r="F957" s="20" t="n">
        <f aca="false">IF($C957=0,0,$C957-$D957)</f>
        <v>0</v>
      </c>
      <c r="G957" s="20" t="n">
        <f aca="false">IF($F957=0,0,$F957*$E957)</f>
        <v>0</v>
      </c>
      <c r="H957" s="20" t="n">
        <f aca="false">$F957-$G957</f>
        <v>0</v>
      </c>
      <c r="I957" s="16"/>
    </row>
    <row r="958" customFormat="false" ht="15" hidden="false" customHeight="true" outlineLevel="0" collapsed="false">
      <c r="A958" s="16"/>
      <c r="B958" s="17"/>
      <c r="C958" s="18"/>
      <c r="D958" s="18"/>
      <c r="E958" s="19"/>
      <c r="F958" s="20" t="n">
        <f aca="false">IF($C958=0,0,$C958-$D958)</f>
        <v>0</v>
      </c>
      <c r="G958" s="20" t="n">
        <f aca="false">IF($F958=0,0,$F958*$E958)</f>
        <v>0</v>
      </c>
      <c r="H958" s="20" t="n">
        <f aca="false">$F958-$G958</f>
        <v>0</v>
      </c>
      <c r="I958" s="16"/>
    </row>
    <row r="959" customFormat="false" ht="15" hidden="false" customHeight="true" outlineLevel="0" collapsed="false">
      <c r="A959" s="16"/>
      <c r="B959" s="17"/>
      <c r="C959" s="18"/>
      <c r="D959" s="18"/>
      <c r="E959" s="19"/>
      <c r="F959" s="20" t="n">
        <f aca="false">IF($C959=0,0,$C959-$D959)</f>
        <v>0</v>
      </c>
      <c r="G959" s="20" t="n">
        <f aca="false">IF($F959=0,0,$F959*$E959)</f>
        <v>0</v>
      </c>
      <c r="H959" s="20" t="n">
        <f aca="false">$F959-$G959</f>
        <v>0</v>
      </c>
      <c r="I959" s="16"/>
    </row>
    <row r="960" customFormat="false" ht="15" hidden="false" customHeight="true" outlineLevel="0" collapsed="false">
      <c r="A960" s="16"/>
      <c r="B960" s="17"/>
      <c r="C960" s="18"/>
      <c r="D960" s="18"/>
      <c r="E960" s="19"/>
      <c r="F960" s="20" t="n">
        <f aca="false">IF($C960=0,0,$C960-$D960)</f>
        <v>0</v>
      </c>
      <c r="G960" s="20" t="n">
        <f aca="false">IF($F960=0,0,$F960*$E960)</f>
        <v>0</v>
      </c>
      <c r="H960" s="20" t="n">
        <f aca="false">$F960-$G960</f>
        <v>0</v>
      </c>
      <c r="I960" s="16"/>
    </row>
    <row r="961" customFormat="false" ht="15" hidden="false" customHeight="true" outlineLevel="0" collapsed="false">
      <c r="A961" s="16"/>
      <c r="B961" s="17"/>
      <c r="C961" s="18"/>
      <c r="D961" s="18"/>
      <c r="E961" s="19"/>
      <c r="F961" s="20" t="n">
        <f aca="false">IF($C961=0,0,$C961-$D961)</f>
        <v>0</v>
      </c>
      <c r="G961" s="20" t="n">
        <f aca="false">IF($F961=0,0,$F961*$E961)</f>
        <v>0</v>
      </c>
      <c r="H961" s="20" t="n">
        <f aca="false">$F961-$G961</f>
        <v>0</v>
      </c>
      <c r="I961" s="16"/>
    </row>
    <row r="962" customFormat="false" ht="15" hidden="false" customHeight="true" outlineLevel="0" collapsed="false">
      <c r="A962" s="16"/>
      <c r="B962" s="17"/>
      <c r="C962" s="18"/>
      <c r="D962" s="18"/>
      <c r="E962" s="19"/>
      <c r="F962" s="20" t="n">
        <f aca="false">IF($C962=0,0,$C962-$D962)</f>
        <v>0</v>
      </c>
      <c r="G962" s="20" t="n">
        <f aca="false">IF($F962=0,0,$F962*$E962)</f>
        <v>0</v>
      </c>
      <c r="H962" s="20" t="n">
        <f aca="false">$F962-$G962</f>
        <v>0</v>
      </c>
      <c r="I962" s="16"/>
    </row>
    <row r="963" customFormat="false" ht="15" hidden="false" customHeight="true" outlineLevel="0" collapsed="false">
      <c r="A963" s="16"/>
      <c r="B963" s="17"/>
      <c r="C963" s="18"/>
      <c r="D963" s="18"/>
      <c r="E963" s="19"/>
      <c r="F963" s="20" t="n">
        <f aca="false">IF($C963=0,0,$C963-$D963)</f>
        <v>0</v>
      </c>
      <c r="G963" s="20" t="n">
        <f aca="false">IF($F963=0,0,$F963*$E963)</f>
        <v>0</v>
      </c>
      <c r="H963" s="20" t="n">
        <f aca="false">$F963-$G963</f>
        <v>0</v>
      </c>
      <c r="I963" s="16"/>
    </row>
    <row r="964" customFormat="false" ht="15" hidden="false" customHeight="true" outlineLevel="0" collapsed="false">
      <c r="A964" s="16"/>
      <c r="B964" s="17"/>
      <c r="C964" s="18"/>
      <c r="D964" s="18"/>
      <c r="E964" s="19"/>
      <c r="F964" s="20" t="n">
        <f aca="false">IF($C964=0,0,$C964-$D964)</f>
        <v>0</v>
      </c>
      <c r="G964" s="20" t="n">
        <f aca="false">IF($F964=0,0,$F964*$E964)</f>
        <v>0</v>
      </c>
      <c r="H964" s="20" t="n">
        <f aca="false">$F964-$G964</f>
        <v>0</v>
      </c>
      <c r="I964" s="16"/>
    </row>
    <row r="965" customFormat="false" ht="15" hidden="false" customHeight="true" outlineLevel="0" collapsed="false">
      <c r="A965" s="16"/>
      <c r="B965" s="17"/>
      <c r="C965" s="18"/>
      <c r="D965" s="18"/>
      <c r="E965" s="19"/>
      <c r="F965" s="20" t="n">
        <f aca="false">IF($C965=0,0,$C965-$D965)</f>
        <v>0</v>
      </c>
      <c r="G965" s="20" t="n">
        <f aca="false">IF($F965=0,0,$F965*$E965)</f>
        <v>0</v>
      </c>
      <c r="H965" s="20" t="n">
        <f aca="false">$F965-$G965</f>
        <v>0</v>
      </c>
      <c r="I965" s="16"/>
    </row>
    <row r="966" customFormat="false" ht="15" hidden="false" customHeight="true" outlineLevel="0" collapsed="false">
      <c r="A966" s="16"/>
      <c r="B966" s="17"/>
      <c r="C966" s="18"/>
      <c r="D966" s="18"/>
      <c r="E966" s="19"/>
      <c r="F966" s="20" t="n">
        <f aca="false">IF($C966=0,0,$C966-$D966)</f>
        <v>0</v>
      </c>
      <c r="G966" s="20" t="n">
        <f aca="false">IF($F966=0,0,$F966*$E966)</f>
        <v>0</v>
      </c>
      <c r="H966" s="20" t="n">
        <f aca="false">$F966-$G966</f>
        <v>0</v>
      </c>
      <c r="I966" s="16"/>
    </row>
    <row r="967" customFormat="false" ht="15" hidden="false" customHeight="true" outlineLevel="0" collapsed="false">
      <c r="A967" s="16"/>
      <c r="B967" s="17"/>
      <c r="C967" s="18"/>
      <c r="D967" s="18"/>
      <c r="E967" s="19"/>
      <c r="F967" s="20" t="n">
        <f aca="false">IF($C967=0,0,$C967-$D967)</f>
        <v>0</v>
      </c>
      <c r="G967" s="20" t="n">
        <f aca="false">IF($F967=0,0,$F967*$E967)</f>
        <v>0</v>
      </c>
      <c r="H967" s="20" t="n">
        <f aca="false">$F967-$G967</f>
        <v>0</v>
      </c>
      <c r="I967" s="16"/>
    </row>
    <row r="968" customFormat="false" ht="15" hidden="false" customHeight="true" outlineLevel="0" collapsed="false">
      <c r="A968" s="16"/>
      <c r="B968" s="17"/>
      <c r="C968" s="18"/>
      <c r="D968" s="18"/>
      <c r="E968" s="19"/>
      <c r="F968" s="20" t="n">
        <f aca="false">IF($C968=0,0,$C968-$D968)</f>
        <v>0</v>
      </c>
      <c r="G968" s="20" t="n">
        <f aca="false">IF($F968=0,0,$F968*$E968)</f>
        <v>0</v>
      </c>
      <c r="H968" s="20" t="n">
        <f aca="false">$F968-$G968</f>
        <v>0</v>
      </c>
      <c r="I968" s="16"/>
    </row>
    <row r="969" customFormat="false" ht="15" hidden="false" customHeight="true" outlineLevel="0" collapsed="false">
      <c r="A969" s="16"/>
      <c r="B969" s="17"/>
      <c r="C969" s="18"/>
      <c r="D969" s="18"/>
      <c r="E969" s="19"/>
      <c r="F969" s="20" t="n">
        <f aca="false">IF($C969=0,0,$C969-$D969)</f>
        <v>0</v>
      </c>
      <c r="G969" s="20" t="n">
        <f aca="false">IF($F969=0,0,$F969*$E969)</f>
        <v>0</v>
      </c>
      <c r="H969" s="20" t="n">
        <f aca="false">$F969-$G969</f>
        <v>0</v>
      </c>
      <c r="I969" s="16"/>
    </row>
    <row r="970" customFormat="false" ht="15" hidden="false" customHeight="true" outlineLevel="0" collapsed="false">
      <c r="A970" s="16"/>
      <c r="B970" s="17"/>
      <c r="C970" s="18"/>
      <c r="D970" s="18"/>
      <c r="E970" s="19"/>
      <c r="F970" s="20" t="n">
        <f aca="false">IF($C970=0,0,$C970-$D970)</f>
        <v>0</v>
      </c>
      <c r="G970" s="20" t="n">
        <f aca="false">IF($F970=0,0,$F970*$E970)</f>
        <v>0</v>
      </c>
      <c r="H970" s="20" t="n">
        <f aca="false">$F970-$G970</f>
        <v>0</v>
      </c>
      <c r="I970" s="16"/>
    </row>
    <row r="971" customFormat="false" ht="15" hidden="false" customHeight="true" outlineLevel="0" collapsed="false">
      <c r="A971" s="16"/>
      <c r="B971" s="17"/>
      <c r="C971" s="18"/>
      <c r="D971" s="18"/>
      <c r="E971" s="19"/>
      <c r="F971" s="20" t="n">
        <f aca="false">IF($C971=0,0,$C971-$D971)</f>
        <v>0</v>
      </c>
      <c r="G971" s="20" t="n">
        <f aca="false">IF($F971=0,0,$F971*$E971)</f>
        <v>0</v>
      </c>
      <c r="H971" s="20" t="n">
        <f aca="false">$F971-$G971</f>
        <v>0</v>
      </c>
      <c r="I971" s="16"/>
    </row>
    <row r="972" customFormat="false" ht="15" hidden="false" customHeight="true" outlineLevel="0" collapsed="false">
      <c r="A972" s="16"/>
      <c r="B972" s="17"/>
      <c r="C972" s="18"/>
      <c r="D972" s="18"/>
      <c r="E972" s="19"/>
      <c r="F972" s="20" t="n">
        <f aca="false">IF($C972=0,0,$C972-$D972)</f>
        <v>0</v>
      </c>
      <c r="G972" s="20" t="n">
        <f aca="false">IF($F972=0,0,$F972*$E972)</f>
        <v>0</v>
      </c>
      <c r="H972" s="20" t="n">
        <f aca="false">$F972-$G972</f>
        <v>0</v>
      </c>
      <c r="I972" s="16"/>
    </row>
    <row r="973" customFormat="false" ht="15" hidden="false" customHeight="true" outlineLevel="0" collapsed="false">
      <c r="A973" s="16"/>
      <c r="B973" s="17"/>
      <c r="C973" s="18"/>
      <c r="D973" s="18"/>
      <c r="E973" s="19"/>
      <c r="F973" s="20" t="n">
        <f aca="false">IF($C973=0,0,$C973-$D973)</f>
        <v>0</v>
      </c>
      <c r="G973" s="20" t="n">
        <f aca="false">IF($F973=0,0,$F973*$E973)</f>
        <v>0</v>
      </c>
      <c r="H973" s="20" t="n">
        <f aca="false">$F973-$G973</f>
        <v>0</v>
      </c>
      <c r="I973" s="16"/>
    </row>
    <row r="974" customFormat="false" ht="15" hidden="false" customHeight="true" outlineLevel="0" collapsed="false">
      <c r="A974" s="16"/>
      <c r="B974" s="17"/>
      <c r="C974" s="18"/>
      <c r="D974" s="18"/>
      <c r="E974" s="19"/>
      <c r="F974" s="20" t="n">
        <f aca="false">IF($C974=0,0,$C974-$D974)</f>
        <v>0</v>
      </c>
      <c r="G974" s="20" t="n">
        <f aca="false">IF($F974=0,0,$F974*$E974)</f>
        <v>0</v>
      </c>
      <c r="H974" s="20" t="n">
        <f aca="false">$F974-$G974</f>
        <v>0</v>
      </c>
      <c r="I974" s="16"/>
    </row>
    <row r="975" customFormat="false" ht="15" hidden="false" customHeight="true" outlineLevel="0" collapsed="false">
      <c r="A975" s="16"/>
      <c r="B975" s="17"/>
      <c r="C975" s="18"/>
      <c r="D975" s="18"/>
      <c r="E975" s="19"/>
      <c r="F975" s="20" t="n">
        <f aca="false">IF($C975=0,0,$C975-$D975)</f>
        <v>0</v>
      </c>
      <c r="G975" s="20" t="n">
        <f aca="false">IF($F975=0,0,$F975*$E975)</f>
        <v>0</v>
      </c>
      <c r="H975" s="20" t="n">
        <f aca="false">$F975-$G975</f>
        <v>0</v>
      </c>
      <c r="I975" s="16"/>
    </row>
    <row r="976" customFormat="false" ht="15" hidden="false" customHeight="true" outlineLevel="0" collapsed="false">
      <c r="A976" s="16"/>
      <c r="B976" s="17"/>
      <c r="C976" s="18"/>
      <c r="D976" s="18"/>
      <c r="E976" s="19"/>
      <c r="F976" s="20" t="n">
        <f aca="false">IF($C976=0,0,$C976-$D976)</f>
        <v>0</v>
      </c>
      <c r="G976" s="20" t="n">
        <f aca="false">IF($F976=0,0,$F976*$E976)</f>
        <v>0</v>
      </c>
      <c r="H976" s="20" t="n">
        <f aca="false">$F976-$G976</f>
        <v>0</v>
      </c>
      <c r="I976" s="16"/>
    </row>
    <row r="977" customFormat="false" ht="15" hidden="false" customHeight="true" outlineLevel="0" collapsed="false">
      <c r="A977" s="16"/>
      <c r="B977" s="17"/>
      <c r="C977" s="18"/>
      <c r="D977" s="18"/>
      <c r="E977" s="19"/>
      <c r="F977" s="20" t="n">
        <f aca="false">IF($C977=0,0,$C977-$D977)</f>
        <v>0</v>
      </c>
      <c r="G977" s="20" t="n">
        <f aca="false">IF($F977=0,0,$F977*$E977)</f>
        <v>0</v>
      </c>
      <c r="H977" s="20" t="n">
        <f aca="false">$F977-$G977</f>
        <v>0</v>
      </c>
      <c r="I977" s="16"/>
    </row>
    <row r="978" customFormat="false" ht="15" hidden="false" customHeight="true" outlineLevel="0" collapsed="false">
      <c r="A978" s="16"/>
      <c r="B978" s="17"/>
      <c r="C978" s="18"/>
      <c r="D978" s="18"/>
      <c r="E978" s="19"/>
      <c r="F978" s="20" t="n">
        <f aca="false">IF($C978=0,0,$C978-$D978)</f>
        <v>0</v>
      </c>
      <c r="G978" s="20" t="n">
        <f aca="false">IF($F978=0,0,$F978*$E978)</f>
        <v>0</v>
      </c>
      <c r="H978" s="20" t="n">
        <f aca="false">$F978-$G978</f>
        <v>0</v>
      </c>
      <c r="I978" s="16"/>
    </row>
    <row r="979" customFormat="false" ht="15" hidden="false" customHeight="true" outlineLevel="0" collapsed="false">
      <c r="A979" s="16"/>
      <c r="B979" s="17"/>
      <c r="C979" s="18"/>
      <c r="D979" s="18"/>
      <c r="E979" s="19"/>
      <c r="F979" s="20" t="n">
        <f aca="false">IF($C979=0,0,$C979-$D979)</f>
        <v>0</v>
      </c>
      <c r="G979" s="20" t="n">
        <f aca="false">IF($F979=0,0,$F979*$E979)</f>
        <v>0</v>
      </c>
      <c r="H979" s="20" t="n">
        <f aca="false">$F979-$G979</f>
        <v>0</v>
      </c>
      <c r="I979" s="16"/>
    </row>
    <row r="980" customFormat="false" ht="15" hidden="false" customHeight="true" outlineLevel="0" collapsed="false">
      <c r="A980" s="16"/>
      <c r="B980" s="17"/>
      <c r="C980" s="18"/>
      <c r="D980" s="18"/>
      <c r="E980" s="19"/>
      <c r="F980" s="20" t="n">
        <f aca="false">IF($C980=0,0,$C980-$D980)</f>
        <v>0</v>
      </c>
      <c r="G980" s="20" t="n">
        <f aca="false">IF($F980=0,0,$F980*$E980)</f>
        <v>0</v>
      </c>
      <c r="H980" s="20" t="n">
        <f aca="false">$F980-$G980</f>
        <v>0</v>
      </c>
      <c r="I980" s="16"/>
    </row>
    <row r="981" customFormat="false" ht="15" hidden="false" customHeight="true" outlineLevel="0" collapsed="false">
      <c r="A981" s="16"/>
      <c r="B981" s="17"/>
      <c r="C981" s="18"/>
      <c r="D981" s="18"/>
      <c r="E981" s="19"/>
      <c r="F981" s="20" t="n">
        <f aca="false">IF($C981=0,0,$C981-$D981)</f>
        <v>0</v>
      </c>
      <c r="G981" s="20" t="n">
        <f aca="false">IF($F981=0,0,$F981*$E981)</f>
        <v>0</v>
      </c>
      <c r="H981" s="20" t="n">
        <f aca="false">$F981-$G981</f>
        <v>0</v>
      </c>
      <c r="I981" s="16"/>
    </row>
    <row r="982" customFormat="false" ht="15" hidden="false" customHeight="true" outlineLevel="0" collapsed="false">
      <c r="A982" s="16"/>
      <c r="B982" s="17"/>
      <c r="C982" s="18"/>
      <c r="D982" s="18"/>
      <c r="E982" s="19"/>
      <c r="F982" s="20" t="n">
        <f aca="false">IF($C982=0,0,$C982-$D982)</f>
        <v>0</v>
      </c>
      <c r="G982" s="20" t="n">
        <f aca="false">IF($F982=0,0,$F982*$E982)</f>
        <v>0</v>
      </c>
      <c r="H982" s="20" t="n">
        <f aca="false">$F982-$G982</f>
        <v>0</v>
      </c>
      <c r="I982" s="16"/>
    </row>
    <row r="983" customFormat="false" ht="15" hidden="false" customHeight="true" outlineLevel="0" collapsed="false">
      <c r="A983" s="16"/>
      <c r="B983" s="17"/>
      <c r="C983" s="18"/>
      <c r="D983" s="18"/>
      <c r="E983" s="19"/>
      <c r="F983" s="20" t="n">
        <f aca="false">IF($C983=0,0,$C983-$D983)</f>
        <v>0</v>
      </c>
      <c r="G983" s="20" t="n">
        <f aca="false">IF($F983=0,0,$F983*$E983)</f>
        <v>0</v>
      </c>
      <c r="H983" s="20" t="n">
        <f aca="false">$F983-$G983</f>
        <v>0</v>
      </c>
      <c r="I983" s="16"/>
    </row>
    <row r="984" customFormat="false" ht="15" hidden="false" customHeight="true" outlineLevel="0" collapsed="false">
      <c r="A984" s="16"/>
      <c r="B984" s="17"/>
      <c r="C984" s="18"/>
      <c r="D984" s="18"/>
      <c r="E984" s="19"/>
      <c r="F984" s="20" t="n">
        <f aca="false">IF($C984=0,0,$C984-$D984)</f>
        <v>0</v>
      </c>
      <c r="G984" s="20" t="n">
        <f aca="false">IF($F984=0,0,$F984*$E984)</f>
        <v>0</v>
      </c>
      <c r="H984" s="20" t="n">
        <f aca="false">$F984-$G984</f>
        <v>0</v>
      </c>
      <c r="I984" s="16"/>
    </row>
    <row r="985" customFormat="false" ht="15" hidden="false" customHeight="true" outlineLevel="0" collapsed="false">
      <c r="A985" s="16"/>
      <c r="B985" s="17"/>
      <c r="C985" s="18"/>
      <c r="D985" s="18"/>
      <c r="E985" s="19"/>
      <c r="F985" s="20" t="n">
        <f aca="false">IF($C985=0,0,$C985-$D985)</f>
        <v>0</v>
      </c>
      <c r="G985" s="20" t="n">
        <f aca="false">IF($F985=0,0,$F985*$E985)</f>
        <v>0</v>
      </c>
      <c r="H985" s="20" t="n">
        <f aca="false">$F985-$G985</f>
        <v>0</v>
      </c>
      <c r="I985" s="16"/>
    </row>
    <row r="986" customFormat="false" ht="15" hidden="false" customHeight="true" outlineLevel="0" collapsed="false">
      <c r="A986" s="16"/>
      <c r="B986" s="17"/>
      <c r="C986" s="18"/>
      <c r="D986" s="18"/>
      <c r="E986" s="19"/>
      <c r="F986" s="20" t="n">
        <f aca="false">IF($C986=0,0,$C986-$D986)</f>
        <v>0</v>
      </c>
      <c r="G986" s="20" t="n">
        <f aca="false">IF($F986=0,0,$F986*$E986)</f>
        <v>0</v>
      </c>
      <c r="H986" s="20" t="n">
        <f aca="false">$F986-$G986</f>
        <v>0</v>
      </c>
      <c r="I986" s="16"/>
    </row>
    <row r="987" customFormat="false" ht="15" hidden="false" customHeight="true" outlineLevel="0" collapsed="false">
      <c r="A987" s="16"/>
      <c r="B987" s="17"/>
      <c r="C987" s="18"/>
      <c r="D987" s="18"/>
      <c r="E987" s="19"/>
      <c r="F987" s="20" t="n">
        <f aca="false">IF($C987=0,0,$C987-$D987)</f>
        <v>0</v>
      </c>
      <c r="G987" s="20" t="n">
        <f aca="false">IF($F987=0,0,$F987*$E987)</f>
        <v>0</v>
      </c>
      <c r="H987" s="20" t="n">
        <f aca="false">$F987-$G987</f>
        <v>0</v>
      </c>
      <c r="I987" s="16"/>
    </row>
    <row r="988" customFormat="false" ht="15" hidden="false" customHeight="true" outlineLevel="0" collapsed="false">
      <c r="A988" s="16"/>
      <c r="B988" s="17"/>
      <c r="C988" s="18"/>
      <c r="D988" s="18"/>
      <c r="E988" s="19"/>
      <c r="F988" s="20" t="n">
        <f aca="false">IF($C988=0,0,$C988-$D988)</f>
        <v>0</v>
      </c>
      <c r="G988" s="20" t="n">
        <f aca="false">IF($F988=0,0,$F988*$E988)</f>
        <v>0</v>
      </c>
      <c r="H988" s="20" t="n">
        <f aca="false">$F988-$G988</f>
        <v>0</v>
      </c>
      <c r="I988" s="16"/>
    </row>
    <row r="989" customFormat="false" ht="15" hidden="false" customHeight="true" outlineLevel="0" collapsed="false">
      <c r="A989" s="16"/>
      <c r="B989" s="17"/>
      <c r="C989" s="18"/>
      <c r="D989" s="18"/>
      <c r="E989" s="19"/>
      <c r="F989" s="20" t="n">
        <f aca="false">IF($C989=0,0,$C989-$D989)</f>
        <v>0</v>
      </c>
      <c r="G989" s="20" t="n">
        <f aca="false">IF($F989=0,0,$F989*$E989)</f>
        <v>0</v>
      </c>
      <c r="H989" s="20" t="n">
        <f aca="false">$F989-$G989</f>
        <v>0</v>
      </c>
      <c r="I989" s="16"/>
    </row>
    <row r="990" customFormat="false" ht="15" hidden="false" customHeight="true" outlineLevel="0" collapsed="false">
      <c r="A990" s="16"/>
      <c r="B990" s="17"/>
      <c r="C990" s="18"/>
      <c r="D990" s="18"/>
      <c r="E990" s="19"/>
      <c r="F990" s="20" t="n">
        <f aca="false">IF($C990=0,0,$C990-$D990)</f>
        <v>0</v>
      </c>
      <c r="G990" s="20" t="n">
        <f aca="false">IF($F990=0,0,$F990*$E990)</f>
        <v>0</v>
      </c>
      <c r="H990" s="20" t="n">
        <f aca="false">$F990-$G990</f>
        <v>0</v>
      </c>
      <c r="I990" s="16"/>
    </row>
    <row r="991" customFormat="false" ht="15" hidden="false" customHeight="true" outlineLevel="0" collapsed="false">
      <c r="A991" s="16"/>
      <c r="B991" s="17"/>
      <c r="C991" s="18"/>
      <c r="D991" s="18"/>
      <c r="E991" s="19"/>
      <c r="F991" s="20" t="n">
        <f aca="false">IF($C991=0,0,$C991-$D991)</f>
        <v>0</v>
      </c>
      <c r="G991" s="20" t="n">
        <f aca="false">IF($F991=0,0,$F991*$E991)</f>
        <v>0</v>
      </c>
      <c r="H991" s="20" t="n">
        <f aca="false">$F991-$G991</f>
        <v>0</v>
      </c>
      <c r="I991" s="16"/>
    </row>
    <row r="992" customFormat="false" ht="15" hidden="false" customHeight="true" outlineLevel="0" collapsed="false">
      <c r="A992" s="16"/>
      <c r="B992" s="17"/>
      <c r="C992" s="18"/>
      <c r="D992" s="18"/>
      <c r="E992" s="19"/>
      <c r="F992" s="20" t="n">
        <f aca="false">IF($C992=0,0,$C992-$D992)</f>
        <v>0</v>
      </c>
      <c r="G992" s="20" t="n">
        <f aca="false">IF($F992=0,0,$F992*$E992)</f>
        <v>0</v>
      </c>
      <c r="H992" s="20" t="n">
        <f aca="false">$F992-$G992</f>
        <v>0</v>
      </c>
      <c r="I992" s="16"/>
    </row>
    <row r="993" customFormat="false" ht="15" hidden="false" customHeight="true" outlineLevel="0" collapsed="false">
      <c r="A993" s="16"/>
      <c r="B993" s="17"/>
      <c r="C993" s="18"/>
      <c r="D993" s="18"/>
      <c r="E993" s="19"/>
      <c r="F993" s="20" t="n">
        <f aca="false">IF($C993=0,0,$C993-$D993)</f>
        <v>0</v>
      </c>
      <c r="G993" s="20" t="n">
        <f aca="false">IF($F993=0,0,$F993*$E993)</f>
        <v>0</v>
      </c>
      <c r="H993" s="20" t="n">
        <f aca="false">$F993-$G993</f>
        <v>0</v>
      </c>
      <c r="I993" s="16"/>
    </row>
    <row r="994" customFormat="false" ht="15" hidden="false" customHeight="true" outlineLevel="0" collapsed="false">
      <c r="A994" s="16"/>
      <c r="B994" s="17"/>
      <c r="C994" s="18"/>
      <c r="D994" s="18"/>
      <c r="E994" s="19"/>
      <c r="F994" s="20" t="n">
        <f aca="false">IF($C994=0,0,$C994-$D994)</f>
        <v>0</v>
      </c>
      <c r="G994" s="20" t="n">
        <f aca="false">IF($F994=0,0,$F994*$E994)</f>
        <v>0</v>
      </c>
      <c r="H994" s="20" t="n">
        <f aca="false">$F994-$G994</f>
        <v>0</v>
      </c>
      <c r="I994" s="16"/>
    </row>
    <row r="995" customFormat="false" ht="15" hidden="false" customHeight="true" outlineLevel="0" collapsed="false">
      <c r="A995" s="16"/>
      <c r="B995" s="17"/>
      <c r="C995" s="18"/>
      <c r="D995" s="18"/>
      <c r="E995" s="19"/>
      <c r="F995" s="20" t="n">
        <f aca="false">IF($C995=0,0,$C995-$D995)</f>
        <v>0</v>
      </c>
      <c r="G995" s="20" t="n">
        <f aca="false">IF($F995=0,0,$F995*$E995)</f>
        <v>0</v>
      </c>
      <c r="H995" s="20" t="n">
        <f aca="false">$F995-$G995</f>
        <v>0</v>
      </c>
      <c r="I995" s="16"/>
    </row>
    <row r="996" customFormat="false" ht="15" hidden="false" customHeight="true" outlineLevel="0" collapsed="false">
      <c r="A996" s="16"/>
      <c r="B996" s="17"/>
      <c r="C996" s="18"/>
      <c r="D996" s="18"/>
      <c r="E996" s="19"/>
      <c r="F996" s="20" t="n">
        <f aca="false">IF($C996=0,0,$C996-$D996)</f>
        <v>0</v>
      </c>
      <c r="G996" s="20" t="n">
        <f aca="false">IF($F996=0,0,$F996*$E996)</f>
        <v>0</v>
      </c>
      <c r="H996" s="20" t="n">
        <f aca="false">$F996-$G996</f>
        <v>0</v>
      </c>
      <c r="I996" s="16"/>
    </row>
    <row r="997" customFormat="false" ht="15" hidden="false" customHeight="true" outlineLevel="0" collapsed="false">
      <c r="A997" s="16"/>
      <c r="B997" s="17"/>
      <c r="C997" s="18"/>
      <c r="D997" s="18"/>
      <c r="E997" s="19"/>
      <c r="F997" s="20" t="n">
        <f aca="false">IF($C997=0,0,$C997-$D997)</f>
        <v>0</v>
      </c>
      <c r="G997" s="20" t="n">
        <f aca="false">IF($F997=0,0,$F997*$E997)</f>
        <v>0</v>
      </c>
      <c r="H997" s="20" t="n">
        <f aca="false">$F997-$G997</f>
        <v>0</v>
      </c>
      <c r="I997" s="16"/>
    </row>
    <row r="998" customFormat="false" ht="15" hidden="false" customHeight="true" outlineLevel="0" collapsed="false">
      <c r="A998" s="16"/>
      <c r="B998" s="17"/>
      <c r="C998" s="18"/>
      <c r="D998" s="18"/>
      <c r="E998" s="19"/>
      <c r="F998" s="20" t="n">
        <f aca="false">IF($C998=0,0,$C998-$D998)</f>
        <v>0</v>
      </c>
      <c r="G998" s="20" t="n">
        <f aca="false">IF($F998=0,0,$F998*$E998)</f>
        <v>0</v>
      </c>
      <c r="H998" s="20" t="n">
        <f aca="false">$F998-$G998</f>
        <v>0</v>
      </c>
      <c r="I998" s="16"/>
    </row>
    <row r="999" customFormat="false" ht="15" hidden="false" customHeight="true" outlineLevel="0" collapsed="false">
      <c r="A999" s="16"/>
      <c r="B999" s="17"/>
      <c r="C999" s="18"/>
      <c r="D999" s="18"/>
      <c r="E999" s="19"/>
      <c r="F999" s="20" t="n">
        <f aca="false">IF($C999=0,0,$C999-$D999)</f>
        <v>0</v>
      </c>
      <c r="G999" s="20" t="n">
        <f aca="false">IF($F999=0,0,$F999*$E999)</f>
        <v>0</v>
      </c>
      <c r="H999" s="20" t="n">
        <f aca="false">$F999-$G999</f>
        <v>0</v>
      </c>
      <c r="I999" s="16"/>
    </row>
    <row r="1000" customFormat="false" ht="15" hidden="false" customHeight="true" outlineLevel="0" collapsed="false">
      <c r="A1000" s="16"/>
      <c r="B1000" s="17"/>
      <c r="C1000" s="18"/>
      <c r="D1000" s="18"/>
      <c r="E1000" s="19"/>
      <c r="F1000" s="20" t="n">
        <f aca="false">IF($C1000=0,0,$C1000-$D1000)</f>
        <v>0</v>
      </c>
      <c r="G1000" s="20" t="n">
        <f aca="false">IF($F1000=0,0,$F1000*$E1000)</f>
        <v>0</v>
      </c>
      <c r="H1000" s="20" t="n">
        <f aca="false">$F1000-$G1000</f>
        <v>0</v>
      </c>
      <c r="I1000" s="16"/>
    </row>
    <row r="1001" customFormat="false" ht="15" hidden="false" customHeight="true" outlineLevel="0" collapsed="false">
      <c r="A1001" s="16"/>
      <c r="B1001" s="17"/>
      <c r="C1001" s="18"/>
      <c r="D1001" s="18"/>
      <c r="E1001" s="19"/>
      <c r="F1001" s="20" t="n">
        <f aca="false">IF($C1001=0,0,$C1001-$D1001)</f>
        <v>0</v>
      </c>
      <c r="G1001" s="20" t="n">
        <f aca="false">IF($F1001=0,0,$F1001*$E1001)</f>
        <v>0</v>
      </c>
      <c r="H1001" s="20" t="n">
        <f aca="false">$F1001-$G1001</f>
        <v>0</v>
      </c>
      <c r="I1001" s="16"/>
    </row>
    <row r="1002" customFormat="false" ht="15" hidden="false" customHeight="true" outlineLevel="0" collapsed="false">
      <c r="A1002" s="16"/>
      <c r="B1002" s="17"/>
      <c r="C1002" s="18"/>
      <c r="D1002" s="18"/>
      <c r="E1002" s="19"/>
      <c r="F1002" s="20" t="n">
        <f aca="false">IF($C1002=0,0,$C1002-$D1002)</f>
        <v>0</v>
      </c>
      <c r="G1002" s="20" t="n">
        <f aca="false">IF($F1002=0,0,$F1002*$E1002)</f>
        <v>0</v>
      </c>
      <c r="H1002" s="20" t="n">
        <f aca="false">$F1002-$G1002</f>
        <v>0</v>
      </c>
      <c r="I1002" s="16"/>
    </row>
    <row r="1003" customFormat="false" ht="15" hidden="false" customHeight="true" outlineLevel="0" collapsed="false">
      <c r="A1003" s="16"/>
      <c r="B1003" s="17"/>
      <c r="C1003" s="18"/>
      <c r="D1003" s="18"/>
      <c r="E1003" s="19"/>
      <c r="F1003" s="20" t="n">
        <f aca="false">IF($C1003=0,0,$C1003-$D1003)</f>
        <v>0</v>
      </c>
      <c r="G1003" s="20" t="n">
        <f aca="false">IF($F1003=0,0,$F1003*$E1003)</f>
        <v>0</v>
      </c>
      <c r="H1003" s="20" t="n">
        <f aca="false">$F1003-$G1003</f>
        <v>0</v>
      </c>
      <c r="I1003" s="16"/>
    </row>
    <row r="1004" customFormat="false" ht="15" hidden="false" customHeight="true" outlineLevel="0" collapsed="false">
      <c r="A1004" s="16"/>
      <c r="B1004" s="21"/>
      <c r="C1004" s="21"/>
      <c r="D1004" s="21"/>
      <c r="E1004" s="21"/>
      <c r="F1004" s="22" t="n">
        <f aca="false">IF($C1004=0,0,$C1004-$D1004)</f>
        <v>0</v>
      </c>
      <c r="G1004" s="22" t="n">
        <f aca="false">IF($F1004=0,0,$F1004*$E1004)</f>
        <v>0</v>
      </c>
      <c r="H1004" s="22" t="n">
        <f aca="false">$F1004-$G1004</f>
        <v>0</v>
      </c>
      <c r="I1004" s="16"/>
    </row>
    <row r="1006" customFormat="false" ht="19.5" hidden="false" customHeight="true" outlineLevel="0" collapsed="false">
      <c r="A1006" s="23" t="s">
        <v>58</v>
      </c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6">
      <formula>0</formula>
    </cfRule>
  </conditionalFormatting>
  <conditionalFormatting sqref="D6:D1004">
    <cfRule type="cellIs" priority="3" operator="lessThan" aboveAverage="0" equalAverage="0" bottom="0" percent="0" rank="0" text="" dxfId="6">
      <formula>0</formula>
    </cfRule>
  </conditionalFormatting>
  <conditionalFormatting sqref="E6:E1004">
    <cfRule type="cellIs" priority="4" operator="lessThan" aboveAverage="0" equalAverage="0" bottom="0" percent="0" rank="0" text="" dxfId="6">
      <formula>0</formula>
    </cfRule>
    <cfRule type="cellIs" priority="5" operator="greaterThan" aboveAverage="0" equalAverage="0" bottom="0" percent="0" rank="0" text="" dxfId="7">
      <formula>0.5</formula>
    </cfRule>
  </conditionalFormatting>
  <conditionalFormatting sqref="F6:F1004">
    <cfRule type="cellIs" priority="6" operator="lessThan" aboveAverage="0" equalAverage="0" bottom="0" percent="0" rank="0" text="" dxfId="6">
      <formula>0</formula>
    </cfRule>
    <cfRule type="cellIs" priority="7" operator="greaterThan" aboveAverage="0" equalAverage="0" bottom="0" percent="0" rank="0" text="" dxfId="8">
      <formula>0</formula>
    </cfRule>
  </conditionalFormatting>
  <conditionalFormatting sqref="G6:G1004">
    <cfRule type="cellIs" priority="8" operator="lessThan" aboveAverage="0" equalAverage="0" bottom="0" percent="0" rank="0" text="" dxfId="6">
      <formula>0</formula>
    </cfRule>
  </conditionalFormatting>
  <conditionalFormatting sqref="H6:H1004">
    <cfRule type="cellIs" priority="9" operator="lessThan" aboveAverage="0" equalAverage="0" bottom="0" percent="0" rank="0" text="" dxfId="6">
      <formula>0</formula>
    </cfRule>
  </conditionalFormatting>
  <dataValidations count="5">
    <dataValidation allowBlank="true" error="Listede olmayan kanal giremezsiniz." errorStyle="stop" errorTitle="Geçersiz kanal" operator="between" prompt="Listeden bir POS kanalı seçin." promptTitle="Kanal" showDropDown="false" showErrorMessage="true" showInputMessage="true" sqref="A6:A1004" type="list">
      <formula1>ListeKanalAdlari</formula1>
      <formula2>0</formula2>
    </dataValidation>
    <dataValidation allowBlank="true" error="Tarih 01.01.2024 - 31.12.2027 aralığında olmalı." errorStyle="stop" errorTitle="Geçersiz tarih" operator="between" prompt="GG.AA.YYYY biçiminde tarih girin." promptTitle="İşlem Tarihi" showDropDown="false" showErrorMessage="true" showInputMessage="true" sqref="B6:B1004" type="date">
      <formula1>01.01.2024</formula1>
      <formula2>31.12.2027</formula2>
    </dataValidation>
    <dataValidation allowBlank="true" error="0 ile 100.000.000 ₺ arasında olmalı." errorStyle="stop" errorTitle="Geçersiz tutar" operator="between" prompt="KDV dahil toplam satış tutarını girin." promptTitle="Brüt Satış" showDropDown="false" showErrorMessage="true" showInputMessage="true" sqref="C6:C1004" type="decimal">
      <formula1>0</formula1>
      <formula2>100000000</formula2>
    </dataValidation>
    <dataValidation allowBlank="true" error="0 ile 100.000.000 ₺ arasında olmalı." errorStyle="stop" errorTitle="Geçersiz tutar" operator="between" prompt="İade edilen tutarı pozitif girin." promptTitle="İade Tutarı" showDropDown="false" showErrorMessage="true" showInputMessage="true" sqref="D6:D1004" type="decimal">
      <formula1>0</formula1>
      <formula2>100000000</formula2>
    </dataValidation>
    <dataValidation allowBlank="true" error="0 ile 0,50 arasında katsayı girin." errorStyle="stop" errorTitle="Geçersiz oran" operator="between" prompt="Katsayı girin (örnek: %3 için 0,03)." promptTitle="Komisyon Oranı" showDropDown="false" showErrorMessage="true" showInputMessage="true" sqref="E6:E1004" type="decimal">
      <formula1>0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6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</cols>
  <sheetData>
    <row r="1" customFormat="false" ht="25.5" hidden="false" customHeight="true" outlineLevel="0" collapsed="false">
      <c r="A1" s="2" t="s">
        <v>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60</v>
      </c>
    </row>
    <row r="4" customFormat="false" ht="41.25" hidden="false" customHeight="true" outlineLevel="0" collapsed="false">
      <c r="A4" s="14" t="s">
        <v>61</v>
      </c>
    </row>
    <row r="5" customFormat="false" ht="30" hidden="false" customHeight="true" outlineLevel="0" collapsed="false">
      <c r="A5" s="15" t="s">
        <v>34</v>
      </c>
      <c r="B5" s="15" t="s">
        <v>36</v>
      </c>
      <c r="C5" s="15" t="s">
        <v>39</v>
      </c>
      <c r="D5" s="15" t="s">
        <v>62</v>
      </c>
      <c r="E5" s="15" t="s">
        <v>63</v>
      </c>
      <c r="F5" s="15" t="s">
        <v>41</v>
      </c>
      <c r="G5" s="15" t="s">
        <v>64</v>
      </c>
      <c r="H5" s="15" t="s">
        <v>38</v>
      </c>
      <c r="I5" s="15" t="s">
        <v>65</v>
      </c>
    </row>
    <row r="6" customFormat="false" ht="15" hidden="false" customHeight="true" outlineLevel="0" collapsed="false">
      <c r="A6" s="24" t="s">
        <v>43</v>
      </c>
      <c r="B6" s="25" t="n">
        <f aca="false">SUMIFS(tblPos[Brüt Satış (₺)],tblPos[Kanal],$A6)</f>
        <v>946000</v>
      </c>
      <c r="C6" s="25" t="n">
        <f aca="false">SUMIFS(tblPos[Net Satış (₺)],tblPos[Kanal],$A6)</f>
        <v>896700</v>
      </c>
      <c r="D6" s="25" t="n">
        <f aca="false">SUMIFS(tblPos[İade Tutarı (₺)],tblPos[Kanal],$A6)</f>
        <v>49300</v>
      </c>
      <c r="E6" s="25" t="n">
        <f aca="false">SUMIFS(tblPos[Komisyon Tutarı (₺)],tblPos[Kanal],$A6)</f>
        <v>17934</v>
      </c>
      <c r="F6" s="25" t="n">
        <f aca="false">SUMIFS(tblPos[Net Tahsilat (₺)],tblPos[Kanal],$A6)</f>
        <v>878766</v>
      </c>
      <c r="G6" s="26" t="n">
        <f aca="false">IF(B6=0,0,D6/B6)</f>
        <v>0.0521141649048626</v>
      </c>
      <c r="H6" s="26" t="n">
        <f aca="false">IF(C6=0,0,E6/C6)</f>
        <v>0.02</v>
      </c>
      <c r="I6" s="26" t="n">
        <f aca="false">IF(B6=0,0,F6/B6)</f>
        <v>0.928928118393235</v>
      </c>
    </row>
    <row r="7" customFormat="false" ht="15" hidden="false" customHeight="true" outlineLevel="0" collapsed="false">
      <c r="A7" s="24" t="s">
        <v>45</v>
      </c>
      <c r="B7" s="25" t="n">
        <f aca="false">SUMIFS(tblPos[Brüt Satış (₺)],tblPos[Kanal],$A7)</f>
        <v>464000</v>
      </c>
      <c r="C7" s="25" t="n">
        <f aca="false">SUMIFS(tblPos[Net Satış (₺)],tblPos[Kanal],$A7)</f>
        <v>439900</v>
      </c>
      <c r="D7" s="25" t="n">
        <f aca="false">SUMIFS(tblPos[İade Tutarı (₺)],tblPos[Kanal],$A7)</f>
        <v>24100</v>
      </c>
      <c r="E7" s="25" t="n">
        <f aca="false">SUMIFS(tblPos[Komisyon Tutarı (₺)],tblPos[Kanal],$A7)</f>
        <v>15396.5</v>
      </c>
      <c r="F7" s="25" t="n">
        <f aca="false">SUMIFS(tblPos[Net Tahsilat (₺)],tblPos[Kanal],$A7)</f>
        <v>424503.5</v>
      </c>
      <c r="G7" s="26" t="n">
        <f aca="false">IF(B7=0,0,D7/B7)</f>
        <v>0.0519396551724138</v>
      </c>
      <c r="H7" s="26" t="n">
        <f aca="false">IF(C7=0,0,E7/C7)</f>
        <v>0.035</v>
      </c>
      <c r="I7" s="26" t="n">
        <f aca="false">IF(B7=0,0,F7/B7)</f>
        <v>0.914878232758621</v>
      </c>
    </row>
    <row r="8" customFormat="false" ht="15" hidden="false" customHeight="true" outlineLevel="0" collapsed="false">
      <c r="A8" s="24" t="s">
        <v>49</v>
      </c>
      <c r="B8" s="25" t="n">
        <f aca="false">SUMIFS(tblPos[Brüt Satış (₺)],tblPos[Kanal],$A8)</f>
        <v>223000</v>
      </c>
      <c r="C8" s="25" t="n">
        <f aca="false">SUMIFS(tblPos[Net Satış (₺)],tblPos[Kanal],$A8)</f>
        <v>216700</v>
      </c>
      <c r="D8" s="25" t="n">
        <f aca="false">SUMIFS(tblPos[İade Tutarı (₺)],tblPos[Kanal],$A8)</f>
        <v>6300</v>
      </c>
      <c r="E8" s="25" t="n">
        <f aca="false">SUMIFS(tblPos[Komisyon Tutarı (₺)],tblPos[Kanal],$A8)</f>
        <v>3250.5</v>
      </c>
      <c r="F8" s="25" t="n">
        <f aca="false">SUMIFS(tblPos[Net Tahsilat (₺)],tblPos[Kanal],$A8)</f>
        <v>213449.5</v>
      </c>
      <c r="G8" s="26" t="n">
        <f aca="false">IF(B8=0,0,D8/B8)</f>
        <v>0.0282511210762332</v>
      </c>
      <c r="H8" s="26" t="n">
        <f aca="false">IF(C8=0,0,E8/C8)</f>
        <v>0.015</v>
      </c>
      <c r="I8" s="26" t="n">
        <f aca="false">IF(B8=0,0,F8/B8)</f>
        <v>0.95717264573991</v>
      </c>
    </row>
    <row r="9" customFormat="false" ht="15" hidden="false" customHeight="true" outlineLevel="0" collapsed="false">
      <c r="A9" s="24" t="s">
        <v>66</v>
      </c>
      <c r="B9" s="25" t="n">
        <f aca="false">SUMIFS(tblPos[Brüt Satış (₺)],tblPos[Kanal],$A9)</f>
        <v>0</v>
      </c>
      <c r="C9" s="25" t="n">
        <f aca="false">SUMIFS(tblPos[Net Satış (₺)],tblPos[Kanal],$A9)</f>
        <v>0</v>
      </c>
      <c r="D9" s="25" t="n">
        <f aca="false">SUMIFS(tblPos[İade Tutarı (₺)],tblPos[Kanal],$A9)</f>
        <v>0</v>
      </c>
      <c r="E9" s="25" t="n">
        <f aca="false">SUMIFS(tblPos[Komisyon Tutarı (₺)],tblPos[Kanal],$A9)</f>
        <v>0</v>
      </c>
      <c r="F9" s="25" t="n">
        <f aca="false">SUMIFS(tblPos[Net Tahsilat (₺)],tblPos[Kanal],$A9)</f>
        <v>0</v>
      </c>
      <c r="G9" s="26" t="n">
        <f aca="false">IF(B9=0,0,D9/B9)</f>
        <v>0</v>
      </c>
      <c r="H9" s="26" t="n">
        <f aca="false">IF(C9=0,0,E9/C9)</f>
        <v>0</v>
      </c>
      <c r="I9" s="26" t="n">
        <f aca="false">IF(B9=0,0,F9/B9)</f>
        <v>0</v>
      </c>
    </row>
    <row r="10" customFormat="false" ht="15" hidden="false" customHeight="true" outlineLevel="0" collapsed="false">
      <c r="A10" s="24" t="s">
        <v>67</v>
      </c>
      <c r="B10" s="25" t="n">
        <f aca="false">SUMIFS(tblPos[Brüt Satış (₺)],tblPos[Kanal],$A10)</f>
        <v>0</v>
      </c>
      <c r="C10" s="25" t="n">
        <f aca="false">SUMIFS(tblPos[Net Satış (₺)],tblPos[Kanal],$A10)</f>
        <v>0</v>
      </c>
      <c r="D10" s="25" t="n">
        <f aca="false">SUMIFS(tblPos[İade Tutarı (₺)],tblPos[Kanal],$A10)</f>
        <v>0</v>
      </c>
      <c r="E10" s="25" t="n">
        <f aca="false">SUMIFS(tblPos[Komisyon Tutarı (₺)],tblPos[Kanal],$A10)</f>
        <v>0</v>
      </c>
      <c r="F10" s="25" t="n">
        <f aca="false">SUMIFS(tblPos[Net Tahsilat (₺)],tblPos[Kanal],$A10)</f>
        <v>0</v>
      </c>
      <c r="G10" s="26" t="n">
        <f aca="false">IF(B10=0,0,D10/B10)</f>
        <v>0</v>
      </c>
      <c r="H10" s="26" t="n">
        <f aca="false">IF(C10=0,0,E10/C10)</f>
        <v>0</v>
      </c>
      <c r="I10" s="26" t="n">
        <f aca="false">IF(B10=0,0,F10/B10)</f>
        <v>0</v>
      </c>
    </row>
    <row r="11" customFormat="false" ht="15" hidden="false" customHeight="true" outlineLevel="0" collapsed="false">
      <c r="A11" s="27" t="s">
        <v>68</v>
      </c>
      <c r="B11" s="28" t="n">
        <f aca="false">SUM(B6:B10)</f>
        <v>1633000</v>
      </c>
      <c r="C11" s="28" t="n">
        <f aca="false">SUM(C6:C10)</f>
        <v>1553300</v>
      </c>
      <c r="D11" s="28" t="n">
        <f aca="false">SUM(D6:D10)</f>
        <v>79700</v>
      </c>
      <c r="E11" s="28" t="n">
        <f aca="false">SUM(E6:E10)</f>
        <v>36581</v>
      </c>
      <c r="F11" s="28" t="n">
        <f aca="false">SUM(F6:F10)</f>
        <v>1516719</v>
      </c>
      <c r="G11" s="29" t="n">
        <f aca="false">IF(B11=0,0,D11/B11)</f>
        <v>0.0488058787507655</v>
      </c>
      <c r="H11" s="29" t="n">
        <f aca="false">IF(C11=0,0,E11/C11)</f>
        <v>0.0235505053756518</v>
      </c>
      <c r="I11" s="29" t="n">
        <f aca="false">IF(B11=0,0,F11/B11)</f>
        <v>0.928793018983466</v>
      </c>
    </row>
    <row r="13" customFormat="false" ht="15" hidden="false" customHeight="true" outlineLevel="0" collapsed="false">
      <c r="A13" s="27" t="s">
        <v>69</v>
      </c>
      <c r="B13" s="30" t="str">
        <f aca="false">INDEX($A$6:$A$10,MATCH(MAX($E$6:$E$10),$E$6:$E$10,0))</f>
        <v>Mağaza POS</v>
      </c>
    </row>
    <row r="15" customFormat="false" ht="19.5" hidden="false" customHeight="true" outlineLevel="0" collapsed="false">
      <c r="A15" s="23" t="s">
        <v>70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</row>
  </sheetData>
  <sheetProtection sheet="true" password="cc3d" objects="true" scenarios="true" deleteColumns="false" deleteRows="false"/>
  <mergeCells count="2">
    <mergeCell ref="A1:AD1"/>
    <mergeCell ref="A15:AN15"/>
  </mergeCells>
  <conditionalFormatting sqref="B6:B11">
    <cfRule type="cellIs" priority="2" operator="lessThan" aboveAverage="0" equalAverage="0" bottom="0" percent="0" rank="0" text="" dxfId="6">
      <formula>0</formula>
    </cfRule>
  </conditionalFormatting>
  <conditionalFormatting sqref="C6:C11">
    <cfRule type="cellIs" priority="3" operator="lessThan" aboveAverage="0" equalAverage="0" bottom="0" percent="0" rank="0" text="" dxfId="6">
      <formula>0</formula>
    </cfRule>
  </conditionalFormatting>
  <conditionalFormatting sqref="D6:D11">
    <cfRule type="cellIs" priority="4" operator="lessThan" aboveAverage="0" equalAverage="0" bottom="0" percent="0" rank="0" text="" dxfId="6">
      <formula>0</formula>
    </cfRule>
  </conditionalFormatting>
  <conditionalFormatting sqref="E6:E11">
    <cfRule type="cellIs" priority="5" operator="lessThan" aboveAverage="0" equalAverage="0" bottom="0" percent="0" rank="0" text="" dxfId="6">
      <formula>0</formula>
    </cfRule>
  </conditionalFormatting>
  <conditionalFormatting sqref="F6:F11">
    <cfRule type="cellIs" priority="6" operator="lessThan" aboveAverage="0" equalAverage="0" bottom="0" percent="0" rank="0" text="" dxfId="6">
      <formula>0</formula>
    </cfRule>
  </conditionalFormatting>
  <conditionalFormatting sqref="G6:G11">
    <cfRule type="cellIs" priority="7" operator="greaterThan" aboveAverage="0" equalAverage="0" bottom="0" percent="0" rank="0" text="" dxfId="7">
      <formula>0.5</formula>
    </cfRule>
  </conditionalFormatting>
  <conditionalFormatting sqref="H6:H11">
    <cfRule type="cellIs" priority="8" operator="greaterThan" aboveAverage="0" equalAverage="0" bottom="0" percent="0" rank="0" text="" dxfId="7">
      <formula>0.03</formula>
    </cfRule>
  </conditionalFormatting>
  <conditionalFormatting sqref="I6:I11">
    <cfRule type="cellIs" priority="9" operator="lessThan" aboveAverage="0" equalAverage="0" bottom="0" percent="0" rank="0" text="" dxfId="7">
      <formula>0.95</formula>
    </cfRule>
    <cfRule type="cellIs" priority="10" operator="lessThan" aboveAverage="0" equalAverage="0" bottom="0" percent="0" rank="0" text="" dxfId="6"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52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1" t="s">
        <v>72</v>
      </c>
      <c r="B3" s="31"/>
      <c r="C3" s="31"/>
      <c r="D3" s="31"/>
    </row>
    <row r="5" customFormat="false" ht="30" hidden="false" customHeight="true" outlineLevel="0" collapsed="false">
      <c r="A5" s="15" t="s">
        <v>73</v>
      </c>
      <c r="B5" s="15" t="s">
        <v>74</v>
      </c>
      <c r="C5" s="15" t="s">
        <v>75</v>
      </c>
      <c r="D5" s="15" t="s">
        <v>76</v>
      </c>
    </row>
    <row r="6" customFormat="false" ht="30" hidden="false" customHeight="true" outlineLevel="0" collapsed="false">
      <c r="A6" s="32" t="s">
        <v>77</v>
      </c>
      <c r="B6" s="33" t="s">
        <v>78</v>
      </c>
      <c r="C6" s="25" t="n">
        <f aca="false">PANO!B25</f>
        <v>126393</v>
      </c>
      <c r="D6" s="34" t="str">
        <f aca="false">_xlfn.TEXTJOIN("; ",TRUE(),"Aylık ortalama net tahsilat ",TEXT(C6,"₺ #,##0")," TL — eğilim bu seviyede seyrediyor")</f>
        <v>Aylık ortalama net tahsilat ; ₺ 126393,000;  TL — eğilim bu seviyede seyrediyor</v>
      </c>
    </row>
    <row r="7" customFormat="false" ht="30" hidden="false" customHeight="true" outlineLevel="0" collapsed="false">
      <c r="A7" s="32" t="s">
        <v>79</v>
      </c>
      <c r="B7" s="33" t="s">
        <v>80</v>
      </c>
      <c r="C7" s="35" t="n">
        <f aca="false">IFERROR(INDEX(tblPos[Net Tahsilat (₺)],COUNTA(tblPos[Kanal]))-INDEX(tblPos[Net Tahsilat (₺)],1),0)</f>
        <v>4998</v>
      </c>
      <c r="D7" s="34" t="str">
        <f aca="false">_xlfn.TEXTJOIN("; ",TRUE(),"İlk ile son ay net tahsilat farkı ",TEXT(C7,"₺ #,##0")," TL — artış tahsilat gücünü gösterir")</f>
        <v>İlk ile son ay net tahsilat farkı ; ₺ 4998,000;  TL — artış tahsilat gücünü gösterir</v>
      </c>
    </row>
    <row r="8" customFormat="false" ht="30" hidden="false" customHeight="true" outlineLevel="0" collapsed="false">
      <c r="A8" s="32" t="s">
        <v>81</v>
      </c>
      <c r="B8" s="33" t="s">
        <v>82</v>
      </c>
      <c r="C8" s="25" t="n">
        <f aca="false">PANO!B26</f>
        <v>0</v>
      </c>
      <c r="D8" s="34" t="str">
        <f aca="false">_xlfn.TEXTJOIN("; ",TRUE(),"Net tahsilat sapması ",TEXT(C8,"₺ #,##0")," TL — sapma yüksekse tahsilat öngörülemezdir")</f>
        <v>Net tahsilat sapması ; ₺ ,000;  TL — sapma yüksekse tahsilat öngörülemezdir</v>
      </c>
    </row>
    <row r="9" customFormat="false" ht="30" hidden="false" customHeight="true" outlineLevel="0" collapsed="false">
      <c r="A9" s="32" t="s">
        <v>83</v>
      </c>
      <c r="B9" s="33" t="s">
        <v>84</v>
      </c>
      <c r="C9" s="35" t="n">
        <f aca="false">MAX(SENARYO_DUYARLILIK!B12:B13)</f>
        <v>16330</v>
      </c>
      <c r="D9" s="34" t="str">
        <f aca="false">_xlfn.TEXTJOIN("; ",TRUE(),"Net tahsilatı en çok etkileyen değişkenin etkisi ",TEXT(C9,"₺ #,##0")," TL — öncelik bu değişkenin izlenmesinde")</f>
        <v>Net tahsilatı en çok etkileyen değişkenin etkisi ; ₺ 16330,000;  TL — öncelik bu değişkenin izlenmesinde</v>
      </c>
    </row>
    <row r="10" customFormat="false" ht="30" hidden="false" customHeight="true" outlineLevel="0" collapsed="false">
      <c r="A10" s="32" t="s">
        <v>85</v>
      </c>
      <c r="B10" s="33" t="s">
        <v>86</v>
      </c>
      <c r="C10" s="35" t="n">
        <f aca="false">SENARYO_DUYARLILIK!C7-SENARYO_DUYARLILIK!C9</f>
        <v>151672</v>
      </c>
      <c r="D10" s="34" t="str">
        <f aca="false">_xlfn.TEXTJOIN("; ",TRUE(),"İyimser ile kötümser senaryo net tahsilat farkı ",TEXT(C10,"₺ #,##0")," TL — belirsizlik aralığını gösterir")</f>
        <v>İyimser ile kötümser senaryo net tahsilat farkı ; ₺ 151672,000;  TL — belirsizlik aralığını gösterir</v>
      </c>
    </row>
    <row r="11" customFormat="false" ht="30" hidden="false" customHeight="true" outlineLevel="0" collapsed="false">
      <c r="A11" s="32" t="s">
        <v>87</v>
      </c>
      <c r="B11" s="33" t="s">
        <v>88</v>
      </c>
      <c r="C11" s="35" t="n">
        <f aca="false">IF(PosBrutToplam=0,0,SUMPRODUCT((HESAP!$B$6:$B$10/HESAP!$B$11)^2))</f>
        <v>0.434974232090806</v>
      </c>
      <c r="D11" s="34" t="str">
        <f aca="false">_xlfn.TEXTJOIN("; ",TRUE(),"Kanal yoğunlaşma endeksi ",TEXT(C11,"0.00")," — endeks yüksekse tek kanala bağımlılık risklidir")</f>
        <v>Kanal yoğunlaşma endeksi ; 0,43;  — endeks yüksekse tek kanala bağımlılık risklidir</v>
      </c>
    </row>
    <row r="12" customFormat="false" ht="30" hidden="false" customHeight="true" outlineLevel="0" collapsed="false">
      <c r="A12" s="32" t="s">
        <v>89</v>
      </c>
      <c r="B12" s="33" t="s">
        <v>90</v>
      </c>
      <c r="C12" s="36" t="n">
        <f aca="false">KONTROLLER!B19</f>
        <v>2842</v>
      </c>
      <c r="D12" s="34" t="str">
        <f aca="false">_xlfn.TEXTJOIN("; ",TRUE(),"Veri kalite skoru ",TEXT(C12,"0")," puan — ",IF(C12&gt;=PosKaliteIyi,"yüksek güven","veri girişi tamamlanmalı"))</f>
        <v>Veri kalite skoru ; 2842;  puan — ; yüksek güven</v>
      </c>
    </row>
    <row r="13" customFormat="false" ht="30" hidden="false" customHeight="true" outlineLevel="0" collapsed="false">
      <c r="A13" s="32" t="s">
        <v>91</v>
      </c>
      <c r="B13" s="33" t="s">
        <v>92</v>
      </c>
      <c r="C13" s="25" t="n">
        <f aca="false">PANO!B24</f>
        <v>0</v>
      </c>
      <c r="D13" s="34" t="str">
        <f aca="false">_xlfn.TEXTJOIN("; ",TRUE(),"Gelecek ay net tahsilat tahmini ",TEXT(C13,"₺ #,##0")," TL — güven bandı için alt/üst sınır PANO sayfasındadır")</f>
        <v>Gelecek ay net tahsilat tahmini ; ₺ ,000;  TL — güven bandı için alt/üst sınır PANO sayfasındadır</v>
      </c>
    </row>
    <row r="14" customFormat="false" ht="30" hidden="false" customHeight="true" outlineLevel="0" collapsed="false">
      <c r="A14" s="32" t="s">
        <v>93</v>
      </c>
      <c r="B14" s="33" t="s">
        <v>94</v>
      </c>
      <c r="C14" s="35" t="n">
        <f aca="false">_xlfn.PERCENTILE.INC(tblPos[Net Tahsilat (₺)],PosP90Oran)</f>
        <v>0</v>
      </c>
      <c r="D14" s="34" t="str">
        <f aca="false">_xlfn.TEXTJOIN("; ",TRUE(),"Net tahsilatların %90 ı ",TEXT(C14,"₺ #,##0")," TL altında gerçekleşir — üst sınır bütçe için kullanılabilir")</f>
        <v>Net tahsilatların %90 ı ; ₺ ,000;  TL altında gerçekleşir — üst sınır bütçe için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55"/>
  </cols>
  <sheetData>
    <row r="1" customFormat="false" ht="25.5" hidden="false" customHeight="true" outlineLevel="0" collapsed="false">
      <c r="A1" s="2" t="s">
        <v>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96</v>
      </c>
    </row>
    <row r="4" customFormat="false" ht="27.75" hidden="false" customHeight="true" outlineLevel="0" collapsed="false">
      <c r="A4" s="14" t="s">
        <v>97</v>
      </c>
    </row>
    <row r="6" customFormat="false" ht="15" hidden="false" customHeight="true" outlineLevel="0" collapsed="false">
      <c r="A6" s="7" t="s">
        <v>98</v>
      </c>
      <c r="B6" s="35" t="str">
        <f aca="false">IF(COUNTBLANK(tblPos[Kanal])=0,"TEMİZ","BOŞ VAR")</f>
        <v>BOŞ VAR</v>
      </c>
    </row>
    <row r="7" customFormat="false" ht="15" hidden="false" customHeight="true" outlineLevel="0" collapsed="false">
      <c r="A7" s="7" t="s">
        <v>99</v>
      </c>
      <c r="B7" s="35" t="str">
        <f aca="false">IF(COUNTBLANK(tblPos[Brüt Satış (₺)])=0,"TEMİZ","BOŞ VAR")</f>
        <v>BOŞ VAR</v>
      </c>
    </row>
    <row r="8" customFormat="false" ht="15" hidden="false" customHeight="true" outlineLevel="0" collapsed="false">
      <c r="A8" s="7" t="s">
        <v>100</v>
      </c>
      <c r="B8" s="35" t="str">
        <f aca="false">IF(COUNTIF(tblPos[Brüt Satış (₺)],"&lt;0")=0,"TEMİZ","NEGATİF VAR")</f>
        <v>TEMİZ</v>
      </c>
    </row>
    <row r="9" customFormat="false" ht="15" hidden="false" customHeight="true" outlineLevel="0" collapsed="false">
      <c r="A9" s="7" t="s">
        <v>101</v>
      </c>
      <c r="B9" s="35" t="str">
        <f aca="false">IF(SUMPRODUCT((tblPos[İade Tutarı (₺)]&gt;tblPos[Brüt Satış (₺)])*1)=0,"TEMİZ","FARK VAR")</f>
        <v>TEMİZ</v>
      </c>
    </row>
    <row r="10" customFormat="false" ht="15" hidden="false" customHeight="true" outlineLevel="0" collapsed="false">
      <c r="A10" s="7" t="s">
        <v>102</v>
      </c>
      <c r="B10" s="35" t="str">
        <f aca="false">IF(COUNTIF(tblPos[Komisyon Oranı],"&gt;"&amp;PosKomisyonRiskEsik)=0,"NORMAL","AŞIYOR")</f>
        <v>AŞIYOR</v>
      </c>
    </row>
    <row r="11" customFormat="false" ht="15" hidden="false" customHeight="true" outlineLevel="0" collapsed="false">
      <c r="A11" s="7" t="s">
        <v>103</v>
      </c>
      <c r="B11" s="35" t="str">
        <f aca="false">IF(PosIadeOrani&gt;PosIadeRiskEsik,"AŞIYOR","NORMAL")</f>
        <v>NORMAL</v>
      </c>
    </row>
    <row r="12" customFormat="false" ht="15" hidden="false" customHeight="true" outlineLevel="0" collapsed="false">
      <c r="A12" s="7" t="s">
        <v>104</v>
      </c>
      <c r="B12" s="35" t="str">
        <f aca="false">IF(PosNetOran&lt;PosNetHedefOran,"ALTINDA","HEDEFTE")</f>
        <v>ALTINDA</v>
      </c>
    </row>
    <row r="13" customFormat="false" ht="15" hidden="false" customHeight="true" outlineLevel="0" collapsed="false">
      <c r="A13" s="7" t="s">
        <v>105</v>
      </c>
      <c r="B13" s="35" t="str">
        <f aca="false">IF(PosKomisyonOrani&gt;PosKomisyonRiskEsik,"RİSK","GÜVENLİ")</f>
        <v>GÜVENLİ</v>
      </c>
    </row>
    <row r="15" customFormat="false" ht="15" hidden="false" customHeight="true" outlineLevel="0" collapsed="false">
      <c r="A15" s="5" t="s">
        <v>106</v>
      </c>
    </row>
    <row r="16" customFormat="false" ht="27.75" hidden="false" customHeight="true" outlineLevel="0" collapsed="false">
      <c r="A16" s="14" t="s">
        <v>107</v>
      </c>
    </row>
    <row r="17" customFormat="false" ht="15" hidden="false" customHeight="true" outlineLevel="0" collapsed="false">
      <c r="A17" s="7" t="s">
        <v>108</v>
      </c>
      <c r="B17" s="36" t="n">
        <f aca="false">COUNTA(tblPos[Kanal])*COUNTA(tblPos[#Headers])</f>
        <v>108</v>
      </c>
    </row>
    <row r="18" customFormat="false" ht="15" hidden="false" customHeight="true" outlineLevel="0" collapsed="false">
      <c r="A18" s="7" t="s">
        <v>109</v>
      </c>
      <c r="B18" s="36" t="n">
        <f aca="false">COUNTA(tblPos[#Data])</f>
        <v>3069</v>
      </c>
    </row>
    <row r="19" customFormat="false" ht="15" hidden="false" customHeight="true" outlineLevel="0" collapsed="false">
      <c r="A19" s="24" t="s">
        <v>110</v>
      </c>
      <c r="B19" s="37" t="n">
        <f aca="false">ROUND(IF(PosToplamGiris=0,0,PosDoluGiris/PosToplamGiris*100),0)</f>
        <v>2842</v>
      </c>
    </row>
    <row r="20" customFormat="false" ht="15" hidden="false" customHeight="true" outlineLevel="0" collapsed="false">
      <c r="A20" s="7" t="s">
        <v>111</v>
      </c>
      <c r="B20" s="35" t="str">
        <f aca="false">IF(B19&gt;=PosKaliteIyi,"YÜKSEK",IF(B19&gt;=PosKaliteOrta,"ORTA","DÜŞÜK"))</f>
        <v>YÜKSEK</v>
      </c>
    </row>
    <row r="22" customFormat="false" ht="19.5" hidden="false" customHeight="true" outlineLevel="0" collapsed="false">
      <c r="A22" s="23" t="s">
        <v>112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9">
      <formula>"BOŞ VAR"</formula>
    </cfRule>
    <cfRule type="cellIs" priority="3" operator="equal" aboveAverage="0" equalAverage="0" bottom="0" percent="0" rank="0" text="" dxfId="9">
      <formula>"NEGATİF VAR"</formula>
    </cfRule>
    <cfRule type="cellIs" priority="4" operator="equal" aboveAverage="0" equalAverage="0" bottom="0" percent="0" rank="0" text="" dxfId="9">
      <formula>"FARK VAR"</formula>
    </cfRule>
    <cfRule type="cellIs" priority="5" operator="equal" aboveAverage="0" equalAverage="0" bottom="0" percent="0" rank="0" text="" dxfId="9">
      <formula>"AŞIYOR"</formula>
    </cfRule>
    <cfRule type="cellIs" priority="6" operator="equal" aboveAverage="0" equalAverage="0" bottom="0" percent="0" rank="0" text="" dxfId="9">
      <formula>"RİSK"</formula>
    </cfRule>
    <cfRule type="cellIs" priority="7" operator="equal" aboveAverage="0" equalAverage="0" bottom="0" percent="0" rank="0" text="" dxfId="8">
      <formula>"TEMİZ"</formula>
    </cfRule>
    <cfRule type="cellIs" priority="8" operator="equal" aboveAverage="0" equalAverage="0" bottom="0" percent="0" rank="0" text="" dxfId="8">
      <formula>"NORMAL"</formula>
    </cfRule>
    <cfRule type="cellIs" priority="9" operator="equal" aboveAverage="0" equalAverage="0" bottom="0" percent="0" rank="0" text="" dxfId="8">
      <formula>"HEDEFTE"</formula>
    </cfRule>
    <cfRule type="cellIs" priority="10" operator="equal" aboveAverage="0" equalAverage="0" bottom="0" percent="0" rank="0" text="" dxfId="8">
      <formula>"GÜVENLİ"</formula>
    </cfRule>
    <cfRule type="cellIs" priority="11" operator="equal" aboveAverage="0" equalAverage="0" bottom="0" percent="0" rank="0" text="" dxfId="7">
      <formula>"ALTINDA"</formula>
    </cfRule>
  </conditionalFormatting>
  <conditionalFormatting sqref="B19">
    <cfRule type="cellIs" priority="12" operator="lessThan" aboveAverage="0" equalAverage="0" bottom="0" percent="0" rank="0" text="" dxfId="6">
      <formula>70</formula>
    </cfRule>
    <cfRule type="cellIs" priority="13" operator="between" aboveAverage="0" equalAverage="0" bottom="0" percent="0" rank="0" text="" dxfId="7">
      <formula>70</formula>
      <formula>90</formula>
    </cfRule>
    <cfRule type="cellIs" priority="14" operator="greaterThanOrEqual" aboveAverage="0" equalAverage="0" bottom="0" percent="0" rank="0" text="" dxfId="8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114</v>
      </c>
    </row>
    <row r="4" customFormat="false" ht="27.75" hidden="false" customHeight="true" outlineLevel="0" collapsed="false">
      <c r="A4" s="14" t="s">
        <v>115</v>
      </c>
    </row>
    <row r="6" customFormat="false" ht="15" hidden="false" customHeight="true" outlineLevel="0" collapsed="false">
      <c r="A6" s="7" t="s">
        <v>116</v>
      </c>
      <c r="B6" s="28" t="n">
        <f aca="false">PosNetTahsilatToplam</f>
        <v>1516719</v>
      </c>
    </row>
    <row r="7" customFormat="false" ht="15" hidden="false" customHeight="true" outlineLevel="0" collapsed="false">
      <c r="A7" s="7" t="s">
        <v>65</v>
      </c>
      <c r="B7" s="26" t="n">
        <f aca="false">PosNetOran</f>
        <v>0.928793018983466</v>
      </c>
    </row>
    <row r="8" customFormat="false" ht="15" hidden="false" customHeight="true" outlineLevel="0" collapsed="false">
      <c r="A8" s="7" t="s">
        <v>117</v>
      </c>
      <c r="B8" s="26" t="n">
        <f aca="false">PosKomisyonOrani</f>
        <v>0.0235505053756518</v>
      </c>
    </row>
    <row r="9" customFormat="false" ht="15" hidden="false" customHeight="true" outlineLevel="0" collapsed="false">
      <c r="A9" s="7" t="s">
        <v>69</v>
      </c>
      <c r="B9" s="35" t="n">
        <f aca="false">HESAP!B12</f>
        <v>0</v>
      </c>
    </row>
    <row r="11" customFormat="false" ht="21" hidden="false" customHeight="true" outlineLevel="0" collapsed="false">
      <c r="A11" s="38" t="s">
        <v>118</v>
      </c>
      <c r="B11" s="39" t="str">
        <f aca="false">IF(COUNTA(tblPos[Kanal])=0,"VERİ YOK",IF(PosNetOran&lt;PosNetHedefOran,"İNCELE",IF(PosKomisyonOrani&gt;PosKomisyonRiskEsik,"DURDUR","UYGUN")))</f>
        <v>İNCELE</v>
      </c>
    </row>
    <row r="12" customFormat="false" ht="15" hidden="false" customHeight="true" outlineLevel="0" collapsed="false">
      <c r="A12" s="24" t="s">
        <v>119</v>
      </c>
      <c r="B12" s="40" t="str">
        <f aca="false">IF(COUNTA(tblPos[Kanal])=0,"Veri girilmemiş; giriş yapılmadan karar üretilemez.",IF(PosNetOran&lt;PosNetHedefOran,"Net tahsilat oranı hedefin altında; komisyon/iade yapısı revize edilmeli.",IF(PosKomisyonOrani&gt;PosKomisyonRiskEsik,"Komisyon oranı risk eşiğini aşıyor; en pahalı kanal gözden geçirilmeli.","Karar kapısı uygun: net tahsilat oranı hedefte.")))</f>
        <v>Net tahsilat oranı hedefin altında; komisyon/iade yapısı revize edilmeli.</v>
      </c>
      <c r="C12" s="40"/>
      <c r="D12" s="40"/>
      <c r="E12" s="40"/>
      <c r="F12" s="40"/>
      <c r="G12" s="40"/>
      <c r="H12" s="40"/>
      <c r="I12" s="40"/>
      <c r="J12" s="40"/>
    </row>
    <row r="14" customFormat="false" ht="15" hidden="false" customHeight="true" outlineLevel="0" collapsed="false">
      <c r="A14" s="5" t="s">
        <v>120</v>
      </c>
    </row>
    <row r="15" customFormat="false" ht="15" hidden="false" customHeight="true" outlineLevel="0" collapsed="false">
      <c r="A15" s="7" t="s">
        <v>121</v>
      </c>
      <c r="B15" s="40" t="str">
        <f aca="false">PosAksiyon1_ACIKLAMA</f>
        <v>Komisyon oranı eşiği aşıyorsa kanal sözleşmesini yeniden müzakere edin.</v>
      </c>
      <c r="C15" s="40"/>
      <c r="D15" s="40"/>
      <c r="E15" s="40"/>
      <c r="F15" s="40"/>
      <c r="G15" s="40"/>
      <c r="H15" s="40"/>
      <c r="I15" s="40"/>
      <c r="J15" s="40"/>
    </row>
    <row r="16" customFormat="false" ht="15" hidden="false" customHeight="true" outlineLevel="0" collapsed="false">
      <c r="A16" s="7" t="s">
        <v>122</v>
      </c>
      <c r="B16" s="40" t="str">
        <f aca="false">PosAksiyon2_ACIKLAMA</f>
        <v>İade oranı yüksek kanalda ürün/hizmet kalitesini inceleyin.</v>
      </c>
      <c r="C16" s="40"/>
      <c r="D16" s="40"/>
      <c r="E16" s="40"/>
      <c r="F16" s="40"/>
      <c r="G16" s="40"/>
      <c r="H16" s="40"/>
      <c r="I16" s="40"/>
      <c r="J16" s="40"/>
    </row>
    <row r="17" customFormat="false" ht="15" hidden="false" customHeight="true" outlineLevel="0" collapsed="false">
      <c r="A17" s="7" t="s">
        <v>123</v>
      </c>
      <c r="B17" s="40" t="str">
        <f aca="false">PosAksiyon3_ACIKLAMA</f>
        <v>Net tahsilat oranı hedefin altındaysa komisyon ve iade yapısını birlikte gözden geçirin.</v>
      </c>
      <c r="C17" s="40"/>
      <c r="D17" s="40"/>
      <c r="E17" s="40"/>
      <c r="F17" s="40"/>
      <c r="G17" s="40"/>
      <c r="H17" s="40"/>
      <c r="I17" s="40"/>
      <c r="J17" s="40"/>
    </row>
    <row r="19" customFormat="false" ht="19.5" hidden="false" customHeight="true" outlineLevel="0" collapsed="false">
      <c r="A19" s="23" t="s">
        <v>124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9">
      <formula>"DURDUR"</formula>
    </cfRule>
  </conditionalFormatting>
  <conditionalFormatting sqref="B6">
    <cfRule type="cellIs" priority="5" operator="lessThan" aboveAverage="0" equalAverage="0" bottom="0" percent="0" rank="0" text="" dxfId="6">
      <formula>0</formula>
    </cfRule>
  </conditionalFormatting>
  <conditionalFormatting sqref="B7">
    <cfRule type="cellIs" priority="6" operator="lessThan" aboveAverage="0" equalAverage="0" bottom="0" percent="0" rank="0" text="" dxfId="6">
      <formula>0.8</formula>
    </cfRule>
  </conditionalFormatting>
  <conditionalFormatting sqref="B8">
    <cfRule type="cellIs" priority="7" operator="greaterThan" aboveAverage="0" equalAverage="0" bottom="0" percent="0" rank="0" text="" dxfId="7">
      <formula>0.03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5" min="2" style="1" width="22"/>
  </cols>
  <sheetData>
    <row r="1" customFormat="false" ht="25.5" hidden="false" customHeight="true" outlineLevel="0" collapsed="false">
      <c r="A1" s="2" t="s">
        <v>125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7.25" hidden="false" customHeight="true" outlineLevel="0" collapsed="false">
      <c r="A3" s="38" t="s">
        <v>126</v>
      </c>
      <c r="B3" s="41" t="s">
        <v>127</v>
      </c>
      <c r="C3" s="41" t="s">
        <v>128</v>
      </c>
      <c r="D3" s="41" t="s">
        <v>129</v>
      </c>
      <c r="E3" s="41" t="s">
        <v>130</v>
      </c>
      <c r="F3" s="41" t="s">
        <v>65</v>
      </c>
      <c r="G3" s="41" t="s">
        <v>64</v>
      </c>
    </row>
    <row r="4" customFormat="false" ht="15" hidden="false" customHeight="true" outlineLevel="0" collapsed="false">
      <c r="B4" s="42" t="n">
        <f aca="false">PosBrutToplam</f>
        <v>1633000</v>
      </c>
      <c r="C4" s="42" t="n">
        <f aca="false">PosIadeToplam</f>
        <v>79700</v>
      </c>
      <c r="D4" s="42" t="n">
        <f aca="false">PosKomisyonToplam</f>
        <v>36581</v>
      </c>
      <c r="E4" s="42" t="n">
        <f aca="false">PosNetTahsilatToplam</f>
        <v>1516719</v>
      </c>
      <c r="F4" s="43" t="n">
        <f aca="false">PosNetOran</f>
        <v>0.928793018983466</v>
      </c>
      <c r="G4" s="43" t="n">
        <f aca="false">PosIadeOrani</f>
        <v>0.0488058787507655</v>
      </c>
    </row>
    <row r="6" customFormat="false" ht="18" hidden="false" customHeight="true" outlineLevel="0" collapsed="false">
      <c r="A6" s="44" t="s">
        <v>131</v>
      </c>
      <c r="B6" s="45" t="str">
        <f aca="false">KARAR!B11</f>
        <v>İNCELE</v>
      </c>
      <c r="D6" s="44" t="s">
        <v>69</v>
      </c>
      <c r="E6" s="45" t="n">
        <f aca="false">KARAR!B9</f>
        <v>0</v>
      </c>
    </row>
    <row r="10" customFormat="false" ht="27.75" hidden="false" customHeight="true" outlineLevel="0" collapsed="false">
      <c r="A10" s="27" t="s">
        <v>132</v>
      </c>
      <c r="D10" s="10" t="s">
        <v>133</v>
      </c>
    </row>
    <row r="11" customFormat="false" ht="15" hidden="false" customHeight="true" outlineLevel="0" collapsed="false">
      <c r="A11" s="46" t="s">
        <v>43</v>
      </c>
      <c r="B11" s="25" t="n">
        <f aca="false">HESAP!F6</f>
        <v>878766</v>
      </c>
      <c r="C11" s="25" t="n">
        <f aca="false">HESAP!E6</f>
        <v>17934</v>
      </c>
      <c r="D11" s="46" t="s">
        <v>134</v>
      </c>
      <c r="E11" s="25" t="n">
        <f aca="false">IFERROR(INDEX(tblPos[Net Tahsilat (₺)],AYARLAR!$B$26),0)</f>
        <v>169540</v>
      </c>
    </row>
    <row r="12" customFormat="false" ht="15" hidden="false" customHeight="true" outlineLevel="0" collapsed="false">
      <c r="A12" s="46" t="s">
        <v>45</v>
      </c>
      <c r="B12" s="25" t="n">
        <f aca="false">HESAP!F7</f>
        <v>424503.5</v>
      </c>
      <c r="C12" s="25" t="n">
        <f aca="false">HESAP!E7</f>
        <v>15396.5</v>
      </c>
      <c r="D12" s="46" t="s">
        <v>135</v>
      </c>
      <c r="E12" s="25" t="n">
        <f aca="false">IFERROR(INDEX(tblPos[Net Tahsilat (₺)],AYARLAR!$B$27),0)</f>
        <v>85885</v>
      </c>
    </row>
    <row r="13" customFormat="false" ht="15" hidden="false" customHeight="true" outlineLevel="0" collapsed="false">
      <c r="A13" s="46" t="s">
        <v>49</v>
      </c>
      <c r="B13" s="25" t="n">
        <f aca="false">HESAP!F8</f>
        <v>213449.5</v>
      </c>
      <c r="C13" s="25" t="n">
        <f aca="false">HESAP!E8</f>
        <v>3250.5</v>
      </c>
      <c r="D13" s="46" t="s">
        <v>136</v>
      </c>
      <c r="E13" s="25" t="n">
        <f aca="false">IFERROR(INDEX(tblPos[Net Tahsilat (₺)],AYARLAR!$B$28),0)</f>
        <v>160230</v>
      </c>
    </row>
    <row r="14" customFormat="false" ht="15" hidden="false" customHeight="true" outlineLevel="0" collapsed="false">
      <c r="A14" s="46" t="s">
        <v>66</v>
      </c>
      <c r="B14" s="25" t="n">
        <f aca="false">HESAP!F9</f>
        <v>0</v>
      </c>
      <c r="C14" s="25" t="n">
        <f aca="false">HESAP!E9</f>
        <v>0</v>
      </c>
      <c r="D14" s="46" t="s">
        <v>137</v>
      </c>
      <c r="E14" s="25" t="n">
        <f aca="false">IFERROR(INDEX(tblPos[Net Tahsilat (₺)],AYARLAR!$B$29),0)</f>
        <v>110782</v>
      </c>
    </row>
    <row r="15" customFormat="false" ht="15" hidden="false" customHeight="true" outlineLevel="0" collapsed="false">
      <c r="A15" s="46" t="s">
        <v>67</v>
      </c>
      <c r="B15" s="25" t="n">
        <f aca="false">HESAP!F10</f>
        <v>0</v>
      </c>
      <c r="C15" s="25" t="n">
        <f aca="false">HESAP!E10</f>
        <v>0</v>
      </c>
      <c r="D15" s="46" t="s">
        <v>138</v>
      </c>
      <c r="E15" s="25" t="n">
        <f aca="false">IFERROR(INDEX(tblPos[Net Tahsilat (₺)],AYARLAR!$B$30),0)</f>
        <v>64911.5</v>
      </c>
    </row>
    <row r="16" customFormat="false" ht="15" hidden="false" customHeight="true" outlineLevel="0" collapsed="false">
      <c r="D16" s="46" t="s">
        <v>139</v>
      </c>
      <c r="E16" s="25" t="n">
        <f aca="false">IFERROR(INDEX(tblPos[Net Tahsilat (₺)],AYARLAR!$B$31),0)</f>
        <v>183848</v>
      </c>
    </row>
    <row r="17" customFormat="false" ht="15" hidden="false" customHeight="true" outlineLevel="0" collapsed="false">
      <c r="D17" s="46" t="s">
        <v>140</v>
      </c>
      <c r="E17" s="25" t="n">
        <f aca="false">IFERROR(INDEX(tblPos[Net Tahsilat (₺)],AYARLAR!$B$32),0)</f>
        <v>104413</v>
      </c>
    </row>
    <row r="18" customFormat="false" ht="15" hidden="false" customHeight="true" outlineLevel="0" collapsed="false">
      <c r="D18" s="46" t="s">
        <v>141</v>
      </c>
      <c r="E18" s="25" t="n">
        <f aca="false">IFERROR(INDEX(tblPos[Net Tahsilat (₺)],AYARLAR!$B$33),0)</f>
        <v>71018.5</v>
      </c>
    </row>
    <row r="19" customFormat="false" ht="15" hidden="false" customHeight="true" outlineLevel="0" collapsed="false">
      <c r="D19" s="46" t="s">
        <v>142</v>
      </c>
      <c r="E19" s="25" t="n">
        <f aca="false">IFERROR(INDEX(tblPos[Net Tahsilat (₺)],AYARLAR!$B$34),0)</f>
        <v>190610</v>
      </c>
    </row>
    <row r="20" customFormat="false" ht="15" hidden="false" customHeight="true" outlineLevel="0" collapsed="false">
      <c r="D20" s="46" t="s">
        <v>143</v>
      </c>
      <c r="E20" s="25" t="n">
        <f aca="false">IFERROR(INDEX(tblPos[Net Tahsilat (₺)],AYARLAR!$B$35),0)</f>
        <v>123423.5</v>
      </c>
    </row>
    <row r="21" customFormat="false" ht="15" hidden="false" customHeight="true" outlineLevel="0" collapsed="false">
      <c r="D21" s="46" t="s">
        <v>144</v>
      </c>
      <c r="E21" s="25" t="n">
        <f aca="false">IFERROR(INDEX(tblPos[Net Tahsilat (₺)],AYARLAR!$B$36),0)</f>
        <v>77519.5</v>
      </c>
    </row>
    <row r="22" customFormat="false" ht="15" hidden="false" customHeight="true" outlineLevel="0" collapsed="false">
      <c r="D22" s="46" t="s">
        <v>145</v>
      </c>
      <c r="E22" s="25" t="n">
        <f aca="false">IFERROR(INDEX(tblPos[Net Tahsilat (₺)],AYARLAR!$B$37),0)</f>
        <v>174538</v>
      </c>
    </row>
    <row r="24" customFormat="false" ht="15" hidden="false" customHeight="true" outlineLevel="0" collapsed="false">
      <c r="A24" s="27" t="s">
        <v>146</v>
      </c>
      <c r="B24" s="25" t="n">
        <f aca="false">ROUND(IFERROR(forecast.lınear(PanelSatir12,tblPos[Net Tahsilat (₺)],ROW(tblPos[Net Tahsilat (₺)])-ROW(tblPos[[#Headers],[Net Tahsilat (₺)]])),0),0)</f>
        <v>0</v>
      </c>
    </row>
    <row r="25" customFormat="false" ht="15" hidden="false" customHeight="true" outlineLevel="0" collapsed="false">
      <c r="A25" s="7" t="s">
        <v>147</v>
      </c>
      <c r="B25" s="25" t="n">
        <f aca="false">ROUND(IFERROR(AVERAGEIFS(tblPos[Net Tahsilat (₺)],tblPos[İşlem Tarihi],"&gt;"&amp;0),0),0)</f>
        <v>126393</v>
      </c>
    </row>
    <row r="26" customFormat="false" ht="15" hidden="false" customHeight="true" outlineLevel="0" collapsed="false">
      <c r="A26" s="7" t="s">
        <v>148</v>
      </c>
      <c r="B26" s="25" t="n">
        <f aca="false">ROUND(IFERROR(stdev.p(INDEX(tblPos[Net Tahsilat (₺)],PanelSatir1):INDEX(tblPos[Net Tahsilat (₺)],PanelSatir12)),0),0)</f>
        <v>0</v>
      </c>
    </row>
    <row r="27" customFormat="false" ht="15" hidden="false" customHeight="true" outlineLevel="0" collapsed="false">
      <c r="A27" s="7" t="s">
        <v>149</v>
      </c>
      <c r="B27" s="25" t="n">
        <f aca="false">B25-B26*PosTahminCarpan</f>
        <v>126393</v>
      </c>
    </row>
    <row r="28" customFormat="false" ht="15" hidden="false" customHeight="true" outlineLevel="0" collapsed="false">
      <c r="A28" s="7" t="s">
        <v>150</v>
      </c>
      <c r="B28" s="25" t="n">
        <f aca="false">B25+B26*PosTahminCarpan</f>
        <v>126393</v>
      </c>
    </row>
    <row r="46" customFormat="false" ht="19.5" hidden="false" customHeight="true" outlineLevel="0" collapsed="false">
      <c r="A46" s="23" t="s">
        <v>151</v>
      </c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</row>
    <row r="48" customFormat="false" ht="15" hidden="false" customHeight="false" outlineLevel="0" collapsed="false">
      <c r="A48" s="1" t="s">
        <v>152</v>
      </c>
      <c r="B48" s="1" t="n">
        <f aca="false">IFERROR(COUNTIF($A$1:$A$1000,"&lt;&gt;")/MAX(1,COUNTA($A$1:$A$1000)),0)</f>
        <v>1</v>
      </c>
    </row>
  </sheetData>
  <sheetProtection sheet="true" password="cc3d" objects="true" scenarios="true" deleteColumns="false" deleteRows="false"/>
  <mergeCells count="2">
    <mergeCell ref="A1:AD1"/>
    <mergeCell ref="A46:AN46"/>
  </mergeCells>
  <conditionalFormatting sqref="B4">
    <cfRule type="cellIs" priority="2" operator="lessThan" aboveAverage="0" equalAverage="0" bottom="0" percent="0" rank="0" text="" dxfId="6">
      <formula>0</formula>
    </cfRule>
  </conditionalFormatting>
  <conditionalFormatting sqref="C4">
    <cfRule type="cellIs" priority="3" operator="lessThan" aboveAverage="0" equalAverage="0" bottom="0" percent="0" rank="0" text="" dxfId="6">
      <formula>0</formula>
    </cfRule>
  </conditionalFormatting>
  <conditionalFormatting sqref="D4">
    <cfRule type="cellIs" priority="4" operator="lessThan" aboveAverage="0" equalAverage="0" bottom="0" percent="0" rank="0" text="" dxfId="6">
      <formula>0</formula>
    </cfRule>
  </conditionalFormatting>
  <conditionalFormatting sqref="E4">
    <cfRule type="cellIs" priority="5" operator="lessThan" aboveAverage="0" equalAverage="0" bottom="0" percent="0" rank="0" text="" dxfId="6">
      <formula>0</formula>
    </cfRule>
  </conditionalFormatting>
  <conditionalFormatting sqref="F4">
    <cfRule type="cellIs" priority="6" operator="lessThan" aboveAverage="0" equalAverage="0" bottom="0" percent="0" rank="0" text="" dxfId="7">
      <formula>0.95</formula>
    </cfRule>
  </conditionalFormatting>
  <conditionalFormatting sqref="G4">
    <cfRule type="cellIs" priority="7" operator="greaterThan" aboveAverage="0" equalAverage="0" bottom="0" percent="0" rank="0" text="" dxfId="7">
      <formula>0.05</formula>
    </cfRule>
  </conditionalFormatting>
  <conditionalFormatting sqref="B6">
    <cfRule type="cellIs" priority="8" operator="equal" aboveAverage="0" equalAverage="0" bottom="0" percent="0" rank="0" text="" dxfId="10">
      <formula>"UYGUN"</formula>
    </cfRule>
    <cfRule type="cellIs" priority="9" operator="equal" aboveAverage="0" equalAverage="0" bottom="0" percent="0" rank="0" text="" dxfId="7">
      <formula>"İNCELE"</formula>
    </cfRule>
    <cfRule type="cellIs" priority="10" operator="equal" aboveAverage="0" equalAverage="0" bottom="0" percent="0" rank="0" text="" dxfId="9">
      <formula>"DURDUR"</formula>
    </cfRule>
  </conditionalFormatting>
  <conditionalFormatting sqref="B11:B15">
    <cfRule type="cellIs" priority="11" operator="lessThan" aboveAverage="0" equalAverage="0" bottom="0" percent="0" rank="0" text="" dxfId="6">
      <formula>0</formula>
    </cfRule>
    <cfRule type="cellIs" priority="12" operator="greaterThan" aboveAverage="0" equalAverage="0" bottom="0" percent="0" rank="0" text="" dxfId="8">
      <formula>0</formula>
    </cfRule>
  </conditionalFormatting>
  <conditionalFormatting sqref="E11:E22">
    <cfRule type="cellIs" priority="13" operator="less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&amp;LPOS, Komisyon ve Net Tahsilat Kontrol Sistemi&amp;CExcelArşiv&amp;RSayfa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154</v>
      </c>
    </row>
    <row r="4" customFormat="false" ht="41.25" hidden="false" customHeight="true" outlineLevel="0" collapsed="false">
      <c r="A4" s="14" t="s">
        <v>155</v>
      </c>
    </row>
    <row r="6" customFormat="false" ht="15" hidden="false" customHeight="true" outlineLevel="0" collapsed="false">
      <c r="A6" s="47" t="s">
        <v>156</v>
      </c>
      <c r="B6" s="47" t="s">
        <v>157</v>
      </c>
      <c r="C6" s="47" t="s">
        <v>116</v>
      </c>
      <c r="D6" s="47" t="s">
        <v>65</v>
      </c>
    </row>
    <row r="7" customFormat="false" ht="15" hidden="false" customHeight="true" outlineLevel="0" collapsed="false">
      <c r="A7" s="24" t="s">
        <v>158</v>
      </c>
      <c r="B7" s="26" t="n">
        <f aca="false">IF(PosNetTahsilatToplam=0,"VERİ YOK",PosIyiSenaryo)</f>
        <v>1.05</v>
      </c>
      <c r="C7" s="25" t="n">
        <f aca="false">ROUND(PosNetTahsilatToplam*PosIyiSenaryo,0)</f>
        <v>1592555</v>
      </c>
      <c r="D7" s="26" t="n">
        <f aca="false">IF(PosBrutToplam=0,0,C7/PosBrutToplam)</f>
        <v>0.975232700551133</v>
      </c>
    </row>
    <row r="8" customFormat="false" ht="15" hidden="false" customHeight="true" outlineLevel="0" collapsed="false">
      <c r="A8" s="24" t="s">
        <v>159</v>
      </c>
      <c r="B8" s="26" t="n">
        <f aca="false">IF(PosNetTahsilatToplam=0,"VERİ YOK",PosBazSenaryo)</f>
        <v>1</v>
      </c>
      <c r="C8" s="25" t="n">
        <f aca="false">ROUND(PosNetTahsilatToplam*PosBazSenaryo,0)</f>
        <v>1516719</v>
      </c>
      <c r="D8" s="26" t="n">
        <f aca="false">IF(PosBrutToplam=0,0,C8/PosBrutToplam)</f>
        <v>0.928793018983466</v>
      </c>
    </row>
    <row r="9" customFormat="false" ht="15" hidden="false" customHeight="true" outlineLevel="0" collapsed="false">
      <c r="A9" s="24" t="s">
        <v>160</v>
      </c>
      <c r="B9" s="26" t="n">
        <f aca="false">IF(PosNetTahsilatToplam=0,"VERİ YOK",PosKotuSenaryo)</f>
        <v>0.95</v>
      </c>
      <c r="C9" s="25" t="n">
        <f aca="false">ROUND(PosNetTahsilatToplam*PosKotuSenaryo,0)</f>
        <v>1440883</v>
      </c>
      <c r="D9" s="26" t="n">
        <f aca="false">IF(PosBrutToplam=0,0,C9/PosBrutToplam)</f>
        <v>0.882353337415799</v>
      </c>
    </row>
    <row r="11" customFormat="false" ht="15" hidden="false" customHeight="true" outlineLevel="0" collapsed="false">
      <c r="A11" s="5" t="s">
        <v>161</v>
      </c>
    </row>
    <row r="12" customFormat="false" ht="15" hidden="false" customHeight="true" outlineLevel="0" collapsed="false">
      <c r="A12" s="7" t="s">
        <v>162</v>
      </c>
      <c r="B12" s="25" t="n">
        <f aca="false">ROUND(SUM(tblPos[Brüt Satış (₺)])*PosTornadoKomisyon,0)</f>
        <v>16330</v>
      </c>
    </row>
    <row r="13" customFormat="false" ht="15" hidden="false" customHeight="true" outlineLevel="0" collapsed="false">
      <c r="A13" s="7" t="s">
        <v>163</v>
      </c>
      <c r="B13" s="25" t="n">
        <f aca="false">ROUND(SUM(tblPos[Brüt Satış (₺)])*PosTornadoIade,0)</f>
        <v>16330</v>
      </c>
    </row>
    <row r="15" customFormat="false" ht="15" hidden="false" customHeight="true" outlineLevel="0" collapsed="false">
      <c r="A15" s="27" t="s">
        <v>164</v>
      </c>
      <c r="B15" s="30" t="str">
        <f aca="false">IF(B12&gt;=B13,"Komisyon Oranı","İade Oranı")</f>
        <v>Komisyon Oranı</v>
      </c>
    </row>
    <row r="17" customFormat="false" ht="19.5" hidden="false" customHeight="true" outlineLevel="0" collapsed="false">
      <c r="A17" s="23" t="s">
        <v>165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</row>
  </sheetData>
  <sheetProtection sheet="true" password="cc3d" objects="true" scenarios="true" deleteColumns="false" deleteRows="false"/>
  <mergeCells count="2">
    <mergeCell ref="A1:AD1"/>
    <mergeCell ref="A17:AN17"/>
  </mergeCells>
  <conditionalFormatting sqref="C7:C9">
    <cfRule type="cellIs" priority="2" operator="lessThan" aboveAverage="0" equalAverage="0" bottom="0" percent="0" rank="0" text="" dxfId="6">
      <formula>0</formula>
    </cfRule>
  </conditionalFormatting>
  <conditionalFormatting sqref="D7:D9">
    <cfRule type="cellIs" priority="3" operator="lessThan" aboveAverage="0" equalAverage="0" bottom="0" percent="0" rank="0" text="" dxfId="6">
      <formula>0.8</formula>
    </cfRule>
    <cfRule type="cellIs" priority="4" operator="lessThan" aboveAverage="0" equalAverage="0" bottom="0" percent="0" rank="0" text="" dxfId="7">
      <formula>0.95</formula>
    </cfRule>
  </conditionalFormatting>
  <conditionalFormatting sqref="B12:B13">
    <cfRule type="cellIs" priority="5" operator="less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48" t="s">
        <v>166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</row>
    <row r="2" customFormat="false" ht="15" hidden="false" customHeight="true" outlineLevel="0" collapsed="false">
      <c r="A2" s="49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</row>
    <row r="4" customFormat="false" ht="17.25" hidden="false" customHeight="true" outlineLevel="0" collapsed="false">
      <c r="A4" s="5" t="s">
        <v>131</v>
      </c>
      <c r="B4" s="39" t="str">
        <f aca="false">KARAR!B11</f>
        <v>İNCELE</v>
      </c>
    </row>
    <row r="6" customFormat="false" ht="15" hidden="false" customHeight="true" outlineLevel="0" collapsed="false">
      <c r="A6" s="7" t="s">
        <v>127</v>
      </c>
      <c r="B6" s="25" t="n">
        <f aca="false">PosBrutToplam</f>
        <v>1633000</v>
      </c>
    </row>
    <row r="7" customFormat="false" ht="15" hidden="false" customHeight="true" outlineLevel="0" collapsed="false">
      <c r="A7" s="7" t="s">
        <v>128</v>
      </c>
      <c r="B7" s="25" t="n">
        <f aca="false">PosIadeToplam</f>
        <v>79700</v>
      </c>
    </row>
    <row r="8" customFormat="false" ht="15" hidden="false" customHeight="true" outlineLevel="0" collapsed="false">
      <c r="A8" s="7" t="s">
        <v>129</v>
      </c>
      <c r="B8" s="25" t="n">
        <f aca="false">PosKomisyonToplam</f>
        <v>36581</v>
      </c>
    </row>
    <row r="9" customFormat="false" ht="15" hidden="false" customHeight="true" outlineLevel="0" collapsed="false">
      <c r="A9" s="7" t="s">
        <v>130</v>
      </c>
      <c r="B9" s="25" t="n">
        <f aca="false">PosNetTahsilatToplam</f>
        <v>1516719</v>
      </c>
    </row>
    <row r="10" customFormat="false" ht="15" hidden="false" customHeight="true" outlineLevel="0" collapsed="false">
      <c r="A10" s="7" t="s">
        <v>65</v>
      </c>
      <c r="B10" s="26" t="n">
        <f aca="false">PosNetOran</f>
        <v>0.928793018983466</v>
      </c>
    </row>
    <row r="11" customFormat="false" ht="15" hidden="false" customHeight="true" outlineLevel="0" collapsed="false">
      <c r="A11" s="7" t="s">
        <v>64</v>
      </c>
      <c r="B11" s="26" t="n">
        <f aca="false">PosIadeOrani</f>
        <v>0.0488058787507655</v>
      </c>
    </row>
    <row r="12" customFormat="false" ht="15" hidden="false" customHeight="true" outlineLevel="0" collapsed="false">
      <c r="A12" s="7" t="s">
        <v>38</v>
      </c>
      <c r="B12" s="26" t="n">
        <f aca="false">PosKomisyonOrani</f>
        <v>0.0235505053756518</v>
      </c>
    </row>
    <row r="13" customFormat="false" ht="15" hidden="false" customHeight="true" outlineLevel="0" collapsed="false">
      <c r="A13" s="7" t="s">
        <v>69</v>
      </c>
      <c r="B13" s="35" t="n">
        <f aca="false">KARAR!B9</f>
        <v>0</v>
      </c>
    </row>
    <row r="14" customFormat="false" ht="15" hidden="false" customHeight="true" outlineLevel="0" collapsed="false">
      <c r="A14" s="7" t="s">
        <v>110</v>
      </c>
      <c r="B14" s="36" t="n">
        <f aca="false">KONTROLLER!B19</f>
        <v>2842</v>
      </c>
    </row>
    <row r="16" customFormat="false" ht="15" hidden="false" customHeight="true" outlineLevel="0" collapsed="false">
      <c r="A16" s="44" t="s">
        <v>167</v>
      </c>
    </row>
    <row r="17" customFormat="false" ht="15" hidden="false" customHeight="true" outlineLevel="0" collapsed="false">
      <c r="A17" s="6" t="s">
        <v>168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6" t="s">
        <v>169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170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171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172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3" customFormat="false" ht="15" hidden="false" customHeight="true" outlineLevel="0" collapsed="false">
      <c r="A23" s="44" t="s">
        <v>120</v>
      </c>
    </row>
    <row r="24" customFormat="false" ht="15" hidden="false" customHeight="true" outlineLevel="0" collapsed="false">
      <c r="A24" s="6" t="str">
        <f aca="false">PosAksiyon1_ACIKLAMA</f>
        <v>Komisyon oranı eşiği aşıyorsa kanal sözleşmesini yeniden müzakere edin.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true" outlineLevel="0" collapsed="false">
      <c r="A25" s="6" t="str">
        <f aca="false">PosAksiyon2_ACIKLAMA</f>
        <v>İade oranı yüksek kanalda ürün/hizmet kalitesini inceleyin.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PosAksiyon3_ACIKLAMA</f>
        <v>Net tahsilat oranı hedefin altındaysa komisyon ve iade yapısını birlikte gözden geçirin.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8" customFormat="false" ht="15" hidden="false" customHeight="true" outlineLevel="0" collapsed="false">
      <c r="A28" s="50" t="s">
        <v>173</v>
      </c>
    </row>
  </sheetData>
  <sheetProtection sheet="true" password="cc3d" objects="true" scenarios="true" deleteColumns="false" deleteRows="false"/>
  <mergeCells count="10">
    <mergeCell ref="A1:AN1"/>
    <mergeCell ref="A2:L2"/>
    <mergeCell ref="A17:L17"/>
    <mergeCell ref="A18:L18"/>
    <mergeCell ref="A19:L19"/>
    <mergeCell ref="A20:L20"/>
    <mergeCell ref="A21:L21"/>
    <mergeCell ref="A24:L24"/>
    <mergeCell ref="A25:L25"/>
    <mergeCell ref="A26:L2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&amp;LPOS, Komisyon ve Net Tahsilat Kontrol Sistemi&amp;CExcelArşiv&amp;RSayfa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4" min="3" style="1" width="16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174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175</v>
      </c>
    </row>
    <row r="4" customFormat="false" ht="81.75" hidden="false" customHeight="true" outlineLevel="0" collapsed="false">
      <c r="A4" s="14" t="s">
        <v>176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42</v>
      </c>
    </row>
    <row r="6" customFormat="false" ht="15" hidden="false" customHeight="true" outlineLevel="0" collapsed="false">
      <c r="A6" s="51" t="s">
        <v>43</v>
      </c>
      <c r="B6" s="52" t="s">
        <v>177</v>
      </c>
      <c r="C6" s="53" t="n">
        <v>185000</v>
      </c>
      <c r="D6" s="53" t="n">
        <v>12000</v>
      </c>
      <c r="E6" s="54" t="n">
        <v>0.02</v>
      </c>
      <c r="F6" s="22" t="n">
        <f aca="false">IF($C6=0,0,$C6-$D6)</f>
        <v>173000</v>
      </c>
      <c r="G6" s="51" t="s">
        <v>178</v>
      </c>
    </row>
    <row r="7" customFormat="false" ht="15" hidden="false" customHeight="true" outlineLevel="0" collapsed="false">
      <c r="A7" s="51" t="s">
        <v>45</v>
      </c>
      <c r="B7" s="52" t="s">
        <v>179</v>
      </c>
      <c r="C7" s="53" t="n">
        <v>142000</v>
      </c>
      <c r="D7" s="53" t="n">
        <v>5000</v>
      </c>
      <c r="E7" s="54" t="n">
        <v>0.03</v>
      </c>
      <c r="F7" s="22" t="n">
        <f aca="false">IF($C7=0,0,$C7-$D7)</f>
        <v>137000</v>
      </c>
      <c r="G7" s="51" t="s">
        <v>180</v>
      </c>
    </row>
    <row r="8" customFormat="false" ht="15" hidden="false" customHeight="true" outlineLevel="0" collapsed="false">
      <c r="A8" s="51" t="s">
        <v>49</v>
      </c>
      <c r="B8" s="52" t="s">
        <v>181</v>
      </c>
      <c r="C8" s="53" t="n">
        <v>98000</v>
      </c>
      <c r="D8" s="53" t="n">
        <v>8000</v>
      </c>
      <c r="E8" s="54" t="n">
        <v>0.015</v>
      </c>
      <c r="F8" s="22" t="n">
        <f aca="false">IF($C8=0,0,$C8-$D8)</f>
        <v>90000</v>
      </c>
      <c r="G8" s="51" t="s">
        <v>182</v>
      </c>
    </row>
    <row r="9" customFormat="false" ht="15" hidden="false" customHeight="true" outlineLevel="0" collapsed="false">
      <c r="A9" s="51" t="s">
        <v>43</v>
      </c>
      <c r="B9" s="52" t="s">
        <v>183</v>
      </c>
      <c r="C9" s="53" t="n">
        <v>210000</v>
      </c>
      <c r="D9" s="53" t="n">
        <v>15000</v>
      </c>
      <c r="E9" s="54" t="n">
        <v>0.02</v>
      </c>
      <c r="F9" s="22" t="n">
        <f aca="false">IF($C9=0,0,$C9-$D9)</f>
        <v>195000</v>
      </c>
      <c r="G9" s="51" t="s">
        <v>184</v>
      </c>
    </row>
    <row r="10" customFormat="false" ht="15" hidden="false" customHeight="true" outlineLevel="0" collapsed="false">
      <c r="A10" s="51" t="s">
        <v>66</v>
      </c>
      <c r="B10" s="52" t="s">
        <v>185</v>
      </c>
      <c r="C10" s="53" t="n">
        <v>265000</v>
      </c>
      <c r="D10" s="53" t="n">
        <v>22000</v>
      </c>
      <c r="E10" s="54" t="n">
        <v>0.05</v>
      </c>
      <c r="F10" s="22" t="n">
        <f aca="false">IF($C10=0,0,$C10-$D10)</f>
        <v>243000</v>
      </c>
      <c r="G10" s="51" t="s">
        <v>186</v>
      </c>
    </row>
    <row r="11" customFormat="false" ht="15" hidden="false" customHeight="true" outlineLevel="0" collapsed="false">
      <c r="A11" s="51" t="s">
        <v>45</v>
      </c>
      <c r="B11" s="52" t="s">
        <v>187</v>
      </c>
      <c r="C11" s="53" t="n">
        <v>168000</v>
      </c>
      <c r="D11" s="53" t="n">
        <v>9000</v>
      </c>
      <c r="E11" s="54" t="n">
        <v>0.03</v>
      </c>
      <c r="F11" s="22" t="n">
        <f aca="false">IF($C11=0,0,$C11-$D11)</f>
        <v>159000</v>
      </c>
      <c r="G11" s="51" t="s">
        <v>188</v>
      </c>
    </row>
    <row r="12" customFormat="false" ht="15" hidden="false" customHeight="true" outlineLevel="0" collapsed="false">
      <c r="F12" s="22" t="n">
        <f aca="false">IF($C12=0,0,$C12-$D12)</f>
        <v>0</v>
      </c>
    </row>
    <row r="13" customFormat="false" ht="15" hidden="false" customHeight="true" outlineLevel="0" collapsed="false">
      <c r="F13" s="22" t="n">
        <f aca="false">IF($C13=0,0,$C13-$D13)</f>
        <v>0</v>
      </c>
    </row>
    <row r="14" customFormat="false" ht="15" hidden="false" customHeight="true" outlineLevel="0" collapsed="false">
      <c r="F14" s="22" t="n">
        <f aca="false">IF($C14=0,0,$C14-$D14)</f>
        <v>0</v>
      </c>
    </row>
    <row r="15" customFormat="false" ht="15" hidden="false" customHeight="true" outlineLevel="0" collapsed="false">
      <c r="F15" s="22" t="n">
        <f aca="false">IF($C15=0,0,$C15-$D15)</f>
        <v>0</v>
      </c>
    </row>
    <row r="16" customFormat="false" ht="15" hidden="false" customHeight="true" outlineLevel="0" collapsed="false">
      <c r="F16" s="22" t="n">
        <f aca="false">IF($C16=0,0,$C16-$D16)</f>
        <v>0</v>
      </c>
    </row>
    <row r="17" customFormat="false" ht="15" hidden="false" customHeight="true" outlineLevel="0" collapsed="false">
      <c r="F17" s="22" t="n">
        <f aca="false">IF($C17=0,0,$C17-$D17)</f>
        <v>0</v>
      </c>
    </row>
    <row r="18" customFormat="false" ht="15" hidden="false" customHeight="true" outlineLevel="0" collapsed="false">
      <c r="F18" s="22" t="n">
        <f aca="false">IF($C18=0,0,$C18-$D18)</f>
        <v>0</v>
      </c>
    </row>
    <row r="19" customFormat="false" ht="15" hidden="false" customHeight="true" outlineLevel="0" collapsed="false">
      <c r="F19" s="22" t="n">
        <f aca="false">IF($C19=0,0,$C19-$D19)</f>
        <v>0</v>
      </c>
    </row>
    <row r="20" customFormat="false" ht="15" hidden="false" customHeight="true" outlineLevel="0" collapsed="false">
      <c r="F20" s="22" t="n">
        <f aca="false">IF($C20=0,0,$C20-$D20)</f>
        <v>0</v>
      </c>
    </row>
    <row r="21" customFormat="false" ht="15" hidden="false" customHeight="true" outlineLevel="0" collapsed="false">
      <c r="F21" s="22" t="n">
        <f aca="false">IF($C21=0,0,$C21-$D21)</f>
        <v>0</v>
      </c>
    </row>
    <row r="22" customFormat="false" ht="15" hidden="false" customHeight="true" outlineLevel="0" collapsed="false">
      <c r="F22" s="22" t="n">
        <f aca="false">IF($C22=0,0,$C22-$D22)</f>
        <v>0</v>
      </c>
    </row>
    <row r="23" customFormat="false" ht="15" hidden="false" customHeight="true" outlineLevel="0" collapsed="false">
      <c r="F23" s="22" t="n">
        <f aca="false">IF($C23=0,0,$C23-$D23)</f>
        <v>0</v>
      </c>
    </row>
    <row r="24" customFormat="false" ht="15" hidden="false" customHeight="true" outlineLevel="0" collapsed="false">
      <c r="F24" s="22" t="n">
        <f aca="false">IF($C24=0,0,$C24-$D24)</f>
        <v>0</v>
      </c>
    </row>
    <row r="25" customFormat="false" ht="15" hidden="false" customHeight="true" outlineLevel="0" collapsed="false">
      <c r="F25" s="22" t="n">
        <f aca="false">IF($C25=0,0,$C25-$D25)</f>
        <v>0</v>
      </c>
    </row>
    <row r="26" customFormat="false" ht="15" hidden="false" customHeight="true" outlineLevel="0" collapsed="false">
      <c r="F26" s="22" t="n">
        <f aca="false">IF($C26=0,0,$C26-$D26)</f>
        <v>0</v>
      </c>
    </row>
    <row r="27" customFormat="false" ht="15" hidden="false" customHeight="true" outlineLevel="0" collapsed="false">
      <c r="F27" s="22" t="n">
        <f aca="false">IF($C27=0,0,$C27-$D27)</f>
        <v>0</v>
      </c>
    </row>
    <row r="28" customFormat="false" ht="15" hidden="false" customHeight="true" outlineLevel="0" collapsed="false">
      <c r="F28" s="22" t="n">
        <f aca="false">IF($C28=0,0,$C28-$D28)</f>
        <v>0</v>
      </c>
    </row>
    <row r="29" customFormat="false" ht="15" hidden="false" customHeight="true" outlineLevel="0" collapsed="false">
      <c r="F29" s="22" t="n">
        <f aca="false">IF($C29=0,0,$C29-$D29)</f>
        <v>0</v>
      </c>
    </row>
    <row r="30" customFormat="false" ht="15" hidden="false" customHeight="true" outlineLevel="0" collapsed="false">
      <c r="F30" s="22" t="n">
        <f aca="false">IF($C30=0,0,$C30-$D30)</f>
        <v>0</v>
      </c>
    </row>
    <row r="31" customFormat="false" ht="15" hidden="false" customHeight="true" outlineLevel="0" collapsed="false">
      <c r="F31" s="22" t="n">
        <f aca="false">IF($C31=0,0,$C31-$D31)</f>
        <v>0</v>
      </c>
    </row>
    <row r="32" customFormat="false" ht="15" hidden="false" customHeight="true" outlineLevel="0" collapsed="false">
      <c r="F32" s="22" t="n">
        <f aca="false">IF($C32=0,0,$C32-$D32)</f>
        <v>0</v>
      </c>
    </row>
    <row r="33" customFormat="false" ht="15" hidden="false" customHeight="true" outlineLevel="0" collapsed="false">
      <c r="F33" s="22" t="n">
        <f aca="false">IF($C33=0,0,$C33-$D33)</f>
        <v>0</v>
      </c>
    </row>
    <row r="34" customFormat="false" ht="15" hidden="false" customHeight="true" outlineLevel="0" collapsed="false">
      <c r="F34" s="22" t="n">
        <f aca="false">IF($C34=0,0,$C34-$D34)</f>
        <v>0</v>
      </c>
    </row>
    <row r="35" customFormat="false" ht="15" hidden="false" customHeight="true" outlineLevel="0" collapsed="false">
      <c r="F35" s="22" t="n">
        <f aca="false">IF($C35=0,0,$C35-$D35)</f>
        <v>0</v>
      </c>
    </row>
    <row r="36" customFormat="false" ht="15" hidden="false" customHeight="true" outlineLevel="0" collapsed="false">
      <c r="F36" s="22" t="n">
        <f aca="false">IF($C36=0,0,$C36-$D36)</f>
        <v>0</v>
      </c>
    </row>
    <row r="37" customFormat="false" ht="15" hidden="false" customHeight="true" outlineLevel="0" collapsed="false">
      <c r="F37" s="22" t="n">
        <f aca="false">IF($C37=0,0,$C37-$D37)</f>
        <v>0</v>
      </c>
    </row>
    <row r="38" customFormat="false" ht="15" hidden="false" customHeight="true" outlineLevel="0" collapsed="false">
      <c r="F38" s="22" t="n">
        <f aca="false">IF($C38=0,0,$C38-$D38)</f>
        <v>0</v>
      </c>
    </row>
    <row r="39" customFormat="false" ht="15" hidden="false" customHeight="true" outlineLevel="0" collapsed="false">
      <c r="F39" s="22" t="n">
        <f aca="false">IF($C39=0,0,$C39-$D39)</f>
        <v>0</v>
      </c>
    </row>
    <row r="40" customFormat="false" ht="15" hidden="false" customHeight="true" outlineLevel="0" collapsed="false">
      <c r="F40" s="22" t="n">
        <f aca="false">IF($C40=0,0,$C40-$D40)</f>
        <v>0</v>
      </c>
    </row>
    <row r="41" customFormat="false" ht="15" hidden="false" customHeight="true" outlineLevel="0" collapsed="false">
      <c r="F41" s="22" t="n">
        <f aca="false">IF($C41=0,0,$C41-$D41)</f>
        <v>0</v>
      </c>
    </row>
    <row r="42" customFormat="false" ht="15" hidden="false" customHeight="true" outlineLevel="0" collapsed="false">
      <c r="F42" s="22" t="n">
        <f aca="false">IF($C42=0,0,$C42-$D42)</f>
        <v>0</v>
      </c>
    </row>
    <row r="43" customFormat="false" ht="15" hidden="false" customHeight="true" outlineLevel="0" collapsed="false">
      <c r="F43" s="22" t="n">
        <f aca="false">IF($C43=0,0,$C43-$D43)</f>
        <v>0</v>
      </c>
    </row>
    <row r="44" customFormat="false" ht="15" hidden="false" customHeight="true" outlineLevel="0" collapsed="false">
      <c r="F44" s="22" t="n">
        <f aca="false">IF($C44=0,0,$C44-$D44)</f>
        <v>0</v>
      </c>
    </row>
    <row r="45" customFormat="false" ht="15" hidden="false" customHeight="true" outlineLevel="0" collapsed="false">
      <c r="F45" s="22" t="n">
        <f aca="false">IF($C45=0,0,$C45-$D45)</f>
        <v>0</v>
      </c>
    </row>
    <row r="46" customFormat="false" ht="15" hidden="false" customHeight="true" outlineLevel="0" collapsed="false">
      <c r="F46" s="22" t="n">
        <f aca="false">IF($C46=0,0,$C46-$D46)</f>
        <v>0</v>
      </c>
    </row>
    <row r="47" customFormat="false" ht="15" hidden="false" customHeight="true" outlineLevel="0" collapsed="false">
      <c r="F47" s="22" t="n">
        <f aca="false">IF($C47=0,0,$C47-$D47)</f>
        <v>0</v>
      </c>
    </row>
    <row r="48" customFormat="false" ht="15" hidden="false" customHeight="true" outlineLevel="0" collapsed="false">
      <c r="F48" s="22" t="n">
        <f aca="false">IF($C48=0,0,$C48-$D48)</f>
        <v>0</v>
      </c>
    </row>
    <row r="49" customFormat="false" ht="15" hidden="false" customHeight="true" outlineLevel="0" collapsed="false">
      <c r="F49" s="22" t="n">
        <f aca="false">IF($C49=0,0,$C49-$D49)</f>
        <v>0</v>
      </c>
    </row>
    <row r="50" customFormat="false" ht="15" hidden="false" customHeight="true" outlineLevel="0" collapsed="false">
      <c r="F50" s="22" t="n">
        <f aca="false">IF($C50=0,0,$C50-$D50)</f>
        <v>0</v>
      </c>
    </row>
    <row r="51" customFormat="false" ht="15" hidden="false" customHeight="true" outlineLevel="0" collapsed="false">
      <c r="F51" s="22" t="n">
        <f aca="false">IF($C51=0,0,$C51-$D51)</f>
        <v>0</v>
      </c>
    </row>
    <row r="52" customFormat="false" ht="15" hidden="false" customHeight="true" outlineLevel="0" collapsed="false">
      <c r="F52" s="22" t="n">
        <f aca="false">IF($C52=0,0,$C52-$D52)</f>
        <v>0</v>
      </c>
    </row>
    <row r="53" customFormat="false" ht="15" hidden="false" customHeight="true" outlineLevel="0" collapsed="false">
      <c r="F53" s="22" t="n">
        <f aca="false">IF($C53=0,0,$C53-$D53)</f>
        <v>0</v>
      </c>
    </row>
    <row r="54" customFormat="false" ht="15" hidden="false" customHeight="true" outlineLevel="0" collapsed="false">
      <c r="F54" s="22" t="n">
        <f aca="false">IF($C54=0,0,$C54-$D54)</f>
        <v>0</v>
      </c>
    </row>
    <row r="55" customFormat="false" ht="15" hidden="false" customHeight="true" outlineLevel="0" collapsed="false">
      <c r="F55" s="22" t="n">
        <f aca="false">IF($C55=0,0,$C55-$D55)</f>
        <v>0</v>
      </c>
    </row>
    <row r="56" customFormat="false" ht="15" hidden="false" customHeight="true" outlineLevel="0" collapsed="false">
      <c r="F56" s="22" t="n">
        <f aca="false">IF($C56=0,0,$C56-$D56)</f>
        <v>0</v>
      </c>
    </row>
    <row r="57" customFormat="false" ht="15" hidden="false" customHeight="true" outlineLevel="0" collapsed="false">
      <c r="F57" s="22" t="n">
        <f aca="false">IF($C57=0,0,$C57-$D57)</f>
        <v>0</v>
      </c>
    </row>
    <row r="58" customFormat="false" ht="15" hidden="false" customHeight="true" outlineLevel="0" collapsed="false">
      <c r="F58" s="22" t="n">
        <f aca="false">IF($C58=0,0,$C58-$D58)</f>
        <v>0</v>
      </c>
    </row>
    <row r="59" customFormat="false" ht="15" hidden="false" customHeight="true" outlineLevel="0" collapsed="false">
      <c r="F59" s="22" t="n">
        <f aca="false">IF($C59=0,0,$C59-$D59)</f>
        <v>0</v>
      </c>
    </row>
    <row r="60" customFormat="false" ht="15" hidden="false" customHeight="true" outlineLevel="0" collapsed="false">
      <c r="F60" s="22" t="n">
        <f aca="false">IF($C60=0,0,$C60-$D60)</f>
        <v>0</v>
      </c>
    </row>
    <row r="61" customFormat="false" ht="15" hidden="false" customHeight="true" outlineLevel="0" collapsed="false">
      <c r="F61" s="22" t="n">
        <f aca="false">IF($C61=0,0,$C61-$D61)</f>
        <v>0</v>
      </c>
    </row>
    <row r="62" customFormat="false" ht="15" hidden="false" customHeight="true" outlineLevel="0" collapsed="false">
      <c r="F62" s="22" t="n">
        <f aca="false">IF($C62=0,0,$C62-$D62)</f>
        <v>0</v>
      </c>
    </row>
    <row r="63" customFormat="false" ht="15" hidden="false" customHeight="true" outlineLevel="0" collapsed="false">
      <c r="F63" s="22" t="n">
        <f aca="false">IF($C63=0,0,$C63-$D63)</f>
        <v>0</v>
      </c>
    </row>
    <row r="64" customFormat="false" ht="15" hidden="false" customHeight="true" outlineLevel="0" collapsed="false">
      <c r="F64" s="22" t="n">
        <f aca="false">IF($C64=0,0,$C64-$D64)</f>
        <v>0</v>
      </c>
    </row>
    <row r="65" customFormat="false" ht="15" hidden="false" customHeight="true" outlineLevel="0" collapsed="false">
      <c r="F65" s="22" t="n">
        <f aca="false">IF($C65=0,0,$C65-$D65)</f>
        <v>0</v>
      </c>
    </row>
    <row r="66" customFormat="false" ht="15" hidden="false" customHeight="true" outlineLevel="0" collapsed="false">
      <c r="F66" s="22" t="n">
        <f aca="false">IF($C66=0,0,$C66-$D66)</f>
        <v>0</v>
      </c>
    </row>
    <row r="67" customFormat="false" ht="15" hidden="false" customHeight="true" outlineLevel="0" collapsed="false">
      <c r="F67" s="22" t="n">
        <f aca="false">IF($C67=0,0,$C67-$D67)</f>
        <v>0</v>
      </c>
    </row>
    <row r="68" customFormat="false" ht="15" hidden="false" customHeight="true" outlineLevel="0" collapsed="false">
      <c r="F68" s="22" t="n">
        <f aca="false">IF($C68=0,0,$C68-$D68)</f>
        <v>0</v>
      </c>
    </row>
    <row r="69" customFormat="false" ht="15" hidden="false" customHeight="true" outlineLevel="0" collapsed="false">
      <c r="F69" s="22" t="n">
        <f aca="false">IF($C69=0,0,$C69-$D69)</f>
        <v>0</v>
      </c>
    </row>
    <row r="70" customFormat="false" ht="15" hidden="false" customHeight="true" outlineLevel="0" collapsed="false">
      <c r="F70" s="22" t="n">
        <f aca="false">IF($C70=0,0,$C70-$D70)</f>
        <v>0</v>
      </c>
    </row>
    <row r="71" customFormat="false" ht="15" hidden="false" customHeight="true" outlineLevel="0" collapsed="false">
      <c r="F71" s="22" t="n">
        <f aca="false">IF($C71=0,0,$C71-$D71)</f>
        <v>0</v>
      </c>
    </row>
    <row r="72" customFormat="false" ht="15" hidden="false" customHeight="true" outlineLevel="0" collapsed="false">
      <c r="F72" s="22" t="n">
        <f aca="false">IF($C72=0,0,$C72-$D72)</f>
        <v>0</v>
      </c>
    </row>
    <row r="73" customFormat="false" ht="15" hidden="false" customHeight="true" outlineLevel="0" collapsed="false">
      <c r="F73" s="22" t="n">
        <f aca="false">IF($C73=0,0,$C73-$D73)</f>
        <v>0</v>
      </c>
    </row>
    <row r="74" customFormat="false" ht="15" hidden="false" customHeight="true" outlineLevel="0" collapsed="false">
      <c r="F74" s="22" t="n">
        <f aca="false">IF($C74=0,0,$C74-$D74)</f>
        <v>0</v>
      </c>
    </row>
    <row r="75" customFormat="false" ht="15" hidden="false" customHeight="true" outlineLevel="0" collapsed="false">
      <c r="F75" s="22" t="n">
        <f aca="false">IF($C75=0,0,$C75-$D75)</f>
        <v>0</v>
      </c>
    </row>
    <row r="76" customFormat="false" ht="15" hidden="false" customHeight="true" outlineLevel="0" collapsed="false">
      <c r="F76" s="22" t="n">
        <f aca="false">IF($C76=0,0,$C76-$D76)</f>
        <v>0</v>
      </c>
    </row>
    <row r="77" customFormat="false" ht="15" hidden="false" customHeight="true" outlineLevel="0" collapsed="false">
      <c r="F77" s="22" t="n">
        <f aca="false">IF($C77=0,0,$C77-$D77)</f>
        <v>0</v>
      </c>
    </row>
    <row r="78" customFormat="false" ht="15" hidden="false" customHeight="true" outlineLevel="0" collapsed="false">
      <c r="F78" s="22" t="n">
        <f aca="false">IF($C78=0,0,$C78-$D78)</f>
        <v>0</v>
      </c>
    </row>
    <row r="79" customFormat="false" ht="15" hidden="false" customHeight="true" outlineLevel="0" collapsed="false">
      <c r="F79" s="22" t="n">
        <f aca="false">IF($C79=0,0,$C79-$D79)</f>
        <v>0</v>
      </c>
    </row>
    <row r="80" customFormat="false" ht="15" hidden="false" customHeight="true" outlineLevel="0" collapsed="false">
      <c r="F80" s="22" t="n">
        <f aca="false">IF($C80=0,0,$C80-$D80)</f>
        <v>0</v>
      </c>
    </row>
    <row r="81" customFormat="false" ht="15" hidden="false" customHeight="true" outlineLevel="0" collapsed="false">
      <c r="F81" s="22" t="n">
        <f aca="false">IF($C81=0,0,$C81-$D81)</f>
        <v>0</v>
      </c>
    </row>
    <row r="82" customFormat="false" ht="15" hidden="false" customHeight="true" outlineLevel="0" collapsed="false">
      <c r="F82" s="22" t="n">
        <f aca="false">IF($C82=0,0,$C82-$D82)</f>
        <v>0</v>
      </c>
    </row>
    <row r="83" customFormat="false" ht="15" hidden="false" customHeight="true" outlineLevel="0" collapsed="false">
      <c r="F83" s="22" t="n">
        <f aca="false">IF($C83=0,0,$C83-$D83)</f>
        <v>0</v>
      </c>
    </row>
    <row r="84" customFormat="false" ht="15" hidden="false" customHeight="true" outlineLevel="0" collapsed="false">
      <c r="F84" s="22" t="n">
        <f aca="false">IF($C84=0,0,$C84-$D84)</f>
        <v>0</v>
      </c>
    </row>
    <row r="85" customFormat="false" ht="15" hidden="false" customHeight="true" outlineLevel="0" collapsed="false">
      <c r="F85" s="22" t="n">
        <f aca="false">IF($C85=0,0,$C85-$D85)</f>
        <v>0</v>
      </c>
    </row>
    <row r="86" customFormat="false" ht="15" hidden="false" customHeight="true" outlineLevel="0" collapsed="false">
      <c r="F86" s="22" t="n">
        <f aca="false">IF($C86=0,0,$C86-$D86)</f>
        <v>0</v>
      </c>
    </row>
    <row r="87" customFormat="false" ht="15" hidden="false" customHeight="true" outlineLevel="0" collapsed="false">
      <c r="F87" s="22" t="n">
        <f aca="false">IF($C87=0,0,$C87-$D87)</f>
        <v>0</v>
      </c>
    </row>
    <row r="88" customFormat="false" ht="15" hidden="false" customHeight="true" outlineLevel="0" collapsed="false">
      <c r="F88" s="22" t="n">
        <f aca="false">IF($C88=0,0,$C88-$D88)</f>
        <v>0</v>
      </c>
    </row>
    <row r="89" customFormat="false" ht="15" hidden="false" customHeight="true" outlineLevel="0" collapsed="false">
      <c r="F89" s="22" t="n">
        <f aca="false">IF($C89=0,0,$C89-$D89)</f>
        <v>0</v>
      </c>
    </row>
    <row r="90" customFormat="false" ht="15" hidden="false" customHeight="true" outlineLevel="0" collapsed="false">
      <c r="F90" s="22" t="n">
        <f aca="false">IF($C90=0,0,$C90-$D90)</f>
        <v>0</v>
      </c>
    </row>
    <row r="91" customFormat="false" ht="15" hidden="false" customHeight="true" outlineLevel="0" collapsed="false">
      <c r="F91" s="22" t="n">
        <f aca="false">IF($C91=0,0,$C91-$D91)</f>
        <v>0</v>
      </c>
    </row>
    <row r="92" customFormat="false" ht="15" hidden="false" customHeight="true" outlineLevel="0" collapsed="false">
      <c r="F92" s="22" t="n">
        <f aca="false">IF($C92=0,0,$C92-$D92)</f>
        <v>0</v>
      </c>
    </row>
    <row r="93" customFormat="false" ht="15" hidden="false" customHeight="true" outlineLevel="0" collapsed="false">
      <c r="F93" s="22" t="n">
        <f aca="false">IF($C93=0,0,$C93-$D93)</f>
        <v>0</v>
      </c>
    </row>
    <row r="94" customFormat="false" ht="15" hidden="false" customHeight="true" outlineLevel="0" collapsed="false">
      <c r="F94" s="22" t="n">
        <f aca="false">IF($C94=0,0,$C94-$D94)</f>
        <v>0</v>
      </c>
    </row>
    <row r="95" customFormat="false" ht="15" hidden="false" customHeight="true" outlineLevel="0" collapsed="false">
      <c r="F95" s="22" t="n">
        <f aca="false">IF($C95=0,0,$C95-$D95)</f>
        <v>0</v>
      </c>
    </row>
    <row r="96" customFormat="false" ht="15" hidden="false" customHeight="true" outlineLevel="0" collapsed="false">
      <c r="F96" s="22" t="n">
        <f aca="false">IF($C96=0,0,$C96-$D96)</f>
        <v>0</v>
      </c>
    </row>
    <row r="97" customFormat="false" ht="15" hidden="false" customHeight="true" outlineLevel="0" collapsed="false">
      <c r="F97" s="22" t="n">
        <f aca="false">IF($C97=0,0,$C97-$D97)</f>
        <v>0</v>
      </c>
    </row>
    <row r="98" customFormat="false" ht="15" hidden="false" customHeight="true" outlineLevel="0" collapsed="false">
      <c r="F98" s="22" t="n">
        <f aca="false">IF($C98=0,0,$C98-$D98)</f>
        <v>0</v>
      </c>
    </row>
    <row r="99" customFormat="false" ht="15" hidden="false" customHeight="true" outlineLevel="0" collapsed="false">
      <c r="F99" s="22" t="n">
        <f aca="false">IF($C99=0,0,$C99-$D99)</f>
        <v>0</v>
      </c>
    </row>
    <row r="100" customFormat="false" ht="15" hidden="false" customHeight="true" outlineLevel="0" collapsed="false">
      <c r="F100" s="22" t="n">
        <f aca="false">IF($C100=0,0,$C100-$D100)</f>
        <v>0</v>
      </c>
    </row>
    <row r="101" customFormat="false" ht="15" hidden="false" customHeight="true" outlineLevel="0" collapsed="false">
      <c r="F101" s="22" t="n">
        <f aca="false">IF($C101=0,0,$C101-$D101)</f>
        <v>0</v>
      </c>
    </row>
    <row r="102" customFormat="false" ht="15" hidden="false" customHeight="true" outlineLevel="0" collapsed="false">
      <c r="F102" s="22" t="n">
        <f aca="false">IF($C102=0,0,$C102-$D102)</f>
        <v>0</v>
      </c>
    </row>
    <row r="103" customFormat="false" ht="15" hidden="false" customHeight="true" outlineLevel="0" collapsed="false">
      <c r="F103" s="22" t="n">
        <f aca="false">IF($C103=0,0,$C103-$D103)</f>
        <v>0</v>
      </c>
    </row>
    <row r="104" customFormat="false" ht="15" hidden="false" customHeight="true" outlineLevel="0" collapsed="false">
      <c r="F104" s="22" t="n">
        <f aca="false">IF($C104=0,0,$C104-$D104)</f>
        <v>0</v>
      </c>
    </row>
    <row r="105" customFormat="false" ht="15" hidden="false" customHeight="true" outlineLevel="0" collapsed="false">
      <c r="F105" s="22" t="n">
        <f aca="false">IF($C105=0,0,$C105-$D105)</f>
        <v>0</v>
      </c>
    </row>
    <row r="106" customFormat="false" ht="15" hidden="false" customHeight="true" outlineLevel="0" collapsed="false">
      <c r="F106" s="22" t="n">
        <f aca="false">IF($C106=0,0,$C106-$D106)</f>
        <v>0</v>
      </c>
    </row>
    <row r="107" customFormat="false" ht="15" hidden="false" customHeight="true" outlineLevel="0" collapsed="false">
      <c r="F107" s="22" t="n">
        <f aca="false">IF($C107=0,0,$C107-$D107)</f>
        <v>0</v>
      </c>
    </row>
    <row r="108" customFormat="false" ht="15" hidden="false" customHeight="true" outlineLevel="0" collapsed="false">
      <c r="F108" s="22" t="n">
        <f aca="false">IF($C108=0,0,$C108-$D108)</f>
        <v>0</v>
      </c>
    </row>
    <row r="109" customFormat="false" ht="15" hidden="false" customHeight="true" outlineLevel="0" collapsed="false">
      <c r="F109" s="22" t="n">
        <f aca="false">IF($C109=0,0,$C109-$D109)</f>
        <v>0</v>
      </c>
    </row>
    <row r="110" customFormat="false" ht="15" hidden="false" customHeight="true" outlineLevel="0" collapsed="false">
      <c r="F110" s="22" t="n">
        <f aca="false">IF($C110=0,0,$C110-$D110)</f>
        <v>0</v>
      </c>
    </row>
    <row r="111" customFormat="false" ht="15" hidden="false" customHeight="true" outlineLevel="0" collapsed="false">
      <c r="F111" s="22" t="n">
        <f aca="false">IF($C111=0,0,$C111-$D111)</f>
        <v>0</v>
      </c>
    </row>
    <row r="112" customFormat="false" ht="15" hidden="false" customHeight="true" outlineLevel="0" collapsed="false">
      <c r="F112" s="22" t="n">
        <f aca="false">IF($C112=0,0,$C112-$D112)</f>
        <v>0</v>
      </c>
    </row>
    <row r="113" customFormat="false" ht="15" hidden="false" customHeight="true" outlineLevel="0" collapsed="false">
      <c r="F113" s="22" t="n">
        <f aca="false">IF($C113=0,0,$C113-$D113)</f>
        <v>0</v>
      </c>
    </row>
    <row r="114" customFormat="false" ht="15" hidden="false" customHeight="true" outlineLevel="0" collapsed="false">
      <c r="F114" s="22" t="n">
        <f aca="false">IF($C114=0,0,$C114-$D114)</f>
        <v>0</v>
      </c>
    </row>
    <row r="115" customFormat="false" ht="15" hidden="false" customHeight="true" outlineLevel="0" collapsed="false">
      <c r="F115" s="22" t="n">
        <f aca="false">IF($C115=0,0,$C115-$D115)</f>
        <v>0</v>
      </c>
    </row>
    <row r="116" customFormat="false" ht="15" hidden="false" customHeight="true" outlineLevel="0" collapsed="false">
      <c r="F116" s="22" t="n">
        <f aca="false">IF($C116=0,0,$C116-$D116)</f>
        <v>0</v>
      </c>
    </row>
    <row r="117" customFormat="false" ht="15" hidden="false" customHeight="true" outlineLevel="0" collapsed="false">
      <c r="F117" s="22" t="n">
        <f aca="false">IF($C117=0,0,$C117-$D117)</f>
        <v>0</v>
      </c>
    </row>
    <row r="118" customFormat="false" ht="15" hidden="false" customHeight="true" outlineLevel="0" collapsed="false">
      <c r="F118" s="22" t="n">
        <f aca="false">IF($C118=0,0,$C118-$D118)</f>
        <v>0</v>
      </c>
    </row>
    <row r="119" customFormat="false" ht="15" hidden="false" customHeight="true" outlineLevel="0" collapsed="false">
      <c r="F119" s="22" t="n">
        <f aca="false">IF($C119=0,0,$C119-$D119)</f>
        <v>0</v>
      </c>
    </row>
    <row r="120" customFormat="false" ht="15" hidden="false" customHeight="true" outlineLevel="0" collapsed="false">
      <c r="F120" s="22" t="n">
        <f aca="false">IF($C120=0,0,$C120-$D120)</f>
        <v>0</v>
      </c>
    </row>
    <row r="121" customFormat="false" ht="15" hidden="false" customHeight="true" outlineLevel="0" collapsed="false">
      <c r="F121" s="22" t="n">
        <f aca="false">IF($C121=0,0,$C121-$D121)</f>
        <v>0</v>
      </c>
    </row>
    <row r="122" customFormat="false" ht="15" hidden="false" customHeight="true" outlineLevel="0" collapsed="false">
      <c r="F122" s="22" t="n">
        <f aca="false">IF($C122=0,0,$C122-$D122)</f>
        <v>0</v>
      </c>
    </row>
    <row r="123" customFormat="false" ht="15" hidden="false" customHeight="true" outlineLevel="0" collapsed="false">
      <c r="F123" s="22" t="n">
        <f aca="false">IF($C123=0,0,$C123-$D123)</f>
        <v>0</v>
      </c>
    </row>
    <row r="124" customFormat="false" ht="15" hidden="false" customHeight="true" outlineLevel="0" collapsed="false">
      <c r="F124" s="22" t="n">
        <f aca="false">IF($C124=0,0,$C124-$D124)</f>
        <v>0</v>
      </c>
    </row>
    <row r="125" customFormat="false" ht="15" hidden="false" customHeight="true" outlineLevel="0" collapsed="false">
      <c r="F125" s="22" t="n">
        <f aca="false">IF($C125=0,0,$C125-$D125)</f>
        <v>0</v>
      </c>
    </row>
    <row r="126" customFormat="false" ht="15" hidden="false" customHeight="true" outlineLevel="0" collapsed="false">
      <c r="F126" s="22" t="n">
        <f aca="false">IF($C126=0,0,$C126-$D126)</f>
        <v>0</v>
      </c>
    </row>
    <row r="127" customFormat="false" ht="15" hidden="false" customHeight="true" outlineLevel="0" collapsed="false">
      <c r="F127" s="22" t="n">
        <f aca="false">IF($C127=0,0,$C127-$D127)</f>
        <v>0</v>
      </c>
    </row>
    <row r="128" customFormat="false" ht="15" hidden="false" customHeight="true" outlineLevel="0" collapsed="false">
      <c r="F128" s="22" t="n">
        <f aca="false">IF($C128=0,0,$C128-$D128)</f>
        <v>0</v>
      </c>
    </row>
    <row r="129" customFormat="false" ht="15" hidden="false" customHeight="true" outlineLevel="0" collapsed="false">
      <c r="F129" s="22" t="n">
        <f aca="false">IF($C129=0,0,$C129-$D129)</f>
        <v>0</v>
      </c>
    </row>
    <row r="130" customFormat="false" ht="15" hidden="false" customHeight="true" outlineLevel="0" collapsed="false">
      <c r="F130" s="22" t="n">
        <f aca="false">IF($C130=0,0,$C130-$D130)</f>
        <v>0</v>
      </c>
    </row>
    <row r="131" customFormat="false" ht="15" hidden="false" customHeight="true" outlineLevel="0" collapsed="false">
      <c r="F131" s="22" t="n">
        <f aca="false">IF($C131=0,0,$C131-$D131)</f>
        <v>0</v>
      </c>
    </row>
    <row r="132" customFormat="false" ht="15" hidden="false" customHeight="true" outlineLevel="0" collapsed="false">
      <c r="F132" s="22" t="n">
        <f aca="false">IF($C132=0,0,$C132-$D132)</f>
        <v>0</v>
      </c>
    </row>
    <row r="133" customFormat="false" ht="15" hidden="false" customHeight="true" outlineLevel="0" collapsed="false">
      <c r="F133" s="22" t="n">
        <f aca="false">IF($C133=0,0,$C133-$D133)</f>
        <v>0</v>
      </c>
    </row>
    <row r="134" customFormat="false" ht="15" hidden="false" customHeight="true" outlineLevel="0" collapsed="false">
      <c r="F134" s="22" t="n">
        <f aca="false">IF($C134=0,0,$C134-$D134)</f>
        <v>0</v>
      </c>
    </row>
    <row r="135" customFormat="false" ht="15" hidden="false" customHeight="true" outlineLevel="0" collapsed="false">
      <c r="F135" s="22" t="n">
        <f aca="false">IF($C135=0,0,$C135-$D135)</f>
        <v>0</v>
      </c>
    </row>
    <row r="136" customFormat="false" ht="15" hidden="false" customHeight="true" outlineLevel="0" collapsed="false">
      <c r="F136" s="22" t="n">
        <f aca="false">IF($C136=0,0,$C136-$D136)</f>
        <v>0</v>
      </c>
    </row>
    <row r="137" customFormat="false" ht="15" hidden="false" customHeight="true" outlineLevel="0" collapsed="false">
      <c r="F137" s="22" t="n">
        <f aca="false">IF($C137=0,0,$C137-$D137)</f>
        <v>0</v>
      </c>
    </row>
    <row r="138" customFormat="false" ht="15" hidden="false" customHeight="true" outlineLevel="0" collapsed="false">
      <c r="F138" s="22" t="n">
        <f aca="false">IF($C138=0,0,$C138-$D138)</f>
        <v>0</v>
      </c>
    </row>
    <row r="139" customFormat="false" ht="15" hidden="false" customHeight="true" outlineLevel="0" collapsed="false">
      <c r="F139" s="22" t="n">
        <f aca="false">IF($C139=0,0,$C139-$D139)</f>
        <v>0</v>
      </c>
    </row>
    <row r="140" customFormat="false" ht="15" hidden="false" customHeight="true" outlineLevel="0" collapsed="false">
      <c r="F140" s="22" t="n">
        <f aca="false">IF($C140=0,0,$C140-$D140)</f>
        <v>0</v>
      </c>
    </row>
    <row r="141" customFormat="false" ht="15" hidden="false" customHeight="true" outlineLevel="0" collapsed="false">
      <c r="F141" s="22" t="n">
        <f aca="false">IF($C141=0,0,$C141-$D141)</f>
        <v>0</v>
      </c>
    </row>
    <row r="142" customFormat="false" ht="15" hidden="false" customHeight="true" outlineLevel="0" collapsed="false">
      <c r="F142" s="22" t="n">
        <f aca="false">IF($C142=0,0,$C142-$D142)</f>
        <v>0</v>
      </c>
    </row>
    <row r="143" customFormat="false" ht="15" hidden="false" customHeight="true" outlineLevel="0" collapsed="false">
      <c r="F143" s="22" t="n">
        <f aca="false">IF($C143=0,0,$C143-$D143)</f>
        <v>0</v>
      </c>
    </row>
    <row r="144" customFormat="false" ht="15" hidden="false" customHeight="true" outlineLevel="0" collapsed="false">
      <c r="F144" s="22" t="n">
        <f aca="false">IF($C144=0,0,$C144-$D144)</f>
        <v>0</v>
      </c>
    </row>
    <row r="145" customFormat="false" ht="15" hidden="false" customHeight="true" outlineLevel="0" collapsed="false">
      <c r="F145" s="22" t="n">
        <f aca="false">IF($C145=0,0,$C145-$D145)</f>
        <v>0</v>
      </c>
    </row>
    <row r="146" customFormat="false" ht="15" hidden="false" customHeight="true" outlineLevel="0" collapsed="false">
      <c r="F146" s="22" t="n">
        <f aca="false">IF($C146=0,0,$C146-$D146)</f>
        <v>0</v>
      </c>
    </row>
    <row r="147" customFormat="false" ht="15" hidden="false" customHeight="true" outlineLevel="0" collapsed="false">
      <c r="F147" s="22" t="n">
        <f aca="false">IF($C147=0,0,$C147-$D147)</f>
        <v>0</v>
      </c>
    </row>
    <row r="148" customFormat="false" ht="15" hidden="false" customHeight="true" outlineLevel="0" collapsed="false">
      <c r="F148" s="22" t="n">
        <f aca="false">IF($C148=0,0,$C148-$D148)</f>
        <v>0</v>
      </c>
    </row>
    <row r="149" customFormat="false" ht="15" hidden="false" customHeight="true" outlineLevel="0" collapsed="false">
      <c r="F149" s="22" t="n">
        <f aca="false">IF($C149=0,0,$C149-$D149)</f>
        <v>0</v>
      </c>
    </row>
    <row r="150" customFormat="false" ht="15" hidden="false" customHeight="true" outlineLevel="0" collapsed="false">
      <c r="F150" s="22" t="n">
        <f aca="false">IF($C150=0,0,$C150-$D150)</f>
        <v>0</v>
      </c>
    </row>
    <row r="151" customFormat="false" ht="15" hidden="false" customHeight="true" outlineLevel="0" collapsed="false">
      <c r="F151" s="22" t="n">
        <f aca="false">IF($C151=0,0,$C151-$D151)</f>
        <v>0</v>
      </c>
    </row>
    <row r="152" customFormat="false" ht="15" hidden="false" customHeight="true" outlineLevel="0" collapsed="false">
      <c r="F152" s="22" t="n">
        <f aca="false">IF($C152=0,0,$C152-$D152)</f>
        <v>0</v>
      </c>
    </row>
    <row r="153" customFormat="false" ht="15" hidden="false" customHeight="true" outlineLevel="0" collapsed="false">
      <c r="F153" s="22" t="n">
        <f aca="false">IF($C153=0,0,$C153-$D153)</f>
        <v>0</v>
      </c>
    </row>
    <row r="154" customFormat="false" ht="15" hidden="false" customHeight="true" outlineLevel="0" collapsed="false">
      <c r="F154" s="22" t="n">
        <f aca="false">IF($C154=0,0,$C154-$D154)</f>
        <v>0</v>
      </c>
    </row>
    <row r="155" customFormat="false" ht="15" hidden="false" customHeight="true" outlineLevel="0" collapsed="false">
      <c r="F155" s="22" t="n">
        <f aca="false">IF($C155=0,0,$C155-$D155)</f>
        <v>0</v>
      </c>
    </row>
    <row r="156" customFormat="false" ht="15" hidden="false" customHeight="true" outlineLevel="0" collapsed="false">
      <c r="F156" s="22" t="n">
        <f aca="false">IF($C156=0,0,$C156-$D156)</f>
        <v>0</v>
      </c>
    </row>
    <row r="157" customFormat="false" ht="15" hidden="false" customHeight="true" outlineLevel="0" collapsed="false">
      <c r="F157" s="22" t="n">
        <f aca="false">IF($C157=0,0,$C157-$D157)</f>
        <v>0</v>
      </c>
    </row>
    <row r="158" customFormat="false" ht="15" hidden="false" customHeight="true" outlineLevel="0" collapsed="false">
      <c r="F158" s="22" t="n">
        <f aca="false">IF($C158=0,0,$C158-$D158)</f>
        <v>0</v>
      </c>
    </row>
    <row r="159" customFormat="false" ht="15" hidden="false" customHeight="true" outlineLevel="0" collapsed="false">
      <c r="F159" s="22" t="n">
        <f aca="false">IF($C159=0,0,$C159-$D159)</f>
        <v>0</v>
      </c>
    </row>
    <row r="160" customFormat="false" ht="15" hidden="false" customHeight="true" outlineLevel="0" collapsed="false">
      <c r="F160" s="22" t="n">
        <f aca="false">IF($C160=0,0,$C160-$D160)</f>
        <v>0</v>
      </c>
    </row>
    <row r="161" customFormat="false" ht="15" hidden="false" customHeight="true" outlineLevel="0" collapsed="false">
      <c r="F161" s="22" t="n">
        <f aca="false">IF($C161=0,0,$C161-$D161)</f>
        <v>0</v>
      </c>
    </row>
    <row r="162" customFormat="false" ht="15" hidden="false" customHeight="true" outlineLevel="0" collapsed="false">
      <c r="F162" s="22" t="n">
        <f aca="false">IF($C162=0,0,$C162-$D162)</f>
        <v>0</v>
      </c>
    </row>
    <row r="163" customFormat="false" ht="15" hidden="false" customHeight="true" outlineLevel="0" collapsed="false">
      <c r="F163" s="22" t="n">
        <f aca="false">IF($C163=0,0,$C163-$D163)</f>
        <v>0</v>
      </c>
    </row>
    <row r="164" customFormat="false" ht="15" hidden="false" customHeight="true" outlineLevel="0" collapsed="false">
      <c r="F164" s="22" t="n">
        <f aca="false">IF($C164=0,0,$C164-$D164)</f>
        <v>0</v>
      </c>
    </row>
    <row r="165" customFormat="false" ht="15" hidden="false" customHeight="true" outlineLevel="0" collapsed="false">
      <c r="F165" s="22" t="n">
        <f aca="false">IF($C165=0,0,$C165-$D165)</f>
        <v>0</v>
      </c>
    </row>
    <row r="166" customFormat="false" ht="15" hidden="false" customHeight="true" outlineLevel="0" collapsed="false">
      <c r="F166" s="22" t="n">
        <f aca="false">IF($C166=0,0,$C166-$D166)</f>
        <v>0</v>
      </c>
    </row>
    <row r="167" customFormat="false" ht="15" hidden="false" customHeight="true" outlineLevel="0" collapsed="false">
      <c r="F167" s="22" t="n">
        <f aca="false">IF($C167=0,0,$C167-$D167)</f>
        <v>0</v>
      </c>
    </row>
    <row r="168" customFormat="false" ht="15" hidden="false" customHeight="true" outlineLevel="0" collapsed="false">
      <c r="F168" s="22" t="n">
        <f aca="false">IF($C168=0,0,$C168-$D168)</f>
        <v>0</v>
      </c>
    </row>
    <row r="169" customFormat="false" ht="15" hidden="false" customHeight="true" outlineLevel="0" collapsed="false">
      <c r="F169" s="22" t="n">
        <f aca="false">IF($C169=0,0,$C169-$D169)</f>
        <v>0</v>
      </c>
    </row>
    <row r="170" customFormat="false" ht="15" hidden="false" customHeight="true" outlineLevel="0" collapsed="false">
      <c r="F170" s="22" t="n">
        <f aca="false">IF($C170=0,0,$C170-$D170)</f>
        <v>0</v>
      </c>
    </row>
    <row r="171" customFormat="false" ht="15" hidden="false" customHeight="true" outlineLevel="0" collapsed="false">
      <c r="F171" s="22" t="n">
        <f aca="false">IF($C171=0,0,$C171-$D171)</f>
        <v>0</v>
      </c>
    </row>
    <row r="172" customFormat="false" ht="15" hidden="false" customHeight="true" outlineLevel="0" collapsed="false">
      <c r="F172" s="22" t="n">
        <f aca="false">IF($C172=0,0,$C172-$D172)</f>
        <v>0</v>
      </c>
    </row>
    <row r="173" customFormat="false" ht="15" hidden="false" customHeight="true" outlineLevel="0" collapsed="false">
      <c r="F173" s="22" t="n">
        <f aca="false">IF($C173=0,0,$C173-$D173)</f>
        <v>0</v>
      </c>
    </row>
    <row r="174" customFormat="false" ht="15" hidden="false" customHeight="true" outlineLevel="0" collapsed="false">
      <c r="F174" s="22" t="n">
        <f aca="false">IF($C174=0,0,$C174-$D174)</f>
        <v>0</v>
      </c>
    </row>
    <row r="175" customFormat="false" ht="15" hidden="false" customHeight="true" outlineLevel="0" collapsed="false">
      <c r="F175" s="22" t="n">
        <f aca="false">IF($C175=0,0,$C175-$D175)</f>
        <v>0</v>
      </c>
    </row>
    <row r="176" customFormat="false" ht="15" hidden="false" customHeight="true" outlineLevel="0" collapsed="false">
      <c r="F176" s="22" t="n">
        <f aca="false">IF($C176=0,0,$C176-$D176)</f>
        <v>0</v>
      </c>
    </row>
    <row r="177" customFormat="false" ht="15" hidden="false" customHeight="true" outlineLevel="0" collapsed="false">
      <c r="F177" s="22" t="n">
        <f aca="false">IF($C177=0,0,$C177-$D177)</f>
        <v>0</v>
      </c>
    </row>
    <row r="178" customFormat="false" ht="15" hidden="false" customHeight="true" outlineLevel="0" collapsed="false">
      <c r="F178" s="22" t="n">
        <f aca="false">IF($C178=0,0,$C178-$D178)</f>
        <v>0</v>
      </c>
    </row>
    <row r="179" customFormat="false" ht="15" hidden="false" customHeight="true" outlineLevel="0" collapsed="false">
      <c r="F179" s="22" t="n">
        <f aca="false">IF($C179=0,0,$C179-$D179)</f>
        <v>0</v>
      </c>
    </row>
    <row r="180" customFormat="false" ht="15" hidden="false" customHeight="true" outlineLevel="0" collapsed="false">
      <c r="F180" s="22" t="n">
        <f aca="false">IF($C180=0,0,$C180-$D180)</f>
        <v>0</v>
      </c>
    </row>
    <row r="181" customFormat="false" ht="15" hidden="false" customHeight="true" outlineLevel="0" collapsed="false">
      <c r="F181" s="22" t="n">
        <f aca="false">IF($C181=0,0,$C181-$D181)</f>
        <v>0</v>
      </c>
    </row>
    <row r="182" customFormat="false" ht="15" hidden="false" customHeight="true" outlineLevel="0" collapsed="false">
      <c r="F182" s="22" t="n">
        <f aca="false">IF($C182=0,0,$C182-$D182)</f>
        <v>0</v>
      </c>
    </row>
    <row r="183" customFormat="false" ht="15" hidden="false" customHeight="true" outlineLevel="0" collapsed="false">
      <c r="F183" s="22" t="n">
        <f aca="false">IF($C183=0,0,$C183-$D183)</f>
        <v>0</v>
      </c>
    </row>
    <row r="184" customFormat="false" ht="15" hidden="false" customHeight="true" outlineLevel="0" collapsed="false">
      <c r="F184" s="22" t="n">
        <f aca="false">IF($C184=0,0,$C184-$D184)</f>
        <v>0</v>
      </c>
    </row>
    <row r="185" customFormat="false" ht="15" hidden="false" customHeight="true" outlineLevel="0" collapsed="false">
      <c r="F185" s="22" t="n">
        <f aca="false">IF($C185=0,0,$C185-$D185)</f>
        <v>0</v>
      </c>
    </row>
    <row r="186" customFormat="false" ht="15" hidden="false" customHeight="true" outlineLevel="0" collapsed="false">
      <c r="F186" s="22" t="n">
        <f aca="false">IF($C186=0,0,$C186-$D186)</f>
        <v>0</v>
      </c>
    </row>
    <row r="187" customFormat="false" ht="15" hidden="false" customHeight="true" outlineLevel="0" collapsed="false">
      <c r="F187" s="22" t="n">
        <f aca="false">IF($C187=0,0,$C187-$D187)</f>
        <v>0</v>
      </c>
    </row>
    <row r="188" customFormat="false" ht="15" hidden="false" customHeight="true" outlineLevel="0" collapsed="false">
      <c r="F188" s="22" t="n">
        <f aca="false">IF($C188=0,0,$C188-$D188)</f>
        <v>0</v>
      </c>
    </row>
    <row r="189" customFormat="false" ht="15" hidden="false" customHeight="true" outlineLevel="0" collapsed="false">
      <c r="F189" s="22" t="n">
        <f aca="false">IF($C189=0,0,$C189-$D189)</f>
        <v>0</v>
      </c>
    </row>
    <row r="190" customFormat="false" ht="15" hidden="false" customHeight="true" outlineLevel="0" collapsed="false">
      <c r="F190" s="22" t="n">
        <f aca="false">IF($C190=0,0,$C190-$D190)</f>
        <v>0</v>
      </c>
    </row>
    <row r="191" customFormat="false" ht="15" hidden="false" customHeight="true" outlineLevel="0" collapsed="false">
      <c r="F191" s="22" t="n">
        <f aca="false">IF($C191=0,0,$C191-$D191)</f>
        <v>0</v>
      </c>
    </row>
    <row r="192" customFormat="false" ht="15" hidden="false" customHeight="true" outlineLevel="0" collapsed="false">
      <c r="F192" s="22" t="n">
        <f aca="false">IF($C192=0,0,$C192-$D192)</f>
        <v>0</v>
      </c>
    </row>
    <row r="193" customFormat="false" ht="15" hidden="false" customHeight="true" outlineLevel="0" collapsed="false">
      <c r="F193" s="22" t="n">
        <f aca="false">IF($C193=0,0,$C193-$D193)</f>
        <v>0</v>
      </c>
    </row>
    <row r="194" customFormat="false" ht="15" hidden="false" customHeight="true" outlineLevel="0" collapsed="false">
      <c r="F194" s="22" t="n">
        <f aca="false">IF($C194=0,0,$C194-$D194)</f>
        <v>0</v>
      </c>
    </row>
    <row r="195" customFormat="false" ht="15" hidden="false" customHeight="true" outlineLevel="0" collapsed="false">
      <c r="F195" s="22" t="n">
        <f aca="false">IF($C195=0,0,$C195-$D195)</f>
        <v>0</v>
      </c>
    </row>
    <row r="196" customFormat="false" ht="15" hidden="false" customHeight="true" outlineLevel="0" collapsed="false">
      <c r="F196" s="22" t="n">
        <f aca="false">IF($C196=0,0,$C196-$D196)</f>
        <v>0</v>
      </c>
    </row>
    <row r="197" customFormat="false" ht="15" hidden="false" customHeight="true" outlineLevel="0" collapsed="false">
      <c r="F197" s="22" t="n">
        <f aca="false">IF($C197=0,0,$C197-$D197)</f>
        <v>0</v>
      </c>
    </row>
    <row r="198" customFormat="false" ht="15" hidden="false" customHeight="true" outlineLevel="0" collapsed="false">
      <c r="F198" s="22" t="n">
        <f aca="false">IF($C198=0,0,$C198-$D198)</f>
        <v>0</v>
      </c>
    </row>
    <row r="199" customFormat="false" ht="15" hidden="false" customHeight="true" outlineLevel="0" collapsed="false">
      <c r="F199" s="22" t="n">
        <f aca="false">IF($C199=0,0,$C199-$D199)</f>
        <v>0</v>
      </c>
    </row>
    <row r="200" customFormat="false" ht="15" hidden="false" customHeight="true" outlineLevel="0" collapsed="false">
      <c r="F200" s="22" t="n">
        <f aca="false">IF($C200=0,0,$C200-$D200)</f>
        <v>0</v>
      </c>
    </row>
    <row r="201" customFormat="false" ht="15" hidden="false" customHeight="true" outlineLevel="0" collapsed="false">
      <c r="F201" s="22" t="n">
        <f aca="false">IF($C201=0,0,$C201-$D201)</f>
        <v>0</v>
      </c>
    </row>
    <row r="202" customFormat="false" ht="15" hidden="false" customHeight="true" outlineLevel="0" collapsed="false">
      <c r="F202" s="22" t="n">
        <f aca="false">IF($C202=0,0,$C202-$D202)</f>
        <v>0</v>
      </c>
    </row>
    <row r="203" customFormat="false" ht="15" hidden="false" customHeight="true" outlineLevel="0" collapsed="false">
      <c r="F203" s="22" t="n">
        <f aca="false">IF($C203=0,0,$C203-$D203)</f>
        <v>0</v>
      </c>
    </row>
    <row r="204" customFormat="false" ht="15" hidden="false" customHeight="true" outlineLevel="0" collapsed="false">
      <c r="F204" s="22" t="n">
        <f aca="false">IF($C204=0,0,$C204-$D204)</f>
        <v>0</v>
      </c>
    </row>
    <row r="205" customFormat="false" ht="15" hidden="false" customHeight="true" outlineLevel="0" collapsed="false">
      <c r="F205" s="22" t="n">
        <f aca="false">IF($C205=0,0,$C205-$D205)</f>
        <v>0</v>
      </c>
    </row>
    <row r="206" customFormat="false" ht="15" hidden="false" customHeight="true" outlineLevel="0" collapsed="false">
      <c r="F206" s="22" t="n">
        <f aca="false">IF($C206=0,0,$C206-$D206)</f>
        <v>0</v>
      </c>
    </row>
    <row r="207" customFormat="false" ht="15" hidden="false" customHeight="true" outlineLevel="0" collapsed="false">
      <c r="F207" s="22" t="n">
        <f aca="false">IF($C207=0,0,$C207-$D207)</f>
        <v>0</v>
      </c>
    </row>
    <row r="208" customFormat="false" ht="15" hidden="false" customHeight="true" outlineLevel="0" collapsed="false">
      <c r="F208" s="22" t="n">
        <f aca="false">IF($C208=0,0,$C208-$D208)</f>
        <v>0</v>
      </c>
    </row>
    <row r="209" customFormat="false" ht="15" hidden="false" customHeight="true" outlineLevel="0" collapsed="false">
      <c r="F209" s="22" t="n">
        <f aca="false">IF($C209=0,0,$C209-$D209)</f>
        <v>0</v>
      </c>
    </row>
    <row r="210" customFormat="false" ht="15" hidden="false" customHeight="true" outlineLevel="0" collapsed="false">
      <c r="F210" s="22" t="n">
        <f aca="false">IF($C210=0,0,$C210-$D210)</f>
        <v>0</v>
      </c>
    </row>
    <row r="211" customFormat="false" ht="15" hidden="false" customHeight="true" outlineLevel="0" collapsed="false">
      <c r="F211" s="22" t="n">
        <f aca="false">IF($C211=0,0,$C211-$D211)</f>
        <v>0</v>
      </c>
    </row>
    <row r="212" customFormat="false" ht="15" hidden="false" customHeight="true" outlineLevel="0" collapsed="false">
      <c r="F212" s="22" t="n">
        <f aca="false">IF($C212=0,0,$C212-$D212)</f>
        <v>0</v>
      </c>
    </row>
    <row r="213" customFormat="false" ht="15" hidden="false" customHeight="true" outlineLevel="0" collapsed="false">
      <c r="F213" s="22" t="n">
        <f aca="false">IF($C213=0,0,$C213-$D213)</f>
        <v>0</v>
      </c>
    </row>
    <row r="214" customFormat="false" ht="15" hidden="false" customHeight="true" outlineLevel="0" collapsed="false">
      <c r="F214" s="22" t="n">
        <f aca="false">IF($C214=0,0,$C214-$D214)</f>
        <v>0</v>
      </c>
    </row>
    <row r="215" customFormat="false" ht="15" hidden="false" customHeight="true" outlineLevel="0" collapsed="false">
      <c r="F215" s="22" t="n">
        <f aca="false">IF($C215=0,0,$C215-$D215)</f>
        <v>0</v>
      </c>
    </row>
    <row r="216" customFormat="false" ht="15" hidden="false" customHeight="true" outlineLevel="0" collapsed="false">
      <c r="F216" s="22" t="n">
        <f aca="false">IF($C216=0,0,$C216-$D216)</f>
        <v>0</v>
      </c>
    </row>
    <row r="217" customFormat="false" ht="15" hidden="false" customHeight="true" outlineLevel="0" collapsed="false">
      <c r="F217" s="22" t="n">
        <f aca="false">IF($C217=0,0,$C217-$D217)</f>
        <v>0</v>
      </c>
    </row>
    <row r="218" customFormat="false" ht="15" hidden="false" customHeight="true" outlineLevel="0" collapsed="false">
      <c r="F218" s="22" t="n">
        <f aca="false">IF($C218=0,0,$C218-$D218)</f>
        <v>0</v>
      </c>
    </row>
    <row r="219" customFormat="false" ht="15" hidden="false" customHeight="true" outlineLevel="0" collapsed="false">
      <c r="F219" s="22" t="n">
        <f aca="false">IF($C219=0,0,$C219-$D219)</f>
        <v>0</v>
      </c>
    </row>
    <row r="220" customFormat="false" ht="15" hidden="false" customHeight="true" outlineLevel="0" collapsed="false">
      <c r="F220" s="22" t="n">
        <f aca="false">IF($C220=0,0,$C220-$D220)</f>
        <v>0</v>
      </c>
    </row>
    <row r="221" customFormat="false" ht="15" hidden="false" customHeight="true" outlineLevel="0" collapsed="false">
      <c r="F221" s="22" t="n">
        <f aca="false">IF($C221=0,0,$C221-$D221)</f>
        <v>0</v>
      </c>
    </row>
    <row r="222" customFormat="false" ht="15" hidden="false" customHeight="true" outlineLevel="0" collapsed="false">
      <c r="F222" s="22" t="n">
        <f aca="false">IF($C222=0,0,$C222-$D222)</f>
        <v>0</v>
      </c>
    </row>
    <row r="223" customFormat="false" ht="15" hidden="false" customHeight="true" outlineLevel="0" collapsed="false">
      <c r="F223" s="22" t="n">
        <f aca="false">IF($C223=0,0,$C223-$D223)</f>
        <v>0</v>
      </c>
    </row>
    <row r="224" customFormat="false" ht="15" hidden="false" customHeight="true" outlineLevel="0" collapsed="false">
      <c r="F224" s="22" t="n">
        <f aca="false">IF($C224=0,0,$C224-$D224)</f>
        <v>0</v>
      </c>
    </row>
    <row r="225" customFormat="false" ht="15" hidden="false" customHeight="true" outlineLevel="0" collapsed="false">
      <c r="F225" s="22" t="n">
        <f aca="false">IF($C225=0,0,$C225-$D225)</f>
        <v>0</v>
      </c>
    </row>
    <row r="226" customFormat="false" ht="15" hidden="false" customHeight="true" outlineLevel="0" collapsed="false">
      <c r="F226" s="22" t="n">
        <f aca="false">IF($C226=0,0,$C226-$D226)</f>
        <v>0</v>
      </c>
    </row>
    <row r="227" customFormat="false" ht="15" hidden="false" customHeight="true" outlineLevel="0" collapsed="false">
      <c r="F227" s="22" t="n">
        <f aca="false">IF($C227=0,0,$C227-$D227)</f>
        <v>0</v>
      </c>
    </row>
    <row r="228" customFormat="false" ht="15" hidden="false" customHeight="true" outlineLevel="0" collapsed="false">
      <c r="F228" s="22" t="n">
        <f aca="false">IF($C228=0,0,$C228-$D228)</f>
        <v>0</v>
      </c>
    </row>
    <row r="229" customFormat="false" ht="15" hidden="false" customHeight="true" outlineLevel="0" collapsed="false">
      <c r="F229" s="22" t="n">
        <f aca="false">IF($C229=0,0,$C229-$D229)</f>
        <v>0</v>
      </c>
    </row>
    <row r="230" customFormat="false" ht="15" hidden="false" customHeight="true" outlineLevel="0" collapsed="false">
      <c r="F230" s="22" t="n">
        <f aca="false">IF($C230=0,0,$C230-$D230)</f>
        <v>0</v>
      </c>
    </row>
    <row r="231" customFormat="false" ht="15" hidden="false" customHeight="true" outlineLevel="0" collapsed="false">
      <c r="F231" s="22" t="n">
        <f aca="false">IF($C231=0,0,$C231-$D231)</f>
        <v>0</v>
      </c>
    </row>
    <row r="232" customFormat="false" ht="15" hidden="false" customHeight="true" outlineLevel="0" collapsed="false">
      <c r="F232" s="22" t="n">
        <f aca="false">IF($C232=0,0,$C232-$D232)</f>
        <v>0</v>
      </c>
    </row>
    <row r="233" customFormat="false" ht="15" hidden="false" customHeight="true" outlineLevel="0" collapsed="false">
      <c r="F233" s="22" t="n">
        <f aca="false">IF($C233=0,0,$C233-$D233)</f>
        <v>0</v>
      </c>
    </row>
    <row r="234" customFormat="false" ht="15" hidden="false" customHeight="true" outlineLevel="0" collapsed="false">
      <c r="F234" s="22" t="n">
        <f aca="false">IF($C234=0,0,$C234-$D234)</f>
        <v>0</v>
      </c>
    </row>
    <row r="235" customFormat="false" ht="15" hidden="false" customHeight="true" outlineLevel="0" collapsed="false">
      <c r="F235" s="22" t="n">
        <f aca="false">IF($C235=0,0,$C235-$D235)</f>
        <v>0</v>
      </c>
    </row>
    <row r="236" customFormat="false" ht="15" hidden="false" customHeight="true" outlineLevel="0" collapsed="false">
      <c r="F236" s="22" t="n">
        <f aca="false">IF($C236=0,0,$C236-$D236)</f>
        <v>0</v>
      </c>
    </row>
    <row r="237" customFormat="false" ht="15" hidden="false" customHeight="true" outlineLevel="0" collapsed="false">
      <c r="F237" s="22" t="n">
        <f aca="false">IF($C237=0,0,$C237-$D237)</f>
        <v>0</v>
      </c>
    </row>
    <row r="238" customFormat="false" ht="15" hidden="false" customHeight="true" outlineLevel="0" collapsed="false">
      <c r="F238" s="22" t="n">
        <f aca="false">IF($C238=0,0,$C238-$D238)</f>
        <v>0</v>
      </c>
    </row>
    <row r="239" customFormat="false" ht="15" hidden="false" customHeight="true" outlineLevel="0" collapsed="false">
      <c r="F239" s="22" t="n">
        <f aca="false">IF($C239=0,0,$C239-$D239)</f>
        <v>0</v>
      </c>
    </row>
    <row r="240" customFormat="false" ht="15" hidden="false" customHeight="true" outlineLevel="0" collapsed="false">
      <c r="F240" s="22" t="n">
        <f aca="false">IF($C240=0,0,$C240-$D240)</f>
        <v>0</v>
      </c>
    </row>
    <row r="241" customFormat="false" ht="15" hidden="false" customHeight="true" outlineLevel="0" collapsed="false">
      <c r="F241" s="22" t="n">
        <f aca="false">IF($C241=0,0,$C241-$D241)</f>
        <v>0</v>
      </c>
    </row>
    <row r="242" customFormat="false" ht="15" hidden="false" customHeight="true" outlineLevel="0" collapsed="false">
      <c r="F242" s="22" t="n">
        <f aca="false">IF($C242=0,0,$C242-$D242)</f>
        <v>0</v>
      </c>
    </row>
    <row r="243" customFormat="false" ht="15" hidden="false" customHeight="true" outlineLevel="0" collapsed="false">
      <c r="F243" s="22" t="n">
        <f aca="false">IF($C243=0,0,$C243-$D243)</f>
        <v>0</v>
      </c>
    </row>
    <row r="244" customFormat="false" ht="15" hidden="false" customHeight="true" outlineLevel="0" collapsed="false">
      <c r="F244" s="22" t="n">
        <f aca="false">IF($C244=0,0,$C244-$D244)</f>
        <v>0</v>
      </c>
    </row>
    <row r="245" customFormat="false" ht="15" hidden="false" customHeight="true" outlineLevel="0" collapsed="false">
      <c r="F245" s="22" t="n">
        <f aca="false">IF($C245=0,0,$C245-$D245)</f>
        <v>0</v>
      </c>
    </row>
    <row r="246" customFormat="false" ht="15" hidden="false" customHeight="true" outlineLevel="0" collapsed="false">
      <c r="F246" s="22" t="n">
        <f aca="false">IF($C246=0,0,$C246-$D246)</f>
        <v>0</v>
      </c>
    </row>
    <row r="247" customFormat="false" ht="15" hidden="false" customHeight="true" outlineLevel="0" collapsed="false">
      <c r="F247" s="22" t="n">
        <f aca="false">IF($C247=0,0,$C247-$D247)</f>
        <v>0</v>
      </c>
    </row>
    <row r="248" customFormat="false" ht="15" hidden="false" customHeight="true" outlineLevel="0" collapsed="false">
      <c r="F248" s="22" t="n">
        <f aca="false">IF($C248=0,0,$C248-$D248)</f>
        <v>0</v>
      </c>
    </row>
    <row r="249" customFormat="false" ht="15" hidden="false" customHeight="true" outlineLevel="0" collapsed="false">
      <c r="F249" s="22" t="n">
        <f aca="false">IF($C249=0,0,$C249-$D249)</f>
        <v>0</v>
      </c>
    </row>
    <row r="250" customFormat="false" ht="15" hidden="false" customHeight="true" outlineLevel="0" collapsed="false">
      <c r="F250" s="22" t="n">
        <f aca="false">IF($C250=0,0,$C250-$D250)</f>
        <v>0</v>
      </c>
    </row>
    <row r="251" customFormat="false" ht="15" hidden="false" customHeight="true" outlineLevel="0" collapsed="false">
      <c r="F251" s="22" t="n">
        <f aca="false">IF($C251=0,0,$C251-$D251)</f>
        <v>0</v>
      </c>
    </row>
    <row r="252" customFormat="false" ht="15" hidden="false" customHeight="true" outlineLevel="0" collapsed="false">
      <c r="F252" s="22" t="n">
        <f aca="false">IF($C252=0,0,$C252-$D252)</f>
        <v>0</v>
      </c>
    </row>
    <row r="253" customFormat="false" ht="15" hidden="false" customHeight="true" outlineLevel="0" collapsed="false">
      <c r="F253" s="22" t="n">
        <f aca="false">IF($C253=0,0,$C253-$D253)</f>
        <v>0</v>
      </c>
    </row>
    <row r="254" customFormat="false" ht="15" hidden="false" customHeight="true" outlineLevel="0" collapsed="false">
      <c r="F254" s="22" t="n">
        <f aca="false">IF($C254=0,0,$C254-$D254)</f>
        <v>0</v>
      </c>
    </row>
    <row r="255" customFormat="false" ht="15" hidden="false" customHeight="true" outlineLevel="0" collapsed="false">
      <c r="F255" s="22" t="n">
        <f aca="false">IF($C255=0,0,$C255-$D255)</f>
        <v>0</v>
      </c>
    </row>
    <row r="256" customFormat="false" ht="15" hidden="false" customHeight="true" outlineLevel="0" collapsed="false">
      <c r="F256" s="22" t="n">
        <f aca="false">IF($C256=0,0,$C256-$D256)</f>
        <v>0</v>
      </c>
    </row>
    <row r="257" customFormat="false" ht="15" hidden="false" customHeight="true" outlineLevel="0" collapsed="false">
      <c r="F257" s="22" t="n">
        <f aca="false">IF($C257=0,0,$C257-$D257)</f>
        <v>0</v>
      </c>
    </row>
    <row r="258" customFormat="false" ht="15" hidden="false" customHeight="true" outlineLevel="0" collapsed="false">
      <c r="F258" s="22" t="n">
        <f aca="false">IF($C258=0,0,$C258-$D258)</f>
        <v>0</v>
      </c>
    </row>
    <row r="259" customFormat="false" ht="15" hidden="false" customHeight="true" outlineLevel="0" collapsed="false">
      <c r="F259" s="22" t="n">
        <f aca="false">IF($C259=0,0,$C259-$D259)</f>
        <v>0</v>
      </c>
    </row>
    <row r="260" customFormat="false" ht="15" hidden="false" customHeight="true" outlineLevel="0" collapsed="false">
      <c r="F260" s="22" t="n">
        <f aca="false">IF($C260=0,0,$C260-$D260)</f>
        <v>0</v>
      </c>
    </row>
    <row r="261" customFormat="false" ht="15" hidden="false" customHeight="true" outlineLevel="0" collapsed="false">
      <c r="F261" s="22" t="n">
        <f aca="false">IF($C261=0,0,$C261-$D261)</f>
        <v>0</v>
      </c>
    </row>
    <row r="262" customFormat="false" ht="15" hidden="false" customHeight="true" outlineLevel="0" collapsed="false">
      <c r="F262" s="22" t="n">
        <f aca="false">IF($C262=0,0,$C262-$D262)</f>
        <v>0</v>
      </c>
    </row>
    <row r="263" customFormat="false" ht="15" hidden="false" customHeight="true" outlineLevel="0" collapsed="false">
      <c r="F263" s="22" t="n">
        <f aca="false">IF($C263=0,0,$C263-$D263)</f>
        <v>0</v>
      </c>
    </row>
    <row r="264" customFormat="false" ht="15" hidden="false" customHeight="true" outlineLevel="0" collapsed="false">
      <c r="F264" s="22" t="n">
        <f aca="false">IF($C264=0,0,$C264-$D264)</f>
        <v>0</v>
      </c>
    </row>
    <row r="265" customFormat="false" ht="15" hidden="false" customHeight="true" outlineLevel="0" collapsed="false">
      <c r="F265" s="22" t="n">
        <f aca="false">IF($C265=0,0,$C265-$D265)</f>
        <v>0</v>
      </c>
    </row>
    <row r="266" customFormat="false" ht="15" hidden="false" customHeight="true" outlineLevel="0" collapsed="false">
      <c r="F266" s="22" t="n">
        <f aca="false">IF($C266=0,0,$C266-$D266)</f>
        <v>0</v>
      </c>
    </row>
    <row r="267" customFormat="false" ht="15" hidden="false" customHeight="true" outlineLevel="0" collapsed="false">
      <c r="F267" s="22" t="n">
        <f aca="false">IF($C267=0,0,$C267-$D267)</f>
        <v>0</v>
      </c>
    </row>
    <row r="268" customFormat="false" ht="15" hidden="false" customHeight="true" outlineLevel="0" collapsed="false">
      <c r="F268" s="22" t="n">
        <f aca="false">IF($C268=0,0,$C268-$D268)</f>
        <v>0</v>
      </c>
    </row>
    <row r="269" customFormat="false" ht="15" hidden="false" customHeight="true" outlineLevel="0" collapsed="false">
      <c r="F269" s="22" t="n">
        <f aca="false">IF($C269=0,0,$C269-$D269)</f>
        <v>0</v>
      </c>
    </row>
    <row r="270" customFormat="false" ht="15" hidden="false" customHeight="true" outlineLevel="0" collapsed="false">
      <c r="F270" s="22" t="n">
        <f aca="false">IF($C270=0,0,$C270-$D270)</f>
        <v>0</v>
      </c>
    </row>
    <row r="271" customFormat="false" ht="15" hidden="false" customHeight="true" outlineLevel="0" collapsed="false">
      <c r="F271" s="22" t="n">
        <f aca="false">IF($C271=0,0,$C271-$D271)</f>
        <v>0</v>
      </c>
    </row>
    <row r="272" customFormat="false" ht="15" hidden="false" customHeight="true" outlineLevel="0" collapsed="false">
      <c r="F272" s="22" t="n">
        <f aca="false">IF($C272=0,0,$C272-$D272)</f>
        <v>0</v>
      </c>
    </row>
    <row r="273" customFormat="false" ht="15" hidden="false" customHeight="true" outlineLevel="0" collapsed="false">
      <c r="F273" s="22" t="n">
        <f aca="false">IF($C273=0,0,$C273-$D273)</f>
        <v>0</v>
      </c>
    </row>
    <row r="274" customFormat="false" ht="15" hidden="false" customHeight="true" outlineLevel="0" collapsed="false">
      <c r="F274" s="22" t="n">
        <f aca="false">IF($C274=0,0,$C274-$D274)</f>
        <v>0</v>
      </c>
    </row>
    <row r="275" customFormat="false" ht="15" hidden="false" customHeight="true" outlineLevel="0" collapsed="false">
      <c r="F275" s="22" t="n">
        <f aca="false">IF($C275=0,0,$C275-$D275)</f>
        <v>0</v>
      </c>
    </row>
    <row r="276" customFormat="false" ht="15" hidden="false" customHeight="true" outlineLevel="0" collapsed="false">
      <c r="F276" s="22" t="n">
        <f aca="false">IF($C276=0,0,$C276-$D276)</f>
        <v>0</v>
      </c>
    </row>
    <row r="277" customFormat="false" ht="15" hidden="false" customHeight="true" outlineLevel="0" collapsed="false">
      <c r="F277" s="22" t="n">
        <f aca="false">IF($C277=0,0,$C277-$D277)</f>
        <v>0</v>
      </c>
    </row>
    <row r="278" customFormat="false" ht="15" hidden="false" customHeight="true" outlineLevel="0" collapsed="false">
      <c r="F278" s="22" t="n">
        <f aca="false">IF($C278=0,0,$C278-$D278)</f>
        <v>0</v>
      </c>
    </row>
    <row r="279" customFormat="false" ht="15" hidden="false" customHeight="true" outlineLevel="0" collapsed="false">
      <c r="F279" s="22" t="n">
        <f aca="false">IF($C279=0,0,$C279-$D279)</f>
        <v>0</v>
      </c>
    </row>
    <row r="280" customFormat="false" ht="15" hidden="false" customHeight="true" outlineLevel="0" collapsed="false">
      <c r="F280" s="22" t="n">
        <f aca="false">IF($C280=0,0,$C280-$D280)</f>
        <v>0</v>
      </c>
    </row>
    <row r="281" customFormat="false" ht="15" hidden="false" customHeight="true" outlineLevel="0" collapsed="false">
      <c r="F281" s="22" t="n">
        <f aca="false">IF($C281=0,0,$C281-$D281)</f>
        <v>0</v>
      </c>
    </row>
    <row r="282" customFormat="false" ht="15" hidden="false" customHeight="true" outlineLevel="0" collapsed="false">
      <c r="F282" s="22" t="n">
        <f aca="false">IF($C282=0,0,$C282-$D282)</f>
        <v>0</v>
      </c>
    </row>
    <row r="283" customFormat="false" ht="15" hidden="false" customHeight="true" outlineLevel="0" collapsed="false">
      <c r="F283" s="22" t="n">
        <f aca="false">IF($C283=0,0,$C283-$D283)</f>
        <v>0</v>
      </c>
    </row>
    <row r="284" customFormat="false" ht="15" hidden="false" customHeight="true" outlineLevel="0" collapsed="false">
      <c r="F284" s="22" t="n">
        <f aca="false">IF($C284=0,0,$C284-$D284)</f>
        <v>0</v>
      </c>
    </row>
    <row r="285" customFormat="false" ht="15" hidden="false" customHeight="true" outlineLevel="0" collapsed="false">
      <c r="F285" s="22" t="n">
        <f aca="false">IF($C285=0,0,$C285-$D285)</f>
        <v>0</v>
      </c>
    </row>
    <row r="286" customFormat="false" ht="15" hidden="false" customHeight="true" outlineLevel="0" collapsed="false">
      <c r="F286" s="22" t="n">
        <f aca="false">IF($C286=0,0,$C286-$D286)</f>
        <v>0</v>
      </c>
    </row>
    <row r="287" customFormat="false" ht="15" hidden="false" customHeight="true" outlineLevel="0" collapsed="false">
      <c r="F287" s="22" t="n">
        <f aca="false">IF($C287=0,0,$C287-$D287)</f>
        <v>0</v>
      </c>
    </row>
    <row r="288" customFormat="false" ht="15" hidden="false" customHeight="true" outlineLevel="0" collapsed="false">
      <c r="F288" s="22" t="n">
        <f aca="false">IF($C288=0,0,$C288-$D288)</f>
        <v>0</v>
      </c>
    </row>
    <row r="289" customFormat="false" ht="15" hidden="false" customHeight="true" outlineLevel="0" collapsed="false">
      <c r="F289" s="22" t="n">
        <f aca="false">IF($C289=0,0,$C289-$D289)</f>
        <v>0</v>
      </c>
    </row>
    <row r="290" customFormat="false" ht="15" hidden="false" customHeight="true" outlineLevel="0" collapsed="false">
      <c r="F290" s="22" t="n">
        <f aca="false">IF($C290=0,0,$C290-$D290)</f>
        <v>0</v>
      </c>
    </row>
    <row r="291" customFormat="false" ht="15" hidden="false" customHeight="true" outlineLevel="0" collapsed="false">
      <c r="F291" s="22" t="n">
        <f aca="false">IF($C291=0,0,$C291-$D291)</f>
        <v>0</v>
      </c>
    </row>
    <row r="292" customFormat="false" ht="15" hidden="false" customHeight="true" outlineLevel="0" collapsed="false">
      <c r="F292" s="22" t="n">
        <f aca="false">IF($C292=0,0,$C292-$D292)</f>
        <v>0</v>
      </c>
    </row>
    <row r="293" customFormat="false" ht="15" hidden="false" customHeight="true" outlineLevel="0" collapsed="false">
      <c r="F293" s="22" t="n">
        <f aca="false">IF($C293=0,0,$C293-$D293)</f>
        <v>0</v>
      </c>
    </row>
    <row r="294" customFormat="false" ht="15" hidden="false" customHeight="true" outlineLevel="0" collapsed="false">
      <c r="F294" s="22" t="n">
        <f aca="false">IF($C294=0,0,$C294-$D294)</f>
        <v>0</v>
      </c>
    </row>
    <row r="295" customFormat="false" ht="15" hidden="false" customHeight="true" outlineLevel="0" collapsed="false">
      <c r="F295" s="22" t="n">
        <f aca="false">IF($C295=0,0,$C295-$D295)</f>
        <v>0</v>
      </c>
    </row>
    <row r="296" customFormat="false" ht="15" hidden="false" customHeight="true" outlineLevel="0" collapsed="false">
      <c r="F296" s="22" t="n">
        <f aca="false">IF($C296=0,0,$C296-$D296)</f>
        <v>0</v>
      </c>
    </row>
    <row r="297" customFormat="false" ht="15" hidden="false" customHeight="true" outlineLevel="0" collapsed="false">
      <c r="F297" s="22" t="n">
        <f aca="false">IF($C297=0,0,$C297-$D297)</f>
        <v>0</v>
      </c>
    </row>
    <row r="298" customFormat="false" ht="15" hidden="false" customHeight="true" outlineLevel="0" collapsed="false">
      <c r="F298" s="22" t="n">
        <f aca="false">IF($C298=0,0,$C298-$D298)</f>
        <v>0</v>
      </c>
    </row>
    <row r="299" customFormat="false" ht="15" hidden="false" customHeight="true" outlineLevel="0" collapsed="false">
      <c r="F299" s="22" t="n">
        <f aca="false">IF($C299=0,0,$C299-$D299)</f>
        <v>0</v>
      </c>
    </row>
    <row r="300" customFormat="false" ht="15" hidden="false" customHeight="true" outlineLevel="0" collapsed="false">
      <c r="F300" s="22" t="n">
        <f aca="false">IF($C300=0,0,$C300-$D300)</f>
        <v>0</v>
      </c>
    </row>
    <row r="301" customFormat="false" ht="15" hidden="false" customHeight="true" outlineLevel="0" collapsed="false">
      <c r="F301" s="22" t="n">
        <f aca="false">IF($C301=0,0,$C301-$D301)</f>
        <v>0</v>
      </c>
    </row>
    <row r="302" customFormat="false" ht="15" hidden="false" customHeight="true" outlineLevel="0" collapsed="false">
      <c r="F302" s="22" t="n">
        <f aca="false">IF($C302=0,0,$C302-$D302)</f>
        <v>0</v>
      </c>
    </row>
    <row r="303" customFormat="false" ht="15" hidden="false" customHeight="true" outlineLevel="0" collapsed="false">
      <c r="F303" s="22" t="n">
        <f aca="false">IF($C303=0,0,$C303-$D303)</f>
        <v>0</v>
      </c>
    </row>
    <row r="304" customFormat="false" ht="15" hidden="false" customHeight="true" outlineLevel="0" collapsed="false">
      <c r="F304" s="22" t="n">
        <f aca="false">IF($C304=0,0,$C304-$D304)</f>
        <v>0</v>
      </c>
    </row>
    <row r="305" customFormat="false" ht="15" hidden="false" customHeight="true" outlineLevel="0" collapsed="false">
      <c r="F305" s="22" t="n">
        <f aca="false">IF($C305=0,0,$C305-$D305)</f>
        <v>0</v>
      </c>
    </row>
    <row r="306" customFormat="false" ht="15" hidden="false" customHeight="true" outlineLevel="0" collapsed="false">
      <c r="F306" s="22" t="n">
        <f aca="false">IF($C306=0,0,$C306-$D306)</f>
        <v>0</v>
      </c>
    </row>
    <row r="307" customFormat="false" ht="15" hidden="false" customHeight="true" outlineLevel="0" collapsed="false">
      <c r="F307" s="22" t="n">
        <f aca="false">IF($C307=0,0,$C307-$D307)</f>
        <v>0</v>
      </c>
    </row>
    <row r="308" customFormat="false" ht="15" hidden="false" customHeight="true" outlineLevel="0" collapsed="false">
      <c r="F308" s="22" t="n">
        <f aca="false">IF($C308=0,0,$C308-$D308)</f>
        <v>0</v>
      </c>
    </row>
    <row r="309" customFormat="false" ht="15" hidden="false" customHeight="true" outlineLevel="0" collapsed="false">
      <c r="F309" s="22" t="n">
        <f aca="false">IF($C309=0,0,$C309-$D309)</f>
        <v>0</v>
      </c>
    </row>
    <row r="310" customFormat="false" ht="15" hidden="false" customHeight="true" outlineLevel="0" collapsed="false">
      <c r="F310" s="22" t="n">
        <f aca="false">IF($C310=0,0,$C310-$D310)</f>
        <v>0</v>
      </c>
    </row>
    <row r="311" customFormat="false" ht="15" hidden="false" customHeight="true" outlineLevel="0" collapsed="false">
      <c r="F311" s="22" t="n">
        <f aca="false">IF($C311=0,0,$C311-$D311)</f>
        <v>0</v>
      </c>
    </row>
    <row r="312" customFormat="false" ht="15" hidden="false" customHeight="true" outlineLevel="0" collapsed="false">
      <c r="F312" s="22" t="n">
        <f aca="false">IF($C312=0,0,$C312-$D312)</f>
        <v>0</v>
      </c>
    </row>
    <row r="313" customFormat="false" ht="15" hidden="false" customHeight="true" outlineLevel="0" collapsed="false">
      <c r="F313" s="22" t="n">
        <f aca="false">IF($C313=0,0,$C313-$D313)</f>
        <v>0</v>
      </c>
    </row>
    <row r="314" customFormat="false" ht="15" hidden="false" customHeight="true" outlineLevel="0" collapsed="false">
      <c r="F314" s="22" t="n">
        <f aca="false">IF($C314=0,0,$C314-$D314)</f>
        <v>0</v>
      </c>
    </row>
    <row r="315" customFormat="false" ht="15" hidden="false" customHeight="true" outlineLevel="0" collapsed="false">
      <c r="F315" s="22" t="n">
        <f aca="false">IF($C315=0,0,$C315-$D315)</f>
        <v>0</v>
      </c>
    </row>
    <row r="316" customFormat="false" ht="15" hidden="false" customHeight="true" outlineLevel="0" collapsed="false">
      <c r="F316" s="22" t="n">
        <f aca="false">IF($C316=0,0,$C316-$D316)</f>
        <v>0</v>
      </c>
    </row>
    <row r="317" customFormat="false" ht="15" hidden="false" customHeight="true" outlineLevel="0" collapsed="false">
      <c r="F317" s="22" t="n">
        <f aca="false">IF($C317=0,0,$C317-$D317)</f>
        <v>0</v>
      </c>
    </row>
    <row r="318" customFormat="false" ht="15" hidden="false" customHeight="true" outlineLevel="0" collapsed="false">
      <c r="F318" s="22" t="n">
        <f aca="false">IF($C318=0,0,$C318-$D318)</f>
        <v>0</v>
      </c>
    </row>
    <row r="319" customFormat="false" ht="15" hidden="false" customHeight="true" outlineLevel="0" collapsed="false">
      <c r="F319" s="22" t="n">
        <f aca="false">IF($C319=0,0,$C319-$D319)</f>
        <v>0</v>
      </c>
    </row>
    <row r="320" customFormat="false" ht="15" hidden="false" customHeight="true" outlineLevel="0" collapsed="false">
      <c r="F320" s="22" t="n">
        <f aca="false">IF($C320=0,0,$C320-$D320)</f>
        <v>0</v>
      </c>
    </row>
    <row r="321" customFormat="false" ht="15" hidden="false" customHeight="true" outlineLevel="0" collapsed="false">
      <c r="F321" s="22" t="n">
        <f aca="false">IF($C321=0,0,$C321-$D321)</f>
        <v>0</v>
      </c>
    </row>
    <row r="322" customFormat="false" ht="15" hidden="false" customHeight="true" outlineLevel="0" collapsed="false">
      <c r="F322" s="22" t="n">
        <f aca="false">IF($C322=0,0,$C322-$D322)</f>
        <v>0</v>
      </c>
    </row>
    <row r="323" customFormat="false" ht="15" hidden="false" customHeight="true" outlineLevel="0" collapsed="false">
      <c r="F323" s="22" t="n">
        <f aca="false">IF($C323=0,0,$C323-$D323)</f>
        <v>0</v>
      </c>
    </row>
    <row r="324" customFormat="false" ht="15" hidden="false" customHeight="true" outlineLevel="0" collapsed="false">
      <c r="F324" s="22" t="n">
        <f aca="false">IF($C324=0,0,$C324-$D324)</f>
        <v>0</v>
      </c>
    </row>
    <row r="325" customFormat="false" ht="15" hidden="false" customHeight="true" outlineLevel="0" collapsed="false">
      <c r="F325" s="22" t="n">
        <f aca="false">IF($C325=0,0,$C325-$D325)</f>
        <v>0</v>
      </c>
    </row>
    <row r="326" customFormat="false" ht="15" hidden="false" customHeight="true" outlineLevel="0" collapsed="false">
      <c r="F326" s="22" t="n">
        <f aca="false">IF($C326=0,0,$C326-$D326)</f>
        <v>0</v>
      </c>
    </row>
    <row r="327" customFormat="false" ht="15" hidden="false" customHeight="true" outlineLevel="0" collapsed="false">
      <c r="F327" s="22" t="n">
        <f aca="false">IF($C327=0,0,$C327-$D327)</f>
        <v>0</v>
      </c>
    </row>
    <row r="328" customFormat="false" ht="15" hidden="false" customHeight="true" outlineLevel="0" collapsed="false">
      <c r="F328" s="22" t="n">
        <f aca="false">IF($C328=0,0,$C328-$D328)</f>
        <v>0</v>
      </c>
    </row>
    <row r="329" customFormat="false" ht="15" hidden="false" customHeight="true" outlineLevel="0" collapsed="false">
      <c r="F329" s="22" t="n">
        <f aca="false">IF($C329=0,0,$C329-$D329)</f>
        <v>0</v>
      </c>
    </row>
    <row r="330" customFormat="false" ht="15" hidden="false" customHeight="true" outlineLevel="0" collapsed="false">
      <c r="F330" s="22" t="n">
        <f aca="false">IF($C330=0,0,$C330-$D330)</f>
        <v>0</v>
      </c>
    </row>
    <row r="331" customFormat="false" ht="15" hidden="false" customHeight="true" outlineLevel="0" collapsed="false">
      <c r="F331" s="22" t="n">
        <f aca="false">IF($C331=0,0,$C331-$D331)</f>
        <v>0</v>
      </c>
    </row>
    <row r="332" customFormat="false" ht="15" hidden="false" customHeight="true" outlineLevel="0" collapsed="false">
      <c r="F332" s="22" t="n">
        <f aca="false">IF($C332=0,0,$C332-$D332)</f>
        <v>0</v>
      </c>
    </row>
    <row r="333" customFormat="false" ht="15" hidden="false" customHeight="true" outlineLevel="0" collapsed="false">
      <c r="F333" s="22" t="n">
        <f aca="false">IF($C333=0,0,$C333-$D333)</f>
        <v>0</v>
      </c>
    </row>
    <row r="334" customFormat="false" ht="15" hidden="false" customHeight="true" outlineLevel="0" collapsed="false">
      <c r="F334" s="22" t="n">
        <f aca="false">IF($C334=0,0,$C334-$D334)</f>
        <v>0</v>
      </c>
    </row>
    <row r="335" customFormat="false" ht="15" hidden="false" customHeight="true" outlineLevel="0" collapsed="false">
      <c r="F335" s="22" t="n">
        <f aca="false">IF($C335=0,0,$C335-$D335)</f>
        <v>0</v>
      </c>
    </row>
    <row r="336" customFormat="false" ht="15" hidden="false" customHeight="true" outlineLevel="0" collapsed="false">
      <c r="F336" s="22" t="n">
        <f aca="false">IF($C336=0,0,$C336-$D336)</f>
        <v>0</v>
      </c>
    </row>
    <row r="337" customFormat="false" ht="15" hidden="false" customHeight="true" outlineLevel="0" collapsed="false">
      <c r="F337" s="22" t="n">
        <f aca="false">IF($C337=0,0,$C337-$D337)</f>
        <v>0</v>
      </c>
    </row>
    <row r="338" customFormat="false" ht="15" hidden="false" customHeight="true" outlineLevel="0" collapsed="false">
      <c r="F338" s="22" t="n">
        <f aca="false">IF($C338=0,0,$C338-$D338)</f>
        <v>0</v>
      </c>
    </row>
    <row r="339" customFormat="false" ht="15" hidden="false" customHeight="true" outlineLevel="0" collapsed="false">
      <c r="F339" s="22" t="n">
        <f aca="false">IF($C339=0,0,$C339-$D339)</f>
        <v>0</v>
      </c>
    </row>
    <row r="340" customFormat="false" ht="15" hidden="false" customHeight="true" outlineLevel="0" collapsed="false">
      <c r="F340" s="22" t="n">
        <f aca="false">IF($C340=0,0,$C340-$D340)</f>
        <v>0</v>
      </c>
    </row>
    <row r="341" customFormat="false" ht="15" hidden="false" customHeight="true" outlineLevel="0" collapsed="false">
      <c r="F341" s="22" t="n">
        <f aca="false">IF($C341=0,0,$C341-$D341)</f>
        <v>0</v>
      </c>
    </row>
    <row r="342" customFormat="false" ht="15" hidden="false" customHeight="true" outlineLevel="0" collapsed="false">
      <c r="F342" s="22" t="n">
        <f aca="false">IF($C342=0,0,$C342-$D342)</f>
        <v>0</v>
      </c>
    </row>
    <row r="343" customFormat="false" ht="15" hidden="false" customHeight="true" outlineLevel="0" collapsed="false">
      <c r="F343" s="22" t="n">
        <f aca="false">IF($C343=0,0,$C343-$D343)</f>
        <v>0</v>
      </c>
    </row>
    <row r="344" customFormat="false" ht="15" hidden="false" customHeight="true" outlineLevel="0" collapsed="false">
      <c r="F344" s="22" t="n">
        <f aca="false">IF($C344=0,0,$C344-$D344)</f>
        <v>0</v>
      </c>
    </row>
    <row r="345" customFormat="false" ht="15" hidden="false" customHeight="true" outlineLevel="0" collapsed="false">
      <c r="F345" s="22" t="n">
        <f aca="false">IF($C345=0,0,$C345-$D345)</f>
        <v>0</v>
      </c>
    </row>
    <row r="346" customFormat="false" ht="15" hidden="false" customHeight="true" outlineLevel="0" collapsed="false">
      <c r="F346" s="22" t="n">
        <f aca="false">IF($C346=0,0,$C346-$D346)</f>
        <v>0</v>
      </c>
    </row>
    <row r="347" customFormat="false" ht="15" hidden="false" customHeight="true" outlineLevel="0" collapsed="false">
      <c r="F347" s="22" t="n">
        <f aca="false">IF($C347=0,0,$C347-$D347)</f>
        <v>0</v>
      </c>
    </row>
    <row r="348" customFormat="false" ht="15" hidden="false" customHeight="true" outlineLevel="0" collapsed="false">
      <c r="F348" s="22" t="n">
        <f aca="false">IF($C348=0,0,$C348-$D348)</f>
        <v>0</v>
      </c>
    </row>
    <row r="349" customFormat="false" ht="15" hidden="false" customHeight="true" outlineLevel="0" collapsed="false">
      <c r="F349" s="22" t="n">
        <f aca="false">IF($C349=0,0,$C349-$D349)</f>
        <v>0</v>
      </c>
    </row>
    <row r="350" customFormat="false" ht="15" hidden="false" customHeight="true" outlineLevel="0" collapsed="false">
      <c r="F350" s="22" t="n">
        <f aca="false">IF($C350=0,0,$C350-$D350)</f>
        <v>0</v>
      </c>
    </row>
    <row r="351" customFormat="false" ht="15" hidden="false" customHeight="true" outlineLevel="0" collapsed="false">
      <c r="F351" s="22" t="n">
        <f aca="false">IF($C351=0,0,$C351-$D351)</f>
        <v>0</v>
      </c>
    </row>
    <row r="352" customFormat="false" ht="15" hidden="false" customHeight="true" outlineLevel="0" collapsed="false">
      <c r="F352" s="22" t="n">
        <f aca="false">IF($C352=0,0,$C352-$D352)</f>
        <v>0</v>
      </c>
    </row>
    <row r="353" customFormat="false" ht="15" hidden="false" customHeight="true" outlineLevel="0" collapsed="false">
      <c r="F353" s="22" t="n">
        <f aca="false">IF($C353=0,0,$C353-$D353)</f>
        <v>0</v>
      </c>
    </row>
    <row r="354" customFormat="false" ht="15" hidden="false" customHeight="true" outlineLevel="0" collapsed="false">
      <c r="F354" s="22" t="n">
        <f aca="false">IF($C354=0,0,$C354-$D354)</f>
        <v>0</v>
      </c>
    </row>
    <row r="355" customFormat="false" ht="15" hidden="false" customHeight="true" outlineLevel="0" collapsed="false">
      <c r="F355" s="22" t="n">
        <f aca="false">IF($C355=0,0,$C355-$D355)</f>
        <v>0</v>
      </c>
    </row>
    <row r="356" customFormat="false" ht="15" hidden="false" customHeight="true" outlineLevel="0" collapsed="false">
      <c r="F356" s="22" t="n">
        <f aca="false">IF($C356=0,0,$C356-$D356)</f>
        <v>0</v>
      </c>
    </row>
    <row r="357" customFormat="false" ht="15" hidden="false" customHeight="true" outlineLevel="0" collapsed="false">
      <c r="F357" s="22" t="n">
        <f aca="false">IF($C357=0,0,$C357-$D357)</f>
        <v>0</v>
      </c>
    </row>
    <row r="358" customFormat="false" ht="15" hidden="false" customHeight="true" outlineLevel="0" collapsed="false">
      <c r="F358" s="22" t="n">
        <f aca="false">IF($C358=0,0,$C358-$D358)</f>
        <v>0</v>
      </c>
    </row>
    <row r="359" customFormat="false" ht="15" hidden="false" customHeight="true" outlineLevel="0" collapsed="false">
      <c r="F359" s="22" t="n">
        <f aca="false">IF($C359=0,0,$C359-$D359)</f>
        <v>0</v>
      </c>
    </row>
    <row r="360" customFormat="false" ht="15" hidden="false" customHeight="true" outlineLevel="0" collapsed="false">
      <c r="F360" s="22" t="n">
        <f aca="false">IF($C360=0,0,$C360-$D360)</f>
        <v>0</v>
      </c>
    </row>
    <row r="361" customFormat="false" ht="15" hidden="false" customHeight="true" outlineLevel="0" collapsed="false">
      <c r="F361" s="22" t="n">
        <f aca="false">IF($C361=0,0,$C361-$D361)</f>
        <v>0</v>
      </c>
    </row>
    <row r="362" customFormat="false" ht="15" hidden="false" customHeight="true" outlineLevel="0" collapsed="false">
      <c r="F362" s="22" t="n">
        <f aca="false">IF($C362=0,0,$C362-$D362)</f>
        <v>0</v>
      </c>
    </row>
    <row r="363" customFormat="false" ht="15" hidden="false" customHeight="true" outlineLevel="0" collapsed="false">
      <c r="F363" s="22" t="n">
        <f aca="false">IF($C363=0,0,$C363-$D363)</f>
        <v>0</v>
      </c>
    </row>
    <row r="364" customFormat="false" ht="15" hidden="false" customHeight="true" outlineLevel="0" collapsed="false">
      <c r="F364" s="22" t="n">
        <f aca="false">IF($C364=0,0,$C364-$D364)</f>
        <v>0</v>
      </c>
    </row>
    <row r="365" customFormat="false" ht="15" hidden="false" customHeight="true" outlineLevel="0" collapsed="false">
      <c r="F365" s="22" t="n">
        <f aca="false">IF($C365=0,0,$C365-$D365)</f>
        <v>0</v>
      </c>
    </row>
    <row r="366" customFormat="false" ht="15" hidden="false" customHeight="true" outlineLevel="0" collapsed="false">
      <c r="F366" s="22" t="n">
        <f aca="false">IF($C366=0,0,$C366-$D366)</f>
        <v>0</v>
      </c>
    </row>
    <row r="367" customFormat="false" ht="15" hidden="false" customHeight="true" outlineLevel="0" collapsed="false">
      <c r="F367" s="22" t="n">
        <f aca="false">IF($C367=0,0,$C367-$D367)</f>
        <v>0</v>
      </c>
    </row>
    <row r="368" customFormat="false" ht="15" hidden="false" customHeight="true" outlineLevel="0" collapsed="false">
      <c r="F368" s="22" t="n">
        <f aca="false">IF($C368=0,0,$C368-$D368)</f>
        <v>0</v>
      </c>
    </row>
    <row r="369" customFormat="false" ht="15" hidden="false" customHeight="true" outlineLevel="0" collapsed="false">
      <c r="F369" s="22" t="n">
        <f aca="false">IF($C369=0,0,$C369-$D369)</f>
        <v>0</v>
      </c>
    </row>
    <row r="370" customFormat="false" ht="15" hidden="false" customHeight="true" outlineLevel="0" collapsed="false">
      <c r="F370" s="22" t="n">
        <f aca="false">IF($C370=0,0,$C370-$D370)</f>
        <v>0</v>
      </c>
    </row>
    <row r="371" customFormat="false" ht="15" hidden="false" customHeight="true" outlineLevel="0" collapsed="false">
      <c r="F371" s="22" t="n">
        <f aca="false">IF($C371=0,0,$C371-$D371)</f>
        <v>0</v>
      </c>
    </row>
    <row r="372" customFormat="false" ht="15" hidden="false" customHeight="true" outlineLevel="0" collapsed="false">
      <c r="F372" s="22" t="n">
        <f aca="false">IF($C372=0,0,$C372-$D372)</f>
        <v>0</v>
      </c>
    </row>
    <row r="373" customFormat="false" ht="15" hidden="false" customHeight="true" outlineLevel="0" collapsed="false">
      <c r="F373" s="22" t="n">
        <f aca="false">IF($C373=0,0,$C373-$D373)</f>
        <v>0</v>
      </c>
    </row>
    <row r="374" customFormat="false" ht="15" hidden="false" customHeight="true" outlineLevel="0" collapsed="false">
      <c r="F374" s="22" t="n">
        <f aca="false">IF($C374=0,0,$C374-$D374)</f>
        <v>0</v>
      </c>
    </row>
    <row r="375" customFormat="false" ht="15" hidden="false" customHeight="true" outlineLevel="0" collapsed="false">
      <c r="F375" s="22" t="n">
        <f aca="false">IF($C375=0,0,$C375-$D375)</f>
        <v>0</v>
      </c>
    </row>
    <row r="376" customFormat="false" ht="15" hidden="false" customHeight="true" outlineLevel="0" collapsed="false">
      <c r="F376" s="22" t="n">
        <f aca="false">IF($C376=0,0,$C376-$D376)</f>
        <v>0</v>
      </c>
    </row>
    <row r="377" customFormat="false" ht="15" hidden="false" customHeight="true" outlineLevel="0" collapsed="false">
      <c r="F377" s="22" t="n">
        <f aca="false">IF($C377=0,0,$C377-$D377)</f>
        <v>0</v>
      </c>
    </row>
    <row r="378" customFormat="false" ht="15" hidden="false" customHeight="true" outlineLevel="0" collapsed="false">
      <c r="F378" s="22" t="n">
        <f aca="false">IF($C378=0,0,$C378-$D378)</f>
        <v>0</v>
      </c>
    </row>
    <row r="379" customFormat="false" ht="15" hidden="false" customHeight="true" outlineLevel="0" collapsed="false">
      <c r="F379" s="22" t="n">
        <f aca="false">IF($C379=0,0,$C379-$D379)</f>
        <v>0</v>
      </c>
    </row>
    <row r="380" customFormat="false" ht="15" hidden="false" customHeight="true" outlineLevel="0" collapsed="false">
      <c r="F380" s="22" t="n">
        <f aca="false">IF($C380=0,0,$C380-$D380)</f>
        <v>0</v>
      </c>
    </row>
    <row r="381" customFormat="false" ht="15" hidden="false" customHeight="true" outlineLevel="0" collapsed="false">
      <c r="F381" s="22" t="n">
        <f aca="false">IF($C381=0,0,$C381-$D381)</f>
        <v>0</v>
      </c>
    </row>
    <row r="382" customFormat="false" ht="15" hidden="false" customHeight="true" outlineLevel="0" collapsed="false">
      <c r="F382" s="22" t="n">
        <f aca="false">IF($C382=0,0,$C382-$D382)</f>
        <v>0</v>
      </c>
    </row>
    <row r="383" customFormat="false" ht="15" hidden="false" customHeight="true" outlineLevel="0" collapsed="false">
      <c r="F383" s="22" t="n">
        <f aca="false">IF($C383=0,0,$C383-$D383)</f>
        <v>0</v>
      </c>
    </row>
    <row r="384" customFormat="false" ht="15" hidden="false" customHeight="true" outlineLevel="0" collapsed="false">
      <c r="F384" s="22" t="n">
        <f aca="false">IF($C384=0,0,$C384-$D384)</f>
        <v>0</v>
      </c>
    </row>
    <row r="385" customFormat="false" ht="15" hidden="false" customHeight="true" outlineLevel="0" collapsed="false">
      <c r="F385" s="22" t="n">
        <f aca="false">IF($C385=0,0,$C385-$D385)</f>
        <v>0</v>
      </c>
    </row>
    <row r="386" customFormat="false" ht="15" hidden="false" customHeight="true" outlineLevel="0" collapsed="false">
      <c r="F386" s="22" t="n">
        <f aca="false">IF($C386=0,0,$C386-$D386)</f>
        <v>0</v>
      </c>
    </row>
    <row r="387" customFormat="false" ht="15" hidden="false" customHeight="true" outlineLevel="0" collapsed="false">
      <c r="F387" s="22" t="n">
        <f aca="false">IF($C387=0,0,$C387-$D387)</f>
        <v>0</v>
      </c>
    </row>
    <row r="388" customFormat="false" ht="15" hidden="false" customHeight="true" outlineLevel="0" collapsed="false">
      <c r="F388" s="22" t="n">
        <f aca="false">IF($C388=0,0,$C388-$D388)</f>
        <v>0</v>
      </c>
    </row>
    <row r="389" customFormat="false" ht="15" hidden="false" customHeight="true" outlineLevel="0" collapsed="false">
      <c r="F389" s="22" t="n">
        <f aca="false">IF($C389=0,0,$C389-$D389)</f>
        <v>0</v>
      </c>
    </row>
    <row r="390" customFormat="false" ht="15" hidden="false" customHeight="true" outlineLevel="0" collapsed="false">
      <c r="F390" s="22" t="n">
        <f aca="false">IF($C390=0,0,$C390-$D390)</f>
        <v>0</v>
      </c>
    </row>
    <row r="391" customFormat="false" ht="15" hidden="false" customHeight="true" outlineLevel="0" collapsed="false">
      <c r="F391" s="22" t="n">
        <f aca="false">IF($C391=0,0,$C391-$D391)</f>
        <v>0</v>
      </c>
    </row>
    <row r="392" customFormat="false" ht="15" hidden="false" customHeight="true" outlineLevel="0" collapsed="false">
      <c r="F392" s="22" t="n">
        <f aca="false">IF($C392=0,0,$C392-$D392)</f>
        <v>0</v>
      </c>
    </row>
    <row r="393" customFormat="false" ht="15" hidden="false" customHeight="true" outlineLevel="0" collapsed="false">
      <c r="F393" s="22" t="n">
        <f aca="false">IF($C393=0,0,$C393-$D393)</f>
        <v>0</v>
      </c>
    </row>
    <row r="394" customFormat="false" ht="15" hidden="false" customHeight="true" outlineLevel="0" collapsed="false">
      <c r="F394" s="22" t="n">
        <f aca="false">IF($C394=0,0,$C394-$D394)</f>
        <v>0</v>
      </c>
    </row>
    <row r="395" customFormat="false" ht="15" hidden="false" customHeight="true" outlineLevel="0" collapsed="false">
      <c r="F395" s="22" t="n">
        <f aca="false">IF($C395=0,0,$C395-$D395)</f>
        <v>0</v>
      </c>
    </row>
    <row r="396" customFormat="false" ht="15" hidden="false" customHeight="true" outlineLevel="0" collapsed="false">
      <c r="F396" s="22" t="n">
        <f aca="false">IF($C396=0,0,$C396-$D396)</f>
        <v>0</v>
      </c>
    </row>
    <row r="397" customFormat="false" ht="15" hidden="false" customHeight="true" outlineLevel="0" collapsed="false">
      <c r="F397" s="22" t="n">
        <f aca="false">IF($C397=0,0,$C397-$D397)</f>
        <v>0</v>
      </c>
    </row>
    <row r="398" customFormat="false" ht="15" hidden="false" customHeight="true" outlineLevel="0" collapsed="false">
      <c r="F398" s="22" t="n">
        <f aca="false">IF($C398=0,0,$C398-$D398)</f>
        <v>0</v>
      </c>
    </row>
    <row r="399" customFormat="false" ht="15" hidden="false" customHeight="true" outlineLevel="0" collapsed="false">
      <c r="F399" s="22" t="n">
        <f aca="false">IF($C399=0,0,$C399-$D399)</f>
        <v>0</v>
      </c>
    </row>
    <row r="400" customFormat="false" ht="15" hidden="false" customHeight="true" outlineLevel="0" collapsed="false">
      <c r="F400" s="22" t="n">
        <f aca="false">IF($C400=0,0,$C400-$D400)</f>
        <v>0</v>
      </c>
    </row>
    <row r="401" customFormat="false" ht="15" hidden="false" customHeight="true" outlineLevel="0" collapsed="false">
      <c r="F401" s="22" t="n">
        <f aca="false">IF($C401=0,0,$C401-$D401)</f>
        <v>0</v>
      </c>
    </row>
    <row r="402" customFormat="false" ht="15" hidden="false" customHeight="true" outlineLevel="0" collapsed="false">
      <c r="F402" s="22" t="n">
        <f aca="false">IF($C402=0,0,$C402-$D402)</f>
        <v>0</v>
      </c>
    </row>
    <row r="403" customFormat="false" ht="15" hidden="false" customHeight="true" outlineLevel="0" collapsed="false">
      <c r="F403" s="22" t="n">
        <f aca="false">IF($C403=0,0,$C403-$D403)</f>
        <v>0</v>
      </c>
    </row>
    <row r="404" customFormat="false" ht="15" hidden="false" customHeight="true" outlineLevel="0" collapsed="false">
      <c r="F404" s="22" t="n">
        <f aca="false">IF($C404=0,0,$C404-$D404)</f>
        <v>0</v>
      </c>
    </row>
    <row r="405" customFormat="false" ht="15" hidden="false" customHeight="true" outlineLevel="0" collapsed="false">
      <c r="F405" s="22" t="n">
        <f aca="false">IF($C405=0,0,$C405-$D405)</f>
        <v>0</v>
      </c>
    </row>
    <row r="406" customFormat="false" ht="15" hidden="false" customHeight="true" outlineLevel="0" collapsed="false">
      <c r="F406" s="22" t="n">
        <f aca="false">IF($C406=0,0,$C406-$D406)</f>
        <v>0</v>
      </c>
    </row>
    <row r="407" customFormat="false" ht="15" hidden="false" customHeight="true" outlineLevel="0" collapsed="false">
      <c r="F407" s="22" t="n">
        <f aca="false">IF($C407=0,0,$C407-$D407)</f>
        <v>0</v>
      </c>
    </row>
    <row r="408" customFormat="false" ht="15" hidden="false" customHeight="true" outlineLevel="0" collapsed="false">
      <c r="F408" s="22" t="n">
        <f aca="false">IF($C408=0,0,$C408-$D408)</f>
        <v>0</v>
      </c>
    </row>
    <row r="409" customFormat="false" ht="15" hidden="false" customHeight="true" outlineLevel="0" collapsed="false">
      <c r="F409" s="22" t="n">
        <f aca="false">IF($C409=0,0,$C409-$D409)</f>
        <v>0</v>
      </c>
    </row>
    <row r="410" customFormat="false" ht="15" hidden="false" customHeight="true" outlineLevel="0" collapsed="false">
      <c r="F410" s="22" t="n">
        <f aca="false">IF($C410=0,0,$C410-$D410)</f>
        <v>0</v>
      </c>
    </row>
    <row r="411" customFormat="false" ht="15" hidden="false" customHeight="true" outlineLevel="0" collapsed="false">
      <c r="F411" s="22" t="n">
        <f aca="false">IF($C411=0,0,$C411-$D411)</f>
        <v>0</v>
      </c>
    </row>
    <row r="412" customFormat="false" ht="15" hidden="false" customHeight="true" outlineLevel="0" collapsed="false">
      <c r="F412" s="22" t="n">
        <f aca="false">IF($C412=0,0,$C412-$D412)</f>
        <v>0</v>
      </c>
    </row>
    <row r="413" customFormat="false" ht="15" hidden="false" customHeight="true" outlineLevel="0" collapsed="false">
      <c r="F413" s="22" t="n">
        <f aca="false">IF($C413=0,0,$C413-$D413)</f>
        <v>0</v>
      </c>
    </row>
    <row r="414" customFormat="false" ht="15" hidden="false" customHeight="true" outlineLevel="0" collapsed="false">
      <c r="F414" s="22" t="n">
        <f aca="false">IF($C414=0,0,$C414-$D414)</f>
        <v>0</v>
      </c>
    </row>
    <row r="415" customFormat="false" ht="15" hidden="false" customHeight="true" outlineLevel="0" collapsed="false">
      <c r="F415" s="22" t="n">
        <f aca="false">IF($C415=0,0,$C415-$D415)</f>
        <v>0</v>
      </c>
    </row>
    <row r="416" customFormat="false" ht="15" hidden="false" customHeight="true" outlineLevel="0" collapsed="false">
      <c r="F416" s="22" t="n">
        <f aca="false">IF($C416=0,0,$C416-$D416)</f>
        <v>0</v>
      </c>
    </row>
    <row r="417" customFormat="false" ht="15" hidden="false" customHeight="true" outlineLevel="0" collapsed="false">
      <c r="F417" s="22" t="n">
        <f aca="false">IF($C417=0,0,$C417-$D417)</f>
        <v>0</v>
      </c>
    </row>
    <row r="418" customFormat="false" ht="15" hidden="false" customHeight="true" outlineLevel="0" collapsed="false">
      <c r="F418" s="22" t="n">
        <f aca="false">IF($C418=0,0,$C418-$D418)</f>
        <v>0</v>
      </c>
    </row>
    <row r="419" customFormat="false" ht="15" hidden="false" customHeight="true" outlineLevel="0" collapsed="false">
      <c r="F419" s="22" t="n">
        <f aca="false">IF($C419=0,0,$C419-$D419)</f>
        <v>0</v>
      </c>
    </row>
    <row r="420" customFormat="false" ht="15" hidden="false" customHeight="true" outlineLevel="0" collapsed="false">
      <c r="F420" s="22" t="n">
        <f aca="false">IF($C420=0,0,$C420-$D420)</f>
        <v>0</v>
      </c>
    </row>
    <row r="421" customFormat="false" ht="15" hidden="false" customHeight="true" outlineLevel="0" collapsed="false">
      <c r="F421" s="22" t="n">
        <f aca="false">IF($C421=0,0,$C421-$D421)</f>
        <v>0</v>
      </c>
    </row>
    <row r="422" customFormat="false" ht="15" hidden="false" customHeight="true" outlineLevel="0" collapsed="false">
      <c r="F422" s="22" t="n">
        <f aca="false">IF($C422=0,0,$C422-$D422)</f>
        <v>0</v>
      </c>
    </row>
    <row r="423" customFormat="false" ht="15" hidden="false" customHeight="true" outlineLevel="0" collapsed="false">
      <c r="F423" s="22" t="n">
        <f aca="false">IF($C423=0,0,$C423-$D423)</f>
        <v>0</v>
      </c>
    </row>
    <row r="424" customFormat="false" ht="15" hidden="false" customHeight="true" outlineLevel="0" collapsed="false">
      <c r="F424" s="22" t="n">
        <f aca="false">IF($C424=0,0,$C424-$D424)</f>
        <v>0</v>
      </c>
    </row>
    <row r="425" customFormat="false" ht="15" hidden="false" customHeight="true" outlineLevel="0" collapsed="false">
      <c r="F425" s="22" t="n">
        <f aca="false">IF($C425=0,0,$C425-$D425)</f>
        <v>0</v>
      </c>
    </row>
    <row r="426" customFormat="false" ht="15" hidden="false" customHeight="true" outlineLevel="0" collapsed="false">
      <c r="F426" s="22" t="n">
        <f aca="false">IF($C426=0,0,$C426-$D426)</f>
        <v>0</v>
      </c>
    </row>
    <row r="427" customFormat="false" ht="15" hidden="false" customHeight="true" outlineLevel="0" collapsed="false">
      <c r="F427" s="22" t="n">
        <f aca="false">IF($C427=0,0,$C427-$D427)</f>
        <v>0</v>
      </c>
    </row>
    <row r="428" customFormat="false" ht="15" hidden="false" customHeight="true" outlineLevel="0" collapsed="false">
      <c r="F428" s="22" t="n">
        <f aca="false">IF($C428=0,0,$C428-$D428)</f>
        <v>0</v>
      </c>
    </row>
    <row r="429" customFormat="false" ht="15" hidden="false" customHeight="true" outlineLevel="0" collapsed="false">
      <c r="F429" s="22" t="n">
        <f aca="false">IF($C429=0,0,$C429-$D429)</f>
        <v>0</v>
      </c>
    </row>
    <row r="430" customFormat="false" ht="15" hidden="false" customHeight="true" outlineLevel="0" collapsed="false">
      <c r="F430" s="22" t="n">
        <f aca="false">IF($C430=0,0,$C430-$D430)</f>
        <v>0</v>
      </c>
    </row>
    <row r="431" customFormat="false" ht="15" hidden="false" customHeight="true" outlineLevel="0" collapsed="false">
      <c r="F431" s="22" t="n">
        <f aca="false">IF($C431=0,0,$C431-$D431)</f>
        <v>0</v>
      </c>
    </row>
    <row r="432" customFormat="false" ht="15" hidden="false" customHeight="true" outlineLevel="0" collapsed="false">
      <c r="F432" s="22" t="n">
        <f aca="false">IF($C432=0,0,$C432-$D432)</f>
        <v>0</v>
      </c>
    </row>
    <row r="433" customFormat="false" ht="15" hidden="false" customHeight="true" outlineLevel="0" collapsed="false">
      <c r="F433" s="22" t="n">
        <f aca="false">IF($C433=0,0,$C433-$D433)</f>
        <v>0</v>
      </c>
    </row>
    <row r="434" customFormat="false" ht="15" hidden="false" customHeight="true" outlineLevel="0" collapsed="false">
      <c r="F434" s="22" t="n">
        <f aca="false">IF($C434=0,0,$C434-$D434)</f>
        <v>0</v>
      </c>
    </row>
    <row r="435" customFormat="false" ht="15" hidden="false" customHeight="true" outlineLevel="0" collapsed="false">
      <c r="F435" s="22" t="n">
        <f aca="false">IF($C435=0,0,$C435-$D435)</f>
        <v>0</v>
      </c>
    </row>
    <row r="436" customFormat="false" ht="15" hidden="false" customHeight="true" outlineLevel="0" collapsed="false">
      <c r="F436" s="22" t="n">
        <f aca="false">IF($C436=0,0,$C436-$D436)</f>
        <v>0</v>
      </c>
    </row>
    <row r="437" customFormat="false" ht="15" hidden="false" customHeight="true" outlineLevel="0" collapsed="false">
      <c r="F437" s="22" t="n">
        <f aca="false">IF($C437=0,0,$C437-$D437)</f>
        <v>0</v>
      </c>
    </row>
    <row r="438" customFormat="false" ht="15" hidden="false" customHeight="true" outlineLevel="0" collapsed="false">
      <c r="F438" s="22" t="n">
        <f aca="false">IF($C438=0,0,$C438-$D438)</f>
        <v>0</v>
      </c>
    </row>
    <row r="439" customFormat="false" ht="15" hidden="false" customHeight="true" outlineLevel="0" collapsed="false">
      <c r="F439" s="22" t="n">
        <f aca="false">IF($C439=0,0,$C439-$D439)</f>
        <v>0</v>
      </c>
    </row>
    <row r="440" customFormat="false" ht="15" hidden="false" customHeight="true" outlineLevel="0" collapsed="false">
      <c r="F440" s="22" t="n">
        <f aca="false">IF($C440=0,0,$C440-$D440)</f>
        <v>0</v>
      </c>
    </row>
    <row r="441" customFormat="false" ht="15" hidden="false" customHeight="true" outlineLevel="0" collapsed="false">
      <c r="F441" s="22" t="n">
        <f aca="false">IF($C441=0,0,$C441-$D441)</f>
        <v>0</v>
      </c>
    </row>
    <row r="442" customFormat="false" ht="15" hidden="false" customHeight="true" outlineLevel="0" collapsed="false">
      <c r="F442" s="22" t="n">
        <f aca="false">IF($C442=0,0,$C442-$D442)</f>
        <v>0</v>
      </c>
    </row>
    <row r="443" customFormat="false" ht="15" hidden="false" customHeight="true" outlineLevel="0" collapsed="false">
      <c r="F443" s="22" t="n">
        <f aca="false">IF($C443=0,0,$C443-$D443)</f>
        <v>0</v>
      </c>
    </row>
    <row r="444" customFormat="false" ht="15" hidden="false" customHeight="true" outlineLevel="0" collapsed="false">
      <c r="F444" s="22" t="n">
        <f aca="false">IF($C444=0,0,$C444-$D444)</f>
        <v>0</v>
      </c>
    </row>
    <row r="445" customFormat="false" ht="15" hidden="false" customHeight="true" outlineLevel="0" collapsed="false">
      <c r="F445" s="22" t="n">
        <f aca="false">IF($C445=0,0,$C445-$D445)</f>
        <v>0</v>
      </c>
    </row>
    <row r="446" customFormat="false" ht="15" hidden="false" customHeight="true" outlineLevel="0" collapsed="false">
      <c r="F446" s="22" t="n">
        <f aca="false">IF($C446=0,0,$C446-$D446)</f>
        <v>0</v>
      </c>
    </row>
    <row r="447" customFormat="false" ht="15" hidden="false" customHeight="true" outlineLevel="0" collapsed="false">
      <c r="F447" s="22" t="n">
        <f aca="false">IF($C447=0,0,$C447-$D447)</f>
        <v>0</v>
      </c>
    </row>
    <row r="448" customFormat="false" ht="15" hidden="false" customHeight="true" outlineLevel="0" collapsed="false">
      <c r="F448" s="22" t="n">
        <f aca="false">IF($C448=0,0,$C448-$D448)</f>
        <v>0</v>
      </c>
    </row>
    <row r="449" customFormat="false" ht="15" hidden="false" customHeight="true" outlineLevel="0" collapsed="false">
      <c r="F449" s="22" t="n">
        <f aca="false">IF($C449=0,0,$C449-$D449)</f>
        <v>0</v>
      </c>
    </row>
    <row r="450" customFormat="false" ht="15" hidden="false" customHeight="true" outlineLevel="0" collapsed="false">
      <c r="F450" s="22" t="n">
        <f aca="false">IF($C450=0,0,$C450-$D450)</f>
        <v>0</v>
      </c>
    </row>
    <row r="451" customFormat="false" ht="15" hidden="false" customHeight="true" outlineLevel="0" collapsed="false">
      <c r="F451" s="22" t="n">
        <f aca="false">IF($C451=0,0,$C451-$D451)</f>
        <v>0</v>
      </c>
    </row>
    <row r="452" customFormat="false" ht="15" hidden="false" customHeight="true" outlineLevel="0" collapsed="false">
      <c r="F452" s="22" t="n">
        <f aca="false">IF($C452=0,0,$C452-$D452)</f>
        <v>0</v>
      </c>
    </row>
    <row r="453" customFormat="false" ht="15" hidden="false" customHeight="true" outlineLevel="0" collapsed="false">
      <c r="F453" s="22" t="n">
        <f aca="false">IF($C453=0,0,$C453-$D453)</f>
        <v>0</v>
      </c>
    </row>
    <row r="454" customFormat="false" ht="15" hidden="false" customHeight="true" outlineLevel="0" collapsed="false">
      <c r="F454" s="22" t="n">
        <f aca="false">IF($C454=0,0,$C454-$D454)</f>
        <v>0</v>
      </c>
    </row>
    <row r="455" customFormat="false" ht="15" hidden="false" customHeight="true" outlineLevel="0" collapsed="false">
      <c r="F455" s="22" t="n">
        <f aca="false">IF($C455=0,0,$C455-$D455)</f>
        <v>0</v>
      </c>
    </row>
    <row r="456" customFormat="false" ht="15" hidden="false" customHeight="true" outlineLevel="0" collapsed="false">
      <c r="F456" s="22" t="n">
        <f aca="false">IF($C456=0,0,$C456-$D456)</f>
        <v>0</v>
      </c>
    </row>
    <row r="457" customFormat="false" ht="15" hidden="false" customHeight="true" outlineLevel="0" collapsed="false">
      <c r="F457" s="22" t="n">
        <f aca="false">IF($C457=0,0,$C457-$D457)</f>
        <v>0</v>
      </c>
    </row>
    <row r="458" customFormat="false" ht="15" hidden="false" customHeight="true" outlineLevel="0" collapsed="false">
      <c r="F458" s="22" t="n">
        <f aca="false">IF($C458=0,0,$C458-$D458)</f>
        <v>0</v>
      </c>
    </row>
    <row r="459" customFormat="false" ht="15" hidden="false" customHeight="true" outlineLevel="0" collapsed="false">
      <c r="F459" s="22" t="n">
        <f aca="false">IF($C459=0,0,$C459-$D459)</f>
        <v>0</v>
      </c>
    </row>
    <row r="460" customFormat="false" ht="15" hidden="false" customHeight="true" outlineLevel="0" collapsed="false">
      <c r="F460" s="22" t="n">
        <f aca="false">IF($C460=0,0,$C460-$D460)</f>
        <v>0</v>
      </c>
    </row>
    <row r="461" customFormat="false" ht="15" hidden="false" customHeight="true" outlineLevel="0" collapsed="false">
      <c r="F461" s="22" t="n">
        <f aca="false">IF($C461=0,0,$C461-$D461)</f>
        <v>0</v>
      </c>
    </row>
    <row r="462" customFormat="false" ht="15" hidden="false" customHeight="true" outlineLevel="0" collapsed="false">
      <c r="F462" s="22" t="n">
        <f aca="false">IF($C462=0,0,$C462-$D462)</f>
        <v>0</v>
      </c>
    </row>
    <row r="463" customFormat="false" ht="15" hidden="false" customHeight="true" outlineLevel="0" collapsed="false">
      <c r="F463" s="22" t="n">
        <f aca="false">IF($C463=0,0,$C463-$D463)</f>
        <v>0</v>
      </c>
    </row>
    <row r="464" customFormat="false" ht="15" hidden="false" customHeight="true" outlineLevel="0" collapsed="false">
      <c r="F464" s="22" t="n">
        <f aca="false">IF($C464=0,0,$C464-$D464)</f>
        <v>0</v>
      </c>
    </row>
    <row r="465" customFormat="false" ht="15" hidden="false" customHeight="true" outlineLevel="0" collapsed="false">
      <c r="F465" s="22" t="n">
        <f aca="false">IF($C465=0,0,$C465-$D465)</f>
        <v>0</v>
      </c>
    </row>
    <row r="466" customFormat="false" ht="15" hidden="false" customHeight="true" outlineLevel="0" collapsed="false">
      <c r="F466" s="22" t="n">
        <f aca="false">IF($C466=0,0,$C466-$D466)</f>
        <v>0</v>
      </c>
    </row>
    <row r="467" customFormat="false" ht="15" hidden="false" customHeight="true" outlineLevel="0" collapsed="false">
      <c r="F467" s="22" t="n">
        <f aca="false">IF($C467=0,0,$C467-$D467)</f>
        <v>0</v>
      </c>
    </row>
    <row r="468" customFormat="false" ht="15" hidden="false" customHeight="true" outlineLevel="0" collapsed="false">
      <c r="F468" s="22" t="n">
        <f aca="false">IF($C468=0,0,$C468-$D468)</f>
        <v>0</v>
      </c>
    </row>
    <row r="469" customFormat="false" ht="15" hidden="false" customHeight="true" outlineLevel="0" collapsed="false">
      <c r="F469" s="22" t="n">
        <f aca="false">IF($C469=0,0,$C469-$D469)</f>
        <v>0</v>
      </c>
    </row>
    <row r="470" customFormat="false" ht="15" hidden="false" customHeight="true" outlineLevel="0" collapsed="false">
      <c r="F470" s="22" t="n">
        <f aca="false">IF($C470=0,0,$C470-$D470)</f>
        <v>0</v>
      </c>
    </row>
    <row r="471" customFormat="false" ht="15" hidden="false" customHeight="true" outlineLevel="0" collapsed="false">
      <c r="F471" s="22" t="n">
        <f aca="false">IF($C471=0,0,$C471-$D471)</f>
        <v>0</v>
      </c>
    </row>
    <row r="472" customFormat="false" ht="15" hidden="false" customHeight="true" outlineLevel="0" collapsed="false">
      <c r="F472" s="22" t="n">
        <f aca="false">IF($C472=0,0,$C472-$D472)</f>
        <v>0</v>
      </c>
    </row>
    <row r="473" customFormat="false" ht="15" hidden="false" customHeight="true" outlineLevel="0" collapsed="false">
      <c r="F473" s="22" t="n">
        <f aca="false">IF($C473=0,0,$C473-$D473)</f>
        <v>0</v>
      </c>
    </row>
    <row r="474" customFormat="false" ht="15" hidden="false" customHeight="true" outlineLevel="0" collapsed="false">
      <c r="F474" s="22" t="n">
        <f aca="false">IF($C474=0,0,$C474-$D474)</f>
        <v>0</v>
      </c>
    </row>
    <row r="475" customFormat="false" ht="15" hidden="false" customHeight="true" outlineLevel="0" collapsed="false">
      <c r="F475" s="22" t="n">
        <f aca="false">IF($C475=0,0,$C475-$D475)</f>
        <v>0</v>
      </c>
    </row>
    <row r="476" customFormat="false" ht="15" hidden="false" customHeight="true" outlineLevel="0" collapsed="false">
      <c r="F476" s="22" t="n">
        <f aca="false">IF($C476=0,0,$C476-$D476)</f>
        <v>0</v>
      </c>
    </row>
    <row r="477" customFormat="false" ht="15" hidden="false" customHeight="true" outlineLevel="0" collapsed="false">
      <c r="F477" s="22" t="n">
        <f aca="false">IF($C477=0,0,$C477-$D477)</f>
        <v>0</v>
      </c>
    </row>
    <row r="478" customFormat="false" ht="15" hidden="false" customHeight="true" outlineLevel="0" collapsed="false">
      <c r="F478" s="22" t="n">
        <f aca="false">IF($C478=0,0,$C478-$D478)</f>
        <v>0</v>
      </c>
    </row>
    <row r="479" customFormat="false" ht="15" hidden="false" customHeight="true" outlineLevel="0" collapsed="false">
      <c r="F479" s="22" t="n">
        <f aca="false">IF($C479=0,0,$C479-$D479)</f>
        <v>0</v>
      </c>
    </row>
    <row r="480" customFormat="false" ht="15" hidden="false" customHeight="true" outlineLevel="0" collapsed="false">
      <c r="F480" s="22" t="n">
        <f aca="false">IF($C480=0,0,$C480-$D480)</f>
        <v>0</v>
      </c>
    </row>
    <row r="481" customFormat="false" ht="15" hidden="false" customHeight="true" outlineLevel="0" collapsed="false">
      <c r="F481" s="22" t="n">
        <f aca="false">IF($C481=0,0,$C481-$D481)</f>
        <v>0</v>
      </c>
    </row>
    <row r="482" customFormat="false" ht="15" hidden="false" customHeight="true" outlineLevel="0" collapsed="false">
      <c r="F482" s="22" t="n">
        <f aca="false">IF($C482=0,0,$C482-$D482)</f>
        <v>0</v>
      </c>
    </row>
    <row r="483" customFormat="false" ht="15" hidden="false" customHeight="true" outlineLevel="0" collapsed="false">
      <c r="F483" s="22" t="n">
        <f aca="false">IF($C483=0,0,$C483-$D483)</f>
        <v>0</v>
      </c>
    </row>
    <row r="484" customFormat="false" ht="15" hidden="false" customHeight="true" outlineLevel="0" collapsed="false">
      <c r="F484" s="22" t="n">
        <f aca="false">IF($C484=0,0,$C484-$D484)</f>
        <v>0</v>
      </c>
    </row>
    <row r="485" customFormat="false" ht="15" hidden="false" customHeight="true" outlineLevel="0" collapsed="false">
      <c r="F485" s="22" t="n">
        <f aca="false">IF($C485=0,0,$C485-$D485)</f>
        <v>0</v>
      </c>
    </row>
    <row r="486" customFormat="false" ht="15" hidden="false" customHeight="true" outlineLevel="0" collapsed="false">
      <c r="F486" s="22" t="n">
        <f aca="false">IF($C486=0,0,$C486-$D486)</f>
        <v>0</v>
      </c>
    </row>
    <row r="487" customFormat="false" ht="15" hidden="false" customHeight="true" outlineLevel="0" collapsed="false">
      <c r="F487" s="22" t="n">
        <f aca="false">IF($C487=0,0,$C487-$D487)</f>
        <v>0</v>
      </c>
    </row>
    <row r="488" customFormat="false" ht="15" hidden="false" customHeight="true" outlineLevel="0" collapsed="false">
      <c r="F488" s="22" t="n">
        <f aca="false">IF($C488=0,0,$C488-$D488)</f>
        <v>0</v>
      </c>
    </row>
    <row r="489" customFormat="false" ht="15" hidden="false" customHeight="true" outlineLevel="0" collapsed="false">
      <c r="F489" s="22" t="n">
        <f aca="false">IF($C489=0,0,$C489-$D489)</f>
        <v>0</v>
      </c>
    </row>
    <row r="490" customFormat="false" ht="15" hidden="false" customHeight="true" outlineLevel="0" collapsed="false">
      <c r="F490" s="22" t="n">
        <f aca="false">IF($C490=0,0,$C490-$D490)</f>
        <v>0</v>
      </c>
    </row>
    <row r="491" customFormat="false" ht="15" hidden="false" customHeight="true" outlineLevel="0" collapsed="false">
      <c r="F491" s="22" t="n">
        <f aca="false">IF($C491=0,0,$C491-$D491)</f>
        <v>0</v>
      </c>
    </row>
    <row r="492" customFormat="false" ht="15" hidden="false" customHeight="true" outlineLevel="0" collapsed="false">
      <c r="F492" s="22" t="n">
        <f aca="false">IF($C492=0,0,$C492-$D492)</f>
        <v>0</v>
      </c>
    </row>
    <row r="493" customFormat="false" ht="15" hidden="false" customHeight="true" outlineLevel="0" collapsed="false">
      <c r="F493" s="22" t="n">
        <f aca="false">IF($C493=0,0,$C493-$D493)</f>
        <v>0</v>
      </c>
    </row>
    <row r="494" customFormat="false" ht="15" hidden="false" customHeight="true" outlineLevel="0" collapsed="false">
      <c r="F494" s="22" t="n">
        <f aca="false">IF($C494=0,0,$C494-$D494)</f>
        <v>0</v>
      </c>
    </row>
    <row r="495" customFormat="false" ht="15" hidden="false" customHeight="true" outlineLevel="0" collapsed="false">
      <c r="F495" s="22" t="n">
        <f aca="false">IF($C495=0,0,$C495-$D495)</f>
        <v>0</v>
      </c>
    </row>
    <row r="496" customFormat="false" ht="15" hidden="false" customHeight="true" outlineLevel="0" collapsed="false">
      <c r="F496" s="22" t="n">
        <f aca="false">IF($C496=0,0,$C496-$D496)</f>
        <v>0</v>
      </c>
    </row>
    <row r="497" customFormat="false" ht="15" hidden="false" customHeight="true" outlineLevel="0" collapsed="false">
      <c r="F497" s="22" t="n">
        <f aca="false">IF($C497=0,0,$C497-$D497)</f>
        <v>0</v>
      </c>
    </row>
    <row r="498" customFormat="false" ht="15" hidden="false" customHeight="true" outlineLevel="0" collapsed="false">
      <c r="F498" s="22" t="n">
        <f aca="false">IF($C498=0,0,$C498-$D498)</f>
        <v>0</v>
      </c>
    </row>
    <row r="499" customFormat="false" ht="15" hidden="false" customHeight="true" outlineLevel="0" collapsed="false">
      <c r="F499" s="22" t="n">
        <f aca="false">IF($C499=0,0,$C499-$D499)</f>
        <v>0</v>
      </c>
    </row>
    <row r="500" customFormat="false" ht="15" hidden="false" customHeight="true" outlineLevel="0" collapsed="false">
      <c r="F500" s="22" t="n">
        <f aca="false">IF($C500=0,0,$C500-$D500)</f>
        <v>0</v>
      </c>
    </row>
    <row r="501" customFormat="false" ht="15" hidden="false" customHeight="true" outlineLevel="0" collapsed="false">
      <c r="F501" s="22" t="n">
        <f aca="false">IF($C501=0,0,$C501-$D501)</f>
        <v>0</v>
      </c>
    </row>
    <row r="502" customFormat="false" ht="15" hidden="false" customHeight="true" outlineLevel="0" collapsed="false">
      <c r="F502" s="22" t="n">
        <f aca="false">IF($C502=0,0,$C502-$D502)</f>
        <v>0</v>
      </c>
    </row>
    <row r="503" customFormat="false" ht="15" hidden="false" customHeight="true" outlineLevel="0" collapsed="false">
      <c r="F503" s="22" t="n">
        <f aca="false">IF($C503=0,0,$C503-$D503)</f>
        <v>0</v>
      </c>
    </row>
    <row r="504" customFormat="false" ht="15" hidden="false" customHeight="true" outlineLevel="0" collapsed="false">
      <c r="F504" s="22" t="n">
        <f aca="false">IF($C504=0,0,$C504-$D504)</f>
        <v>0</v>
      </c>
    </row>
    <row r="505" customFormat="false" ht="15" hidden="false" customHeight="true" outlineLevel="0" collapsed="false">
      <c r="F505" s="22" t="n">
        <f aca="false">IF($C505=0,0,$C505-$D505)</f>
        <v>0</v>
      </c>
    </row>
    <row r="506" customFormat="false" ht="15" hidden="false" customHeight="true" outlineLevel="0" collapsed="false">
      <c r="F506" s="22" t="n">
        <f aca="false">IF($C506=0,0,$C506-$D506)</f>
        <v>0</v>
      </c>
    </row>
    <row r="507" customFormat="false" ht="15" hidden="false" customHeight="true" outlineLevel="0" collapsed="false">
      <c r="F507" s="22" t="n">
        <f aca="false">IF($C507=0,0,$C507-$D507)</f>
        <v>0</v>
      </c>
    </row>
    <row r="508" customFormat="false" ht="15" hidden="false" customHeight="true" outlineLevel="0" collapsed="false">
      <c r="F508" s="22" t="n">
        <f aca="false">IF($C508=0,0,$C508-$D508)</f>
        <v>0</v>
      </c>
    </row>
    <row r="509" customFormat="false" ht="15" hidden="false" customHeight="true" outlineLevel="0" collapsed="false">
      <c r="F509" s="22" t="n">
        <f aca="false">IF($C509=0,0,$C509-$D509)</f>
        <v>0</v>
      </c>
    </row>
    <row r="510" customFormat="false" ht="15" hidden="false" customHeight="true" outlineLevel="0" collapsed="false">
      <c r="F510" s="22" t="n">
        <f aca="false">IF($C510=0,0,$C510-$D510)</f>
        <v>0</v>
      </c>
    </row>
    <row r="511" customFormat="false" ht="15" hidden="false" customHeight="true" outlineLevel="0" collapsed="false">
      <c r="F511" s="22" t="n">
        <f aca="false">IF($C511=0,0,$C511-$D511)</f>
        <v>0</v>
      </c>
    </row>
    <row r="512" customFormat="false" ht="15" hidden="false" customHeight="true" outlineLevel="0" collapsed="false">
      <c r="F512" s="22" t="n">
        <f aca="false">IF($C512=0,0,$C512-$D512)</f>
        <v>0</v>
      </c>
    </row>
    <row r="513" customFormat="false" ht="15" hidden="false" customHeight="true" outlineLevel="0" collapsed="false">
      <c r="F513" s="22" t="n">
        <f aca="false">IF($C513=0,0,$C513-$D513)</f>
        <v>0</v>
      </c>
    </row>
    <row r="514" customFormat="false" ht="15" hidden="false" customHeight="true" outlineLevel="0" collapsed="false">
      <c r="F514" s="22" t="n">
        <f aca="false">IF($C514=0,0,$C514-$D514)</f>
        <v>0</v>
      </c>
    </row>
    <row r="515" customFormat="false" ht="15" hidden="false" customHeight="true" outlineLevel="0" collapsed="false">
      <c r="F515" s="22" t="n">
        <f aca="false">IF($C515=0,0,$C515-$D515)</f>
        <v>0</v>
      </c>
    </row>
    <row r="516" customFormat="false" ht="15" hidden="false" customHeight="true" outlineLevel="0" collapsed="false">
      <c r="F516" s="22" t="n">
        <f aca="false">IF($C516=0,0,$C516-$D516)</f>
        <v>0</v>
      </c>
    </row>
    <row r="517" customFormat="false" ht="15" hidden="false" customHeight="true" outlineLevel="0" collapsed="false">
      <c r="F517" s="22" t="n">
        <f aca="false">IF($C517=0,0,$C517-$D517)</f>
        <v>0</v>
      </c>
    </row>
    <row r="518" customFormat="false" ht="15" hidden="false" customHeight="true" outlineLevel="0" collapsed="false">
      <c r="F518" s="22" t="n">
        <f aca="false">IF($C518=0,0,$C518-$D518)</f>
        <v>0</v>
      </c>
    </row>
    <row r="519" customFormat="false" ht="15" hidden="false" customHeight="true" outlineLevel="0" collapsed="false">
      <c r="F519" s="22" t="n">
        <f aca="false">IF($C519=0,0,$C519-$D519)</f>
        <v>0</v>
      </c>
    </row>
    <row r="520" customFormat="false" ht="15" hidden="false" customHeight="true" outlineLevel="0" collapsed="false">
      <c r="F520" s="22" t="n">
        <f aca="false">IF($C520=0,0,$C520-$D520)</f>
        <v>0</v>
      </c>
    </row>
    <row r="521" customFormat="false" ht="15" hidden="false" customHeight="true" outlineLevel="0" collapsed="false">
      <c r="F521" s="22" t="n">
        <f aca="false">IF($C521=0,0,$C521-$D521)</f>
        <v>0</v>
      </c>
    </row>
    <row r="522" customFormat="false" ht="15" hidden="false" customHeight="true" outlineLevel="0" collapsed="false">
      <c r="F522" s="22" t="n">
        <f aca="false">IF($C522=0,0,$C522-$D522)</f>
        <v>0</v>
      </c>
    </row>
    <row r="523" customFormat="false" ht="15" hidden="false" customHeight="true" outlineLevel="0" collapsed="false">
      <c r="F523" s="22" t="n">
        <f aca="false">IF($C523=0,0,$C523-$D523)</f>
        <v>0</v>
      </c>
    </row>
    <row r="524" customFormat="false" ht="15" hidden="false" customHeight="true" outlineLevel="0" collapsed="false">
      <c r="F524" s="22" t="n">
        <f aca="false">IF($C524=0,0,$C524-$D524)</f>
        <v>0</v>
      </c>
    </row>
    <row r="525" customFormat="false" ht="15" hidden="false" customHeight="true" outlineLevel="0" collapsed="false">
      <c r="F525" s="22" t="n">
        <f aca="false">IF($C525=0,0,$C525-$D525)</f>
        <v>0</v>
      </c>
    </row>
    <row r="526" customFormat="false" ht="15" hidden="false" customHeight="true" outlineLevel="0" collapsed="false">
      <c r="F526" s="22" t="n">
        <f aca="false">IF($C526=0,0,$C526-$D526)</f>
        <v>0</v>
      </c>
    </row>
    <row r="527" customFormat="false" ht="15" hidden="false" customHeight="true" outlineLevel="0" collapsed="false">
      <c r="F527" s="22" t="n">
        <f aca="false">IF($C527=0,0,$C527-$D527)</f>
        <v>0</v>
      </c>
    </row>
    <row r="528" customFormat="false" ht="15" hidden="false" customHeight="true" outlineLevel="0" collapsed="false">
      <c r="F528" s="22" t="n">
        <f aca="false">IF($C528=0,0,$C528-$D528)</f>
        <v>0</v>
      </c>
    </row>
    <row r="529" customFormat="false" ht="15" hidden="false" customHeight="true" outlineLevel="0" collapsed="false">
      <c r="F529" s="22" t="n">
        <f aca="false">IF($C529=0,0,$C529-$D529)</f>
        <v>0</v>
      </c>
    </row>
    <row r="530" customFormat="false" ht="15" hidden="false" customHeight="true" outlineLevel="0" collapsed="false">
      <c r="F530" s="22" t="n">
        <f aca="false">IF($C530=0,0,$C530-$D530)</f>
        <v>0</v>
      </c>
    </row>
    <row r="531" customFormat="false" ht="15" hidden="false" customHeight="true" outlineLevel="0" collapsed="false">
      <c r="F531" s="22" t="n">
        <f aca="false">IF($C531=0,0,$C531-$D531)</f>
        <v>0</v>
      </c>
    </row>
    <row r="532" customFormat="false" ht="15" hidden="false" customHeight="true" outlineLevel="0" collapsed="false">
      <c r="F532" s="22" t="n">
        <f aca="false">IF($C532=0,0,$C532-$D532)</f>
        <v>0</v>
      </c>
    </row>
    <row r="533" customFormat="false" ht="15" hidden="false" customHeight="true" outlineLevel="0" collapsed="false">
      <c r="F533" s="22" t="n">
        <f aca="false">IF($C533=0,0,$C533-$D533)</f>
        <v>0</v>
      </c>
    </row>
    <row r="534" customFormat="false" ht="15" hidden="false" customHeight="true" outlineLevel="0" collapsed="false">
      <c r="F534" s="22" t="n">
        <f aca="false">IF($C534=0,0,$C534-$D534)</f>
        <v>0</v>
      </c>
    </row>
    <row r="535" customFormat="false" ht="15" hidden="false" customHeight="true" outlineLevel="0" collapsed="false">
      <c r="F535" s="22" t="n">
        <f aca="false">IF($C535=0,0,$C535-$D535)</f>
        <v>0</v>
      </c>
    </row>
    <row r="536" customFormat="false" ht="15" hidden="false" customHeight="true" outlineLevel="0" collapsed="false">
      <c r="F536" s="22" t="n">
        <f aca="false">IF($C536=0,0,$C536-$D536)</f>
        <v>0</v>
      </c>
    </row>
    <row r="537" customFormat="false" ht="15" hidden="false" customHeight="true" outlineLevel="0" collapsed="false">
      <c r="F537" s="22" t="n">
        <f aca="false">IF($C537=0,0,$C537-$D537)</f>
        <v>0</v>
      </c>
    </row>
    <row r="538" customFormat="false" ht="15" hidden="false" customHeight="true" outlineLevel="0" collapsed="false">
      <c r="F538" s="22" t="n">
        <f aca="false">IF($C538=0,0,$C538-$D538)</f>
        <v>0</v>
      </c>
    </row>
    <row r="539" customFormat="false" ht="15" hidden="false" customHeight="true" outlineLevel="0" collapsed="false">
      <c r="F539" s="22" t="n">
        <f aca="false">IF($C539=0,0,$C539-$D539)</f>
        <v>0</v>
      </c>
    </row>
    <row r="540" customFormat="false" ht="15" hidden="false" customHeight="true" outlineLevel="0" collapsed="false">
      <c r="F540" s="22" t="n">
        <f aca="false">IF($C540=0,0,$C540-$D540)</f>
        <v>0</v>
      </c>
    </row>
    <row r="541" customFormat="false" ht="15" hidden="false" customHeight="true" outlineLevel="0" collapsed="false">
      <c r="F541" s="22" t="n">
        <f aca="false">IF($C541=0,0,$C541-$D541)</f>
        <v>0</v>
      </c>
    </row>
    <row r="542" customFormat="false" ht="15" hidden="false" customHeight="true" outlineLevel="0" collapsed="false">
      <c r="F542" s="22" t="n">
        <f aca="false">IF($C542=0,0,$C542-$D542)</f>
        <v>0</v>
      </c>
    </row>
    <row r="543" customFormat="false" ht="15" hidden="false" customHeight="true" outlineLevel="0" collapsed="false">
      <c r="F543" s="22" t="n">
        <f aca="false">IF($C543=0,0,$C543-$D543)</f>
        <v>0</v>
      </c>
    </row>
    <row r="544" customFormat="false" ht="15" hidden="false" customHeight="true" outlineLevel="0" collapsed="false">
      <c r="F544" s="22" t="n">
        <f aca="false">IF($C544=0,0,$C544-$D544)</f>
        <v>0</v>
      </c>
    </row>
    <row r="545" customFormat="false" ht="15" hidden="false" customHeight="true" outlineLevel="0" collapsed="false">
      <c r="F545" s="22" t="n">
        <f aca="false">IF($C545=0,0,$C545-$D545)</f>
        <v>0</v>
      </c>
    </row>
    <row r="546" customFormat="false" ht="15" hidden="false" customHeight="true" outlineLevel="0" collapsed="false">
      <c r="F546" s="22" t="n">
        <f aca="false">IF($C546=0,0,$C546-$D546)</f>
        <v>0</v>
      </c>
    </row>
    <row r="547" customFormat="false" ht="15" hidden="false" customHeight="true" outlineLevel="0" collapsed="false">
      <c r="F547" s="22" t="n">
        <f aca="false">IF($C547=0,0,$C547-$D547)</f>
        <v>0</v>
      </c>
    </row>
    <row r="548" customFormat="false" ht="15" hidden="false" customHeight="true" outlineLevel="0" collapsed="false">
      <c r="F548" s="22" t="n">
        <f aca="false">IF($C548=0,0,$C548-$D548)</f>
        <v>0</v>
      </c>
    </row>
    <row r="549" customFormat="false" ht="15" hidden="false" customHeight="true" outlineLevel="0" collapsed="false">
      <c r="F549" s="22" t="n">
        <f aca="false">IF($C549=0,0,$C549-$D549)</f>
        <v>0</v>
      </c>
    </row>
    <row r="550" customFormat="false" ht="15" hidden="false" customHeight="true" outlineLevel="0" collapsed="false">
      <c r="F550" s="22" t="n">
        <f aca="false">IF($C550=0,0,$C550-$D550)</f>
        <v>0</v>
      </c>
    </row>
    <row r="551" customFormat="false" ht="15" hidden="false" customHeight="true" outlineLevel="0" collapsed="false">
      <c r="F551" s="22" t="n">
        <f aca="false">IF($C551=0,0,$C551-$D551)</f>
        <v>0</v>
      </c>
    </row>
    <row r="552" customFormat="false" ht="15" hidden="false" customHeight="true" outlineLevel="0" collapsed="false">
      <c r="F552" s="22" t="n">
        <f aca="false">IF($C552=0,0,$C552-$D552)</f>
        <v>0</v>
      </c>
    </row>
    <row r="553" customFormat="false" ht="15" hidden="false" customHeight="true" outlineLevel="0" collapsed="false">
      <c r="F553" s="22" t="n">
        <f aca="false">IF($C553=0,0,$C553-$D553)</f>
        <v>0</v>
      </c>
    </row>
    <row r="554" customFormat="false" ht="15" hidden="false" customHeight="true" outlineLevel="0" collapsed="false">
      <c r="F554" s="22" t="n">
        <f aca="false">IF($C554=0,0,$C554-$D554)</f>
        <v>0</v>
      </c>
    </row>
    <row r="555" customFormat="false" ht="15" hidden="false" customHeight="true" outlineLevel="0" collapsed="false">
      <c r="F555" s="22" t="n">
        <f aca="false">IF($C555=0,0,$C555-$D555)</f>
        <v>0</v>
      </c>
    </row>
    <row r="556" customFormat="false" ht="15" hidden="false" customHeight="true" outlineLevel="0" collapsed="false">
      <c r="F556" s="22" t="n">
        <f aca="false">IF($C556=0,0,$C556-$D556)</f>
        <v>0</v>
      </c>
    </row>
    <row r="557" customFormat="false" ht="15" hidden="false" customHeight="true" outlineLevel="0" collapsed="false">
      <c r="F557" s="22" t="n">
        <f aca="false">IF($C557=0,0,$C557-$D557)</f>
        <v>0</v>
      </c>
    </row>
    <row r="558" customFormat="false" ht="15" hidden="false" customHeight="true" outlineLevel="0" collapsed="false">
      <c r="F558" s="22" t="n">
        <f aca="false">IF($C558=0,0,$C558-$D558)</f>
        <v>0</v>
      </c>
    </row>
    <row r="559" customFormat="false" ht="15" hidden="false" customHeight="true" outlineLevel="0" collapsed="false">
      <c r="F559" s="22" t="n">
        <f aca="false">IF($C559=0,0,$C559-$D559)</f>
        <v>0</v>
      </c>
    </row>
    <row r="560" customFormat="false" ht="15" hidden="false" customHeight="true" outlineLevel="0" collapsed="false">
      <c r="F560" s="22" t="n">
        <f aca="false">IF($C560=0,0,$C560-$D560)</f>
        <v>0</v>
      </c>
    </row>
    <row r="561" customFormat="false" ht="15" hidden="false" customHeight="true" outlineLevel="0" collapsed="false">
      <c r="F561" s="22" t="n">
        <f aca="false">IF($C561=0,0,$C561-$D561)</f>
        <v>0</v>
      </c>
    </row>
    <row r="562" customFormat="false" ht="15" hidden="false" customHeight="true" outlineLevel="0" collapsed="false">
      <c r="F562" s="22" t="n">
        <f aca="false">IF($C562=0,0,$C562-$D562)</f>
        <v>0</v>
      </c>
    </row>
    <row r="563" customFormat="false" ht="15" hidden="false" customHeight="true" outlineLevel="0" collapsed="false">
      <c r="F563" s="22" t="n">
        <f aca="false">IF($C563=0,0,$C563-$D563)</f>
        <v>0</v>
      </c>
    </row>
    <row r="564" customFormat="false" ht="15" hidden="false" customHeight="true" outlineLevel="0" collapsed="false">
      <c r="F564" s="22" t="n">
        <f aca="false">IF($C564=0,0,$C564-$D564)</f>
        <v>0</v>
      </c>
    </row>
    <row r="565" customFormat="false" ht="15" hidden="false" customHeight="true" outlineLevel="0" collapsed="false">
      <c r="F565" s="22" t="n">
        <f aca="false">IF($C565=0,0,$C565-$D565)</f>
        <v>0</v>
      </c>
    </row>
    <row r="566" customFormat="false" ht="15" hidden="false" customHeight="true" outlineLevel="0" collapsed="false">
      <c r="F566" s="22" t="n">
        <f aca="false">IF($C566=0,0,$C566-$D566)</f>
        <v>0</v>
      </c>
    </row>
    <row r="567" customFormat="false" ht="15" hidden="false" customHeight="true" outlineLevel="0" collapsed="false">
      <c r="F567" s="22" t="n">
        <f aca="false">IF($C567=0,0,$C567-$D567)</f>
        <v>0</v>
      </c>
    </row>
    <row r="568" customFormat="false" ht="15" hidden="false" customHeight="true" outlineLevel="0" collapsed="false">
      <c r="F568" s="22" t="n">
        <f aca="false">IF($C568=0,0,$C568-$D568)</f>
        <v>0</v>
      </c>
    </row>
    <row r="569" customFormat="false" ht="15" hidden="false" customHeight="true" outlineLevel="0" collapsed="false">
      <c r="F569" s="22" t="n">
        <f aca="false">IF($C569=0,0,$C569-$D569)</f>
        <v>0</v>
      </c>
    </row>
    <row r="570" customFormat="false" ht="15" hidden="false" customHeight="true" outlineLevel="0" collapsed="false">
      <c r="F570" s="22" t="n">
        <f aca="false">IF($C570=0,0,$C570-$D570)</f>
        <v>0</v>
      </c>
    </row>
    <row r="571" customFormat="false" ht="15" hidden="false" customHeight="true" outlineLevel="0" collapsed="false">
      <c r="F571" s="22" t="n">
        <f aca="false">IF($C571=0,0,$C571-$D571)</f>
        <v>0</v>
      </c>
    </row>
    <row r="572" customFormat="false" ht="15" hidden="false" customHeight="true" outlineLevel="0" collapsed="false">
      <c r="F572" s="22" t="n">
        <f aca="false">IF($C572=0,0,$C572-$D572)</f>
        <v>0</v>
      </c>
    </row>
    <row r="573" customFormat="false" ht="15" hidden="false" customHeight="true" outlineLevel="0" collapsed="false">
      <c r="F573" s="22" t="n">
        <f aca="false">IF($C573=0,0,$C573-$D573)</f>
        <v>0</v>
      </c>
    </row>
    <row r="574" customFormat="false" ht="15" hidden="false" customHeight="true" outlineLevel="0" collapsed="false">
      <c r="F574" s="22" t="n">
        <f aca="false">IF($C574=0,0,$C574-$D574)</f>
        <v>0</v>
      </c>
    </row>
    <row r="575" customFormat="false" ht="15" hidden="false" customHeight="true" outlineLevel="0" collapsed="false">
      <c r="F575" s="22" t="n">
        <f aca="false">IF($C575=0,0,$C575-$D575)</f>
        <v>0</v>
      </c>
    </row>
    <row r="576" customFormat="false" ht="15" hidden="false" customHeight="true" outlineLevel="0" collapsed="false">
      <c r="F576" s="22" t="n">
        <f aca="false">IF($C576=0,0,$C576-$D576)</f>
        <v>0</v>
      </c>
    </row>
    <row r="577" customFormat="false" ht="15" hidden="false" customHeight="true" outlineLevel="0" collapsed="false">
      <c r="F577" s="22" t="n">
        <f aca="false">IF($C577=0,0,$C577-$D577)</f>
        <v>0</v>
      </c>
    </row>
    <row r="578" customFormat="false" ht="15" hidden="false" customHeight="true" outlineLevel="0" collapsed="false">
      <c r="F578" s="22" t="n">
        <f aca="false">IF($C578=0,0,$C578-$D578)</f>
        <v>0</v>
      </c>
    </row>
    <row r="579" customFormat="false" ht="15" hidden="false" customHeight="true" outlineLevel="0" collapsed="false">
      <c r="F579" s="22" t="n">
        <f aca="false">IF($C579=0,0,$C579-$D579)</f>
        <v>0</v>
      </c>
    </row>
    <row r="580" customFormat="false" ht="15" hidden="false" customHeight="true" outlineLevel="0" collapsed="false">
      <c r="F580" s="22" t="n">
        <f aca="false">IF($C580=0,0,$C580-$D580)</f>
        <v>0</v>
      </c>
    </row>
    <row r="581" customFormat="false" ht="15" hidden="false" customHeight="true" outlineLevel="0" collapsed="false">
      <c r="F581" s="22" t="n">
        <f aca="false">IF($C581=0,0,$C581-$D581)</f>
        <v>0</v>
      </c>
    </row>
    <row r="582" customFormat="false" ht="15" hidden="false" customHeight="true" outlineLevel="0" collapsed="false">
      <c r="F582" s="22" t="n">
        <f aca="false">IF($C582=0,0,$C582-$D582)</f>
        <v>0</v>
      </c>
    </row>
    <row r="583" customFormat="false" ht="15" hidden="false" customHeight="true" outlineLevel="0" collapsed="false">
      <c r="F583" s="22" t="n">
        <f aca="false">IF($C583=0,0,$C583-$D583)</f>
        <v>0</v>
      </c>
    </row>
    <row r="584" customFormat="false" ht="15" hidden="false" customHeight="true" outlineLevel="0" collapsed="false">
      <c r="F584" s="22" t="n">
        <f aca="false">IF($C584=0,0,$C584-$D584)</f>
        <v>0</v>
      </c>
    </row>
    <row r="585" customFormat="false" ht="15" hidden="false" customHeight="true" outlineLevel="0" collapsed="false">
      <c r="F585" s="22" t="n">
        <f aca="false">IF($C585=0,0,$C585-$D585)</f>
        <v>0</v>
      </c>
    </row>
    <row r="586" customFormat="false" ht="15" hidden="false" customHeight="true" outlineLevel="0" collapsed="false">
      <c r="F586" s="22" t="n">
        <f aca="false">IF($C586=0,0,$C586-$D586)</f>
        <v>0</v>
      </c>
    </row>
    <row r="587" customFormat="false" ht="15" hidden="false" customHeight="true" outlineLevel="0" collapsed="false">
      <c r="F587" s="22" t="n">
        <f aca="false">IF($C587=0,0,$C587-$D587)</f>
        <v>0</v>
      </c>
    </row>
    <row r="588" customFormat="false" ht="15" hidden="false" customHeight="true" outlineLevel="0" collapsed="false">
      <c r="F588" s="22" t="n">
        <f aca="false">IF($C588=0,0,$C588-$D588)</f>
        <v>0</v>
      </c>
    </row>
    <row r="589" customFormat="false" ht="15" hidden="false" customHeight="true" outlineLevel="0" collapsed="false">
      <c r="F589" s="22" t="n">
        <f aca="false">IF($C589=0,0,$C589-$D589)</f>
        <v>0</v>
      </c>
    </row>
    <row r="590" customFormat="false" ht="15" hidden="false" customHeight="true" outlineLevel="0" collapsed="false">
      <c r="F590" s="22" t="n">
        <f aca="false">IF($C590=0,0,$C590-$D590)</f>
        <v>0</v>
      </c>
    </row>
    <row r="591" customFormat="false" ht="15" hidden="false" customHeight="true" outlineLevel="0" collapsed="false">
      <c r="F591" s="22" t="n">
        <f aca="false">IF($C591=0,0,$C591-$D591)</f>
        <v>0</v>
      </c>
    </row>
    <row r="592" customFormat="false" ht="15" hidden="false" customHeight="true" outlineLevel="0" collapsed="false">
      <c r="F592" s="22" t="n">
        <f aca="false">IF($C592=0,0,$C592-$D592)</f>
        <v>0</v>
      </c>
    </row>
    <row r="593" customFormat="false" ht="15" hidden="false" customHeight="true" outlineLevel="0" collapsed="false">
      <c r="F593" s="22" t="n">
        <f aca="false">IF($C593=0,0,$C593-$D593)</f>
        <v>0</v>
      </c>
    </row>
    <row r="594" customFormat="false" ht="15" hidden="false" customHeight="true" outlineLevel="0" collapsed="false">
      <c r="F594" s="22" t="n">
        <f aca="false">IF($C594=0,0,$C594-$D594)</f>
        <v>0</v>
      </c>
    </row>
    <row r="595" customFormat="false" ht="15" hidden="false" customHeight="true" outlineLevel="0" collapsed="false">
      <c r="F595" s="22" t="n">
        <f aca="false">IF($C595=0,0,$C595-$D595)</f>
        <v>0</v>
      </c>
    </row>
    <row r="596" customFormat="false" ht="15" hidden="false" customHeight="true" outlineLevel="0" collapsed="false">
      <c r="F596" s="22" t="n">
        <f aca="false">IF($C596=0,0,$C596-$D596)</f>
        <v>0</v>
      </c>
    </row>
    <row r="597" customFormat="false" ht="15" hidden="false" customHeight="true" outlineLevel="0" collapsed="false">
      <c r="F597" s="22" t="n">
        <f aca="false">IF($C597=0,0,$C597-$D597)</f>
        <v>0</v>
      </c>
    </row>
    <row r="598" customFormat="false" ht="15" hidden="false" customHeight="true" outlineLevel="0" collapsed="false">
      <c r="F598" s="22" t="n">
        <f aca="false">IF($C598=0,0,$C598-$D598)</f>
        <v>0</v>
      </c>
    </row>
    <row r="599" customFormat="false" ht="15" hidden="false" customHeight="true" outlineLevel="0" collapsed="false">
      <c r="F599" s="22" t="n">
        <f aca="false">IF($C599=0,0,$C599-$D599)</f>
        <v>0</v>
      </c>
    </row>
    <row r="600" customFormat="false" ht="15" hidden="false" customHeight="true" outlineLevel="0" collapsed="false">
      <c r="F600" s="22" t="n">
        <f aca="false">IF($C600=0,0,$C600-$D600)</f>
        <v>0</v>
      </c>
    </row>
    <row r="601" customFormat="false" ht="15" hidden="false" customHeight="true" outlineLevel="0" collapsed="false">
      <c r="F601" s="22" t="n">
        <f aca="false">IF($C601=0,0,$C601-$D601)</f>
        <v>0</v>
      </c>
    </row>
    <row r="602" customFormat="false" ht="15" hidden="false" customHeight="true" outlineLevel="0" collapsed="false">
      <c r="F602" s="22" t="n">
        <f aca="false">IF($C602=0,0,$C602-$D602)</f>
        <v>0</v>
      </c>
    </row>
    <row r="603" customFormat="false" ht="15" hidden="false" customHeight="true" outlineLevel="0" collapsed="false">
      <c r="F603" s="22" t="n">
        <f aca="false">IF($C603=0,0,$C603-$D603)</f>
        <v>0</v>
      </c>
    </row>
    <row r="604" customFormat="false" ht="15" hidden="false" customHeight="true" outlineLevel="0" collapsed="false">
      <c r="F604" s="22" t="n">
        <f aca="false">IF($C604=0,0,$C604-$D604)</f>
        <v>0</v>
      </c>
    </row>
    <row r="605" customFormat="false" ht="15" hidden="false" customHeight="true" outlineLevel="0" collapsed="false">
      <c r="F605" s="22" t="n">
        <f aca="false">IF($C605=0,0,$C605-$D605)</f>
        <v>0</v>
      </c>
    </row>
    <row r="606" customFormat="false" ht="15" hidden="false" customHeight="true" outlineLevel="0" collapsed="false">
      <c r="F606" s="22" t="n">
        <f aca="false">IF($C606=0,0,$C606-$D606)</f>
        <v>0</v>
      </c>
    </row>
    <row r="607" customFormat="false" ht="15" hidden="false" customHeight="true" outlineLevel="0" collapsed="false">
      <c r="F607" s="22" t="n">
        <f aca="false">IF($C607=0,0,$C607-$D607)</f>
        <v>0</v>
      </c>
    </row>
    <row r="608" customFormat="false" ht="15" hidden="false" customHeight="true" outlineLevel="0" collapsed="false">
      <c r="F608" s="22" t="n">
        <f aca="false">IF($C608=0,0,$C608-$D608)</f>
        <v>0</v>
      </c>
    </row>
    <row r="609" customFormat="false" ht="15" hidden="false" customHeight="true" outlineLevel="0" collapsed="false">
      <c r="F609" s="22" t="n">
        <f aca="false">IF($C609=0,0,$C609-$D609)</f>
        <v>0</v>
      </c>
    </row>
    <row r="610" customFormat="false" ht="15" hidden="false" customHeight="true" outlineLevel="0" collapsed="false">
      <c r="F610" s="22" t="n">
        <f aca="false">IF($C610=0,0,$C610-$D610)</f>
        <v>0</v>
      </c>
    </row>
    <row r="611" customFormat="false" ht="15" hidden="false" customHeight="true" outlineLevel="0" collapsed="false">
      <c r="F611" s="22" t="n">
        <f aca="false">IF($C611=0,0,$C611-$D611)</f>
        <v>0</v>
      </c>
    </row>
    <row r="612" customFormat="false" ht="15" hidden="false" customHeight="true" outlineLevel="0" collapsed="false">
      <c r="F612" s="22" t="n">
        <f aca="false">IF($C612=0,0,$C612-$D612)</f>
        <v>0</v>
      </c>
    </row>
    <row r="613" customFormat="false" ht="15" hidden="false" customHeight="true" outlineLevel="0" collapsed="false">
      <c r="F613" s="22" t="n">
        <f aca="false">IF($C613=0,0,$C613-$D613)</f>
        <v>0</v>
      </c>
    </row>
    <row r="614" customFormat="false" ht="15" hidden="false" customHeight="true" outlineLevel="0" collapsed="false">
      <c r="F614" s="22" t="n">
        <f aca="false">IF($C614=0,0,$C614-$D614)</f>
        <v>0</v>
      </c>
    </row>
    <row r="615" customFormat="false" ht="15" hidden="false" customHeight="true" outlineLevel="0" collapsed="false">
      <c r="F615" s="22" t="n">
        <f aca="false">IF($C615=0,0,$C615-$D615)</f>
        <v>0</v>
      </c>
    </row>
    <row r="616" customFormat="false" ht="15" hidden="false" customHeight="true" outlineLevel="0" collapsed="false">
      <c r="F616" s="22" t="n">
        <f aca="false">IF($C616=0,0,$C616-$D616)</f>
        <v>0</v>
      </c>
    </row>
    <row r="617" customFormat="false" ht="15" hidden="false" customHeight="true" outlineLevel="0" collapsed="false">
      <c r="F617" s="22" t="n">
        <f aca="false">IF($C617=0,0,$C617-$D617)</f>
        <v>0</v>
      </c>
    </row>
    <row r="618" customFormat="false" ht="15" hidden="false" customHeight="true" outlineLevel="0" collapsed="false">
      <c r="F618" s="22" t="n">
        <f aca="false">IF($C618=0,0,$C618-$D618)</f>
        <v>0</v>
      </c>
    </row>
    <row r="619" customFormat="false" ht="15" hidden="false" customHeight="true" outlineLevel="0" collapsed="false">
      <c r="F619" s="22" t="n">
        <f aca="false">IF($C619=0,0,$C619-$D619)</f>
        <v>0</v>
      </c>
    </row>
    <row r="620" customFormat="false" ht="15" hidden="false" customHeight="true" outlineLevel="0" collapsed="false">
      <c r="F620" s="22" t="n">
        <f aca="false">IF($C620=0,0,$C620-$D620)</f>
        <v>0</v>
      </c>
    </row>
    <row r="621" customFormat="false" ht="15" hidden="false" customHeight="true" outlineLevel="0" collapsed="false">
      <c r="F621" s="22" t="n">
        <f aca="false">IF($C621=0,0,$C621-$D621)</f>
        <v>0</v>
      </c>
    </row>
    <row r="622" customFormat="false" ht="15" hidden="false" customHeight="true" outlineLevel="0" collapsed="false">
      <c r="F622" s="22" t="n">
        <f aca="false">IF($C622=0,0,$C622-$D622)</f>
        <v>0</v>
      </c>
    </row>
    <row r="623" customFormat="false" ht="15" hidden="false" customHeight="true" outlineLevel="0" collapsed="false">
      <c r="F623" s="22" t="n">
        <f aca="false">IF($C623=0,0,$C623-$D623)</f>
        <v>0</v>
      </c>
    </row>
    <row r="624" customFormat="false" ht="15" hidden="false" customHeight="true" outlineLevel="0" collapsed="false">
      <c r="F624" s="22" t="n">
        <f aca="false">IF($C624=0,0,$C624-$D624)</f>
        <v>0</v>
      </c>
    </row>
    <row r="625" customFormat="false" ht="15" hidden="false" customHeight="true" outlineLevel="0" collapsed="false">
      <c r="F625" s="22" t="n">
        <f aca="false">IF($C625=0,0,$C625-$D625)</f>
        <v>0</v>
      </c>
    </row>
    <row r="626" customFormat="false" ht="15" hidden="false" customHeight="true" outlineLevel="0" collapsed="false">
      <c r="F626" s="22" t="n">
        <f aca="false">IF($C626=0,0,$C626-$D626)</f>
        <v>0</v>
      </c>
    </row>
    <row r="627" customFormat="false" ht="15" hidden="false" customHeight="true" outlineLevel="0" collapsed="false">
      <c r="F627" s="22" t="n">
        <f aca="false">IF($C627=0,0,$C627-$D627)</f>
        <v>0</v>
      </c>
    </row>
    <row r="628" customFormat="false" ht="15" hidden="false" customHeight="true" outlineLevel="0" collapsed="false">
      <c r="F628" s="22" t="n">
        <f aca="false">IF($C628=0,0,$C628-$D628)</f>
        <v>0</v>
      </c>
    </row>
    <row r="629" customFormat="false" ht="15" hidden="false" customHeight="true" outlineLevel="0" collapsed="false">
      <c r="F629" s="22" t="n">
        <f aca="false">IF($C629=0,0,$C629-$D629)</f>
        <v>0</v>
      </c>
    </row>
    <row r="630" customFormat="false" ht="15" hidden="false" customHeight="true" outlineLevel="0" collapsed="false">
      <c r="F630" s="22" t="n">
        <f aca="false">IF($C630=0,0,$C630-$D630)</f>
        <v>0</v>
      </c>
    </row>
    <row r="631" customFormat="false" ht="15" hidden="false" customHeight="true" outlineLevel="0" collapsed="false">
      <c r="F631" s="22" t="n">
        <f aca="false">IF($C631=0,0,$C631-$D631)</f>
        <v>0</v>
      </c>
    </row>
    <row r="632" customFormat="false" ht="15" hidden="false" customHeight="true" outlineLevel="0" collapsed="false">
      <c r="F632" s="22" t="n">
        <f aca="false">IF($C632=0,0,$C632-$D632)</f>
        <v>0</v>
      </c>
    </row>
    <row r="633" customFormat="false" ht="15" hidden="false" customHeight="true" outlineLevel="0" collapsed="false">
      <c r="F633" s="22" t="n">
        <f aca="false">IF($C633=0,0,$C633-$D633)</f>
        <v>0</v>
      </c>
    </row>
    <row r="634" customFormat="false" ht="15" hidden="false" customHeight="true" outlineLevel="0" collapsed="false">
      <c r="F634" s="22" t="n">
        <f aca="false">IF($C634=0,0,$C634-$D634)</f>
        <v>0</v>
      </c>
    </row>
    <row r="635" customFormat="false" ht="15" hidden="false" customHeight="true" outlineLevel="0" collapsed="false">
      <c r="F635" s="22" t="n">
        <f aca="false">IF($C635=0,0,$C635-$D635)</f>
        <v>0</v>
      </c>
    </row>
    <row r="636" customFormat="false" ht="15" hidden="false" customHeight="true" outlineLevel="0" collapsed="false">
      <c r="F636" s="22" t="n">
        <f aca="false">IF($C636=0,0,$C636-$D636)</f>
        <v>0</v>
      </c>
    </row>
    <row r="637" customFormat="false" ht="15" hidden="false" customHeight="true" outlineLevel="0" collapsed="false">
      <c r="F637" s="22" t="n">
        <f aca="false">IF($C637=0,0,$C637-$D637)</f>
        <v>0</v>
      </c>
    </row>
    <row r="638" customFormat="false" ht="15" hidden="false" customHeight="true" outlineLevel="0" collapsed="false">
      <c r="F638" s="22" t="n">
        <f aca="false">IF($C638=0,0,$C638-$D638)</f>
        <v>0</v>
      </c>
    </row>
    <row r="639" customFormat="false" ht="15" hidden="false" customHeight="true" outlineLevel="0" collapsed="false">
      <c r="F639" s="22" t="n">
        <f aca="false">IF($C639=0,0,$C639-$D639)</f>
        <v>0</v>
      </c>
    </row>
    <row r="640" customFormat="false" ht="15" hidden="false" customHeight="true" outlineLevel="0" collapsed="false">
      <c r="F640" s="22" t="n">
        <f aca="false">IF($C640=0,0,$C640-$D640)</f>
        <v>0</v>
      </c>
    </row>
    <row r="641" customFormat="false" ht="15" hidden="false" customHeight="true" outlineLevel="0" collapsed="false">
      <c r="F641" s="22" t="n">
        <f aca="false">IF($C641=0,0,$C641-$D641)</f>
        <v>0</v>
      </c>
    </row>
    <row r="642" customFormat="false" ht="15" hidden="false" customHeight="true" outlineLevel="0" collapsed="false">
      <c r="F642" s="22" t="n">
        <f aca="false">IF($C642=0,0,$C642-$D642)</f>
        <v>0</v>
      </c>
    </row>
    <row r="643" customFormat="false" ht="15" hidden="false" customHeight="true" outlineLevel="0" collapsed="false">
      <c r="F643" s="22" t="n">
        <f aca="false">IF($C643=0,0,$C643-$D643)</f>
        <v>0</v>
      </c>
    </row>
    <row r="644" customFormat="false" ht="15" hidden="false" customHeight="true" outlineLevel="0" collapsed="false">
      <c r="F644" s="22" t="n">
        <f aca="false">IF($C644=0,0,$C644-$D644)</f>
        <v>0</v>
      </c>
    </row>
    <row r="645" customFormat="false" ht="15" hidden="false" customHeight="true" outlineLevel="0" collapsed="false">
      <c r="F645" s="22" t="n">
        <f aca="false">IF($C645=0,0,$C645-$D645)</f>
        <v>0</v>
      </c>
    </row>
    <row r="646" customFormat="false" ht="15" hidden="false" customHeight="true" outlineLevel="0" collapsed="false">
      <c r="F646" s="22" t="n">
        <f aca="false">IF($C646=0,0,$C646-$D646)</f>
        <v>0</v>
      </c>
    </row>
    <row r="647" customFormat="false" ht="15" hidden="false" customHeight="true" outlineLevel="0" collapsed="false">
      <c r="F647" s="22" t="n">
        <f aca="false">IF($C647=0,0,$C647-$D647)</f>
        <v>0</v>
      </c>
    </row>
    <row r="648" customFormat="false" ht="15" hidden="false" customHeight="true" outlineLevel="0" collapsed="false">
      <c r="F648" s="22" t="n">
        <f aca="false">IF($C648=0,0,$C648-$D648)</f>
        <v>0</v>
      </c>
    </row>
    <row r="649" customFormat="false" ht="15" hidden="false" customHeight="true" outlineLevel="0" collapsed="false">
      <c r="F649" s="22" t="n">
        <f aca="false">IF($C649=0,0,$C649-$D649)</f>
        <v>0</v>
      </c>
    </row>
    <row r="650" customFormat="false" ht="15" hidden="false" customHeight="true" outlineLevel="0" collapsed="false">
      <c r="F650" s="22" t="n">
        <f aca="false">IF($C650=0,0,$C650-$D650)</f>
        <v>0</v>
      </c>
    </row>
    <row r="651" customFormat="false" ht="15" hidden="false" customHeight="true" outlineLevel="0" collapsed="false">
      <c r="F651" s="22" t="n">
        <f aca="false">IF($C651=0,0,$C651-$D651)</f>
        <v>0</v>
      </c>
    </row>
    <row r="652" customFormat="false" ht="15" hidden="false" customHeight="true" outlineLevel="0" collapsed="false">
      <c r="F652" s="22" t="n">
        <f aca="false">IF($C652=0,0,$C652-$D652)</f>
        <v>0</v>
      </c>
    </row>
    <row r="653" customFormat="false" ht="15" hidden="false" customHeight="true" outlineLevel="0" collapsed="false">
      <c r="F653" s="22" t="n">
        <f aca="false">IF($C653=0,0,$C653-$D653)</f>
        <v>0</v>
      </c>
    </row>
    <row r="654" customFormat="false" ht="15" hidden="false" customHeight="true" outlineLevel="0" collapsed="false">
      <c r="F654" s="22" t="n">
        <f aca="false">IF($C654=0,0,$C654-$D654)</f>
        <v>0</v>
      </c>
    </row>
    <row r="655" customFormat="false" ht="15" hidden="false" customHeight="true" outlineLevel="0" collapsed="false">
      <c r="F655" s="22" t="n">
        <f aca="false">IF($C655=0,0,$C655-$D655)</f>
        <v>0</v>
      </c>
    </row>
    <row r="656" customFormat="false" ht="15" hidden="false" customHeight="true" outlineLevel="0" collapsed="false">
      <c r="F656" s="22" t="n">
        <f aca="false">IF($C656=0,0,$C656-$D656)</f>
        <v>0</v>
      </c>
    </row>
    <row r="657" customFormat="false" ht="15" hidden="false" customHeight="true" outlineLevel="0" collapsed="false">
      <c r="F657" s="22" t="n">
        <f aca="false">IF($C657=0,0,$C657-$D657)</f>
        <v>0</v>
      </c>
    </row>
    <row r="658" customFormat="false" ht="15" hidden="false" customHeight="true" outlineLevel="0" collapsed="false">
      <c r="F658" s="22" t="n">
        <f aca="false">IF($C658=0,0,$C658-$D658)</f>
        <v>0</v>
      </c>
    </row>
    <row r="659" customFormat="false" ht="15" hidden="false" customHeight="true" outlineLevel="0" collapsed="false">
      <c r="F659" s="22" t="n">
        <f aca="false">IF($C659=0,0,$C659-$D659)</f>
        <v>0</v>
      </c>
    </row>
    <row r="660" customFormat="false" ht="15" hidden="false" customHeight="true" outlineLevel="0" collapsed="false">
      <c r="F660" s="22" t="n">
        <f aca="false">IF($C660=0,0,$C660-$D660)</f>
        <v>0</v>
      </c>
    </row>
    <row r="661" customFormat="false" ht="15" hidden="false" customHeight="true" outlineLevel="0" collapsed="false">
      <c r="F661" s="22" t="n">
        <f aca="false">IF($C661=0,0,$C661-$D661)</f>
        <v>0</v>
      </c>
    </row>
    <row r="662" customFormat="false" ht="15" hidden="false" customHeight="true" outlineLevel="0" collapsed="false">
      <c r="F662" s="22" t="n">
        <f aca="false">IF($C662=0,0,$C662-$D662)</f>
        <v>0</v>
      </c>
    </row>
    <row r="663" customFormat="false" ht="15" hidden="false" customHeight="true" outlineLevel="0" collapsed="false">
      <c r="F663" s="22" t="n">
        <f aca="false">IF($C663=0,0,$C663-$D663)</f>
        <v>0</v>
      </c>
    </row>
    <row r="664" customFormat="false" ht="15" hidden="false" customHeight="true" outlineLevel="0" collapsed="false">
      <c r="F664" s="22" t="n">
        <f aca="false">IF($C664=0,0,$C664-$D664)</f>
        <v>0</v>
      </c>
    </row>
    <row r="665" customFormat="false" ht="15" hidden="false" customHeight="true" outlineLevel="0" collapsed="false">
      <c r="F665" s="22" t="n">
        <f aca="false">IF($C665=0,0,$C665-$D665)</f>
        <v>0</v>
      </c>
    </row>
    <row r="666" customFormat="false" ht="15" hidden="false" customHeight="true" outlineLevel="0" collapsed="false">
      <c r="F666" s="22" t="n">
        <f aca="false">IF($C666=0,0,$C666-$D666)</f>
        <v>0</v>
      </c>
    </row>
    <row r="667" customFormat="false" ht="15" hidden="false" customHeight="true" outlineLevel="0" collapsed="false">
      <c r="F667" s="22" t="n">
        <f aca="false">IF($C667=0,0,$C667-$D667)</f>
        <v>0</v>
      </c>
    </row>
    <row r="668" customFormat="false" ht="15" hidden="false" customHeight="true" outlineLevel="0" collapsed="false">
      <c r="F668" s="22" t="n">
        <f aca="false">IF($C668=0,0,$C668-$D668)</f>
        <v>0</v>
      </c>
    </row>
    <row r="669" customFormat="false" ht="15" hidden="false" customHeight="true" outlineLevel="0" collapsed="false">
      <c r="F669" s="22" t="n">
        <f aca="false">IF($C669=0,0,$C669-$D669)</f>
        <v>0</v>
      </c>
    </row>
    <row r="670" customFormat="false" ht="15" hidden="false" customHeight="true" outlineLevel="0" collapsed="false">
      <c r="F670" s="22" t="n">
        <f aca="false">IF($C670=0,0,$C670-$D670)</f>
        <v>0</v>
      </c>
    </row>
    <row r="671" customFormat="false" ht="15" hidden="false" customHeight="true" outlineLevel="0" collapsed="false">
      <c r="F671" s="22" t="n">
        <f aca="false">IF($C671=0,0,$C671-$D671)</f>
        <v>0</v>
      </c>
    </row>
    <row r="672" customFormat="false" ht="15" hidden="false" customHeight="true" outlineLevel="0" collapsed="false">
      <c r="F672" s="22" t="n">
        <f aca="false">IF($C672=0,0,$C672-$D672)</f>
        <v>0</v>
      </c>
    </row>
    <row r="673" customFormat="false" ht="15" hidden="false" customHeight="true" outlineLevel="0" collapsed="false">
      <c r="F673" s="22" t="n">
        <f aca="false">IF($C673=0,0,$C673-$D673)</f>
        <v>0</v>
      </c>
    </row>
    <row r="674" customFormat="false" ht="15" hidden="false" customHeight="true" outlineLevel="0" collapsed="false">
      <c r="F674" s="22" t="n">
        <f aca="false">IF($C674=0,0,$C674-$D674)</f>
        <v>0</v>
      </c>
    </row>
    <row r="675" customFormat="false" ht="15" hidden="false" customHeight="true" outlineLevel="0" collapsed="false">
      <c r="F675" s="22" t="n">
        <f aca="false">IF($C675=0,0,$C675-$D675)</f>
        <v>0</v>
      </c>
    </row>
    <row r="676" customFormat="false" ht="15" hidden="false" customHeight="true" outlineLevel="0" collapsed="false">
      <c r="F676" s="22" t="n">
        <f aca="false">IF($C676=0,0,$C676-$D676)</f>
        <v>0</v>
      </c>
    </row>
    <row r="677" customFormat="false" ht="15" hidden="false" customHeight="true" outlineLevel="0" collapsed="false">
      <c r="F677" s="22" t="n">
        <f aca="false">IF($C677=0,0,$C677-$D677)</f>
        <v>0</v>
      </c>
    </row>
    <row r="678" customFormat="false" ht="15" hidden="false" customHeight="true" outlineLevel="0" collapsed="false">
      <c r="F678" s="22" t="n">
        <f aca="false">IF($C678=0,0,$C678-$D678)</f>
        <v>0</v>
      </c>
    </row>
    <row r="679" customFormat="false" ht="15" hidden="false" customHeight="true" outlineLevel="0" collapsed="false">
      <c r="F679" s="22" t="n">
        <f aca="false">IF($C679=0,0,$C679-$D679)</f>
        <v>0</v>
      </c>
    </row>
    <row r="680" customFormat="false" ht="15" hidden="false" customHeight="true" outlineLevel="0" collapsed="false">
      <c r="F680" s="22" t="n">
        <f aca="false">IF($C680=0,0,$C680-$D680)</f>
        <v>0</v>
      </c>
    </row>
    <row r="681" customFormat="false" ht="15" hidden="false" customHeight="true" outlineLevel="0" collapsed="false">
      <c r="F681" s="22" t="n">
        <f aca="false">IF($C681=0,0,$C681-$D681)</f>
        <v>0</v>
      </c>
    </row>
    <row r="682" customFormat="false" ht="15" hidden="false" customHeight="true" outlineLevel="0" collapsed="false">
      <c r="F682" s="22" t="n">
        <f aca="false">IF($C682=0,0,$C682-$D682)</f>
        <v>0</v>
      </c>
    </row>
    <row r="683" customFormat="false" ht="15" hidden="false" customHeight="true" outlineLevel="0" collapsed="false">
      <c r="F683" s="22" t="n">
        <f aca="false">IF($C683=0,0,$C683-$D683)</f>
        <v>0</v>
      </c>
    </row>
    <row r="684" customFormat="false" ht="15" hidden="false" customHeight="true" outlineLevel="0" collapsed="false">
      <c r="F684" s="22" t="n">
        <f aca="false">IF($C684=0,0,$C684-$D684)</f>
        <v>0</v>
      </c>
    </row>
    <row r="685" customFormat="false" ht="15" hidden="false" customHeight="true" outlineLevel="0" collapsed="false">
      <c r="F685" s="22" t="n">
        <f aca="false">IF($C685=0,0,$C685-$D685)</f>
        <v>0</v>
      </c>
    </row>
    <row r="686" customFormat="false" ht="15" hidden="false" customHeight="true" outlineLevel="0" collapsed="false">
      <c r="F686" s="22" t="n">
        <f aca="false">IF($C686=0,0,$C686-$D686)</f>
        <v>0</v>
      </c>
    </row>
    <row r="687" customFormat="false" ht="15" hidden="false" customHeight="true" outlineLevel="0" collapsed="false">
      <c r="F687" s="22" t="n">
        <f aca="false">IF($C687=0,0,$C687-$D687)</f>
        <v>0</v>
      </c>
    </row>
    <row r="688" customFormat="false" ht="15" hidden="false" customHeight="true" outlineLevel="0" collapsed="false">
      <c r="F688" s="22" t="n">
        <f aca="false">IF($C688=0,0,$C688-$D688)</f>
        <v>0</v>
      </c>
    </row>
    <row r="689" customFormat="false" ht="15" hidden="false" customHeight="true" outlineLevel="0" collapsed="false">
      <c r="F689" s="22" t="n">
        <f aca="false">IF($C689=0,0,$C689-$D689)</f>
        <v>0</v>
      </c>
    </row>
    <row r="690" customFormat="false" ht="15" hidden="false" customHeight="true" outlineLevel="0" collapsed="false">
      <c r="F690" s="22" t="n">
        <f aca="false">IF($C690=0,0,$C690-$D690)</f>
        <v>0</v>
      </c>
    </row>
    <row r="691" customFormat="false" ht="15" hidden="false" customHeight="true" outlineLevel="0" collapsed="false">
      <c r="F691" s="22" t="n">
        <f aca="false">IF($C691=0,0,$C691-$D691)</f>
        <v>0</v>
      </c>
    </row>
    <row r="692" customFormat="false" ht="15" hidden="false" customHeight="true" outlineLevel="0" collapsed="false">
      <c r="F692" s="22" t="n">
        <f aca="false">IF($C692=0,0,$C692-$D692)</f>
        <v>0</v>
      </c>
    </row>
    <row r="693" customFormat="false" ht="15" hidden="false" customHeight="true" outlineLevel="0" collapsed="false">
      <c r="F693" s="22" t="n">
        <f aca="false">IF($C693=0,0,$C693-$D693)</f>
        <v>0</v>
      </c>
    </row>
    <row r="694" customFormat="false" ht="15" hidden="false" customHeight="true" outlineLevel="0" collapsed="false">
      <c r="F694" s="22" t="n">
        <f aca="false">IF($C694=0,0,$C694-$D694)</f>
        <v>0</v>
      </c>
    </row>
    <row r="695" customFormat="false" ht="15" hidden="false" customHeight="true" outlineLevel="0" collapsed="false">
      <c r="F695" s="22" t="n">
        <f aca="false">IF($C695=0,0,$C695-$D695)</f>
        <v>0</v>
      </c>
    </row>
    <row r="696" customFormat="false" ht="15" hidden="false" customHeight="true" outlineLevel="0" collapsed="false">
      <c r="F696" s="22" t="n">
        <f aca="false">IF($C696=0,0,$C696-$D696)</f>
        <v>0</v>
      </c>
    </row>
    <row r="697" customFormat="false" ht="15" hidden="false" customHeight="true" outlineLevel="0" collapsed="false">
      <c r="F697" s="22" t="n">
        <f aca="false">IF($C697=0,0,$C697-$D697)</f>
        <v>0</v>
      </c>
    </row>
    <row r="698" customFormat="false" ht="15" hidden="false" customHeight="true" outlineLevel="0" collapsed="false">
      <c r="F698" s="22" t="n">
        <f aca="false">IF($C698=0,0,$C698-$D698)</f>
        <v>0</v>
      </c>
    </row>
    <row r="699" customFormat="false" ht="15" hidden="false" customHeight="true" outlineLevel="0" collapsed="false">
      <c r="F699" s="22" t="n">
        <f aca="false">IF($C699=0,0,$C699-$D699)</f>
        <v>0</v>
      </c>
    </row>
    <row r="700" customFormat="false" ht="15" hidden="false" customHeight="true" outlineLevel="0" collapsed="false">
      <c r="F700" s="22" t="n">
        <f aca="false">IF($C700=0,0,$C700-$D700)</f>
        <v>0</v>
      </c>
    </row>
    <row r="701" customFormat="false" ht="15" hidden="false" customHeight="true" outlineLevel="0" collapsed="false">
      <c r="F701" s="22" t="n">
        <f aca="false">IF($C701=0,0,$C701-$D701)</f>
        <v>0</v>
      </c>
    </row>
    <row r="702" customFormat="false" ht="15" hidden="false" customHeight="true" outlineLevel="0" collapsed="false">
      <c r="F702" s="22" t="n">
        <f aca="false">IF($C702=0,0,$C702-$D702)</f>
        <v>0</v>
      </c>
    </row>
    <row r="703" customFormat="false" ht="15" hidden="false" customHeight="true" outlineLevel="0" collapsed="false">
      <c r="F703" s="22" t="n">
        <f aca="false">IF($C703=0,0,$C703-$D703)</f>
        <v>0</v>
      </c>
    </row>
    <row r="704" customFormat="false" ht="15" hidden="false" customHeight="true" outlineLevel="0" collapsed="false">
      <c r="F704" s="22" t="n">
        <f aca="false">IF($C704=0,0,$C704-$D704)</f>
        <v>0</v>
      </c>
    </row>
    <row r="705" customFormat="false" ht="15" hidden="false" customHeight="true" outlineLevel="0" collapsed="false">
      <c r="F705" s="22" t="n">
        <f aca="false">IF($C705=0,0,$C705-$D705)</f>
        <v>0</v>
      </c>
    </row>
    <row r="706" customFormat="false" ht="15" hidden="false" customHeight="true" outlineLevel="0" collapsed="false">
      <c r="F706" s="22" t="n">
        <f aca="false">IF($C706=0,0,$C706-$D706)</f>
        <v>0</v>
      </c>
    </row>
    <row r="707" customFormat="false" ht="15" hidden="false" customHeight="true" outlineLevel="0" collapsed="false">
      <c r="F707" s="22" t="n">
        <f aca="false">IF($C707=0,0,$C707-$D707)</f>
        <v>0</v>
      </c>
    </row>
    <row r="708" customFormat="false" ht="15" hidden="false" customHeight="true" outlineLevel="0" collapsed="false">
      <c r="F708" s="22" t="n">
        <f aca="false">IF($C708=0,0,$C708-$D708)</f>
        <v>0</v>
      </c>
    </row>
    <row r="709" customFormat="false" ht="15" hidden="false" customHeight="true" outlineLevel="0" collapsed="false">
      <c r="F709" s="22" t="n">
        <f aca="false">IF($C709=0,0,$C709-$D709)</f>
        <v>0</v>
      </c>
    </row>
    <row r="710" customFormat="false" ht="15" hidden="false" customHeight="true" outlineLevel="0" collapsed="false">
      <c r="F710" s="22" t="n">
        <f aca="false">IF($C710=0,0,$C710-$D710)</f>
        <v>0</v>
      </c>
    </row>
    <row r="711" customFormat="false" ht="15" hidden="false" customHeight="true" outlineLevel="0" collapsed="false">
      <c r="F711" s="22" t="n">
        <f aca="false">IF($C711=0,0,$C711-$D711)</f>
        <v>0</v>
      </c>
    </row>
    <row r="712" customFormat="false" ht="15" hidden="false" customHeight="true" outlineLevel="0" collapsed="false">
      <c r="F712" s="22" t="n">
        <f aca="false">IF($C712=0,0,$C712-$D712)</f>
        <v>0</v>
      </c>
    </row>
    <row r="713" customFormat="false" ht="15" hidden="false" customHeight="true" outlineLevel="0" collapsed="false">
      <c r="F713" s="22" t="n">
        <f aca="false">IF($C713=0,0,$C713-$D713)</f>
        <v>0</v>
      </c>
    </row>
    <row r="714" customFormat="false" ht="15" hidden="false" customHeight="true" outlineLevel="0" collapsed="false">
      <c r="F714" s="22" t="n">
        <f aca="false">IF($C714=0,0,$C714-$D714)</f>
        <v>0</v>
      </c>
    </row>
    <row r="715" customFormat="false" ht="15" hidden="false" customHeight="true" outlineLevel="0" collapsed="false">
      <c r="F715" s="22" t="n">
        <f aca="false">IF($C715=0,0,$C715-$D715)</f>
        <v>0</v>
      </c>
    </row>
    <row r="716" customFormat="false" ht="15" hidden="false" customHeight="true" outlineLevel="0" collapsed="false">
      <c r="F716" s="22" t="n">
        <f aca="false">IF($C716=0,0,$C716-$D716)</f>
        <v>0</v>
      </c>
    </row>
    <row r="717" customFormat="false" ht="15" hidden="false" customHeight="true" outlineLevel="0" collapsed="false">
      <c r="F717" s="22" t="n">
        <f aca="false">IF($C717=0,0,$C717-$D717)</f>
        <v>0</v>
      </c>
    </row>
    <row r="718" customFormat="false" ht="15" hidden="false" customHeight="true" outlineLevel="0" collapsed="false">
      <c r="F718" s="22" t="n">
        <f aca="false">IF($C718=0,0,$C718-$D718)</f>
        <v>0</v>
      </c>
    </row>
    <row r="719" customFormat="false" ht="15" hidden="false" customHeight="true" outlineLevel="0" collapsed="false">
      <c r="F719" s="22" t="n">
        <f aca="false">IF($C719=0,0,$C719-$D719)</f>
        <v>0</v>
      </c>
    </row>
    <row r="720" customFormat="false" ht="15" hidden="false" customHeight="true" outlineLevel="0" collapsed="false">
      <c r="F720" s="22" t="n">
        <f aca="false">IF($C720=0,0,$C720-$D720)</f>
        <v>0</v>
      </c>
    </row>
    <row r="721" customFormat="false" ht="15" hidden="false" customHeight="true" outlineLevel="0" collapsed="false">
      <c r="F721" s="22" t="n">
        <f aca="false">IF($C721=0,0,$C721-$D721)</f>
        <v>0</v>
      </c>
    </row>
    <row r="722" customFormat="false" ht="15" hidden="false" customHeight="true" outlineLevel="0" collapsed="false">
      <c r="F722" s="22" t="n">
        <f aca="false">IF($C722=0,0,$C722-$D722)</f>
        <v>0</v>
      </c>
    </row>
    <row r="723" customFormat="false" ht="15" hidden="false" customHeight="true" outlineLevel="0" collapsed="false">
      <c r="F723" s="22" t="n">
        <f aca="false">IF($C723=0,0,$C723-$D723)</f>
        <v>0</v>
      </c>
    </row>
    <row r="724" customFormat="false" ht="15" hidden="false" customHeight="true" outlineLevel="0" collapsed="false">
      <c r="F724" s="22" t="n">
        <f aca="false">IF($C724=0,0,$C724-$D724)</f>
        <v>0</v>
      </c>
    </row>
    <row r="725" customFormat="false" ht="15" hidden="false" customHeight="true" outlineLevel="0" collapsed="false">
      <c r="F725" s="22" t="n">
        <f aca="false">IF($C725=0,0,$C725-$D725)</f>
        <v>0</v>
      </c>
    </row>
    <row r="726" customFormat="false" ht="15" hidden="false" customHeight="true" outlineLevel="0" collapsed="false">
      <c r="F726" s="22" t="n">
        <f aca="false">IF($C726=0,0,$C726-$D726)</f>
        <v>0</v>
      </c>
    </row>
    <row r="727" customFormat="false" ht="15" hidden="false" customHeight="true" outlineLevel="0" collapsed="false">
      <c r="F727" s="22" t="n">
        <f aca="false">IF($C727=0,0,$C727-$D727)</f>
        <v>0</v>
      </c>
    </row>
    <row r="728" customFormat="false" ht="15" hidden="false" customHeight="true" outlineLevel="0" collapsed="false">
      <c r="F728" s="22" t="n">
        <f aca="false">IF($C728=0,0,$C728-$D728)</f>
        <v>0</v>
      </c>
    </row>
    <row r="729" customFormat="false" ht="15" hidden="false" customHeight="true" outlineLevel="0" collapsed="false">
      <c r="F729" s="22" t="n">
        <f aca="false">IF($C729=0,0,$C729-$D729)</f>
        <v>0</v>
      </c>
    </row>
    <row r="730" customFormat="false" ht="15" hidden="false" customHeight="true" outlineLevel="0" collapsed="false">
      <c r="F730" s="22" t="n">
        <f aca="false">IF($C730=0,0,$C730-$D730)</f>
        <v>0</v>
      </c>
    </row>
    <row r="731" customFormat="false" ht="15" hidden="false" customHeight="true" outlineLevel="0" collapsed="false">
      <c r="F731" s="22" t="n">
        <f aca="false">IF($C731=0,0,$C731-$D731)</f>
        <v>0</v>
      </c>
    </row>
    <row r="732" customFormat="false" ht="15" hidden="false" customHeight="true" outlineLevel="0" collapsed="false">
      <c r="F732" s="22" t="n">
        <f aca="false">IF($C732=0,0,$C732-$D732)</f>
        <v>0</v>
      </c>
    </row>
    <row r="733" customFormat="false" ht="15" hidden="false" customHeight="true" outlineLevel="0" collapsed="false">
      <c r="F733" s="22" t="n">
        <f aca="false">IF($C733=0,0,$C733-$D733)</f>
        <v>0</v>
      </c>
    </row>
    <row r="734" customFormat="false" ht="15" hidden="false" customHeight="true" outlineLevel="0" collapsed="false">
      <c r="F734" s="22" t="n">
        <f aca="false">IF($C734=0,0,$C734-$D734)</f>
        <v>0</v>
      </c>
    </row>
    <row r="735" customFormat="false" ht="15" hidden="false" customHeight="true" outlineLevel="0" collapsed="false">
      <c r="F735" s="22" t="n">
        <f aca="false">IF($C735=0,0,$C735-$D735)</f>
        <v>0</v>
      </c>
    </row>
    <row r="736" customFormat="false" ht="15" hidden="false" customHeight="true" outlineLevel="0" collapsed="false">
      <c r="F736" s="22" t="n">
        <f aca="false">IF($C736=0,0,$C736-$D736)</f>
        <v>0</v>
      </c>
    </row>
    <row r="737" customFormat="false" ht="15" hidden="false" customHeight="true" outlineLevel="0" collapsed="false">
      <c r="F737" s="22" t="n">
        <f aca="false">IF($C737=0,0,$C737-$D737)</f>
        <v>0</v>
      </c>
    </row>
    <row r="738" customFormat="false" ht="15" hidden="false" customHeight="true" outlineLevel="0" collapsed="false">
      <c r="F738" s="22" t="n">
        <f aca="false">IF($C738=0,0,$C738-$D738)</f>
        <v>0</v>
      </c>
    </row>
    <row r="739" customFormat="false" ht="15" hidden="false" customHeight="true" outlineLevel="0" collapsed="false">
      <c r="F739" s="22" t="n">
        <f aca="false">IF($C739=0,0,$C739-$D739)</f>
        <v>0</v>
      </c>
    </row>
    <row r="740" customFormat="false" ht="15" hidden="false" customHeight="true" outlineLevel="0" collapsed="false">
      <c r="F740" s="22" t="n">
        <f aca="false">IF($C740=0,0,$C740-$D740)</f>
        <v>0</v>
      </c>
    </row>
    <row r="741" customFormat="false" ht="15" hidden="false" customHeight="true" outlineLevel="0" collapsed="false">
      <c r="F741" s="22" t="n">
        <f aca="false">IF($C741=0,0,$C741-$D741)</f>
        <v>0</v>
      </c>
    </row>
    <row r="742" customFormat="false" ht="15" hidden="false" customHeight="true" outlineLevel="0" collapsed="false">
      <c r="F742" s="22" t="n">
        <f aca="false">IF($C742=0,0,$C742-$D742)</f>
        <v>0</v>
      </c>
    </row>
    <row r="743" customFormat="false" ht="15" hidden="false" customHeight="true" outlineLevel="0" collapsed="false">
      <c r="F743" s="22" t="n">
        <f aca="false">IF($C743=0,0,$C743-$D743)</f>
        <v>0</v>
      </c>
    </row>
    <row r="744" customFormat="false" ht="15" hidden="false" customHeight="true" outlineLevel="0" collapsed="false">
      <c r="F744" s="22" t="n">
        <f aca="false">IF($C744=0,0,$C744-$D744)</f>
        <v>0</v>
      </c>
    </row>
    <row r="745" customFormat="false" ht="15" hidden="false" customHeight="true" outlineLevel="0" collapsed="false">
      <c r="F745" s="22" t="n">
        <f aca="false">IF($C745=0,0,$C745-$D745)</f>
        <v>0</v>
      </c>
    </row>
    <row r="746" customFormat="false" ht="15" hidden="false" customHeight="true" outlineLevel="0" collapsed="false">
      <c r="F746" s="22" t="n">
        <f aca="false">IF($C746=0,0,$C746-$D746)</f>
        <v>0</v>
      </c>
    </row>
    <row r="747" customFormat="false" ht="15" hidden="false" customHeight="true" outlineLevel="0" collapsed="false">
      <c r="F747" s="22" t="n">
        <f aca="false">IF($C747=0,0,$C747-$D747)</f>
        <v>0</v>
      </c>
    </row>
    <row r="748" customFormat="false" ht="15" hidden="false" customHeight="true" outlineLevel="0" collapsed="false">
      <c r="F748" s="22" t="n">
        <f aca="false">IF($C748=0,0,$C748-$D748)</f>
        <v>0</v>
      </c>
    </row>
    <row r="749" customFormat="false" ht="15" hidden="false" customHeight="true" outlineLevel="0" collapsed="false">
      <c r="F749" s="22" t="n">
        <f aca="false">IF($C749=0,0,$C749-$D749)</f>
        <v>0</v>
      </c>
    </row>
    <row r="750" customFormat="false" ht="15" hidden="false" customHeight="true" outlineLevel="0" collapsed="false">
      <c r="F750" s="22" t="n">
        <f aca="false">IF($C750=0,0,$C750-$D750)</f>
        <v>0</v>
      </c>
    </row>
    <row r="751" customFormat="false" ht="15" hidden="false" customHeight="true" outlineLevel="0" collapsed="false">
      <c r="F751" s="22" t="n">
        <f aca="false">IF($C751=0,0,$C751-$D751)</f>
        <v>0</v>
      </c>
    </row>
    <row r="752" customFormat="false" ht="15" hidden="false" customHeight="true" outlineLevel="0" collapsed="false">
      <c r="F752" s="22" t="n">
        <f aca="false">IF($C752=0,0,$C752-$D752)</f>
        <v>0</v>
      </c>
    </row>
    <row r="753" customFormat="false" ht="15" hidden="false" customHeight="true" outlineLevel="0" collapsed="false">
      <c r="F753" s="22" t="n">
        <f aca="false">IF($C753=0,0,$C753-$D753)</f>
        <v>0</v>
      </c>
    </row>
    <row r="754" customFormat="false" ht="15" hidden="false" customHeight="true" outlineLevel="0" collapsed="false">
      <c r="F754" s="22" t="n">
        <f aca="false">IF($C754=0,0,$C754-$D754)</f>
        <v>0</v>
      </c>
    </row>
    <row r="755" customFormat="false" ht="15" hidden="false" customHeight="true" outlineLevel="0" collapsed="false">
      <c r="F755" s="22" t="n">
        <f aca="false">IF($C755=0,0,$C755-$D755)</f>
        <v>0</v>
      </c>
    </row>
    <row r="756" customFormat="false" ht="15" hidden="false" customHeight="true" outlineLevel="0" collapsed="false">
      <c r="F756" s="22" t="n">
        <f aca="false">IF($C756=0,0,$C756-$D756)</f>
        <v>0</v>
      </c>
    </row>
    <row r="757" customFormat="false" ht="15" hidden="false" customHeight="true" outlineLevel="0" collapsed="false">
      <c r="F757" s="22" t="n">
        <f aca="false">IF($C757=0,0,$C757-$D757)</f>
        <v>0</v>
      </c>
    </row>
    <row r="758" customFormat="false" ht="15" hidden="false" customHeight="true" outlineLevel="0" collapsed="false">
      <c r="F758" s="22" t="n">
        <f aca="false">IF($C758=0,0,$C758-$D758)</f>
        <v>0</v>
      </c>
    </row>
    <row r="759" customFormat="false" ht="15" hidden="false" customHeight="true" outlineLevel="0" collapsed="false">
      <c r="F759" s="22" t="n">
        <f aca="false">IF($C759=0,0,$C759-$D759)</f>
        <v>0</v>
      </c>
    </row>
    <row r="760" customFormat="false" ht="15" hidden="false" customHeight="true" outlineLevel="0" collapsed="false">
      <c r="F760" s="22" t="n">
        <f aca="false">IF($C760=0,0,$C760-$D760)</f>
        <v>0</v>
      </c>
    </row>
    <row r="761" customFormat="false" ht="15" hidden="false" customHeight="true" outlineLevel="0" collapsed="false">
      <c r="F761" s="22" t="n">
        <f aca="false">IF($C761=0,0,$C761-$D761)</f>
        <v>0</v>
      </c>
    </row>
    <row r="762" customFormat="false" ht="15" hidden="false" customHeight="true" outlineLevel="0" collapsed="false">
      <c r="F762" s="22" t="n">
        <f aca="false">IF($C762=0,0,$C762-$D762)</f>
        <v>0</v>
      </c>
    </row>
    <row r="763" customFormat="false" ht="15" hidden="false" customHeight="true" outlineLevel="0" collapsed="false">
      <c r="F763" s="22" t="n">
        <f aca="false">IF($C763=0,0,$C763-$D763)</f>
        <v>0</v>
      </c>
    </row>
    <row r="764" customFormat="false" ht="15" hidden="false" customHeight="true" outlineLevel="0" collapsed="false">
      <c r="F764" s="22" t="n">
        <f aca="false">IF($C764=0,0,$C764-$D764)</f>
        <v>0</v>
      </c>
    </row>
    <row r="765" customFormat="false" ht="15" hidden="false" customHeight="true" outlineLevel="0" collapsed="false">
      <c r="F765" s="22" t="n">
        <f aca="false">IF($C765=0,0,$C765-$D765)</f>
        <v>0</v>
      </c>
    </row>
    <row r="766" customFormat="false" ht="15" hidden="false" customHeight="true" outlineLevel="0" collapsed="false">
      <c r="F766" s="22" t="n">
        <f aca="false">IF($C766=0,0,$C766-$D766)</f>
        <v>0</v>
      </c>
    </row>
    <row r="767" customFormat="false" ht="15" hidden="false" customHeight="true" outlineLevel="0" collapsed="false">
      <c r="F767" s="22" t="n">
        <f aca="false">IF($C767=0,0,$C767-$D767)</f>
        <v>0</v>
      </c>
    </row>
    <row r="768" customFormat="false" ht="15" hidden="false" customHeight="true" outlineLevel="0" collapsed="false">
      <c r="F768" s="22" t="n">
        <f aca="false">IF($C768=0,0,$C768-$D768)</f>
        <v>0</v>
      </c>
    </row>
    <row r="769" customFormat="false" ht="15" hidden="false" customHeight="true" outlineLevel="0" collapsed="false">
      <c r="F769" s="22" t="n">
        <f aca="false">IF($C769=0,0,$C769-$D769)</f>
        <v>0</v>
      </c>
    </row>
    <row r="770" customFormat="false" ht="15" hidden="false" customHeight="true" outlineLevel="0" collapsed="false">
      <c r="F770" s="22" t="n">
        <f aca="false">IF($C770=0,0,$C770-$D770)</f>
        <v>0</v>
      </c>
    </row>
    <row r="771" customFormat="false" ht="15" hidden="false" customHeight="true" outlineLevel="0" collapsed="false">
      <c r="F771" s="22" t="n">
        <f aca="false">IF($C771=0,0,$C771-$D771)</f>
        <v>0</v>
      </c>
    </row>
    <row r="772" customFormat="false" ht="15" hidden="false" customHeight="true" outlineLevel="0" collapsed="false">
      <c r="F772" s="22" t="n">
        <f aca="false">IF($C772=0,0,$C772-$D772)</f>
        <v>0</v>
      </c>
    </row>
    <row r="773" customFormat="false" ht="15" hidden="false" customHeight="true" outlineLevel="0" collapsed="false">
      <c r="F773" s="22" t="n">
        <f aca="false">IF($C773=0,0,$C773-$D773)</f>
        <v>0</v>
      </c>
    </row>
    <row r="774" customFormat="false" ht="15" hidden="false" customHeight="true" outlineLevel="0" collapsed="false">
      <c r="F774" s="22" t="n">
        <f aca="false">IF($C774=0,0,$C774-$D774)</f>
        <v>0</v>
      </c>
    </row>
    <row r="775" customFormat="false" ht="15" hidden="false" customHeight="true" outlineLevel="0" collapsed="false">
      <c r="F775" s="22" t="n">
        <f aca="false">IF($C775=0,0,$C775-$D775)</f>
        <v>0</v>
      </c>
    </row>
    <row r="776" customFormat="false" ht="15" hidden="false" customHeight="true" outlineLevel="0" collapsed="false">
      <c r="F776" s="22" t="n">
        <f aca="false">IF($C776=0,0,$C776-$D776)</f>
        <v>0</v>
      </c>
    </row>
    <row r="777" customFormat="false" ht="15" hidden="false" customHeight="true" outlineLevel="0" collapsed="false">
      <c r="F777" s="22" t="n">
        <f aca="false">IF($C777=0,0,$C777-$D777)</f>
        <v>0</v>
      </c>
    </row>
    <row r="778" customFormat="false" ht="15" hidden="false" customHeight="true" outlineLevel="0" collapsed="false">
      <c r="F778" s="22" t="n">
        <f aca="false">IF($C778=0,0,$C778-$D778)</f>
        <v>0</v>
      </c>
    </row>
    <row r="779" customFormat="false" ht="15" hidden="false" customHeight="true" outlineLevel="0" collapsed="false">
      <c r="F779" s="22" t="n">
        <f aca="false">IF($C779=0,0,$C779-$D779)</f>
        <v>0</v>
      </c>
    </row>
    <row r="780" customFormat="false" ht="15" hidden="false" customHeight="true" outlineLevel="0" collapsed="false">
      <c r="F780" s="22" t="n">
        <f aca="false">IF($C780=0,0,$C780-$D780)</f>
        <v>0</v>
      </c>
    </row>
    <row r="781" customFormat="false" ht="15" hidden="false" customHeight="true" outlineLevel="0" collapsed="false">
      <c r="F781" s="22" t="n">
        <f aca="false">IF($C781=0,0,$C781-$D781)</f>
        <v>0</v>
      </c>
    </row>
    <row r="782" customFormat="false" ht="15" hidden="false" customHeight="true" outlineLevel="0" collapsed="false">
      <c r="F782" s="22" t="n">
        <f aca="false">IF($C782=0,0,$C782-$D782)</f>
        <v>0</v>
      </c>
    </row>
    <row r="783" customFormat="false" ht="15" hidden="false" customHeight="true" outlineLevel="0" collapsed="false">
      <c r="F783" s="22" t="n">
        <f aca="false">IF($C783=0,0,$C783-$D783)</f>
        <v>0</v>
      </c>
    </row>
    <row r="784" customFormat="false" ht="15" hidden="false" customHeight="true" outlineLevel="0" collapsed="false">
      <c r="F784" s="22" t="n">
        <f aca="false">IF($C784=0,0,$C784-$D784)</f>
        <v>0</v>
      </c>
    </row>
    <row r="785" customFormat="false" ht="15" hidden="false" customHeight="true" outlineLevel="0" collapsed="false">
      <c r="F785" s="22" t="n">
        <f aca="false">IF($C785=0,0,$C785-$D785)</f>
        <v>0</v>
      </c>
    </row>
    <row r="786" customFormat="false" ht="15" hidden="false" customHeight="true" outlineLevel="0" collapsed="false">
      <c r="F786" s="22" t="n">
        <f aca="false">IF($C786=0,0,$C786-$D786)</f>
        <v>0</v>
      </c>
    </row>
    <row r="787" customFormat="false" ht="15" hidden="false" customHeight="true" outlineLevel="0" collapsed="false">
      <c r="F787" s="22" t="n">
        <f aca="false">IF($C787=0,0,$C787-$D787)</f>
        <v>0</v>
      </c>
    </row>
    <row r="788" customFormat="false" ht="15" hidden="false" customHeight="true" outlineLevel="0" collapsed="false">
      <c r="F788" s="22" t="n">
        <f aca="false">IF($C788=0,0,$C788-$D788)</f>
        <v>0</v>
      </c>
    </row>
    <row r="789" customFormat="false" ht="15" hidden="false" customHeight="true" outlineLevel="0" collapsed="false">
      <c r="F789" s="22" t="n">
        <f aca="false">IF($C789=0,0,$C789-$D789)</f>
        <v>0</v>
      </c>
    </row>
    <row r="790" customFormat="false" ht="15" hidden="false" customHeight="true" outlineLevel="0" collapsed="false">
      <c r="F790" s="22" t="n">
        <f aca="false">IF($C790=0,0,$C790-$D790)</f>
        <v>0</v>
      </c>
    </row>
    <row r="791" customFormat="false" ht="15" hidden="false" customHeight="true" outlineLevel="0" collapsed="false">
      <c r="F791" s="22" t="n">
        <f aca="false">IF($C791=0,0,$C791-$D791)</f>
        <v>0</v>
      </c>
    </row>
    <row r="792" customFormat="false" ht="15" hidden="false" customHeight="true" outlineLevel="0" collapsed="false">
      <c r="F792" s="22" t="n">
        <f aca="false">IF($C792=0,0,$C792-$D792)</f>
        <v>0</v>
      </c>
    </row>
    <row r="793" customFormat="false" ht="15" hidden="false" customHeight="true" outlineLevel="0" collapsed="false">
      <c r="F793" s="22" t="n">
        <f aca="false">IF($C793=0,0,$C793-$D793)</f>
        <v>0</v>
      </c>
    </row>
    <row r="794" customFormat="false" ht="15" hidden="false" customHeight="true" outlineLevel="0" collapsed="false">
      <c r="F794" s="22" t="n">
        <f aca="false">IF($C794=0,0,$C794-$D794)</f>
        <v>0</v>
      </c>
    </row>
    <row r="795" customFormat="false" ht="15" hidden="false" customHeight="true" outlineLevel="0" collapsed="false">
      <c r="F795" s="22" t="n">
        <f aca="false">IF($C795=0,0,$C795-$D795)</f>
        <v>0</v>
      </c>
    </row>
    <row r="796" customFormat="false" ht="15" hidden="false" customHeight="true" outlineLevel="0" collapsed="false">
      <c r="F796" s="22" t="n">
        <f aca="false">IF($C796=0,0,$C796-$D796)</f>
        <v>0</v>
      </c>
    </row>
    <row r="797" customFormat="false" ht="15" hidden="false" customHeight="true" outlineLevel="0" collapsed="false">
      <c r="F797" s="22" t="n">
        <f aca="false">IF($C797=0,0,$C797-$D797)</f>
        <v>0</v>
      </c>
    </row>
    <row r="798" customFormat="false" ht="15" hidden="false" customHeight="true" outlineLevel="0" collapsed="false">
      <c r="F798" s="22" t="n">
        <f aca="false">IF($C798=0,0,$C798-$D798)</f>
        <v>0</v>
      </c>
    </row>
    <row r="799" customFormat="false" ht="15" hidden="false" customHeight="true" outlineLevel="0" collapsed="false">
      <c r="F799" s="22" t="n">
        <f aca="false">IF($C799=0,0,$C799-$D799)</f>
        <v>0</v>
      </c>
    </row>
    <row r="800" customFormat="false" ht="15" hidden="false" customHeight="true" outlineLevel="0" collapsed="false">
      <c r="F800" s="22" t="n">
        <f aca="false">IF($C800=0,0,$C800-$D800)</f>
        <v>0</v>
      </c>
    </row>
    <row r="801" customFormat="false" ht="15" hidden="false" customHeight="true" outlineLevel="0" collapsed="false">
      <c r="F801" s="22" t="n">
        <f aca="false">IF($C801=0,0,$C801-$D801)</f>
        <v>0</v>
      </c>
    </row>
    <row r="802" customFormat="false" ht="15" hidden="false" customHeight="true" outlineLevel="0" collapsed="false">
      <c r="F802" s="22" t="n">
        <f aca="false">IF($C802=0,0,$C802-$D802)</f>
        <v>0</v>
      </c>
    </row>
    <row r="803" customFormat="false" ht="15" hidden="false" customHeight="true" outlineLevel="0" collapsed="false">
      <c r="F803" s="22" t="n">
        <f aca="false">IF($C803=0,0,$C803-$D803)</f>
        <v>0</v>
      </c>
    </row>
    <row r="804" customFormat="false" ht="15" hidden="false" customHeight="true" outlineLevel="0" collapsed="false">
      <c r="F804" s="22" t="n">
        <f aca="false">IF($C804=0,0,$C804-$D804)</f>
        <v>0</v>
      </c>
    </row>
    <row r="805" customFormat="false" ht="15" hidden="false" customHeight="true" outlineLevel="0" collapsed="false">
      <c r="F805" s="22" t="n">
        <f aca="false">IF($C805=0,0,$C805-$D805)</f>
        <v>0</v>
      </c>
    </row>
    <row r="806" customFormat="false" ht="15" hidden="false" customHeight="true" outlineLevel="0" collapsed="false">
      <c r="F806" s="22" t="n">
        <f aca="false">IF($C806=0,0,$C806-$D806)</f>
        <v>0</v>
      </c>
    </row>
    <row r="807" customFormat="false" ht="15" hidden="false" customHeight="true" outlineLevel="0" collapsed="false">
      <c r="F807" s="22" t="n">
        <f aca="false">IF($C807=0,0,$C807-$D807)</f>
        <v>0</v>
      </c>
    </row>
    <row r="808" customFormat="false" ht="15" hidden="false" customHeight="true" outlineLevel="0" collapsed="false">
      <c r="F808" s="22" t="n">
        <f aca="false">IF($C808=0,0,$C808-$D808)</f>
        <v>0</v>
      </c>
    </row>
    <row r="809" customFormat="false" ht="15" hidden="false" customHeight="true" outlineLevel="0" collapsed="false">
      <c r="F809" s="22" t="n">
        <f aca="false">IF($C809=0,0,$C809-$D809)</f>
        <v>0</v>
      </c>
    </row>
    <row r="810" customFormat="false" ht="15" hidden="false" customHeight="true" outlineLevel="0" collapsed="false">
      <c r="F810" s="22" t="n">
        <f aca="false">IF($C810=0,0,$C810-$D810)</f>
        <v>0</v>
      </c>
    </row>
    <row r="811" customFormat="false" ht="15" hidden="false" customHeight="true" outlineLevel="0" collapsed="false">
      <c r="F811" s="22" t="n">
        <f aca="false">IF($C811=0,0,$C811-$D811)</f>
        <v>0</v>
      </c>
    </row>
    <row r="812" customFormat="false" ht="15" hidden="false" customHeight="true" outlineLevel="0" collapsed="false">
      <c r="F812" s="22" t="n">
        <f aca="false">IF($C812=0,0,$C812-$D812)</f>
        <v>0</v>
      </c>
    </row>
    <row r="813" customFormat="false" ht="15" hidden="false" customHeight="true" outlineLevel="0" collapsed="false">
      <c r="F813" s="22" t="n">
        <f aca="false">IF($C813=0,0,$C813-$D813)</f>
        <v>0</v>
      </c>
    </row>
    <row r="814" customFormat="false" ht="15" hidden="false" customHeight="true" outlineLevel="0" collapsed="false">
      <c r="F814" s="22" t="n">
        <f aca="false">IF($C814=0,0,$C814-$D814)</f>
        <v>0</v>
      </c>
    </row>
    <row r="815" customFormat="false" ht="15" hidden="false" customHeight="true" outlineLevel="0" collapsed="false">
      <c r="F815" s="22" t="n">
        <f aca="false">IF($C815=0,0,$C815-$D815)</f>
        <v>0</v>
      </c>
    </row>
    <row r="816" customFormat="false" ht="15" hidden="false" customHeight="true" outlineLevel="0" collapsed="false">
      <c r="F816" s="22" t="n">
        <f aca="false">IF($C816=0,0,$C816-$D816)</f>
        <v>0</v>
      </c>
    </row>
    <row r="817" customFormat="false" ht="15" hidden="false" customHeight="true" outlineLevel="0" collapsed="false">
      <c r="F817" s="22" t="n">
        <f aca="false">IF($C817=0,0,$C817-$D817)</f>
        <v>0</v>
      </c>
    </row>
    <row r="818" customFormat="false" ht="15" hidden="false" customHeight="true" outlineLevel="0" collapsed="false">
      <c r="F818" s="22" t="n">
        <f aca="false">IF($C818=0,0,$C818-$D818)</f>
        <v>0</v>
      </c>
    </row>
    <row r="819" customFormat="false" ht="15" hidden="false" customHeight="true" outlineLevel="0" collapsed="false">
      <c r="F819" s="22" t="n">
        <f aca="false">IF($C819=0,0,$C819-$D819)</f>
        <v>0</v>
      </c>
    </row>
    <row r="820" customFormat="false" ht="15" hidden="false" customHeight="true" outlineLevel="0" collapsed="false">
      <c r="F820" s="22" t="n">
        <f aca="false">IF($C820=0,0,$C820-$D820)</f>
        <v>0</v>
      </c>
    </row>
    <row r="821" customFormat="false" ht="15" hidden="false" customHeight="true" outlineLevel="0" collapsed="false">
      <c r="F821" s="22" t="n">
        <f aca="false">IF($C821=0,0,$C821-$D821)</f>
        <v>0</v>
      </c>
    </row>
    <row r="822" customFormat="false" ht="15" hidden="false" customHeight="true" outlineLevel="0" collapsed="false">
      <c r="F822" s="22" t="n">
        <f aca="false">IF($C822=0,0,$C822-$D822)</f>
        <v>0</v>
      </c>
    </row>
    <row r="823" customFormat="false" ht="15" hidden="false" customHeight="true" outlineLevel="0" collapsed="false">
      <c r="F823" s="22" t="n">
        <f aca="false">IF($C823=0,0,$C823-$D823)</f>
        <v>0</v>
      </c>
    </row>
    <row r="824" customFormat="false" ht="15" hidden="false" customHeight="true" outlineLevel="0" collapsed="false">
      <c r="F824" s="22" t="n">
        <f aca="false">IF($C824=0,0,$C824-$D824)</f>
        <v>0</v>
      </c>
    </row>
    <row r="825" customFormat="false" ht="15" hidden="false" customHeight="true" outlineLevel="0" collapsed="false">
      <c r="F825" s="22" t="n">
        <f aca="false">IF($C825=0,0,$C825-$D825)</f>
        <v>0</v>
      </c>
    </row>
    <row r="826" customFormat="false" ht="15" hidden="false" customHeight="true" outlineLevel="0" collapsed="false">
      <c r="F826" s="22" t="n">
        <f aca="false">IF($C826=0,0,$C826-$D826)</f>
        <v>0</v>
      </c>
    </row>
    <row r="827" customFormat="false" ht="15" hidden="false" customHeight="true" outlineLevel="0" collapsed="false">
      <c r="F827" s="22" t="n">
        <f aca="false">IF($C827=0,0,$C827-$D827)</f>
        <v>0</v>
      </c>
    </row>
    <row r="828" customFormat="false" ht="15" hidden="false" customHeight="true" outlineLevel="0" collapsed="false">
      <c r="F828" s="22" t="n">
        <f aca="false">IF($C828=0,0,$C828-$D828)</f>
        <v>0</v>
      </c>
    </row>
    <row r="829" customFormat="false" ht="15" hidden="false" customHeight="true" outlineLevel="0" collapsed="false">
      <c r="F829" s="22" t="n">
        <f aca="false">IF($C829=0,0,$C829-$D829)</f>
        <v>0</v>
      </c>
    </row>
    <row r="830" customFormat="false" ht="15" hidden="false" customHeight="true" outlineLevel="0" collapsed="false">
      <c r="F830" s="22" t="n">
        <f aca="false">IF($C830=0,0,$C830-$D830)</f>
        <v>0</v>
      </c>
    </row>
    <row r="831" customFormat="false" ht="15" hidden="false" customHeight="true" outlineLevel="0" collapsed="false">
      <c r="F831" s="22" t="n">
        <f aca="false">IF($C831=0,0,$C831-$D831)</f>
        <v>0</v>
      </c>
    </row>
    <row r="832" customFormat="false" ht="15" hidden="false" customHeight="true" outlineLevel="0" collapsed="false">
      <c r="F832" s="22" t="n">
        <f aca="false">IF($C832=0,0,$C832-$D832)</f>
        <v>0</v>
      </c>
    </row>
    <row r="833" customFormat="false" ht="15" hidden="false" customHeight="true" outlineLevel="0" collapsed="false">
      <c r="F833" s="22" t="n">
        <f aca="false">IF($C833=0,0,$C833-$D833)</f>
        <v>0</v>
      </c>
    </row>
    <row r="834" customFormat="false" ht="15" hidden="false" customHeight="true" outlineLevel="0" collapsed="false">
      <c r="F834" s="22" t="n">
        <f aca="false">IF($C834=0,0,$C834-$D834)</f>
        <v>0</v>
      </c>
    </row>
    <row r="835" customFormat="false" ht="15" hidden="false" customHeight="true" outlineLevel="0" collapsed="false">
      <c r="F835" s="22" t="n">
        <f aca="false">IF($C835=0,0,$C835-$D835)</f>
        <v>0</v>
      </c>
    </row>
    <row r="836" customFormat="false" ht="15" hidden="false" customHeight="true" outlineLevel="0" collapsed="false">
      <c r="F836" s="22" t="n">
        <f aca="false">IF($C836=0,0,$C836-$D836)</f>
        <v>0</v>
      </c>
    </row>
    <row r="837" customFormat="false" ht="15" hidden="false" customHeight="true" outlineLevel="0" collapsed="false">
      <c r="F837" s="22" t="n">
        <f aca="false">IF($C837=0,0,$C837-$D837)</f>
        <v>0</v>
      </c>
    </row>
    <row r="838" customFormat="false" ht="15" hidden="false" customHeight="true" outlineLevel="0" collapsed="false">
      <c r="F838" s="22" t="n">
        <f aca="false">IF($C838=0,0,$C838-$D838)</f>
        <v>0</v>
      </c>
    </row>
    <row r="839" customFormat="false" ht="15" hidden="false" customHeight="true" outlineLevel="0" collapsed="false">
      <c r="F839" s="22" t="n">
        <f aca="false">IF($C839=0,0,$C839-$D839)</f>
        <v>0</v>
      </c>
    </row>
    <row r="840" customFormat="false" ht="15" hidden="false" customHeight="true" outlineLevel="0" collapsed="false">
      <c r="F840" s="22" t="n">
        <f aca="false">IF($C840=0,0,$C840-$D840)</f>
        <v>0</v>
      </c>
    </row>
    <row r="841" customFormat="false" ht="15" hidden="false" customHeight="true" outlineLevel="0" collapsed="false">
      <c r="F841" s="22" t="n">
        <f aca="false">IF($C841=0,0,$C841-$D841)</f>
        <v>0</v>
      </c>
    </row>
    <row r="842" customFormat="false" ht="15" hidden="false" customHeight="true" outlineLevel="0" collapsed="false">
      <c r="F842" s="22" t="n">
        <f aca="false">IF($C842=0,0,$C842-$D842)</f>
        <v>0</v>
      </c>
    </row>
    <row r="843" customFormat="false" ht="15" hidden="false" customHeight="true" outlineLevel="0" collapsed="false">
      <c r="F843" s="22" t="n">
        <f aca="false">IF($C843=0,0,$C843-$D843)</f>
        <v>0</v>
      </c>
    </row>
    <row r="844" customFormat="false" ht="15" hidden="false" customHeight="true" outlineLevel="0" collapsed="false">
      <c r="F844" s="22" t="n">
        <f aca="false">IF($C844=0,0,$C844-$D844)</f>
        <v>0</v>
      </c>
    </row>
    <row r="845" customFormat="false" ht="15" hidden="false" customHeight="true" outlineLevel="0" collapsed="false">
      <c r="F845" s="22" t="n">
        <f aca="false">IF($C845=0,0,$C845-$D845)</f>
        <v>0</v>
      </c>
    </row>
    <row r="846" customFormat="false" ht="15" hidden="false" customHeight="true" outlineLevel="0" collapsed="false">
      <c r="F846" s="22" t="n">
        <f aca="false">IF($C846=0,0,$C846-$D846)</f>
        <v>0</v>
      </c>
    </row>
    <row r="847" customFormat="false" ht="15" hidden="false" customHeight="true" outlineLevel="0" collapsed="false">
      <c r="F847" s="22" t="n">
        <f aca="false">IF($C847=0,0,$C847-$D847)</f>
        <v>0</v>
      </c>
    </row>
    <row r="848" customFormat="false" ht="15" hidden="false" customHeight="true" outlineLevel="0" collapsed="false">
      <c r="F848" s="22" t="n">
        <f aca="false">IF($C848=0,0,$C848-$D848)</f>
        <v>0</v>
      </c>
    </row>
    <row r="849" customFormat="false" ht="15" hidden="false" customHeight="true" outlineLevel="0" collapsed="false">
      <c r="F849" s="22" t="n">
        <f aca="false">IF($C849=0,0,$C849-$D849)</f>
        <v>0</v>
      </c>
    </row>
    <row r="850" customFormat="false" ht="15" hidden="false" customHeight="true" outlineLevel="0" collapsed="false">
      <c r="F850" s="22" t="n">
        <f aca="false">IF($C850=0,0,$C850-$D850)</f>
        <v>0</v>
      </c>
    </row>
    <row r="851" customFormat="false" ht="15" hidden="false" customHeight="true" outlineLevel="0" collapsed="false">
      <c r="F851" s="22" t="n">
        <f aca="false">IF($C851=0,0,$C851-$D851)</f>
        <v>0</v>
      </c>
    </row>
    <row r="852" customFormat="false" ht="15" hidden="false" customHeight="true" outlineLevel="0" collapsed="false">
      <c r="F852" s="22" t="n">
        <f aca="false">IF($C852=0,0,$C852-$D852)</f>
        <v>0</v>
      </c>
    </row>
    <row r="853" customFormat="false" ht="15" hidden="false" customHeight="true" outlineLevel="0" collapsed="false">
      <c r="F853" s="22" t="n">
        <f aca="false">IF($C853=0,0,$C853-$D853)</f>
        <v>0</v>
      </c>
    </row>
    <row r="854" customFormat="false" ht="15" hidden="false" customHeight="true" outlineLevel="0" collapsed="false">
      <c r="F854" s="22" t="n">
        <f aca="false">IF($C854=0,0,$C854-$D854)</f>
        <v>0</v>
      </c>
    </row>
    <row r="855" customFormat="false" ht="15" hidden="false" customHeight="true" outlineLevel="0" collapsed="false">
      <c r="F855" s="22" t="n">
        <f aca="false">IF($C855=0,0,$C855-$D855)</f>
        <v>0</v>
      </c>
    </row>
    <row r="856" customFormat="false" ht="15" hidden="false" customHeight="true" outlineLevel="0" collapsed="false">
      <c r="F856" s="22" t="n">
        <f aca="false">IF($C856=0,0,$C856-$D856)</f>
        <v>0</v>
      </c>
    </row>
    <row r="857" customFormat="false" ht="15" hidden="false" customHeight="true" outlineLevel="0" collapsed="false">
      <c r="F857" s="22" t="n">
        <f aca="false">IF($C857=0,0,$C857-$D857)</f>
        <v>0</v>
      </c>
    </row>
    <row r="858" customFormat="false" ht="15" hidden="false" customHeight="true" outlineLevel="0" collapsed="false">
      <c r="F858" s="22" t="n">
        <f aca="false">IF($C858=0,0,$C858-$D858)</f>
        <v>0</v>
      </c>
    </row>
    <row r="859" customFormat="false" ht="15" hidden="false" customHeight="true" outlineLevel="0" collapsed="false">
      <c r="F859" s="22" t="n">
        <f aca="false">IF($C859=0,0,$C859-$D859)</f>
        <v>0</v>
      </c>
    </row>
    <row r="860" customFormat="false" ht="15" hidden="false" customHeight="true" outlineLevel="0" collapsed="false">
      <c r="F860" s="22" t="n">
        <f aca="false">IF($C860=0,0,$C860-$D860)</f>
        <v>0</v>
      </c>
    </row>
    <row r="861" customFormat="false" ht="15" hidden="false" customHeight="true" outlineLevel="0" collapsed="false">
      <c r="F861" s="22" t="n">
        <f aca="false">IF($C861=0,0,$C861-$D861)</f>
        <v>0</v>
      </c>
    </row>
    <row r="862" customFormat="false" ht="15" hidden="false" customHeight="true" outlineLevel="0" collapsed="false">
      <c r="F862" s="22" t="n">
        <f aca="false">IF($C862=0,0,$C862-$D862)</f>
        <v>0</v>
      </c>
    </row>
    <row r="863" customFormat="false" ht="15" hidden="false" customHeight="true" outlineLevel="0" collapsed="false">
      <c r="F863" s="22" t="n">
        <f aca="false">IF($C863=0,0,$C863-$D863)</f>
        <v>0</v>
      </c>
    </row>
    <row r="864" customFormat="false" ht="15" hidden="false" customHeight="true" outlineLevel="0" collapsed="false">
      <c r="F864" s="22" t="n">
        <f aca="false">IF($C864=0,0,$C864-$D864)</f>
        <v>0</v>
      </c>
    </row>
    <row r="865" customFormat="false" ht="15" hidden="false" customHeight="true" outlineLevel="0" collapsed="false">
      <c r="F865" s="22" t="n">
        <f aca="false">IF($C865=0,0,$C865-$D865)</f>
        <v>0</v>
      </c>
    </row>
    <row r="866" customFormat="false" ht="15" hidden="false" customHeight="true" outlineLevel="0" collapsed="false">
      <c r="F866" s="22" t="n">
        <f aca="false">IF($C866=0,0,$C866-$D866)</f>
        <v>0</v>
      </c>
    </row>
    <row r="867" customFormat="false" ht="15" hidden="false" customHeight="true" outlineLevel="0" collapsed="false">
      <c r="F867" s="22" t="n">
        <f aca="false">IF($C867=0,0,$C867-$D867)</f>
        <v>0</v>
      </c>
    </row>
    <row r="868" customFormat="false" ht="15" hidden="false" customHeight="true" outlineLevel="0" collapsed="false">
      <c r="F868" s="22" t="n">
        <f aca="false">IF($C868=0,0,$C868-$D868)</f>
        <v>0</v>
      </c>
    </row>
    <row r="869" customFormat="false" ht="15" hidden="false" customHeight="true" outlineLevel="0" collapsed="false">
      <c r="F869" s="22" t="n">
        <f aca="false">IF($C869=0,0,$C869-$D869)</f>
        <v>0</v>
      </c>
    </row>
    <row r="870" customFormat="false" ht="15" hidden="false" customHeight="true" outlineLevel="0" collapsed="false">
      <c r="F870" s="22" t="n">
        <f aca="false">IF($C870=0,0,$C870-$D870)</f>
        <v>0</v>
      </c>
    </row>
    <row r="871" customFormat="false" ht="15" hidden="false" customHeight="true" outlineLevel="0" collapsed="false">
      <c r="F871" s="22" t="n">
        <f aca="false">IF($C871=0,0,$C871-$D871)</f>
        <v>0</v>
      </c>
    </row>
    <row r="872" customFormat="false" ht="15" hidden="false" customHeight="true" outlineLevel="0" collapsed="false">
      <c r="F872" s="22" t="n">
        <f aca="false">IF($C872=0,0,$C872-$D872)</f>
        <v>0</v>
      </c>
    </row>
    <row r="873" customFormat="false" ht="15" hidden="false" customHeight="true" outlineLevel="0" collapsed="false">
      <c r="F873" s="22" t="n">
        <f aca="false">IF($C873=0,0,$C873-$D873)</f>
        <v>0</v>
      </c>
    </row>
    <row r="874" customFormat="false" ht="15" hidden="false" customHeight="true" outlineLevel="0" collapsed="false">
      <c r="F874" s="22" t="n">
        <f aca="false">IF($C874=0,0,$C874-$D874)</f>
        <v>0</v>
      </c>
    </row>
    <row r="875" customFormat="false" ht="15" hidden="false" customHeight="true" outlineLevel="0" collapsed="false">
      <c r="F875" s="22" t="n">
        <f aca="false">IF($C875=0,0,$C875-$D875)</f>
        <v>0</v>
      </c>
    </row>
    <row r="876" customFormat="false" ht="15" hidden="false" customHeight="true" outlineLevel="0" collapsed="false">
      <c r="F876" s="22" t="n">
        <f aca="false">IF($C876=0,0,$C876-$D876)</f>
        <v>0</v>
      </c>
    </row>
    <row r="877" customFormat="false" ht="15" hidden="false" customHeight="true" outlineLevel="0" collapsed="false">
      <c r="F877" s="22" t="n">
        <f aca="false">IF($C877=0,0,$C877-$D877)</f>
        <v>0</v>
      </c>
    </row>
    <row r="878" customFormat="false" ht="15" hidden="false" customHeight="true" outlineLevel="0" collapsed="false">
      <c r="F878" s="22" t="n">
        <f aca="false">IF($C878=0,0,$C878-$D878)</f>
        <v>0</v>
      </c>
    </row>
    <row r="879" customFormat="false" ht="15" hidden="false" customHeight="true" outlineLevel="0" collapsed="false">
      <c r="F879" s="22" t="n">
        <f aca="false">IF($C879=0,0,$C879-$D879)</f>
        <v>0</v>
      </c>
    </row>
    <row r="880" customFormat="false" ht="15" hidden="false" customHeight="true" outlineLevel="0" collapsed="false">
      <c r="F880" s="22" t="n">
        <f aca="false">IF($C880=0,0,$C880-$D880)</f>
        <v>0</v>
      </c>
    </row>
    <row r="881" customFormat="false" ht="15" hidden="false" customHeight="true" outlineLevel="0" collapsed="false">
      <c r="F881" s="22" t="n">
        <f aca="false">IF($C881=0,0,$C881-$D881)</f>
        <v>0</v>
      </c>
    </row>
    <row r="882" customFormat="false" ht="15" hidden="false" customHeight="true" outlineLevel="0" collapsed="false">
      <c r="F882" s="22" t="n">
        <f aca="false">IF($C882=0,0,$C882-$D882)</f>
        <v>0</v>
      </c>
    </row>
    <row r="883" customFormat="false" ht="15" hidden="false" customHeight="true" outlineLevel="0" collapsed="false">
      <c r="F883" s="22" t="n">
        <f aca="false">IF($C883=0,0,$C883-$D883)</f>
        <v>0</v>
      </c>
    </row>
    <row r="884" customFormat="false" ht="15" hidden="false" customHeight="true" outlineLevel="0" collapsed="false">
      <c r="F884" s="22" t="n">
        <f aca="false">IF($C884=0,0,$C884-$D884)</f>
        <v>0</v>
      </c>
    </row>
    <row r="885" customFormat="false" ht="15" hidden="false" customHeight="true" outlineLevel="0" collapsed="false">
      <c r="F885" s="22" t="n">
        <f aca="false">IF($C885=0,0,$C885-$D885)</f>
        <v>0</v>
      </c>
    </row>
    <row r="886" customFormat="false" ht="15" hidden="false" customHeight="true" outlineLevel="0" collapsed="false">
      <c r="F886" s="22" t="n">
        <f aca="false">IF($C886=0,0,$C886-$D886)</f>
        <v>0</v>
      </c>
    </row>
    <row r="887" customFormat="false" ht="15" hidden="false" customHeight="true" outlineLevel="0" collapsed="false">
      <c r="F887" s="22" t="n">
        <f aca="false">IF($C887=0,0,$C887-$D887)</f>
        <v>0</v>
      </c>
    </row>
    <row r="888" customFormat="false" ht="15" hidden="false" customHeight="true" outlineLevel="0" collapsed="false">
      <c r="F888" s="22" t="n">
        <f aca="false">IF($C888=0,0,$C888-$D888)</f>
        <v>0</v>
      </c>
    </row>
    <row r="889" customFormat="false" ht="15" hidden="false" customHeight="true" outlineLevel="0" collapsed="false">
      <c r="F889" s="22" t="n">
        <f aca="false">IF($C889=0,0,$C889-$D889)</f>
        <v>0</v>
      </c>
    </row>
    <row r="890" customFormat="false" ht="15" hidden="false" customHeight="true" outlineLevel="0" collapsed="false">
      <c r="F890" s="22" t="n">
        <f aca="false">IF($C890=0,0,$C890-$D890)</f>
        <v>0</v>
      </c>
    </row>
    <row r="891" customFormat="false" ht="15" hidden="false" customHeight="true" outlineLevel="0" collapsed="false">
      <c r="F891" s="22" t="n">
        <f aca="false">IF($C891=0,0,$C891-$D891)</f>
        <v>0</v>
      </c>
    </row>
    <row r="892" customFormat="false" ht="15" hidden="false" customHeight="true" outlineLevel="0" collapsed="false">
      <c r="F892" s="22" t="n">
        <f aca="false">IF($C892=0,0,$C892-$D892)</f>
        <v>0</v>
      </c>
    </row>
    <row r="893" customFormat="false" ht="15" hidden="false" customHeight="true" outlineLevel="0" collapsed="false">
      <c r="F893" s="22" t="n">
        <f aca="false">IF($C893=0,0,$C893-$D893)</f>
        <v>0</v>
      </c>
    </row>
    <row r="894" customFormat="false" ht="15" hidden="false" customHeight="true" outlineLevel="0" collapsed="false">
      <c r="F894" s="22" t="n">
        <f aca="false">IF($C894=0,0,$C894-$D894)</f>
        <v>0</v>
      </c>
    </row>
    <row r="895" customFormat="false" ht="15" hidden="false" customHeight="true" outlineLevel="0" collapsed="false">
      <c r="F895" s="22" t="n">
        <f aca="false">IF($C895=0,0,$C895-$D895)</f>
        <v>0</v>
      </c>
    </row>
    <row r="896" customFormat="false" ht="15" hidden="false" customHeight="true" outlineLevel="0" collapsed="false">
      <c r="F896" s="22" t="n">
        <f aca="false">IF($C896=0,0,$C896-$D896)</f>
        <v>0</v>
      </c>
    </row>
    <row r="897" customFormat="false" ht="15" hidden="false" customHeight="true" outlineLevel="0" collapsed="false">
      <c r="F897" s="22" t="n">
        <f aca="false">IF($C897=0,0,$C897-$D897)</f>
        <v>0</v>
      </c>
    </row>
    <row r="898" customFormat="false" ht="15" hidden="false" customHeight="true" outlineLevel="0" collapsed="false">
      <c r="F898" s="22" t="n">
        <f aca="false">IF($C898=0,0,$C898-$D898)</f>
        <v>0</v>
      </c>
    </row>
    <row r="899" customFormat="false" ht="15" hidden="false" customHeight="true" outlineLevel="0" collapsed="false">
      <c r="F899" s="22" t="n">
        <f aca="false">IF($C899=0,0,$C899-$D899)</f>
        <v>0</v>
      </c>
    </row>
    <row r="900" customFormat="false" ht="15" hidden="false" customHeight="true" outlineLevel="0" collapsed="false">
      <c r="F900" s="22" t="n">
        <f aca="false">IF($C900=0,0,$C900-$D900)</f>
        <v>0</v>
      </c>
    </row>
    <row r="901" customFormat="false" ht="15" hidden="false" customHeight="true" outlineLevel="0" collapsed="false">
      <c r="F901" s="22" t="n">
        <f aca="false">IF($C901=0,0,$C901-$D901)</f>
        <v>0</v>
      </c>
    </row>
    <row r="902" customFormat="false" ht="15" hidden="false" customHeight="true" outlineLevel="0" collapsed="false">
      <c r="F902" s="22" t="n">
        <f aca="false">IF($C902=0,0,$C902-$D902)</f>
        <v>0</v>
      </c>
    </row>
    <row r="903" customFormat="false" ht="15" hidden="false" customHeight="true" outlineLevel="0" collapsed="false">
      <c r="F903" s="22" t="n">
        <f aca="false">IF($C903=0,0,$C903-$D903)</f>
        <v>0</v>
      </c>
    </row>
    <row r="904" customFormat="false" ht="15" hidden="false" customHeight="true" outlineLevel="0" collapsed="false">
      <c r="F904" s="22" t="n">
        <f aca="false">IF($C904=0,0,$C904-$D904)</f>
        <v>0</v>
      </c>
    </row>
    <row r="905" customFormat="false" ht="15" hidden="false" customHeight="true" outlineLevel="0" collapsed="false">
      <c r="F905" s="22" t="n">
        <f aca="false">IF($C905=0,0,$C905-$D905)</f>
        <v>0</v>
      </c>
    </row>
    <row r="906" customFormat="false" ht="15" hidden="false" customHeight="true" outlineLevel="0" collapsed="false">
      <c r="F906" s="22" t="n">
        <f aca="false">IF($C906=0,0,$C906-$D906)</f>
        <v>0</v>
      </c>
    </row>
    <row r="907" customFormat="false" ht="15" hidden="false" customHeight="true" outlineLevel="0" collapsed="false">
      <c r="F907" s="22" t="n">
        <f aca="false">IF($C907=0,0,$C907-$D907)</f>
        <v>0</v>
      </c>
    </row>
    <row r="908" customFormat="false" ht="15" hidden="false" customHeight="true" outlineLevel="0" collapsed="false">
      <c r="F908" s="22" t="n">
        <f aca="false">IF($C908=0,0,$C908-$D908)</f>
        <v>0</v>
      </c>
    </row>
    <row r="909" customFormat="false" ht="15" hidden="false" customHeight="true" outlineLevel="0" collapsed="false">
      <c r="F909" s="22" t="n">
        <f aca="false">IF($C909=0,0,$C909-$D909)</f>
        <v>0</v>
      </c>
    </row>
    <row r="910" customFormat="false" ht="15" hidden="false" customHeight="true" outlineLevel="0" collapsed="false">
      <c r="F910" s="22" t="n">
        <f aca="false">IF($C910=0,0,$C910-$D910)</f>
        <v>0</v>
      </c>
    </row>
    <row r="911" customFormat="false" ht="15" hidden="false" customHeight="true" outlineLevel="0" collapsed="false">
      <c r="F911" s="22" t="n">
        <f aca="false">IF($C911=0,0,$C911-$D911)</f>
        <v>0</v>
      </c>
    </row>
    <row r="912" customFormat="false" ht="15" hidden="false" customHeight="true" outlineLevel="0" collapsed="false">
      <c r="F912" s="22" t="n">
        <f aca="false">IF($C912=0,0,$C912-$D912)</f>
        <v>0</v>
      </c>
    </row>
    <row r="913" customFormat="false" ht="15" hidden="false" customHeight="true" outlineLevel="0" collapsed="false">
      <c r="F913" s="22" t="n">
        <f aca="false">IF($C913=0,0,$C913-$D913)</f>
        <v>0</v>
      </c>
    </row>
    <row r="914" customFormat="false" ht="15" hidden="false" customHeight="true" outlineLevel="0" collapsed="false">
      <c r="F914" s="22" t="n">
        <f aca="false">IF($C914=0,0,$C914-$D914)</f>
        <v>0</v>
      </c>
    </row>
    <row r="915" customFormat="false" ht="15" hidden="false" customHeight="true" outlineLevel="0" collapsed="false">
      <c r="F915" s="22" t="n">
        <f aca="false">IF($C915=0,0,$C915-$D915)</f>
        <v>0</v>
      </c>
    </row>
    <row r="916" customFormat="false" ht="15" hidden="false" customHeight="true" outlineLevel="0" collapsed="false">
      <c r="F916" s="22" t="n">
        <f aca="false">IF($C916=0,0,$C916-$D916)</f>
        <v>0</v>
      </c>
    </row>
    <row r="917" customFormat="false" ht="15" hidden="false" customHeight="true" outlineLevel="0" collapsed="false">
      <c r="F917" s="22" t="n">
        <f aca="false">IF($C917=0,0,$C917-$D917)</f>
        <v>0</v>
      </c>
    </row>
    <row r="918" customFormat="false" ht="15" hidden="false" customHeight="true" outlineLevel="0" collapsed="false">
      <c r="F918" s="22" t="n">
        <f aca="false">IF($C918=0,0,$C918-$D918)</f>
        <v>0</v>
      </c>
    </row>
    <row r="919" customFormat="false" ht="15" hidden="false" customHeight="true" outlineLevel="0" collapsed="false">
      <c r="F919" s="22" t="n">
        <f aca="false">IF($C919=0,0,$C919-$D919)</f>
        <v>0</v>
      </c>
    </row>
    <row r="920" customFormat="false" ht="15" hidden="false" customHeight="true" outlineLevel="0" collapsed="false">
      <c r="F920" s="22" t="n">
        <f aca="false">IF($C920=0,0,$C920-$D920)</f>
        <v>0</v>
      </c>
    </row>
    <row r="921" customFormat="false" ht="15" hidden="false" customHeight="true" outlineLevel="0" collapsed="false">
      <c r="F921" s="22" t="n">
        <f aca="false">IF($C921=0,0,$C921-$D921)</f>
        <v>0</v>
      </c>
    </row>
    <row r="922" customFormat="false" ht="15" hidden="false" customHeight="true" outlineLevel="0" collapsed="false">
      <c r="F922" s="22" t="n">
        <f aca="false">IF($C922=0,0,$C922-$D922)</f>
        <v>0</v>
      </c>
    </row>
    <row r="923" customFormat="false" ht="15" hidden="false" customHeight="true" outlineLevel="0" collapsed="false">
      <c r="F923" s="22" t="n">
        <f aca="false">IF($C923=0,0,$C923-$D923)</f>
        <v>0</v>
      </c>
    </row>
    <row r="924" customFormat="false" ht="15" hidden="false" customHeight="true" outlineLevel="0" collapsed="false">
      <c r="F924" s="22" t="n">
        <f aca="false">IF($C924=0,0,$C924-$D924)</f>
        <v>0</v>
      </c>
    </row>
    <row r="925" customFormat="false" ht="15" hidden="false" customHeight="true" outlineLevel="0" collapsed="false">
      <c r="F925" s="22" t="n">
        <f aca="false">IF($C925=0,0,$C925-$D925)</f>
        <v>0</v>
      </c>
    </row>
    <row r="926" customFormat="false" ht="15" hidden="false" customHeight="true" outlineLevel="0" collapsed="false">
      <c r="F926" s="22" t="n">
        <f aca="false">IF($C926=0,0,$C926-$D926)</f>
        <v>0</v>
      </c>
    </row>
    <row r="927" customFormat="false" ht="15" hidden="false" customHeight="true" outlineLevel="0" collapsed="false">
      <c r="F927" s="22" t="n">
        <f aca="false">IF($C927=0,0,$C927-$D927)</f>
        <v>0</v>
      </c>
    </row>
    <row r="928" customFormat="false" ht="15" hidden="false" customHeight="true" outlineLevel="0" collapsed="false">
      <c r="F928" s="22" t="n">
        <f aca="false">IF($C928=0,0,$C928-$D928)</f>
        <v>0</v>
      </c>
    </row>
    <row r="929" customFormat="false" ht="15" hidden="false" customHeight="true" outlineLevel="0" collapsed="false">
      <c r="F929" s="22" t="n">
        <f aca="false">IF($C929=0,0,$C929-$D929)</f>
        <v>0</v>
      </c>
    </row>
    <row r="930" customFormat="false" ht="15" hidden="false" customHeight="true" outlineLevel="0" collapsed="false">
      <c r="F930" s="22" t="n">
        <f aca="false">IF($C930=0,0,$C930-$D930)</f>
        <v>0</v>
      </c>
    </row>
    <row r="931" customFormat="false" ht="15" hidden="false" customHeight="true" outlineLevel="0" collapsed="false">
      <c r="F931" s="22" t="n">
        <f aca="false">IF($C931=0,0,$C931-$D931)</f>
        <v>0</v>
      </c>
    </row>
    <row r="932" customFormat="false" ht="15" hidden="false" customHeight="true" outlineLevel="0" collapsed="false">
      <c r="F932" s="22" t="n">
        <f aca="false">IF($C932=0,0,$C932-$D932)</f>
        <v>0</v>
      </c>
    </row>
    <row r="933" customFormat="false" ht="15" hidden="false" customHeight="true" outlineLevel="0" collapsed="false">
      <c r="F933" s="22" t="n">
        <f aca="false">IF($C933=0,0,$C933-$D933)</f>
        <v>0</v>
      </c>
    </row>
    <row r="934" customFormat="false" ht="15" hidden="false" customHeight="true" outlineLevel="0" collapsed="false">
      <c r="F934" s="22" t="n">
        <f aca="false">IF($C934=0,0,$C934-$D934)</f>
        <v>0</v>
      </c>
    </row>
    <row r="935" customFormat="false" ht="15" hidden="false" customHeight="true" outlineLevel="0" collapsed="false">
      <c r="F935" s="22" t="n">
        <f aca="false">IF($C935=0,0,$C935-$D935)</f>
        <v>0</v>
      </c>
    </row>
    <row r="936" customFormat="false" ht="15" hidden="false" customHeight="true" outlineLevel="0" collapsed="false">
      <c r="F936" s="22" t="n">
        <f aca="false">IF($C936=0,0,$C936-$D936)</f>
        <v>0</v>
      </c>
    </row>
    <row r="937" customFormat="false" ht="15" hidden="false" customHeight="true" outlineLevel="0" collapsed="false">
      <c r="F937" s="22" t="n">
        <f aca="false">IF($C937=0,0,$C937-$D937)</f>
        <v>0</v>
      </c>
    </row>
    <row r="938" customFormat="false" ht="15" hidden="false" customHeight="true" outlineLevel="0" collapsed="false">
      <c r="F938" s="22" t="n">
        <f aca="false">IF($C938=0,0,$C938-$D938)</f>
        <v>0</v>
      </c>
    </row>
    <row r="939" customFormat="false" ht="15" hidden="false" customHeight="true" outlineLevel="0" collapsed="false">
      <c r="F939" s="22" t="n">
        <f aca="false">IF($C939=0,0,$C939-$D939)</f>
        <v>0</v>
      </c>
    </row>
    <row r="940" customFormat="false" ht="15" hidden="false" customHeight="true" outlineLevel="0" collapsed="false">
      <c r="F940" s="22" t="n">
        <f aca="false">IF($C940=0,0,$C940-$D940)</f>
        <v>0</v>
      </c>
    </row>
    <row r="941" customFormat="false" ht="15" hidden="false" customHeight="true" outlineLevel="0" collapsed="false">
      <c r="F941" s="22" t="n">
        <f aca="false">IF($C941=0,0,$C941-$D941)</f>
        <v>0</v>
      </c>
    </row>
    <row r="942" customFormat="false" ht="15" hidden="false" customHeight="true" outlineLevel="0" collapsed="false">
      <c r="F942" s="22" t="n">
        <f aca="false">IF($C942=0,0,$C942-$D942)</f>
        <v>0</v>
      </c>
    </row>
    <row r="943" customFormat="false" ht="15" hidden="false" customHeight="true" outlineLevel="0" collapsed="false">
      <c r="F943" s="22" t="n">
        <f aca="false">IF($C943=0,0,$C943-$D943)</f>
        <v>0</v>
      </c>
    </row>
    <row r="944" customFormat="false" ht="15" hidden="false" customHeight="true" outlineLevel="0" collapsed="false">
      <c r="F944" s="22" t="n">
        <f aca="false">IF($C944=0,0,$C944-$D944)</f>
        <v>0</v>
      </c>
    </row>
    <row r="945" customFormat="false" ht="15" hidden="false" customHeight="true" outlineLevel="0" collapsed="false">
      <c r="F945" s="22" t="n">
        <f aca="false">IF($C945=0,0,$C945-$D945)</f>
        <v>0</v>
      </c>
    </row>
    <row r="946" customFormat="false" ht="15" hidden="false" customHeight="true" outlineLevel="0" collapsed="false">
      <c r="F946" s="22" t="n">
        <f aca="false">IF($C946=0,0,$C946-$D946)</f>
        <v>0</v>
      </c>
    </row>
    <row r="947" customFormat="false" ht="15" hidden="false" customHeight="true" outlineLevel="0" collapsed="false">
      <c r="F947" s="22" t="n">
        <f aca="false">IF($C947=0,0,$C947-$D947)</f>
        <v>0</v>
      </c>
    </row>
    <row r="948" customFormat="false" ht="15" hidden="false" customHeight="true" outlineLevel="0" collapsed="false">
      <c r="F948" s="22" t="n">
        <f aca="false">IF($C948=0,0,$C948-$D948)</f>
        <v>0</v>
      </c>
    </row>
    <row r="949" customFormat="false" ht="15" hidden="false" customHeight="true" outlineLevel="0" collapsed="false">
      <c r="F949" s="22" t="n">
        <f aca="false">IF($C949=0,0,$C949-$D949)</f>
        <v>0</v>
      </c>
    </row>
    <row r="950" customFormat="false" ht="15" hidden="false" customHeight="true" outlineLevel="0" collapsed="false">
      <c r="F950" s="22" t="n">
        <f aca="false">IF($C950=0,0,$C950-$D950)</f>
        <v>0</v>
      </c>
    </row>
    <row r="951" customFormat="false" ht="15" hidden="false" customHeight="true" outlineLevel="0" collapsed="false">
      <c r="F951" s="22" t="n">
        <f aca="false">IF($C951=0,0,$C951-$D951)</f>
        <v>0</v>
      </c>
    </row>
    <row r="952" customFormat="false" ht="15" hidden="false" customHeight="true" outlineLevel="0" collapsed="false">
      <c r="F952" s="22" t="n">
        <f aca="false">IF($C952=0,0,$C952-$D952)</f>
        <v>0</v>
      </c>
    </row>
    <row r="953" customFormat="false" ht="15" hidden="false" customHeight="true" outlineLevel="0" collapsed="false">
      <c r="F953" s="22" t="n">
        <f aca="false">IF($C953=0,0,$C953-$D953)</f>
        <v>0</v>
      </c>
    </row>
    <row r="954" customFormat="false" ht="15" hidden="false" customHeight="true" outlineLevel="0" collapsed="false">
      <c r="F954" s="22" t="n">
        <f aca="false">IF($C954=0,0,$C954-$D954)</f>
        <v>0</v>
      </c>
    </row>
    <row r="955" customFormat="false" ht="15" hidden="false" customHeight="true" outlineLevel="0" collapsed="false">
      <c r="F955" s="22" t="n">
        <f aca="false">IF($C955=0,0,$C955-$D955)</f>
        <v>0</v>
      </c>
    </row>
    <row r="956" customFormat="false" ht="15" hidden="false" customHeight="true" outlineLevel="0" collapsed="false">
      <c r="F956" s="22" t="n">
        <f aca="false">IF($C956=0,0,$C956-$D956)</f>
        <v>0</v>
      </c>
    </row>
    <row r="957" customFormat="false" ht="15" hidden="false" customHeight="true" outlineLevel="0" collapsed="false">
      <c r="F957" s="22" t="n">
        <f aca="false">IF($C957=0,0,$C957-$D957)</f>
        <v>0</v>
      </c>
    </row>
    <row r="958" customFormat="false" ht="15" hidden="false" customHeight="true" outlineLevel="0" collapsed="false">
      <c r="F958" s="22" t="n">
        <f aca="false">IF($C958=0,0,$C958-$D958)</f>
        <v>0</v>
      </c>
    </row>
    <row r="959" customFormat="false" ht="15" hidden="false" customHeight="true" outlineLevel="0" collapsed="false">
      <c r="F959" s="22" t="n">
        <f aca="false">IF($C959=0,0,$C959-$D959)</f>
        <v>0</v>
      </c>
    </row>
    <row r="960" customFormat="false" ht="15" hidden="false" customHeight="true" outlineLevel="0" collapsed="false">
      <c r="F960" s="22" t="n">
        <f aca="false">IF($C960=0,0,$C960-$D960)</f>
        <v>0</v>
      </c>
    </row>
    <row r="961" customFormat="false" ht="15" hidden="false" customHeight="true" outlineLevel="0" collapsed="false">
      <c r="F961" s="22" t="n">
        <f aca="false">IF($C961=0,0,$C961-$D961)</f>
        <v>0</v>
      </c>
    </row>
    <row r="962" customFormat="false" ht="15" hidden="false" customHeight="true" outlineLevel="0" collapsed="false">
      <c r="F962" s="22" t="n">
        <f aca="false">IF($C962=0,0,$C962-$D962)</f>
        <v>0</v>
      </c>
    </row>
    <row r="963" customFormat="false" ht="15" hidden="false" customHeight="true" outlineLevel="0" collapsed="false">
      <c r="F963" s="22" t="n">
        <f aca="false">IF($C963=0,0,$C963-$D963)</f>
        <v>0</v>
      </c>
    </row>
    <row r="964" customFormat="false" ht="15" hidden="false" customHeight="true" outlineLevel="0" collapsed="false">
      <c r="F964" s="22" t="n">
        <f aca="false">IF($C964=0,0,$C964-$D964)</f>
        <v>0</v>
      </c>
    </row>
    <row r="965" customFormat="false" ht="15" hidden="false" customHeight="true" outlineLevel="0" collapsed="false">
      <c r="F965" s="22" t="n">
        <f aca="false">IF($C965=0,0,$C965-$D965)</f>
        <v>0</v>
      </c>
    </row>
    <row r="966" customFormat="false" ht="15" hidden="false" customHeight="true" outlineLevel="0" collapsed="false">
      <c r="F966" s="22" t="n">
        <f aca="false">IF($C966=0,0,$C966-$D966)</f>
        <v>0</v>
      </c>
    </row>
    <row r="967" customFormat="false" ht="15" hidden="false" customHeight="true" outlineLevel="0" collapsed="false">
      <c r="F967" s="22" t="n">
        <f aca="false">IF($C967=0,0,$C967-$D967)</f>
        <v>0</v>
      </c>
    </row>
    <row r="968" customFormat="false" ht="15" hidden="false" customHeight="true" outlineLevel="0" collapsed="false">
      <c r="F968" s="22" t="n">
        <f aca="false">IF($C968=0,0,$C968-$D968)</f>
        <v>0</v>
      </c>
    </row>
    <row r="969" customFormat="false" ht="15" hidden="false" customHeight="true" outlineLevel="0" collapsed="false">
      <c r="F969" s="22" t="n">
        <f aca="false">IF($C969=0,0,$C969-$D969)</f>
        <v>0</v>
      </c>
    </row>
    <row r="970" customFormat="false" ht="15" hidden="false" customHeight="true" outlineLevel="0" collapsed="false">
      <c r="F970" s="22" t="n">
        <f aca="false">IF($C970=0,0,$C970-$D970)</f>
        <v>0</v>
      </c>
    </row>
    <row r="971" customFormat="false" ht="15" hidden="false" customHeight="true" outlineLevel="0" collapsed="false">
      <c r="F971" s="22" t="n">
        <f aca="false">IF($C971=0,0,$C971-$D971)</f>
        <v>0</v>
      </c>
    </row>
    <row r="972" customFormat="false" ht="15" hidden="false" customHeight="true" outlineLevel="0" collapsed="false">
      <c r="F972" s="22" t="n">
        <f aca="false">IF($C972=0,0,$C972-$D972)</f>
        <v>0</v>
      </c>
    </row>
    <row r="973" customFormat="false" ht="15" hidden="false" customHeight="true" outlineLevel="0" collapsed="false">
      <c r="F973" s="22" t="n">
        <f aca="false">IF($C973=0,0,$C973-$D973)</f>
        <v>0</v>
      </c>
    </row>
    <row r="974" customFormat="false" ht="15" hidden="false" customHeight="true" outlineLevel="0" collapsed="false">
      <c r="F974" s="22" t="n">
        <f aca="false">IF($C974=0,0,$C974-$D974)</f>
        <v>0</v>
      </c>
    </row>
    <row r="975" customFormat="false" ht="15" hidden="false" customHeight="true" outlineLevel="0" collapsed="false">
      <c r="F975" s="22" t="n">
        <f aca="false">IF($C975=0,0,$C975-$D975)</f>
        <v>0</v>
      </c>
    </row>
    <row r="976" customFormat="false" ht="15" hidden="false" customHeight="true" outlineLevel="0" collapsed="false">
      <c r="F976" s="22" t="n">
        <f aca="false">IF($C976=0,0,$C976-$D976)</f>
        <v>0</v>
      </c>
    </row>
    <row r="977" customFormat="false" ht="15" hidden="false" customHeight="true" outlineLevel="0" collapsed="false">
      <c r="F977" s="22" t="n">
        <f aca="false">IF($C977=0,0,$C977-$D977)</f>
        <v>0</v>
      </c>
    </row>
    <row r="978" customFormat="false" ht="15" hidden="false" customHeight="true" outlineLevel="0" collapsed="false">
      <c r="F978" s="22" t="n">
        <f aca="false">IF($C978=0,0,$C978-$D978)</f>
        <v>0</v>
      </c>
    </row>
    <row r="979" customFormat="false" ht="15" hidden="false" customHeight="true" outlineLevel="0" collapsed="false">
      <c r="F979" s="22" t="n">
        <f aca="false">IF($C979=0,0,$C979-$D979)</f>
        <v>0</v>
      </c>
    </row>
    <row r="980" customFormat="false" ht="15" hidden="false" customHeight="true" outlineLevel="0" collapsed="false">
      <c r="F980" s="22" t="n">
        <f aca="false">IF($C980=0,0,$C980-$D980)</f>
        <v>0</v>
      </c>
    </row>
    <row r="981" customFormat="false" ht="15" hidden="false" customHeight="true" outlineLevel="0" collapsed="false">
      <c r="F981" s="22" t="n">
        <f aca="false">IF($C981=0,0,$C981-$D981)</f>
        <v>0</v>
      </c>
    </row>
    <row r="982" customFormat="false" ht="15" hidden="false" customHeight="true" outlineLevel="0" collapsed="false">
      <c r="F982" s="22" t="n">
        <f aca="false">IF($C982=0,0,$C982-$D982)</f>
        <v>0</v>
      </c>
    </row>
    <row r="983" customFormat="false" ht="15" hidden="false" customHeight="true" outlineLevel="0" collapsed="false">
      <c r="F983" s="22" t="n">
        <f aca="false">IF($C983=0,0,$C983-$D983)</f>
        <v>0</v>
      </c>
    </row>
    <row r="984" customFormat="false" ht="15" hidden="false" customHeight="true" outlineLevel="0" collapsed="false">
      <c r="F984" s="22" t="n">
        <f aca="false">IF($C984=0,0,$C984-$D984)</f>
        <v>0</v>
      </c>
    </row>
    <row r="985" customFormat="false" ht="15" hidden="false" customHeight="true" outlineLevel="0" collapsed="false">
      <c r="F985" s="22" t="n">
        <f aca="false">IF($C985=0,0,$C985-$D985)</f>
        <v>0</v>
      </c>
    </row>
    <row r="986" customFormat="false" ht="15" hidden="false" customHeight="true" outlineLevel="0" collapsed="false">
      <c r="F986" s="22" t="n">
        <f aca="false">IF($C986=0,0,$C986-$D986)</f>
        <v>0</v>
      </c>
    </row>
    <row r="987" customFormat="false" ht="15" hidden="false" customHeight="true" outlineLevel="0" collapsed="false">
      <c r="F987" s="22" t="n">
        <f aca="false">IF($C987=0,0,$C987-$D987)</f>
        <v>0</v>
      </c>
    </row>
    <row r="988" customFormat="false" ht="15" hidden="false" customHeight="true" outlineLevel="0" collapsed="false">
      <c r="F988" s="22" t="n">
        <f aca="false">IF($C988=0,0,$C988-$D988)</f>
        <v>0</v>
      </c>
    </row>
    <row r="989" customFormat="false" ht="15" hidden="false" customHeight="true" outlineLevel="0" collapsed="false">
      <c r="F989" s="22" t="n">
        <f aca="false">IF($C989=0,0,$C989-$D989)</f>
        <v>0</v>
      </c>
    </row>
    <row r="990" customFormat="false" ht="15" hidden="false" customHeight="true" outlineLevel="0" collapsed="false">
      <c r="F990" s="22" t="n">
        <f aca="false">IF($C990=0,0,$C990-$D990)</f>
        <v>0</v>
      </c>
    </row>
    <row r="991" customFormat="false" ht="15" hidden="false" customHeight="true" outlineLevel="0" collapsed="false">
      <c r="F991" s="22" t="n">
        <f aca="false">IF($C991=0,0,$C991-$D991)</f>
        <v>0</v>
      </c>
    </row>
    <row r="992" customFormat="false" ht="15" hidden="false" customHeight="true" outlineLevel="0" collapsed="false">
      <c r="F992" s="22" t="n">
        <f aca="false">IF($C992=0,0,$C992-$D992)</f>
        <v>0</v>
      </c>
    </row>
    <row r="993" customFormat="false" ht="15" hidden="false" customHeight="true" outlineLevel="0" collapsed="false">
      <c r="F993" s="22" t="n">
        <f aca="false">IF($C993=0,0,$C993-$D993)</f>
        <v>0</v>
      </c>
    </row>
    <row r="994" customFormat="false" ht="15" hidden="false" customHeight="true" outlineLevel="0" collapsed="false">
      <c r="F994" s="22" t="n">
        <f aca="false">IF($C994=0,0,$C994-$D994)</f>
        <v>0</v>
      </c>
    </row>
    <row r="995" customFormat="false" ht="15" hidden="false" customHeight="true" outlineLevel="0" collapsed="false">
      <c r="F995" s="22" t="n">
        <f aca="false">IF($C995=0,0,$C995-$D995)</f>
        <v>0</v>
      </c>
    </row>
    <row r="996" customFormat="false" ht="15" hidden="false" customHeight="true" outlineLevel="0" collapsed="false">
      <c r="F996" s="22" t="n">
        <f aca="false">IF($C996=0,0,$C996-$D996)</f>
        <v>0</v>
      </c>
    </row>
    <row r="997" customFormat="false" ht="15" hidden="false" customHeight="true" outlineLevel="0" collapsed="false">
      <c r="F997" s="22" t="n">
        <f aca="false">IF($C997=0,0,$C997-$D997)</f>
        <v>0</v>
      </c>
    </row>
    <row r="998" customFormat="false" ht="15" hidden="false" customHeight="true" outlineLevel="0" collapsed="false">
      <c r="F998" s="22" t="n">
        <f aca="false">IF($C998=0,0,$C998-$D998)</f>
        <v>0</v>
      </c>
    </row>
    <row r="999" customFormat="false" ht="15" hidden="false" customHeight="true" outlineLevel="0" collapsed="false">
      <c r="F999" s="22" t="n">
        <f aca="false">IF($C999=0,0,$C999-$D999)</f>
        <v>0</v>
      </c>
    </row>
    <row r="1000" customFormat="false" ht="15" hidden="false" customHeight="true" outlineLevel="0" collapsed="false">
      <c r="F1000" s="22" t="n">
        <f aca="false">IF($C1000=0,0,$C1000-$D1000)</f>
        <v>0</v>
      </c>
    </row>
    <row r="1001" customFormat="false" ht="15" hidden="false" customHeight="true" outlineLevel="0" collapsed="false">
      <c r="F1001" s="22" t="n">
        <f aca="false">IF($C1001=0,0,$C1001-$D1001)</f>
        <v>0</v>
      </c>
    </row>
    <row r="1002" customFormat="false" ht="15" hidden="false" customHeight="true" outlineLevel="0" collapsed="false">
      <c r="F1002" s="22" t="n">
        <f aca="false">IF($C1002=0,0,$C1002-$D1002)</f>
        <v>0</v>
      </c>
    </row>
    <row r="1003" customFormat="false" ht="15" hidden="false" customHeight="true" outlineLevel="0" collapsed="false">
      <c r="F1003" s="22" t="n">
        <f aca="false">IF($C1003=0,0,$C1003-$D1003)</f>
        <v>0</v>
      </c>
    </row>
    <row r="1004" customFormat="false" ht="15" hidden="false" customHeight="true" outlineLevel="0" collapsed="false">
      <c r="F1004" s="22" t="n">
        <f aca="false">IF($C1004=0,0,$C1004-$D1004)</f>
        <v>0</v>
      </c>
    </row>
    <row r="1006" customFormat="false" ht="19.5" hidden="false" customHeight="true" outlineLevel="0" collapsed="false">
      <c r="A1006" s="23" t="s">
        <v>189</v>
      </c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6">
      <formula>0</formula>
    </cfRule>
  </conditionalFormatting>
  <conditionalFormatting sqref="D6:D1004">
    <cfRule type="cellIs" priority="3" operator="lessThan" aboveAverage="0" equalAverage="0" bottom="0" percent="0" rank="0" text="" dxfId="6">
      <formula>0</formula>
    </cfRule>
  </conditionalFormatting>
  <conditionalFormatting sqref="E6:E1004">
    <cfRule type="cellIs" priority="4" operator="lessThan" aboveAverage="0" equalAverage="0" bottom="0" percent="0" rank="0" text="" dxfId="6">
      <formula>0</formula>
    </cfRule>
    <cfRule type="cellIs" priority="5" operator="greaterThan" aboveAverage="0" equalAverage="0" bottom="0" percent="0" rank="0" text="" dxfId="7">
      <formula>0.5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0" t="s">
        <v>190</v>
      </c>
    </row>
    <row r="3" customFormat="false" ht="15" hidden="false" customHeight="false" outlineLevel="0" collapsed="false">
      <c r="A3" s="0" t="s">
        <v>191</v>
      </c>
      <c r="B3" s="0" t="s">
        <v>192</v>
      </c>
      <c r="C3" s="0" t="s">
        <v>193</v>
      </c>
      <c r="D3" s="0" t="s">
        <v>194</v>
      </c>
    </row>
    <row r="4" customFormat="false" ht="15" hidden="false" customHeight="false" outlineLevel="0" collapsed="false">
      <c r="A4" s="0" t="s">
        <v>195</v>
      </c>
      <c r="B4" s="0" t="str">
        <f aca="false">UPPER(SUBSTITUTE(A4," ",""))</f>
        <v>ORNEK-001</v>
      </c>
      <c r="C4" s="0" t="n">
        <f aca="false">COUNTIF($A$4:$A$1000,A4)</f>
        <v>1</v>
      </c>
      <c r="D4" s="0" t="s">
        <v>196</v>
      </c>
    </row>
    <row r="5" customFormat="false" ht="15" hidden="false" customHeight="false" outlineLevel="0" collapsed="false">
      <c r="A5" s="0" t="s">
        <v>197</v>
      </c>
      <c r="B5" s="0" t="str">
        <f aca="false">UPPER(SUBSTITUTE(A5," ",""))</f>
        <v>ORNEK-002</v>
      </c>
      <c r="C5" s="0" t="n">
        <f aca="false">COUNTIF($A$4:$A$1000,A5)</f>
        <v>1</v>
      </c>
      <c r="D5" s="0" t="s">
        <v>198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0" t="s">
        <v>199</v>
      </c>
    </row>
    <row r="3" customFormat="false" ht="15" hidden="false" customHeight="false" outlineLevel="0" collapsed="false">
      <c r="A3" s="0" t="s">
        <v>200</v>
      </c>
      <c r="B3" s="0" t="s">
        <v>201</v>
      </c>
      <c r="C3" s="0" t="s">
        <v>202</v>
      </c>
      <c r="D3" s="0" t="s">
        <v>203</v>
      </c>
    </row>
    <row r="4" customFormat="false" ht="15" hidden="false" customHeight="false" outlineLevel="0" collapsed="false">
      <c r="A4" s="0" t="s">
        <v>204</v>
      </c>
      <c r="B4" s="0" t="s">
        <v>205</v>
      </c>
      <c r="C4" s="55" t="n">
        <v>0</v>
      </c>
      <c r="D4" s="55" t="n">
        <v>0</v>
      </c>
    </row>
    <row r="5" customFormat="false" ht="15" hidden="false" customHeight="false" outlineLevel="0" collapsed="false">
      <c r="A5" s="0" t="s">
        <v>206</v>
      </c>
      <c r="B5" s="0" t="s">
        <v>207</v>
      </c>
      <c r="C5" s="55" t="n">
        <v>0</v>
      </c>
      <c r="D5" s="55" t="n">
        <v>0.01</v>
      </c>
    </row>
    <row r="6" customFormat="false" ht="15" hidden="false" customHeight="false" outlineLevel="0" collapsed="false">
      <c r="A6" s="0" t="s">
        <v>208</v>
      </c>
      <c r="B6" s="0" t="s">
        <v>209</v>
      </c>
      <c r="C6" s="55" t="n">
        <v>0</v>
      </c>
      <c r="D6" s="55" t="n">
        <v>0</v>
      </c>
    </row>
    <row r="7" customFormat="false" ht="15" hidden="false" customHeight="false" outlineLevel="0" collapsed="false">
      <c r="A7" s="0" t="s">
        <v>210</v>
      </c>
      <c r="B7" s="0" t="s">
        <v>211</v>
      </c>
      <c r="C7" s="55" t="n">
        <v>0</v>
      </c>
      <c r="D7" s="55" t="n">
        <v>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2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0" t="s">
        <v>212</v>
      </c>
    </row>
    <row r="3" customFormat="false" ht="15" hidden="false" customHeight="false" outlineLevel="0" collapsed="false">
      <c r="A3" s="0" t="s">
        <v>200</v>
      </c>
      <c r="B3" s="0" t="s">
        <v>213</v>
      </c>
      <c r="C3" s="0" t="s">
        <v>214</v>
      </c>
    </row>
    <row r="4" customFormat="false" ht="15" hidden="false" customHeight="false" outlineLevel="0" collapsed="false">
      <c r="A4" s="0" t="s">
        <v>215</v>
      </c>
      <c r="B4" s="0" t="s">
        <v>216</v>
      </c>
      <c r="C4" s="0" t="s">
        <v>217</v>
      </c>
    </row>
    <row r="5" customFormat="false" ht="15" hidden="false" customHeight="false" outlineLevel="0" collapsed="false">
      <c r="A5" s="0" t="s">
        <v>210</v>
      </c>
      <c r="B5" s="0" t="s">
        <v>218</v>
      </c>
      <c r="C5" s="0" t="s">
        <v>219</v>
      </c>
    </row>
    <row r="6" customFormat="false" ht="15" hidden="false" customHeight="false" outlineLevel="0" collapsed="false">
      <c r="A6" s="0" t="s">
        <v>208</v>
      </c>
      <c r="B6" s="0" t="s">
        <v>220</v>
      </c>
      <c r="C6" s="0" t="s">
        <v>221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223</v>
      </c>
    </row>
    <row r="4" customFormat="false" ht="30" hidden="false" customHeight="true" outlineLevel="0" collapsed="false">
      <c r="A4" s="15" t="s">
        <v>224</v>
      </c>
      <c r="B4" s="15" t="s">
        <v>225</v>
      </c>
      <c r="C4" s="15" t="s">
        <v>226</v>
      </c>
      <c r="D4" s="15" t="s">
        <v>227</v>
      </c>
      <c r="E4" s="15" t="s">
        <v>228</v>
      </c>
    </row>
    <row r="5" customFormat="false" ht="15" hidden="false" customHeight="true" outlineLevel="0" collapsed="false">
      <c r="A5" s="51" t="s">
        <v>229</v>
      </c>
      <c r="B5" s="51" t="s">
        <v>230</v>
      </c>
      <c r="C5" s="51" t="s">
        <v>231</v>
      </c>
      <c r="D5" s="51" t="s">
        <v>232</v>
      </c>
      <c r="E5" s="51" t="s">
        <v>233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</cols>
  <sheetData>
    <row r="1" customFormat="false" ht="25.5" hidden="false" customHeight="true" outlineLevel="0" collapsed="false">
      <c r="A1" s="2" t="s">
        <v>234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235</v>
      </c>
    </row>
    <row r="4" customFormat="false" ht="54.75" hidden="false" customHeight="true" outlineLevel="0" collapsed="false">
      <c r="A4" s="14" t="s">
        <v>236</v>
      </c>
    </row>
    <row r="6" customFormat="false" ht="15" hidden="false" customHeight="true" outlineLevel="0" collapsed="false">
      <c r="A6" s="47" t="s">
        <v>34</v>
      </c>
    </row>
    <row r="7" customFormat="false" ht="15" hidden="false" customHeight="true" outlineLevel="0" collapsed="false">
      <c r="A7" s="56" t="s">
        <v>43</v>
      </c>
    </row>
    <row r="8" customFormat="false" ht="15" hidden="false" customHeight="true" outlineLevel="0" collapsed="false">
      <c r="A8" s="56" t="s">
        <v>45</v>
      </c>
    </row>
    <row r="9" customFormat="false" ht="15" hidden="false" customHeight="true" outlineLevel="0" collapsed="false">
      <c r="A9" s="56" t="s">
        <v>49</v>
      </c>
    </row>
    <row r="10" customFormat="false" ht="15" hidden="false" customHeight="true" outlineLevel="0" collapsed="false">
      <c r="A10" s="56" t="s">
        <v>66</v>
      </c>
    </row>
    <row r="11" customFormat="false" ht="15" hidden="false" customHeight="true" outlineLevel="0" collapsed="false">
      <c r="A11" s="56" t="s">
        <v>67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6"/>
    <col collapsed="false" customWidth="true" hidden="false" outlineLevel="0" max="5" min="3" style="1" width="1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9" min="8" style="1" width="13"/>
  </cols>
  <sheetData>
    <row r="1" customFormat="false" ht="25.5" hidden="false" customHeight="true" outlineLevel="0" collapsed="false">
      <c r="A1" s="2" t="s">
        <v>237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238</v>
      </c>
    </row>
    <row r="4" customFormat="false" ht="81.75" hidden="false" customHeight="true" outlineLevel="0" collapsed="false">
      <c r="A4" s="14" t="s">
        <v>239</v>
      </c>
    </row>
    <row r="6" customFormat="false" ht="30" hidden="false" customHeight="true" outlineLevel="0" collapsed="false">
      <c r="A6" s="15" t="s">
        <v>240</v>
      </c>
      <c r="B6" s="15" t="s">
        <v>241</v>
      </c>
      <c r="C6" s="15" t="s">
        <v>242</v>
      </c>
      <c r="D6" s="15" t="s">
        <v>243</v>
      </c>
      <c r="E6" s="15" t="s">
        <v>244</v>
      </c>
      <c r="F6" s="15" t="s">
        <v>201</v>
      </c>
      <c r="G6" s="15" t="s">
        <v>245</v>
      </c>
      <c r="H6" s="15" t="s">
        <v>246</v>
      </c>
      <c r="I6" s="15" t="s">
        <v>247</v>
      </c>
    </row>
    <row r="7" customFormat="false" ht="25.5" hidden="false" customHeight="true" outlineLevel="0" collapsed="false">
      <c r="A7" s="57" t="s">
        <v>248</v>
      </c>
      <c r="B7" s="58" t="s">
        <v>249</v>
      </c>
      <c r="C7" s="59" t="s">
        <v>250</v>
      </c>
      <c r="D7" s="60"/>
      <c r="E7" s="60"/>
      <c r="F7" s="13" t="s">
        <v>251</v>
      </c>
      <c r="G7" s="59" t="s">
        <v>252</v>
      </c>
      <c r="H7" s="61" t="n">
        <v>46023</v>
      </c>
      <c r="I7" s="61" t="n">
        <v>46244</v>
      </c>
    </row>
    <row r="8" customFormat="false" ht="25.5" hidden="false" customHeight="true" outlineLevel="0" collapsed="false">
      <c r="A8" s="57" t="s">
        <v>253</v>
      </c>
      <c r="B8" s="62" t="n">
        <v>46242</v>
      </c>
      <c r="C8" s="59" t="s">
        <v>224</v>
      </c>
      <c r="D8" s="60"/>
      <c r="E8" s="60"/>
      <c r="F8" s="13" t="s">
        <v>254</v>
      </c>
      <c r="G8" s="59" t="s">
        <v>252</v>
      </c>
      <c r="H8" s="61" t="n">
        <v>46023</v>
      </c>
      <c r="I8" s="61" t="n">
        <v>46244</v>
      </c>
    </row>
    <row r="9" customFormat="false" ht="25.5" hidden="false" customHeight="true" outlineLevel="0" collapsed="false">
      <c r="A9" s="57" t="s">
        <v>255</v>
      </c>
      <c r="B9" s="58" t="s">
        <v>256</v>
      </c>
      <c r="C9" s="59" t="s">
        <v>250</v>
      </c>
      <c r="D9" s="60"/>
      <c r="E9" s="60"/>
      <c r="F9" s="13" t="s">
        <v>257</v>
      </c>
      <c r="G9" s="59" t="s">
        <v>252</v>
      </c>
      <c r="H9" s="61" t="n">
        <v>46023</v>
      </c>
      <c r="I9" s="61" t="n">
        <v>46244</v>
      </c>
    </row>
    <row r="10" customFormat="false" ht="25.5" hidden="false" customHeight="true" outlineLevel="0" collapsed="false">
      <c r="A10" s="57" t="s">
        <v>258</v>
      </c>
      <c r="B10" s="58" t="s">
        <v>230</v>
      </c>
      <c r="C10" s="59" t="s">
        <v>250</v>
      </c>
      <c r="D10" s="60"/>
      <c r="E10" s="60"/>
      <c r="F10" s="13" t="s">
        <v>259</v>
      </c>
      <c r="G10" s="59" t="s">
        <v>252</v>
      </c>
      <c r="H10" s="61" t="n">
        <v>46023</v>
      </c>
      <c r="I10" s="61" t="n">
        <v>46244</v>
      </c>
    </row>
    <row r="11" customFormat="false" ht="25.5" hidden="false" customHeight="true" outlineLevel="0" collapsed="false">
      <c r="A11" s="57" t="s">
        <v>260</v>
      </c>
      <c r="B11" s="63" t="n">
        <v>0.97</v>
      </c>
      <c r="C11" s="59" t="s">
        <v>261</v>
      </c>
      <c r="D11" s="60" t="n">
        <v>0.5</v>
      </c>
      <c r="E11" s="60" t="n">
        <v>1</v>
      </c>
      <c r="F11" s="13" t="s">
        <v>262</v>
      </c>
      <c r="G11" s="59" t="s">
        <v>263</v>
      </c>
      <c r="H11" s="61" t="n">
        <v>46023</v>
      </c>
      <c r="I11" s="61" t="n">
        <v>46244</v>
      </c>
    </row>
    <row r="12" customFormat="false" ht="25.5" hidden="false" customHeight="true" outlineLevel="0" collapsed="false">
      <c r="A12" s="57" t="s">
        <v>264</v>
      </c>
      <c r="B12" s="63" t="n">
        <v>0.05</v>
      </c>
      <c r="C12" s="59" t="s">
        <v>261</v>
      </c>
      <c r="D12" s="60" t="n">
        <v>0</v>
      </c>
      <c r="E12" s="60" t="n">
        <v>1</v>
      </c>
      <c r="F12" s="13" t="s">
        <v>265</v>
      </c>
      <c r="G12" s="59" t="s">
        <v>263</v>
      </c>
      <c r="H12" s="61" t="n">
        <v>46023</v>
      </c>
      <c r="I12" s="61" t="n">
        <v>46244</v>
      </c>
    </row>
    <row r="13" customFormat="false" ht="25.5" hidden="false" customHeight="true" outlineLevel="0" collapsed="false">
      <c r="A13" s="57" t="s">
        <v>266</v>
      </c>
      <c r="B13" s="63" t="n">
        <v>0.03</v>
      </c>
      <c r="C13" s="59" t="s">
        <v>261</v>
      </c>
      <c r="D13" s="60" t="n">
        <v>0</v>
      </c>
      <c r="E13" s="60" t="n">
        <v>0.5</v>
      </c>
      <c r="F13" s="13" t="s">
        <v>267</v>
      </c>
      <c r="G13" s="59" t="s">
        <v>263</v>
      </c>
      <c r="H13" s="61" t="n">
        <v>46023</v>
      </c>
      <c r="I13" s="61" t="n">
        <v>46244</v>
      </c>
    </row>
    <row r="14" customFormat="false" ht="25.5" hidden="false" customHeight="true" outlineLevel="0" collapsed="false">
      <c r="A14" s="57" t="s">
        <v>268</v>
      </c>
      <c r="B14" s="63" t="n">
        <v>1.05</v>
      </c>
      <c r="C14" s="59" t="s">
        <v>261</v>
      </c>
      <c r="D14" s="60" t="n">
        <v>0.5</v>
      </c>
      <c r="E14" s="60" t="n">
        <v>1.5</v>
      </c>
      <c r="F14" s="13" t="s">
        <v>269</v>
      </c>
      <c r="G14" s="59" t="s">
        <v>263</v>
      </c>
      <c r="H14" s="61" t="n">
        <v>46023</v>
      </c>
      <c r="I14" s="61" t="n">
        <v>46244</v>
      </c>
    </row>
    <row r="15" customFormat="false" ht="25.5" hidden="false" customHeight="true" outlineLevel="0" collapsed="false">
      <c r="A15" s="57" t="s">
        <v>270</v>
      </c>
      <c r="B15" s="63" t="n">
        <v>1</v>
      </c>
      <c r="C15" s="59" t="s">
        <v>261</v>
      </c>
      <c r="D15" s="60" t="n">
        <v>0.5</v>
      </c>
      <c r="E15" s="60" t="n">
        <v>1.5</v>
      </c>
      <c r="F15" s="13" t="s">
        <v>271</v>
      </c>
      <c r="G15" s="59" t="s">
        <v>263</v>
      </c>
      <c r="H15" s="61" t="n">
        <v>46023</v>
      </c>
      <c r="I15" s="61" t="n">
        <v>46244</v>
      </c>
    </row>
    <row r="16" customFormat="false" ht="25.5" hidden="false" customHeight="true" outlineLevel="0" collapsed="false">
      <c r="A16" s="57" t="s">
        <v>272</v>
      </c>
      <c r="B16" s="63" t="n">
        <v>0.95</v>
      </c>
      <c r="C16" s="59" t="s">
        <v>261</v>
      </c>
      <c r="D16" s="60" t="n">
        <v>0.5</v>
      </c>
      <c r="E16" s="60" t="n">
        <v>1.5</v>
      </c>
      <c r="F16" s="13" t="s">
        <v>273</v>
      </c>
      <c r="G16" s="59" t="s">
        <v>263</v>
      </c>
      <c r="H16" s="61" t="n">
        <v>46023</v>
      </c>
      <c r="I16" s="61" t="n">
        <v>46244</v>
      </c>
    </row>
    <row r="17" customFormat="false" ht="25.5" hidden="false" customHeight="true" outlineLevel="0" collapsed="false">
      <c r="A17" s="57" t="s">
        <v>274</v>
      </c>
      <c r="B17" s="63" t="n">
        <v>0.01</v>
      </c>
      <c r="C17" s="59" t="s">
        <v>261</v>
      </c>
      <c r="D17" s="60" t="n">
        <v>0</v>
      </c>
      <c r="E17" s="60" t="n">
        <v>0.2</v>
      </c>
      <c r="F17" s="13" t="s">
        <v>275</v>
      </c>
      <c r="G17" s="59" t="s">
        <v>263</v>
      </c>
      <c r="H17" s="61" t="n">
        <v>46023</v>
      </c>
      <c r="I17" s="61" t="n">
        <v>46244</v>
      </c>
    </row>
    <row r="18" customFormat="false" ht="25.5" hidden="false" customHeight="true" outlineLevel="0" collapsed="false">
      <c r="A18" s="57" t="s">
        <v>276</v>
      </c>
      <c r="B18" s="63" t="n">
        <v>0.01</v>
      </c>
      <c r="C18" s="59" t="s">
        <v>261</v>
      </c>
      <c r="D18" s="60" t="n">
        <v>0</v>
      </c>
      <c r="E18" s="60" t="n">
        <v>0.2</v>
      </c>
      <c r="F18" s="13" t="s">
        <v>277</v>
      </c>
      <c r="G18" s="59" t="s">
        <v>263</v>
      </c>
      <c r="H18" s="61" t="n">
        <v>46023</v>
      </c>
      <c r="I18" s="61" t="n">
        <v>46244</v>
      </c>
    </row>
    <row r="19" customFormat="false" ht="25.5" hidden="false" customHeight="true" outlineLevel="0" collapsed="false">
      <c r="A19" s="57" t="s">
        <v>278</v>
      </c>
      <c r="B19" s="63" t="n">
        <v>1.645</v>
      </c>
      <c r="C19" s="59" t="s">
        <v>261</v>
      </c>
      <c r="D19" s="60" t="n">
        <v>0</v>
      </c>
      <c r="E19" s="60" t="n">
        <v>3</v>
      </c>
      <c r="F19" s="13" t="s">
        <v>279</v>
      </c>
      <c r="G19" s="59" t="s">
        <v>263</v>
      </c>
      <c r="H19" s="61" t="n">
        <v>46023</v>
      </c>
      <c r="I19" s="61" t="n">
        <v>46244</v>
      </c>
    </row>
    <row r="20" customFormat="false" ht="25.5" hidden="false" customHeight="true" outlineLevel="0" collapsed="false">
      <c r="A20" s="57" t="s">
        <v>280</v>
      </c>
      <c r="B20" s="64" t="n">
        <v>90</v>
      </c>
      <c r="C20" s="59" t="s">
        <v>281</v>
      </c>
      <c r="D20" s="60" t="n">
        <v>0</v>
      </c>
      <c r="E20" s="60" t="n">
        <v>100</v>
      </c>
      <c r="F20" s="13" t="s">
        <v>282</v>
      </c>
      <c r="G20" s="59" t="s">
        <v>263</v>
      </c>
      <c r="H20" s="61" t="n">
        <v>46023</v>
      </c>
      <c r="I20" s="61" t="n">
        <v>46244</v>
      </c>
    </row>
    <row r="21" customFormat="false" ht="25.5" hidden="false" customHeight="true" outlineLevel="0" collapsed="false">
      <c r="A21" s="57" t="s">
        <v>283</v>
      </c>
      <c r="B21" s="64" t="n">
        <v>70</v>
      </c>
      <c r="C21" s="59" t="s">
        <v>281</v>
      </c>
      <c r="D21" s="60" t="n">
        <v>0</v>
      </c>
      <c r="E21" s="60" t="n">
        <v>100</v>
      </c>
      <c r="F21" s="13" t="s">
        <v>284</v>
      </c>
      <c r="G21" s="59" t="s">
        <v>263</v>
      </c>
      <c r="H21" s="61" t="n">
        <v>46023</v>
      </c>
      <c r="I21" s="61" t="n">
        <v>46244</v>
      </c>
    </row>
    <row r="22" customFormat="false" ht="25.5" hidden="false" customHeight="true" outlineLevel="0" collapsed="false">
      <c r="A22" s="57" t="s">
        <v>285</v>
      </c>
      <c r="B22" s="65" t="s">
        <v>286</v>
      </c>
      <c r="C22" s="59" t="s">
        <v>250</v>
      </c>
      <c r="D22" s="60"/>
      <c r="E22" s="60"/>
      <c r="F22" s="13" t="s">
        <v>287</v>
      </c>
      <c r="G22" s="59" t="s">
        <v>263</v>
      </c>
      <c r="H22" s="61" t="n">
        <v>46023</v>
      </c>
      <c r="I22" s="61" t="n">
        <v>46244</v>
      </c>
    </row>
    <row r="23" customFormat="false" ht="25.5" hidden="false" customHeight="true" outlineLevel="0" collapsed="false">
      <c r="A23" s="57" t="s">
        <v>288</v>
      </c>
      <c r="B23" s="65" t="s">
        <v>289</v>
      </c>
      <c r="C23" s="59" t="s">
        <v>250</v>
      </c>
      <c r="D23" s="60"/>
      <c r="E23" s="60"/>
      <c r="F23" s="13" t="s">
        <v>290</v>
      </c>
      <c r="G23" s="59" t="s">
        <v>263</v>
      </c>
      <c r="H23" s="61" t="n">
        <v>46023</v>
      </c>
      <c r="I23" s="61" t="n">
        <v>46244</v>
      </c>
    </row>
    <row r="24" customFormat="false" ht="25.5" hidden="false" customHeight="true" outlineLevel="0" collapsed="false">
      <c r="A24" s="57" t="s">
        <v>291</v>
      </c>
      <c r="B24" s="65" t="s">
        <v>292</v>
      </c>
      <c r="C24" s="59" t="s">
        <v>250</v>
      </c>
      <c r="D24" s="60"/>
      <c r="E24" s="60"/>
      <c r="F24" s="13" t="s">
        <v>293</v>
      </c>
      <c r="G24" s="59" t="s">
        <v>263</v>
      </c>
      <c r="H24" s="61" t="n">
        <v>46023</v>
      </c>
      <c r="I24" s="61" t="n">
        <v>46244</v>
      </c>
    </row>
    <row r="25" customFormat="false" ht="25.5" hidden="false" customHeight="true" outlineLevel="0" collapsed="false">
      <c r="A25" s="57" t="s">
        <v>294</v>
      </c>
      <c r="B25" s="63" t="n">
        <v>0.9</v>
      </c>
      <c r="C25" s="59" t="s">
        <v>261</v>
      </c>
      <c r="D25" s="60" t="n">
        <v>0.5</v>
      </c>
      <c r="E25" s="60" t="n">
        <v>1</v>
      </c>
      <c r="F25" s="13" t="s">
        <v>295</v>
      </c>
      <c r="G25" s="59" t="s">
        <v>263</v>
      </c>
      <c r="H25" s="61" t="n">
        <v>46023</v>
      </c>
      <c r="I25" s="61" t="n">
        <v>46244</v>
      </c>
    </row>
    <row r="26" customFormat="false" ht="19.5" hidden="false" customHeight="true" outlineLevel="0" collapsed="false">
      <c r="A26" s="7" t="s">
        <v>296</v>
      </c>
      <c r="B26" s="66" t="n">
        <v>1</v>
      </c>
      <c r="C26" s="59" t="s">
        <v>297</v>
      </c>
      <c r="F26" s="13" t="s">
        <v>298</v>
      </c>
      <c r="G26" s="59" t="s">
        <v>252</v>
      </c>
      <c r="H26" s="61" t="n">
        <v>46023</v>
      </c>
      <c r="I26" s="61" t="n">
        <v>46244</v>
      </c>
    </row>
    <row r="27" customFormat="false" ht="19.5" hidden="false" customHeight="true" outlineLevel="0" collapsed="false">
      <c r="A27" s="7" t="s">
        <v>299</v>
      </c>
      <c r="B27" s="66" t="n">
        <v>2</v>
      </c>
      <c r="C27" s="59" t="s">
        <v>297</v>
      </c>
      <c r="F27" s="13" t="s">
        <v>300</v>
      </c>
      <c r="G27" s="59" t="s">
        <v>252</v>
      </c>
      <c r="H27" s="61" t="n">
        <v>46023</v>
      </c>
      <c r="I27" s="61" t="n">
        <v>46244</v>
      </c>
    </row>
    <row r="28" customFormat="false" ht="19.5" hidden="false" customHeight="true" outlineLevel="0" collapsed="false">
      <c r="A28" s="7" t="s">
        <v>301</v>
      </c>
      <c r="B28" s="66" t="n">
        <v>3</v>
      </c>
      <c r="C28" s="59" t="s">
        <v>297</v>
      </c>
      <c r="F28" s="13" t="s">
        <v>302</v>
      </c>
      <c r="G28" s="59" t="s">
        <v>252</v>
      </c>
      <c r="H28" s="61" t="n">
        <v>46023</v>
      </c>
      <c r="I28" s="61" t="n">
        <v>46244</v>
      </c>
    </row>
    <row r="29" customFormat="false" ht="19.5" hidden="false" customHeight="true" outlineLevel="0" collapsed="false">
      <c r="A29" s="7" t="s">
        <v>303</v>
      </c>
      <c r="B29" s="66" t="n">
        <v>4</v>
      </c>
      <c r="C29" s="59" t="s">
        <v>297</v>
      </c>
      <c r="F29" s="13" t="s">
        <v>304</v>
      </c>
      <c r="G29" s="59" t="s">
        <v>252</v>
      </c>
      <c r="H29" s="61" t="n">
        <v>46023</v>
      </c>
      <c r="I29" s="61" t="n">
        <v>46244</v>
      </c>
    </row>
    <row r="30" customFormat="false" ht="19.5" hidden="false" customHeight="true" outlineLevel="0" collapsed="false">
      <c r="A30" s="7" t="s">
        <v>305</v>
      </c>
      <c r="B30" s="66" t="n">
        <v>5</v>
      </c>
      <c r="C30" s="59" t="s">
        <v>297</v>
      </c>
      <c r="F30" s="13" t="s">
        <v>306</v>
      </c>
      <c r="G30" s="59" t="s">
        <v>252</v>
      </c>
      <c r="H30" s="61" t="n">
        <v>46023</v>
      </c>
      <c r="I30" s="61" t="n">
        <v>46244</v>
      </c>
    </row>
    <row r="31" customFormat="false" ht="19.5" hidden="false" customHeight="true" outlineLevel="0" collapsed="false">
      <c r="A31" s="7" t="s">
        <v>307</v>
      </c>
      <c r="B31" s="66" t="n">
        <v>6</v>
      </c>
      <c r="C31" s="59" t="s">
        <v>297</v>
      </c>
      <c r="F31" s="13" t="s">
        <v>308</v>
      </c>
      <c r="G31" s="59" t="s">
        <v>252</v>
      </c>
      <c r="H31" s="61" t="n">
        <v>46023</v>
      </c>
      <c r="I31" s="61" t="n">
        <v>46244</v>
      </c>
    </row>
    <row r="32" customFormat="false" ht="19.5" hidden="false" customHeight="true" outlineLevel="0" collapsed="false">
      <c r="A32" s="7" t="s">
        <v>309</v>
      </c>
      <c r="B32" s="66" t="n">
        <v>7</v>
      </c>
      <c r="C32" s="59" t="s">
        <v>297</v>
      </c>
      <c r="F32" s="13" t="s">
        <v>310</v>
      </c>
      <c r="G32" s="59" t="s">
        <v>252</v>
      </c>
      <c r="H32" s="61" t="n">
        <v>46023</v>
      </c>
      <c r="I32" s="61" t="n">
        <v>46244</v>
      </c>
    </row>
    <row r="33" customFormat="false" ht="19.5" hidden="false" customHeight="true" outlineLevel="0" collapsed="false">
      <c r="A33" s="7" t="s">
        <v>311</v>
      </c>
      <c r="B33" s="66" t="n">
        <v>8</v>
      </c>
      <c r="C33" s="59" t="s">
        <v>297</v>
      </c>
      <c r="F33" s="13" t="s">
        <v>312</v>
      </c>
      <c r="G33" s="59" t="s">
        <v>252</v>
      </c>
      <c r="H33" s="61" t="n">
        <v>46023</v>
      </c>
      <c r="I33" s="61" t="n">
        <v>46244</v>
      </c>
    </row>
    <row r="34" customFormat="false" ht="19.5" hidden="false" customHeight="true" outlineLevel="0" collapsed="false">
      <c r="A34" s="7" t="s">
        <v>313</v>
      </c>
      <c r="B34" s="66" t="n">
        <v>9</v>
      </c>
      <c r="C34" s="59" t="s">
        <v>297</v>
      </c>
      <c r="F34" s="13" t="s">
        <v>314</v>
      </c>
      <c r="G34" s="59" t="s">
        <v>252</v>
      </c>
      <c r="H34" s="61" t="n">
        <v>46023</v>
      </c>
      <c r="I34" s="61" t="n">
        <v>46244</v>
      </c>
    </row>
    <row r="35" customFormat="false" ht="19.5" hidden="false" customHeight="true" outlineLevel="0" collapsed="false">
      <c r="A35" s="7" t="s">
        <v>315</v>
      </c>
      <c r="B35" s="66" t="n">
        <v>10</v>
      </c>
      <c r="C35" s="59" t="s">
        <v>297</v>
      </c>
      <c r="F35" s="13" t="s">
        <v>316</v>
      </c>
      <c r="G35" s="59" t="s">
        <v>252</v>
      </c>
      <c r="H35" s="61" t="n">
        <v>46023</v>
      </c>
      <c r="I35" s="61" t="n">
        <v>46244</v>
      </c>
    </row>
    <row r="36" customFormat="false" ht="19.5" hidden="false" customHeight="true" outlineLevel="0" collapsed="false">
      <c r="A36" s="7" t="s">
        <v>317</v>
      </c>
      <c r="B36" s="66" t="n">
        <v>11</v>
      </c>
      <c r="C36" s="59" t="s">
        <v>297</v>
      </c>
      <c r="F36" s="13" t="s">
        <v>318</v>
      </c>
      <c r="G36" s="59" t="s">
        <v>252</v>
      </c>
      <c r="H36" s="61" t="n">
        <v>46023</v>
      </c>
      <c r="I36" s="61" t="n">
        <v>46244</v>
      </c>
    </row>
    <row r="37" customFormat="false" ht="19.5" hidden="false" customHeight="true" outlineLevel="0" collapsed="false">
      <c r="A37" s="7" t="s">
        <v>319</v>
      </c>
      <c r="B37" s="66" t="n">
        <v>12</v>
      </c>
      <c r="C37" s="59" t="s">
        <v>297</v>
      </c>
      <c r="F37" s="13" t="s">
        <v>320</v>
      </c>
      <c r="G37" s="59" t="s">
        <v>252</v>
      </c>
      <c r="H37" s="61" t="n">
        <v>46023</v>
      </c>
      <c r="I37" s="61" t="n">
        <v>46244</v>
      </c>
    </row>
    <row r="45" customFormat="false" ht="15" hidden="false" customHeight="true" outlineLevel="0" collapsed="false">
      <c r="B45" s="67" t="s">
        <v>321</v>
      </c>
      <c r="C45" s="67"/>
      <c r="D45" s="67"/>
      <c r="E45" s="67"/>
      <c r="F45" s="67"/>
      <c r="G45" s="67"/>
      <c r="H45" s="67"/>
      <c r="I45" s="67"/>
    </row>
    <row r="46" customFormat="false" ht="15" hidden="false" customHeight="true" outlineLevel="0" collapsed="false">
      <c r="B46" s="68" t="s">
        <v>322</v>
      </c>
      <c r="C46" s="68"/>
      <c r="D46" s="68"/>
      <c r="E46" s="68"/>
      <c r="F46" s="68"/>
      <c r="G46" s="68"/>
      <c r="H46" s="68"/>
      <c r="I46" s="68"/>
    </row>
    <row r="47" customFormat="false" ht="15" hidden="false" customHeight="true" outlineLevel="0" collapsed="false">
      <c r="B47" s="68"/>
      <c r="C47" s="68"/>
      <c r="D47" s="68"/>
      <c r="E47" s="68"/>
      <c r="F47" s="68"/>
      <c r="G47" s="68"/>
      <c r="H47" s="68"/>
      <c r="I47" s="68"/>
    </row>
  </sheetData>
  <sheetProtection sheet="true" password="cc3d" objects="true" scenarios="true" deleteColumns="false" deleteRows="false"/>
  <mergeCells count="3">
    <mergeCell ref="A1:AD1"/>
    <mergeCell ref="B45:I45"/>
    <mergeCell ref="B46:I47"/>
  </mergeCells>
  <dataValidations count="19">
    <dataValidation allowBlank="false" error="Değer geçersiz; alan açıklamasına uygun bir değer girin." errorStyle="stop" operator="between" prompt="Rapor ve kapakta görünen firma adı." promptTitle="FirmaUnvan" showDropDown="false" showErrorMessage="true" showInputMessage="true" sqref="B7" type="textLength">
      <formula1>1</formula1>
      <formula2>200</formula2>
    </dataValidation>
    <dataValidation allowBlank="false" error="Değer geçersiz; alan açıklamasına uygun bir değer girin." errorStyle="stop" operator="greaterThanOrEqual" prompt="Tüm hesapların ve kararın alındığı tarih." promptTitle="RaporTarihi" showDropDown="false" showErrorMessage="true" showInputMessage="true" sqref="B8" type="date">
      <formula1>2020-1-1</formula1>
      <formula2>0</formula2>
    </dataValidation>
    <dataValidation allowBlank="false" error="Değer geçersiz; alan açıklamasına uygun bir değer girin." errorStyle="stop" operator="between" prompt="Raporu hazırlayan kişi/rol." promptTitle="RaporHazirlayan" showDropDown="false" showErrorMessage="true" showInputMessage="true" sqref="B9" type="textLength">
      <formula1>1</formula1>
      <formula2>200</formula2>
    </dataValidation>
    <dataValidation allowBlank="false" error="Değer geçersiz; alan açıklamasına uygun bir değer girin." errorStyle="stop" operator="between" prompt="Ürün sürüm bilgisi; rapor alt bilgisinde görünür." promptTitle="DosyaSurumu" showDropDown="false" showErrorMessage="true" showInputMessage="true" sqref="B10" type="textLength">
      <formula1>1</formula1>
      <formula2>200</formula2>
    </dataValidation>
    <dataValidation allowBlank="false" error="Değer geçersiz; alan açıklamasına uygun bir değer girin." errorStyle="stop" operator="between" prompt="Hedef net tahsilat oranı; bu değerin altındaki oran İNCELE kararı üretir." promptTitle="PosNetHedefOran" showDropDown="false" showErrorMessage="true" showInputMessage="true" sqref="B11" type="decimal">
      <formula1>0.5</formula1>
      <formula2>1</formula2>
    </dataValidation>
    <dataValidation allowBlank="false" error="Değer geçersiz; alan açıklamasına uygun bir değer girin." errorStyle="stop" operator="between" prompt="İade oranı bu eşiği aşarsa kanal riskli işaretlenir." promptTitle="PosIadeRiskEsik" showDropDown="false" showErrorMessage="true" showInputMessage="true" sqref="B12" type="decimal">
      <formula1>0</formula1>
      <formula2>1</formula2>
    </dataValidation>
    <dataValidation allowBlank="false" error="Değer geçersiz; alan açıklamasına uygun bir değer girin." errorStyle="stop" operator="between" prompt="Komisyon oranı bu eşiği aşarsa karar DURDUR olur." promptTitle="PosKomisyonRiskEsik" showDropDown="false" showErrorMessage="true" showInputMessage="true" sqref="B13" type="decimal">
      <formula1>0</formula1>
      <formula2>0.5</formula2>
    </dataValidation>
    <dataValidation allowBlank="false" error="Değer geçersiz; alan açıklamasına uygun bir değer girin." errorStyle="stop" operator="between" prompt="İyimser senaryoda net tahsilat bu çarpanla hesaplanır." promptTitle="PosIyiSenaryo" showDropDown="false" showErrorMessage="true" showInputMessage="true" sqref="B14" type="decimal">
      <formula1>0.5</formula1>
      <formula2>1.5</formula2>
    </dataValidation>
    <dataValidation allowBlank="false" error="Değer geçersiz; alan açıklamasına uygun bir değer girin." errorStyle="stop" operator="between" prompt="Baz senaryoda net tahsilat bu çarpanla hesaplanır." promptTitle="PosBazSenaryo" showDropDown="false" showErrorMessage="true" showInputMessage="true" sqref="B15" type="decimal">
      <formula1>0.5</formula1>
      <formula2>1.5</formula2>
    </dataValidation>
    <dataValidation allowBlank="false" error="Değer geçersiz; alan açıklamasına uygun bir değer girin." errorStyle="stop" operator="between" prompt="Kötümser senaryoda net tahsilat bu çarpanla hesaplanır." promptTitle="PosKotuSenaryo" showDropDown="false" showErrorMessage="true" showInputMessage="true" sqref="B16" type="decimal">
      <formula1>0.5</formula1>
      <formula2>1.5</formula2>
    </dataValidation>
    <dataValidation allowBlank="false" error="Değer geçersiz; alan açıklamasına uygun bir değer girin." errorStyle="stop" operator="between" prompt="Komisyon oranının %1 puan artışının net tahsilata etkisi." promptTitle="PosTornadoKomisyon" showDropDown="false" showErrorMessage="true" showInputMessage="true" sqref="B17" type="decimal">
      <formula1>0</formula1>
      <formula2>0.2</formula2>
    </dataValidation>
    <dataValidation allowBlank="false" error="Değer geçersiz; alan açıklamasına uygun bir değer girin." errorStyle="stop" operator="between" prompt="İade oranının %1 puan artışının net tahsilata etkisi." promptTitle="PosTornadoIade" showDropDown="false" showErrorMessage="true" showInputMessage="true" sqref="B18" type="decimal">
      <formula1>0</formula1>
      <formula2>0.2</formula2>
    </dataValidation>
    <dataValidation allowBlank="false" error="Değer geçersiz; alan açıklamasına uygun bir değer girin." errorStyle="stop" operator="between" prompt="Tahmin bandı genişliği (standart sapma katı)." promptTitle="PosTahminCarpan" showDropDown="false" showErrorMessage="true" showInputMessage="true" sqref="B19" type="decimal">
      <formula1>0</formula1>
      <formula2>3</formula2>
    </dataValidation>
    <dataValidation allowBlank="false" error="Değer geçersiz; alan açıklamasına uygun bir değer girin." errorStyle="stop" operator="between" prompt="Kalite skoru bu eşiğin üzerindeyse YÜKSEK kalite." promptTitle="PosKaliteIyi" showDropDown="false" showErrorMessage="true" showInputMessage="true" sqref="B20" type="decimal">
      <formula1>0</formula1>
      <formula2>100</formula2>
    </dataValidation>
    <dataValidation allowBlank="false" error="Değer geçersiz; alan açıklamasına uygun bir değer girin." errorStyle="stop" operator="between" prompt="Kalite skoru bu eşiğin üzerindeyse ORTA kalite." promptTitle="PosKaliteOrta" showDropDown="false" showErrorMessage="true" showInputMessage="true" sqref="B21" type="decimal">
      <formula1>0</formula1>
      <formula2>100</formula2>
    </dataValidation>
    <dataValidation allowBlank="false" error="Değer geçersiz; alan açıklamasına uygun bir değer girin." errorStyle="stop" operator="between" prompt="DURDUR kararında gösterilen ilk öneri." promptTitle="PosAksiyon1_ACIKLAMA" showDropDown="false" showErrorMessage="true" showInputMessage="true" sqref="B22" type="textLength">
      <formula1>1</formula1>
      <formula2>200</formula2>
    </dataValidation>
    <dataValidation allowBlank="false" error="Değer geçersiz; alan açıklamasına uygun bir değer girin." errorStyle="stop" operator="between" prompt="İNCELE kararında gösterilen ikinci öneri." promptTitle="PosAksiyon2_ACIKLAMA" showDropDown="false" showErrorMessage="true" showInputMessage="true" sqref="B23" type="textLength">
      <formula1>1</formula1>
      <formula2>200</formula2>
    </dataValidation>
    <dataValidation allowBlank="false" error="Değer geçersiz; alan açıklamasına uygun bir değer girin." errorStyle="stop" operator="between" prompt="İNCELE kararında gösterilen üçüncü öneri." promptTitle="PosAksiyon3_ACIKLAMA" showDropDown="false" showErrorMessage="true" showInputMessage="true" sqref="B24" type="textLength">
      <formula1>1</formula1>
      <formula2>200</formula2>
    </dataValidation>
    <dataValidation allowBlank="false" error="Değer geçersiz; alan açıklamasına uygun bir değer girin." errorStyle="stop" operator="between" prompt="Net tahsilat dağılımında üst yüzdelik dilimin oranı." promptTitle="PosP90Oran" showDropDown="false" showErrorMessage="true" showInputMessage="true" sqref="B25" type="decimal">
      <formula1>0.5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323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324</v>
      </c>
    </row>
    <row r="5" customFormat="false" ht="15" hidden="false" customHeight="true" outlineLevel="0" collapsed="false">
      <c r="A5" s="10" t="s">
        <v>325</v>
      </c>
      <c r="B5" s="6" t="s">
        <v>326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327</v>
      </c>
      <c r="B6" s="6" t="s">
        <v>328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329</v>
      </c>
      <c r="B7" s="6" t="s">
        <v>330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331</v>
      </c>
      <c r="B8" s="6" t="s">
        <v>332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15" hidden="false" customHeight="true" outlineLevel="0" collapsed="false">
      <c r="A9" s="10" t="s">
        <v>333</v>
      </c>
      <c r="B9" s="6" t="s">
        <v>334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1" customFormat="false" ht="24.75" hidden="false" customHeight="true" outlineLevel="0" collapsed="false">
      <c r="A11" s="13" t="s">
        <v>335</v>
      </c>
    </row>
    <row r="13" customFormat="false" ht="15" hidden="false" customHeight="true" outlineLevel="0" collapsed="false">
      <c r="A13" s="5" t="s">
        <v>336</v>
      </c>
    </row>
    <row r="14" customFormat="false" ht="41.25" hidden="false" customHeight="true" outlineLevel="0" collapsed="false">
      <c r="A14" s="69" t="s">
        <v>337</v>
      </c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</row>
    <row r="15" customFormat="false" ht="15" hidden="false" customHeight="true" outlineLevel="0" collapsed="false">
      <c r="A15" s="71" t="s">
        <v>338</v>
      </c>
    </row>
    <row r="16" customFormat="false" ht="15" hidden="false" customHeight="true" outlineLevel="0" collapsed="false">
      <c r="A16" s="71" t="s">
        <v>339</v>
      </c>
    </row>
    <row r="17" customFormat="false" ht="15" hidden="false" customHeight="true" outlineLevel="0" collapsed="false">
      <c r="A17" s="71" t="s">
        <v>340</v>
      </c>
    </row>
    <row r="18" customFormat="false" ht="15" hidden="false" customHeight="true" outlineLevel="0" collapsed="false">
      <c r="A18" s="71" t="s">
        <v>341</v>
      </c>
    </row>
    <row r="19" customFormat="false" ht="15" hidden="false" customHeight="true" outlineLevel="0" collapsed="false">
      <c r="A19" s="71" t="s">
        <v>342</v>
      </c>
    </row>
    <row r="20" customFormat="false" ht="15" hidden="false" customHeight="true" outlineLevel="0" collapsed="false">
      <c r="A20" s="71" t="s">
        <v>343</v>
      </c>
    </row>
    <row r="21" customFormat="false" ht="15" hidden="false" customHeight="true" outlineLevel="0" collapsed="false">
      <c r="A21" s="71" t="s">
        <v>344</v>
      </c>
    </row>
    <row r="22" customFormat="false" ht="15" hidden="false" customHeight="true" outlineLevel="0" collapsed="false">
      <c r="A22" s="71" t="s">
        <v>345</v>
      </c>
    </row>
    <row r="23" customFormat="false" ht="15" hidden="false" customHeight="true" outlineLevel="0" collapsed="false">
      <c r="A23" s="71" t="s">
        <v>346</v>
      </c>
    </row>
    <row r="25" customFormat="false" ht="24.75" hidden="false" customHeight="true" outlineLevel="0" collapsed="false">
      <c r="A25" s="13" t="s">
        <v>347</v>
      </c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5:T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2026-08-10T09:59:49Z</dcterms:created>
  <dc:creator>openpyxl</dc:creator>
  <dc:description/>
  <dc:language>tr-TR</dc:language>
  <cp:lastModifiedBy/>
  <dcterms:modified xsi:type="dcterms:W3CDTF">2026-08-12T10:32:02Z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