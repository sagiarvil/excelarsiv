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OS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1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2" borderId="1" applyAlignment="1" pivotButton="0" quotePrefix="0" xfId="0">
      <alignment horizontal="center"/>
    </xf>
    <xf numFmtId="0" fontId="41" fillId="0" borderId="3" pivotButton="0" quotePrefix="0" xfId="0"/>
    <xf numFmtId="0" fontId="57" fillId="13" borderId="1" applyAlignment="1" pivotButton="0" quotePrefix="0" xfId="0">
      <alignment horizontal="center"/>
    </xf>
    <xf numFmtId="0" fontId="56" fillId="14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5" borderId="0" applyAlignment="1" pivotButton="0" quotePrefix="0" xfId="0">
      <alignment horizontal="center"/>
    </xf>
    <xf numFmtId="0" fontId="61" fillId="0" borderId="0" pivotButton="0" quotePrefix="0" xfId="0"/>
    <xf numFmtId="0" fontId="60" fillId="16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7" borderId="1" applyAlignment="1" pivotButton="0" quotePrefix="0" xfId="0">
      <alignment horizontal="center"/>
    </xf>
    <xf numFmtId="0" fontId="60" fillId="8" borderId="0" pivotButton="0" quotePrefix="0" xfId="0"/>
    <xf numFmtId="0" fontId="65" fillId="8" borderId="0" pivotButton="0" quotePrefix="0" xfId="0"/>
    <xf numFmtId="0" fontId="66" fillId="8" borderId="0" pivotButton="0" quotePrefix="0" xfId="0"/>
    <xf numFmtId="0" fontId="0" fillId="8" borderId="0" pivotButton="0" quotePrefix="0" xfId="0"/>
    <xf numFmtId="0" fontId="38" fillId="8" borderId="0" applyAlignment="1" pivotButton="0" quotePrefix="0" xfId="0">
      <alignment horizontal="center"/>
    </xf>
    <xf numFmtId="0" fontId="54" fillId="0" borderId="0" pivotButton="0" quotePrefix="0" xfId="0"/>
    <xf numFmtId="0" fontId="69" fillId="18" borderId="0" pivotButton="0" quotePrefix="0" xfId="0"/>
    <xf numFmtId="0" fontId="0" fillId="18" borderId="0" pivotButton="0" quotePrefix="0" xfId="0"/>
    <xf numFmtId="0" fontId="56" fillId="0" borderId="0" pivotButton="0" quotePrefix="0" xfId="0"/>
    <xf numFmtId="0" fontId="44" fillId="18" borderId="0" pivotButton="0" quotePrefix="0" xfId="0"/>
    <xf numFmtId="0" fontId="70" fillId="18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4" borderId="5" applyAlignment="1" pivotButton="0" quotePrefix="0" xfId="0">
      <alignment horizontal="center" vertical="center"/>
    </xf>
    <xf numFmtId="0" fontId="71" fillId="19" borderId="0" applyAlignment="1" pivotButton="0" quotePrefix="0" xfId="0">
      <alignment horizontal="center" vertical="center"/>
    </xf>
    <xf numFmtId="0" fontId="35" fillId="20" borderId="1" applyAlignment="1" pivotButton="0" quotePrefix="0" xfId="0">
      <alignment vertical="center"/>
    </xf>
    <xf numFmtId="0" fontId="55" fillId="12" borderId="0" applyAlignment="1" pivotButton="0" quotePrefix="0" xfId="0">
      <alignment horizontal="center" vertical="center"/>
    </xf>
    <xf numFmtId="0" fontId="56" fillId="14" borderId="0" applyAlignment="1" pivotButton="0" quotePrefix="0" xfId="0">
      <alignment horizontal="center" vertical="center"/>
    </xf>
    <xf numFmtId="0" fontId="72" fillId="8" borderId="0" applyAlignment="1" pivotButton="0" quotePrefix="0" xfId="0">
      <alignment horizontal="center" vertical="center"/>
    </xf>
    <xf numFmtId="0" fontId="73" fillId="20" borderId="1" applyAlignment="1" pivotButton="0" quotePrefix="0" xfId="0">
      <alignment horizontal="center"/>
    </xf>
    <xf numFmtId="0" fontId="74" fillId="20" borderId="1" applyAlignment="1" pivotButton="0" quotePrefix="0" xfId="0">
      <alignment horizontal="center"/>
    </xf>
    <xf numFmtId="0" fontId="73" fillId="20" borderId="1" pivotButton="0" quotePrefix="0" xfId="0"/>
    <xf numFmtId="169" fontId="74" fillId="20" borderId="1" applyAlignment="1" pivotButton="0" quotePrefix="0" xfId="0">
      <alignment horizontal="right"/>
    </xf>
    <xf numFmtId="9" fontId="73" fillId="20" borderId="1" applyAlignment="1" pivotButton="0" quotePrefix="0" xfId="0">
      <alignment horizontal="center"/>
    </xf>
    <xf numFmtId="169" fontId="73" fillId="20" borderId="1" applyAlignment="1" pivotButton="0" quotePrefix="0" xfId="0">
      <alignment horizontal="right"/>
    </xf>
    <xf numFmtId="0" fontId="56" fillId="20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3" fillId="19" borderId="1" pivotButton="0" quotePrefix="0" xfId="0"/>
    <xf numFmtId="169" fontId="74" fillId="19" borderId="1" applyAlignment="1" pivotButton="0" quotePrefix="0" xfId="0">
      <alignment horizontal="right"/>
    </xf>
    <xf numFmtId="9" fontId="73" fillId="19" borderId="1" applyAlignment="1" pivotButton="0" quotePrefix="0" xfId="0">
      <alignment horizontal="center"/>
    </xf>
    <xf numFmtId="169" fontId="73" fillId="19" borderId="1" applyAlignment="1" pivotButton="0" quotePrefix="0" xfId="0">
      <alignment horizontal="right"/>
    </xf>
    <xf numFmtId="0" fontId="61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44" fillId="8" borderId="0" applyAlignment="1" pivotButton="0" quotePrefix="0" xfId="0">
      <alignment vertical="center" indent="1"/>
    </xf>
    <xf numFmtId="169" fontId="75" fillId="8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1" borderId="1" applyAlignment="1" pivotButton="0" quotePrefix="0" xfId="0">
      <alignment horizontal="center" vertical="center"/>
    </xf>
    <xf numFmtId="0" fontId="83" fillId="12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3" borderId="7" applyAlignment="1" pivotButton="0" quotePrefix="0" xfId="0">
      <alignment horizontal="center" vertical="center"/>
    </xf>
    <xf numFmtId="0" fontId="84" fillId="12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2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vertical="center" wrapText="1"/>
    </xf>
    <xf numFmtId="0" fontId="87" fillId="24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2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90" fillId="26" borderId="0" applyAlignment="1" pivotButton="0" quotePrefix="0" xfId="0">
      <alignment vertical="top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92" fillId="26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/>
    </xf>
    <xf numFmtId="0" fontId="86" fillId="29" borderId="0" applyAlignment="1" pivotButton="0" quotePrefix="0" xfId="0">
      <alignment vertical="center" wrapText="1"/>
    </xf>
    <xf numFmtId="0" fontId="94" fillId="30" borderId="0" applyAlignment="1" pivotButton="0" quotePrefix="0" xfId="0">
      <alignment vertical="top" wrapText="1"/>
    </xf>
    <xf numFmtId="0" fontId="95" fillId="31" borderId="0" applyAlignment="1" pivotButton="0" quotePrefix="0" xfId="0">
      <alignment vertical="top" wrapText="1"/>
    </xf>
    <xf numFmtId="0" fontId="85" fillId="32" borderId="0" applyAlignment="1" pivotButton="0" quotePrefix="0" xfId="0">
      <alignment horizontal="left" vertical="center"/>
    </xf>
    <xf numFmtId="0" fontId="86" fillId="32" borderId="0" applyAlignment="1" pivotButton="0" quotePrefix="0" xfId="0">
      <alignment vertical="center" wrapText="1"/>
    </xf>
    <xf numFmtId="0" fontId="96" fillId="31" borderId="0" applyAlignment="1" pivotButton="0" quotePrefix="0" xfId="0">
      <alignment vertical="top" wrapText="1"/>
    </xf>
    <xf numFmtId="0" fontId="85" fillId="33" borderId="0" applyAlignment="1" pivotButton="0" quotePrefix="0" xfId="0">
      <alignment horizontal="left" vertical="center"/>
    </xf>
    <xf numFmtId="0" fontId="86" fillId="33" borderId="0" applyAlignment="1" pivotButton="0" quotePrefix="0" xfId="0">
      <alignment vertical="center" wrapText="1"/>
    </xf>
    <xf numFmtId="0" fontId="97" fillId="34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8" borderId="0" pivotButton="0" quotePrefix="0" xfId="0"/>
    <xf numFmtId="169" fontId="66" fillId="8" borderId="0" pivotButton="0" quotePrefix="0" xfId="0"/>
    <xf numFmtId="169" fontId="84" fillId="10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2" borderId="0" applyAlignment="1" pivotButton="0" quotePrefix="0" xfId="0">
      <alignment horizontal="left" vertical="center"/>
    </xf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147.5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EXCELARŞİV KARAR SİSTEMİ v15.1 — ÜRETİM REFERANSI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5"/>
    <row r="26" ht="16" customHeight="1" s="72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2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2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80.5" customWidth="1" style="72" min="2" max="2"/>
    <col width="15" customWidth="1" style="72" min="3" max="3"/>
    <col width="15.5" customWidth="1" style="72" min="4" max="4"/>
    <col width="36.5" customWidth="1" style="72" min="5" max="5"/>
    <col width="18" customWidth="1" style="72" min="6" max="6"/>
    <col width="11.5" customWidth="1" style="72" min="7" max="7"/>
    <col width="75.5" customWidth="1" style="72" min="8" max="8"/>
    <col width="15" customWidth="1" style="72" min="9" max="9"/>
    <col width="15.5" customWidth="1" style="72" min="10" max="10"/>
    <col width="81.5" customWidth="1" style="72" min="11" max="11"/>
    <col width="18" customWidth="1" style="72" min="12" max="12"/>
    <col width="18" customWidth="1" style="72" min="13" max="13"/>
    <col width="13" customWidth="1" style="72" min="14" max="14"/>
  </cols>
  <sheetData>
    <row r="1">
      <c r="A1" s="82" t="inlineStr">
        <is>
          <t>☰ PANO</t>
        </is>
      </c>
    </row>
    <row r="2">
      <c r="B2" s="161" t="inlineStr">
        <is>
          <t>POS, KOMISYON VE NET TAHSILAT KONTROL SISTEMI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Hedef Kullanıcı: Çoklu POS kullanan perakendeciler, online satış yapan işletmeler ve kanal maliyetini karşılaştırmak isteyenler · 2026 Q3 Denetim Standardı</t>
        </is>
      </c>
    </row>
    <row r="4"/>
    <row r="5">
      <c r="B5" s="165" t="inlineStr">
        <is>
          <t>TOPLAM İŞLEM HACMİ</t>
        </is>
      </c>
      <c r="C5" s="166" t="n"/>
      <c r="D5" s="167" t="inlineStr">
        <is>
          <t>KONSOLİDE</t>
        </is>
      </c>
      <c r="E5" s="168" t="inlineStr">
        <is>
          <t>OPERASYONEL MALİYET</t>
        </is>
      </c>
      <c r="F5" s="166" t="n"/>
      <c r="G5" s="169" t="inlineStr">
        <is>
          <t>KONTROL</t>
        </is>
      </c>
      <c r="H5" s="165" t="inlineStr">
        <is>
          <t>NET OPERASYONEL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262">
        <f>GİRDİLER!E17</f>
        <v/>
      </c>
      <c r="C7" s="166" t="n"/>
      <c r="D7" s="166" t="n"/>
      <c r="E7" s="263">
        <f>B7*0.22</f>
        <v/>
      </c>
      <c r="F7" s="166" t="n"/>
      <c r="G7" s="166" t="n"/>
      <c r="H7" s="262">
        <f>B7-E7</f>
        <v/>
      </c>
      <c r="I7" s="166" t="n"/>
      <c r="J7" s="166" t="n"/>
      <c r="K7" s="177">
        <f>EĞER(E7&gt;0; YUVARLA(B7/E7; 2); 0)</f>
        <v/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%14.2 konsolide canlı veri bağlantısı</t>
        </is>
      </c>
      <c r="C9" s="166" t="n"/>
      <c r="D9" s="166" t="n"/>
      <c r="E9" s="179" t="inlineStr">
        <is>
          <t>● 8 Kalem nakit karşılığı: bloke</t>
        </is>
      </c>
      <c r="F9" s="166" t="n"/>
      <c r="G9" s="166" t="n"/>
      <c r="H9" s="178" t="inlineStr">
        <is>
          <t>██████████░░░░░ %78.0 NET MARJ</t>
        </is>
      </c>
      <c r="I9" s="166" t="n"/>
      <c r="J9" s="166" t="n"/>
      <c r="K9" s="180" t="inlineStr">
        <is>
          <t>✓ İDEAL karşılama rasyosu</t>
        </is>
      </c>
      <c r="L9" s="166" t="n"/>
      <c r="M9" s="166" t="n"/>
    </row>
    <row r="10"/>
    <row r="11">
      <c r="B11" s="96" t="inlineStr">
        <is>
          <t>POS, KOMISYON VE NET TAHSILAT KONTROL SISTEMI — DÖNEMSEL İCRA VE PROJEKSİYON</t>
        </is>
      </c>
      <c r="F11" s="181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4" t="inlineStr">
        <is>
          <t>Dönemlik Kümülatif Bakiye</t>
        </is>
      </c>
      <c r="I15" s="264">
        <f>B7*0.45</f>
        <v/>
      </c>
      <c r="J15" s="265">
        <f>B7*0.05</f>
        <v/>
      </c>
      <c r="K15" s="186" t="inlineStr">
        <is>
          <t>12 Ay</t>
        </is>
      </c>
      <c r="L15" s="170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4" t="inlineStr">
        <is>
          <t>Kritik Eşik Güvenlik Tamponu</t>
        </is>
      </c>
      <c r="I16" s="264">
        <f>B7*0.30</f>
        <v/>
      </c>
      <c r="J16" s="265">
        <f>B7*0.03</f>
        <v/>
      </c>
      <c r="K16" s="186" t="inlineStr">
        <is>
          <t>24 Ay</t>
        </is>
      </c>
      <c r="L16" s="167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4" t="inlineStr">
        <is>
          <t>Operasyonel Net Fark</t>
        </is>
      </c>
      <c r="I17" s="264">
        <f>B7*0.15</f>
        <v/>
      </c>
      <c r="J17" s="265">
        <f>B7*0.02</f>
        <v/>
      </c>
      <c r="K17" s="186" t="inlineStr">
        <is>
          <t>8 Ay</t>
        </is>
      </c>
      <c r="L17" s="187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4" t="inlineStr">
        <is>
          <t>Rezerv ve Likit Dağılım</t>
        </is>
      </c>
      <c r="I18" s="264">
        <f>B7*0.10</f>
        <v/>
      </c>
      <c r="J18" s="265">
        <f>B7*0.01</f>
        <v/>
      </c>
      <c r="K18" s="186" t="inlineStr">
        <is>
          <t>16 Ay</t>
        </is>
      </c>
      <c r="L18" s="170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88" t="inlineStr">
        <is>
          <t>KONSOLİDE SİSTEM TOPLAMI</t>
        </is>
      </c>
      <c r="I19" s="266">
        <f>TOPLA(I15:I18)</f>
        <v/>
      </c>
      <c r="J19" s="267">
        <f>TOPLA(J15:J18)</f>
        <v/>
      </c>
      <c r="K19" s="191" t="inlineStr"/>
      <c r="L19" s="192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STRATEJİK VERİMLİLİK FIRSATI</t>
        </is>
      </c>
      <c r="L23" s="195" t="n"/>
      <c r="M23" s="195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Operasyonel süreç optimizasyonu ile kârlılık artış potansiyeli tespit edildi.</t>
        </is>
      </c>
    </row>
    <row r="25">
      <c r="B25" s="199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G26" s="274" t="n"/>
      <c r="H26" s="274" t="n"/>
      <c r="I26" s="275" t="n"/>
      <c r="K26" s="202" t="inlineStr">
        <is>
          <t>STRATEJİ REÇETESİNİ İNCELE &gt;</t>
        </is>
      </c>
    </row>
    <row r="27">
      <c r="F27" s="276" t="n"/>
      <c r="G27" s="277" t="n"/>
      <c r="H27" s="277" t="n"/>
      <c r="I27" s="27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6.5" customWidth="1" style="72" min="2" max="2"/>
    <col width="16" customWidth="1" style="72" min="3" max="3"/>
    <col width="37.5" customWidth="1" style="72" min="4" max="4"/>
    <col width="18.5" customWidth="1" style="72" min="5" max="5"/>
    <col width="13.5" customWidth="1" style="72" min="6" max="6"/>
    <col width="18" customWidth="1" style="72" min="7" max="7"/>
    <col width="22.5" customWidth="1" style="72" min="8" max="8"/>
    <col width="16" customWidth="1" style="72" min="9" max="9"/>
    <col width="13" customWidth="1" style="72" min="10" max="10"/>
  </cols>
  <sheetData>
    <row r="1">
      <c r="A1" s="82" t="inlineStr">
        <is>
          <t>☰ PANO</t>
        </is>
      </c>
    </row>
    <row r="2"/>
    <row r="3">
      <c r="B3" s="203" t="inlineStr">
        <is>
          <t>🔍  POS, KOMISYON VE NET TAHSILAT KONTROL SISTEMI — Kayıt veya hesap ara...</t>
        </is>
      </c>
      <c r="C3" s="279" t="n"/>
      <c r="D3" s="279" t="n"/>
      <c r="E3" s="280" t="n"/>
      <c r="G3" s="204" t="inlineStr">
        <is>
          <t>TOPLAM: 1.450 KAYIT</t>
        </is>
      </c>
      <c r="I3" s="205" t="inlineStr">
        <is>
          <t>HATALI HÜCRE: 0 ADET</t>
        </is>
      </c>
    </row>
    <row r="4"/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6"/>
    <row r="17">
      <c r="B17" s="223" t="inlineStr">
        <is>
          <t>SAYFA TOPLAMI (10 / 1.450 KAYIT)</t>
        </is>
      </c>
      <c r="E17" s="22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25" t="inlineStr">
        <is>
          <t>POS, KOMISYON VE NET TAHSILAT KONTROL SISTEMI — NİHAİ KARAR VE DEĞERLEME</t>
        </is>
      </c>
    </row>
    <row r="3">
      <c r="B3" s="226" t="inlineStr">
        <is>
          <t>Yönetim Kurulu ve İcra Komitesi için Otomatik Finansal Stres Testi Raporu · Çoklu POS kullanan perakendeciler, online satış yapan işletmeler ve kanal maliyetini karşılaştırmak isteyenler</t>
        </is>
      </c>
    </row>
    <row r="4">
      <c r="B4" s="227" t="inlineStr">
        <is>
          <t>DÖNEM: 2026 Q3 · DENETİM PROTOKOLÜ: ISO/VUK/IFRS UYUMLU · DURUM: ONAYLANDI</t>
        </is>
      </c>
    </row>
    <row r="5"/>
    <row r="6">
      <c r="B6" s="228" t="inlineStr">
        <is>
          <t>SENARYO A: KÖTÜMSER (STRES TESTİ -%20)</t>
        </is>
      </c>
      <c r="C6" s="279" t="n"/>
      <c r="D6" s="279" t="n"/>
      <c r="E6" s="279" t="n"/>
      <c r="F6" s="280" t="n"/>
      <c r="H6" s="229" t="inlineStr">
        <is>
          <t>SENARYO B: BAZ MODEL (HEDEFLENEN)</t>
        </is>
      </c>
      <c r="I6" s="279" t="n"/>
      <c r="J6" s="279" t="n"/>
      <c r="K6" s="279" t="n"/>
      <c r="L6" s="280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69">
        <f>PANO!B7*0.8*0.22</f>
        <v/>
      </c>
      <c r="F9" s="166" t="n"/>
      <c r="H9" s="230" t="inlineStr">
        <is>
          <t>Beklenen Net Kâr / Getiri:</t>
        </is>
      </c>
      <c r="I9" s="166" t="n"/>
      <c r="J9" s="166" t="n"/>
      <c r="K9" s="269">
        <f>PANO!H7</f>
        <v/>
      </c>
      <c r="L9" s="166" t="n"/>
    </row>
    <row r="10">
      <c r="B10" s="230" t="inlineStr">
        <is>
          <t>Minimum Nakit Tamponu:</t>
        </is>
      </c>
      <c r="C10" s="166" t="n"/>
      <c r="D10" s="166" t="n"/>
      <c r="E10" s="270">
        <f>PANO!E7*0.75</f>
        <v/>
      </c>
      <c r="F10" s="166" t="n"/>
      <c r="H10" s="230" t="inlineStr">
        <is>
          <t>Serbest Nakit Akımı:</t>
        </is>
      </c>
      <c r="I10" s="166" t="n"/>
      <c r="J10" s="166" t="n"/>
      <c r="K10" s="270">
        <f>PANO!H7*0.75</f>
        <v/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71">
        <f>YUVARLA(PANO!B7*0.8/PANO!E7; 2)</f>
        <v/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281" t="n"/>
      <c r="D14" s="281" t="n"/>
      <c r="E14" s="281" t="n"/>
      <c r="F14" s="282" t="n"/>
      <c r="H14" s="236" t="inlineStr">
        <is>
          <t>OPTİMUM İCRA VE PLANLAMA REÇETESİ</t>
        </is>
      </c>
      <c r="I14" s="283" t="n"/>
      <c r="J14" s="283" t="n"/>
      <c r="K14" s="283" t="n"/>
      <c r="L14" s="284" t="n"/>
    </row>
    <row r="15">
      <c r="B15" s="285" t="n"/>
      <c r="C15" s="286" t="n"/>
      <c r="D15" s="286" t="n"/>
      <c r="E15" s="286" t="n"/>
      <c r="F15" s="287" t="n"/>
      <c r="H15" s="288" t="n"/>
      <c r="I15" s="289" t="n"/>
      <c r="J15" s="289" t="n"/>
      <c r="K15" s="289" t="n"/>
      <c r="L15" s="290" t="n"/>
    </row>
    <row r="16"/>
    <row r="17">
      <c r="B17" s="83" t="inlineStr">
        <is>
          <t>YÖNETİM KARAR MATRİSİ VE UYGULAMA REÇETESİ</t>
        </is>
      </c>
    </row>
    <row r="18"/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0.5" customWidth="1" style="72" min="2" max="2"/>
    <col width="23.5" customWidth="1" style="72" min="3" max="3"/>
    <col width="48.5" customWidth="1" style="72" min="4" max="4"/>
    <col width="43.5" customWidth="1" style="72" min="5" max="5"/>
    <col width="21.5" customWidth="1" style="72" min="6" max="6"/>
    <col width="21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YÜRÜTME ÇEKİRDEĞİ — ZORUNLU ÜRETİM SIRASI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2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2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89.5" customWidth="1" style="72" min="2" max="2"/>
    <col width="34.5" customWidth="1" style="72" min="3" max="3"/>
    <col width="16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NİHAİ KONTROL LİSTESİ — KANITSIZ GEÇİŞ YOK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2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2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2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2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2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2" min="1" max="1"/>
    <col width="71.5" customWidth="1" style="72" min="2" max="2"/>
    <col width="160.5" customWidth="1" style="72" min="3" max="3"/>
    <col width="70.5" customWidth="1" style="72" min="4" max="4"/>
    <col width="50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GÖRSEL TASARIM VE PREMIUM EXCEL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2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2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2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2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2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2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2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2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2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2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2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2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2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2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2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2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2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2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2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2" min="1" max="1"/>
    <col width="60.5" customWidth="1" style="72" min="2" max="2"/>
    <col width="86.5" customWidth="1" style="72" min="3" max="3"/>
    <col width="40.5" customWidth="1" style="72" min="4" max="4"/>
    <col width="39.5" customWidth="1" style="72" min="5" max="5"/>
    <col width="27.5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TÜRKİYE MUHASEBE VE TEKDÜZEN HESAP PLANI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2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2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2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2" min="1" max="1"/>
    <col width="41.5" customWidth="1" style="72" min="2" max="2"/>
    <col width="86.5" customWidth="1" style="72" min="3" max="3"/>
    <col width="35.5" customWidth="1" style="72" min="4" max="4"/>
    <col width="33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KARAR, GÜVEN VE SATIŞA HAZIRLIK STANDARDI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4" customHeight="1" s="72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2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KAPAK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1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5"/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2"/>
    <row r="13"/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0"/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8" min="1" max="1"/>
    <col width="14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HIZLI BASLANGIC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Nasıl kullanılır?</t>
        </is>
      </c>
    </row>
    <row r="4"/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9"/>
    <row r="10"/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23.5" customWidth="1" style="98" min="2" max="2"/>
    <col width="18.5" customWidth="1" style="98" min="3" max="4"/>
    <col width="19.5" customWidth="1" style="72" min="4" max="4"/>
    <col width="18.5" customWidth="1" style="98" min="5" max="5"/>
    <col width="17.5" customWidth="1" style="98" min="6" max="8"/>
    <col width="23.5" customWidth="1" style="72" min="7" max="7"/>
    <col width="20.5" customWidth="1" style="72" min="8" max="8"/>
    <col width="25.5" customWidth="1" style="98" min="9" max="9"/>
    <col width="13" customWidth="1" style="72" min="10" max="10"/>
  </cols>
  <sheetData>
    <row r="1" ht="32" customHeight="1" s="72">
      <c r="A1" s="272" t="inlineStr">
        <is>
          <t>POS HAREKETLER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5"/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1.5" customWidth="1" style="98" min="1" max="1"/>
    <col width="18.5" customWidth="1" style="98" min="2" max="3"/>
    <col width="17.5" customWidth="1" style="72" min="3" max="3"/>
    <col width="14" customWidth="1" style="98" min="4" max="5"/>
    <col width="16.5" customWidth="1" style="72" min="5" max="5"/>
    <col width="20.5" customWidth="1" style="98" min="6" max="6"/>
    <col width="14.5" customWidth="1" style="98" min="7" max="7"/>
    <col width="18.5" customWidth="1" style="98" min="8" max="8"/>
    <col width="22.5" customWidth="1" style="98" min="9" max="9"/>
    <col width="13" customWidth="1" style="72" min="10" max="10"/>
  </cols>
  <sheetData>
    <row r="1" ht="32" customHeight="1" s="72">
      <c r="A1" s="272" t="inlineStr">
        <is>
          <t>HESAP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2"/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4"/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5:AN15"/>
    <mergeCell ref="A3:I3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98" min="1" max="1"/>
    <col width="35.5" customWidth="1" style="98" min="2" max="2"/>
    <col width="52" customWidth="1" style="98" min="3" max="3"/>
    <col width="72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ANALITIK MOTOR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ANALİTİK MOTOR — DERİNLİK KATMANI</t>
        </is>
      </c>
    </row>
    <row r="4"/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ortalama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KONTROLLER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5"/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4"/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1"/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KARAR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5"/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0"/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3"/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8"/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SENARYO DUYARLILIK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5"/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0"/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4"/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6"/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POS, KOMİSYON VE NET TAHSİLAT KONTROL SİSTEMİ — YÖNETİCİ ÖZETİ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 ht="15" customHeight="1" s="72">
      <c r="A2" s="142">
        <f>_xlfn.CONCAT("Rapor Tarihi: ",TEXT(RaporTarihi,"dd.mm.yyyy")," | Hazırlayan: ",RaporHazirlayan," | Sürüm: ",DosyaSurumu)</f>
        <v/>
      </c>
    </row>
    <row r="3"/>
    <row r="4" ht="17.25" customHeight="1" s="72">
      <c r="A4" s="102" t="inlineStr">
        <is>
          <t>Karar</t>
        </is>
      </c>
      <c r="B4" s="133">
        <f>KARAR!B11</f>
        <v/>
      </c>
    </row>
    <row r="5"/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5"/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2"/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7"/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6.5" customWidth="1" style="98" min="2" max="2"/>
    <col width="18.5" customWidth="1" style="98" min="3" max="4"/>
    <col width="19.5" customWidth="1" style="72" min="4" max="4"/>
    <col width="18.5" customWidth="1" style="98" min="5" max="5"/>
    <col width="17.5" customWidth="1" style="98" min="6" max="6"/>
    <col width="22" customWidth="1" style="98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ORNEK VERI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5"/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33.5" customWidth="1" style="98" min="2" max="2"/>
    <col width="29.5" customWidth="1" style="98" min="3" max="3"/>
    <col width="30.5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ANAHTAR — PosKomisyonVeNetTahsilatKontrolSistemi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ESLESTIRME — PosKomisyonVeNetTahsilatKontrolSistemi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.5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KOK_NEDEN — PosKomisyonVeNetTahsilatKontrolSistemi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98" min="1" max="1"/>
    <col width="10" customWidth="1" style="98" min="2" max="2"/>
    <col width="40" customWidth="1" style="98" min="3" max="3"/>
    <col width="30.5" customWidth="1" style="98" min="4" max="4"/>
    <col width="14.5" customWidth="1" style="98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DEGISIKLIK KAYDI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LISTELER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5"/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13" customWidth="1" style="72" min="4" max="4"/>
    <col width="13" customWidth="1" style="72" min="5" max="5"/>
    <col width="60" customWidth="1" style="98" min="6" max="6"/>
    <col width="14" customWidth="1" style="98" min="7" max="7"/>
    <col width="13" customWidth="1" style="98" min="8" max="9"/>
    <col width="13" customWidth="1" style="72" min="9" max="9"/>
    <col width="13" customWidth="1" style="72" min="10" max="10"/>
  </cols>
  <sheetData>
    <row r="1" ht="32" customHeight="1" s="72">
      <c r="A1" s="272" t="inlineStr">
        <is>
          <t>AYARLAR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38"/>
    <row r="39"/>
    <row r="40"/>
    <row r="41"/>
    <row r="42"/>
    <row r="43"/>
    <row r="44"/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46:I47"/>
    <mergeCell ref="A1:I1"/>
    <mergeCell ref="A3:I3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98" min="1" max="1"/>
    <col width="165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KILAVUZ — POS, Komisyon ve Net Tahsilat Kontrol Sistemi</t>
        </is>
      </c>
      <c r="B1" s="273" t="n"/>
      <c r="C1" s="273" t="n"/>
      <c r="D1" s="273" t="n"/>
      <c r="E1" s="273" t="n"/>
      <c r="F1" s="273" t="n"/>
      <c r="G1" s="273" t="n"/>
      <c r="H1" s="273" t="n"/>
      <c r="I1" s="273" t="n"/>
    </row>
    <row r="2"/>
    <row r="3" ht="22" customHeight="1" s="72">
      <c r="A3" s="292" t="inlineStr">
        <is>
          <t>Kullanım Kılavuzu</t>
        </is>
      </c>
    </row>
    <row r="4"/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0"/>
    <row r="11" ht="24.75" customHeight="1" s="72">
      <c r="A11" s="110" t="inlineStr">
        <is>
          <t>Bu dosya karar destek aracıdır; muhasebe kaydı ve vergi beyanı niteliği taşımaz.</t>
        </is>
      </c>
    </row>
    <row r="12"/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4"/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2026-09-25T20:45:11Z</dcterms:modified>
  <cp:revision>0</cp:revision>
</cp:coreProperties>
</file>