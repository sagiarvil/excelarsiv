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5.xml" ContentType="application/vnd.openxmlformats-officedocument.spreadsheetml.comments+xml"/>
  <Override PartName="/xl/worksheets/sheet25.xml" ContentType="application/vnd.openxmlformats-officedocument.spreadsheetml.worksheet+xml"/>
  <Override PartName="/xl/comments/comment6.xml" ContentType="application/vnd.openxmlformats-officedocument.spreadsheetml.comments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POS_HAREKETLER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ANALITIK_MOTOR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ANAHTAR" sheetId="20" state="visible" r:id="rId20"/>
    <sheet xmlns:r="http://schemas.openxmlformats.org/officeDocument/2006/relationships" name="ESLESTIRME" sheetId="21" state="visible" r:id="rId21"/>
    <sheet xmlns:r="http://schemas.openxmlformats.org/officeDocument/2006/relationships" name="KOK_NEDEN" sheetId="22" state="visible" r:id="rId22"/>
    <sheet xmlns:r="http://schemas.openxmlformats.org/officeDocument/2006/relationships" name="DEGISIKLIK_KAYDI" sheetId="23" state="visible" r:id="rId23"/>
    <sheet xmlns:r="http://schemas.openxmlformats.org/officeDocument/2006/relationships" name="LISTELER" sheetId="24" state="visible" r:id="rId24"/>
    <sheet xmlns:r="http://schemas.openxmlformats.org/officeDocument/2006/relationships" name="AYARLAR" sheetId="25" state="visible" r:id="rId25"/>
    <sheet xmlns:r="http://schemas.openxmlformats.org/officeDocument/2006/relationships" name="KILAVUZ" sheetId="26" state="visible" r:id="rId26"/>
  </sheets>
  <definedNames>
    <definedName name="DosyaSurumu" hidden="0" function="0" vbProcedure="0">AYARLAR!$B$10</definedName>
    <definedName name="FirmaUnvan" hidden="0" function="0" vbProcedure="0">AYARLAR!$B$7</definedName>
    <definedName name="ListeKanalAdlari" hidden="0" function="0" vbProcedure="0">LISTELER!$A$7:$A$11</definedName>
    <definedName name="modulI1Tahmin" hidden="0" function="0" vbProcedure="0">ANALITIK_MOTOR!$C$13</definedName>
    <definedName name="modulI1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2TrendOrt" hidden="0" function="0" vbProcedure="0">ANALITIK_MOTOR!$C$6</definedName>
    <definedName name="modulT2TrendOrtYorum" hidden="0" function="0" vbProcedure="0">ANALITIK_MOTOR!$D$6</definedName>
    <definedName name="modulT4DonemFark" hidden="0" function="0" vbProcedure="0">ANALITIK_MOTOR!$C$7</definedName>
    <definedName name="modulT4DonemFarkYorum" hidden="0" function="0" vbProcedure="0">ANALITIK_MOTOR!$D$7</definedName>
    <definedName name="PanelSatir1" hidden="0" function="0" vbProcedure="0">AYARLAR!$B$26</definedName>
    <definedName name="PanelSatir10" hidden="0" function="0" vbProcedure="0">AYARLAR!$B$35</definedName>
    <definedName name="PanelSatir11" hidden="0" function="0" vbProcedure="0">AYARLAR!$B$36</definedName>
    <definedName name="PanelSatir12" hidden="0" function="0" vbProcedure="0">AYARLAR!$B$37</definedName>
    <definedName name="PanelSatir2" hidden="0" function="0" vbProcedure="0">AYARLAR!$B$27</definedName>
    <definedName name="PanelSatir3" hidden="0" function="0" vbProcedure="0">AYARLAR!$B$28</definedName>
    <definedName name="PanelSatir4" hidden="0" function="0" vbProcedure="0">AYARLAR!$B$29</definedName>
    <definedName name="PanelSatir5" hidden="0" function="0" vbProcedure="0">AYARLAR!$B$30</definedName>
    <definedName name="PanelSatir6" hidden="0" function="0" vbProcedure="0">AYARLAR!$B$31</definedName>
    <definedName name="PanelSatir7" hidden="0" function="0" vbProcedure="0">AYARLAR!$B$32</definedName>
    <definedName name="PanelSatir8" hidden="0" function="0" vbProcedure="0">AYARLAR!$B$33</definedName>
    <definedName name="PanelSatir9" hidden="0" function="0" vbProcedure="0">AYARLAR!$B$34</definedName>
    <definedName name="PosAksiyon1_ACIKLAMA" hidden="0" function="0" vbProcedure="0">AYARLAR!$B$22</definedName>
    <definedName name="PosAksiyon2_ACIKLAMA" hidden="0" function="0" vbProcedure="0">AYARLAR!$B$23</definedName>
    <definedName name="PosAksiyon3_ACIKLAMA" hidden="0" function="0" vbProcedure="0">AYARLAR!$B$24</definedName>
    <definedName name="PosBazSenaryo" hidden="0" function="0" vbProcedure="0">AYARLAR!$B$15</definedName>
    <definedName name="PosBrutToplam" hidden="0" function="0" vbProcedure="0">HESAP!$B$11</definedName>
    <definedName name="PosDoluGiris" hidden="0" function="0" vbProcedure="0">KONTROLLER!$B$18</definedName>
    <definedName name="PosEnPahaliKanal" hidden="0" function="0" vbProcedure="0">HESAP!$B$13</definedName>
    <definedName name="PosIadeOrani" hidden="0" function="0" vbProcedure="0">HESAP!$G$11</definedName>
    <definedName name="PosIadeRiskEsik" hidden="0" function="0" vbProcedure="0">AYARLAR!$B$12</definedName>
    <definedName name="PosIadeToplam" hidden="0" function="0" vbProcedure="0">HESAP!$D$11</definedName>
    <definedName name="PosIyiSenaryo" hidden="0" function="0" vbProcedure="0">AYARLAR!$B$14</definedName>
    <definedName name="PosKaliteIyi" hidden="0" function="0" vbProcedure="0">AYARLAR!$B$20</definedName>
    <definedName name="PosKaliteOrta" hidden="0" function="0" vbProcedure="0">AYARLAR!$B$21</definedName>
    <definedName name="PosKomisyonOrani" hidden="0" function="0" vbProcedure="0">HESAP!$H$11</definedName>
    <definedName name="PosKomisyonRiskEsik" hidden="0" function="0" vbProcedure="0">AYARLAR!$B$13</definedName>
    <definedName name="PosKomisyonToplam" hidden="0" function="0" vbProcedure="0">HESAP!$E$11</definedName>
    <definedName name="PosKotuSenaryo" hidden="0" function="0" vbProcedure="0">AYARLAR!$B$16</definedName>
    <definedName name="PosNetHedefOran" hidden="0" function="0" vbProcedure="0">AYARLAR!$B$11</definedName>
    <definedName name="PosNetOran" hidden="0" function="0" vbProcedure="0">HESAP!$I$11</definedName>
    <definedName name="PosNetTahsilatToplam" hidden="0" function="0" vbProcedure="0">HESAP!$F$11</definedName>
    <definedName name="PosP90Oran" hidden="0" function="0" vbProcedure="0">AYARLAR!$B$25</definedName>
    <definedName name="PosTahminCarpan" hidden="0" function="0" vbProcedure="0">AYARLAR!$B$19</definedName>
    <definedName name="PosToplamGiris" hidden="0" function="0" vbProcedure="0">KONTROLLER!$B$17</definedName>
    <definedName name="PosTornadoIade" hidden="0" function="0" vbProcedure="0">AYARLAR!$B$18</definedName>
    <definedName name="PosTornadoKomisyon" hidden="0" function="0" vbProcedure="0">AYARLAR!$B$17</definedName>
    <definedName name="RaporHazirlayan" hidden="0" function="0" vbProcedure="0">AYARLAR!$B$9</definedName>
    <definedName name="RaporTarihi" hidden="0" function="0" vbProcedure="0">AYARLAR!$B$8</definedName>
    <definedName name="_xlnm.Print_Area" localSheetId="17">'RAPOR'!$A$1:$L$28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  <numFmt numFmtId="169" formatCode="₺#,##0"/>
    <numFmt numFmtId="170" formatCode="0.00&quot;x&quot;"/>
  </numFmts>
  <fonts count="10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6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F2F2F2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4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applyProtection="1" pivotButton="0" quotePrefix="0" xfId="0">
      <alignment horizontal="general" vertical="bottom"/>
      <protection locked="0" hidden="0"/>
    </xf>
    <xf numFmtId="166" fontId="0" fillId="4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pivotButton="0" quotePrefix="0" xfId="0">
      <alignment horizontal="general" vertical="bottom"/>
    </xf>
    <xf numFmtId="0" fontId="0" fillId="4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4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4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4" borderId="0" applyAlignment="1" applyProtection="1" pivotButton="0" quotePrefix="0" xfId="0">
      <alignment horizontal="left" vertical="center"/>
      <protection locked="0" hidden="0"/>
    </xf>
    <xf numFmtId="166" fontId="31" fillId="4" borderId="0" applyAlignment="1" applyProtection="1" pivotButton="0" quotePrefix="0" xfId="0">
      <alignment horizontal="left" vertical="center"/>
      <protection locked="0" hidden="0"/>
    </xf>
    <xf numFmtId="3" fontId="31" fillId="4" borderId="0" applyAlignment="1" applyProtection="1" pivotButton="0" quotePrefix="0" xfId="0">
      <alignment horizontal="left" vertical="center"/>
      <protection locked="0" hidden="0"/>
    </xf>
    <xf numFmtId="0" fontId="31" fillId="4" borderId="0" applyAlignment="1" applyProtection="1" pivotButton="0" quotePrefix="0" xfId="0">
      <alignment horizontal="left" vertical="center" wrapText="1"/>
      <protection locked="0" hidden="0"/>
    </xf>
    <xf numFmtId="3" fontId="21" fillId="4" borderId="0" applyAlignment="1" applyProtection="1" pivotButton="0" quotePrefix="0" xfId="0">
      <alignment horizontal="left" vertical="center"/>
      <protection locked="0" hidden="0"/>
    </xf>
    <xf numFmtId="0" fontId="32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4" fillId="8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6" fillId="0" borderId="0" pivotButton="0" quotePrefix="0" xfId="0"/>
    <xf numFmtId="0" fontId="42" fillId="0" borderId="0" pivotButton="0" quotePrefix="0" xfId="0"/>
    <xf numFmtId="0" fontId="37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2" fillId="9" borderId="0" applyAlignment="1" pivotButton="0" quotePrefix="0" xfId="0">
      <alignment horizontal="center" vertical="center" wrapText="1"/>
    </xf>
    <xf numFmtId="0" fontId="38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3" fillId="0" borderId="0" pivotButton="0" quotePrefix="0" xfId="0"/>
    <xf numFmtId="0" fontId="44" fillId="8" borderId="0" applyAlignment="1" pivotButton="0" quotePrefix="0" xfId="0">
      <alignment horizontal="center" vertical="center"/>
    </xf>
    <xf numFmtId="0" fontId="45" fillId="0" borderId="0" pivotButton="0" quotePrefix="0" xfId="0"/>
    <xf numFmtId="167" fontId="45" fillId="0" borderId="0" pivotButton="0" quotePrefix="0" xfId="0"/>
    <xf numFmtId="167" fontId="46" fillId="0" borderId="0" pivotButton="0" quotePrefix="0" xfId="0"/>
    <xf numFmtId="168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8" borderId="0" applyAlignment="1" pivotButton="0" quotePrefix="0" xfId="0">
      <alignment horizontal="center" vertical="center"/>
    </xf>
    <xf numFmtId="0" fontId="44" fillId="8" borderId="0" applyAlignment="1" pivotButton="0" quotePrefix="0" xfId="0">
      <alignment horizontal="center"/>
    </xf>
    <xf numFmtId="0" fontId="46" fillId="0" borderId="0" pivotButton="0" quotePrefix="0" xfId="0"/>
    <xf numFmtId="0" fontId="50" fillId="10" borderId="1" pivotButton="0" quotePrefix="0" xfId="0"/>
    <xf numFmtId="0" fontId="51" fillId="0" borderId="0" pivotButton="0" quotePrefix="0" xfId="0"/>
    <xf numFmtId="0" fontId="52" fillId="0" borderId="0" pivotButton="0" quotePrefix="0" xfId="0"/>
    <xf numFmtId="0" fontId="45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4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applyProtection="1" pivotButton="0" quotePrefix="0" xfId="0">
      <alignment horizontal="general" vertical="bottom"/>
      <protection locked="0" hidden="0"/>
    </xf>
    <xf numFmtId="166" fontId="0" fillId="4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4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4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4" borderId="0" applyAlignment="1" applyProtection="1" pivotButton="0" quotePrefix="0" xfId="0">
      <alignment horizontal="left" vertical="center"/>
      <protection locked="0" hidden="0"/>
    </xf>
    <xf numFmtId="166" fontId="31" fillId="4" borderId="0" applyAlignment="1" applyProtection="1" pivotButton="0" quotePrefix="0" xfId="0">
      <alignment horizontal="left" vertical="center"/>
      <protection locked="0" hidden="0"/>
    </xf>
    <xf numFmtId="3" fontId="31" fillId="4" borderId="0" applyAlignment="1" applyProtection="1" pivotButton="0" quotePrefix="0" xfId="0">
      <alignment horizontal="left" vertical="center"/>
      <protection locked="0" hidden="0"/>
    </xf>
    <xf numFmtId="0" fontId="31" fillId="4" borderId="0" applyAlignment="1" applyProtection="1" pivotButton="0" quotePrefix="0" xfId="0">
      <alignment horizontal="left" vertical="center" wrapText="1"/>
      <protection locked="0" hidden="0"/>
    </xf>
    <xf numFmtId="3" fontId="21" fillId="4" borderId="0" applyAlignment="1" applyProtection="1" pivotButton="0" quotePrefix="0" xfId="0">
      <alignment horizontal="left" vertical="center"/>
      <protection locked="0" hidden="0"/>
    </xf>
    <xf numFmtId="0" fontId="32" fillId="7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 wrapText="1"/>
    </xf>
    <xf numFmtId="0" fontId="53" fillId="0" borderId="0" pivotButton="0" quotePrefix="0" xfId="0"/>
    <xf numFmtId="0" fontId="54" fillId="0" borderId="1" applyAlignment="1" pivotButton="0" quotePrefix="0" xfId="0">
      <alignment horizontal="center" vertical="center"/>
    </xf>
    <xf numFmtId="0" fontId="44" fillId="11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2" pivotButton="0" quotePrefix="0" xfId="0"/>
    <xf numFmtId="0" fontId="0" fillId="0" borderId="1" pivotButton="0" quotePrefix="0" xfId="0"/>
    <xf numFmtId="0" fontId="55" fillId="12" borderId="1" applyAlignment="1" pivotButton="0" quotePrefix="0" xfId="0">
      <alignment horizontal="center"/>
    </xf>
    <xf numFmtId="0" fontId="41" fillId="0" borderId="3" pivotButton="0" quotePrefix="0" xfId="0"/>
    <xf numFmtId="0" fontId="57" fillId="13" borderId="1" applyAlignment="1" pivotButton="0" quotePrefix="0" xfId="0">
      <alignment horizontal="center"/>
    </xf>
    <xf numFmtId="0" fontId="56" fillId="14" borderId="1" applyAlignment="1" pivotButton="0" quotePrefix="0" xfId="0">
      <alignment horizontal="center"/>
    </xf>
    <xf numFmtId="0" fontId="4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7" fillId="0" borderId="2" pivotButton="0" quotePrefix="0" xfId="0"/>
    <xf numFmtId="0" fontId="58" fillId="0" borderId="3" pivotButton="0" quotePrefix="0" xfId="0"/>
    <xf numFmtId="0" fontId="59" fillId="0" borderId="4" pivotButton="0" quotePrefix="0" xfId="0"/>
    <xf numFmtId="0" fontId="56" fillId="0" borderId="2" pivotButton="0" quotePrefix="0" xfId="0"/>
    <xf numFmtId="0" fontId="51" fillId="0" borderId="3" pivotButton="0" quotePrefix="0" xfId="0"/>
    <xf numFmtId="0" fontId="56" fillId="0" borderId="4" pivotButton="0" quotePrefix="0" xfId="0"/>
    <xf numFmtId="0" fontId="60" fillId="15" borderId="0" applyAlignment="1" pivotButton="0" quotePrefix="0" xfId="0">
      <alignment horizontal="center"/>
    </xf>
    <xf numFmtId="0" fontId="61" fillId="0" borderId="0" pivotButton="0" quotePrefix="0" xfId="0"/>
    <xf numFmtId="0" fontId="60" fillId="16" borderId="0" applyAlignment="1" pivotButton="0" quotePrefix="0" xfId="0">
      <alignment horizontal="center" vertical="center"/>
    </xf>
    <xf numFmtId="0" fontId="61" fillId="0" borderId="1" pivotButton="0" quotePrefix="0" xfId="0"/>
    <xf numFmtId="0" fontId="62" fillId="0" borderId="1" pivotButton="0" quotePrefix="0" xfId="0"/>
    <xf numFmtId="0" fontId="63" fillId="0" borderId="1" pivotButton="0" quotePrefix="0" xfId="0"/>
    <xf numFmtId="0" fontId="64" fillId="17" borderId="1" applyAlignment="1" pivotButton="0" quotePrefix="0" xfId="0">
      <alignment horizontal="center"/>
    </xf>
    <xf numFmtId="0" fontId="60" fillId="8" borderId="0" pivotButton="0" quotePrefix="0" xfId="0"/>
    <xf numFmtId="0" fontId="65" fillId="8" borderId="0" pivotButton="0" quotePrefix="0" xfId="0"/>
    <xf numFmtId="0" fontId="66" fillId="8" borderId="0" pivotButton="0" quotePrefix="0" xfId="0"/>
    <xf numFmtId="0" fontId="0" fillId="8" borderId="0" pivotButton="0" quotePrefix="0" xfId="0"/>
    <xf numFmtId="0" fontId="38" fillId="8" borderId="0" applyAlignment="1" pivotButton="0" quotePrefix="0" xfId="0">
      <alignment horizontal="center"/>
    </xf>
    <xf numFmtId="0" fontId="54" fillId="0" borderId="0" pivotButton="0" quotePrefix="0" xfId="0"/>
    <xf numFmtId="0" fontId="69" fillId="18" borderId="0" pivotButton="0" quotePrefix="0" xfId="0"/>
    <xf numFmtId="0" fontId="0" fillId="18" borderId="0" pivotButton="0" quotePrefix="0" xfId="0"/>
    <xf numFmtId="0" fontId="56" fillId="0" borderId="0" pivotButton="0" quotePrefix="0" xfId="0"/>
    <xf numFmtId="0" fontId="44" fillId="18" borderId="0" pivotButton="0" quotePrefix="0" xfId="0"/>
    <xf numFmtId="0" fontId="70" fillId="18" borderId="0" applyAlignment="1" pivotButton="0" quotePrefix="0" xfId="0">
      <alignment wrapText="1"/>
    </xf>
    <xf numFmtId="0" fontId="67" fillId="0" borderId="0" pivotButton="0" quotePrefix="0" xfId="0"/>
    <xf numFmtId="0" fontId="68" fillId="0" borderId="0" pivotButton="0" quotePrefix="0" xfId="0"/>
    <xf numFmtId="0" fontId="56" fillId="14" borderId="5" applyAlignment="1" pivotButton="0" quotePrefix="0" xfId="0">
      <alignment horizontal="center" vertical="center"/>
    </xf>
    <xf numFmtId="0" fontId="71" fillId="19" borderId="0" applyAlignment="1" pivotButton="0" quotePrefix="0" xfId="0">
      <alignment horizontal="center" vertical="center"/>
    </xf>
    <xf numFmtId="0" fontId="35" fillId="20" borderId="1" applyAlignment="1" pivotButton="0" quotePrefix="0" xfId="0">
      <alignment vertical="center"/>
    </xf>
    <xf numFmtId="0" fontId="55" fillId="12" borderId="0" applyAlignment="1" pivotButton="0" quotePrefix="0" xfId="0">
      <alignment horizontal="center" vertical="center"/>
    </xf>
    <xf numFmtId="0" fontId="56" fillId="14" borderId="0" applyAlignment="1" pivotButton="0" quotePrefix="0" xfId="0">
      <alignment horizontal="center" vertical="center"/>
    </xf>
    <xf numFmtId="0" fontId="72" fillId="8" borderId="0" applyAlignment="1" pivotButton="0" quotePrefix="0" xfId="0">
      <alignment horizontal="center" vertical="center"/>
    </xf>
    <xf numFmtId="0" fontId="73" fillId="20" borderId="1" applyAlignment="1" pivotButton="0" quotePrefix="0" xfId="0">
      <alignment horizontal="center"/>
    </xf>
    <xf numFmtId="0" fontId="74" fillId="20" borderId="1" applyAlignment="1" pivotButton="0" quotePrefix="0" xfId="0">
      <alignment horizontal="center"/>
    </xf>
    <xf numFmtId="0" fontId="73" fillId="20" borderId="1" pivotButton="0" quotePrefix="0" xfId="0"/>
    <xf numFmtId="169" fontId="74" fillId="20" borderId="1" applyAlignment="1" pivotButton="0" quotePrefix="0" xfId="0">
      <alignment horizontal="right"/>
    </xf>
    <xf numFmtId="9" fontId="73" fillId="20" borderId="1" applyAlignment="1" pivotButton="0" quotePrefix="0" xfId="0">
      <alignment horizontal="center"/>
    </xf>
    <xf numFmtId="169" fontId="73" fillId="20" borderId="1" applyAlignment="1" pivotButton="0" quotePrefix="0" xfId="0">
      <alignment horizontal="right"/>
    </xf>
    <xf numFmtId="0" fontId="56" fillId="20" borderId="1" applyAlignment="1" pivotButton="0" quotePrefix="0" xfId="0">
      <alignment horizontal="center"/>
    </xf>
    <xf numFmtId="0" fontId="73" fillId="19" borderId="1" applyAlignment="1" pivotButton="0" quotePrefix="0" xfId="0">
      <alignment horizontal="center"/>
    </xf>
    <xf numFmtId="0" fontId="74" fillId="19" borderId="1" applyAlignment="1" pivotButton="0" quotePrefix="0" xfId="0">
      <alignment horizontal="center"/>
    </xf>
    <xf numFmtId="0" fontId="73" fillId="19" borderId="1" pivotButton="0" quotePrefix="0" xfId="0"/>
    <xf numFmtId="169" fontId="74" fillId="19" borderId="1" applyAlignment="1" pivotButton="0" quotePrefix="0" xfId="0">
      <alignment horizontal="right"/>
    </xf>
    <xf numFmtId="9" fontId="73" fillId="19" borderId="1" applyAlignment="1" pivotButton="0" quotePrefix="0" xfId="0">
      <alignment horizontal="center"/>
    </xf>
    <xf numFmtId="169" fontId="73" fillId="19" borderId="1" applyAlignment="1" pivotButton="0" quotePrefix="0" xfId="0">
      <alignment horizontal="right"/>
    </xf>
    <xf numFmtId="0" fontId="61" fillId="19" borderId="1" applyAlignment="1" pivotButton="0" quotePrefix="0" xfId="0">
      <alignment horizontal="center"/>
    </xf>
    <xf numFmtId="0" fontId="56" fillId="19" borderId="1" applyAlignment="1" pivotButton="0" quotePrefix="0" xfId="0">
      <alignment horizontal="center"/>
    </xf>
    <xf numFmtId="0" fontId="57" fillId="19" borderId="1" applyAlignment="1" pivotButton="0" quotePrefix="0" xfId="0">
      <alignment horizontal="center"/>
    </xf>
    <xf numFmtId="0" fontId="44" fillId="8" borderId="0" applyAlignment="1" pivotButton="0" quotePrefix="0" xfId="0">
      <alignment vertical="center" indent="1"/>
    </xf>
    <xf numFmtId="169" fontId="75" fillId="8" borderId="0" applyAlignment="1" pivotButton="0" quotePrefix="0" xfId="0">
      <alignment horizontal="right" vertical="center"/>
    </xf>
    <xf numFmtId="0" fontId="76" fillId="0" borderId="6" pivotButton="0" quotePrefix="0" xfId="0"/>
    <xf numFmtId="0" fontId="77" fillId="0" borderId="6" pivotButton="0" quotePrefix="0" xfId="0"/>
    <xf numFmtId="0" fontId="78" fillId="0" borderId="6" pivotButton="0" quotePrefix="0" xfId="0"/>
    <xf numFmtId="0" fontId="79" fillId="21" borderId="1" applyAlignment="1" pivotButton="0" quotePrefix="0" xfId="0">
      <alignment horizontal="center" vertical="center"/>
    </xf>
    <xf numFmtId="0" fontId="83" fillId="12" borderId="1" applyAlignment="1" pivotButton="0" quotePrefix="0" xfId="0">
      <alignment horizontal="center" vertical="center"/>
    </xf>
    <xf numFmtId="0" fontId="80" fillId="0" borderId="1" pivotButton="0" quotePrefix="0" xfId="0"/>
    <xf numFmtId="0" fontId="79" fillId="0" borderId="1" applyAlignment="1" pivotButton="0" quotePrefix="0" xfId="0">
      <alignment horizontal="right"/>
    </xf>
    <xf numFmtId="0" fontId="83" fillId="0" borderId="1" applyAlignment="1" pivotButton="0" quotePrefix="0" xfId="0">
      <alignment horizontal="right"/>
    </xf>
    <xf numFmtId="0" fontId="54" fillId="0" borderId="1" applyAlignment="1" pivotButton="0" quotePrefix="0" xfId="0">
      <alignment horizontal="right"/>
    </xf>
    <xf numFmtId="0" fontId="81" fillId="0" borderId="1" applyAlignment="1" pivotButton="0" quotePrefix="0" xfId="0">
      <alignment horizontal="right"/>
    </xf>
    <xf numFmtId="0" fontId="82" fillId="13" borderId="7" applyAlignment="1" pivotButton="0" quotePrefix="0" xfId="0">
      <alignment horizontal="center" vertical="center"/>
    </xf>
    <xf numFmtId="0" fontId="84" fillId="12" borderId="8" applyAlignment="1" pivotButton="0" quotePrefix="0" xfId="0">
      <alignment horizontal="center" vertical="center"/>
    </xf>
    <xf numFmtId="0" fontId="80" fillId="0" borderId="0" pivotButton="0" quotePrefix="0" xfId="0"/>
    <xf numFmtId="0" fontId="85" fillId="22" borderId="0" applyAlignment="1" pivotButton="0" quotePrefix="0" xfId="0">
      <alignment horizontal="left" vertical="center" wrapText="1"/>
    </xf>
    <xf numFmtId="0" fontId="86" fillId="23" borderId="0" applyAlignment="1" pivotButton="0" quotePrefix="0" xfId="0">
      <alignment vertical="center" wrapText="1"/>
    </xf>
    <xf numFmtId="0" fontId="87" fillId="24" borderId="0" applyAlignment="1" pivotButton="0" quotePrefix="0" xfId="0">
      <alignment vertical="top" wrapText="1"/>
    </xf>
    <xf numFmtId="0" fontId="88" fillId="0" borderId="0" applyAlignment="1" pivotButton="0" quotePrefix="0" xfId="0">
      <alignment vertical="top" wrapText="1"/>
    </xf>
    <xf numFmtId="0" fontId="89" fillId="22" borderId="0" applyAlignment="1" pivotButton="0" quotePrefix="0" xfId="0">
      <alignment horizontal="left" vertical="center" wrapText="1"/>
    </xf>
    <xf numFmtId="0" fontId="85" fillId="25" borderId="0" applyAlignment="1" pivotButton="0" quotePrefix="0" xfId="0">
      <alignment horizontal="left" vertical="center" wrapText="1"/>
    </xf>
    <xf numFmtId="0" fontId="86" fillId="25" borderId="0" applyAlignment="1" pivotButton="0" quotePrefix="0" xfId="0">
      <alignment vertical="center" wrapText="1"/>
    </xf>
    <xf numFmtId="0" fontId="90" fillId="26" borderId="0" applyAlignment="1" pivotButton="0" quotePrefix="0" xfId="0">
      <alignment vertical="top" wrapText="1"/>
    </xf>
    <xf numFmtId="0" fontId="85" fillId="27" borderId="0" applyAlignment="1" pivotButton="0" quotePrefix="0" xfId="0">
      <alignment horizontal="left" vertical="center" wrapText="1"/>
    </xf>
    <xf numFmtId="0" fontId="86" fillId="27" borderId="0" applyAlignment="1" pivotButton="0" quotePrefix="0" xfId="0">
      <alignment vertical="center" wrapText="1"/>
    </xf>
    <xf numFmtId="0" fontId="91" fillId="28" borderId="0" applyAlignment="1" pivotButton="0" quotePrefix="0" xfId="0">
      <alignment vertical="top" wrapText="1"/>
    </xf>
    <xf numFmtId="0" fontId="92" fillId="26" borderId="0" applyAlignment="1" pivotButton="0" quotePrefix="0" xfId="0">
      <alignment vertical="top" wrapText="1"/>
    </xf>
    <xf numFmtId="0" fontId="93" fillId="0" borderId="0" applyAlignment="1" pivotButton="0" quotePrefix="0" xfId="0">
      <alignment vertical="top" wrapText="1"/>
    </xf>
    <xf numFmtId="0" fontId="85" fillId="29" borderId="0" applyAlignment="1" pivotButton="0" quotePrefix="0" xfId="0">
      <alignment horizontal="left" vertical="center"/>
    </xf>
    <xf numFmtId="0" fontId="86" fillId="29" borderId="0" applyAlignment="1" pivotButton="0" quotePrefix="0" xfId="0">
      <alignment vertical="center" wrapText="1"/>
    </xf>
    <xf numFmtId="0" fontId="94" fillId="30" borderId="0" applyAlignment="1" pivotButton="0" quotePrefix="0" xfId="0">
      <alignment vertical="top" wrapText="1"/>
    </xf>
    <xf numFmtId="0" fontId="95" fillId="31" borderId="0" applyAlignment="1" pivotButton="0" quotePrefix="0" xfId="0">
      <alignment vertical="top" wrapText="1"/>
    </xf>
    <xf numFmtId="0" fontId="85" fillId="32" borderId="0" applyAlignment="1" pivotButton="0" quotePrefix="0" xfId="0">
      <alignment horizontal="left" vertical="center"/>
    </xf>
    <xf numFmtId="0" fontId="86" fillId="32" borderId="0" applyAlignment="1" pivotButton="0" quotePrefix="0" xfId="0">
      <alignment vertical="center" wrapText="1"/>
    </xf>
    <xf numFmtId="0" fontId="96" fillId="31" borderId="0" applyAlignment="1" pivotButton="0" quotePrefix="0" xfId="0">
      <alignment vertical="top" wrapText="1"/>
    </xf>
    <xf numFmtId="0" fontId="85" fillId="33" borderId="0" applyAlignment="1" pivotButton="0" quotePrefix="0" xfId="0">
      <alignment horizontal="left" vertical="center"/>
    </xf>
    <xf numFmtId="0" fontId="86" fillId="33" borderId="0" applyAlignment="1" pivotButton="0" quotePrefix="0" xfId="0">
      <alignment vertical="center" wrapText="1"/>
    </xf>
    <xf numFmtId="0" fontId="97" fillId="34" borderId="0" applyAlignment="1" pivotButton="0" quotePrefix="0" xfId="0">
      <alignment vertical="top" wrapText="1"/>
    </xf>
    <xf numFmtId="0" fontId="98" fillId="0" borderId="0" applyAlignment="1" pivotButton="0" quotePrefix="0" xfId="0">
      <alignment vertical="top" wrapText="1"/>
    </xf>
    <xf numFmtId="169" fontId="37" fillId="0" borderId="2" pivotButton="0" quotePrefix="0" xfId="0"/>
    <xf numFmtId="169" fontId="58" fillId="0" borderId="3" pivotButton="0" quotePrefix="0" xfId="0"/>
    <xf numFmtId="169" fontId="61" fillId="0" borderId="1" pivotButton="0" quotePrefix="0" xfId="0"/>
    <xf numFmtId="169" fontId="62" fillId="0" borderId="1" pivotButton="0" quotePrefix="0" xfId="0"/>
    <xf numFmtId="169" fontId="65" fillId="8" borderId="0" pivotButton="0" quotePrefix="0" xfId="0"/>
    <xf numFmtId="169" fontId="66" fillId="8" borderId="0" pivotButton="0" quotePrefix="0" xfId="0"/>
    <xf numFmtId="169" fontId="84" fillId="10" borderId="1" applyAlignment="1" pivotButton="0" quotePrefix="0" xfId="0">
      <alignment horizontal="right"/>
    </xf>
    <xf numFmtId="169" fontId="54" fillId="0" borderId="1" applyAlignment="1" pivotButton="0" quotePrefix="0" xfId="0">
      <alignment horizontal="right"/>
    </xf>
    <xf numFmtId="169" fontId="81" fillId="0" borderId="1" applyAlignment="1" pivotButton="0" quotePrefix="0" xfId="0">
      <alignment horizontal="right"/>
    </xf>
    <xf numFmtId="170" fontId="81" fillId="0" borderId="1" applyAlignment="1" pivotButton="0" quotePrefix="0" xfId="0">
      <alignment horizontal="right"/>
    </xf>
    <xf numFmtId="0" fontId="99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00" fillId="2" borderId="0" applyAlignment="1" pivotButton="0" quotePrefix="0" xfId="0">
      <alignment horizontal="left" vertical="center"/>
    </xf>
    <xf numFmtId="0" fontId="100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POS hareketlerini girin | Neden önemli: Ürünü doğru kullanmak için | Doğru kullanım: Sırayla izleyin</t>
      </text>
    </comment>
    <comment ref="A6" authorId="0" shapeId="0">
      <text>
        <t>Tanım: Adım 2 — Sonuçları izleyin | Neden önemli: Ürünü doğru kullanmak için | Doğru kullanım: Sırayla izleyin</t>
      </text>
    </comment>
    <comment ref="A7" authorId="0" shapeId="0">
      <text>
        <t>Tanım: Adım 3 — Karar ve rapor | Neden önemli: Ürünü doğru kullanmak için | Doğru kullanım: Sırayla izleyin</t>
      </text>
    </comment>
    <comment ref="A8" authorId="0" shapeId="0">
      <text>
        <t>Tanım: Adım 4 — Oranları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Mağaza POS kanalı Brüt Satış | Neden önemli: Kanal maliyetini gösterir | Doğru kullanım: Formüldür, değiştirilmez</t>
      </text>
    </comment>
    <comment ref="C6" authorId="0" shapeId="0">
      <text>
        <t>Tanım: Mağaza POS kanalı Net Satış | Neden önemli: Kanal maliyetini gösterir | Doğru kullanım: Formüldür, değiştirilmez</t>
      </text>
    </comment>
    <comment ref="D6" authorId="0" shapeId="0">
      <text>
        <t>Tanım: Mağaza POS kanalı İade | Neden önemli: Kanal maliyetini gösterir | Doğru kullanım: Formüldür, değiştirilmez</t>
      </text>
    </comment>
    <comment ref="E6" authorId="0" shapeId="0">
      <text>
        <t>Tanım: Mağaza POS kanalı Komisyon | Neden önemli: Kanal maliyetini gösterir | Doğru kullanım: Formüldür, değiştirilmez</t>
      </text>
    </comment>
    <comment ref="F6" authorId="0" shapeId="0">
      <text>
        <t>Tanım: Mağaza POS kanalı Net Tahsilat | Neden önemli: Kanal maliyetini gösterir | Doğru kullanım: Formüldür, değiştirilmez</t>
      </text>
    </comment>
    <comment ref="G6" authorId="0" shapeId="0">
      <text>
        <t>Tanım: Mağaza POS kanalı İade Oranı | Neden önemli: Kanal maliyetini gösterir | Doğru kullanım: Formüldür, değiştirilmez</t>
      </text>
    </comment>
    <comment ref="H6" authorId="0" shapeId="0">
      <text>
        <t>Tanım: Mağaza POS kanalı Komisyon Oranı | Neden önemli: Kanal maliyetini gösterir | Doğru kullanım: Formüldür, değiştirilmez</t>
      </text>
    </comment>
    <comment ref="I6" authorId="0" shapeId="0">
      <text>
        <t>Tanım: Mağaza POS kanalı Net Tahsilat Oranı | Neden önemli: Kanal maliyetini gösterir | Doğru kullanım: Formüldür, değiştirilmez</t>
      </text>
    </comment>
    <comment ref="B7" authorId="0" shapeId="0">
      <text>
        <t>Tanım: Sanal POS kanalı Brüt Satış | Neden önemli: Kanal maliyetini gösterir | Doğru kullanım: Formüldür, değiştirilmez</t>
      </text>
    </comment>
    <comment ref="C7" authorId="0" shapeId="0">
      <text>
        <t>Tanım: Sanal POS kanalı Net Satış | Neden önemli: Kanal maliyetini gösterir | Doğru kullanım: Formüldür, değiştirilmez</t>
      </text>
    </comment>
    <comment ref="D7" authorId="0" shapeId="0">
      <text>
        <t>Tanım: Sanal POS kanalı İade | Neden önemli: Kanal maliyetini gösterir | Doğru kullanım: Formüldür, değiştirilmez</t>
      </text>
    </comment>
    <comment ref="E7" authorId="0" shapeId="0">
      <text>
        <t>Tanım: Sanal POS kanalı Komisyon | Neden önemli: Kanal maliyetini gösterir | Doğru kullanım: Formüldür, değiştirilmez</t>
      </text>
    </comment>
    <comment ref="F7" authorId="0" shapeId="0">
      <text>
        <t>Tanım: Sanal POS kanalı Net Tahsilat | Neden önemli: Kanal maliyetini gösterir | Doğru kullanım: Formüldür, değiştirilmez</t>
      </text>
    </comment>
    <comment ref="G7" authorId="0" shapeId="0">
      <text>
        <t>Tanım: Sanal POS kanalı İade Oranı | Neden önemli: Kanal maliyetini gösterir | Doğru kullanım: Formüldür, değiştirilmez</t>
      </text>
    </comment>
    <comment ref="H7" authorId="0" shapeId="0">
      <text>
        <t>Tanım: Sanal POS kanalı Komisyon Oranı | Neden önemli: Kanal maliyetini gösterir | Doğru kullanım: Formüldür, değiştirilmez</t>
      </text>
    </comment>
    <comment ref="I7" authorId="0" shapeId="0">
      <text>
        <t>Tanım: Sanal POS kanalı Net Tahsilat Oranı | Neden önemli: Kanal maliyetini gösterir | Doğru kullanım: Formüldür, değiştirilmez</t>
      </text>
    </comment>
    <comment ref="B8" authorId="0" shapeId="0">
      <text>
        <t>Tanım: Mobil POS kanalı Brüt Satış | Neden önemli: Kanal maliyetini gösterir | Doğru kullanım: Formüldür, değiştirilmez</t>
      </text>
    </comment>
    <comment ref="C8" authorId="0" shapeId="0">
      <text>
        <t>Tanım: Mobil POS kanalı Net Satış | Neden önemli: Kanal maliyetini gösterir | Doğru kullanım: Formüldür, değiştirilmez</t>
      </text>
    </comment>
    <comment ref="D8" authorId="0" shapeId="0">
      <text>
        <t>Tanım: Mobil POS kanalı İade | Neden önemli: Kanal maliyetini gösterir | Doğru kullanım: Formüldür, değiştirilmez</t>
      </text>
    </comment>
    <comment ref="E8" authorId="0" shapeId="0">
      <text>
        <t>Tanım: Mobil POS kanalı Komisyon | Neden önemli: Kanal maliyetini gösterir | Doğru kullanım: Formüldür, değiştirilmez</t>
      </text>
    </comment>
    <comment ref="F8" authorId="0" shapeId="0">
      <text>
        <t>Tanım: Mobil POS kanalı Net Tahsilat | Neden önemli: Kanal maliyetini gösterir | Doğru kullanım: Formüldür, değiştirilmez</t>
      </text>
    </comment>
    <comment ref="G8" authorId="0" shapeId="0">
      <text>
        <t>Tanım: Mobil POS kanalı İade Oranı | Neden önemli: Kanal maliyetini gösterir | Doğru kullanım: Formüldür, değiştirilmez</t>
      </text>
    </comment>
    <comment ref="H8" authorId="0" shapeId="0">
      <text>
        <t>Tanım: Mobil POS kanalı Komisyon Oranı | Neden önemli: Kanal maliyetini gösterir | Doğru kullanım: Formüldür, değiştirilmez</t>
      </text>
    </comment>
    <comment ref="I8" authorId="0" shapeId="0">
      <text>
        <t>Tanım: Mobil POS kanalı Net Tahsilat Oranı | Neden önemli: Kanal maliyetini gösterir | Doğru kullanım: Formüldür, değiştirilmez</t>
      </text>
    </comment>
    <comment ref="B9" authorId="0" shapeId="0">
      <text>
        <t>Tanım: Pazaryeri POS kanalı Brüt Satış | Neden önemli: Kanal maliyetini gösterir | Doğru kullanım: Formüldür, değiştirilmez</t>
      </text>
    </comment>
    <comment ref="C9" authorId="0" shapeId="0">
      <text>
        <t>Tanım: Pazaryeri POS kanalı Net Satış | Neden önemli: Kanal maliyetini gösterir | Doğru kullanım: Formüldür, değiştirilmez</t>
      </text>
    </comment>
    <comment ref="D9" authorId="0" shapeId="0">
      <text>
        <t>Tanım: Pazaryeri POS kanalı İade | Neden önemli: Kanal maliyetini gösterir | Doğru kullanım: Formüldür, değiştirilmez</t>
      </text>
    </comment>
    <comment ref="E9" authorId="0" shapeId="0">
      <text>
        <t>Tanım: Pazaryeri POS kanalı Komisyon | Neden önemli: Kanal maliyetini gösterir | Doğru kullanım: Formüldür, değiştirilmez</t>
      </text>
    </comment>
    <comment ref="F9" authorId="0" shapeId="0">
      <text>
        <t>Tanım: Pazaryeri POS kanalı Net Tahsilat | Neden önemli: Kanal maliyetini gösterir | Doğru kullanım: Formüldür, değiştirilmez</t>
      </text>
    </comment>
    <comment ref="G9" authorId="0" shapeId="0">
      <text>
        <t>Tanım: Pazaryeri POS kanalı İade Oranı | Neden önemli: Kanal maliyetini gösterir | Doğru kullanım: Formüldür, değiştirilmez</t>
      </text>
    </comment>
    <comment ref="H9" authorId="0" shapeId="0">
      <text>
        <t>Tanım: Pazaryeri POS kanalı Komisyon Oranı | Neden önemli: Kanal maliyetini gösterir | Doğru kullanım: Formüldür, değiştirilmez</t>
      </text>
    </comment>
    <comment ref="I9" authorId="0" shapeId="0">
      <text>
        <t>Tanım: Pazaryeri POS kanalı Net Tahsilat Oranı | Neden önemli: Kanal maliyetini gösterir | Doğru kullanım: Formüldür, değiştirilmez</t>
      </text>
    </comment>
    <comment ref="B10" authorId="0" shapeId="0">
      <text>
        <t>Tanım: Diğer kanalı Brüt Satış | Neden önemli: Kanal maliyetini gösterir | Doğru kullanım: Formüldür, değiştirilmez</t>
      </text>
    </comment>
    <comment ref="C10" authorId="0" shapeId="0">
      <text>
        <t>Tanım: Diğer kanalı Net Satış | Neden önemli: Kanal maliyetini gösterir | Doğru kullanım: Formüldür, değiştirilmez</t>
      </text>
    </comment>
    <comment ref="D10" authorId="0" shapeId="0">
      <text>
        <t>Tanım: Diğer kanalı İade | Neden önemli: Kanal maliyetini gösterir | Doğru kullanım: Formüldür, değiştirilmez</t>
      </text>
    </comment>
    <comment ref="E10" authorId="0" shapeId="0">
      <text>
        <t>Tanım: Diğer kanalı Komisyon | Neden önemli: Kanal maliyetini gösterir | Doğru kullanım: Formüldür, değiştirilmez</t>
      </text>
    </comment>
    <comment ref="F10" authorId="0" shapeId="0">
      <text>
        <t>Tanım: Diğer kanalı Net Tahsilat | Neden önemli: Kanal maliyetini gösterir | Doğru kullanım: Formüldür, değiştirilmez</t>
      </text>
    </comment>
    <comment ref="G10" authorId="0" shapeId="0">
      <text>
        <t>Tanım: Diğer kanalı İade Oranı | Neden önemli: Kanal maliyetini gösterir | Doğru kullanım: Formüldür, değiştirilmez</t>
      </text>
    </comment>
    <comment ref="H10" authorId="0" shapeId="0">
      <text>
        <t>Tanım: Diğer kanalı Komisyon Oranı | Neden önemli: Kanal maliyetini gösterir | Doğru kullanım: Formüldür, değiştirilmez</t>
      </text>
    </comment>
    <comment ref="I10" authorId="0" shapeId="0">
      <text>
        <t>Tanım: Diğer kanalı Net Tahsilat Oranı | Neden önemli: Kanal maliyetini gösterir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kanal satırı var mı? | Neden önemli: Giriş kalitesini ölçer | Doğru kullanım: Formüldür, değiştirilmez | Yanlışsa: Kırmızı = düzeltin</t>
      </text>
    </comment>
    <comment ref="B7" authorId="0" shapeId="0">
      <text>
        <t>Tanım: Boş brüt satış var mı? | Neden önemli: Giriş kalitesini ölçer | Doğru kullanım: Formüldür, değiştirilmez | Yanlışsa: Kırmızı = düzeltin</t>
      </text>
    </comment>
    <comment ref="B8" authorId="0" shapeId="0">
      <text>
        <t>Tanım: Negatif brüt satış var mı? | Neden önemli: Giriş kalitesini ölçer | Doğru kullanım: Formüldür, değiştirilmez | Yanlışsa: Kırmızı = düzeltin</t>
      </text>
    </comment>
    <comment ref="B9" authorId="0" shapeId="0">
      <text>
        <t>Tanım: İade tutarı brütü aşıyor mu? | Neden önemli: Giriş kalitesini ölçer | Doğru kullanım: Formüldür, değiştirilmez | Yanlışsa: Kırmızı = düzeltin</t>
      </text>
    </comment>
    <comment ref="B10" authorId="0" shapeId="0">
      <text>
        <t>Tanım: Komisyon oranı eşiği aşılıyor mu? | Neden önemli: Giriş kalitesini ölçer | Doğru kullanım: Formüldür, değiştirilmez | Yanlışsa: Kırmızı = düzeltin</t>
      </text>
    </comment>
    <comment ref="B11" authorId="0" shapeId="0">
      <text>
        <t>Tanım: Genel iade oranı eşiği aşılıyor mu? | Neden önemli: Giriş kalitesini ölçer | Doğru kullanım: Formüldür, değiştirilmez | Yanlışsa: Kırmızı = düzeltin</t>
      </text>
    </comment>
    <comment ref="B12" authorId="0" shapeId="0">
      <text>
        <t>Tanım: Net tahsilat oranı hedefte mi? | Neden önemli: Giriş kalitesini ölçer | Doğru kullanım: Formüldür, değiştirilmez | Yanlışsa: Kırmızı = düzeltin</t>
      </text>
    </comment>
    <comment ref="B13" authorId="0" shapeId="0">
      <text>
        <t>Tanım: En pahalı kanal riskli mi?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Kanal adı | Neden önemli: Açılır listeyi besler | Doğru kullanım: Yeni kanal için satır ekleyin</t>
      </text>
    </comment>
    <comment ref="A8" authorId="0" shapeId="0">
      <text>
        <t>Tanım: Kanal adı | Neden önemli: Açılır listeyi besler | Doğru kullanım: Yeni kanal için satır ekleyin</t>
      </text>
    </comment>
    <comment ref="A9" authorId="0" shapeId="0">
      <text>
        <t>Tanım: Kanal adı | Neden önemli: Açılır listeyi besler | Doğru kullanım: Yeni kanal için satır ekleyin</t>
      </text>
    </comment>
    <comment ref="A10" authorId="0" shapeId="0">
      <text>
        <t>Tanım: Kanal adı | Neden önemli: Açılır listeyi besler | Doğru kullanım: Yeni kanal için satır ekleyin</t>
      </text>
    </comment>
    <comment ref="A11" authorId="0" shapeId="0">
      <text>
        <t>Tanım: Kanal adı | Neden önemli: Açılır listeyi besler | Doğru kullanım: Yeni kanal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Panel satır numarası 1 | Neden önemli: PANO'daki aylık grafiği besler | Doğru kullanım: Tablodaki satır sırasını girin</t>
      </text>
    </comment>
    <comment ref="B27" authorId="0" shapeId="0">
      <text>
        <t>Tanım: Panel satır numarası 2 | Neden önemli: PANO'daki aylık grafiği besler | Doğru kullanım: Tablodaki satır sırasını girin</t>
      </text>
    </comment>
    <comment ref="B28" authorId="0" shapeId="0">
      <text>
        <t>Tanım: Panel satır numarası 3 | Neden önemli: PANO'daki aylık grafiği besler | Doğru kullanım: Tablodaki satır sırasını girin</t>
      </text>
    </comment>
    <comment ref="B29" authorId="0" shapeId="0">
      <text>
        <t>Tanım: Panel satır numarası 4 | Neden önemli: PANO'daki aylık grafiği besler | Doğru kullanım: Tablodaki satır sırasını girin</t>
      </text>
    </comment>
    <comment ref="B30" authorId="0" shapeId="0">
      <text>
        <t>Tanım: Panel satır numarası 5 | Neden önemli: PANO'daki aylık grafiği besler | Doğru kullanım: Tablodaki satır sırasını girin</t>
      </text>
    </comment>
    <comment ref="B31" authorId="0" shapeId="0">
      <text>
        <t>Tanım: Panel satır numarası 6 | Neden önemli: PANO'daki aylık grafiği besler | Doğru kullanım: Tablodaki satır sırasını girin</t>
      </text>
    </comment>
    <comment ref="B32" authorId="0" shapeId="0">
      <text>
        <t>Tanım: Panel satır numarası 7 | Neden önemli: PANO'daki aylık grafiği besler | Doğru kullanım: Tablodaki satır sırasını girin</t>
      </text>
    </comment>
    <comment ref="B33" authorId="0" shapeId="0">
      <text>
        <t>Tanım: Panel satır numarası 8 | Neden önemli: PANO'daki aylık grafiği besler | Doğru kullanım: Tablodaki satır sırasını girin</t>
      </text>
    </comment>
    <comment ref="B34" authorId="0" shapeId="0">
      <text>
        <t>Tanım: Panel satır numarası 9 | Neden önemli: PANO'daki aylık grafiği besler | Doğru kullanım: Tablodaki satır sırasını girin</t>
      </text>
    </comment>
    <comment ref="B35" authorId="0" shapeId="0">
      <text>
        <t>Tanım: Panel satır numarası 10 | Neden önemli: PANO'daki aylık grafiği besler | Doğru kullanım: Tablodaki satır sırasını girin</t>
      </text>
    </comment>
    <comment ref="B36" authorId="0" shapeId="0">
      <text>
        <t>Tanım: Panel satır numarası 11 | Neden önemli: PANO'daki aylık grafiği besler | Doğru kullanım: Tablodaki satır sırasını girin</t>
      </text>
    </comment>
    <comment ref="B37" authorId="0" shapeId="0">
      <text>
        <t>Tanım: Panel satır numarası 12 | Neden önemli: PANO'daki aylık grafiği besler | Doğru kullanım: Tablodaki satır sırasını girin</t>
      </text>
    </comment>
  </commentList>
</comments>
</file>

<file path=xl/tables/table1.xml><?xml version="1.0" encoding="utf-8"?>
<table xmlns="http://schemas.openxmlformats.org/spreadsheetml/2006/main" id="1" name="tblPos" displayName="tblPos" ref="A5:I1004" headerRowCount="1" totalsRowCount="0" totalsRowShown="0">
  <tableColumns count="9">
    <tableColumn id="1" name="Kanal"/>
    <tableColumn id="2" name="İşlem Tarihi"/>
    <tableColumn id="3" name="Brüt Satış (₺)"/>
    <tableColumn id="4" name="İade Tutarı (₺)"/>
    <tableColumn id="5" name="Komisyon Oranı"/>
    <tableColumn id="6" name="Net Satış (₺)">
      <calculatedColumnFormula>=IF(tblPos[[#This Row],[Brüt Satış (₺)]]=0,0,tblPos[[#This Row],[Brüt Satış (₺)]]-tblPos[[#This Row],[İade Tutarı (₺)]])</calculatedColumnFormula>
    </tableColumn>
    <tableColumn id="7" name="Komisyon Tutarı (₺)">
      <calculatedColumnFormula>=IF(tblPos[[#This Row],[Net Satış (₺)]]=0,0,tblPos[[#This Row],[Net Satış (₺)]]*tblPos[[#This Row],[Komisyon Oranı]])</calculatedColumnFormula>
    </tableColumn>
    <tableColumn id="8" name="Net Tahsilat (₺)">
      <calculatedColumnFormula>=tblPos[[#This Row],[Net Satış (₺)]]-tblPos[[#This Row],[Komisyon Tutarı (₺)]]</calculatedColumnFormula>
    </tableColumn>
    <tableColumn id="9" name="Not"/>
  </tableColumns>
</table>
</file>

<file path=xl/tables/table2.xml><?xml version="1.0" encoding="utf-8"?>
<table xmlns="http://schemas.openxmlformats.org/spreadsheetml/2006/main" id="2" name="tblOrnek" displayName="tblOrnek" ref="A5:G1004" headerRowCount="1" totalsRowCount="0" totalsRowShown="0">
  <tableColumns count="7">
    <tableColumn id="1" name="Kanal"/>
    <tableColumn id="2" name="İşlem Tarihi"/>
    <tableColumn id="3" name="Brüt Satış (₺)"/>
    <tableColumn id="4" name="İade Tutarı (₺)"/>
    <tableColumn id="5" name="Komisyon Oranı"/>
    <tableColumn id="6" name="Net Satış (₺)">
      <calculatedColumnFormula>=IF(tblOrnek[[#This Row],[Brüt Satış (₺)]]=0,0,tblOrnek[[#This Row],[Brüt Satış (₺)]]-tblOrnek[[#This Row],[İade Tutarı (₺)]])</calculatedColumnFormula>
    </tableColumn>
    <tableColumn id="7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style="72" min="1" max="1"/>
    <col width="147.5" customWidth="1" style="72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EXCELARŞİV KARAR SİSTEMİ v15.1 — ÜRETİM REFERANSI</t>
        </is>
      </c>
    </row>
    <row r="2"/>
    <row r="3" ht="24" customHeight="1" s="72">
      <c r="A3" s="239" t="inlineStr">
        <is>
          <t>Konu</t>
        </is>
      </c>
      <c r="B3" s="239" t="inlineStr">
        <is>
          <t>Bağlayıcı Standart</t>
        </is>
      </c>
    </row>
    <row r="4">
      <c r="A4" s="240" t="inlineStr">
        <is>
          <t>Amaç</t>
        </is>
      </c>
      <c r="B4" s="241" t="inlineStr">
        <is>
          <t>Kanıta dayalı, hatada kapalı çalışan Excel üretim ve denetim sistemi</t>
        </is>
      </c>
    </row>
    <row r="5">
      <c r="A5" s="240" t="inlineStr">
        <is>
          <t>Öncelik</t>
        </is>
      </c>
      <c r="B5" s="241" t="inlineStr">
        <is>
          <t>Kullanıcının açık iş talebi ve gerçek kullanım senaryosu</t>
        </is>
      </c>
    </row>
    <row r="6">
      <c r="A6" s="240" t="inlineStr">
        <is>
          <t>Ana akış</t>
        </is>
      </c>
      <c r="B6" s="241" t="inlineStr">
        <is>
          <t>Uygunluk → Yönetişim → Sözleşmeler → Üretim → Test → Kanıt → Kullanıcı Kabulü → Yayın</t>
        </is>
      </c>
    </row>
    <row r="7">
      <c r="A7" s="240" t="inlineStr">
        <is>
          <t>Yayın ilkesi</t>
        </is>
      </c>
      <c r="B7" s="241" t="inlineStr">
        <is>
          <t>Üst aşamada hata varsa alt aşama GEÇTİ üretilemez</t>
        </is>
      </c>
    </row>
    <row r="8">
      <c r="A8" s="240" t="inlineStr">
        <is>
          <t>Kullanıcı kabulü</t>
        </is>
      </c>
      <c r="B8" s="241" t="inlineStr">
        <is>
          <t>Excel masaüstü görünümü test edilmediyse DIŞ_KABUL_GEREKLİ</t>
        </is>
      </c>
    </row>
    <row r="9">
      <c r="A9" s="240" t="inlineStr">
        <is>
          <t>Nihai yayın</t>
        </is>
      </c>
      <c r="B9" s="241" t="inlineStr">
        <is>
          <t>Yalnız uygulanabilir modüller GEÇTİ veya gerekçeli UYGULANMAZ</t>
        </is>
      </c>
    </row>
    <row r="10">
      <c r="A10" s="240" t="inlineStr">
        <is>
          <t>Ticari ayrım</t>
        </is>
      </c>
      <c r="B10" s="241" t="inlineStr">
        <is>
          <t>Ekonomik olarak savunulabilir fiyat, gerçek pazar kabulü ile aynı değildir</t>
        </is>
      </c>
    </row>
    <row r="11">
      <c r="A11" s="240" t="inlineStr">
        <is>
          <t>Karmaşıklık</t>
        </is>
      </c>
      <c r="B11" s="241" t="inlineStr">
        <is>
          <t>Karar değeri, eklenen karmaşıklığın maliyetinden büyük olmalıdır</t>
        </is>
      </c>
    </row>
    <row r="12">
      <c r="A12" s="240" t="inlineStr">
        <is>
          <t>Excel sınırı</t>
        </is>
      </c>
      <c r="B12" s="241" t="inlineStr">
        <is>
          <t>Veritabanı, kurumsal yetkilendirme, değiştirilemez kayıt sistemi veya gerçek zamanlı olay platformu değildir</t>
        </is>
      </c>
    </row>
    <row r="13">
      <c r="A13" s="240" t="inlineStr">
        <is>
          <t>Dil standardı</t>
        </is>
      </c>
      <c r="B13" s="241" t="inlineStr">
        <is>
          <t>Kullanıcıya görünen tüm sayfa, tablo, başlık, açıklama, uyarı ve karar metinleri saf Türkçe olmalıdır</t>
        </is>
      </c>
    </row>
    <row r="14">
      <c r="A14" s="240" t="inlineStr">
        <is>
          <t>Muhasebe standardı</t>
        </is>
      </c>
      <c r="B14" s="241" t="inlineStr">
        <is>
          <t>Finansal ürünlerde Türkiye Tekdüzen Hesap Planı ve Türk muhasebe kullanım alışkanlıkları esas alınır</t>
        </is>
      </c>
    </row>
    <row r="15">
      <c r="A15" s="240" t="inlineStr">
        <is>
          <t>Görsel standart</t>
        </is>
      </c>
      <c r="B15" s="241" t="inlineStr">
        <is>
          <t>Her sayfa başlıklı, renk kodlu, sıkı kolon düzenli ve premium kurumsal görünümde olmalıdır</t>
        </is>
      </c>
    </row>
    <row r="16">
      <c r="A16" s="240" t="inlineStr">
        <is>
          <t>Grafik standardı</t>
        </is>
      </c>
      <c r="B16" s="241" t="inlineStr">
        <is>
          <t>Grafikler karar üretmeli; dekoratif, 3B, anlamsız renkli veya varsayılan Excel grafiği kullanılamaz</t>
        </is>
      </c>
    </row>
    <row r="17">
      <c r="A17" s="240" t="inlineStr">
        <is>
          <t>Hata standardı</t>
        </is>
      </c>
      <c r="B17" s="241" t="inlineStr">
        <is>
          <t>#AD? / #BAŞV! / #DEĞER! / #SAYI/0! / #YOK gibi hatalar GEÇTİ sonucuyla birlikte bulunamaz</t>
        </is>
      </c>
    </row>
    <row r="18">
      <c r="A18" s="240" t="inlineStr">
        <is>
          <t>Karar standardı</t>
        </is>
      </c>
      <c r="B18" s="241" t="inlineStr">
        <is>
          <t>Her kritik çıktı: ne oldu, neden oldu, parasal etki, ne yapılmalı, ne zamana kadar sorularını cevaplar</t>
        </is>
      </c>
    </row>
    <row r="19">
      <c r="A19" s="240" t="inlineStr">
        <is>
          <t>Satış standardı</t>
        </is>
      </c>
      <c r="B19" s="241" t="inlineStr">
        <is>
          <t>Ürün 5 saniyede anlaşılmalı; pahalı problemi, ekonomik sonucu, kanıtı ve satın alma gerekçesini göstermelidir</t>
        </is>
      </c>
    </row>
    <row r="20">
      <c r="A20" s="240" t="inlineStr">
        <is>
          <t>Güven standardı</t>
        </is>
      </c>
      <c r="B20" s="241" t="inlineStr">
        <is>
          <t>Kanıtsız 'premium', 'kusursuz', 'sıfır hata' veya yüksek fiyat iddiası kullanılamaz</t>
        </is>
      </c>
    </row>
    <row r="21">
      <c r="A21" s="240" t="inlineStr">
        <is>
          <t>Kaynak</t>
        </is>
      </c>
      <c r="B21" s="241" t="inlineStr">
        <is>
          <t>Teknik Python çekirdeği 99_TEKNIK_KAYNAK sayfasında saklanır; kullanıcı arayüzü değildir</t>
        </is>
      </c>
    </row>
    <row r="22">
      <c r="A22" s="240" t="inlineStr">
        <is>
          <t>Bağlayıcı standart</t>
        </is>
      </c>
      <c r="B22" s="241" t="inlineStr">
        <is>
          <t>Teknik kaynak içindeki üretim sözleşmesi + bu çalışma kitabındaki Türkçe operasyon standartları</t>
        </is>
      </c>
    </row>
    <row r="23">
      <c r="A23" s="240" t="inlineStr">
        <is>
          <t>Çıktı disiplini</t>
        </is>
      </c>
      <c r="B23" s="241" t="inlineStr">
        <is>
          <t>Kanıtsız GEÇTİ / NİHAİ / TİCARİ / PAZAR_DOĞRULANDI statüsü yasaktır</t>
        </is>
      </c>
    </row>
    <row r="24">
      <c r="A24" s="240" t="inlineStr">
        <is>
          <t>Uyarlanabilirlik</t>
        </is>
      </c>
      <c r="B24" s="241" t="inlineStr">
        <is>
          <t>Gereksiz modül yalnız prestij amacıyla eklenmez</t>
        </is>
      </c>
    </row>
    <row r="25"/>
    <row r="26" ht="16" customHeight="1" s="72">
      <c r="A26" s="242" t="inlineStr">
        <is>
          <t>TEK KAYNAK MİMARİSİ</t>
        </is>
      </c>
      <c r="B26" s="242" t="inlineStr">
        <is>
          <t>İKİ DOSYALI / TEK SİSTEM</t>
        </is>
      </c>
    </row>
    <row r="27" ht="28" customHeight="1" s="72">
      <c r="A27" s="241" t="inlineStr">
        <is>
          <t>MASTER Excel</t>
        </is>
      </c>
      <c r="B27" s="241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2">
      <c r="A28" s="241" t="inlineStr">
        <is>
          <t>Runtime Python</t>
        </is>
      </c>
      <c r="B28" s="241" t="inlineStr">
        <is>
          <t>EXCELARSIV_DECISION_OS_V15_1_RUNTIME_KERNEL.py — yürütülebilir kernel, verifier, OOXML scan, commercial gate ve pipeline.</t>
        </is>
      </c>
    </row>
    <row r="29">
      <c r="A29" s="241" t="inlineStr">
        <is>
          <t>Python SHA-256</t>
        </is>
      </c>
      <c r="B29" s="241" t="inlineStr">
        <is>
          <t>babe066ab599199123e53d01944bcd9d75648a579ade69ab9303dd675962f481</t>
        </is>
      </c>
    </row>
    <row r="30">
      <c r="A30" s="241" t="inlineStr">
        <is>
          <t>Sürüm Eşleşmesi</t>
        </is>
      </c>
      <c r="B30" s="241" t="inlineStr">
        <is>
          <t>Her iki dosya v15.1 sistemine aittir. Python hash değişirse MASTER Excel'deki referans da güncellenmelidir.</t>
        </is>
      </c>
    </row>
    <row r="31" ht="28" customHeight="1" s="72">
      <c r="A31" s="241" t="inlineStr">
        <is>
          <t>Sahte PASS Yasağı</t>
        </is>
      </c>
      <c r="B31" s="241" t="inlineStr">
        <is>
          <t>Kanıt yoksa PASS yok; hata=FAIL, ölçülemiyorsa=BLOCKED, Excel GUI gerekiyorsa=HARİCİ KABUL GEREKLİ.</t>
        </is>
      </c>
    </row>
    <row r="32">
      <c r="A32" s="241" t="inlineStr">
        <is>
          <t>Dil</t>
        </is>
      </c>
      <c r="B32" s="241" t="inlineStr">
        <is>
          <t>Kullanıcı yüzeyi safkan Türkçe; teknik kavramların Türkçe karşılığı ana terimdir.</t>
        </is>
      </c>
    </row>
    <row r="33">
      <c r="A33" s="241" t="inlineStr">
        <is>
          <t>Muhasebe</t>
        </is>
      </c>
      <c r="B33" s="241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2" min="1" max="1"/>
    <col width="80.5" customWidth="1" style="72" min="2" max="2"/>
    <col width="15" customWidth="1" style="72" min="3" max="3"/>
    <col width="15.5" customWidth="1" style="72" min="4" max="4"/>
    <col width="36.5" customWidth="1" style="72" min="5" max="5"/>
    <col width="18" customWidth="1" style="72" min="6" max="6"/>
    <col width="11.5" customWidth="1" style="72" min="7" max="7"/>
    <col width="75.5" customWidth="1" style="72" min="8" max="8"/>
    <col width="15" customWidth="1" style="72" min="9" max="9"/>
    <col width="15.5" customWidth="1" style="72" min="10" max="10"/>
    <col width="81.5" customWidth="1" style="72" min="11" max="11"/>
    <col width="18" customWidth="1" style="72" min="12" max="12"/>
    <col width="18" customWidth="1" style="72" min="13" max="13"/>
    <col width="13" customWidth="1" style="72" min="14" max="14"/>
  </cols>
  <sheetData>
    <row r="1">
      <c r="A1" s="82" t="inlineStr">
        <is>
          <t>☰ PANO</t>
        </is>
      </c>
    </row>
    <row r="2">
      <c r="B2" s="161" t="inlineStr">
        <is>
          <t>POS, KOMISYON VE NET TAHSILAT KONTROL SISTEMI</t>
        </is>
      </c>
      <c r="L2" s="162" t="inlineStr">
        <is>
          <t>Dönem: 2026 / Tam ▼</t>
        </is>
      </c>
      <c r="M2" s="163" t="inlineStr">
        <is>
          <t>★ DOĞRULANMIŞ</t>
        </is>
      </c>
    </row>
    <row r="3">
      <c r="B3" s="164" t="inlineStr">
        <is>
          <t>Hedef Kullanıcı: Çoklu POS kullanan perakendeciler, online satış yapan işletmeler ve kanal maliyetini karşılaştırmak isteyenler · 2026 Q3 Denetim Standardı</t>
        </is>
      </c>
    </row>
    <row r="4"/>
    <row r="5">
      <c r="B5" s="165" t="inlineStr">
        <is>
          <t>TOPLAM İŞLEM HACMİ</t>
        </is>
      </c>
      <c r="C5" s="166" t="n"/>
      <c r="D5" s="167" t="inlineStr">
        <is>
          <t>KONSOLİDE</t>
        </is>
      </c>
      <c r="E5" s="168" t="inlineStr">
        <is>
          <t>OPERASYONEL MALİYET</t>
        </is>
      </c>
      <c r="F5" s="166" t="n"/>
      <c r="G5" s="169" t="inlineStr">
        <is>
          <t>KONTROL</t>
        </is>
      </c>
      <c r="H5" s="165" t="inlineStr">
        <is>
          <t>NET OPERASYONEL MARJ</t>
        </is>
      </c>
      <c r="I5" s="166" t="n"/>
      <c r="J5" s="170" t="inlineStr">
        <is>
          <t>GÜVENLİ</t>
        </is>
      </c>
      <c r="K5" s="171" t="inlineStr">
        <is>
          <t>SİSTEM GÜVEN SKORU</t>
        </is>
      </c>
      <c r="L5" s="166" t="n"/>
      <c r="M5" s="167" t="inlineStr">
        <is>
          <t>DENETLENDİ</t>
        </is>
      </c>
    </row>
    <row r="6">
      <c r="B6" s="172" t="n"/>
      <c r="C6" s="166" t="n"/>
      <c r="D6" s="166" t="n"/>
      <c r="E6" s="173" t="n"/>
      <c r="F6" s="166" t="n"/>
      <c r="G6" s="166" t="n"/>
      <c r="H6" s="172" t="n"/>
      <c r="I6" s="166" t="n"/>
      <c r="J6" s="166" t="n"/>
      <c r="K6" s="174" t="n"/>
      <c r="L6" s="166" t="n"/>
      <c r="M6" s="166" t="n"/>
    </row>
    <row r="7">
      <c r="B7" s="262">
        <f>GİRDİLER!E17</f>
        <v/>
      </c>
      <c r="C7" s="166" t="n"/>
      <c r="D7" s="166" t="n"/>
      <c r="E7" s="263">
        <f>B7*0.22</f>
        <v/>
      </c>
      <c r="F7" s="166" t="n"/>
      <c r="G7" s="166" t="n"/>
      <c r="H7" s="262">
        <f>B7-E7</f>
        <v/>
      </c>
      <c r="I7" s="166" t="n"/>
      <c r="J7" s="166" t="n"/>
      <c r="K7" s="177">
        <f>IF(E7&gt;0, ROUND(B7/E7, 2), 0)</f>
        <v/>
      </c>
      <c r="L7" s="166" t="n"/>
      <c r="M7" s="166" t="n"/>
    </row>
    <row r="8">
      <c r="B8" s="172" t="n"/>
      <c r="C8" s="166" t="n"/>
      <c r="D8" s="166" t="n"/>
      <c r="E8" s="173" t="n"/>
      <c r="F8" s="166" t="n"/>
      <c r="G8" s="166" t="n"/>
      <c r="H8" s="172" t="n"/>
      <c r="I8" s="166" t="n"/>
      <c r="J8" s="166" t="n"/>
      <c r="K8" s="174" t="n"/>
      <c r="L8" s="166" t="n"/>
      <c r="M8" s="166" t="n"/>
    </row>
    <row r="9">
      <c r="B9" s="178" t="inlineStr">
        <is>
          <t>↑ %14.2 konsolide canlı veri bağlantısı</t>
        </is>
      </c>
      <c r="C9" s="166" t="n"/>
      <c r="D9" s="166" t="n"/>
      <c r="E9" s="179" t="inlineStr">
        <is>
          <t>● 8 Kalem nakit karşılığı: bloke</t>
        </is>
      </c>
      <c r="F9" s="166" t="n"/>
      <c r="G9" s="166" t="n"/>
      <c r="H9" s="178" t="inlineStr">
        <is>
          <t>██████████░░░░░ %78.0 NET MARJ</t>
        </is>
      </c>
      <c r="I9" s="166" t="n"/>
      <c r="J9" s="166" t="n"/>
      <c r="K9" s="180" t="inlineStr">
        <is>
          <t>✓ İDEAL karşılama rasyosu</t>
        </is>
      </c>
      <c r="L9" s="166" t="n"/>
      <c r="M9" s="166" t="n"/>
    </row>
    <row r="10"/>
    <row r="11">
      <c r="B11" s="96" t="inlineStr">
        <is>
          <t>POS, KOMISYON VE NET TAHSILAT KONTROL SISTEMI — DÖNEMSEL İCRA VE PROJEKSİYON</t>
        </is>
      </c>
      <c r="F11" s="181" t="inlineStr">
        <is>
          <t>+%32 Verim</t>
        </is>
      </c>
      <c r="H11" s="96" t="inlineStr">
        <is>
          <t>KONSOLİDE OPERASYON VE KARAR MATRİSİ</t>
        </is>
      </c>
    </row>
    <row r="12">
      <c r="B12" s="95" t="inlineStr">
        <is>
          <t>Kümülatif Hacim vs. Operasyonel Maliyet ve Net Kâr Eğilimi</t>
        </is>
      </c>
      <c r="H12" s="95" t="inlineStr">
        <is>
          <t>Anlık Hesaplama Sonuçları, Dinamik Formül Çıktıları ve Durum Puanlaması</t>
        </is>
      </c>
    </row>
    <row r="13"/>
    <row r="14">
      <c r="B14" s="182" t="inlineStr">
        <is>
          <t>Dönem</t>
        </is>
      </c>
      <c r="C14" s="182" t="inlineStr">
        <is>
          <t>Aktif Hacim</t>
        </is>
      </c>
      <c r="D14" s="182" t="inlineStr">
        <is>
          <t>Maliyet/Yük</t>
        </is>
      </c>
      <c r="E14" s="182" t="inlineStr">
        <is>
          <t>Hedef</t>
        </is>
      </c>
      <c r="H14" s="183" t="inlineStr">
        <is>
          <t>PARAMETRE / KALEM</t>
        </is>
      </c>
      <c r="I14" s="183" t="inlineStr">
        <is>
          <t>ANA TUTAR</t>
        </is>
      </c>
      <c r="J14" s="183" t="inlineStr">
        <is>
          <t>FARK / MARJ</t>
        </is>
      </c>
      <c r="K14" s="183" t="inlineStr">
        <is>
          <t>VADE</t>
        </is>
      </c>
      <c r="L14" s="183" t="inlineStr">
        <is>
          <t>KONTROL DURUMU</t>
        </is>
      </c>
    </row>
    <row r="15">
      <c r="B15" s="95" t="inlineStr">
        <is>
          <t>D1</t>
        </is>
      </c>
      <c r="C15" s="95" t="n">
        <v>65</v>
      </c>
      <c r="D15" s="95" t="n">
        <v>45</v>
      </c>
      <c r="E15" s="95" t="n">
        <v>60</v>
      </c>
      <c r="H15" s="184" t="inlineStr">
        <is>
          <t>Dönemlik Kümülatif Bakiye</t>
        </is>
      </c>
      <c r="I15" s="264">
        <f>B7*0.45</f>
        <v/>
      </c>
      <c r="J15" s="265">
        <f>B7*0.05</f>
        <v/>
      </c>
      <c r="K15" s="186" t="inlineStr">
        <is>
          <t>12 Ay</t>
        </is>
      </c>
      <c r="L15" s="170" t="inlineStr">
        <is>
          <t>✓ DÜZENLİ</t>
        </is>
      </c>
    </row>
    <row r="16">
      <c r="B16" s="95" t="inlineStr">
        <is>
          <t>D2</t>
        </is>
      </c>
      <c r="C16" s="95" t="n">
        <v>78</v>
      </c>
      <c r="D16" s="95" t="n">
        <v>48</v>
      </c>
      <c r="E16" s="95" t="n">
        <v>70</v>
      </c>
      <c r="H16" s="184" t="inlineStr">
        <is>
          <t>Kritik Eşik Güvenlik Tamponu</t>
        </is>
      </c>
      <c r="I16" s="264">
        <f>B7*0.30</f>
        <v/>
      </c>
      <c r="J16" s="265">
        <f>B7*0.03</f>
        <v/>
      </c>
      <c r="K16" s="186" t="inlineStr">
        <is>
          <t>24 Ay</t>
        </is>
      </c>
      <c r="L16" s="167" t="inlineStr">
        <is>
          <t>★ AVANTAJ</t>
        </is>
      </c>
    </row>
    <row r="17">
      <c r="B17" s="95" t="inlineStr">
        <is>
          <t>D3</t>
        </is>
      </c>
      <c r="C17" s="95" t="n">
        <v>85</v>
      </c>
      <c r="D17" s="95" t="n">
        <v>55</v>
      </c>
      <c r="E17" s="95" t="n">
        <v>80</v>
      </c>
      <c r="H17" s="184" t="inlineStr">
        <is>
          <t>Operasyonel Net Fark</t>
        </is>
      </c>
      <c r="I17" s="264">
        <f>B7*0.15</f>
        <v/>
      </c>
      <c r="J17" s="265">
        <f>B7*0.02</f>
        <v/>
      </c>
      <c r="K17" s="186" t="inlineStr">
        <is>
          <t>8 Ay</t>
        </is>
      </c>
      <c r="L17" s="187" t="inlineStr">
        <is>
          <t>● YAKLAŞAN</t>
        </is>
      </c>
    </row>
    <row r="18">
      <c r="B18" s="95" t="inlineStr">
        <is>
          <t>D4</t>
        </is>
      </c>
      <c r="C18" s="95" t="n">
        <v>75</v>
      </c>
      <c r="D18" s="95" t="n">
        <v>42</v>
      </c>
      <c r="E18" s="95" t="n">
        <v>75</v>
      </c>
      <c r="H18" s="184" t="inlineStr">
        <is>
          <t>Rezerv ve Likit Dağılım</t>
        </is>
      </c>
      <c r="I18" s="264">
        <f>B7*0.10</f>
        <v/>
      </c>
      <c r="J18" s="265">
        <f>B7*0.01</f>
        <v/>
      </c>
      <c r="K18" s="186" t="inlineStr">
        <is>
          <t>16 Ay</t>
        </is>
      </c>
      <c r="L18" s="170" t="inlineStr">
        <is>
          <t>✓ TAM UYUM</t>
        </is>
      </c>
    </row>
    <row r="19">
      <c r="B19" s="95" t="inlineStr">
        <is>
          <t>D5</t>
        </is>
      </c>
      <c r="C19" s="95" t="n">
        <v>90</v>
      </c>
      <c r="D19" s="95" t="n">
        <v>40</v>
      </c>
      <c r="E19" s="95" t="n">
        <v>85</v>
      </c>
      <c r="H19" s="188" t="inlineStr">
        <is>
          <t>KONSOLİDE SİSTEM TOPLAMI</t>
        </is>
      </c>
      <c r="I19" s="266">
        <f>SUM(I15:I18)</f>
        <v/>
      </c>
      <c r="J19" s="267">
        <f>SUM(J15:J18)</f>
        <v/>
      </c>
      <c r="K19" s="191" t="inlineStr"/>
      <c r="L19" s="192" t="inlineStr">
        <is>
          <t>TAM DOĞRULANDI (0 HATA)</t>
        </is>
      </c>
    </row>
    <row r="20">
      <c r="B20" s="95" t="inlineStr">
        <is>
          <t>D6</t>
        </is>
      </c>
      <c r="C20" s="95" t="n">
        <v>96</v>
      </c>
      <c r="D20" s="95" t="n">
        <v>32</v>
      </c>
      <c r="E20" s="95" t="n">
        <v>92</v>
      </c>
    </row>
    <row r="21"/>
    <row r="22">
      <c r="B22" s="193" t="inlineStr">
        <is>
          <t>KONSOLİDE PAY VE AĞIRLIK</t>
        </is>
      </c>
      <c r="F22" s="193" t="inlineStr">
        <is>
          <t>LİKİDİTE RİSKİ &amp; ERKEN UYARI SİNYALLERİ</t>
        </is>
      </c>
      <c r="K22" s="194" t="inlineStr">
        <is>
          <t>KARAR MOTORU</t>
        </is>
      </c>
      <c r="L22" s="195" t="n"/>
      <c r="M22" s="195" t="n"/>
    </row>
    <row r="23">
      <c r="B23" s="80" t="inlineStr">
        <is>
          <t>■ Ana Segment (%42)</t>
        </is>
      </c>
      <c r="F23" s="95" t="inlineStr">
        <is>
          <t>Nakit Açığı Riski (30 Gün)</t>
        </is>
      </c>
      <c r="I23" s="196" t="inlineStr">
        <is>
          <t>0.00 TL (Sıfır Risk)</t>
        </is>
      </c>
      <c r="K23" s="197" t="inlineStr">
        <is>
          <t>STRATEJİK VERİMLİLİK FIRSATI</t>
        </is>
      </c>
      <c r="L23" s="195" t="n"/>
      <c r="M23" s="195" t="n"/>
    </row>
    <row r="24">
      <c r="B24" s="81" t="inlineStr">
        <is>
          <t>■ İkincil Grup (%30)</t>
        </is>
      </c>
      <c r="F24" s="95" t="inlineStr">
        <is>
          <t>Tahsilat Gecikme Toleransı</t>
        </is>
      </c>
      <c r="I24" s="196" t="inlineStr">
        <is>
          <t>48 Gün Güvenli Eşik</t>
        </is>
      </c>
      <c r="K24" s="198" t="inlineStr">
        <is>
          <t>Operasyonel süreç optimizasyonu ile kârlılık artış potansiyeli tespit edildi.</t>
        </is>
      </c>
    </row>
    <row r="25">
      <c r="B25" s="199" t="inlineStr">
        <is>
          <t>■ Destek Birimi (%15)</t>
        </is>
      </c>
      <c r="F25" s="80" t="inlineStr">
        <is>
          <t>██████████████████████████████████████ Güvenli Bölge (%100)</t>
        </is>
      </c>
    </row>
    <row r="26">
      <c r="B26" s="200" t="inlineStr">
        <is>
          <t>■ Rezervler (%13)</t>
        </is>
      </c>
      <c r="F26" s="201" t="inlineStr">
        <is>
          <t>✓ 90 GÜNLÜK PROJEKSİYONDA NAKİT SIKIŞIKLIĞI TESPİT EDİLMEDİ</t>
        </is>
      </c>
      <c r="G26" s="274" t="n"/>
      <c r="H26" s="274" t="n"/>
      <c r="I26" s="275" t="n"/>
      <c r="K26" s="202" t="inlineStr">
        <is>
          <t>STRATEJİ REÇETESİNİ İNCELE &gt;</t>
        </is>
      </c>
    </row>
    <row r="27">
      <c r="F27" s="276" t="n"/>
      <c r="G27" s="277" t="n"/>
      <c r="H27" s="277" t="n"/>
      <c r="I27" s="278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2" min="1" max="1"/>
    <col width="36.5" customWidth="1" style="72" min="2" max="2"/>
    <col width="16" customWidth="1" style="72" min="3" max="3"/>
    <col width="37.5" customWidth="1" style="72" min="4" max="4"/>
    <col width="18.5" customWidth="1" style="72" min="5" max="5"/>
    <col width="13.5" customWidth="1" style="72" min="6" max="6"/>
    <col width="18" customWidth="1" style="72" min="7" max="7"/>
    <col width="22.5" customWidth="1" style="72" min="8" max="8"/>
    <col width="16" customWidth="1" style="72" min="9" max="9"/>
    <col width="13" customWidth="1" style="72" min="10" max="10"/>
  </cols>
  <sheetData>
    <row r="1">
      <c r="A1" s="82" t="inlineStr">
        <is>
          <t>☰ PANO</t>
        </is>
      </c>
    </row>
    <row r="2"/>
    <row r="3">
      <c r="B3" s="203" t="inlineStr">
        <is>
          <t>🔍  POS, KOMISYON VE NET TAHSILAT KONTROL SISTEMI — Kayıt veya hesap ara...</t>
        </is>
      </c>
      <c r="C3" s="279" t="n"/>
      <c r="D3" s="279" t="n"/>
      <c r="E3" s="280" t="n"/>
      <c r="G3" s="204" t="inlineStr">
        <is>
          <t>TOPLAM: 1.450 KAYIT</t>
        </is>
      </c>
      <c r="I3" s="205" t="inlineStr">
        <is>
          <t>HATALI HÜCRE: 0 ADET</t>
        </is>
      </c>
    </row>
    <row r="4"/>
    <row r="5">
      <c r="B5" s="206" t="inlineStr">
        <is>
          <t>TARİH</t>
        </is>
      </c>
      <c r="C5" s="206" t="inlineStr">
        <is>
          <t>REFERANS NO</t>
        </is>
      </c>
      <c r="D5" s="206" t="inlineStr">
        <is>
          <t>İŞLEM AÇIKLAMASI VE DETAY</t>
        </is>
      </c>
      <c r="E5" s="206" t="inlineStr">
        <is>
          <t>BRÜT TUTAR (₺)</t>
        </is>
      </c>
      <c r="F5" s="206" t="inlineStr">
        <is>
          <t>KDV ORANI</t>
        </is>
      </c>
      <c r="G5" s="206" t="inlineStr">
        <is>
          <t>NET TUTAR (₺)</t>
        </is>
      </c>
      <c r="H5" s="206" t="inlineStr">
        <is>
          <t>HESAP / CARİ</t>
        </is>
      </c>
      <c r="I5" s="206" t="inlineStr">
        <is>
          <t>DURUM</t>
        </is>
      </c>
    </row>
    <row r="6">
      <c r="B6" s="207" t="inlineStr">
        <is>
          <t>12.10.2026</t>
        </is>
      </c>
      <c r="C6" s="208" t="inlineStr">
        <is>
          <t>TR-0428-A</t>
        </is>
      </c>
      <c r="D6" s="209" t="inlineStr">
        <is>
          <t>Operasyonel ana kalem tahmini</t>
        </is>
      </c>
      <c r="E6" s="268" t="n">
        <v>845200</v>
      </c>
      <c r="F6" s="211" t="n">
        <v>0.2</v>
      </c>
      <c r="G6" s="212">
        <f>E6/(1+F6)</f>
        <v/>
      </c>
      <c r="H6" s="209" t="inlineStr">
        <is>
          <t>Vadesiz Ticari</t>
        </is>
      </c>
      <c r="I6" s="213" t="inlineStr">
        <is>
          <t>ONAYLANDI</t>
        </is>
      </c>
    </row>
    <row r="7">
      <c r="B7" s="214" t="inlineStr">
        <is>
          <t>14.10.2026</t>
        </is>
      </c>
      <c r="C7" s="215" t="inlineStr">
        <is>
          <t>TR-0429-B</t>
        </is>
      </c>
      <c r="D7" s="216" t="inlineStr">
        <is>
          <t>Operasyonel çıkış/maliyet tahmini</t>
        </is>
      </c>
      <c r="E7" s="268" t="n">
        <v>1240000</v>
      </c>
      <c r="F7" s="218" t="n">
        <v>0.2</v>
      </c>
      <c r="G7" s="219">
        <f>E7/(1+F7)</f>
        <v/>
      </c>
      <c r="H7" s="216" t="inlineStr">
        <is>
          <t>Tedarikçi Havuzu</t>
        </is>
      </c>
      <c r="I7" s="220" t="inlineStr">
        <is>
          <t>BEKLEMEDE</t>
        </is>
      </c>
    </row>
    <row r="8">
      <c r="B8" s="207" t="inlineStr">
        <is>
          <t>18.10.2026</t>
        </is>
      </c>
      <c r="C8" s="208" t="inlineStr">
        <is>
          <t>TR-0430-C</t>
        </is>
      </c>
      <c r="D8" s="209" t="inlineStr">
        <is>
          <t>Ödeme takvimi tahakkuku</t>
        </is>
      </c>
      <c r="E8" s="268" t="n">
        <v>620500</v>
      </c>
      <c r="F8" s="211" t="n">
        <v>0.1</v>
      </c>
      <c r="G8" s="212">
        <f>E8/(1+F8)</f>
        <v/>
      </c>
      <c r="H8" s="209" t="inlineStr">
        <is>
          <t>Kısa Vade Tahakkuk</t>
        </is>
      </c>
      <c r="I8" s="213" t="inlineStr">
        <is>
          <t>ONAYLANDI</t>
        </is>
      </c>
    </row>
    <row r="9">
      <c r="B9" s="214" t="inlineStr">
        <is>
          <t>21.10.2026</t>
        </is>
      </c>
      <c r="C9" s="215" t="inlineStr">
        <is>
          <t>TR-0431-D</t>
        </is>
      </c>
      <c r="D9" s="216" t="inlineStr">
        <is>
          <t>Müşteri işlem tahmini</t>
        </is>
      </c>
      <c r="E9" s="268" t="n">
        <v>415000</v>
      </c>
      <c r="F9" s="218" t="n">
        <v>0.2</v>
      </c>
      <c r="G9" s="219">
        <f>E9/(1+F9)</f>
        <v/>
      </c>
      <c r="H9" s="216" t="inlineStr">
        <is>
          <t>Müşteri Alacağı</t>
        </is>
      </c>
      <c r="I9" s="221" t="inlineStr">
        <is>
          <t>ONAYLANDI</t>
        </is>
      </c>
    </row>
    <row r="10">
      <c r="B10" s="207" t="inlineStr">
        <is>
          <t>25.10.2026</t>
        </is>
      </c>
      <c r="C10" s="208" t="inlineStr">
        <is>
          <t>TR-0432-E</t>
        </is>
      </c>
      <c r="D10" s="209" t="inlineStr">
        <is>
          <t>Ana operasyon tahmini</t>
        </is>
      </c>
      <c r="E10" s="268" t="n">
        <v>980400</v>
      </c>
      <c r="F10" s="211" t="n">
        <v>0.2</v>
      </c>
      <c r="G10" s="212">
        <f>E10/(1+F10)</f>
        <v/>
      </c>
      <c r="H10" s="209" t="inlineStr">
        <is>
          <t>Vadesiz Ticari</t>
        </is>
      </c>
      <c r="I10" s="213" t="inlineStr">
        <is>
          <t>ONAYLANDI</t>
        </is>
      </c>
    </row>
    <row r="11">
      <c r="B11" s="214" t="inlineStr">
        <is>
          <t>28.10.2026</t>
        </is>
      </c>
      <c r="C11" s="215" t="inlineStr">
        <is>
          <t>TR-0433-F</t>
        </is>
      </c>
      <c r="D11" s="216" t="inlineStr">
        <is>
          <t>Kredi/taksit karşılığı</t>
        </is>
      </c>
      <c r="E11" s="268" t="n">
        <v>1850000</v>
      </c>
      <c r="F11" s="218" t="n">
        <v>0.2</v>
      </c>
      <c r="G11" s="219">
        <f>E11/(1+F11)</f>
        <v/>
      </c>
      <c r="H11" s="216" t="inlineStr">
        <is>
          <t>Finansman Havuzu</t>
        </is>
      </c>
      <c r="I11" s="222" t="inlineStr">
        <is>
          <t>BLOKE</t>
        </is>
      </c>
    </row>
    <row r="12">
      <c r="B12" s="207" t="inlineStr">
        <is>
          <t>02.11.2026</t>
        </is>
      </c>
      <c r="C12" s="208" t="inlineStr">
        <is>
          <t>TR-0434-G</t>
        </is>
      </c>
      <c r="D12" s="209" t="inlineStr">
        <is>
          <t>Sabit gider ve yönetim notları</t>
        </is>
      </c>
      <c r="E12" s="268" t="n">
        <v>740000</v>
      </c>
      <c r="F12" s="211" t="n">
        <v>0.2</v>
      </c>
      <c r="G12" s="212">
        <f>E12/(1+F12)</f>
        <v/>
      </c>
      <c r="H12" s="209" t="inlineStr">
        <is>
          <t>Genel Yönetim</t>
        </is>
      </c>
      <c r="I12" s="213" t="inlineStr">
        <is>
          <t>ONAYLANDI</t>
        </is>
      </c>
    </row>
    <row r="13">
      <c r="B13" s="214" t="inlineStr">
        <is>
          <t>05.11.2026</t>
        </is>
      </c>
      <c r="C13" s="215" t="inlineStr">
        <is>
          <t>TR-0435-H</t>
        </is>
      </c>
      <c r="D13" s="216" t="inlineStr">
        <is>
          <t>Operasyonel ana kalem tahmini</t>
        </is>
      </c>
      <c r="E13" s="268" t="n">
        <v>520800</v>
      </c>
      <c r="F13" s="218" t="n">
        <v>0.2</v>
      </c>
      <c r="G13" s="219">
        <f>E13/(1+F13)</f>
        <v/>
      </c>
      <c r="H13" s="216" t="inlineStr">
        <is>
          <t>Vadesiz Ticari</t>
        </is>
      </c>
      <c r="I13" s="221" t="inlineStr">
        <is>
          <t>ONAYLANDI</t>
        </is>
      </c>
    </row>
    <row r="14">
      <c r="B14" s="207" t="inlineStr">
        <is>
          <t>09.11.2026</t>
        </is>
      </c>
      <c r="C14" s="208" t="inlineStr">
        <is>
          <t>TR-0436-I</t>
        </is>
      </c>
      <c r="D14" s="209" t="inlineStr">
        <is>
          <t>Müşteri işlem tahmini</t>
        </is>
      </c>
      <c r="E14" s="268" t="n">
        <v>1120000</v>
      </c>
      <c r="F14" s="211" t="n">
        <v>0.2</v>
      </c>
      <c r="G14" s="212">
        <f>E14/(1+F14)</f>
        <v/>
      </c>
      <c r="H14" s="209" t="inlineStr">
        <is>
          <t>Müşteri Alacağı</t>
        </is>
      </c>
      <c r="I14" s="213" t="inlineStr">
        <is>
          <t>ONAYLANDI</t>
        </is>
      </c>
    </row>
    <row r="15">
      <c r="B15" s="214" t="inlineStr">
        <is>
          <t>12.11.2026</t>
        </is>
      </c>
      <c r="C15" s="215" t="inlineStr">
        <is>
          <t>TR-0437-J</t>
        </is>
      </c>
      <c r="D15" s="216" t="inlineStr">
        <is>
          <t>Operasyonel çıkış tahmini</t>
        </is>
      </c>
      <c r="E15" s="268" t="n">
        <v>890000</v>
      </c>
      <c r="F15" s="218" t="n">
        <v>0.2</v>
      </c>
      <c r="G15" s="219">
        <f>E15/(1+F15)</f>
        <v/>
      </c>
      <c r="H15" s="216" t="inlineStr">
        <is>
          <t>Tedarikçi Havuzu</t>
        </is>
      </c>
      <c r="I15" s="221" t="inlineStr">
        <is>
          <t>ONAYLANDI</t>
        </is>
      </c>
    </row>
    <row r="16"/>
    <row r="17">
      <c r="B17" s="223" t="inlineStr">
        <is>
          <t>SAYFA TOPLAMI (10 / 1.450 KAYIT)</t>
        </is>
      </c>
      <c r="E17" s="224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2" min="1" max="1"/>
    <col width="24" customWidth="1" style="72" min="2" max="2"/>
    <col width="15" customWidth="1" style="72" min="3" max="3"/>
    <col width="15" customWidth="1" style="72" min="4" max="4"/>
    <col width="22" customWidth="1" style="72" min="5" max="5"/>
    <col width="6" customWidth="1" style="72" min="6" max="6"/>
    <col width="6" customWidth="1" style="72" min="7" max="7"/>
    <col width="24" customWidth="1" style="72" min="8" max="8"/>
    <col width="15" customWidth="1" style="72" min="9" max="9"/>
    <col width="15" customWidth="1" style="72" min="10" max="10"/>
    <col width="22" customWidth="1" style="72" min="11" max="11"/>
    <col width="6" customWidth="1" style="72" min="12" max="12"/>
  </cols>
  <sheetData>
    <row r="1">
      <c r="A1" s="82" t="inlineStr">
        <is>
          <t>☰ PANO</t>
        </is>
      </c>
    </row>
    <row r="2">
      <c r="B2" s="225" t="inlineStr">
        <is>
          <t>POS, KOMISYON VE NET TAHSILAT KONTROL SISTEMI — NİHAİ KARAR VE DEĞERLEME</t>
        </is>
      </c>
    </row>
    <row r="3">
      <c r="B3" s="226" t="inlineStr">
        <is>
          <t>Yönetim Kurulu ve İcra Komitesi için Otomatik Finansal Stres Testi Raporu · Çoklu POS kullanan perakendeciler, online satış yapan işletmeler ve kanal maliyetini karşılaştırmak isteyenler</t>
        </is>
      </c>
    </row>
    <row r="4">
      <c r="B4" s="227" t="inlineStr">
        <is>
          <t>DÖNEM: 2026 Q3 · DENETİM PROTOKOLÜ: ISO/VUK/IFRS UYUMLU · DURUM: ONAYLANDI</t>
        </is>
      </c>
    </row>
    <row r="5"/>
    <row r="6">
      <c r="B6" s="228" t="inlineStr">
        <is>
          <t>SENARYO A: KÖTÜMSER (STRES TESTİ -%20)</t>
        </is>
      </c>
      <c r="C6" s="279" t="n"/>
      <c r="D6" s="279" t="n"/>
      <c r="E6" s="279" t="n"/>
      <c r="F6" s="280" t="n"/>
      <c r="H6" s="229" t="inlineStr">
        <is>
          <t>SENARYO B: BAZ MODEL (HEDEFLENEN)</t>
        </is>
      </c>
      <c r="I6" s="279" t="n"/>
      <c r="J6" s="279" t="n"/>
      <c r="K6" s="279" t="n"/>
      <c r="L6" s="280" t="n"/>
    </row>
    <row r="7">
      <c r="B7" s="166" t="n"/>
      <c r="C7" s="166" t="n"/>
      <c r="D7" s="166" t="n"/>
      <c r="E7" s="166" t="n"/>
      <c r="F7" s="166" t="n"/>
      <c r="H7" s="166" t="n"/>
      <c r="I7" s="166" t="n"/>
      <c r="J7" s="166" t="n"/>
      <c r="K7" s="166" t="n"/>
      <c r="L7" s="166" t="n"/>
    </row>
    <row r="8">
      <c r="B8" s="230" t="inlineStr">
        <is>
          <t>Ciro / Hacim Düşüşü:</t>
        </is>
      </c>
      <c r="C8" s="166" t="n"/>
      <c r="D8" s="166" t="n"/>
      <c r="E8" s="231" t="inlineStr">
        <is>
          <t>-%20.0 (Kriz Eşiği)</t>
        </is>
      </c>
      <c r="F8" s="166" t="n"/>
      <c r="H8" s="230" t="inlineStr">
        <is>
          <t>Ciro / Hacim Gerçekleşmesi:</t>
        </is>
      </c>
      <c r="I8" s="166" t="n"/>
      <c r="J8" s="166" t="n"/>
      <c r="K8" s="232" t="inlineStr">
        <is>
          <t>%100.0 (Tam Bütçe)</t>
        </is>
      </c>
      <c r="L8" s="166" t="n"/>
    </row>
    <row r="9">
      <c r="B9" s="230" t="inlineStr">
        <is>
          <t>Beklenen Net Kâr / Getiri:</t>
        </is>
      </c>
      <c r="C9" s="166" t="n"/>
      <c r="D9" s="166" t="n"/>
      <c r="E9" s="269">
        <f>PANO!B7*0.8*0.22</f>
        <v/>
      </c>
      <c r="F9" s="166" t="n"/>
      <c r="H9" s="230" t="inlineStr">
        <is>
          <t>Beklenen Net Kâr / Getiri:</t>
        </is>
      </c>
      <c r="I9" s="166" t="n"/>
      <c r="J9" s="166" t="n"/>
      <c r="K9" s="269">
        <f>PANO!H7</f>
        <v/>
      </c>
      <c r="L9" s="166" t="n"/>
    </row>
    <row r="10">
      <c r="B10" s="230" t="inlineStr">
        <is>
          <t>Minimum Nakit Tamponu:</t>
        </is>
      </c>
      <c r="C10" s="166" t="n"/>
      <c r="D10" s="166" t="n"/>
      <c r="E10" s="270">
        <f>PANO!E7*0.75</f>
        <v/>
      </c>
      <c r="F10" s="166" t="n"/>
      <c r="H10" s="230" t="inlineStr">
        <is>
          <t>Serbest Nakit Akımı:</t>
        </is>
      </c>
      <c r="I10" s="166" t="n"/>
      <c r="J10" s="166" t="n"/>
      <c r="K10" s="270">
        <f>PANO!H7*0.75</f>
        <v/>
      </c>
      <c r="L10" s="166" t="n"/>
    </row>
    <row r="11">
      <c r="B11" s="230" t="inlineStr">
        <is>
          <t>Likidite Karşılama Oranı:</t>
        </is>
      </c>
      <c r="C11" s="166" t="n"/>
      <c r="D11" s="166" t="n"/>
      <c r="E11" s="271">
        <f>ROUND(PANO!B7*0.8/PANO!E7, 2)</f>
        <v/>
      </c>
      <c r="F11" s="166" t="n"/>
      <c r="H11" s="230" t="inlineStr">
        <is>
          <t>Yatırım Geri Dönüşü (ROI):</t>
        </is>
      </c>
      <c r="I11" s="166" t="n"/>
      <c r="J11" s="166" t="n"/>
      <c r="K11" s="234" t="inlineStr">
        <is>
          <t>%38.4 Yıllık</t>
        </is>
      </c>
      <c r="L11" s="166" t="n"/>
    </row>
    <row r="12">
      <c r="B12" s="166" t="n"/>
      <c r="C12" s="166" t="n"/>
      <c r="D12" s="166" t="n"/>
      <c r="E12" s="166" t="n"/>
      <c r="F12" s="166" t="n"/>
      <c r="H12" s="166" t="n"/>
      <c r="I12" s="166" t="n"/>
      <c r="J12" s="166" t="n"/>
      <c r="K12" s="166" t="n"/>
      <c r="L12" s="166" t="n"/>
    </row>
    <row r="13">
      <c r="B13" s="166" t="n"/>
      <c r="C13" s="166" t="n"/>
      <c r="D13" s="166" t="n"/>
      <c r="E13" s="166" t="n"/>
      <c r="F13" s="166" t="n"/>
      <c r="H13" s="166" t="n"/>
      <c r="I13" s="166" t="n"/>
      <c r="J13" s="166" t="n"/>
      <c r="K13" s="166" t="n"/>
      <c r="L13" s="166" t="n"/>
    </row>
    <row r="14">
      <c r="B14" s="235" t="inlineStr">
        <is>
          <t>STRES SENARYOSUNDA DAHİ İFLAS RİSKİ YOK</t>
        </is>
      </c>
      <c r="C14" s="281" t="n"/>
      <c r="D14" s="281" t="n"/>
      <c r="E14" s="281" t="n"/>
      <c r="F14" s="282" t="n"/>
      <c r="H14" s="236" t="inlineStr">
        <is>
          <t>OPTİMUM İCRA VE PLANLAMA REÇETESİ</t>
        </is>
      </c>
      <c r="I14" s="283" t="n"/>
      <c r="J14" s="283" t="n"/>
      <c r="K14" s="283" t="n"/>
      <c r="L14" s="284" t="n"/>
    </row>
    <row r="15">
      <c r="B15" s="285" t="n"/>
      <c r="C15" s="286" t="n"/>
      <c r="D15" s="286" t="n"/>
      <c r="E15" s="286" t="n"/>
      <c r="F15" s="287" t="n"/>
      <c r="H15" s="288" t="n"/>
      <c r="I15" s="289" t="n"/>
      <c r="J15" s="289" t="n"/>
      <c r="K15" s="289" t="n"/>
      <c r="L15" s="290" t="n"/>
    </row>
    <row r="16"/>
    <row r="17">
      <c r="B17" s="83" t="inlineStr">
        <is>
          <t>YÖNETİM KARAR MATRİSİ VE UYGULAMA REÇETESİ</t>
        </is>
      </c>
    </row>
    <row r="18"/>
    <row r="19">
      <c r="B19" s="193" t="inlineStr">
        <is>
          <t>●  Öncelik 1: Acil Likidite ve Borç Servis Planlaması</t>
        </is>
      </c>
    </row>
    <row r="20">
      <c r="B20" s="237" t="inlineStr">
        <is>
          <t xml:space="preserve">   Sistemde hesaplanan vade günlerine sadık kalınarak nakit blokajı 3 gün önceden hazır edilmelidir.</t>
        </is>
      </c>
    </row>
    <row r="21">
      <c r="B21" s="193" t="inlineStr">
        <is>
          <t>●  Öncelik 2: Formül Doğrulama ve Çapraz Sağlama</t>
        </is>
      </c>
    </row>
    <row r="22">
      <c r="B22" s="237" t="inlineStr">
        <is>
          <t xml:space="preserve">   Tüm hücreler kilitli formül korumasında olup girdi sayfalarında sıfır döngüsel başvuru (circular ref) garantilidir.</t>
        </is>
      </c>
    </row>
    <row r="23">
      <c r="B23" s="193" t="inlineStr">
        <is>
          <t>●  Öncelik 3: Resmi Mevzuat ve Vergi Kalkanı Entegrasyonu</t>
        </is>
      </c>
    </row>
    <row r="24">
      <c r="B24" s="237" t="inlineStr">
        <is>
          <t xml:space="preserve">   2026 güncel vergi dilimleri, amortisman ve SGK teşvik parametreleri tam otomatik yansıtılmaktadır.</t>
        </is>
      </c>
    </row>
    <row r="25">
      <c r="B25" s="193" t="inlineStr">
        <is>
          <t>●  Öncelik 4: Yönetici İmzası ve Rapor Paylaşımı</t>
        </is>
      </c>
    </row>
    <row r="26">
      <c r="B26" s="237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style="72" min="1" max="1"/>
    <col width="30.5" customWidth="1" style="72" min="2" max="2"/>
    <col width="23.5" customWidth="1" style="72" min="3" max="3"/>
    <col width="48.5" customWidth="1" style="72" min="4" max="4"/>
    <col width="43.5" customWidth="1" style="72" min="5" max="5"/>
    <col width="21.5" customWidth="1" style="72" min="6" max="6"/>
    <col width="21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YÜRÜTME ÇEKİRDEĞİ — ZORUNLU ÜRETİM SIRASI</t>
        </is>
      </c>
    </row>
    <row r="2"/>
    <row r="3" ht="24" customHeight="1" s="72">
      <c r="A3" s="244" t="inlineStr">
        <is>
          <t>Adım</t>
        </is>
      </c>
      <c r="B3" s="244" t="inlineStr">
        <is>
          <t>Modül</t>
        </is>
      </c>
      <c r="C3" s="244" t="inlineStr">
        <is>
          <t>Tetikleyici</t>
        </is>
      </c>
      <c r="D3" s="244" t="inlineStr">
        <is>
          <t>Zorunlu Kanıt</t>
        </is>
      </c>
      <c r="E3" s="244" t="inlineStr">
        <is>
          <t>GEÇTİ Kuralı</t>
        </is>
      </c>
      <c r="F3" s="244" t="inlineStr">
        <is>
          <t>Hata Durumu</t>
        </is>
      </c>
      <c r="G3" s="244" t="inlineStr">
        <is>
          <t>Sonraki Aşama</t>
        </is>
      </c>
    </row>
    <row r="4">
      <c r="A4" s="245" t="n">
        <v>1</v>
      </c>
      <c r="B4" s="241" t="inlineStr">
        <is>
          <t>Excel Uygunluğu</t>
        </is>
      </c>
      <c r="C4" s="241" t="inlineStr">
        <is>
          <t>Her yeni model</t>
        </is>
      </c>
      <c r="D4" s="241" t="inlineStr">
        <is>
          <t>UYGUNLUK_KARARI</t>
        </is>
      </c>
      <c r="E4" s="241" t="inlineStr">
        <is>
          <t>Excel'in rolü açık</t>
        </is>
      </c>
      <c r="F4" s="241" t="inlineStr">
        <is>
          <t>HATA / BLOKE</t>
        </is>
      </c>
      <c r="G4" s="241" t="inlineStr">
        <is>
          <t>Yönetişim</t>
        </is>
      </c>
    </row>
    <row r="5">
      <c r="A5" s="245" t="n">
        <v>2</v>
      </c>
      <c r="B5" s="241" t="inlineStr">
        <is>
          <t>Yönetişim</t>
        </is>
      </c>
      <c r="C5" s="241" t="inlineStr">
        <is>
          <t>Her model</t>
        </is>
      </c>
      <c r="D5" s="241" t="inlineStr">
        <is>
          <t>Risk seviyesi + etki girdileri</t>
        </is>
      </c>
      <c r="E5" s="241" t="inlineStr">
        <is>
          <t>Seviye hesaplandı</t>
        </is>
      </c>
      <c r="F5" s="241" t="inlineStr">
        <is>
          <t>BLOKE</t>
        </is>
      </c>
      <c r="G5" s="241" t="inlineStr">
        <is>
          <t>Sözleşmeler</t>
        </is>
      </c>
    </row>
    <row r="6">
      <c r="A6" s="245" t="n">
        <v>3</v>
      </c>
      <c r="B6" s="241" t="inlineStr">
        <is>
          <t>Türk Muhasebe Eşlemesi</t>
        </is>
      </c>
      <c r="C6" s="241" t="inlineStr">
        <is>
          <t>Finansal model</t>
        </is>
      </c>
      <c r="D6" s="241" t="inlineStr">
        <is>
          <t>THP hesap eşleme tablosu</t>
        </is>
      </c>
      <c r="E6" s="241" t="inlineStr">
        <is>
          <t>Kritik satırlar THP ile uyumlu</t>
        </is>
      </c>
      <c r="F6" s="241" t="inlineStr">
        <is>
          <t>HATA</t>
        </is>
      </c>
      <c r="G6" s="241" t="inlineStr">
        <is>
          <t>Sözleşmeler</t>
        </is>
      </c>
    </row>
    <row r="7">
      <c r="A7" s="245" t="n">
        <v>4</v>
      </c>
      <c r="B7" s="241" t="inlineStr">
        <is>
          <t>Veri ve Anlam Sözleşmeleri</t>
        </is>
      </c>
      <c r="C7" s="241" t="inlineStr">
        <is>
          <t>Girdi/KPI varsa</t>
        </is>
      </c>
      <c r="D7" s="241" t="inlineStr">
        <is>
          <t>Veri + KPI sözleşmeleri</t>
        </is>
      </c>
      <c r="E7" s="241" t="inlineStr">
        <is>
          <t>Kapsam %100</t>
        </is>
      </c>
      <c r="F7" s="241" t="inlineStr">
        <is>
          <t>HATA</t>
        </is>
      </c>
      <c r="G7" s="241" t="inlineStr">
        <is>
          <t>Üretim</t>
        </is>
      </c>
    </row>
    <row r="8">
      <c r="A8" s="245" t="n">
        <v>5</v>
      </c>
      <c r="B8" s="241" t="inlineStr">
        <is>
          <t>Üretim</t>
        </is>
      </c>
      <c r="C8" s="241" t="inlineStr">
        <is>
          <t>Sözleşmeler GEÇTİ</t>
        </is>
      </c>
      <c r="D8" s="241" t="inlineStr">
        <is>
          <t>Çalışan Excel</t>
        </is>
      </c>
      <c r="E8" s="241" t="inlineStr">
        <is>
          <t>Tek gerçek kaynak korunmuş</t>
        </is>
      </c>
      <c r="F8" s="241" t="inlineStr">
        <is>
          <t>HATA</t>
        </is>
      </c>
      <c r="G8" s="241" t="inlineStr">
        <is>
          <t>Testler</t>
        </is>
      </c>
    </row>
    <row r="9" ht="28" customHeight="1" s="72">
      <c r="A9" s="245" t="n">
        <v>6</v>
      </c>
      <c r="B9" s="241" t="inlineStr">
        <is>
          <t>Görsel/Kullanım Katmanı</t>
        </is>
      </c>
      <c r="C9" s="241" t="inlineStr">
        <is>
          <t>Motor hazır</t>
        </is>
      </c>
      <c r="D9" s="241" t="inlineStr">
        <is>
          <t>Başlıklar + renk + grafik + yönlendirme</t>
        </is>
      </c>
      <c r="E9" s="241" t="inlineStr">
        <is>
          <t>Tüm kullanıcı sayfaları standarda uygun</t>
        </is>
      </c>
      <c r="F9" s="241" t="inlineStr">
        <is>
          <t>HATA</t>
        </is>
      </c>
      <c r="G9" s="241" t="inlineStr">
        <is>
          <t>Testler</t>
        </is>
      </c>
    </row>
    <row r="10" ht="28" customHeight="1" s="72">
      <c r="A10" s="245" t="n">
        <v>7</v>
      </c>
      <c r="B10" s="241" t="inlineStr">
        <is>
          <t>Testler</t>
        </is>
      </c>
      <c r="C10" s="241" t="inlineStr">
        <is>
          <t>Üretim tamam</t>
        </is>
      </c>
      <c r="D10" s="241" t="inlineStr">
        <is>
          <t>Formül/OOXML/kimlik/oracle/golden/metamorfik</t>
        </is>
      </c>
      <c r="E10" s="241" t="inlineStr">
        <is>
          <t>Uygulanabilir hard gate'ler GEÇTİ</t>
        </is>
      </c>
      <c r="F10" s="241" t="inlineStr">
        <is>
          <t>HATA</t>
        </is>
      </c>
      <c r="G10" s="241" t="inlineStr">
        <is>
          <t>Kanıt</t>
        </is>
      </c>
    </row>
    <row r="11">
      <c r="A11" s="245" t="n">
        <v>8</v>
      </c>
      <c r="B11" s="241" t="inlineStr">
        <is>
          <t>Hata-Kontrol Tutarlılığı</t>
        </is>
      </c>
      <c r="C11" s="241" t="inlineStr">
        <is>
          <t>Test sonucu var</t>
        </is>
      </c>
      <c r="D11" s="241" t="inlineStr">
        <is>
          <t>Hata taraması + kontrol sonuçları</t>
        </is>
      </c>
      <c r="E11" s="241" t="inlineStr">
        <is>
          <t>Formül hatası varken GEÇTİ yok</t>
        </is>
      </c>
      <c r="F11" s="241" t="inlineStr">
        <is>
          <t>HATA</t>
        </is>
      </c>
      <c r="G11" s="241" t="inlineStr">
        <is>
          <t>Kanıt</t>
        </is>
      </c>
    </row>
    <row r="12">
      <c r="A12" s="245" t="n">
        <v>9</v>
      </c>
      <c r="B12" s="241" t="inlineStr">
        <is>
          <t>Kanıt</t>
        </is>
      </c>
      <c r="C12" s="241" t="inlineStr">
        <is>
          <t>Test sonucu var</t>
        </is>
      </c>
      <c r="D12" s="241" t="inlineStr">
        <is>
          <t>Makine okunur artefakt + özet</t>
        </is>
      </c>
      <c r="E12" s="241" t="inlineStr">
        <is>
          <t>Kanıt fiziksel ve tutarlı</t>
        </is>
      </c>
      <c r="F12" s="241" t="inlineStr">
        <is>
          <t>HATA</t>
        </is>
      </c>
      <c r="G12" s="241" t="inlineStr">
        <is>
          <t>Kullanıcı Kabulü</t>
        </is>
      </c>
    </row>
    <row r="13">
      <c r="A13" s="245" t="n">
        <v>10</v>
      </c>
      <c r="B13" s="241" t="inlineStr">
        <is>
          <t>Kullanıcı Kabulü</t>
        </is>
      </c>
      <c r="C13" s="241" t="inlineStr">
        <is>
          <t>Kritik görevler</t>
        </is>
      </c>
      <c r="D13" s="241" t="inlineStr">
        <is>
          <t>Gerçek ekran davranışı</t>
        </is>
      </c>
      <c r="E13" s="241" t="inlineStr">
        <is>
          <t>Kritik görevler %100</t>
        </is>
      </c>
      <c r="F13" s="241" t="inlineStr">
        <is>
          <t>DIŞ_KABUL_GEREKLİ</t>
        </is>
      </c>
      <c r="G13" s="241" t="inlineStr">
        <is>
          <t>Ticari</t>
        </is>
      </c>
    </row>
    <row r="14">
      <c r="A14" s="245" t="n">
        <v>11</v>
      </c>
      <c r="B14" s="241" t="inlineStr">
        <is>
          <t>Ticari Değer</t>
        </is>
      </c>
      <c r="C14" s="241" t="inlineStr">
        <is>
          <t>Ürün satılacaksa</t>
        </is>
      </c>
      <c r="D14" s="241" t="inlineStr">
        <is>
          <t>ROI + demo + kanıt paketi</t>
        </is>
      </c>
      <c r="E14" s="241" t="inlineStr">
        <is>
          <t>Ekonomik değer kanıtlı</t>
        </is>
      </c>
      <c r="F14" s="241" t="inlineStr">
        <is>
          <t>UYARI / HATA</t>
        </is>
      </c>
      <c r="G14" s="241" t="inlineStr">
        <is>
          <t>Pazar Doğrulama</t>
        </is>
      </c>
    </row>
    <row r="15">
      <c r="A15" s="245" t="n">
        <v>12</v>
      </c>
      <c r="B15" s="241" t="inlineStr">
        <is>
          <t>Pazar Doğrulama</t>
        </is>
      </c>
      <c r="C15" s="241" t="inlineStr">
        <is>
          <t>Pazar iddiası varsa</t>
        </is>
      </c>
      <c r="D15" s="241" t="inlineStr">
        <is>
          <t>Ücretli satış/pilot/fiyat kabul kanıtı</t>
        </is>
      </c>
      <c r="E15" s="241" t="inlineStr">
        <is>
          <t>Gerçek fiyat kabul kanıtı</t>
        </is>
      </c>
      <c r="F15" s="241" t="inlineStr">
        <is>
          <t>UYGULANMAZ / HATA</t>
        </is>
      </c>
      <c r="G15" s="241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style="72" min="1" max="1"/>
    <col width="89.5" customWidth="1" style="72" min="2" max="2"/>
    <col width="34.5" customWidth="1" style="72" min="3" max="3"/>
    <col width="16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NİHAİ KONTROL LİSTESİ — KANITSIZ GEÇİŞ YOK</t>
        </is>
      </c>
    </row>
    <row r="2"/>
    <row r="3" ht="24" customHeight="1" s="72">
      <c r="A3" s="247" t="inlineStr">
        <is>
          <t>Kontrol No</t>
        </is>
      </c>
      <c r="B3" s="247" t="inlineStr">
        <is>
          <t>Kontrol</t>
        </is>
      </c>
      <c r="C3" s="247" t="inlineStr">
        <is>
          <t>Beklenen</t>
        </is>
      </c>
      <c r="D3" s="247" t="inlineStr">
        <is>
          <t>Zorunlu Kapı?</t>
        </is>
      </c>
      <c r="E3" s="247" t="inlineStr">
        <is>
          <t>Sonuç</t>
        </is>
      </c>
    </row>
    <row r="4">
      <c r="A4" s="248" t="inlineStr">
        <is>
          <t>K01</t>
        </is>
      </c>
      <c r="B4" s="241" t="inlineStr">
        <is>
          <t>Kullanıcının açık talebi öncelikli mi?</t>
        </is>
      </c>
      <c r="C4" s="241" t="inlineStr">
        <is>
          <t>Evet</t>
        </is>
      </c>
      <c r="D4" s="241" t="inlineStr">
        <is>
          <t>EVET</t>
        </is>
      </c>
    </row>
    <row r="5">
      <c r="A5" s="248" t="inlineStr">
        <is>
          <t>K02</t>
        </is>
      </c>
      <c r="B5" s="241" t="inlineStr">
        <is>
          <t>Mevcut yapı, formüller ve tek gerçek kaynak korunuyor mu?</t>
        </is>
      </c>
      <c r="C5" s="241" t="inlineStr">
        <is>
          <t>Evet, değişiklik gerekçeli</t>
        </is>
      </c>
      <c r="D5" s="241" t="inlineStr">
        <is>
          <t>EVET</t>
        </is>
      </c>
    </row>
    <row r="6">
      <c r="A6" s="248" t="inlineStr">
        <is>
          <t>K03</t>
        </is>
      </c>
      <c r="B6" s="241" t="inlineStr">
        <is>
          <t>Üst aşama HATA ise alt aşama GEÇTİ engelleniyor mu?</t>
        </is>
      </c>
      <c r="C6" s="241" t="inlineStr">
        <is>
          <t>Evet</t>
        </is>
      </c>
      <c r="D6" s="241" t="inlineStr">
        <is>
          <t>EVET</t>
        </is>
      </c>
    </row>
    <row r="7">
      <c r="A7" s="248" t="inlineStr">
        <is>
          <t>K04</t>
        </is>
      </c>
      <c r="B7" s="241" t="inlineStr">
        <is>
          <t>Kanıt fiziksel çıktı ve içerik doğrulaması içeriyor mu?</t>
        </is>
      </c>
      <c r="C7" s="241" t="inlineStr">
        <is>
          <t>Evet</t>
        </is>
      </c>
      <c r="D7" s="241" t="inlineStr">
        <is>
          <t>EVET</t>
        </is>
      </c>
    </row>
    <row r="8">
      <c r="A8" s="248" t="inlineStr">
        <is>
          <t>K05</t>
        </is>
      </c>
      <c r="B8" s="241" t="inlineStr">
        <is>
          <t>Excel GUI erişimi olmadan kullanıcı görünümü GEÇTİ yazılıyor mu?</t>
        </is>
      </c>
      <c r="C8" s="241" t="inlineStr">
        <is>
          <t>Hayır</t>
        </is>
      </c>
      <c r="D8" s="241" t="inlineStr">
        <is>
          <t>EVET</t>
        </is>
      </c>
    </row>
    <row r="9">
      <c r="A9" s="248" t="inlineStr">
        <is>
          <t>K06</t>
        </is>
      </c>
      <c r="B9" s="241" t="inlineStr">
        <is>
          <t>NİHAİ yalnız GEÇTİ / gerekçeli UYGULANMAZ ile mi?</t>
        </is>
      </c>
      <c r="C9" s="241" t="inlineStr">
        <is>
          <t>Evet</t>
        </is>
      </c>
      <c r="D9" s="241" t="inlineStr">
        <is>
          <t>EVET</t>
        </is>
      </c>
    </row>
    <row r="10">
      <c r="A10" s="248" t="inlineStr">
        <is>
          <t>K07</t>
        </is>
      </c>
      <c r="B10" s="241" t="inlineStr">
        <is>
          <t>Ekonomik fiyat savunusu pazar doğrulamasından ayrılmış mı?</t>
        </is>
      </c>
      <c r="C10" s="241" t="inlineStr">
        <is>
          <t>Evet</t>
        </is>
      </c>
      <c r="D10" s="241" t="inlineStr">
        <is>
          <t>EVET</t>
        </is>
      </c>
    </row>
    <row r="11">
      <c r="A11" s="248" t="inlineStr">
        <is>
          <t>K08</t>
        </is>
      </c>
      <c r="B11" s="241" t="inlineStr">
        <is>
          <t>Prestij için gereksiz modül var mı?</t>
        </is>
      </c>
      <c r="C11" s="241" t="inlineStr">
        <is>
          <t>Hayır</t>
        </is>
      </c>
      <c r="D11" s="241" t="inlineStr">
        <is>
          <t>HAYIR</t>
        </is>
      </c>
    </row>
    <row r="12">
      <c r="A12" s="248" t="inlineStr">
        <is>
          <t>K09</t>
        </is>
      </c>
      <c r="B12" s="241" t="inlineStr">
        <is>
          <t>Excel sınırları açık mı?</t>
        </is>
      </c>
      <c r="C12" s="241" t="inlineStr">
        <is>
          <t>Evet</t>
        </is>
      </c>
      <c r="D12" s="241" t="inlineStr">
        <is>
          <t>EVET</t>
        </is>
      </c>
    </row>
    <row r="13">
      <c r="A13" s="248" t="inlineStr">
        <is>
          <t>K10</t>
        </is>
      </c>
      <c r="B13" s="241" t="inlineStr">
        <is>
          <t>Teknik kaynak korunuyor mu?</t>
        </is>
      </c>
      <c r="C13" s="241" t="inlineStr">
        <is>
          <t>Evet</t>
        </is>
      </c>
      <c r="D13" s="241" t="inlineStr">
        <is>
          <t>EVET</t>
        </is>
      </c>
    </row>
    <row r="14">
      <c r="A14" s="248" t="inlineStr">
        <is>
          <t>K11</t>
        </is>
      </c>
      <c r="B14" s="241" t="inlineStr">
        <is>
          <t>Kullanıcıya görünen tüm metinler Türkçe mi?</t>
        </is>
      </c>
      <c r="C14" s="241" t="inlineStr">
        <is>
          <t>Evet</t>
        </is>
      </c>
      <c r="D14" s="241" t="inlineStr">
        <is>
          <t>EVET</t>
        </is>
      </c>
    </row>
    <row r="15">
      <c r="A15" s="248" t="inlineStr">
        <is>
          <t>K12</t>
        </is>
      </c>
      <c r="B15" s="241" t="inlineStr">
        <is>
          <t>Her kullanıcı sayfasında üst başlık var mı?</t>
        </is>
      </c>
      <c r="C15" s="241" t="inlineStr">
        <is>
          <t>Evet</t>
        </is>
      </c>
      <c r="D15" s="241" t="inlineStr">
        <is>
          <t>EVET</t>
        </is>
      </c>
    </row>
    <row r="16">
      <c r="A16" s="248" t="inlineStr">
        <is>
          <t>K13</t>
        </is>
      </c>
      <c r="B16" s="241" t="inlineStr">
        <is>
          <t>Sayfalar arasında tutarlı renk sistemi var mı?</t>
        </is>
      </c>
      <c r="C16" s="241" t="inlineStr">
        <is>
          <t>Evet</t>
        </is>
      </c>
      <c r="D16" s="241" t="inlineStr">
        <is>
          <t>EVET</t>
        </is>
      </c>
    </row>
    <row r="17">
      <c r="A17" s="248" t="inlineStr">
        <is>
          <t>K14</t>
        </is>
      </c>
      <c r="B17" s="241" t="inlineStr">
        <is>
          <t>Alt sayfa sekmeleri işlevine göre renklendirilmiş mi?</t>
        </is>
      </c>
      <c r="C17" s="241" t="inlineStr">
        <is>
          <t>Evet</t>
        </is>
      </c>
      <c r="D17" s="241" t="inlineStr">
        <is>
          <t>EVET</t>
        </is>
      </c>
    </row>
    <row r="18">
      <c r="A18" s="248" t="inlineStr">
        <is>
          <t>K15</t>
        </is>
      </c>
      <c r="B18" s="241" t="inlineStr">
        <is>
          <t>İçerik blokları arasında gereksiz boş kolon var mı?</t>
        </is>
      </c>
      <c r="C18" s="241" t="inlineStr">
        <is>
          <t>Hayır</t>
        </is>
      </c>
      <c r="D18" s="241" t="inlineStr">
        <is>
          <t>EVET</t>
        </is>
      </c>
    </row>
    <row r="19">
      <c r="A19" s="248" t="inlineStr">
        <is>
          <t>K16</t>
        </is>
      </c>
      <c r="B19" s="241" t="inlineStr">
        <is>
          <t>Grafikler premium ve karar odaklı mı?</t>
        </is>
      </c>
      <c r="C19" s="241" t="inlineStr">
        <is>
          <t>Evet</t>
        </is>
      </c>
      <c r="D19" s="241" t="inlineStr">
        <is>
          <t>EVET</t>
        </is>
      </c>
    </row>
    <row r="20">
      <c r="A20" s="248" t="inlineStr">
        <is>
          <t>K17</t>
        </is>
      </c>
      <c r="B20" s="241" t="inlineStr">
        <is>
          <t>Varsayılan Excel grafiği / 3B / dekoratif grafik var mı?</t>
        </is>
      </c>
      <c r="C20" s="241" t="inlineStr">
        <is>
          <t>Hayır</t>
        </is>
      </c>
      <c r="D20" s="241" t="inlineStr">
        <is>
          <t>EVET</t>
        </is>
      </c>
    </row>
    <row r="21">
      <c r="A21" s="248" t="inlineStr">
        <is>
          <t>K18</t>
        </is>
      </c>
      <c r="B21" s="241" t="inlineStr">
        <is>
          <t>Finansal ürün Türkiye Tekdüzen Hesap Planı ile eşleşiyor mu?</t>
        </is>
      </c>
      <c r="C21" s="241" t="inlineStr">
        <is>
          <t>Evet</t>
        </is>
      </c>
      <c r="D21" s="241" t="inlineStr">
        <is>
          <t>EVET</t>
        </is>
      </c>
    </row>
    <row r="22">
      <c r="A22" s="248" t="inlineStr">
        <is>
          <t>K19</t>
        </is>
      </c>
      <c r="B22" s="241" t="inlineStr">
        <is>
          <t>Muhasebe satır adları Türkiye kullanımına uygun mu?</t>
        </is>
      </c>
      <c r="C22" s="241" t="inlineStr">
        <is>
          <t>Evet</t>
        </is>
      </c>
      <c r="D22" s="241" t="inlineStr">
        <is>
          <t>EVET</t>
        </is>
      </c>
    </row>
    <row r="23">
      <c r="A23" s="248" t="inlineStr">
        <is>
          <t>K20</t>
        </is>
      </c>
      <c r="B23" s="241" t="inlineStr">
        <is>
          <t>Formül hatası varken herhangi bir kontrol GEÇTİ gösteriyor mu?</t>
        </is>
      </c>
      <c r="C23" s="241" t="inlineStr">
        <is>
          <t>Hayır</t>
        </is>
      </c>
      <c r="D23" s="241" t="inlineStr">
        <is>
          <t>EVET</t>
        </is>
      </c>
    </row>
    <row r="24">
      <c r="A24" s="248" t="inlineStr">
        <is>
          <t>K21</t>
        </is>
      </c>
      <c r="B24" s="241" t="inlineStr">
        <is>
          <t>Karar Motoru boş veya yalnız başlık düzeyinde mi?</t>
        </is>
      </c>
      <c r="C24" s="241" t="inlineStr">
        <is>
          <t>Hayır</t>
        </is>
      </c>
      <c r="D24" s="241" t="inlineStr">
        <is>
          <t>EVET</t>
        </is>
      </c>
    </row>
    <row r="25">
      <c r="A25" s="248" t="inlineStr">
        <is>
          <t>K22</t>
        </is>
      </c>
      <c r="B25" s="241" t="inlineStr">
        <is>
          <t>Senaryo/Stres modülü gerçekten sonuç değiştiriyor mu?</t>
        </is>
      </c>
      <c r="C25" s="241" t="inlineStr">
        <is>
          <t>Evet</t>
        </is>
      </c>
      <c r="D25" s="241" t="inlineStr">
        <is>
          <t>EVET</t>
        </is>
      </c>
    </row>
    <row r="26">
      <c r="A26" s="248" t="inlineStr">
        <is>
          <t>K23</t>
        </is>
      </c>
      <c r="B26" s="241" t="inlineStr">
        <is>
          <t>Oracle/bağımsız doğrulama gerçek veri üretiyor mu?</t>
        </is>
      </c>
      <c r="C26" s="241" t="inlineStr">
        <is>
          <t>Evet veya gerekçeli UYGULANMAZ</t>
        </is>
      </c>
      <c r="D26" s="241" t="inlineStr">
        <is>
          <t>EVET</t>
        </is>
      </c>
    </row>
    <row r="27">
      <c r="A27" s="248" t="inlineStr">
        <is>
          <t>K24</t>
        </is>
      </c>
      <c r="B27" s="241" t="inlineStr">
        <is>
          <t>Yönetici ekranı 5 saniyede sorunu ve aksiyonu anlatıyor mu?</t>
        </is>
      </c>
      <c r="C27" s="241" t="inlineStr">
        <is>
          <t>Evet</t>
        </is>
      </c>
      <c r="D27" s="241" t="inlineStr">
        <is>
          <t>EVET</t>
        </is>
      </c>
    </row>
    <row r="28">
      <c r="A28" s="248" t="inlineStr">
        <is>
          <t>K25</t>
        </is>
      </c>
      <c r="B28" s="241" t="inlineStr">
        <is>
          <t>Her kritik kararın parasal etkisi ve önerilen aksiyonu var mı?</t>
        </is>
      </c>
      <c r="C28" s="241" t="inlineStr">
        <is>
          <t>Evet</t>
        </is>
      </c>
      <c r="D28" s="241" t="inlineStr">
        <is>
          <t>EVET</t>
        </is>
      </c>
    </row>
    <row r="29">
      <c r="A29" s="248" t="inlineStr">
        <is>
          <t>K26</t>
        </is>
      </c>
      <c r="B29" s="241" t="inlineStr">
        <is>
          <t>Ürün sayfası/ürün içi demo satın alma gerekçesini kanıtlıyor mu?</t>
        </is>
      </c>
      <c r="C29" s="241" t="inlineStr">
        <is>
          <t>Evet</t>
        </is>
      </c>
      <c r="D29" s="241" t="inlineStr">
        <is>
          <t>EVET</t>
        </is>
      </c>
    </row>
    <row r="30" ht="30" customHeight="1" s="72">
      <c r="A30" s="249" t="inlineStr">
        <is>
          <t>K27</t>
        </is>
      </c>
      <c r="B30" s="250" t="inlineStr">
        <is>
          <t>Buton görünümü verilen tüm alanlar gerçekten tıklanabilir ve doğru hedefe gidiyor mu?</t>
        </is>
      </c>
      <c r="C30" s="250" t="inlineStr">
        <is>
          <t>Evet</t>
        </is>
      </c>
      <c r="D30" s="241" t="inlineStr">
        <is>
          <t>EVET</t>
        </is>
      </c>
    </row>
    <row r="31" ht="30" customHeight="1" s="72">
      <c r="A31" s="249" t="inlineStr">
        <is>
          <t>K28</t>
        </is>
      </c>
      <c r="B31" s="250" t="inlineStr">
        <is>
          <t>Tüm görünür kullanıcı sheet tabları kurumsal kategori rengi taşıyor mu?</t>
        </is>
      </c>
      <c r="C31" s="250" t="inlineStr">
        <is>
          <t>Evet</t>
        </is>
      </c>
      <c r="D31" s="241" t="inlineStr">
        <is>
          <t>EVET</t>
        </is>
      </c>
    </row>
    <row r="32" ht="16" customHeight="1" s="72">
      <c r="A32" s="249" t="inlineStr">
        <is>
          <t>K29</t>
        </is>
      </c>
      <c r="B32" s="250" t="inlineStr">
        <is>
          <t>Sheet sırası tanımlı kullanıcı iş akışıyla birebir aynı mı?</t>
        </is>
      </c>
      <c r="C32" s="250" t="inlineStr">
        <is>
          <t>Evet</t>
        </is>
      </c>
      <c r="D32" s="241" t="inlineStr">
        <is>
          <t>EVET</t>
        </is>
      </c>
    </row>
    <row r="33" ht="30" customHeight="1" s="72">
      <c r="A33" s="249" t="inlineStr">
        <is>
          <t>K30</t>
        </is>
      </c>
      <c r="B33" s="250" t="inlineStr">
        <is>
          <t>Kurumsal renk paleti tutarlı mı; rastgele/gökkuşağı renk kullanımı var mı?</t>
        </is>
      </c>
      <c r="C33" s="250" t="inlineStr">
        <is>
          <t>Evet / Hayır</t>
        </is>
      </c>
      <c r="D33" s="241" t="inlineStr">
        <is>
          <t>EVET</t>
        </is>
      </c>
    </row>
    <row r="34" ht="30" customHeight="1" s="72">
      <c r="A34" s="249" t="inlineStr">
        <is>
          <t>K31</t>
        </is>
      </c>
      <c r="B34" s="250" t="inlineStr">
        <is>
          <t>Premium vitrin, altyapı kadar güçlü ve satış fiyatını destekleyecek seviyede mi?</t>
        </is>
      </c>
      <c r="C34" s="250" t="inlineStr">
        <is>
          <t>Evet</t>
        </is>
      </c>
      <c r="D34" s="241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style="72" min="1" max="1"/>
    <col width="71.5" customWidth="1" style="72" min="2" max="2"/>
    <col width="160.5" customWidth="1" style="72" min="3" max="3"/>
    <col width="70.5" customWidth="1" style="72" min="4" max="4"/>
    <col width="50.5" customWidth="1" style="72" min="5" max="5"/>
    <col width="16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GÖRSEL TASARIM VE PREMIUM EXCEL STANDARDI</t>
        </is>
      </c>
    </row>
    <row r="2"/>
    <row r="3" ht="24" customHeight="1" s="72">
      <c r="A3" s="252" t="inlineStr">
        <is>
          <t>Alan</t>
        </is>
      </c>
      <c r="B3" s="252" t="inlineStr">
        <is>
          <t>Zorunlu Kural</t>
        </is>
      </c>
      <c r="C3" s="252" t="inlineStr">
        <is>
          <t>Uygulama</t>
        </is>
      </c>
      <c r="D3" s="252" t="inlineStr">
        <is>
          <t>Yasak</t>
        </is>
      </c>
      <c r="E3" s="252" t="inlineStr">
        <is>
          <t>Kontrol</t>
        </is>
      </c>
      <c r="F3" s="252" t="inlineStr">
        <is>
          <t>Durum</t>
        </is>
      </c>
    </row>
    <row r="4" ht="28" customHeight="1" s="72">
      <c r="A4" s="253" t="inlineStr">
        <is>
          <t>Sayfa başlığı</t>
        </is>
      </c>
      <c r="B4" s="241" t="inlineStr">
        <is>
          <t>Her kullanıcı sayfasının en üstünde tek ve açık sayfa başlığı</t>
        </is>
      </c>
      <c r="C4" s="241" t="inlineStr">
        <is>
          <t>A1'den başlayan koyu lacivert başlık bandı</t>
        </is>
      </c>
      <c r="D4" s="241" t="inlineStr">
        <is>
          <t>Başlıksız sayfa</t>
        </is>
      </c>
      <c r="E4" s="241" t="inlineStr">
        <is>
          <t>Başlık kapsama = %100</t>
        </is>
      </c>
      <c r="F4" s="254" t="inlineStr">
        <is>
          <t>ZORUNLU</t>
        </is>
      </c>
    </row>
    <row r="5" ht="28" customHeight="1" s="72">
      <c r="A5" s="253" t="inlineStr">
        <is>
          <t>Sekme renkleri</t>
        </is>
      </c>
      <c r="B5" s="241" t="inlineStr">
        <is>
          <t>Sayfalar işlevine göre renk kodlanır</t>
        </is>
      </c>
      <c r="C5" s="241" t="inlineStr">
        <is>
          <t>Girdi=mavi, hesap=gri, rapor=lacivert, kontrol=kırmızı, kılavuz=altın</t>
        </is>
      </c>
      <c r="D5" s="241" t="inlineStr">
        <is>
          <t>Rastgele renk</t>
        </is>
      </c>
      <c r="E5" s="241" t="inlineStr">
        <is>
          <t>Renk semantiği tutarlı</t>
        </is>
      </c>
      <c r="F5" s="254" t="inlineStr">
        <is>
          <t>ZORUNLU</t>
        </is>
      </c>
    </row>
    <row r="6" ht="28" customHeight="1" s="72">
      <c r="A6" s="253" t="inlineStr">
        <is>
          <t>Kolon düzeni</t>
        </is>
      </c>
      <c r="B6" s="241" t="inlineStr">
        <is>
          <t>Veri blokları bitişik kolonlarda ilerler</t>
        </is>
      </c>
      <c r="C6" s="241" t="inlineStr">
        <is>
          <t>Gereksiz boş kolon bırakma; yalnız gerçek bölüm ayrımı varsa kontrollü boşluk</t>
        </is>
      </c>
      <c r="D6" s="241" t="inlineStr">
        <is>
          <t>A:C veri, D boş, E:F veri gibi parçalı yapı</t>
        </is>
      </c>
      <c r="E6" s="241" t="inlineStr">
        <is>
          <t>Boş kolon taraması</t>
        </is>
      </c>
      <c r="F6" s="254" t="inlineStr">
        <is>
          <t>ZORUNLU</t>
        </is>
      </c>
    </row>
    <row r="7" ht="16" customHeight="1" s="72">
      <c r="A7" s="253" t="inlineStr">
        <is>
          <t>Girdi hücreleri</t>
        </is>
      </c>
      <c r="B7" s="241" t="inlineStr">
        <is>
          <t>Kullanıcının değiştireceği alan açıkça görünür</t>
        </is>
      </c>
      <c r="C7" s="241" t="inlineStr">
        <is>
          <t>Açık sarı dolgu + mavi yazı</t>
        </is>
      </c>
      <c r="D7" s="241" t="inlineStr">
        <is>
          <t>Formülle aynı görünüm</t>
        </is>
      </c>
      <c r="E7" s="241" t="inlineStr">
        <is>
          <t>Girdi/formül ayrımı</t>
        </is>
      </c>
      <c r="F7" s="254" t="inlineStr">
        <is>
          <t>ZORUNLU</t>
        </is>
      </c>
    </row>
    <row r="8" ht="16" customHeight="1" s="72">
      <c r="A8" s="253" t="inlineStr">
        <is>
          <t>Formüller</t>
        </is>
      </c>
      <c r="B8" s="241" t="inlineStr">
        <is>
          <t>Hesap hücreleri kullanıcı girdisinden ayrılır</t>
        </is>
      </c>
      <c r="C8" s="241" t="inlineStr">
        <is>
          <t>Siyah yazı; sayfalar arası bağlantı yeşil yazı</t>
        </is>
      </c>
      <c r="D8" s="241" t="inlineStr">
        <is>
          <t>Hard-code gizleme</t>
        </is>
      </c>
      <c r="E8" s="241" t="inlineStr">
        <is>
          <t>Formül sınıfı kontrolü</t>
        </is>
      </c>
      <c r="F8" s="254" t="inlineStr">
        <is>
          <t>ZORUNLU</t>
        </is>
      </c>
    </row>
    <row r="9" ht="16" customHeight="1" s="72">
      <c r="A9" s="253" t="inlineStr">
        <is>
          <t>Grafik sayısı</t>
        </is>
      </c>
      <c r="B9" s="241" t="inlineStr">
        <is>
          <t>Yönetici ekranında en fazla 3 ana karar grafiği</t>
        </is>
      </c>
      <c r="C9" s="241" t="inlineStr">
        <is>
          <t>Trend, karşılaştırma, köprü/dağılım; iş kararına bağlı</t>
        </is>
      </c>
      <c r="D9" s="241" t="inlineStr">
        <is>
          <t>Grafik kalabalığı</t>
        </is>
      </c>
      <c r="E9" s="241" t="inlineStr">
        <is>
          <t>Grafik başına karar sorusu</t>
        </is>
      </c>
      <c r="F9" s="254" t="inlineStr">
        <is>
          <t>ZORUNLU</t>
        </is>
      </c>
    </row>
    <row r="10" ht="16" customHeight="1" s="72">
      <c r="A10" s="253" t="inlineStr">
        <is>
          <t>Grafik stili</t>
        </is>
      </c>
      <c r="B10" s="241" t="inlineStr">
        <is>
          <t>Kurumsal ve yüksek okunabilirlik</t>
        </is>
      </c>
      <c r="C10" s="241" t="inlineStr">
        <is>
          <t>Beyaz zemin, ince gridline, tek vurgu rengi, açık birim/başlık</t>
        </is>
      </c>
      <c r="D10" s="241" t="inlineStr">
        <is>
          <t>3B, gölge, neon, gökkuşağı renkleri</t>
        </is>
      </c>
      <c r="E10" s="241" t="inlineStr">
        <is>
          <t>Görsel inceleme</t>
        </is>
      </c>
      <c r="F10" s="254" t="inlineStr">
        <is>
          <t>ZORUNLU</t>
        </is>
      </c>
    </row>
    <row r="11" ht="16" customHeight="1" s="72">
      <c r="A11" s="253" t="inlineStr">
        <is>
          <t>Grafik başlığı</t>
        </is>
      </c>
      <c r="B11" s="241" t="inlineStr">
        <is>
          <t>Grafik 'neyi' değil 'ne anlama geldiğini' söyler</t>
        </is>
      </c>
      <c r="C11" s="241" t="inlineStr">
        <is>
          <t>Örn: 'Nakit 2028'de kritik eşiğin altına iniyor'</t>
        </is>
      </c>
      <c r="D11" s="241" t="inlineStr">
        <is>
          <t>'Nakit Grafiği' gibi anlamsız başlık</t>
        </is>
      </c>
      <c r="E11" s="241" t="inlineStr">
        <is>
          <t>Başlık karar testi</t>
        </is>
      </c>
      <c r="F11" s="254" t="inlineStr">
        <is>
          <t>ZORUNLU</t>
        </is>
      </c>
    </row>
    <row r="12" ht="16" customHeight="1" s="72">
      <c r="A12" s="253" t="inlineStr">
        <is>
          <t>Birimler</t>
        </is>
      </c>
      <c r="B12" s="241" t="inlineStr">
        <is>
          <t>Tüm finansal görsellerde birim açık</t>
        </is>
      </c>
      <c r="C12" s="241" t="inlineStr">
        <is>
          <t>TL, bin TL, milyon TL, %, gün, x</t>
        </is>
      </c>
      <c r="D12" s="241" t="inlineStr">
        <is>
          <t>Birim belirsizliği</t>
        </is>
      </c>
      <c r="E12" s="241" t="inlineStr">
        <is>
          <t>Birim kapsama %100</t>
        </is>
      </c>
      <c r="F12" s="254" t="inlineStr">
        <is>
          <t>ZORUNLU</t>
        </is>
      </c>
    </row>
    <row r="13" ht="16" customHeight="1" s="72">
      <c r="A13" s="253" t="inlineStr">
        <is>
          <t>Sıfır/negatif</t>
        </is>
      </c>
      <c r="B13" s="241" t="inlineStr">
        <is>
          <t>Finansal format standardı</t>
        </is>
      </c>
      <c r="C13" s="241" t="inlineStr">
        <is>
          <t>Sıfır='-', negatif kırmızı parantez</t>
        </is>
      </c>
      <c r="D13" s="241" t="inlineStr">
        <is>
          <t>-500 veya 0,00 kalabalığı</t>
        </is>
      </c>
      <c r="E13" s="241" t="inlineStr">
        <is>
          <t>Format kontrolü</t>
        </is>
      </c>
      <c r="F13" s="254" t="inlineStr">
        <is>
          <t>ZORUNLU</t>
        </is>
      </c>
    </row>
    <row r="14" ht="16" customHeight="1" s="72">
      <c r="A14" s="253" t="inlineStr">
        <is>
          <t>Yazı tipi</t>
        </is>
      </c>
      <c r="B14" s="241" t="inlineStr">
        <is>
          <t>Tek aile</t>
        </is>
      </c>
      <c r="C14" s="241" t="inlineStr">
        <is>
          <t>Aptos veya Segoe UI</t>
        </is>
      </c>
      <c r="D14" s="241" t="inlineStr">
        <is>
          <t>Karışık font</t>
        </is>
      </c>
      <c r="E14" s="241" t="inlineStr">
        <is>
          <t>Tek font kontrolü</t>
        </is>
      </c>
      <c r="F14" s="254" t="inlineStr">
        <is>
          <t>ZORUNLU</t>
        </is>
      </c>
    </row>
    <row r="15" ht="16" customHeight="1" s="72">
      <c r="A15" s="253" t="inlineStr">
        <is>
          <t>Izgara</t>
        </is>
      </c>
      <c r="B15" s="241" t="inlineStr">
        <is>
          <t>Kullanıcı sayfalarında kapalı</t>
        </is>
      </c>
      <c r="C15" s="241" t="inlineStr">
        <is>
          <t>Bölüm çizgileri ve kart sınırlarıyla düzen</t>
        </is>
      </c>
      <c r="D15" s="241" t="inlineStr">
        <is>
          <t>Excel varsayılan gridline</t>
        </is>
      </c>
      <c r="E15" s="241" t="inlineStr">
        <is>
          <t>Gridline kontrolü</t>
        </is>
      </c>
      <c r="F15" s="254" t="inlineStr">
        <is>
          <t>ZORUNLU</t>
        </is>
      </c>
    </row>
    <row r="16" ht="16" customHeight="1" s="72">
      <c r="A16" s="253" t="inlineStr">
        <is>
          <t>Boş durum</t>
        </is>
      </c>
      <c r="B16" s="241" t="inlineStr">
        <is>
          <t>Veri yokken temiz ve anlaşılır</t>
        </is>
      </c>
      <c r="C16" s="241" t="inlineStr">
        <is>
          <t>'Henüz veri yok' / 'Girdi bekleniyor'</t>
        </is>
      </c>
      <c r="D16" s="241" t="inlineStr">
        <is>
          <t>0 yığını / hata kodu</t>
        </is>
      </c>
      <c r="E16" s="241" t="inlineStr">
        <is>
          <t>Boş veri testi</t>
        </is>
      </c>
      <c r="F16" s="254" t="inlineStr">
        <is>
          <t>ZORUNLU</t>
        </is>
      </c>
    </row>
    <row r="17" ht="28" customHeight="1" s="72">
      <c r="A17" s="253" t="inlineStr">
        <is>
          <t>Başlangıç deneyimi</t>
        </is>
      </c>
      <c r="B17" s="241" t="inlineStr">
        <is>
          <t>İlk 5 saniyede ne gireceği ve neye bakacağı anlaşılır</t>
        </is>
      </c>
      <c r="C17" s="241" t="inlineStr">
        <is>
          <t>Girdi → durum → aksiyon akışı</t>
        </is>
      </c>
      <c r="D17" s="241" t="inlineStr">
        <is>
          <t>Kılavuz aramaya zorlama</t>
        </is>
      </c>
      <c r="E17" s="241" t="inlineStr">
        <is>
          <t>5 saniye testi</t>
        </is>
      </c>
      <c r="F17" s="254" t="inlineStr">
        <is>
          <t>ZORUNLU</t>
        </is>
      </c>
    </row>
    <row r="18" ht="30" customHeight="1" s="72">
      <c r="A18" s="249" t="inlineStr">
        <is>
          <t>Buton standardı</t>
        </is>
      </c>
      <c r="B18" s="250" t="inlineStr">
        <is>
          <t>Buton görünümü verilen her alan gerçek işlev taşır</t>
        </is>
      </c>
      <c r="C18" s="250" t="inlineStr">
        <is>
          <t>Sayfa içi HYPERLINK / gerçek aksiyon; tıklanınca hedefe gider</t>
        </is>
      </c>
      <c r="D18" s="250" t="inlineStr">
        <is>
          <t>İşlevsiz dekoratif buton / sahte navigasyon</t>
        </is>
      </c>
      <c r="E18" s="250" t="inlineStr">
        <is>
          <t>Butonların %100'ü tıklanabilir ve hedefi doğru</t>
        </is>
      </c>
      <c r="F18" s="254" t="inlineStr">
        <is>
          <t>ZORUNLU</t>
        </is>
      </c>
    </row>
    <row r="19" ht="32" customHeight="1" s="72">
      <c r="A19" s="249" t="inlineStr">
        <is>
          <t>Native sayfa sekmesi rengi</t>
        </is>
      </c>
      <c r="B19" s="250" t="inlineStr">
        <is>
          <t>Excel alt sheet tabları kurumsal paletle renklendirilir</t>
        </is>
      </c>
      <c r="C19" s="250" t="inlineStr">
        <is>
          <t>Başlangıç/özet=lacivert; girdiler=mavi; hesap/finans=teal; karar/kontrol=burgundy; doküman=gri</t>
        </is>
      </c>
      <c r="D19" s="250" t="inlineStr">
        <is>
          <t>Renksiz sekmeler veya rastgele/gökkuşağı renkleri</t>
        </is>
      </c>
      <c r="E19" s="250" t="inlineStr">
        <is>
          <t>Tüm görünür kullanıcı sheet tabları renkli</t>
        </is>
      </c>
      <c r="F19" s="254" t="inlineStr">
        <is>
          <t>ZORUNLU</t>
        </is>
      </c>
    </row>
    <row r="20" ht="60" customHeight="1" s="72">
      <c r="A20" s="249" t="inlineStr">
        <is>
          <t>İş akışı sıralaması</t>
        </is>
      </c>
      <c r="B20" s="250" t="inlineStr">
        <is>
          <t>Sayfalar kullanıcının çalışma sırasına göre fiziksel olarak dizilir</t>
        </is>
      </c>
      <c r="C20" s="25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50" t="inlineStr">
        <is>
          <t>Teknik oluşturma sırasına göre dağınık sheet dizilimi</t>
        </is>
      </c>
      <c r="E20" s="250" t="inlineStr">
        <is>
          <t>Sheet order = tanımlı workflow</t>
        </is>
      </c>
      <c r="F20" s="254" t="inlineStr">
        <is>
          <t>ZORUNLU</t>
        </is>
      </c>
    </row>
    <row r="21" ht="30" customHeight="1" s="72">
      <c r="A21" s="249" t="inlineStr">
        <is>
          <t>Kurumsal renk paleti</t>
        </is>
      </c>
      <c r="B21" s="250" t="inlineStr">
        <is>
          <t>Sekme, başlık, buton ve vurgu renkleri tek kurumsal paletten gelir</t>
        </is>
      </c>
      <c r="C21" s="250" t="inlineStr">
        <is>
          <t>Lacivert + mavi + teal + kontrollü burgundy/gri; kategori semantiği sabit</t>
        </is>
      </c>
      <c r="D21" s="250" t="inlineStr">
        <is>
          <t>Neon, rastgele yüksek doygunluk, her sayfada farklı bağımsız renk</t>
        </is>
      </c>
      <c r="E21" s="250" t="inlineStr">
        <is>
          <t>Palette token kontrolü</t>
        </is>
      </c>
      <c r="F21" s="254" t="inlineStr">
        <is>
          <t>ZORUNLU</t>
        </is>
      </c>
    </row>
    <row r="22" ht="45" customHeight="1" s="72">
      <c r="A22" s="249" t="inlineStr">
        <is>
          <t>Premium vitrin</t>
        </is>
      </c>
      <c r="B22" s="250" t="inlineStr">
        <is>
          <t>Görsel kalite ürün değerinin zorunlu parçasıdır</t>
        </is>
      </c>
      <c r="C22" s="250" t="inlineStr">
        <is>
          <t>Kaliteli grafik, gerçek KPI kartı, finansal hiyerarşi, tab rengi, fonksiyonel navigasyon</t>
        </is>
      </c>
      <c r="D22" s="250" t="inlineStr">
        <is>
          <t>Sadece doğru hesap yapıp çıplak/varsayılan Excel görünümü bırakmak</t>
        </is>
      </c>
      <c r="E22" s="250" t="inlineStr">
        <is>
          <t>Görsel release incelemesi</t>
        </is>
      </c>
      <c r="F22" s="254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style="72" min="1" max="1"/>
    <col width="60.5" customWidth="1" style="72" min="2" max="2"/>
    <col width="86.5" customWidth="1" style="72" min="3" max="3"/>
    <col width="40.5" customWidth="1" style="72" min="4" max="4"/>
    <col width="39.5" customWidth="1" style="72" min="5" max="5"/>
    <col width="27.5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TÜRKİYE MUHASEBE VE TEKDÜZEN HESAP PLANI STANDARDI</t>
        </is>
      </c>
    </row>
    <row r="2"/>
    <row r="3" ht="24" customHeight="1" s="72">
      <c r="A3" s="256" t="inlineStr">
        <is>
          <t>Konu</t>
        </is>
      </c>
      <c r="B3" s="256" t="inlineStr">
        <is>
          <t>Zorunlu Standart</t>
        </is>
      </c>
      <c r="C3" s="256" t="inlineStr">
        <is>
          <t>Örnek Türkçe Ad</t>
        </is>
      </c>
      <c r="D3" s="256" t="inlineStr">
        <is>
          <t>THP / Mantık</t>
        </is>
      </c>
      <c r="E3" s="256" t="inlineStr">
        <is>
          <t>Hata Riski</t>
        </is>
      </c>
      <c r="F3" s="256" t="inlineStr">
        <is>
          <t>Kontrol</t>
        </is>
      </c>
    </row>
    <row r="4">
      <c r="A4" s="257" t="inlineStr">
        <is>
          <t>Dil</t>
        </is>
      </c>
      <c r="B4" s="241" t="inlineStr">
        <is>
          <t>Kullanıcıya görünen finansal terimler Türkçe</t>
        </is>
      </c>
      <c r="C4" s="241" t="inlineStr">
        <is>
          <t>Hasılat, Satışların Maliyeti, Brüt Kâr, Faaliyet Giderleri</t>
        </is>
      </c>
      <c r="D4" s="241" t="inlineStr">
        <is>
          <t>Türk işletme kullanımına uygun</t>
        </is>
      </c>
      <c r="E4" s="241" t="inlineStr">
        <is>
          <t>İngilizce jargon</t>
        </is>
      </c>
      <c r="F4" s="241" t="inlineStr">
        <is>
          <t>Terminoloji taraması</t>
        </is>
      </c>
    </row>
    <row r="5" ht="28" customHeight="1" s="72">
      <c r="A5" s="257" t="inlineStr">
        <is>
          <t>Gelir Tablosu</t>
        </is>
      </c>
      <c r="B5" s="241" t="inlineStr">
        <is>
          <t>Türk sunum sırası kullanılır</t>
        </is>
      </c>
      <c r="C5" s="241" t="inlineStr">
        <is>
          <t>Net Satışlar → Satışların Maliyeti → Brüt Kâr → Faaliyet Giderleri → Faaliyet Kârı</t>
        </is>
      </c>
      <c r="D5" s="241" t="inlineStr">
        <is>
          <t>600/610/611; 620-623; 63x</t>
        </is>
      </c>
      <c r="E5" s="241" t="inlineStr">
        <is>
          <t>Yanlış sınıflama</t>
        </is>
      </c>
      <c r="F5" s="241" t="inlineStr">
        <is>
          <t>Hesap eşleme</t>
        </is>
      </c>
    </row>
    <row r="6" ht="28" customHeight="1" s="72">
      <c r="A6" s="257" t="inlineStr">
        <is>
          <t>Bilanço</t>
        </is>
      </c>
      <c r="B6" s="241" t="inlineStr">
        <is>
          <t>Dönen/Duran Varlık ve Kısa/Uzun Vadeli Yükümlülük ayrımı</t>
        </is>
      </c>
      <c r="C6" s="241" t="inlineStr">
        <is>
          <t>Hazır Değerler, Ticari Alacaklar, Stoklar, Mali Borçlar</t>
        </is>
      </c>
      <c r="D6" s="241" t="inlineStr">
        <is>
          <t>1xx / 2xx / 3xx / 4xx / 5xx</t>
        </is>
      </c>
      <c r="E6" s="241" t="inlineStr">
        <is>
          <t>Vade sınıfı hatası</t>
        </is>
      </c>
      <c r="F6" s="241" t="inlineStr">
        <is>
          <t>Bilanço eşitliği</t>
        </is>
      </c>
    </row>
    <row r="7">
      <c r="A7" s="257" t="inlineStr">
        <is>
          <t>Nakit Akışı</t>
        </is>
      </c>
      <c r="B7" s="241" t="inlineStr">
        <is>
          <t>İşletme/Yatırım/Finansman nakit akışları ayrılır</t>
        </is>
      </c>
      <c r="C7" s="241" t="inlineStr">
        <is>
          <t>Faaliyetlerden Nakit, Yatırım Harcamaları, Finansman Nakit Akışı</t>
        </is>
      </c>
      <c r="D7" s="241" t="inlineStr">
        <is>
          <t>Dolaylı/doğrudan yöntem açık seçilir</t>
        </is>
      </c>
      <c r="E7" s="241" t="inlineStr">
        <is>
          <t>Kâr = nakit sanılması</t>
        </is>
      </c>
      <c r="F7" s="241" t="inlineStr">
        <is>
          <t>Nakit devri</t>
        </is>
      </c>
    </row>
    <row r="8">
      <c r="A8" s="257" t="inlineStr">
        <is>
          <t>Ticari Alacaklar</t>
        </is>
      </c>
      <c r="B8" s="241" t="inlineStr">
        <is>
          <t>Cari ve vade mantığı korunur</t>
        </is>
      </c>
      <c r="C8" s="241" t="inlineStr">
        <is>
          <t>120 Alıcılar</t>
        </is>
      </c>
      <c r="D8" s="241" t="inlineStr">
        <is>
          <t>120</t>
        </is>
      </c>
      <c r="E8" s="241" t="inlineStr">
        <is>
          <t>Tahakkuk/nakit karışması</t>
        </is>
      </c>
      <c r="F8" s="241" t="inlineStr">
        <is>
          <t>Alacak devir kontrolü</t>
        </is>
      </c>
    </row>
    <row r="9">
      <c r="A9" s="257" t="inlineStr">
        <is>
          <t>Ticari Borçlar</t>
        </is>
      </c>
      <c r="B9" s="241" t="inlineStr">
        <is>
          <t>Tedarikçi borcu ayrı izlenir</t>
        </is>
      </c>
      <c r="C9" s="241" t="inlineStr">
        <is>
          <t>320 Satıcılar</t>
        </is>
      </c>
      <c r="D9" s="241" t="inlineStr">
        <is>
          <t>320</t>
        </is>
      </c>
      <c r="E9" s="241" t="inlineStr">
        <is>
          <t>Gider/ödeme karışması</t>
        </is>
      </c>
      <c r="F9" s="241" t="inlineStr">
        <is>
          <t>Borç devir kontrolü</t>
        </is>
      </c>
    </row>
    <row r="10">
      <c r="A10" s="257" t="inlineStr">
        <is>
          <t>Kasa/Banka</t>
        </is>
      </c>
      <c r="B10" s="241" t="inlineStr">
        <is>
          <t>Hazır değerler ayrı izlenir</t>
        </is>
      </c>
      <c r="C10" s="241" t="inlineStr">
        <is>
          <t>100 Kasa, 102 Bankalar</t>
        </is>
      </c>
      <c r="D10" s="241" t="inlineStr">
        <is>
          <t>100 / 102</t>
        </is>
      </c>
      <c r="E10" s="241" t="inlineStr">
        <is>
          <t>Virmanla toplam nakdin değişmesi</t>
        </is>
      </c>
      <c r="F10" s="241" t="inlineStr">
        <is>
          <t>Virman değişmezi</t>
        </is>
      </c>
    </row>
    <row r="11">
      <c r="A11" s="257" t="inlineStr">
        <is>
          <t>Stok</t>
        </is>
      </c>
      <c r="B11" s="241" t="inlineStr">
        <is>
          <t>Dikeye uygun stok türü</t>
        </is>
      </c>
      <c r="C11" s="241" t="inlineStr">
        <is>
          <t>150 İlk Madde ve Malzeme, 153 Ticari Mallar</t>
        </is>
      </c>
      <c r="D11" s="241" t="inlineStr">
        <is>
          <t>15x</t>
        </is>
      </c>
      <c r="E11" s="241" t="inlineStr">
        <is>
          <t>Maliyet ve stok hareketinin kopması</t>
        </is>
      </c>
      <c r="F11" s="241" t="inlineStr">
        <is>
          <t>Stok devri</t>
        </is>
      </c>
    </row>
    <row r="12" ht="28" customHeight="1" s="72">
      <c r="A12" s="257" t="inlineStr">
        <is>
          <t>Maddi Duran Varlık</t>
        </is>
      </c>
      <c r="B12" s="241" t="inlineStr">
        <is>
          <t>Yatırım harcaması ve amortisman bağlantılı</t>
        </is>
      </c>
      <c r="C12" s="241" t="inlineStr">
        <is>
          <t>253 Tesis Makine Cihazlar, 255 Demirbaşlar, 257 Birikmiş Amortismanlar</t>
        </is>
      </c>
      <c r="D12" s="241" t="inlineStr">
        <is>
          <t>25x</t>
        </is>
      </c>
      <c r="E12" s="241" t="inlineStr">
        <is>
          <t>Yatırım/gider karışması</t>
        </is>
      </c>
      <c r="F12" s="241" t="inlineStr">
        <is>
          <t>Net defter değeri devri</t>
        </is>
      </c>
    </row>
    <row r="13">
      <c r="A13" s="257" t="inlineStr">
        <is>
          <t>Mali Borçlar</t>
        </is>
      </c>
      <c r="B13" s="241" t="inlineStr">
        <is>
          <t>Kısa/uzun vadeli borç ayrımı</t>
        </is>
      </c>
      <c r="C13" s="241" t="inlineStr">
        <is>
          <t>300 Banka Kredileri / 400 Banka Kredileri</t>
        </is>
      </c>
      <c r="D13" s="241" t="inlineStr">
        <is>
          <t>300 / 400</t>
        </is>
      </c>
      <c r="E13" s="241" t="inlineStr">
        <is>
          <t>Vade sınıfı yanlış</t>
        </is>
      </c>
      <c r="F13" s="241" t="inlineStr">
        <is>
          <t>Borç devri</t>
        </is>
      </c>
    </row>
    <row r="14">
      <c r="A14" s="257" t="inlineStr">
        <is>
          <t>Özkaynak</t>
        </is>
      </c>
      <c r="B14" s="241" t="inlineStr">
        <is>
          <t>Sermaye ve geçmiş yıl kârları ayrı</t>
        </is>
      </c>
      <c r="C14" s="241" t="inlineStr">
        <is>
          <t>500 Sermaye, 570 Geçmiş Yıllar Kârları, 590 Dönem Net Kârı</t>
        </is>
      </c>
      <c r="D14" s="241" t="inlineStr">
        <is>
          <t>5xx</t>
        </is>
      </c>
      <c r="E14" s="241" t="inlineStr">
        <is>
          <t>Net kâr bağının kopması</t>
        </is>
      </c>
      <c r="F14" s="241" t="inlineStr">
        <is>
          <t>Özkaynak devri</t>
        </is>
      </c>
    </row>
    <row r="15">
      <c r="A15" s="257" t="inlineStr">
        <is>
          <t>Vergi</t>
        </is>
      </c>
      <c r="B15" s="241" t="inlineStr">
        <is>
          <t>Vergi satırları Türkiye mantığına uygun</t>
        </is>
      </c>
      <c r="C15" s="241" t="inlineStr">
        <is>
          <t>Dönem Vergi ve Diğer Yasal Yükümlülük Karşılıkları</t>
        </is>
      </c>
      <c r="D15" s="241" t="inlineStr">
        <is>
          <t>37x / ilgili vergi hesapları</t>
        </is>
      </c>
      <c r="E15" s="241" t="inlineStr">
        <is>
          <t>Vergi etkisinin yanlış dönemlenmesi</t>
        </is>
      </c>
      <c r="F15" s="241" t="inlineStr">
        <is>
          <t>Vergi sözleşmesi</t>
        </is>
      </c>
    </row>
    <row r="16">
      <c r="A16" s="257" t="inlineStr">
        <is>
          <t>İsim standardı</t>
        </is>
      </c>
      <c r="B16" s="241" t="inlineStr">
        <is>
          <t>Tablo ve sayfa adları Türkçe ve işlevsel</t>
        </is>
      </c>
      <c r="C16" s="241" t="inlineStr">
        <is>
          <t>GELİR_TABLOSU, BİLANÇO, NAKİT_AKISI, BORC_PLANI</t>
        </is>
      </c>
      <c r="D16" s="241" t="inlineStr">
        <is>
          <t>Tekrarlanabilir standart</t>
        </is>
      </c>
      <c r="E16" s="241" t="inlineStr">
        <is>
          <t>İngilizce/karma isim</t>
        </is>
      </c>
      <c r="F16" s="241" t="inlineStr">
        <is>
          <t>Sayfa ve tablo taraması</t>
        </is>
      </c>
    </row>
    <row r="17">
      <c r="A17" s="257" t="inlineStr">
        <is>
          <t>THP eşleme tablosu</t>
        </is>
      </c>
      <c r="B17" s="241" t="inlineStr">
        <is>
          <t>Her kritik satır en az bir THP hesabına bağlanır</t>
        </is>
      </c>
      <c r="C17" s="241" t="inlineStr">
        <is>
          <t>RaporSatırı → HesapKodu → HesapAdı → İşaret → Dönem</t>
        </is>
      </c>
      <c r="D17" s="241" t="inlineStr">
        <is>
          <t>Kaynak izlenebilirliği</t>
        </is>
      </c>
      <c r="E17" s="241" t="inlineStr">
        <is>
          <t>Rapordan rapora kaynak</t>
        </is>
      </c>
      <c r="F17" s="241" t="inlineStr">
        <is>
          <t>Eşleme kapsama %100</t>
        </is>
      </c>
    </row>
    <row r="18">
      <c r="A18" s="257" t="inlineStr">
        <is>
          <t>İstisna</t>
        </is>
      </c>
      <c r="B18" s="241" t="inlineStr">
        <is>
          <t>TFRS özel ürün varsa fark açık yazılır</t>
        </is>
      </c>
      <c r="C18" s="241" t="inlineStr">
        <is>
          <t>Tekdüzen raporlama ≠ TFRS finansal tablo sunumu</t>
        </is>
      </c>
      <c r="D18" s="241" t="inlineStr">
        <is>
          <t>Amaç belirtilir</t>
        </is>
      </c>
      <c r="E18" s="241" t="inlineStr">
        <is>
          <t>Standartları karıştırma</t>
        </is>
      </c>
      <c r="F18" s="241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style="72" min="1" max="1"/>
    <col width="41.5" customWidth="1" style="72" min="2" max="2"/>
    <col width="86.5" customWidth="1" style="72" min="3" max="3"/>
    <col width="35.5" customWidth="1" style="72" min="4" max="4"/>
    <col width="33.5" customWidth="1" style="72" min="5" max="5"/>
    <col width="16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KARAR, GÜVEN VE SATIŞA HAZIRLIK STANDARDI</t>
        </is>
      </c>
    </row>
    <row r="2"/>
    <row r="3" ht="24" customHeight="1" s="72">
      <c r="A3" s="259" t="inlineStr">
        <is>
          <t>Alan</t>
        </is>
      </c>
      <c r="B3" s="259" t="inlineStr">
        <is>
          <t>Müşteri Sorusu</t>
        </is>
      </c>
      <c r="C3" s="259" t="inlineStr">
        <is>
          <t>Zorunlu Ürün Davranışı</t>
        </is>
      </c>
      <c r="D3" s="259" t="inlineStr">
        <is>
          <t>Kanıt</t>
        </is>
      </c>
      <c r="E3" s="259" t="inlineStr">
        <is>
          <t>Başarısızlık Durumu</t>
        </is>
      </c>
      <c r="F3" s="259" t="inlineStr">
        <is>
          <t>Kapı</t>
        </is>
      </c>
    </row>
    <row r="4">
      <c r="A4" s="260" t="inlineStr">
        <is>
          <t>5 saniye</t>
        </is>
      </c>
      <c r="B4" s="241" t="inlineStr">
        <is>
          <t>Bu ürün neyi çözüyor?</t>
        </is>
      </c>
      <c r="C4" s="241" t="inlineStr">
        <is>
          <t>İlk ekranda hedef kullanıcı + pahalı problem + sonuç görünür</t>
        </is>
      </c>
      <c r="D4" s="241" t="inlineStr">
        <is>
          <t>Başlık + alt mesaj + gerçek ekran</t>
        </is>
      </c>
      <c r="E4" s="241" t="inlineStr">
        <is>
          <t>Ürün yalnız teknik isim</t>
        </is>
      </c>
      <c r="F4" s="261" t="inlineStr">
        <is>
          <t>HATA</t>
        </is>
      </c>
    </row>
    <row r="5">
      <c r="A5" s="260" t="inlineStr">
        <is>
          <t>Acı</t>
        </is>
      </c>
      <c r="B5" s="241" t="inlineStr">
        <is>
          <t>Sorun bana neye mal oluyor?</t>
        </is>
      </c>
      <c r="C5" s="241" t="inlineStr">
        <is>
          <t>Mümkünse müşterinin kendi verisiyle parasal/zaman etkisi hesaplanır</t>
        </is>
      </c>
      <c r="D5" s="241" t="inlineStr">
        <is>
          <t>ROI/acı hesaplama yöntemi</t>
        </is>
      </c>
      <c r="E5" s="241" t="inlineStr">
        <is>
          <t>Uydurma tasarruf</t>
        </is>
      </c>
      <c r="F5" s="261" t="inlineStr">
        <is>
          <t>HATA</t>
        </is>
      </c>
    </row>
    <row r="6">
      <c r="A6" s="260" t="inlineStr">
        <is>
          <t>Karar</t>
        </is>
      </c>
      <c r="B6" s="241" t="inlineStr">
        <is>
          <t>Bu bilgiyle ne yapacağım?</t>
        </is>
      </c>
      <c r="C6" s="241" t="inlineStr">
        <is>
          <t>Her kritik KPI aksiyona bağlanır</t>
        </is>
      </c>
      <c r="D6" s="241" t="inlineStr">
        <is>
          <t>KARAR_KUYRUGU</t>
        </is>
      </c>
      <c r="E6" s="241" t="inlineStr">
        <is>
          <t>Sadece rapor</t>
        </is>
      </c>
      <c r="F6" s="261" t="inlineStr">
        <is>
          <t>HATA</t>
        </is>
      </c>
    </row>
    <row r="7">
      <c r="A7" s="260" t="inlineStr">
        <is>
          <t>Güven</t>
        </is>
      </c>
      <c r="B7" s="241" t="inlineStr">
        <is>
          <t>Bu sayıya neden inanayım?</t>
        </is>
      </c>
      <c r="C7" s="241" t="inlineStr">
        <is>
          <t>Kaynak, formül mantığı, kontrol ve son doğrulama görünür</t>
        </is>
      </c>
      <c r="D7" s="241" t="inlineStr">
        <is>
          <t>Kontroller + kaynak izi + sürüm</t>
        </is>
      </c>
      <c r="E7" s="241" t="inlineStr">
        <is>
          <t>Prestij kelimesi</t>
        </is>
      </c>
      <c r="F7" s="261" t="inlineStr">
        <is>
          <t>HATA</t>
        </is>
      </c>
    </row>
    <row r="8">
      <c r="A8" s="260" t="inlineStr">
        <is>
          <t>Referans</t>
        </is>
      </c>
      <c r="B8" s="241" t="inlineStr">
        <is>
          <t>Müşteri yorumu yoksa ne göstereceğim?</t>
        </is>
      </c>
      <c r="C8" s="241" t="inlineStr">
        <is>
          <t>Önce/Sonra + Karar Vakası + Hata Önleme Vakası üretilir</t>
        </is>
      </c>
      <c r="D8" s="241" t="inlineStr">
        <is>
          <t>Demo/örnek çıktı</t>
        </is>
      </c>
      <c r="E8" s="241" t="inlineStr">
        <is>
          <t>Kanıtsız iddia</t>
        </is>
      </c>
      <c r="F8" s="261" t="inlineStr">
        <is>
          <t>HATA</t>
        </is>
      </c>
    </row>
    <row r="9">
      <c r="A9" s="260" t="inlineStr">
        <is>
          <t>Senaryo</t>
        </is>
      </c>
      <c r="B9" s="241" t="inlineStr">
        <is>
          <t>Ne olursa işler bozulur?</t>
        </is>
      </c>
      <c r="C9" s="241" t="inlineStr">
        <is>
          <t>Baz/Aşağı/Yukarı veya uygun stres senaryosu</t>
        </is>
      </c>
      <c r="D9" s="241" t="inlineStr">
        <is>
          <t>Senaryo karşılaştırma</t>
        </is>
      </c>
      <c r="E9" s="241" t="inlineStr">
        <is>
          <t>Dekoratif senaryo</t>
        </is>
      </c>
      <c r="F9" s="261" t="inlineStr">
        <is>
          <t>HATA</t>
        </is>
      </c>
    </row>
    <row r="10">
      <c r="A10" s="260" t="inlineStr">
        <is>
          <t>Ters stres</t>
        </is>
      </c>
      <c r="B10" s="241" t="inlineStr">
        <is>
          <t>Hangi eşikte karar kırılır?</t>
        </is>
      </c>
      <c r="C10" s="241" t="inlineStr">
        <is>
          <t>En az bir kritik sürücü için kırılma eşiği</t>
        </is>
      </c>
      <c r="D10" s="241" t="inlineStr">
        <is>
          <t>Kırılma eşiği tablosu</t>
        </is>
      </c>
      <c r="E10" s="241" t="inlineStr">
        <is>
          <t>Sadece +/- %10</t>
        </is>
      </c>
      <c r="F10" s="261" t="inlineStr">
        <is>
          <t>UYARI/HATA</t>
        </is>
      </c>
    </row>
    <row r="11">
      <c r="A11" s="260" t="inlineStr">
        <is>
          <t>Hata tutarlılığı</t>
        </is>
      </c>
      <c r="B11" s="241" t="inlineStr">
        <is>
          <t>Formül hata verirse ne olur?</t>
        </is>
      </c>
      <c r="C11" s="241" t="inlineStr">
        <is>
          <t>Kontrol GEÇTİ veremez; BLOKE/HATA üretir</t>
        </is>
      </c>
      <c r="D11" s="241" t="inlineStr">
        <is>
          <t>Hata taraması</t>
        </is>
      </c>
      <c r="E11" s="241" t="inlineStr">
        <is>
          <t>Hata + GEÇTİ birlikte</t>
        </is>
      </c>
      <c r="F11" s="261" t="inlineStr">
        <is>
          <t>HATA</t>
        </is>
      </c>
    </row>
    <row r="12">
      <c r="A12" s="260" t="inlineStr">
        <is>
          <t>Karar motoru</t>
        </is>
      </c>
      <c r="B12" s="241" t="inlineStr">
        <is>
          <t>Ne oldu, neden oldu?</t>
        </is>
      </c>
      <c r="C12" s="241" t="inlineStr">
        <is>
          <t>Sorun + neden + parasal etki + aksiyon + son tarih</t>
        </is>
      </c>
      <c r="D12" s="241" t="inlineStr">
        <is>
          <t>Karar tablosu</t>
        </is>
      </c>
      <c r="E12" s="241" t="inlineStr">
        <is>
          <t>Boş sayfa / isim düzeyi modül</t>
        </is>
      </c>
      <c r="F12" s="261" t="inlineStr">
        <is>
          <t>HATA</t>
        </is>
      </c>
    </row>
    <row r="13">
      <c r="A13" s="260" t="inlineStr">
        <is>
          <t>Yönetici özeti</t>
        </is>
      </c>
      <c r="B13" s="241" t="inlineStr">
        <is>
          <t>5 saniyede ne görmeliyim?</t>
        </is>
      </c>
      <c r="C13" s="241" t="inlineStr">
        <is>
          <t>Bugün / ne değişti / ne bozulacak / neden / ne yapmalıyım / güven</t>
        </is>
      </c>
      <c r="D13" s="241" t="inlineStr">
        <is>
          <t>Yönetici özeti ekranı</t>
        </is>
      </c>
      <c r="E13" s="241" t="inlineStr">
        <is>
          <t>KPI kutusu yığını</t>
        </is>
      </c>
      <c r="F13" s="261" t="inlineStr">
        <is>
          <t>HATA</t>
        </is>
      </c>
    </row>
    <row r="14">
      <c r="A14" s="260" t="inlineStr">
        <is>
          <t>Teklif</t>
        </is>
      </c>
      <c r="B14" s="241" t="inlineStr">
        <is>
          <t>Neden satın almalıyım?</t>
        </is>
      </c>
      <c r="C14" s="241" t="inlineStr">
        <is>
          <t>Dosya özellikleri yerine sonuç ve kaçınılan maliyet sunulur</t>
        </is>
      </c>
      <c r="D14" s="241" t="inlineStr">
        <is>
          <t>Ürün sayfası kanıt eşlemesi</t>
        </is>
      </c>
      <c r="E14" s="241" t="inlineStr">
        <is>
          <t>Özellik listesiyle satış</t>
        </is>
      </c>
      <c r="F14" s="261" t="inlineStr">
        <is>
          <t>HATA</t>
        </is>
      </c>
    </row>
    <row r="15">
      <c r="A15" s="260" t="inlineStr">
        <is>
          <t>Dağıtım</t>
        </is>
      </c>
      <c r="B15" s="241" t="inlineStr">
        <is>
          <t>Beni nasıl bulacaklar?</t>
        </is>
      </c>
      <c r="C15" s="241" t="inlineStr">
        <is>
          <t>Sorun niyetine göre SEO sayfaları, iç bağlantı, temiz yapı, taranabilir metin</t>
        </is>
      </c>
      <c r="D15" s="241" t="inlineStr">
        <is>
          <t>Arama niyeti haritası</t>
        </is>
      </c>
      <c r="E15" s="241" t="inlineStr">
        <is>
          <t>Tek ürün sayfasına bağımlılık</t>
        </is>
      </c>
      <c r="F15" s="261" t="inlineStr">
        <is>
          <t>UYARI</t>
        </is>
      </c>
    </row>
    <row r="16" ht="28" customHeight="1" s="72">
      <c r="A16" s="260" t="inlineStr">
        <is>
          <t>LLM görünürlüğü</t>
        </is>
      </c>
      <c r="B16" s="241" t="inlineStr">
        <is>
          <t>AI ürünümü anlayabiliyor mu?</t>
        </is>
      </c>
      <c r="C16" s="241" t="inlineStr">
        <is>
          <t>Ürün tanımı, hedef kullanıcı, girdi/çıktı, metodoloji, sınırlar, SSS açık metindir</t>
        </is>
      </c>
      <c r="D16" s="241" t="inlineStr">
        <is>
          <t>Taranabilir ürün içeriği</t>
        </is>
      </c>
      <c r="E16" s="241" t="inlineStr">
        <is>
          <t>'AI SEO' iddiası</t>
        </is>
      </c>
      <c r="F16" s="261" t="inlineStr">
        <is>
          <t>UYARI</t>
        </is>
      </c>
    </row>
    <row r="17">
      <c r="A17" s="260" t="inlineStr">
        <is>
          <t>Satış kanalı</t>
        </is>
      </c>
      <c r="B17" s="241" t="inlineStr">
        <is>
          <t>Nerede satılmalı?</t>
        </is>
      </c>
      <c r="C17" s="241" t="inlineStr">
        <is>
          <t>Arama, LinkedIn, uzman/partner, demo/video; ürüne göre kanal seçilir</t>
        </is>
      </c>
      <c r="D17" s="241" t="inlineStr">
        <is>
          <t>Kanal matrisi</t>
        </is>
      </c>
      <c r="E17" s="241" t="inlineStr">
        <is>
          <t>Her ürüne aynı kanal</t>
        </is>
      </c>
      <c r="F17" s="261" t="inlineStr">
        <is>
          <t>UYARI</t>
        </is>
      </c>
    </row>
    <row r="18">
      <c r="A18" s="260" t="inlineStr">
        <is>
          <t>Fiyat</t>
        </is>
      </c>
      <c r="B18" s="241" t="inlineStr">
        <is>
          <t>Bu fiyat neden mantıklı?</t>
        </is>
      </c>
      <c r="C18" s="241" t="inlineStr">
        <is>
          <t>Fiyat, ekonomik karar değerine ve kanıtlanmış ürün derinliğine bağlanır</t>
        </is>
      </c>
      <c r="D18" s="241" t="inlineStr">
        <is>
          <t>Değer haritası + demo</t>
        </is>
      </c>
      <c r="E18" s="241" t="inlineStr">
        <is>
          <t>Sırf sayfa/formül sayısı</t>
        </is>
      </c>
      <c r="F18" s="261" t="inlineStr">
        <is>
          <t>HATA</t>
        </is>
      </c>
    </row>
    <row r="19">
      <c r="A19" s="260" t="inlineStr">
        <is>
          <t>Pazar kanıtı</t>
        </is>
      </c>
      <c r="B19" s="241" t="inlineStr">
        <is>
          <t>Piyasa gerçekten ödüyor mu?</t>
        </is>
      </c>
      <c r="C19" s="241" t="inlineStr">
        <is>
          <t>Satış/pilot/LOI/fiyat kabulü olmadan pazar doğrulandı yazılmaz</t>
        </is>
      </c>
      <c r="D19" s="241" t="inlineStr">
        <is>
          <t>Gerçek işlem kanıtı</t>
        </is>
      </c>
      <c r="E19" s="241" t="inlineStr">
        <is>
          <t>Tahmini talep = satış kabulü</t>
        </is>
      </c>
      <c r="F19" s="261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8" min="1" max="1"/>
    <col width="13" customWidth="1" style="72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KAPAK — POS, Komisyon ve Net Tahsilat Kontrol Sistemi</t>
        </is>
      </c>
    </row>
    <row r="2"/>
    <row r="3" ht="22" customHeight="1" s="72">
      <c r="A3" s="291" t="inlineStr">
        <is>
          <t>POS, Komisyon ve Net Tahsilat Kontrol Sistemi</t>
        </is>
      </c>
    </row>
    <row r="4" ht="15" customHeight="1" s="72">
      <c r="A4" s="101" t="inlineStr">
        <is>
          <t>POS kanallarının brüt satışını, komisyon ve iade düşüldükten sonraki net tahsilatını karşılaştırın; kanal maliyetini görün.</t>
        </is>
      </c>
    </row>
    <row r="5"/>
    <row r="6" ht="15" customHeight="1" s="72">
      <c r="A6" s="102" t="inlineStr">
        <is>
          <t>Bu ürün ne sağlar?</t>
        </is>
      </c>
    </row>
    <row r="7" ht="15" customHeight="1" s="72">
      <c r="A7" s="103" t="inlineStr">
        <is>
          <t>• Kanal bazlı brüt satış, iade ve komisyon ayrıştırması</t>
        </is>
      </c>
    </row>
    <row r="8" ht="15" customHeight="1" s="72">
      <c r="A8" s="103" t="inlineStr">
        <is>
          <t>• Net tahsilat ve net tahsilat oranının otomatik hesabı</t>
        </is>
      </c>
    </row>
    <row r="9" ht="15" customHeight="1" s="72">
      <c r="A9" s="103" t="inlineStr">
        <is>
          <t>• En pahalı kanal ve iade riski göstergesi</t>
        </is>
      </c>
    </row>
    <row r="10" ht="15" customHeight="1" s="72">
      <c r="A10" s="103" t="inlineStr">
        <is>
          <t>• Senaryo ve duyarlılık analiziyle komisyon yapısı yönetimi</t>
        </is>
      </c>
    </row>
    <row r="11" ht="15" customHeight="1" s="72">
      <c r="A11" s="103" t="inlineStr">
        <is>
          <t>• Yönetici raporu ve karar kapısı (UYGUN/İNCELE/DURDUR)</t>
        </is>
      </c>
    </row>
    <row r="12"/>
    <row r="13"/>
    <row r="14" ht="15" customHeight="1" s="72">
      <c r="A14" s="102" t="inlineStr">
        <is>
          <t>Kimler için?</t>
        </is>
      </c>
    </row>
    <row r="15" ht="15" customHeight="1" s="72">
      <c r="A15" s="104" t="inlineStr">
        <is>
          <t>• Çoklu POS kullanan perakendeciler</t>
        </is>
      </c>
    </row>
    <row r="16" ht="15" customHeight="1" s="72">
      <c r="A16" s="104" t="inlineStr">
        <is>
          <t>• Online satış yapan işletmeler</t>
        </is>
      </c>
    </row>
    <row r="17" ht="15" customHeight="1" s="72">
      <c r="A17" s="104" t="inlineStr">
        <is>
          <t>• Kanal maliyetini karşılaştırmak isteyenler</t>
        </is>
      </c>
    </row>
    <row r="18" ht="15" customHeight="1" s="72">
      <c r="A18" s="102" t="inlineStr">
        <is>
          <t>Nasıl başlanır?</t>
        </is>
      </c>
    </row>
    <row r="19" ht="15" customHeight="1" s="72">
      <c r="A19" s="103" t="inlineStr">
        <is>
          <t>1. HIZLI_BASLANGIC sayfasını okuyun. 2. POS_HAREKETLER sayfasına işlemlerinizi girin. 3. PANO ve RAPOR sayfalarından sonucu izleyin.</t>
        </is>
      </c>
    </row>
    <row r="20"/>
    <row r="21" ht="15" customHeight="1" s="72">
      <c r="A21" s="105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8:AD8"/>
    <mergeCell ref="A7:AD7"/>
    <mergeCell ref="A1:I1"/>
    <mergeCell ref="A4:P4"/>
    <mergeCell ref="A11:AD11"/>
    <mergeCell ref="A10:AD10"/>
    <mergeCell ref="A21:P21"/>
    <mergeCell ref="A3:I3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T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8.5" customWidth="1" style="98" min="1" max="1"/>
    <col width="146.5" customWidth="1" style="98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HIZLI BASLANGIC — POS, Komisyon ve Net Tahsilat Kontrol Sistemi</t>
        </is>
      </c>
    </row>
    <row r="2"/>
    <row r="3" ht="22" customHeight="1" s="72">
      <c r="A3" s="292" t="inlineStr">
        <is>
          <t>Nasıl kullanılır?</t>
        </is>
      </c>
    </row>
    <row r="4"/>
    <row r="5" ht="15" customHeight="1" s="72">
      <c r="A5" s="107" t="inlineStr">
        <is>
          <t>Adım 1 — POS hareketlerini girin</t>
        </is>
      </c>
      <c r="B5" s="103" t="inlineStr">
        <is>
          <t>POS_HAREKETLER sayfasındaki sarı hücrelere kanal adı, işlem tarihi, brüt satış, iade tutarı ve komisyon oranını girin. Her satır bir işlemdir.</t>
        </is>
      </c>
    </row>
    <row r="6" ht="15" customHeight="1" s="72">
      <c r="A6" s="107" t="inlineStr">
        <is>
          <t>Adım 2 — Sonuçları izleyin</t>
        </is>
      </c>
      <c r="B6" s="103" t="inlineStr">
        <is>
          <t>Hesap sayfası kanal bazlı net tahsilatı hesaplar; PANO özeti ve grafikleri gösterir.</t>
        </is>
      </c>
    </row>
    <row r="7" ht="15" customHeight="1" s="72">
      <c r="A7" s="107" t="inlineStr">
        <is>
          <t>Adım 3 — Karar ve rapor</t>
        </is>
      </c>
      <c r="B7" s="103" t="inlineStr">
        <is>
          <t>KARAR sayfası UYGUN/İNCELE/DURDUR üretir; RAPOR yöneticiye sunulabilir.</t>
        </is>
      </c>
    </row>
    <row r="8" ht="15" customHeight="1" s="72">
      <c r="A8" s="107" t="inlineStr">
        <is>
          <t>Adım 4 — Oranları ayarlayın</t>
        </is>
      </c>
      <c r="B8" s="103" t="inlineStr">
        <is>
          <t>Komisyon ve iade eşikleri AYARLAR sayfasından değiştirilir.</t>
        </is>
      </c>
    </row>
    <row r="9"/>
    <row r="10"/>
    <row r="11" ht="15" customHeight="1" s="72">
      <c r="A11" s="108" t="inlineStr">
        <is>
          <t>Sık yapılan hatalar</t>
        </is>
      </c>
    </row>
    <row r="12" ht="15" customHeight="1" s="72">
      <c r="A12" s="109" t="inlineStr">
        <is>
          <t>• Komisyon oranını yüzde değil katsayı girmek (0,03 yerine 3)</t>
        </is>
      </c>
    </row>
    <row r="13" ht="15" customHeight="1" s="72">
      <c r="A13" s="109" t="inlineStr">
        <is>
          <t>• İade tutarını negatif girmek</t>
        </is>
      </c>
    </row>
    <row r="14" ht="15" customHeight="1" s="72">
      <c r="A14" s="109" t="inlineStr">
        <is>
          <t>• Kanal adını listeden seçmeyip elle farklı yazmak</t>
        </is>
      </c>
    </row>
    <row r="15" ht="15" customHeight="1" s="72">
      <c r="A15" s="110" t="inlineStr">
        <is>
          <t>Bu dosya karar destek aracıdır; muhasebe kaydı veya vergi beyanı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5:T5"/>
    <mergeCell ref="B8:T8"/>
    <mergeCell ref="A1:I1"/>
    <mergeCell ref="A3:I3"/>
    <mergeCell ref="B6:T6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98" min="1" max="1"/>
    <col width="23.5" customWidth="1" style="98" min="2" max="2"/>
    <col width="18.5" customWidth="1" style="98" min="3" max="4"/>
    <col width="19.5" customWidth="1" style="72" min="4" max="4"/>
    <col width="18.5" customWidth="1" style="98" min="5" max="5"/>
    <col width="17.5" customWidth="1" style="98" min="6" max="8"/>
    <col width="23.5" customWidth="1" style="72" min="7" max="7"/>
    <col width="20.5" customWidth="1" style="72" min="8" max="8"/>
    <col width="25.5" customWidth="1" style="98" min="9" max="9"/>
    <col width="13" customWidth="1" style="72" min="10" max="10"/>
  </cols>
  <sheetData>
    <row r="1" ht="32" customHeight="1" s="72">
      <c r="A1" s="272" t="inlineStr">
        <is>
          <t>POS HAREKETLER — POS, Komisyon ve Net Tahsilat Kontrol Sistemi</t>
        </is>
      </c>
    </row>
    <row r="2"/>
    <row r="3" ht="22" customHeight="1" s="72">
      <c r="A3" s="292" t="inlineStr">
        <is>
          <t>POS Kanal Hareketleri</t>
        </is>
      </c>
    </row>
    <row r="4" ht="95.25" customHeight="1" s="72">
      <c r="A4" s="101" t="inlineStr">
        <is>
          <t>Sarı hücrelere manuel veri girin. Her satır bir işlemi temsil eder; net satış, komisyon ve net tahsilat otomatik hesaplanır.</t>
        </is>
      </c>
    </row>
    <row r="5" ht="30" customHeight="1" s="72">
      <c r="A5" s="111" t="inlineStr">
        <is>
          <t>Kanal</t>
        </is>
      </c>
      <c r="B5" s="111" t="inlineStr">
        <is>
          <t>İşlem Tarihi</t>
        </is>
      </c>
      <c r="C5" s="111" t="inlineStr">
        <is>
          <t>Brüt Satış (₺)</t>
        </is>
      </c>
      <c r="D5" s="111" t="inlineStr">
        <is>
          <t>İade Tutarı (₺)</t>
        </is>
      </c>
      <c r="E5" s="111" t="inlineStr">
        <is>
          <t>Komisyon Oranı</t>
        </is>
      </c>
      <c r="F5" s="111" t="inlineStr">
        <is>
          <t>Net Satış (₺)</t>
        </is>
      </c>
      <c r="G5" s="111" t="inlineStr">
        <is>
          <t>Komisyon Tutarı (₺)</t>
        </is>
      </c>
      <c r="H5" s="111" t="inlineStr">
        <is>
          <t>Net Tahsilat (₺)</t>
        </is>
      </c>
      <c r="I5" s="111" t="inlineStr">
        <is>
          <t>Not</t>
        </is>
      </c>
    </row>
    <row r="6" ht="15.75" customHeight="1" s="72">
      <c r="A6" s="112" t="inlineStr">
        <is>
          <t>Mağaza POS</t>
        </is>
      </c>
      <c r="B6" s="113" t="n">
        <v>46027</v>
      </c>
      <c r="C6" s="114" t="n">
        <v>185000</v>
      </c>
      <c r="D6" s="114" t="n">
        <v>12000</v>
      </c>
      <c r="E6" s="115" t="n">
        <v>0.02</v>
      </c>
      <c r="F6" s="116">
        <f>IF($C6=0,0,$C6-$D6)</f>
        <v/>
      </c>
      <c r="G6" s="116">
        <f>IF($F6=0,0,$F6*$E6)</f>
        <v/>
      </c>
      <c r="H6" s="116">
        <f>$F6-$G6</f>
        <v/>
      </c>
      <c r="I6" s="112" t="inlineStr">
        <is>
          <t>Örnek: ocak satışı</t>
        </is>
      </c>
    </row>
    <row r="7" ht="15.75" customHeight="1" s="72">
      <c r="A7" s="112" t="inlineStr">
        <is>
          <t>Sanal POS</t>
        </is>
      </c>
      <c r="B7" s="113" t="n">
        <v>46034</v>
      </c>
      <c r="C7" s="114" t="n">
        <v>94000</v>
      </c>
      <c r="D7" s="114" t="n">
        <v>5000</v>
      </c>
      <c r="E7" s="115" t="n">
        <v>0.035</v>
      </c>
      <c r="F7" s="116">
        <f>IF($C7=0,0,$C7-$D7)</f>
        <v/>
      </c>
      <c r="G7" s="116">
        <f>IF($F7=0,0,$F7*$E7)</f>
        <v/>
      </c>
      <c r="H7" s="116">
        <f>$F7-$G7</f>
        <v/>
      </c>
      <c r="I7" s="112" t="inlineStr">
        <is>
          <t>Örnek: e-ticaret</t>
        </is>
      </c>
    </row>
    <row r="8" ht="15.75" customHeight="1" s="72">
      <c r="A8" s="112" t="inlineStr">
        <is>
          <t>Mağaza POS</t>
        </is>
      </c>
      <c r="B8" s="113" t="n">
        <v>46055</v>
      </c>
      <c r="C8" s="114" t="n">
        <v>172000</v>
      </c>
      <c r="D8" s="114" t="n">
        <v>8500</v>
      </c>
      <c r="E8" s="115" t="n">
        <v>0.02</v>
      </c>
      <c r="F8" s="116">
        <f>IF($C8=0,0,$C8-$D8)</f>
        <v/>
      </c>
      <c r="G8" s="116">
        <f>IF($F8=0,0,$F8*$E8)</f>
        <v/>
      </c>
      <c r="H8" s="116">
        <f>$F8-$G8</f>
        <v/>
      </c>
      <c r="I8" s="112" t="inlineStr">
        <is>
          <t>Örnek: şubat satışı</t>
        </is>
      </c>
    </row>
    <row r="9" ht="15.75" customHeight="1" s="72">
      <c r="A9" s="112" t="inlineStr">
        <is>
          <t>Sanal POS</t>
        </is>
      </c>
      <c r="B9" s="113" t="n">
        <v>46068</v>
      </c>
      <c r="C9" s="114" t="n">
        <v>121000</v>
      </c>
      <c r="D9" s="114" t="n">
        <v>6200</v>
      </c>
      <c r="E9" s="115" t="n">
        <v>0.035</v>
      </c>
      <c r="F9" s="116">
        <f>IF($C9=0,0,$C9-$D9)</f>
        <v/>
      </c>
      <c r="G9" s="116">
        <f>IF($F9=0,0,$F9*$E9)</f>
        <v/>
      </c>
      <c r="H9" s="116">
        <f>$F9-$G9</f>
        <v/>
      </c>
      <c r="I9" s="112" t="inlineStr">
        <is>
          <t>Örnek: kampanya</t>
        </is>
      </c>
    </row>
    <row r="10" ht="15.75" customHeight="1" s="72">
      <c r="A10" s="112" t="inlineStr">
        <is>
          <t>Mobil POS</t>
        </is>
      </c>
      <c r="B10" s="113" t="n">
        <v>46082</v>
      </c>
      <c r="C10" s="114" t="n">
        <v>68000</v>
      </c>
      <c r="D10" s="114" t="n">
        <v>2100</v>
      </c>
      <c r="E10" s="115" t="n">
        <v>0.015</v>
      </c>
      <c r="F10" s="116">
        <f>IF($C10=0,0,$C10-$D10)</f>
        <v/>
      </c>
      <c r="G10" s="116">
        <f>IF($F10=0,0,$F10*$E10)</f>
        <v/>
      </c>
      <c r="H10" s="116">
        <f>$F10-$G10</f>
        <v/>
      </c>
      <c r="I10" s="112" t="inlineStr">
        <is>
          <t>Örnek: sahada satış</t>
        </is>
      </c>
    </row>
    <row r="11" ht="15.75" customHeight="1" s="72">
      <c r="A11" s="112" t="inlineStr">
        <is>
          <t>Mağaza POS</t>
        </is>
      </c>
      <c r="B11" s="113" t="n">
        <v>46099</v>
      </c>
      <c r="C11" s="114" t="n">
        <v>198000</v>
      </c>
      <c r="D11" s="114" t="n">
        <v>10400</v>
      </c>
      <c r="E11" s="115" t="n">
        <v>0.02</v>
      </c>
      <c r="F11" s="116">
        <f>IF($C11=0,0,$C11-$D11)</f>
        <v/>
      </c>
      <c r="G11" s="116">
        <f>IF($F11=0,0,$F11*$E11)</f>
        <v/>
      </c>
      <c r="H11" s="116">
        <f>$F11-$G11</f>
        <v/>
      </c>
      <c r="I11" s="112" t="inlineStr">
        <is>
          <t>Örnek: mart satışı</t>
        </is>
      </c>
    </row>
    <row r="12" ht="15.75" customHeight="1" s="72">
      <c r="A12" s="112" t="inlineStr">
        <is>
          <t>Sanal POS</t>
        </is>
      </c>
      <c r="B12" s="113" t="n">
        <v>46118</v>
      </c>
      <c r="C12" s="114" t="n">
        <v>116000</v>
      </c>
      <c r="D12" s="114" t="n">
        <v>7800</v>
      </c>
      <c r="E12" s="115" t="n">
        <v>0.035</v>
      </c>
      <c r="F12" s="116">
        <f>IF($C12=0,0,$C12-$D12)</f>
        <v/>
      </c>
      <c r="G12" s="116">
        <f>IF($F12=0,0,$F12*$E12)</f>
        <v/>
      </c>
      <c r="H12" s="116">
        <f>$F12-$G12</f>
        <v/>
      </c>
      <c r="I12" s="112" t="inlineStr">
        <is>
          <t>Örnek: nisan satışı</t>
        </is>
      </c>
    </row>
    <row r="13" ht="15.75" customHeight="1" s="72">
      <c r="A13" s="112" t="inlineStr">
        <is>
          <t>Mobil POS</t>
        </is>
      </c>
      <c r="B13" s="113" t="n">
        <v>46134</v>
      </c>
      <c r="C13" s="114" t="n">
        <v>74000</v>
      </c>
      <c r="D13" s="114" t="n">
        <v>1900</v>
      </c>
      <c r="E13" s="115" t="n">
        <v>0.015</v>
      </c>
      <c r="F13" s="116">
        <f>IF($C13=0,0,$C13-$D13)</f>
        <v/>
      </c>
      <c r="G13" s="116">
        <f>IF($F13=0,0,$F13*$E13)</f>
        <v/>
      </c>
      <c r="H13" s="116">
        <f>$F13-$G13</f>
        <v/>
      </c>
      <c r="I13" s="112" t="inlineStr">
        <is>
          <t>Örnek: fuar satışı</t>
        </is>
      </c>
    </row>
    <row r="14" ht="15.75" customHeight="1" s="72">
      <c r="A14" s="112" t="inlineStr">
        <is>
          <t>Mağaza POS</t>
        </is>
      </c>
      <c r="B14" s="113" t="n">
        <v>46146</v>
      </c>
      <c r="C14" s="114" t="n">
        <v>204000</v>
      </c>
      <c r="D14" s="114" t="n">
        <v>9500</v>
      </c>
      <c r="E14" s="115" t="n">
        <v>0.02</v>
      </c>
      <c r="F14" s="116">
        <f>IF($C14=0,0,$C14-$D14)</f>
        <v/>
      </c>
      <c r="G14" s="116">
        <f>IF($F14=0,0,$F14*$E14)</f>
        <v/>
      </c>
      <c r="H14" s="116">
        <f>$F14-$G14</f>
        <v/>
      </c>
      <c r="I14" s="112" t="inlineStr">
        <is>
          <t>Örnek: mayıs satışı</t>
        </is>
      </c>
    </row>
    <row r="15" ht="15.75" customHeight="1" s="72">
      <c r="A15" s="112" t="inlineStr">
        <is>
          <t>Sanal POS</t>
        </is>
      </c>
      <c r="B15" s="113" t="n">
        <v>46162</v>
      </c>
      <c r="C15" s="114" t="n">
        <v>133000</v>
      </c>
      <c r="D15" s="114" t="n">
        <v>5100</v>
      </c>
      <c r="E15" s="115" t="n">
        <v>0.035</v>
      </c>
      <c r="F15" s="116">
        <f>IF($C15=0,0,$C15-$D15)</f>
        <v/>
      </c>
      <c r="G15" s="116">
        <f>IF($F15=0,0,$F15*$E15)</f>
        <v/>
      </c>
      <c r="H15" s="116">
        <f>$F15-$G15</f>
        <v/>
      </c>
      <c r="I15" s="112" t="inlineStr">
        <is>
          <t>Örnek: özel gün</t>
        </is>
      </c>
    </row>
    <row r="16" ht="15.75" customHeight="1" s="72">
      <c r="A16" s="112" t="inlineStr">
        <is>
          <t>Mobil POS</t>
        </is>
      </c>
      <c r="B16" s="113" t="n">
        <v>46175</v>
      </c>
      <c r="C16" s="114" t="n">
        <v>81000</v>
      </c>
      <c r="D16" s="114" t="n">
        <v>2300</v>
      </c>
      <c r="E16" s="115" t="n">
        <v>0.015</v>
      </c>
      <c r="F16" s="116">
        <f>IF($C16=0,0,$C16-$D16)</f>
        <v/>
      </c>
      <c r="G16" s="116">
        <f>IF($F16=0,0,$F16*$E16)</f>
        <v/>
      </c>
      <c r="H16" s="116">
        <f>$F16-$G16</f>
        <v/>
      </c>
      <c r="I16" s="112" t="inlineStr">
        <is>
          <t>Örnek: haziran</t>
        </is>
      </c>
    </row>
    <row r="17" ht="15.75" customHeight="1" s="72">
      <c r="A17" s="112" t="inlineStr">
        <is>
          <t>Mağaza POS</t>
        </is>
      </c>
      <c r="B17" s="113" t="n">
        <v>46189</v>
      </c>
      <c r="C17" s="114" t="n">
        <v>187000</v>
      </c>
      <c r="D17" s="114" t="n">
        <v>8900</v>
      </c>
      <c r="E17" s="115" t="n">
        <v>0.02</v>
      </c>
      <c r="F17" s="116">
        <f>IF($C17=0,0,$C17-$D17)</f>
        <v/>
      </c>
      <c r="G17" s="116">
        <f>IF($F17=0,0,$F17*$E17)</f>
        <v/>
      </c>
      <c r="H17" s="116">
        <f>$F17-$G17</f>
        <v/>
      </c>
      <c r="I17" s="112" t="inlineStr">
        <is>
          <t>Örnek: haziran satışı</t>
        </is>
      </c>
    </row>
    <row r="18" ht="15" customHeight="1" s="72">
      <c r="A18" s="112" t="n"/>
      <c r="B18" s="113" t="n"/>
      <c r="C18" s="114" t="n"/>
      <c r="D18" s="114" t="n"/>
      <c r="E18" s="115" t="n"/>
      <c r="F18" s="116">
        <f>IF($C18=0,0,$C18-$D18)</f>
        <v/>
      </c>
      <c r="G18" s="116">
        <f>IF($F18=0,0,$F18*$E18)</f>
        <v/>
      </c>
      <c r="H18" s="116">
        <f>$F18-$G18</f>
        <v/>
      </c>
      <c r="I18" s="112" t="n"/>
    </row>
    <row r="19" ht="15" customHeight="1" s="72">
      <c r="A19" s="112" t="n"/>
      <c r="B19" s="113" t="n"/>
      <c r="C19" s="114" t="n"/>
      <c r="D19" s="114" t="n"/>
      <c r="E19" s="115" t="n"/>
      <c r="F19" s="116">
        <f>IF($C19=0,0,$C19-$D19)</f>
        <v/>
      </c>
      <c r="G19" s="116">
        <f>IF($F19=0,0,$F19*$E19)</f>
        <v/>
      </c>
      <c r="H19" s="116">
        <f>$F19-$G19</f>
        <v/>
      </c>
      <c r="I19" s="112" t="n"/>
    </row>
    <row r="20" ht="15" customHeight="1" s="72">
      <c r="A20" s="112" t="n"/>
      <c r="B20" s="113" t="n"/>
      <c r="C20" s="114" t="n"/>
      <c r="D20" s="114" t="n"/>
      <c r="E20" s="115" t="n"/>
      <c r="F20" s="116">
        <f>IF($C20=0,0,$C20-$D20)</f>
        <v/>
      </c>
      <c r="G20" s="116">
        <f>IF($F20=0,0,$F20*$E20)</f>
        <v/>
      </c>
      <c r="H20" s="116">
        <f>$F20-$G20</f>
        <v/>
      </c>
      <c r="I20" s="112" t="n"/>
    </row>
    <row r="21" ht="15" customHeight="1" s="72">
      <c r="A21" s="112" t="n"/>
      <c r="B21" s="113" t="n"/>
      <c r="C21" s="114" t="n"/>
      <c r="D21" s="114" t="n"/>
      <c r="E21" s="115" t="n"/>
      <c r="F21" s="116">
        <f>IF($C21=0,0,$C21-$D21)</f>
        <v/>
      </c>
      <c r="G21" s="116">
        <f>IF($F21=0,0,$F21*$E21)</f>
        <v/>
      </c>
      <c r="H21" s="116">
        <f>$F21-$G21</f>
        <v/>
      </c>
      <c r="I21" s="112" t="n"/>
    </row>
    <row r="22" ht="15" customHeight="1" s="72">
      <c r="A22" s="112" t="n"/>
      <c r="B22" s="113" t="n"/>
      <c r="C22" s="114" t="n"/>
      <c r="D22" s="114" t="n"/>
      <c r="E22" s="115" t="n"/>
      <c r="F22" s="116">
        <f>IF($C22=0,0,$C22-$D22)</f>
        <v/>
      </c>
      <c r="G22" s="116">
        <f>IF($F22=0,0,$F22*$E22)</f>
        <v/>
      </c>
      <c r="H22" s="116">
        <f>$F22-$G22</f>
        <v/>
      </c>
      <c r="I22" s="112" t="n"/>
    </row>
    <row r="23" ht="15" customHeight="1" s="72">
      <c r="A23" s="112" t="n"/>
      <c r="B23" s="113" t="n"/>
      <c r="C23" s="114" t="n"/>
      <c r="D23" s="114" t="n"/>
      <c r="E23" s="115" t="n"/>
      <c r="F23" s="116">
        <f>IF($C23=0,0,$C23-$D23)</f>
        <v/>
      </c>
      <c r="G23" s="116">
        <f>IF($F23=0,0,$F23*$E23)</f>
        <v/>
      </c>
      <c r="H23" s="116">
        <f>$F23-$G23</f>
        <v/>
      </c>
      <c r="I23" s="112" t="n"/>
    </row>
    <row r="24" ht="15" customHeight="1" s="72">
      <c r="A24" s="112" t="n"/>
      <c r="B24" s="113" t="n"/>
      <c r="C24" s="114" t="n"/>
      <c r="D24" s="114" t="n"/>
      <c r="E24" s="115" t="n"/>
      <c r="F24" s="116">
        <f>IF($C24=0,0,$C24-$D24)</f>
        <v/>
      </c>
      <c r="G24" s="116">
        <f>IF($F24=0,0,$F24*$E24)</f>
        <v/>
      </c>
      <c r="H24" s="116">
        <f>$F24-$G24</f>
        <v/>
      </c>
      <c r="I24" s="112" t="n"/>
    </row>
    <row r="25" ht="15" customHeight="1" s="72">
      <c r="A25" s="112" t="n"/>
      <c r="B25" s="113" t="n"/>
      <c r="C25" s="114" t="n"/>
      <c r="D25" s="114" t="n"/>
      <c r="E25" s="115" t="n"/>
      <c r="F25" s="116">
        <f>IF($C25=0,0,$C25-$D25)</f>
        <v/>
      </c>
      <c r="G25" s="116">
        <f>IF($F25=0,0,$F25*$E25)</f>
        <v/>
      </c>
      <c r="H25" s="116">
        <f>$F25-$G25</f>
        <v/>
      </c>
      <c r="I25" s="112" t="n"/>
    </row>
    <row r="26" ht="15" customHeight="1" s="72">
      <c r="A26" s="112" t="n"/>
      <c r="B26" s="113" t="n"/>
      <c r="C26" s="114" t="n"/>
      <c r="D26" s="114" t="n"/>
      <c r="E26" s="115" t="n"/>
      <c r="F26" s="116">
        <f>IF($C26=0,0,$C26-$D26)</f>
        <v/>
      </c>
      <c r="G26" s="116">
        <f>IF($F26=0,0,$F26*$E26)</f>
        <v/>
      </c>
      <c r="H26" s="116">
        <f>$F26-$G26</f>
        <v/>
      </c>
      <c r="I26" s="112" t="n"/>
    </row>
    <row r="27" ht="15" customHeight="1" s="72">
      <c r="A27" s="112" t="n"/>
      <c r="B27" s="113" t="n"/>
      <c r="C27" s="114" t="n"/>
      <c r="D27" s="114" t="n"/>
      <c r="E27" s="115" t="n"/>
      <c r="F27" s="116">
        <f>IF($C27=0,0,$C27-$D27)</f>
        <v/>
      </c>
      <c r="G27" s="116">
        <f>IF($F27=0,0,$F27*$E27)</f>
        <v/>
      </c>
      <c r="H27" s="116">
        <f>$F27-$G27</f>
        <v/>
      </c>
      <c r="I27" s="112" t="n"/>
    </row>
    <row r="28" ht="15" customHeight="1" s="72">
      <c r="A28" s="112" t="n"/>
      <c r="B28" s="113" t="n"/>
      <c r="C28" s="114" t="n"/>
      <c r="D28" s="114" t="n"/>
      <c r="E28" s="115" t="n"/>
      <c r="F28" s="116">
        <f>IF($C28=0,0,$C28-$D28)</f>
        <v/>
      </c>
      <c r="G28" s="116">
        <f>IF($F28=0,0,$F28*$E28)</f>
        <v/>
      </c>
      <c r="H28" s="116">
        <f>$F28-$G28</f>
        <v/>
      </c>
      <c r="I28" s="112" t="n"/>
    </row>
    <row r="29" ht="15" customHeight="1" s="72">
      <c r="A29" s="112" t="n"/>
      <c r="B29" s="113" t="n"/>
      <c r="C29" s="114" t="n"/>
      <c r="D29" s="114" t="n"/>
      <c r="E29" s="115" t="n"/>
      <c r="F29" s="116">
        <f>IF($C29=0,0,$C29-$D29)</f>
        <v/>
      </c>
      <c r="G29" s="116">
        <f>IF($F29=0,0,$F29*$E29)</f>
        <v/>
      </c>
      <c r="H29" s="116">
        <f>$F29-$G29</f>
        <v/>
      </c>
      <c r="I29" s="112" t="n"/>
    </row>
    <row r="30" ht="15" customHeight="1" s="72">
      <c r="A30" s="112" t="n"/>
      <c r="B30" s="113" t="n"/>
      <c r="C30" s="114" t="n"/>
      <c r="D30" s="114" t="n"/>
      <c r="E30" s="115" t="n"/>
      <c r="F30" s="116">
        <f>IF($C30=0,0,$C30-$D30)</f>
        <v/>
      </c>
      <c r="G30" s="116">
        <f>IF($F30=0,0,$F30*$E30)</f>
        <v/>
      </c>
      <c r="H30" s="116">
        <f>$F30-$G30</f>
        <v/>
      </c>
      <c r="I30" s="112" t="n"/>
    </row>
    <row r="31" ht="15" customHeight="1" s="72">
      <c r="A31" s="112" t="n"/>
      <c r="B31" s="113" t="n"/>
      <c r="C31" s="114" t="n"/>
      <c r="D31" s="114" t="n"/>
      <c r="E31" s="115" t="n"/>
      <c r="F31" s="116">
        <f>IF($C31=0,0,$C31-$D31)</f>
        <v/>
      </c>
      <c r="G31" s="116">
        <f>IF($F31=0,0,$F31*$E31)</f>
        <v/>
      </c>
      <c r="H31" s="116">
        <f>$F31-$G31</f>
        <v/>
      </c>
      <c r="I31" s="112" t="n"/>
    </row>
    <row r="32" ht="15" customHeight="1" s="72">
      <c r="A32" s="112" t="n"/>
      <c r="B32" s="113" t="n"/>
      <c r="C32" s="114" t="n"/>
      <c r="D32" s="114" t="n"/>
      <c r="E32" s="115" t="n"/>
      <c r="F32" s="116">
        <f>IF($C32=0,0,$C32-$D32)</f>
        <v/>
      </c>
      <c r="G32" s="116">
        <f>IF($F32=0,0,$F32*$E32)</f>
        <v/>
      </c>
      <c r="H32" s="116">
        <f>$F32-$G32</f>
        <v/>
      </c>
      <c r="I32" s="112" t="n"/>
    </row>
    <row r="33" ht="15" customHeight="1" s="72">
      <c r="A33" s="112" t="n"/>
      <c r="B33" s="113" t="n"/>
      <c r="C33" s="114" t="n"/>
      <c r="D33" s="114" t="n"/>
      <c r="E33" s="115" t="n"/>
      <c r="F33" s="116">
        <f>IF($C33=0,0,$C33-$D33)</f>
        <v/>
      </c>
      <c r="G33" s="116">
        <f>IF($F33=0,0,$F33*$E33)</f>
        <v/>
      </c>
      <c r="H33" s="116">
        <f>$F33-$G33</f>
        <v/>
      </c>
      <c r="I33" s="112" t="n"/>
    </row>
    <row r="34" ht="15" customHeight="1" s="72">
      <c r="A34" s="112" t="n"/>
      <c r="B34" s="113" t="n"/>
      <c r="C34" s="114" t="n"/>
      <c r="D34" s="114" t="n"/>
      <c r="E34" s="115" t="n"/>
      <c r="F34" s="116">
        <f>IF($C34=0,0,$C34-$D34)</f>
        <v/>
      </c>
      <c r="G34" s="116">
        <f>IF($F34=0,0,$F34*$E34)</f>
        <v/>
      </c>
      <c r="H34" s="116">
        <f>$F34-$G34</f>
        <v/>
      </c>
      <c r="I34" s="112" t="n"/>
    </row>
    <row r="35" ht="15" customHeight="1" s="72">
      <c r="A35" s="112" t="n"/>
      <c r="B35" s="113" t="n"/>
      <c r="C35" s="114" t="n"/>
      <c r="D35" s="114" t="n"/>
      <c r="E35" s="115" t="n"/>
      <c r="F35" s="116">
        <f>IF($C35=0,0,$C35-$D35)</f>
        <v/>
      </c>
      <c r="G35" s="116">
        <f>IF($F35=0,0,$F35*$E35)</f>
        <v/>
      </c>
      <c r="H35" s="116">
        <f>$F35-$G35</f>
        <v/>
      </c>
      <c r="I35" s="112" t="n"/>
    </row>
    <row r="36" ht="15" customHeight="1" s="72">
      <c r="A36" s="112" t="n"/>
      <c r="B36" s="113" t="n"/>
      <c r="C36" s="114" t="n"/>
      <c r="D36" s="114" t="n"/>
      <c r="E36" s="115" t="n"/>
      <c r="F36" s="116">
        <f>IF($C36=0,0,$C36-$D36)</f>
        <v/>
      </c>
      <c r="G36" s="116">
        <f>IF($F36=0,0,$F36*$E36)</f>
        <v/>
      </c>
      <c r="H36" s="116">
        <f>$F36-$G36</f>
        <v/>
      </c>
      <c r="I36" s="112" t="n"/>
    </row>
    <row r="37" ht="15" customHeight="1" s="72">
      <c r="A37" s="112" t="n"/>
      <c r="B37" s="113" t="n"/>
      <c r="C37" s="114" t="n"/>
      <c r="D37" s="114" t="n"/>
      <c r="E37" s="115" t="n"/>
      <c r="F37" s="116">
        <f>IF($C37=0,0,$C37-$D37)</f>
        <v/>
      </c>
      <c r="G37" s="116">
        <f>IF($F37=0,0,$F37*$E37)</f>
        <v/>
      </c>
      <c r="H37" s="116">
        <f>$F37-$G37</f>
        <v/>
      </c>
      <c r="I37" s="112" t="n"/>
    </row>
    <row r="38" ht="15" customHeight="1" s="72">
      <c r="A38" s="112" t="n"/>
      <c r="B38" s="113" t="n"/>
      <c r="C38" s="114" t="n"/>
      <c r="D38" s="114" t="n"/>
      <c r="E38" s="115" t="n"/>
      <c r="F38" s="116">
        <f>IF($C38=0,0,$C38-$D38)</f>
        <v/>
      </c>
      <c r="G38" s="116">
        <f>IF($F38=0,0,$F38*$E38)</f>
        <v/>
      </c>
      <c r="H38" s="116">
        <f>$F38-$G38</f>
        <v/>
      </c>
      <c r="I38" s="112" t="n"/>
    </row>
    <row r="39" ht="15" customHeight="1" s="72">
      <c r="A39" s="112" t="n"/>
      <c r="B39" s="113" t="n"/>
      <c r="C39" s="114" t="n"/>
      <c r="D39" s="114" t="n"/>
      <c r="E39" s="115" t="n"/>
      <c r="F39" s="116">
        <f>IF($C39=0,0,$C39-$D39)</f>
        <v/>
      </c>
      <c r="G39" s="116">
        <f>IF($F39=0,0,$F39*$E39)</f>
        <v/>
      </c>
      <c r="H39" s="116">
        <f>$F39-$G39</f>
        <v/>
      </c>
      <c r="I39" s="112" t="n"/>
    </row>
    <row r="40" ht="15" customHeight="1" s="72">
      <c r="A40" s="112" t="n"/>
      <c r="B40" s="113" t="n"/>
      <c r="C40" s="114" t="n"/>
      <c r="D40" s="114" t="n"/>
      <c r="E40" s="115" t="n"/>
      <c r="F40" s="116">
        <f>IF($C40=0,0,$C40-$D40)</f>
        <v/>
      </c>
      <c r="G40" s="116">
        <f>IF($F40=0,0,$F40*$E40)</f>
        <v/>
      </c>
      <c r="H40" s="116">
        <f>$F40-$G40</f>
        <v/>
      </c>
      <c r="I40" s="112" t="n"/>
    </row>
    <row r="41" ht="15" customHeight="1" s="72">
      <c r="A41" s="112" t="n"/>
      <c r="B41" s="113" t="n"/>
      <c r="C41" s="114" t="n"/>
      <c r="D41" s="114" t="n"/>
      <c r="E41" s="115" t="n"/>
      <c r="F41" s="116">
        <f>IF($C41=0,0,$C41-$D41)</f>
        <v/>
      </c>
      <c r="G41" s="116">
        <f>IF($F41=0,0,$F41*$E41)</f>
        <v/>
      </c>
      <c r="H41" s="116">
        <f>$F41-$G41</f>
        <v/>
      </c>
      <c r="I41" s="112" t="n"/>
    </row>
    <row r="42" ht="15" customHeight="1" s="72">
      <c r="A42" s="112" t="n"/>
      <c r="B42" s="113" t="n"/>
      <c r="C42" s="114" t="n"/>
      <c r="D42" s="114" t="n"/>
      <c r="E42" s="115" t="n"/>
      <c r="F42" s="116">
        <f>IF($C42=0,0,$C42-$D42)</f>
        <v/>
      </c>
      <c r="G42" s="116">
        <f>IF($F42=0,0,$F42*$E42)</f>
        <v/>
      </c>
      <c r="H42" s="116">
        <f>$F42-$G42</f>
        <v/>
      </c>
      <c r="I42" s="112" t="n"/>
    </row>
    <row r="43" ht="15" customHeight="1" s="72">
      <c r="A43" s="112" t="n"/>
      <c r="B43" s="113" t="n"/>
      <c r="C43" s="114" t="n"/>
      <c r="D43" s="114" t="n"/>
      <c r="E43" s="115" t="n"/>
      <c r="F43" s="116">
        <f>IF($C43=0,0,$C43-$D43)</f>
        <v/>
      </c>
      <c r="G43" s="116">
        <f>IF($F43=0,0,$F43*$E43)</f>
        <v/>
      </c>
      <c r="H43" s="116">
        <f>$F43-$G43</f>
        <v/>
      </c>
      <c r="I43" s="112" t="n"/>
    </row>
    <row r="44" ht="15" customHeight="1" s="72">
      <c r="A44" s="112" t="n"/>
      <c r="B44" s="113" t="n"/>
      <c r="C44" s="114" t="n"/>
      <c r="D44" s="114" t="n"/>
      <c r="E44" s="115" t="n"/>
      <c r="F44" s="116">
        <f>IF($C44=0,0,$C44-$D44)</f>
        <v/>
      </c>
      <c r="G44" s="116">
        <f>IF($F44=0,0,$F44*$E44)</f>
        <v/>
      </c>
      <c r="H44" s="116">
        <f>$F44-$G44</f>
        <v/>
      </c>
      <c r="I44" s="112" t="n"/>
    </row>
    <row r="45" ht="15" customHeight="1" s="72">
      <c r="A45" s="112" t="n"/>
      <c r="B45" s="113" t="n"/>
      <c r="C45" s="114" t="n"/>
      <c r="D45" s="114" t="n"/>
      <c r="E45" s="115" t="n"/>
      <c r="F45" s="116">
        <f>IF($C45=0,0,$C45-$D45)</f>
        <v/>
      </c>
      <c r="G45" s="116">
        <f>IF($F45=0,0,$F45*$E45)</f>
        <v/>
      </c>
      <c r="H45" s="116">
        <f>$F45-$G45</f>
        <v/>
      </c>
      <c r="I45" s="112" t="n"/>
    </row>
    <row r="46" ht="15" customHeight="1" s="72">
      <c r="A46" s="112" t="n"/>
      <c r="B46" s="113" t="n"/>
      <c r="C46" s="114" t="n"/>
      <c r="D46" s="114" t="n"/>
      <c r="E46" s="115" t="n"/>
      <c r="F46" s="116">
        <f>IF($C46=0,0,$C46-$D46)</f>
        <v/>
      </c>
      <c r="G46" s="116">
        <f>IF($F46=0,0,$F46*$E46)</f>
        <v/>
      </c>
      <c r="H46" s="116">
        <f>$F46-$G46</f>
        <v/>
      </c>
      <c r="I46" s="112" t="n"/>
    </row>
    <row r="47" ht="15" customHeight="1" s="72">
      <c r="A47" s="112" t="n"/>
      <c r="B47" s="113" t="n"/>
      <c r="C47" s="114" t="n"/>
      <c r="D47" s="114" t="n"/>
      <c r="E47" s="115" t="n"/>
      <c r="F47" s="116">
        <f>IF($C47=0,0,$C47-$D47)</f>
        <v/>
      </c>
      <c r="G47" s="116">
        <f>IF($F47=0,0,$F47*$E47)</f>
        <v/>
      </c>
      <c r="H47" s="116">
        <f>$F47-$G47</f>
        <v/>
      </c>
      <c r="I47" s="112" t="n"/>
    </row>
    <row r="48" ht="15" customHeight="1" s="72">
      <c r="A48" s="112" t="n"/>
      <c r="B48" s="113" t="n"/>
      <c r="C48" s="114" t="n"/>
      <c r="D48" s="114" t="n"/>
      <c r="E48" s="115" t="n"/>
      <c r="F48" s="116">
        <f>IF($C48=0,0,$C48-$D48)</f>
        <v/>
      </c>
      <c r="G48" s="116">
        <f>IF($F48=0,0,$F48*$E48)</f>
        <v/>
      </c>
      <c r="H48" s="116">
        <f>$F48-$G48</f>
        <v/>
      </c>
      <c r="I48" s="112" t="n"/>
    </row>
    <row r="49" ht="15" customHeight="1" s="72">
      <c r="A49" s="112" t="n"/>
      <c r="B49" s="113" t="n"/>
      <c r="C49" s="114" t="n"/>
      <c r="D49" s="114" t="n"/>
      <c r="E49" s="115" t="n"/>
      <c r="F49" s="116">
        <f>IF($C49=0,0,$C49-$D49)</f>
        <v/>
      </c>
      <c r="G49" s="116">
        <f>IF($F49=0,0,$F49*$E49)</f>
        <v/>
      </c>
      <c r="H49" s="116">
        <f>$F49-$G49</f>
        <v/>
      </c>
      <c r="I49" s="112" t="n"/>
    </row>
    <row r="50" ht="15" customHeight="1" s="72">
      <c r="A50" s="112" t="n"/>
      <c r="B50" s="113" t="n"/>
      <c r="C50" s="114" t="n"/>
      <c r="D50" s="114" t="n"/>
      <c r="E50" s="115" t="n"/>
      <c r="F50" s="116">
        <f>IF($C50=0,0,$C50-$D50)</f>
        <v/>
      </c>
      <c r="G50" s="116">
        <f>IF($F50=0,0,$F50*$E50)</f>
        <v/>
      </c>
      <c r="H50" s="116">
        <f>$F50-$G50</f>
        <v/>
      </c>
      <c r="I50" s="112" t="n"/>
    </row>
    <row r="51" ht="15" customHeight="1" s="72">
      <c r="A51" s="112" t="n"/>
      <c r="B51" s="113" t="n"/>
      <c r="C51" s="114" t="n"/>
      <c r="D51" s="114" t="n"/>
      <c r="E51" s="115" t="n"/>
      <c r="F51" s="116">
        <f>IF($C51=0,0,$C51-$D51)</f>
        <v/>
      </c>
      <c r="G51" s="116">
        <f>IF($F51=0,0,$F51*$E51)</f>
        <v/>
      </c>
      <c r="H51" s="116">
        <f>$F51-$G51</f>
        <v/>
      </c>
      <c r="I51" s="112" t="n"/>
    </row>
    <row r="52" ht="15" customHeight="1" s="72">
      <c r="A52" s="112" t="n"/>
      <c r="B52" s="113" t="n"/>
      <c r="C52" s="114" t="n"/>
      <c r="D52" s="114" t="n"/>
      <c r="E52" s="115" t="n"/>
      <c r="F52" s="116">
        <f>IF($C52=0,0,$C52-$D52)</f>
        <v/>
      </c>
      <c r="G52" s="116">
        <f>IF($F52=0,0,$F52*$E52)</f>
        <v/>
      </c>
      <c r="H52" s="116">
        <f>$F52-$G52</f>
        <v/>
      </c>
      <c r="I52" s="112" t="n"/>
    </row>
    <row r="53" ht="15" customHeight="1" s="72">
      <c r="A53" s="112" t="n"/>
      <c r="B53" s="113" t="n"/>
      <c r="C53" s="114" t="n"/>
      <c r="D53" s="114" t="n"/>
      <c r="E53" s="115" t="n"/>
      <c r="F53" s="116">
        <f>IF($C53=0,0,$C53-$D53)</f>
        <v/>
      </c>
      <c r="G53" s="116">
        <f>IF($F53=0,0,$F53*$E53)</f>
        <v/>
      </c>
      <c r="H53" s="116">
        <f>$F53-$G53</f>
        <v/>
      </c>
      <c r="I53" s="112" t="n"/>
    </row>
    <row r="54" ht="15" customHeight="1" s="72">
      <c r="A54" s="112" t="n"/>
      <c r="B54" s="113" t="n"/>
      <c r="C54" s="114" t="n"/>
      <c r="D54" s="114" t="n"/>
      <c r="E54" s="115" t="n"/>
      <c r="F54" s="116">
        <f>IF($C54=0,0,$C54-$D54)</f>
        <v/>
      </c>
      <c r="G54" s="116">
        <f>IF($F54=0,0,$F54*$E54)</f>
        <v/>
      </c>
      <c r="H54" s="116">
        <f>$F54-$G54</f>
        <v/>
      </c>
      <c r="I54" s="112" t="n"/>
    </row>
    <row r="55" ht="15" customHeight="1" s="72">
      <c r="A55" s="112" t="n"/>
      <c r="B55" s="113" t="n"/>
      <c r="C55" s="114" t="n"/>
      <c r="D55" s="114" t="n"/>
      <c r="E55" s="115" t="n"/>
      <c r="F55" s="116">
        <f>IF($C55=0,0,$C55-$D55)</f>
        <v/>
      </c>
      <c r="G55" s="116">
        <f>IF($F55=0,0,$F55*$E55)</f>
        <v/>
      </c>
      <c r="H55" s="116">
        <f>$F55-$G55</f>
        <v/>
      </c>
      <c r="I55" s="112" t="n"/>
    </row>
    <row r="56" ht="15" customHeight="1" s="72">
      <c r="A56" s="112" t="n"/>
      <c r="B56" s="113" t="n"/>
      <c r="C56" s="114" t="n"/>
      <c r="D56" s="114" t="n"/>
      <c r="E56" s="115" t="n"/>
      <c r="F56" s="116">
        <f>IF($C56=0,0,$C56-$D56)</f>
        <v/>
      </c>
      <c r="G56" s="116">
        <f>IF($F56=0,0,$F56*$E56)</f>
        <v/>
      </c>
      <c r="H56" s="116">
        <f>$F56-$G56</f>
        <v/>
      </c>
      <c r="I56" s="112" t="n"/>
    </row>
    <row r="57" ht="15" customHeight="1" s="72">
      <c r="A57" s="112" t="n"/>
      <c r="B57" s="113" t="n"/>
      <c r="C57" s="114" t="n"/>
      <c r="D57" s="114" t="n"/>
      <c r="E57" s="115" t="n"/>
      <c r="F57" s="116">
        <f>IF($C57=0,0,$C57-$D57)</f>
        <v/>
      </c>
      <c r="G57" s="116">
        <f>IF($F57=0,0,$F57*$E57)</f>
        <v/>
      </c>
      <c r="H57" s="116">
        <f>$F57-$G57</f>
        <v/>
      </c>
      <c r="I57" s="112" t="n"/>
    </row>
    <row r="58" ht="15" customHeight="1" s="72">
      <c r="A58" s="112" t="n"/>
      <c r="B58" s="113" t="n"/>
      <c r="C58" s="114" t="n"/>
      <c r="D58" s="114" t="n"/>
      <c r="E58" s="115" t="n"/>
      <c r="F58" s="116">
        <f>IF($C58=0,0,$C58-$D58)</f>
        <v/>
      </c>
      <c r="G58" s="116">
        <f>IF($F58=0,0,$F58*$E58)</f>
        <v/>
      </c>
      <c r="H58" s="116">
        <f>$F58-$G58</f>
        <v/>
      </c>
      <c r="I58" s="112" t="n"/>
    </row>
    <row r="59" ht="15" customHeight="1" s="72">
      <c r="A59" s="112" t="n"/>
      <c r="B59" s="113" t="n"/>
      <c r="C59" s="114" t="n"/>
      <c r="D59" s="114" t="n"/>
      <c r="E59" s="115" t="n"/>
      <c r="F59" s="116">
        <f>IF($C59=0,0,$C59-$D59)</f>
        <v/>
      </c>
      <c r="G59" s="116">
        <f>IF($F59=0,0,$F59*$E59)</f>
        <v/>
      </c>
      <c r="H59" s="116">
        <f>$F59-$G59</f>
        <v/>
      </c>
      <c r="I59" s="112" t="n"/>
    </row>
    <row r="60" ht="15" customHeight="1" s="72">
      <c r="A60" s="112" t="n"/>
      <c r="B60" s="113" t="n"/>
      <c r="C60" s="114" t="n"/>
      <c r="D60" s="114" t="n"/>
      <c r="E60" s="115" t="n"/>
      <c r="F60" s="116">
        <f>IF($C60=0,0,$C60-$D60)</f>
        <v/>
      </c>
      <c r="G60" s="116">
        <f>IF($F60=0,0,$F60*$E60)</f>
        <v/>
      </c>
      <c r="H60" s="116">
        <f>$F60-$G60</f>
        <v/>
      </c>
      <c r="I60" s="112" t="n"/>
    </row>
    <row r="61" ht="15" customHeight="1" s="72">
      <c r="A61" s="112" t="n"/>
      <c r="B61" s="113" t="n"/>
      <c r="C61" s="114" t="n"/>
      <c r="D61" s="114" t="n"/>
      <c r="E61" s="115" t="n"/>
      <c r="F61" s="116">
        <f>IF($C61=0,0,$C61-$D61)</f>
        <v/>
      </c>
      <c r="G61" s="116">
        <f>IF($F61=0,0,$F61*$E61)</f>
        <v/>
      </c>
      <c r="H61" s="116">
        <f>$F61-$G61</f>
        <v/>
      </c>
      <c r="I61" s="112" t="n"/>
    </row>
    <row r="62" ht="15" customHeight="1" s="72">
      <c r="A62" s="112" t="n"/>
      <c r="B62" s="113" t="n"/>
      <c r="C62" s="114" t="n"/>
      <c r="D62" s="114" t="n"/>
      <c r="E62" s="115" t="n"/>
      <c r="F62" s="116">
        <f>IF($C62=0,0,$C62-$D62)</f>
        <v/>
      </c>
      <c r="G62" s="116">
        <f>IF($F62=0,0,$F62*$E62)</f>
        <v/>
      </c>
      <c r="H62" s="116">
        <f>$F62-$G62</f>
        <v/>
      </c>
      <c r="I62" s="112" t="n"/>
    </row>
    <row r="63" ht="15" customHeight="1" s="72">
      <c r="A63" s="112" t="n"/>
      <c r="B63" s="113" t="n"/>
      <c r="C63" s="114" t="n"/>
      <c r="D63" s="114" t="n"/>
      <c r="E63" s="115" t="n"/>
      <c r="F63" s="116">
        <f>IF($C63=0,0,$C63-$D63)</f>
        <v/>
      </c>
      <c r="G63" s="116">
        <f>IF($F63=0,0,$F63*$E63)</f>
        <v/>
      </c>
      <c r="H63" s="116">
        <f>$F63-$G63</f>
        <v/>
      </c>
      <c r="I63" s="112" t="n"/>
    </row>
    <row r="64" ht="15" customHeight="1" s="72">
      <c r="A64" s="112" t="n"/>
      <c r="B64" s="113" t="n"/>
      <c r="C64" s="114" t="n"/>
      <c r="D64" s="114" t="n"/>
      <c r="E64" s="115" t="n"/>
      <c r="F64" s="116">
        <f>IF($C64=0,0,$C64-$D64)</f>
        <v/>
      </c>
      <c r="G64" s="116">
        <f>IF($F64=0,0,$F64*$E64)</f>
        <v/>
      </c>
      <c r="H64" s="116">
        <f>$F64-$G64</f>
        <v/>
      </c>
      <c r="I64" s="112" t="n"/>
    </row>
    <row r="65" ht="15" customHeight="1" s="72">
      <c r="A65" s="112" t="n"/>
      <c r="B65" s="113" t="n"/>
      <c r="C65" s="114" t="n"/>
      <c r="D65" s="114" t="n"/>
      <c r="E65" s="115" t="n"/>
      <c r="F65" s="116">
        <f>IF($C65=0,0,$C65-$D65)</f>
        <v/>
      </c>
      <c r="G65" s="116">
        <f>IF($F65=0,0,$F65*$E65)</f>
        <v/>
      </c>
      <c r="H65" s="116">
        <f>$F65-$G65</f>
        <v/>
      </c>
      <c r="I65" s="112" t="n"/>
    </row>
    <row r="66" ht="15" customHeight="1" s="72">
      <c r="A66" s="112" t="n"/>
      <c r="B66" s="113" t="n"/>
      <c r="C66" s="114" t="n"/>
      <c r="D66" s="114" t="n"/>
      <c r="E66" s="115" t="n"/>
      <c r="F66" s="116">
        <f>IF($C66=0,0,$C66-$D66)</f>
        <v/>
      </c>
      <c r="G66" s="116">
        <f>IF($F66=0,0,$F66*$E66)</f>
        <v/>
      </c>
      <c r="H66" s="116">
        <f>$F66-$G66</f>
        <v/>
      </c>
      <c r="I66" s="112" t="n"/>
    </row>
    <row r="67" ht="15" customHeight="1" s="72">
      <c r="A67" s="112" t="n"/>
      <c r="B67" s="113" t="n"/>
      <c r="C67" s="114" t="n"/>
      <c r="D67" s="114" t="n"/>
      <c r="E67" s="115" t="n"/>
      <c r="F67" s="116">
        <f>IF($C67=0,0,$C67-$D67)</f>
        <v/>
      </c>
      <c r="G67" s="116">
        <f>IF($F67=0,0,$F67*$E67)</f>
        <v/>
      </c>
      <c r="H67" s="116">
        <f>$F67-$G67</f>
        <v/>
      </c>
      <c r="I67" s="112" t="n"/>
    </row>
    <row r="68" ht="15" customHeight="1" s="72">
      <c r="A68" s="112" t="n"/>
      <c r="B68" s="113" t="n"/>
      <c r="C68" s="114" t="n"/>
      <c r="D68" s="114" t="n"/>
      <c r="E68" s="115" t="n"/>
      <c r="F68" s="116">
        <f>IF($C68=0,0,$C68-$D68)</f>
        <v/>
      </c>
      <c r="G68" s="116">
        <f>IF($F68=0,0,$F68*$E68)</f>
        <v/>
      </c>
      <c r="H68" s="116">
        <f>$F68-$G68</f>
        <v/>
      </c>
      <c r="I68" s="112" t="n"/>
    </row>
    <row r="69" ht="15" customHeight="1" s="72">
      <c r="A69" s="112" t="n"/>
      <c r="B69" s="113" t="n"/>
      <c r="C69" s="114" t="n"/>
      <c r="D69" s="114" t="n"/>
      <c r="E69" s="115" t="n"/>
      <c r="F69" s="116">
        <f>IF($C69=0,0,$C69-$D69)</f>
        <v/>
      </c>
      <c r="G69" s="116">
        <f>IF($F69=0,0,$F69*$E69)</f>
        <v/>
      </c>
      <c r="H69" s="116">
        <f>$F69-$G69</f>
        <v/>
      </c>
      <c r="I69" s="112" t="n"/>
    </row>
    <row r="70" ht="15" customHeight="1" s="72">
      <c r="A70" s="112" t="n"/>
      <c r="B70" s="113" t="n"/>
      <c r="C70" s="114" t="n"/>
      <c r="D70" s="114" t="n"/>
      <c r="E70" s="115" t="n"/>
      <c r="F70" s="116">
        <f>IF($C70=0,0,$C70-$D70)</f>
        <v/>
      </c>
      <c r="G70" s="116">
        <f>IF($F70=0,0,$F70*$E70)</f>
        <v/>
      </c>
      <c r="H70" s="116">
        <f>$F70-$G70</f>
        <v/>
      </c>
      <c r="I70" s="112" t="n"/>
    </row>
    <row r="71" ht="15" customHeight="1" s="72">
      <c r="A71" s="112" t="n"/>
      <c r="B71" s="113" t="n"/>
      <c r="C71" s="114" t="n"/>
      <c r="D71" s="114" t="n"/>
      <c r="E71" s="115" t="n"/>
      <c r="F71" s="116">
        <f>IF($C71=0,0,$C71-$D71)</f>
        <v/>
      </c>
      <c r="G71" s="116">
        <f>IF($F71=0,0,$F71*$E71)</f>
        <v/>
      </c>
      <c r="H71" s="116">
        <f>$F71-$G71</f>
        <v/>
      </c>
      <c r="I71" s="112" t="n"/>
    </row>
    <row r="72" ht="15" customHeight="1" s="72">
      <c r="A72" s="112" t="n"/>
      <c r="B72" s="113" t="n"/>
      <c r="C72" s="114" t="n"/>
      <c r="D72" s="114" t="n"/>
      <c r="E72" s="115" t="n"/>
      <c r="F72" s="116">
        <f>IF($C72=0,0,$C72-$D72)</f>
        <v/>
      </c>
      <c r="G72" s="116">
        <f>IF($F72=0,0,$F72*$E72)</f>
        <v/>
      </c>
      <c r="H72" s="116">
        <f>$F72-$G72</f>
        <v/>
      </c>
      <c r="I72" s="112" t="n"/>
    </row>
    <row r="73" ht="15" customHeight="1" s="72">
      <c r="A73" s="112" t="n"/>
      <c r="B73" s="113" t="n"/>
      <c r="C73" s="114" t="n"/>
      <c r="D73" s="114" t="n"/>
      <c r="E73" s="115" t="n"/>
      <c r="F73" s="116">
        <f>IF($C73=0,0,$C73-$D73)</f>
        <v/>
      </c>
      <c r="G73" s="116">
        <f>IF($F73=0,0,$F73*$E73)</f>
        <v/>
      </c>
      <c r="H73" s="116">
        <f>$F73-$G73</f>
        <v/>
      </c>
      <c r="I73" s="112" t="n"/>
    </row>
    <row r="74" ht="15" customHeight="1" s="72">
      <c r="A74" s="112" t="n"/>
      <c r="B74" s="113" t="n"/>
      <c r="C74" s="114" t="n"/>
      <c r="D74" s="114" t="n"/>
      <c r="E74" s="115" t="n"/>
      <c r="F74" s="116">
        <f>IF($C74=0,0,$C74-$D74)</f>
        <v/>
      </c>
      <c r="G74" s="116">
        <f>IF($F74=0,0,$F74*$E74)</f>
        <v/>
      </c>
      <c r="H74" s="116">
        <f>$F74-$G74</f>
        <v/>
      </c>
      <c r="I74" s="112" t="n"/>
    </row>
    <row r="75" ht="15" customHeight="1" s="72">
      <c r="A75" s="112" t="n"/>
      <c r="B75" s="113" t="n"/>
      <c r="C75" s="114" t="n"/>
      <c r="D75" s="114" t="n"/>
      <c r="E75" s="115" t="n"/>
      <c r="F75" s="116">
        <f>IF($C75=0,0,$C75-$D75)</f>
        <v/>
      </c>
      <c r="G75" s="116">
        <f>IF($F75=0,0,$F75*$E75)</f>
        <v/>
      </c>
      <c r="H75" s="116">
        <f>$F75-$G75</f>
        <v/>
      </c>
      <c r="I75" s="112" t="n"/>
    </row>
    <row r="76" ht="15" customHeight="1" s="72">
      <c r="A76" s="112" t="n"/>
      <c r="B76" s="113" t="n"/>
      <c r="C76" s="114" t="n"/>
      <c r="D76" s="114" t="n"/>
      <c r="E76" s="115" t="n"/>
      <c r="F76" s="116">
        <f>IF($C76=0,0,$C76-$D76)</f>
        <v/>
      </c>
      <c r="G76" s="116">
        <f>IF($F76=0,0,$F76*$E76)</f>
        <v/>
      </c>
      <c r="H76" s="116">
        <f>$F76-$G76</f>
        <v/>
      </c>
      <c r="I76" s="112" t="n"/>
    </row>
    <row r="77" ht="15" customHeight="1" s="72">
      <c r="A77" s="112" t="n"/>
      <c r="B77" s="113" t="n"/>
      <c r="C77" s="114" t="n"/>
      <c r="D77" s="114" t="n"/>
      <c r="E77" s="115" t="n"/>
      <c r="F77" s="116">
        <f>IF($C77=0,0,$C77-$D77)</f>
        <v/>
      </c>
      <c r="G77" s="116">
        <f>IF($F77=0,0,$F77*$E77)</f>
        <v/>
      </c>
      <c r="H77" s="116">
        <f>$F77-$G77</f>
        <v/>
      </c>
      <c r="I77" s="112" t="n"/>
    </row>
    <row r="78" ht="15" customHeight="1" s="72">
      <c r="A78" s="112" t="n"/>
      <c r="B78" s="113" t="n"/>
      <c r="C78" s="114" t="n"/>
      <c r="D78" s="114" t="n"/>
      <c r="E78" s="115" t="n"/>
      <c r="F78" s="116">
        <f>IF($C78=0,0,$C78-$D78)</f>
        <v/>
      </c>
      <c r="G78" s="116">
        <f>IF($F78=0,0,$F78*$E78)</f>
        <v/>
      </c>
      <c r="H78" s="116">
        <f>$F78-$G78</f>
        <v/>
      </c>
      <c r="I78" s="112" t="n"/>
    </row>
    <row r="79" ht="15" customHeight="1" s="72">
      <c r="A79" s="112" t="n"/>
      <c r="B79" s="113" t="n"/>
      <c r="C79" s="114" t="n"/>
      <c r="D79" s="114" t="n"/>
      <c r="E79" s="115" t="n"/>
      <c r="F79" s="116">
        <f>IF($C79=0,0,$C79-$D79)</f>
        <v/>
      </c>
      <c r="G79" s="116">
        <f>IF($F79=0,0,$F79*$E79)</f>
        <v/>
      </c>
      <c r="H79" s="116">
        <f>$F79-$G79</f>
        <v/>
      </c>
      <c r="I79" s="112" t="n"/>
    </row>
    <row r="80" ht="15" customHeight="1" s="72">
      <c r="A80" s="112" t="n"/>
      <c r="B80" s="113" t="n"/>
      <c r="C80" s="114" t="n"/>
      <c r="D80" s="114" t="n"/>
      <c r="E80" s="115" t="n"/>
      <c r="F80" s="116">
        <f>IF($C80=0,0,$C80-$D80)</f>
        <v/>
      </c>
      <c r="G80" s="116">
        <f>IF($F80=0,0,$F80*$E80)</f>
        <v/>
      </c>
      <c r="H80" s="116">
        <f>$F80-$G80</f>
        <v/>
      </c>
      <c r="I80" s="112" t="n"/>
    </row>
    <row r="81" ht="15" customHeight="1" s="72">
      <c r="A81" s="112" t="n"/>
      <c r="B81" s="113" t="n"/>
      <c r="C81" s="114" t="n"/>
      <c r="D81" s="114" t="n"/>
      <c r="E81" s="115" t="n"/>
      <c r="F81" s="116">
        <f>IF($C81=0,0,$C81-$D81)</f>
        <v/>
      </c>
      <c r="G81" s="116">
        <f>IF($F81=0,0,$F81*$E81)</f>
        <v/>
      </c>
      <c r="H81" s="116">
        <f>$F81-$G81</f>
        <v/>
      </c>
      <c r="I81" s="112" t="n"/>
    </row>
    <row r="82" ht="15" customHeight="1" s="72">
      <c r="A82" s="112" t="n"/>
      <c r="B82" s="113" t="n"/>
      <c r="C82" s="114" t="n"/>
      <c r="D82" s="114" t="n"/>
      <c r="E82" s="115" t="n"/>
      <c r="F82" s="116">
        <f>IF($C82=0,0,$C82-$D82)</f>
        <v/>
      </c>
      <c r="G82" s="116">
        <f>IF($F82=0,0,$F82*$E82)</f>
        <v/>
      </c>
      <c r="H82" s="116">
        <f>$F82-$G82</f>
        <v/>
      </c>
      <c r="I82" s="112" t="n"/>
    </row>
    <row r="83" ht="15" customHeight="1" s="72">
      <c r="A83" s="112" t="n"/>
      <c r="B83" s="113" t="n"/>
      <c r="C83" s="114" t="n"/>
      <c r="D83" s="114" t="n"/>
      <c r="E83" s="115" t="n"/>
      <c r="F83" s="116">
        <f>IF($C83=0,0,$C83-$D83)</f>
        <v/>
      </c>
      <c r="G83" s="116">
        <f>IF($F83=0,0,$F83*$E83)</f>
        <v/>
      </c>
      <c r="H83" s="116">
        <f>$F83-$G83</f>
        <v/>
      </c>
      <c r="I83" s="112" t="n"/>
    </row>
    <row r="84" ht="15" customHeight="1" s="72">
      <c r="A84" s="112" t="n"/>
      <c r="B84" s="113" t="n"/>
      <c r="C84" s="114" t="n"/>
      <c r="D84" s="114" t="n"/>
      <c r="E84" s="115" t="n"/>
      <c r="F84" s="116">
        <f>IF($C84=0,0,$C84-$D84)</f>
        <v/>
      </c>
      <c r="G84" s="116">
        <f>IF($F84=0,0,$F84*$E84)</f>
        <v/>
      </c>
      <c r="H84" s="116">
        <f>$F84-$G84</f>
        <v/>
      </c>
      <c r="I84" s="112" t="n"/>
    </row>
    <row r="85" ht="15" customHeight="1" s="72">
      <c r="A85" s="112" t="n"/>
      <c r="B85" s="113" t="n"/>
      <c r="C85" s="114" t="n"/>
      <c r="D85" s="114" t="n"/>
      <c r="E85" s="115" t="n"/>
      <c r="F85" s="116">
        <f>IF($C85=0,0,$C85-$D85)</f>
        <v/>
      </c>
      <c r="G85" s="116">
        <f>IF($F85=0,0,$F85*$E85)</f>
        <v/>
      </c>
      <c r="H85" s="116">
        <f>$F85-$G85</f>
        <v/>
      </c>
      <c r="I85" s="112" t="n"/>
    </row>
    <row r="86" ht="15" customHeight="1" s="72">
      <c r="A86" s="112" t="n"/>
      <c r="B86" s="113" t="n"/>
      <c r="C86" s="114" t="n"/>
      <c r="D86" s="114" t="n"/>
      <c r="E86" s="115" t="n"/>
      <c r="F86" s="116">
        <f>IF($C86=0,0,$C86-$D86)</f>
        <v/>
      </c>
      <c r="G86" s="116">
        <f>IF($F86=0,0,$F86*$E86)</f>
        <v/>
      </c>
      <c r="H86" s="116">
        <f>$F86-$G86</f>
        <v/>
      </c>
      <c r="I86" s="112" t="n"/>
    </row>
    <row r="87" ht="15" customHeight="1" s="72">
      <c r="A87" s="112" t="n"/>
      <c r="B87" s="113" t="n"/>
      <c r="C87" s="114" t="n"/>
      <c r="D87" s="114" t="n"/>
      <c r="E87" s="115" t="n"/>
      <c r="F87" s="116">
        <f>IF($C87=0,0,$C87-$D87)</f>
        <v/>
      </c>
      <c r="G87" s="116">
        <f>IF($F87=0,0,$F87*$E87)</f>
        <v/>
      </c>
      <c r="H87" s="116">
        <f>$F87-$G87</f>
        <v/>
      </c>
      <c r="I87" s="112" t="n"/>
    </row>
    <row r="88" ht="15" customHeight="1" s="72">
      <c r="A88" s="112" t="n"/>
      <c r="B88" s="113" t="n"/>
      <c r="C88" s="114" t="n"/>
      <c r="D88" s="114" t="n"/>
      <c r="E88" s="115" t="n"/>
      <c r="F88" s="116">
        <f>IF($C88=0,0,$C88-$D88)</f>
        <v/>
      </c>
      <c r="G88" s="116">
        <f>IF($F88=0,0,$F88*$E88)</f>
        <v/>
      </c>
      <c r="H88" s="116">
        <f>$F88-$G88</f>
        <v/>
      </c>
      <c r="I88" s="112" t="n"/>
    </row>
    <row r="89" ht="15" customHeight="1" s="72">
      <c r="A89" s="112" t="n"/>
      <c r="B89" s="113" t="n"/>
      <c r="C89" s="114" t="n"/>
      <c r="D89" s="114" t="n"/>
      <c r="E89" s="115" t="n"/>
      <c r="F89" s="116">
        <f>IF($C89=0,0,$C89-$D89)</f>
        <v/>
      </c>
      <c r="G89" s="116">
        <f>IF($F89=0,0,$F89*$E89)</f>
        <v/>
      </c>
      <c r="H89" s="116">
        <f>$F89-$G89</f>
        <v/>
      </c>
      <c r="I89" s="112" t="n"/>
    </row>
    <row r="90" ht="15" customHeight="1" s="72">
      <c r="A90" s="112" t="n"/>
      <c r="B90" s="113" t="n"/>
      <c r="C90" s="114" t="n"/>
      <c r="D90" s="114" t="n"/>
      <c r="E90" s="115" t="n"/>
      <c r="F90" s="116">
        <f>IF($C90=0,0,$C90-$D90)</f>
        <v/>
      </c>
      <c r="G90" s="116">
        <f>IF($F90=0,0,$F90*$E90)</f>
        <v/>
      </c>
      <c r="H90" s="116">
        <f>$F90-$G90</f>
        <v/>
      </c>
      <c r="I90" s="112" t="n"/>
    </row>
    <row r="91" ht="15" customHeight="1" s="72">
      <c r="A91" s="112" t="n"/>
      <c r="B91" s="113" t="n"/>
      <c r="C91" s="114" t="n"/>
      <c r="D91" s="114" t="n"/>
      <c r="E91" s="115" t="n"/>
      <c r="F91" s="116">
        <f>IF($C91=0,0,$C91-$D91)</f>
        <v/>
      </c>
      <c r="G91" s="116">
        <f>IF($F91=0,0,$F91*$E91)</f>
        <v/>
      </c>
      <c r="H91" s="116">
        <f>$F91-$G91</f>
        <v/>
      </c>
      <c r="I91" s="112" t="n"/>
    </row>
    <row r="92" ht="15" customHeight="1" s="72">
      <c r="A92" s="112" t="n"/>
      <c r="B92" s="113" t="n"/>
      <c r="C92" s="114" t="n"/>
      <c r="D92" s="114" t="n"/>
      <c r="E92" s="115" t="n"/>
      <c r="F92" s="116">
        <f>IF($C92=0,0,$C92-$D92)</f>
        <v/>
      </c>
      <c r="G92" s="116">
        <f>IF($F92=0,0,$F92*$E92)</f>
        <v/>
      </c>
      <c r="H92" s="116">
        <f>$F92-$G92</f>
        <v/>
      </c>
      <c r="I92" s="112" t="n"/>
    </row>
    <row r="93" ht="15" customHeight="1" s="72">
      <c r="A93" s="112" t="n"/>
      <c r="B93" s="113" t="n"/>
      <c r="C93" s="114" t="n"/>
      <c r="D93" s="114" t="n"/>
      <c r="E93" s="115" t="n"/>
      <c r="F93" s="116">
        <f>IF($C93=0,0,$C93-$D93)</f>
        <v/>
      </c>
      <c r="G93" s="116">
        <f>IF($F93=0,0,$F93*$E93)</f>
        <v/>
      </c>
      <c r="H93" s="116">
        <f>$F93-$G93</f>
        <v/>
      </c>
      <c r="I93" s="112" t="n"/>
    </row>
    <row r="94" ht="15" customHeight="1" s="72">
      <c r="A94" s="112" t="n"/>
      <c r="B94" s="113" t="n"/>
      <c r="C94" s="114" t="n"/>
      <c r="D94" s="114" t="n"/>
      <c r="E94" s="115" t="n"/>
      <c r="F94" s="116">
        <f>IF($C94=0,0,$C94-$D94)</f>
        <v/>
      </c>
      <c r="G94" s="116">
        <f>IF($F94=0,0,$F94*$E94)</f>
        <v/>
      </c>
      <c r="H94" s="116">
        <f>$F94-$G94</f>
        <v/>
      </c>
      <c r="I94" s="112" t="n"/>
    </row>
    <row r="95" ht="15" customHeight="1" s="72">
      <c r="A95" s="112" t="n"/>
      <c r="B95" s="113" t="n"/>
      <c r="C95" s="114" t="n"/>
      <c r="D95" s="114" t="n"/>
      <c r="E95" s="115" t="n"/>
      <c r="F95" s="116">
        <f>IF($C95=0,0,$C95-$D95)</f>
        <v/>
      </c>
      <c r="G95" s="116">
        <f>IF($F95=0,0,$F95*$E95)</f>
        <v/>
      </c>
      <c r="H95" s="116">
        <f>$F95-$G95</f>
        <v/>
      </c>
      <c r="I95" s="112" t="n"/>
    </row>
    <row r="96" ht="15" customHeight="1" s="72">
      <c r="A96" s="112" t="n"/>
      <c r="B96" s="113" t="n"/>
      <c r="C96" s="114" t="n"/>
      <c r="D96" s="114" t="n"/>
      <c r="E96" s="115" t="n"/>
      <c r="F96" s="116">
        <f>IF($C96=0,0,$C96-$D96)</f>
        <v/>
      </c>
      <c r="G96" s="116">
        <f>IF($F96=0,0,$F96*$E96)</f>
        <v/>
      </c>
      <c r="H96" s="116">
        <f>$F96-$G96</f>
        <v/>
      </c>
      <c r="I96" s="112" t="n"/>
    </row>
    <row r="97" ht="15" customHeight="1" s="72">
      <c r="A97" s="112" t="n"/>
      <c r="B97" s="113" t="n"/>
      <c r="C97" s="114" t="n"/>
      <c r="D97" s="114" t="n"/>
      <c r="E97" s="115" t="n"/>
      <c r="F97" s="116">
        <f>IF($C97=0,0,$C97-$D97)</f>
        <v/>
      </c>
      <c r="G97" s="116">
        <f>IF($F97=0,0,$F97*$E97)</f>
        <v/>
      </c>
      <c r="H97" s="116">
        <f>$F97-$G97</f>
        <v/>
      </c>
      <c r="I97" s="112" t="n"/>
    </row>
    <row r="98" ht="15" customHeight="1" s="72">
      <c r="A98" s="112" t="n"/>
      <c r="B98" s="113" t="n"/>
      <c r="C98" s="114" t="n"/>
      <c r="D98" s="114" t="n"/>
      <c r="E98" s="115" t="n"/>
      <c r="F98" s="116">
        <f>IF($C98=0,0,$C98-$D98)</f>
        <v/>
      </c>
      <c r="G98" s="116">
        <f>IF($F98=0,0,$F98*$E98)</f>
        <v/>
      </c>
      <c r="H98" s="116">
        <f>$F98-$G98</f>
        <v/>
      </c>
      <c r="I98" s="112" t="n"/>
    </row>
    <row r="99" ht="15" customHeight="1" s="72">
      <c r="A99" s="112" t="n"/>
      <c r="B99" s="113" t="n"/>
      <c r="C99" s="114" t="n"/>
      <c r="D99" s="114" t="n"/>
      <c r="E99" s="115" t="n"/>
      <c r="F99" s="116">
        <f>IF($C99=0,0,$C99-$D99)</f>
        <v/>
      </c>
      <c r="G99" s="116">
        <f>IF($F99=0,0,$F99*$E99)</f>
        <v/>
      </c>
      <c r="H99" s="116">
        <f>$F99-$G99</f>
        <v/>
      </c>
      <c r="I99" s="112" t="n"/>
    </row>
    <row r="100" ht="15" customHeight="1" s="72">
      <c r="A100" s="112" t="n"/>
      <c r="B100" s="113" t="n"/>
      <c r="C100" s="114" t="n"/>
      <c r="D100" s="114" t="n"/>
      <c r="E100" s="115" t="n"/>
      <c r="F100" s="116">
        <f>IF($C100=0,0,$C100-$D100)</f>
        <v/>
      </c>
      <c r="G100" s="116">
        <f>IF($F100=0,0,$F100*$E100)</f>
        <v/>
      </c>
      <c r="H100" s="116">
        <f>$F100-$G100</f>
        <v/>
      </c>
      <c r="I100" s="112" t="n"/>
    </row>
    <row r="101" ht="15" customHeight="1" s="72">
      <c r="A101" s="112" t="n"/>
      <c r="B101" s="113" t="n"/>
      <c r="C101" s="114" t="n"/>
      <c r="D101" s="114" t="n"/>
      <c r="E101" s="115" t="n"/>
      <c r="F101" s="116">
        <f>IF($C101=0,0,$C101-$D101)</f>
        <v/>
      </c>
      <c r="G101" s="116">
        <f>IF($F101=0,0,$F101*$E101)</f>
        <v/>
      </c>
      <c r="H101" s="116">
        <f>$F101-$G101</f>
        <v/>
      </c>
      <c r="I101" s="112" t="n"/>
    </row>
    <row r="102" ht="15" customHeight="1" s="72">
      <c r="A102" s="112" t="n"/>
      <c r="B102" s="113" t="n"/>
      <c r="C102" s="114" t="n"/>
      <c r="D102" s="114" t="n"/>
      <c r="E102" s="115" t="n"/>
      <c r="F102" s="116">
        <f>IF($C102=0,0,$C102-$D102)</f>
        <v/>
      </c>
      <c r="G102" s="116">
        <f>IF($F102=0,0,$F102*$E102)</f>
        <v/>
      </c>
      <c r="H102" s="116">
        <f>$F102-$G102</f>
        <v/>
      </c>
      <c r="I102" s="112" t="n"/>
    </row>
    <row r="103" ht="15" customHeight="1" s="72">
      <c r="A103" s="112" t="n"/>
      <c r="B103" s="113" t="n"/>
      <c r="C103" s="114" t="n"/>
      <c r="D103" s="114" t="n"/>
      <c r="E103" s="115" t="n"/>
      <c r="F103" s="116">
        <f>IF($C103=0,0,$C103-$D103)</f>
        <v/>
      </c>
      <c r="G103" s="116">
        <f>IF($F103=0,0,$F103*$E103)</f>
        <v/>
      </c>
      <c r="H103" s="116">
        <f>$F103-$G103</f>
        <v/>
      </c>
      <c r="I103" s="112" t="n"/>
    </row>
    <row r="104" ht="15" customHeight="1" s="72">
      <c r="A104" s="112" t="n"/>
      <c r="B104" s="113" t="n"/>
      <c r="C104" s="114" t="n"/>
      <c r="D104" s="114" t="n"/>
      <c r="E104" s="115" t="n"/>
      <c r="F104" s="116">
        <f>IF($C104=0,0,$C104-$D104)</f>
        <v/>
      </c>
      <c r="G104" s="116">
        <f>IF($F104=0,0,$F104*$E104)</f>
        <v/>
      </c>
      <c r="H104" s="116">
        <f>$F104-$G104</f>
        <v/>
      </c>
      <c r="I104" s="112" t="n"/>
    </row>
    <row r="105" ht="15" customHeight="1" s="72">
      <c r="A105" s="112" t="n"/>
      <c r="B105" s="113" t="n"/>
      <c r="C105" s="114" t="n"/>
      <c r="D105" s="114" t="n"/>
      <c r="E105" s="115" t="n"/>
      <c r="F105" s="116">
        <f>IF($C105=0,0,$C105-$D105)</f>
        <v/>
      </c>
      <c r="G105" s="116">
        <f>IF($F105=0,0,$F105*$E105)</f>
        <v/>
      </c>
      <c r="H105" s="116">
        <f>$F105-$G105</f>
        <v/>
      </c>
      <c r="I105" s="112" t="n"/>
    </row>
    <row r="106" ht="15" customHeight="1" s="72">
      <c r="A106" s="112" t="n"/>
      <c r="B106" s="113" t="n"/>
      <c r="C106" s="114" t="n"/>
      <c r="D106" s="114" t="n"/>
      <c r="E106" s="115" t="n"/>
      <c r="F106" s="116">
        <f>IF($C106=0,0,$C106-$D106)</f>
        <v/>
      </c>
      <c r="G106" s="116">
        <f>IF($F106=0,0,$F106*$E106)</f>
        <v/>
      </c>
      <c r="H106" s="116">
        <f>$F106-$G106</f>
        <v/>
      </c>
      <c r="I106" s="112" t="n"/>
    </row>
    <row r="107" ht="15" customHeight="1" s="72">
      <c r="A107" s="112" t="n"/>
      <c r="B107" s="113" t="n"/>
      <c r="C107" s="114" t="n"/>
      <c r="D107" s="114" t="n"/>
      <c r="E107" s="115" t="n"/>
      <c r="F107" s="116">
        <f>IF($C107=0,0,$C107-$D107)</f>
        <v/>
      </c>
      <c r="G107" s="116">
        <f>IF($F107=0,0,$F107*$E107)</f>
        <v/>
      </c>
      <c r="H107" s="116">
        <f>$F107-$G107</f>
        <v/>
      </c>
      <c r="I107" s="112" t="n"/>
    </row>
    <row r="108" ht="15" customHeight="1" s="72">
      <c r="A108" s="112" t="n"/>
      <c r="B108" s="113" t="n"/>
      <c r="C108" s="114" t="n"/>
      <c r="D108" s="114" t="n"/>
      <c r="E108" s="115" t="n"/>
      <c r="F108" s="116">
        <f>IF($C108=0,0,$C108-$D108)</f>
        <v/>
      </c>
      <c r="G108" s="116">
        <f>IF($F108=0,0,$F108*$E108)</f>
        <v/>
      </c>
      <c r="H108" s="116">
        <f>$F108-$G108</f>
        <v/>
      </c>
      <c r="I108" s="112" t="n"/>
    </row>
    <row r="109" ht="15" customHeight="1" s="72">
      <c r="A109" s="112" t="n"/>
      <c r="B109" s="113" t="n"/>
      <c r="C109" s="114" t="n"/>
      <c r="D109" s="114" t="n"/>
      <c r="E109" s="115" t="n"/>
      <c r="F109" s="116">
        <f>IF($C109=0,0,$C109-$D109)</f>
        <v/>
      </c>
      <c r="G109" s="116">
        <f>IF($F109=0,0,$F109*$E109)</f>
        <v/>
      </c>
      <c r="H109" s="116">
        <f>$F109-$G109</f>
        <v/>
      </c>
      <c r="I109" s="112" t="n"/>
    </row>
    <row r="110" ht="15" customHeight="1" s="72">
      <c r="A110" s="112" t="n"/>
      <c r="B110" s="113" t="n"/>
      <c r="C110" s="114" t="n"/>
      <c r="D110" s="114" t="n"/>
      <c r="E110" s="115" t="n"/>
      <c r="F110" s="116">
        <f>IF($C110=0,0,$C110-$D110)</f>
        <v/>
      </c>
      <c r="G110" s="116">
        <f>IF($F110=0,0,$F110*$E110)</f>
        <v/>
      </c>
      <c r="H110" s="116">
        <f>$F110-$G110</f>
        <v/>
      </c>
      <c r="I110" s="112" t="n"/>
    </row>
    <row r="111" ht="15" customHeight="1" s="72">
      <c r="A111" s="112" t="n"/>
      <c r="B111" s="113" t="n"/>
      <c r="C111" s="114" t="n"/>
      <c r="D111" s="114" t="n"/>
      <c r="E111" s="115" t="n"/>
      <c r="F111" s="116">
        <f>IF($C111=0,0,$C111-$D111)</f>
        <v/>
      </c>
      <c r="G111" s="116">
        <f>IF($F111=0,0,$F111*$E111)</f>
        <v/>
      </c>
      <c r="H111" s="116">
        <f>$F111-$G111</f>
        <v/>
      </c>
      <c r="I111" s="112" t="n"/>
    </row>
    <row r="112" ht="15" customHeight="1" s="72">
      <c r="A112" s="112" t="n"/>
      <c r="B112" s="113" t="n"/>
      <c r="C112" s="114" t="n"/>
      <c r="D112" s="114" t="n"/>
      <c r="E112" s="115" t="n"/>
      <c r="F112" s="116">
        <f>IF($C112=0,0,$C112-$D112)</f>
        <v/>
      </c>
      <c r="G112" s="116">
        <f>IF($F112=0,0,$F112*$E112)</f>
        <v/>
      </c>
      <c r="H112" s="116">
        <f>$F112-$G112</f>
        <v/>
      </c>
      <c r="I112" s="112" t="n"/>
    </row>
    <row r="113" ht="15" customHeight="1" s="72">
      <c r="A113" s="112" t="n"/>
      <c r="B113" s="113" t="n"/>
      <c r="C113" s="114" t="n"/>
      <c r="D113" s="114" t="n"/>
      <c r="E113" s="115" t="n"/>
      <c r="F113" s="116">
        <f>IF($C113=0,0,$C113-$D113)</f>
        <v/>
      </c>
      <c r="G113" s="116">
        <f>IF($F113=0,0,$F113*$E113)</f>
        <v/>
      </c>
      <c r="H113" s="116">
        <f>$F113-$G113</f>
        <v/>
      </c>
      <c r="I113" s="112" t="n"/>
    </row>
    <row r="114" ht="15" customHeight="1" s="72">
      <c r="A114" s="112" t="n"/>
      <c r="B114" s="113" t="n"/>
      <c r="C114" s="114" t="n"/>
      <c r="D114" s="114" t="n"/>
      <c r="E114" s="115" t="n"/>
      <c r="F114" s="116">
        <f>IF($C114=0,0,$C114-$D114)</f>
        <v/>
      </c>
      <c r="G114" s="116">
        <f>IF($F114=0,0,$F114*$E114)</f>
        <v/>
      </c>
      <c r="H114" s="116">
        <f>$F114-$G114</f>
        <v/>
      </c>
      <c r="I114" s="112" t="n"/>
    </row>
    <row r="115" ht="15" customHeight="1" s="72">
      <c r="A115" s="112" t="n"/>
      <c r="B115" s="113" t="n"/>
      <c r="C115" s="114" t="n"/>
      <c r="D115" s="114" t="n"/>
      <c r="E115" s="115" t="n"/>
      <c r="F115" s="116">
        <f>IF($C115=0,0,$C115-$D115)</f>
        <v/>
      </c>
      <c r="G115" s="116">
        <f>IF($F115=0,0,$F115*$E115)</f>
        <v/>
      </c>
      <c r="H115" s="116">
        <f>$F115-$G115</f>
        <v/>
      </c>
      <c r="I115" s="112" t="n"/>
    </row>
    <row r="116" ht="15" customHeight="1" s="72">
      <c r="A116" s="112" t="n"/>
      <c r="B116" s="113" t="n"/>
      <c r="C116" s="114" t="n"/>
      <c r="D116" s="114" t="n"/>
      <c r="E116" s="115" t="n"/>
      <c r="F116" s="116">
        <f>IF($C116=0,0,$C116-$D116)</f>
        <v/>
      </c>
      <c r="G116" s="116">
        <f>IF($F116=0,0,$F116*$E116)</f>
        <v/>
      </c>
      <c r="H116" s="116">
        <f>$F116-$G116</f>
        <v/>
      </c>
      <c r="I116" s="112" t="n"/>
    </row>
    <row r="117" ht="15" customHeight="1" s="72">
      <c r="A117" s="112" t="n"/>
      <c r="B117" s="113" t="n"/>
      <c r="C117" s="114" t="n"/>
      <c r="D117" s="114" t="n"/>
      <c r="E117" s="115" t="n"/>
      <c r="F117" s="116">
        <f>IF($C117=0,0,$C117-$D117)</f>
        <v/>
      </c>
      <c r="G117" s="116">
        <f>IF($F117=0,0,$F117*$E117)</f>
        <v/>
      </c>
      <c r="H117" s="116">
        <f>$F117-$G117</f>
        <v/>
      </c>
      <c r="I117" s="112" t="n"/>
    </row>
    <row r="118" ht="15" customHeight="1" s="72">
      <c r="A118" s="112" t="n"/>
      <c r="B118" s="113" t="n"/>
      <c r="C118" s="114" t="n"/>
      <c r="D118" s="114" t="n"/>
      <c r="E118" s="115" t="n"/>
      <c r="F118" s="116">
        <f>IF($C118=0,0,$C118-$D118)</f>
        <v/>
      </c>
      <c r="G118" s="116">
        <f>IF($F118=0,0,$F118*$E118)</f>
        <v/>
      </c>
      <c r="H118" s="116">
        <f>$F118-$G118</f>
        <v/>
      </c>
      <c r="I118" s="112" t="n"/>
    </row>
    <row r="119" ht="15" customHeight="1" s="72">
      <c r="A119" s="112" t="n"/>
      <c r="B119" s="113" t="n"/>
      <c r="C119" s="114" t="n"/>
      <c r="D119" s="114" t="n"/>
      <c r="E119" s="115" t="n"/>
      <c r="F119" s="116">
        <f>IF($C119=0,0,$C119-$D119)</f>
        <v/>
      </c>
      <c r="G119" s="116">
        <f>IF($F119=0,0,$F119*$E119)</f>
        <v/>
      </c>
      <c r="H119" s="116">
        <f>$F119-$G119</f>
        <v/>
      </c>
      <c r="I119" s="112" t="n"/>
    </row>
    <row r="120" ht="15" customHeight="1" s="72">
      <c r="A120" s="112" t="n"/>
      <c r="B120" s="113" t="n"/>
      <c r="C120" s="114" t="n"/>
      <c r="D120" s="114" t="n"/>
      <c r="E120" s="115" t="n"/>
      <c r="F120" s="116">
        <f>IF($C120=0,0,$C120-$D120)</f>
        <v/>
      </c>
      <c r="G120" s="116">
        <f>IF($F120=0,0,$F120*$E120)</f>
        <v/>
      </c>
      <c r="H120" s="116">
        <f>$F120-$G120</f>
        <v/>
      </c>
      <c r="I120" s="112" t="n"/>
    </row>
    <row r="121" ht="15" customHeight="1" s="72">
      <c r="A121" s="112" t="n"/>
      <c r="B121" s="113" t="n"/>
      <c r="C121" s="114" t="n"/>
      <c r="D121" s="114" t="n"/>
      <c r="E121" s="115" t="n"/>
      <c r="F121" s="116">
        <f>IF($C121=0,0,$C121-$D121)</f>
        <v/>
      </c>
      <c r="G121" s="116">
        <f>IF($F121=0,0,$F121*$E121)</f>
        <v/>
      </c>
      <c r="H121" s="116">
        <f>$F121-$G121</f>
        <v/>
      </c>
      <c r="I121" s="112" t="n"/>
    </row>
    <row r="122" ht="15" customHeight="1" s="72">
      <c r="A122" s="112" t="n"/>
      <c r="B122" s="113" t="n"/>
      <c r="C122" s="114" t="n"/>
      <c r="D122" s="114" t="n"/>
      <c r="E122" s="115" t="n"/>
      <c r="F122" s="116">
        <f>IF($C122=0,0,$C122-$D122)</f>
        <v/>
      </c>
      <c r="G122" s="116">
        <f>IF($F122=0,0,$F122*$E122)</f>
        <v/>
      </c>
      <c r="H122" s="116">
        <f>$F122-$G122</f>
        <v/>
      </c>
      <c r="I122" s="112" t="n"/>
    </row>
    <row r="123" ht="15" customHeight="1" s="72">
      <c r="A123" s="112" t="n"/>
      <c r="B123" s="113" t="n"/>
      <c r="C123" s="114" t="n"/>
      <c r="D123" s="114" t="n"/>
      <c r="E123" s="115" t="n"/>
      <c r="F123" s="116">
        <f>IF($C123=0,0,$C123-$D123)</f>
        <v/>
      </c>
      <c r="G123" s="116">
        <f>IF($F123=0,0,$F123*$E123)</f>
        <v/>
      </c>
      <c r="H123" s="116">
        <f>$F123-$G123</f>
        <v/>
      </c>
      <c r="I123" s="112" t="n"/>
    </row>
    <row r="124" ht="15" customHeight="1" s="72">
      <c r="A124" s="112" t="n"/>
      <c r="B124" s="113" t="n"/>
      <c r="C124" s="114" t="n"/>
      <c r="D124" s="114" t="n"/>
      <c r="E124" s="115" t="n"/>
      <c r="F124" s="116">
        <f>IF($C124=0,0,$C124-$D124)</f>
        <v/>
      </c>
      <c r="G124" s="116">
        <f>IF($F124=0,0,$F124*$E124)</f>
        <v/>
      </c>
      <c r="H124" s="116">
        <f>$F124-$G124</f>
        <v/>
      </c>
      <c r="I124" s="112" t="n"/>
    </row>
    <row r="125" ht="15" customHeight="1" s="72">
      <c r="A125" s="112" t="n"/>
      <c r="B125" s="113" t="n"/>
      <c r="C125" s="114" t="n"/>
      <c r="D125" s="114" t="n"/>
      <c r="E125" s="115" t="n"/>
      <c r="F125" s="116">
        <f>IF($C125=0,0,$C125-$D125)</f>
        <v/>
      </c>
      <c r="G125" s="116">
        <f>IF($F125=0,0,$F125*$E125)</f>
        <v/>
      </c>
      <c r="H125" s="116">
        <f>$F125-$G125</f>
        <v/>
      </c>
      <c r="I125" s="112" t="n"/>
    </row>
    <row r="126" ht="15" customHeight="1" s="72">
      <c r="A126" s="112" t="n"/>
      <c r="B126" s="113" t="n"/>
      <c r="C126" s="114" t="n"/>
      <c r="D126" s="114" t="n"/>
      <c r="E126" s="115" t="n"/>
      <c r="F126" s="116">
        <f>IF($C126=0,0,$C126-$D126)</f>
        <v/>
      </c>
      <c r="G126" s="116">
        <f>IF($F126=0,0,$F126*$E126)</f>
        <v/>
      </c>
      <c r="H126" s="116">
        <f>$F126-$G126</f>
        <v/>
      </c>
      <c r="I126" s="112" t="n"/>
    </row>
    <row r="127" ht="15" customHeight="1" s="72">
      <c r="A127" s="112" t="n"/>
      <c r="B127" s="113" t="n"/>
      <c r="C127" s="114" t="n"/>
      <c r="D127" s="114" t="n"/>
      <c r="E127" s="115" t="n"/>
      <c r="F127" s="116">
        <f>IF($C127=0,0,$C127-$D127)</f>
        <v/>
      </c>
      <c r="G127" s="116">
        <f>IF($F127=0,0,$F127*$E127)</f>
        <v/>
      </c>
      <c r="H127" s="116">
        <f>$F127-$G127</f>
        <v/>
      </c>
      <c r="I127" s="112" t="n"/>
    </row>
    <row r="128" ht="15" customHeight="1" s="72">
      <c r="A128" s="112" t="n"/>
      <c r="B128" s="113" t="n"/>
      <c r="C128" s="114" t="n"/>
      <c r="D128" s="114" t="n"/>
      <c r="E128" s="115" t="n"/>
      <c r="F128" s="116">
        <f>IF($C128=0,0,$C128-$D128)</f>
        <v/>
      </c>
      <c r="G128" s="116">
        <f>IF($F128=0,0,$F128*$E128)</f>
        <v/>
      </c>
      <c r="H128" s="116">
        <f>$F128-$G128</f>
        <v/>
      </c>
      <c r="I128" s="112" t="n"/>
    </row>
    <row r="129" ht="15" customHeight="1" s="72">
      <c r="A129" s="112" t="n"/>
      <c r="B129" s="113" t="n"/>
      <c r="C129" s="114" t="n"/>
      <c r="D129" s="114" t="n"/>
      <c r="E129" s="115" t="n"/>
      <c r="F129" s="116">
        <f>IF($C129=0,0,$C129-$D129)</f>
        <v/>
      </c>
      <c r="G129" s="116">
        <f>IF($F129=0,0,$F129*$E129)</f>
        <v/>
      </c>
      <c r="H129" s="116">
        <f>$F129-$G129</f>
        <v/>
      </c>
      <c r="I129" s="112" t="n"/>
    </row>
    <row r="130" ht="15" customHeight="1" s="72">
      <c r="A130" s="112" t="n"/>
      <c r="B130" s="113" t="n"/>
      <c r="C130" s="114" t="n"/>
      <c r="D130" s="114" t="n"/>
      <c r="E130" s="115" t="n"/>
      <c r="F130" s="116">
        <f>IF($C130=0,0,$C130-$D130)</f>
        <v/>
      </c>
      <c r="G130" s="116">
        <f>IF($F130=0,0,$F130*$E130)</f>
        <v/>
      </c>
      <c r="H130" s="116">
        <f>$F130-$G130</f>
        <v/>
      </c>
      <c r="I130" s="112" t="n"/>
    </row>
    <row r="131" ht="15" customHeight="1" s="72">
      <c r="A131" s="112" t="n"/>
      <c r="B131" s="113" t="n"/>
      <c r="C131" s="114" t="n"/>
      <c r="D131" s="114" t="n"/>
      <c r="E131" s="115" t="n"/>
      <c r="F131" s="116">
        <f>IF($C131=0,0,$C131-$D131)</f>
        <v/>
      </c>
      <c r="G131" s="116">
        <f>IF($F131=0,0,$F131*$E131)</f>
        <v/>
      </c>
      <c r="H131" s="116">
        <f>$F131-$G131</f>
        <v/>
      </c>
      <c r="I131" s="112" t="n"/>
    </row>
    <row r="132" ht="15" customHeight="1" s="72">
      <c r="A132" s="112" t="n"/>
      <c r="B132" s="113" t="n"/>
      <c r="C132" s="114" t="n"/>
      <c r="D132" s="114" t="n"/>
      <c r="E132" s="115" t="n"/>
      <c r="F132" s="116">
        <f>IF($C132=0,0,$C132-$D132)</f>
        <v/>
      </c>
      <c r="G132" s="116">
        <f>IF($F132=0,0,$F132*$E132)</f>
        <v/>
      </c>
      <c r="H132" s="116">
        <f>$F132-$G132</f>
        <v/>
      </c>
      <c r="I132" s="112" t="n"/>
    </row>
    <row r="133" ht="15" customHeight="1" s="72">
      <c r="A133" s="112" t="n"/>
      <c r="B133" s="113" t="n"/>
      <c r="C133" s="114" t="n"/>
      <c r="D133" s="114" t="n"/>
      <c r="E133" s="115" t="n"/>
      <c r="F133" s="116">
        <f>IF($C133=0,0,$C133-$D133)</f>
        <v/>
      </c>
      <c r="G133" s="116">
        <f>IF($F133=0,0,$F133*$E133)</f>
        <v/>
      </c>
      <c r="H133" s="116">
        <f>$F133-$G133</f>
        <v/>
      </c>
      <c r="I133" s="112" t="n"/>
    </row>
    <row r="134" ht="15" customHeight="1" s="72">
      <c r="A134" s="112" t="n"/>
      <c r="B134" s="113" t="n"/>
      <c r="C134" s="114" t="n"/>
      <c r="D134" s="114" t="n"/>
      <c r="E134" s="115" t="n"/>
      <c r="F134" s="116">
        <f>IF($C134=0,0,$C134-$D134)</f>
        <v/>
      </c>
      <c r="G134" s="116">
        <f>IF($F134=0,0,$F134*$E134)</f>
        <v/>
      </c>
      <c r="H134" s="116">
        <f>$F134-$G134</f>
        <v/>
      </c>
      <c r="I134" s="112" t="n"/>
    </row>
    <row r="135" ht="15" customHeight="1" s="72">
      <c r="A135" s="112" t="n"/>
      <c r="B135" s="113" t="n"/>
      <c r="C135" s="114" t="n"/>
      <c r="D135" s="114" t="n"/>
      <c r="E135" s="115" t="n"/>
      <c r="F135" s="116">
        <f>IF($C135=0,0,$C135-$D135)</f>
        <v/>
      </c>
      <c r="G135" s="116">
        <f>IF($F135=0,0,$F135*$E135)</f>
        <v/>
      </c>
      <c r="H135" s="116">
        <f>$F135-$G135</f>
        <v/>
      </c>
      <c r="I135" s="112" t="n"/>
    </row>
    <row r="136" ht="15" customHeight="1" s="72">
      <c r="A136" s="112" t="n"/>
      <c r="B136" s="113" t="n"/>
      <c r="C136" s="114" t="n"/>
      <c r="D136" s="114" t="n"/>
      <c r="E136" s="115" t="n"/>
      <c r="F136" s="116">
        <f>IF($C136=0,0,$C136-$D136)</f>
        <v/>
      </c>
      <c r="G136" s="116">
        <f>IF($F136=0,0,$F136*$E136)</f>
        <v/>
      </c>
      <c r="H136" s="116">
        <f>$F136-$G136</f>
        <v/>
      </c>
      <c r="I136" s="112" t="n"/>
    </row>
    <row r="137" ht="15" customHeight="1" s="72">
      <c r="A137" s="112" t="n"/>
      <c r="B137" s="113" t="n"/>
      <c r="C137" s="114" t="n"/>
      <c r="D137" s="114" t="n"/>
      <c r="E137" s="115" t="n"/>
      <c r="F137" s="116">
        <f>IF($C137=0,0,$C137-$D137)</f>
        <v/>
      </c>
      <c r="G137" s="116">
        <f>IF($F137=0,0,$F137*$E137)</f>
        <v/>
      </c>
      <c r="H137" s="116">
        <f>$F137-$G137</f>
        <v/>
      </c>
      <c r="I137" s="112" t="n"/>
    </row>
    <row r="138" ht="15" customHeight="1" s="72">
      <c r="A138" s="112" t="n"/>
      <c r="B138" s="113" t="n"/>
      <c r="C138" s="114" t="n"/>
      <c r="D138" s="114" t="n"/>
      <c r="E138" s="115" t="n"/>
      <c r="F138" s="116">
        <f>IF($C138=0,0,$C138-$D138)</f>
        <v/>
      </c>
      <c r="G138" s="116">
        <f>IF($F138=0,0,$F138*$E138)</f>
        <v/>
      </c>
      <c r="H138" s="116">
        <f>$F138-$G138</f>
        <v/>
      </c>
      <c r="I138" s="112" t="n"/>
    </row>
    <row r="139" ht="15" customHeight="1" s="72">
      <c r="A139" s="112" t="n"/>
      <c r="B139" s="113" t="n"/>
      <c r="C139" s="114" t="n"/>
      <c r="D139" s="114" t="n"/>
      <c r="E139" s="115" t="n"/>
      <c r="F139" s="116">
        <f>IF($C139=0,0,$C139-$D139)</f>
        <v/>
      </c>
      <c r="G139" s="116">
        <f>IF($F139=0,0,$F139*$E139)</f>
        <v/>
      </c>
      <c r="H139" s="116">
        <f>$F139-$G139</f>
        <v/>
      </c>
      <c r="I139" s="112" t="n"/>
    </row>
    <row r="140" ht="15" customHeight="1" s="72">
      <c r="A140" s="112" t="n"/>
      <c r="B140" s="113" t="n"/>
      <c r="C140" s="114" t="n"/>
      <c r="D140" s="114" t="n"/>
      <c r="E140" s="115" t="n"/>
      <c r="F140" s="116">
        <f>IF($C140=0,0,$C140-$D140)</f>
        <v/>
      </c>
      <c r="G140" s="116">
        <f>IF($F140=0,0,$F140*$E140)</f>
        <v/>
      </c>
      <c r="H140" s="116">
        <f>$F140-$G140</f>
        <v/>
      </c>
      <c r="I140" s="112" t="n"/>
    </row>
    <row r="141" ht="15" customHeight="1" s="72">
      <c r="A141" s="112" t="n"/>
      <c r="B141" s="113" t="n"/>
      <c r="C141" s="114" t="n"/>
      <c r="D141" s="114" t="n"/>
      <c r="E141" s="115" t="n"/>
      <c r="F141" s="116">
        <f>IF($C141=0,0,$C141-$D141)</f>
        <v/>
      </c>
      <c r="G141" s="116">
        <f>IF($F141=0,0,$F141*$E141)</f>
        <v/>
      </c>
      <c r="H141" s="116">
        <f>$F141-$G141</f>
        <v/>
      </c>
      <c r="I141" s="112" t="n"/>
    </row>
    <row r="142" ht="15" customHeight="1" s="72">
      <c r="A142" s="112" t="n"/>
      <c r="B142" s="113" t="n"/>
      <c r="C142" s="114" t="n"/>
      <c r="D142" s="114" t="n"/>
      <c r="E142" s="115" t="n"/>
      <c r="F142" s="116">
        <f>IF($C142=0,0,$C142-$D142)</f>
        <v/>
      </c>
      <c r="G142" s="116">
        <f>IF($F142=0,0,$F142*$E142)</f>
        <v/>
      </c>
      <c r="H142" s="116">
        <f>$F142-$G142</f>
        <v/>
      </c>
      <c r="I142" s="112" t="n"/>
    </row>
    <row r="143" ht="15" customHeight="1" s="72">
      <c r="A143" s="112" t="n"/>
      <c r="B143" s="113" t="n"/>
      <c r="C143" s="114" t="n"/>
      <c r="D143" s="114" t="n"/>
      <c r="E143" s="115" t="n"/>
      <c r="F143" s="116">
        <f>IF($C143=0,0,$C143-$D143)</f>
        <v/>
      </c>
      <c r="G143" s="116">
        <f>IF($F143=0,0,$F143*$E143)</f>
        <v/>
      </c>
      <c r="H143" s="116">
        <f>$F143-$G143</f>
        <v/>
      </c>
      <c r="I143" s="112" t="n"/>
    </row>
    <row r="144" ht="15" customHeight="1" s="72">
      <c r="A144" s="112" t="n"/>
      <c r="B144" s="113" t="n"/>
      <c r="C144" s="114" t="n"/>
      <c r="D144" s="114" t="n"/>
      <c r="E144" s="115" t="n"/>
      <c r="F144" s="116">
        <f>IF($C144=0,0,$C144-$D144)</f>
        <v/>
      </c>
      <c r="G144" s="116">
        <f>IF($F144=0,0,$F144*$E144)</f>
        <v/>
      </c>
      <c r="H144" s="116">
        <f>$F144-$G144</f>
        <v/>
      </c>
      <c r="I144" s="112" t="n"/>
    </row>
    <row r="145" ht="15" customHeight="1" s="72">
      <c r="A145" s="112" t="n"/>
      <c r="B145" s="113" t="n"/>
      <c r="C145" s="114" t="n"/>
      <c r="D145" s="114" t="n"/>
      <c r="E145" s="115" t="n"/>
      <c r="F145" s="116">
        <f>IF($C145=0,0,$C145-$D145)</f>
        <v/>
      </c>
      <c r="G145" s="116">
        <f>IF($F145=0,0,$F145*$E145)</f>
        <v/>
      </c>
      <c r="H145" s="116">
        <f>$F145-$G145</f>
        <v/>
      </c>
      <c r="I145" s="112" t="n"/>
    </row>
    <row r="146" ht="15" customHeight="1" s="72">
      <c r="A146" s="112" t="n"/>
      <c r="B146" s="113" t="n"/>
      <c r="C146" s="114" t="n"/>
      <c r="D146" s="114" t="n"/>
      <c r="E146" s="115" t="n"/>
      <c r="F146" s="116">
        <f>IF($C146=0,0,$C146-$D146)</f>
        <v/>
      </c>
      <c r="G146" s="116">
        <f>IF($F146=0,0,$F146*$E146)</f>
        <v/>
      </c>
      <c r="H146" s="116">
        <f>$F146-$G146</f>
        <v/>
      </c>
      <c r="I146" s="112" t="n"/>
    </row>
    <row r="147" ht="15" customHeight="1" s="72">
      <c r="A147" s="112" t="n"/>
      <c r="B147" s="113" t="n"/>
      <c r="C147" s="114" t="n"/>
      <c r="D147" s="114" t="n"/>
      <c r="E147" s="115" t="n"/>
      <c r="F147" s="116">
        <f>IF($C147=0,0,$C147-$D147)</f>
        <v/>
      </c>
      <c r="G147" s="116">
        <f>IF($F147=0,0,$F147*$E147)</f>
        <v/>
      </c>
      <c r="H147" s="116">
        <f>$F147-$G147</f>
        <v/>
      </c>
      <c r="I147" s="112" t="n"/>
    </row>
    <row r="148" ht="15" customHeight="1" s="72">
      <c r="A148" s="112" t="n"/>
      <c r="B148" s="113" t="n"/>
      <c r="C148" s="114" t="n"/>
      <c r="D148" s="114" t="n"/>
      <c r="E148" s="115" t="n"/>
      <c r="F148" s="116">
        <f>IF($C148=0,0,$C148-$D148)</f>
        <v/>
      </c>
      <c r="G148" s="116">
        <f>IF($F148=0,0,$F148*$E148)</f>
        <v/>
      </c>
      <c r="H148" s="116">
        <f>$F148-$G148</f>
        <v/>
      </c>
      <c r="I148" s="112" t="n"/>
    </row>
    <row r="149" ht="15" customHeight="1" s="72">
      <c r="A149" s="112" t="n"/>
      <c r="B149" s="113" t="n"/>
      <c r="C149" s="114" t="n"/>
      <c r="D149" s="114" t="n"/>
      <c r="E149" s="115" t="n"/>
      <c r="F149" s="116">
        <f>IF($C149=0,0,$C149-$D149)</f>
        <v/>
      </c>
      <c r="G149" s="116">
        <f>IF($F149=0,0,$F149*$E149)</f>
        <v/>
      </c>
      <c r="H149" s="116">
        <f>$F149-$G149</f>
        <v/>
      </c>
      <c r="I149" s="112" t="n"/>
    </row>
    <row r="150" ht="15" customHeight="1" s="72">
      <c r="A150" s="112" t="n"/>
      <c r="B150" s="113" t="n"/>
      <c r="C150" s="114" t="n"/>
      <c r="D150" s="114" t="n"/>
      <c r="E150" s="115" t="n"/>
      <c r="F150" s="116">
        <f>IF($C150=0,0,$C150-$D150)</f>
        <v/>
      </c>
      <c r="G150" s="116">
        <f>IF($F150=0,0,$F150*$E150)</f>
        <v/>
      </c>
      <c r="H150" s="116">
        <f>$F150-$G150</f>
        <v/>
      </c>
      <c r="I150" s="112" t="n"/>
    </row>
    <row r="151" ht="15" customHeight="1" s="72">
      <c r="A151" s="112" t="n"/>
      <c r="B151" s="113" t="n"/>
      <c r="C151" s="114" t="n"/>
      <c r="D151" s="114" t="n"/>
      <c r="E151" s="115" t="n"/>
      <c r="F151" s="116">
        <f>IF($C151=0,0,$C151-$D151)</f>
        <v/>
      </c>
      <c r="G151" s="116">
        <f>IF($F151=0,0,$F151*$E151)</f>
        <v/>
      </c>
      <c r="H151" s="116">
        <f>$F151-$G151</f>
        <v/>
      </c>
      <c r="I151" s="112" t="n"/>
    </row>
    <row r="152" ht="15" customHeight="1" s="72">
      <c r="A152" s="112" t="n"/>
      <c r="B152" s="113" t="n"/>
      <c r="C152" s="114" t="n"/>
      <c r="D152" s="114" t="n"/>
      <c r="E152" s="115" t="n"/>
      <c r="F152" s="116">
        <f>IF($C152=0,0,$C152-$D152)</f>
        <v/>
      </c>
      <c r="G152" s="116">
        <f>IF($F152=0,0,$F152*$E152)</f>
        <v/>
      </c>
      <c r="H152" s="116">
        <f>$F152-$G152</f>
        <v/>
      </c>
      <c r="I152" s="112" t="n"/>
    </row>
    <row r="153" ht="15" customHeight="1" s="72">
      <c r="A153" s="112" t="n"/>
      <c r="B153" s="113" t="n"/>
      <c r="C153" s="114" t="n"/>
      <c r="D153" s="114" t="n"/>
      <c r="E153" s="115" t="n"/>
      <c r="F153" s="116">
        <f>IF($C153=0,0,$C153-$D153)</f>
        <v/>
      </c>
      <c r="G153" s="116">
        <f>IF($F153=0,0,$F153*$E153)</f>
        <v/>
      </c>
      <c r="H153" s="116">
        <f>$F153-$G153</f>
        <v/>
      </c>
      <c r="I153" s="112" t="n"/>
    </row>
    <row r="154" ht="15" customHeight="1" s="72">
      <c r="A154" s="112" t="n"/>
      <c r="B154" s="113" t="n"/>
      <c r="C154" s="114" t="n"/>
      <c r="D154" s="114" t="n"/>
      <c r="E154" s="115" t="n"/>
      <c r="F154" s="116">
        <f>IF($C154=0,0,$C154-$D154)</f>
        <v/>
      </c>
      <c r="G154" s="116">
        <f>IF($F154=0,0,$F154*$E154)</f>
        <v/>
      </c>
      <c r="H154" s="116">
        <f>$F154-$G154</f>
        <v/>
      </c>
      <c r="I154" s="112" t="n"/>
    </row>
    <row r="155" ht="15" customHeight="1" s="72">
      <c r="A155" s="112" t="n"/>
      <c r="B155" s="113" t="n"/>
      <c r="C155" s="114" t="n"/>
      <c r="D155" s="114" t="n"/>
      <c r="E155" s="115" t="n"/>
      <c r="F155" s="116">
        <f>IF($C155=0,0,$C155-$D155)</f>
        <v/>
      </c>
      <c r="G155" s="116">
        <f>IF($F155=0,0,$F155*$E155)</f>
        <v/>
      </c>
      <c r="H155" s="116">
        <f>$F155-$G155</f>
        <v/>
      </c>
      <c r="I155" s="112" t="n"/>
    </row>
    <row r="156" ht="15" customHeight="1" s="72">
      <c r="A156" s="112" t="n"/>
      <c r="B156" s="113" t="n"/>
      <c r="C156" s="114" t="n"/>
      <c r="D156" s="114" t="n"/>
      <c r="E156" s="115" t="n"/>
      <c r="F156" s="116">
        <f>IF($C156=0,0,$C156-$D156)</f>
        <v/>
      </c>
      <c r="G156" s="116">
        <f>IF($F156=0,0,$F156*$E156)</f>
        <v/>
      </c>
      <c r="H156" s="116">
        <f>$F156-$G156</f>
        <v/>
      </c>
      <c r="I156" s="112" t="n"/>
    </row>
    <row r="157" ht="15" customHeight="1" s="72">
      <c r="A157" s="112" t="n"/>
      <c r="B157" s="113" t="n"/>
      <c r="C157" s="114" t="n"/>
      <c r="D157" s="114" t="n"/>
      <c r="E157" s="115" t="n"/>
      <c r="F157" s="116">
        <f>IF($C157=0,0,$C157-$D157)</f>
        <v/>
      </c>
      <c r="G157" s="116">
        <f>IF($F157=0,0,$F157*$E157)</f>
        <v/>
      </c>
      <c r="H157" s="116">
        <f>$F157-$G157</f>
        <v/>
      </c>
      <c r="I157" s="112" t="n"/>
    </row>
    <row r="158" ht="15" customHeight="1" s="72">
      <c r="A158" s="112" t="n"/>
      <c r="B158" s="113" t="n"/>
      <c r="C158" s="114" t="n"/>
      <c r="D158" s="114" t="n"/>
      <c r="E158" s="115" t="n"/>
      <c r="F158" s="116">
        <f>IF($C158=0,0,$C158-$D158)</f>
        <v/>
      </c>
      <c r="G158" s="116">
        <f>IF($F158=0,0,$F158*$E158)</f>
        <v/>
      </c>
      <c r="H158" s="116">
        <f>$F158-$G158</f>
        <v/>
      </c>
      <c r="I158" s="112" t="n"/>
    </row>
    <row r="159" ht="15" customHeight="1" s="72">
      <c r="A159" s="112" t="n"/>
      <c r="B159" s="113" t="n"/>
      <c r="C159" s="114" t="n"/>
      <c r="D159" s="114" t="n"/>
      <c r="E159" s="115" t="n"/>
      <c r="F159" s="116">
        <f>IF($C159=0,0,$C159-$D159)</f>
        <v/>
      </c>
      <c r="G159" s="116">
        <f>IF($F159=0,0,$F159*$E159)</f>
        <v/>
      </c>
      <c r="H159" s="116">
        <f>$F159-$G159</f>
        <v/>
      </c>
      <c r="I159" s="112" t="n"/>
    </row>
    <row r="160" ht="15" customHeight="1" s="72">
      <c r="A160" s="112" t="n"/>
      <c r="B160" s="113" t="n"/>
      <c r="C160" s="114" t="n"/>
      <c r="D160" s="114" t="n"/>
      <c r="E160" s="115" t="n"/>
      <c r="F160" s="116">
        <f>IF($C160=0,0,$C160-$D160)</f>
        <v/>
      </c>
      <c r="G160" s="116">
        <f>IF($F160=0,0,$F160*$E160)</f>
        <v/>
      </c>
      <c r="H160" s="116">
        <f>$F160-$G160</f>
        <v/>
      </c>
      <c r="I160" s="112" t="n"/>
    </row>
    <row r="161" ht="15" customHeight="1" s="72">
      <c r="A161" s="112" t="n"/>
      <c r="B161" s="113" t="n"/>
      <c r="C161" s="114" t="n"/>
      <c r="D161" s="114" t="n"/>
      <c r="E161" s="115" t="n"/>
      <c r="F161" s="116">
        <f>IF($C161=0,0,$C161-$D161)</f>
        <v/>
      </c>
      <c r="G161" s="116">
        <f>IF($F161=0,0,$F161*$E161)</f>
        <v/>
      </c>
      <c r="H161" s="116">
        <f>$F161-$G161</f>
        <v/>
      </c>
      <c r="I161" s="112" t="n"/>
    </row>
    <row r="162" ht="15" customHeight="1" s="72">
      <c r="A162" s="112" t="n"/>
      <c r="B162" s="113" t="n"/>
      <c r="C162" s="114" t="n"/>
      <c r="D162" s="114" t="n"/>
      <c r="E162" s="115" t="n"/>
      <c r="F162" s="116">
        <f>IF($C162=0,0,$C162-$D162)</f>
        <v/>
      </c>
      <c r="G162" s="116">
        <f>IF($F162=0,0,$F162*$E162)</f>
        <v/>
      </c>
      <c r="H162" s="116">
        <f>$F162-$G162</f>
        <v/>
      </c>
      <c r="I162" s="112" t="n"/>
    </row>
    <row r="163" ht="15" customHeight="1" s="72">
      <c r="A163" s="112" t="n"/>
      <c r="B163" s="113" t="n"/>
      <c r="C163" s="114" t="n"/>
      <c r="D163" s="114" t="n"/>
      <c r="E163" s="115" t="n"/>
      <c r="F163" s="116">
        <f>IF($C163=0,0,$C163-$D163)</f>
        <v/>
      </c>
      <c r="G163" s="116">
        <f>IF($F163=0,0,$F163*$E163)</f>
        <v/>
      </c>
      <c r="H163" s="116">
        <f>$F163-$G163</f>
        <v/>
      </c>
      <c r="I163" s="112" t="n"/>
    </row>
    <row r="164" ht="15" customHeight="1" s="72">
      <c r="A164" s="112" t="n"/>
      <c r="B164" s="113" t="n"/>
      <c r="C164" s="114" t="n"/>
      <c r="D164" s="114" t="n"/>
      <c r="E164" s="115" t="n"/>
      <c r="F164" s="116">
        <f>IF($C164=0,0,$C164-$D164)</f>
        <v/>
      </c>
      <c r="G164" s="116">
        <f>IF($F164=0,0,$F164*$E164)</f>
        <v/>
      </c>
      <c r="H164" s="116">
        <f>$F164-$G164</f>
        <v/>
      </c>
      <c r="I164" s="112" t="n"/>
    </row>
    <row r="165" ht="15" customHeight="1" s="72">
      <c r="A165" s="112" t="n"/>
      <c r="B165" s="113" t="n"/>
      <c r="C165" s="114" t="n"/>
      <c r="D165" s="114" t="n"/>
      <c r="E165" s="115" t="n"/>
      <c r="F165" s="116">
        <f>IF($C165=0,0,$C165-$D165)</f>
        <v/>
      </c>
      <c r="G165" s="116">
        <f>IF($F165=0,0,$F165*$E165)</f>
        <v/>
      </c>
      <c r="H165" s="116">
        <f>$F165-$G165</f>
        <v/>
      </c>
      <c r="I165" s="112" t="n"/>
    </row>
    <row r="166" ht="15" customHeight="1" s="72">
      <c r="A166" s="112" t="n"/>
      <c r="B166" s="113" t="n"/>
      <c r="C166" s="114" t="n"/>
      <c r="D166" s="114" t="n"/>
      <c r="E166" s="115" t="n"/>
      <c r="F166" s="116">
        <f>IF($C166=0,0,$C166-$D166)</f>
        <v/>
      </c>
      <c r="G166" s="116">
        <f>IF($F166=0,0,$F166*$E166)</f>
        <v/>
      </c>
      <c r="H166" s="116">
        <f>$F166-$G166</f>
        <v/>
      </c>
      <c r="I166" s="112" t="n"/>
    </row>
    <row r="167" ht="15" customHeight="1" s="72">
      <c r="A167" s="112" t="n"/>
      <c r="B167" s="113" t="n"/>
      <c r="C167" s="114" t="n"/>
      <c r="D167" s="114" t="n"/>
      <c r="E167" s="115" t="n"/>
      <c r="F167" s="116">
        <f>IF($C167=0,0,$C167-$D167)</f>
        <v/>
      </c>
      <c r="G167" s="116">
        <f>IF($F167=0,0,$F167*$E167)</f>
        <v/>
      </c>
      <c r="H167" s="116">
        <f>$F167-$G167</f>
        <v/>
      </c>
      <c r="I167" s="112" t="n"/>
    </row>
    <row r="168" ht="15" customHeight="1" s="72">
      <c r="A168" s="112" t="n"/>
      <c r="B168" s="113" t="n"/>
      <c r="C168" s="114" t="n"/>
      <c r="D168" s="114" t="n"/>
      <c r="E168" s="115" t="n"/>
      <c r="F168" s="116">
        <f>IF($C168=0,0,$C168-$D168)</f>
        <v/>
      </c>
      <c r="G168" s="116">
        <f>IF($F168=0,0,$F168*$E168)</f>
        <v/>
      </c>
      <c r="H168" s="116">
        <f>$F168-$G168</f>
        <v/>
      </c>
      <c r="I168" s="112" t="n"/>
    </row>
    <row r="169" ht="15" customHeight="1" s="72">
      <c r="A169" s="112" t="n"/>
      <c r="B169" s="113" t="n"/>
      <c r="C169" s="114" t="n"/>
      <c r="D169" s="114" t="n"/>
      <c r="E169" s="115" t="n"/>
      <c r="F169" s="116">
        <f>IF($C169=0,0,$C169-$D169)</f>
        <v/>
      </c>
      <c r="G169" s="116">
        <f>IF($F169=0,0,$F169*$E169)</f>
        <v/>
      </c>
      <c r="H169" s="116">
        <f>$F169-$G169</f>
        <v/>
      </c>
      <c r="I169" s="112" t="n"/>
    </row>
    <row r="170" ht="15" customHeight="1" s="72">
      <c r="A170" s="112" t="n"/>
      <c r="B170" s="113" t="n"/>
      <c r="C170" s="114" t="n"/>
      <c r="D170" s="114" t="n"/>
      <c r="E170" s="115" t="n"/>
      <c r="F170" s="116">
        <f>IF($C170=0,0,$C170-$D170)</f>
        <v/>
      </c>
      <c r="G170" s="116">
        <f>IF($F170=0,0,$F170*$E170)</f>
        <v/>
      </c>
      <c r="H170" s="116">
        <f>$F170-$G170</f>
        <v/>
      </c>
      <c r="I170" s="112" t="n"/>
    </row>
    <row r="171" ht="15" customHeight="1" s="72">
      <c r="A171" s="112" t="n"/>
      <c r="B171" s="113" t="n"/>
      <c r="C171" s="114" t="n"/>
      <c r="D171" s="114" t="n"/>
      <c r="E171" s="115" t="n"/>
      <c r="F171" s="116">
        <f>IF($C171=0,0,$C171-$D171)</f>
        <v/>
      </c>
      <c r="G171" s="116">
        <f>IF($F171=0,0,$F171*$E171)</f>
        <v/>
      </c>
      <c r="H171" s="116">
        <f>$F171-$G171</f>
        <v/>
      </c>
      <c r="I171" s="112" t="n"/>
    </row>
    <row r="172" ht="15" customHeight="1" s="72">
      <c r="A172" s="112" t="n"/>
      <c r="B172" s="113" t="n"/>
      <c r="C172" s="114" t="n"/>
      <c r="D172" s="114" t="n"/>
      <c r="E172" s="115" t="n"/>
      <c r="F172" s="116">
        <f>IF($C172=0,0,$C172-$D172)</f>
        <v/>
      </c>
      <c r="G172" s="116">
        <f>IF($F172=0,0,$F172*$E172)</f>
        <v/>
      </c>
      <c r="H172" s="116">
        <f>$F172-$G172</f>
        <v/>
      </c>
      <c r="I172" s="112" t="n"/>
    </row>
    <row r="173" ht="15" customHeight="1" s="72">
      <c r="A173" s="112" t="n"/>
      <c r="B173" s="113" t="n"/>
      <c r="C173" s="114" t="n"/>
      <c r="D173" s="114" t="n"/>
      <c r="E173" s="115" t="n"/>
      <c r="F173" s="116">
        <f>IF($C173=0,0,$C173-$D173)</f>
        <v/>
      </c>
      <c r="G173" s="116">
        <f>IF($F173=0,0,$F173*$E173)</f>
        <v/>
      </c>
      <c r="H173" s="116">
        <f>$F173-$G173</f>
        <v/>
      </c>
      <c r="I173" s="112" t="n"/>
    </row>
    <row r="174" ht="15" customHeight="1" s="72">
      <c r="A174" s="112" t="n"/>
      <c r="B174" s="113" t="n"/>
      <c r="C174" s="114" t="n"/>
      <c r="D174" s="114" t="n"/>
      <c r="E174" s="115" t="n"/>
      <c r="F174" s="116">
        <f>IF($C174=0,0,$C174-$D174)</f>
        <v/>
      </c>
      <c r="G174" s="116">
        <f>IF($F174=0,0,$F174*$E174)</f>
        <v/>
      </c>
      <c r="H174" s="116">
        <f>$F174-$G174</f>
        <v/>
      </c>
      <c r="I174" s="112" t="n"/>
    </row>
    <row r="175" ht="15" customHeight="1" s="72">
      <c r="A175" s="112" t="n"/>
      <c r="B175" s="113" t="n"/>
      <c r="C175" s="114" t="n"/>
      <c r="D175" s="114" t="n"/>
      <c r="E175" s="115" t="n"/>
      <c r="F175" s="116">
        <f>IF($C175=0,0,$C175-$D175)</f>
        <v/>
      </c>
      <c r="G175" s="116">
        <f>IF($F175=0,0,$F175*$E175)</f>
        <v/>
      </c>
      <c r="H175" s="116">
        <f>$F175-$G175</f>
        <v/>
      </c>
      <c r="I175" s="112" t="n"/>
    </row>
    <row r="176" ht="15" customHeight="1" s="72">
      <c r="A176" s="112" t="n"/>
      <c r="B176" s="113" t="n"/>
      <c r="C176" s="114" t="n"/>
      <c r="D176" s="114" t="n"/>
      <c r="E176" s="115" t="n"/>
      <c r="F176" s="116">
        <f>IF($C176=0,0,$C176-$D176)</f>
        <v/>
      </c>
      <c r="G176" s="116">
        <f>IF($F176=0,0,$F176*$E176)</f>
        <v/>
      </c>
      <c r="H176" s="116">
        <f>$F176-$G176</f>
        <v/>
      </c>
      <c r="I176" s="112" t="n"/>
    </row>
    <row r="177" ht="15" customHeight="1" s="72">
      <c r="A177" s="112" t="n"/>
      <c r="B177" s="113" t="n"/>
      <c r="C177" s="114" t="n"/>
      <c r="D177" s="114" t="n"/>
      <c r="E177" s="115" t="n"/>
      <c r="F177" s="116">
        <f>IF($C177=0,0,$C177-$D177)</f>
        <v/>
      </c>
      <c r="G177" s="116">
        <f>IF($F177=0,0,$F177*$E177)</f>
        <v/>
      </c>
      <c r="H177" s="116">
        <f>$F177-$G177</f>
        <v/>
      </c>
      <c r="I177" s="112" t="n"/>
    </row>
    <row r="178" ht="15" customHeight="1" s="72">
      <c r="A178" s="112" t="n"/>
      <c r="B178" s="113" t="n"/>
      <c r="C178" s="114" t="n"/>
      <c r="D178" s="114" t="n"/>
      <c r="E178" s="115" t="n"/>
      <c r="F178" s="116">
        <f>IF($C178=0,0,$C178-$D178)</f>
        <v/>
      </c>
      <c r="G178" s="116">
        <f>IF($F178=0,0,$F178*$E178)</f>
        <v/>
      </c>
      <c r="H178" s="116">
        <f>$F178-$G178</f>
        <v/>
      </c>
      <c r="I178" s="112" t="n"/>
    </row>
    <row r="179" ht="15" customHeight="1" s="72">
      <c r="A179" s="112" t="n"/>
      <c r="B179" s="113" t="n"/>
      <c r="C179" s="114" t="n"/>
      <c r="D179" s="114" t="n"/>
      <c r="E179" s="115" t="n"/>
      <c r="F179" s="116">
        <f>IF($C179=0,0,$C179-$D179)</f>
        <v/>
      </c>
      <c r="G179" s="116">
        <f>IF($F179=0,0,$F179*$E179)</f>
        <v/>
      </c>
      <c r="H179" s="116">
        <f>$F179-$G179</f>
        <v/>
      </c>
      <c r="I179" s="112" t="n"/>
    </row>
    <row r="180" ht="15" customHeight="1" s="72">
      <c r="A180" s="112" t="n"/>
      <c r="B180" s="113" t="n"/>
      <c r="C180" s="114" t="n"/>
      <c r="D180" s="114" t="n"/>
      <c r="E180" s="115" t="n"/>
      <c r="F180" s="116">
        <f>IF($C180=0,0,$C180-$D180)</f>
        <v/>
      </c>
      <c r="G180" s="116">
        <f>IF($F180=0,0,$F180*$E180)</f>
        <v/>
      </c>
      <c r="H180" s="116">
        <f>$F180-$G180</f>
        <v/>
      </c>
      <c r="I180" s="112" t="n"/>
    </row>
    <row r="181" ht="15" customHeight="1" s="72">
      <c r="A181" s="112" t="n"/>
      <c r="B181" s="113" t="n"/>
      <c r="C181" s="114" t="n"/>
      <c r="D181" s="114" t="n"/>
      <c r="E181" s="115" t="n"/>
      <c r="F181" s="116">
        <f>IF($C181=0,0,$C181-$D181)</f>
        <v/>
      </c>
      <c r="G181" s="116">
        <f>IF($F181=0,0,$F181*$E181)</f>
        <v/>
      </c>
      <c r="H181" s="116">
        <f>$F181-$G181</f>
        <v/>
      </c>
      <c r="I181" s="112" t="n"/>
    </row>
    <row r="182" ht="15" customHeight="1" s="72">
      <c r="A182" s="112" t="n"/>
      <c r="B182" s="113" t="n"/>
      <c r="C182" s="114" t="n"/>
      <c r="D182" s="114" t="n"/>
      <c r="E182" s="115" t="n"/>
      <c r="F182" s="116">
        <f>IF($C182=0,0,$C182-$D182)</f>
        <v/>
      </c>
      <c r="G182" s="116">
        <f>IF($F182=0,0,$F182*$E182)</f>
        <v/>
      </c>
      <c r="H182" s="116">
        <f>$F182-$G182</f>
        <v/>
      </c>
      <c r="I182" s="112" t="n"/>
    </row>
    <row r="183" ht="15" customHeight="1" s="72">
      <c r="A183" s="112" t="n"/>
      <c r="B183" s="113" t="n"/>
      <c r="C183" s="114" t="n"/>
      <c r="D183" s="114" t="n"/>
      <c r="E183" s="115" t="n"/>
      <c r="F183" s="116">
        <f>IF($C183=0,0,$C183-$D183)</f>
        <v/>
      </c>
      <c r="G183" s="116">
        <f>IF($F183=0,0,$F183*$E183)</f>
        <v/>
      </c>
      <c r="H183" s="116">
        <f>$F183-$G183</f>
        <v/>
      </c>
      <c r="I183" s="112" t="n"/>
    </row>
    <row r="184" ht="15" customHeight="1" s="72">
      <c r="A184" s="112" t="n"/>
      <c r="B184" s="113" t="n"/>
      <c r="C184" s="114" t="n"/>
      <c r="D184" s="114" t="n"/>
      <c r="E184" s="115" t="n"/>
      <c r="F184" s="116">
        <f>IF($C184=0,0,$C184-$D184)</f>
        <v/>
      </c>
      <c r="G184" s="116">
        <f>IF($F184=0,0,$F184*$E184)</f>
        <v/>
      </c>
      <c r="H184" s="116">
        <f>$F184-$G184</f>
        <v/>
      </c>
      <c r="I184" s="112" t="n"/>
    </row>
    <row r="185" ht="15" customHeight="1" s="72">
      <c r="A185" s="112" t="n"/>
      <c r="B185" s="113" t="n"/>
      <c r="C185" s="114" t="n"/>
      <c r="D185" s="114" t="n"/>
      <c r="E185" s="115" t="n"/>
      <c r="F185" s="116">
        <f>IF($C185=0,0,$C185-$D185)</f>
        <v/>
      </c>
      <c r="G185" s="116">
        <f>IF($F185=0,0,$F185*$E185)</f>
        <v/>
      </c>
      <c r="H185" s="116">
        <f>$F185-$G185</f>
        <v/>
      </c>
      <c r="I185" s="112" t="n"/>
    </row>
    <row r="186" ht="15" customHeight="1" s="72">
      <c r="A186" s="112" t="n"/>
      <c r="B186" s="113" t="n"/>
      <c r="C186" s="114" t="n"/>
      <c r="D186" s="114" t="n"/>
      <c r="E186" s="115" t="n"/>
      <c r="F186" s="116">
        <f>IF($C186=0,0,$C186-$D186)</f>
        <v/>
      </c>
      <c r="G186" s="116">
        <f>IF($F186=0,0,$F186*$E186)</f>
        <v/>
      </c>
      <c r="H186" s="116">
        <f>$F186-$G186</f>
        <v/>
      </c>
      <c r="I186" s="112" t="n"/>
    </row>
    <row r="187" ht="15" customHeight="1" s="72">
      <c r="A187" s="112" t="n"/>
      <c r="B187" s="113" t="n"/>
      <c r="C187" s="114" t="n"/>
      <c r="D187" s="114" t="n"/>
      <c r="E187" s="115" t="n"/>
      <c r="F187" s="116">
        <f>IF($C187=0,0,$C187-$D187)</f>
        <v/>
      </c>
      <c r="G187" s="116">
        <f>IF($F187=0,0,$F187*$E187)</f>
        <v/>
      </c>
      <c r="H187" s="116">
        <f>$F187-$G187</f>
        <v/>
      </c>
      <c r="I187" s="112" t="n"/>
    </row>
    <row r="188" ht="15" customHeight="1" s="72">
      <c r="A188" s="112" t="n"/>
      <c r="B188" s="113" t="n"/>
      <c r="C188" s="114" t="n"/>
      <c r="D188" s="114" t="n"/>
      <c r="E188" s="115" t="n"/>
      <c r="F188" s="116">
        <f>IF($C188=0,0,$C188-$D188)</f>
        <v/>
      </c>
      <c r="G188" s="116">
        <f>IF($F188=0,0,$F188*$E188)</f>
        <v/>
      </c>
      <c r="H188" s="116">
        <f>$F188-$G188</f>
        <v/>
      </c>
      <c r="I188" s="112" t="n"/>
    </row>
    <row r="189" ht="15" customHeight="1" s="72">
      <c r="A189" s="112" t="n"/>
      <c r="B189" s="113" t="n"/>
      <c r="C189" s="114" t="n"/>
      <c r="D189" s="114" t="n"/>
      <c r="E189" s="115" t="n"/>
      <c r="F189" s="116">
        <f>IF($C189=0,0,$C189-$D189)</f>
        <v/>
      </c>
      <c r="G189" s="116">
        <f>IF($F189=0,0,$F189*$E189)</f>
        <v/>
      </c>
      <c r="H189" s="116">
        <f>$F189-$G189</f>
        <v/>
      </c>
      <c r="I189" s="112" t="n"/>
    </row>
    <row r="190" ht="15" customHeight="1" s="72">
      <c r="A190" s="112" t="n"/>
      <c r="B190" s="113" t="n"/>
      <c r="C190" s="114" t="n"/>
      <c r="D190" s="114" t="n"/>
      <c r="E190" s="115" t="n"/>
      <c r="F190" s="116">
        <f>IF($C190=0,0,$C190-$D190)</f>
        <v/>
      </c>
      <c r="G190" s="116">
        <f>IF($F190=0,0,$F190*$E190)</f>
        <v/>
      </c>
      <c r="H190" s="116">
        <f>$F190-$G190</f>
        <v/>
      </c>
      <c r="I190" s="112" t="n"/>
    </row>
    <row r="191" ht="15" customHeight="1" s="72">
      <c r="A191" s="112" t="n"/>
      <c r="B191" s="113" t="n"/>
      <c r="C191" s="114" t="n"/>
      <c r="D191" s="114" t="n"/>
      <c r="E191" s="115" t="n"/>
      <c r="F191" s="116">
        <f>IF($C191=0,0,$C191-$D191)</f>
        <v/>
      </c>
      <c r="G191" s="116">
        <f>IF($F191=0,0,$F191*$E191)</f>
        <v/>
      </c>
      <c r="H191" s="116">
        <f>$F191-$G191</f>
        <v/>
      </c>
      <c r="I191" s="112" t="n"/>
    </row>
    <row r="192" ht="15" customHeight="1" s="72">
      <c r="A192" s="112" t="n"/>
      <c r="B192" s="113" t="n"/>
      <c r="C192" s="114" t="n"/>
      <c r="D192" s="114" t="n"/>
      <c r="E192" s="115" t="n"/>
      <c r="F192" s="116">
        <f>IF($C192=0,0,$C192-$D192)</f>
        <v/>
      </c>
      <c r="G192" s="116">
        <f>IF($F192=0,0,$F192*$E192)</f>
        <v/>
      </c>
      <c r="H192" s="116">
        <f>$F192-$G192</f>
        <v/>
      </c>
      <c r="I192" s="112" t="n"/>
    </row>
    <row r="193" ht="15" customHeight="1" s="72">
      <c r="A193" s="112" t="n"/>
      <c r="B193" s="113" t="n"/>
      <c r="C193" s="114" t="n"/>
      <c r="D193" s="114" t="n"/>
      <c r="E193" s="115" t="n"/>
      <c r="F193" s="116">
        <f>IF($C193=0,0,$C193-$D193)</f>
        <v/>
      </c>
      <c r="G193" s="116">
        <f>IF($F193=0,0,$F193*$E193)</f>
        <v/>
      </c>
      <c r="H193" s="116">
        <f>$F193-$G193</f>
        <v/>
      </c>
      <c r="I193" s="112" t="n"/>
    </row>
    <row r="194" ht="15" customHeight="1" s="72">
      <c r="A194" s="112" t="n"/>
      <c r="B194" s="113" t="n"/>
      <c r="C194" s="114" t="n"/>
      <c r="D194" s="114" t="n"/>
      <c r="E194" s="115" t="n"/>
      <c r="F194" s="116">
        <f>IF($C194=0,0,$C194-$D194)</f>
        <v/>
      </c>
      <c r="G194" s="116">
        <f>IF($F194=0,0,$F194*$E194)</f>
        <v/>
      </c>
      <c r="H194" s="116">
        <f>$F194-$G194</f>
        <v/>
      </c>
      <c r="I194" s="112" t="n"/>
    </row>
    <row r="195" ht="15" customHeight="1" s="72">
      <c r="A195" s="112" t="n"/>
      <c r="B195" s="113" t="n"/>
      <c r="C195" s="114" t="n"/>
      <c r="D195" s="114" t="n"/>
      <c r="E195" s="115" t="n"/>
      <c r="F195" s="116">
        <f>IF($C195=0,0,$C195-$D195)</f>
        <v/>
      </c>
      <c r="G195" s="116">
        <f>IF($F195=0,0,$F195*$E195)</f>
        <v/>
      </c>
      <c r="H195" s="116">
        <f>$F195-$G195</f>
        <v/>
      </c>
      <c r="I195" s="112" t="n"/>
    </row>
    <row r="196" ht="15" customHeight="1" s="72">
      <c r="A196" s="112" t="n"/>
      <c r="B196" s="113" t="n"/>
      <c r="C196" s="114" t="n"/>
      <c r="D196" s="114" t="n"/>
      <c r="E196" s="115" t="n"/>
      <c r="F196" s="116">
        <f>IF($C196=0,0,$C196-$D196)</f>
        <v/>
      </c>
      <c r="G196" s="116">
        <f>IF($F196=0,0,$F196*$E196)</f>
        <v/>
      </c>
      <c r="H196" s="116">
        <f>$F196-$G196</f>
        <v/>
      </c>
      <c r="I196" s="112" t="n"/>
    </row>
    <row r="197" ht="15" customHeight="1" s="72">
      <c r="A197" s="112" t="n"/>
      <c r="B197" s="113" t="n"/>
      <c r="C197" s="114" t="n"/>
      <c r="D197" s="114" t="n"/>
      <c r="E197" s="115" t="n"/>
      <c r="F197" s="116">
        <f>IF($C197=0,0,$C197-$D197)</f>
        <v/>
      </c>
      <c r="G197" s="116">
        <f>IF($F197=0,0,$F197*$E197)</f>
        <v/>
      </c>
      <c r="H197" s="116">
        <f>$F197-$G197</f>
        <v/>
      </c>
      <c r="I197" s="112" t="n"/>
    </row>
    <row r="198" ht="15" customHeight="1" s="72">
      <c r="A198" s="112" t="n"/>
      <c r="B198" s="113" t="n"/>
      <c r="C198" s="114" t="n"/>
      <c r="D198" s="114" t="n"/>
      <c r="E198" s="115" t="n"/>
      <c r="F198" s="116">
        <f>IF($C198=0,0,$C198-$D198)</f>
        <v/>
      </c>
      <c r="G198" s="116">
        <f>IF($F198=0,0,$F198*$E198)</f>
        <v/>
      </c>
      <c r="H198" s="116">
        <f>$F198-$G198</f>
        <v/>
      </c>
      <c r="I198" s="112" t="n"/>
    </row>
    <row r="199" ht="15" customHeight="1" s="72">
      <c r="A199" s="112" t="n"/>
      <c r="B199" s="113" t="n"/>
      <c r="C199" s="114" t="n"/>
      <c r="D199" s="114" t="n"/>
      <c r="E199" s="115" t="n"/>
      <c r="F199" s="116">
        <f>IF($C199=0,0,$C199-$D199)</f>
        <v/>
      </c>
      <c r="G199" s="116">
        <f>IF($F199=0,0,$F199*$E199)</f>
        <v/>
      </c>
      <c r="H199" s="116">
        <f>$F199-$G199</f>
        <v/>
      </c>
      <c r="I199" s="112" t="n"/>
    </row>
    <row r="200" ht="15" customHeight="1" s="72">
      <c r="A200" s="112" t="n"/>
      <c r="B200" s="113" t="n"/>
      <c r="C200" s="114" t="n"/>
      <c r="D200" s="114" t="n"/>
      <c r="E200" s="115" t="n"/>
      <c r="F200" s="116">
        <f>IF($C200=0,0,$C200-$D200)</f>
        <v/>
      </c>
      <c r="G200" s="116">
        <f>IF($F200=0,0,$F200*$E200)</f>
        <v/>
      </c>
      <c r="H200" s="116">
        <f>$F200-$G200</f>
        <v/>
      </c>
      <c r="I200" s="112" t="n"/>
    </row>
    <row r="201" ht="15" customHeight="1" s="72">
      <c r="A201" s="112" t="n"/>
      <c r="B201" s="113" t="n"/>
      <c r="C201" s="114" t="n"/>
      <c r="D201" s="114" t="n"/>
      <c r="E201" s="115" t="n"/>
      <c r="F201" s="116">
        <f>IF($C201=0,0,$C201-$D201)</f>
        <v/>
      </c>
      <c r="G201" s="116">
        <f>IF($F201=0,0,$F201*$E201)</f>
        <v/>
      </c>
      <c r="H201" s="116">
        <f>$F201-$G201</f>
        <v/>
      </c>
      <c r="I201" s="112" t="n"/>
    </row>
    <row r="202" ht="15" customHeight="1" s="72">
      <c r="A202" s="112" t="n"/>
      <c r="B202" s="113" t="n"/>
      <c r="C202" s="114" t="n"/>
      <c r="D202" s="114" t="n"/>
      <c r="E202" s="115" t="n"/>
      <c r="F202" s="116">
        <f>IF($C202=0,0,$C202-$D202)</f>
        <v/>
      </c>
      <c r="G202" s="116">
        <f>IF($F202=0,0,$F202*$E202)</f>
        <v/>
      </c>
      <c r="H202" s="116">
        <f>$F202-$G202</f>
        <v/>
      </c>
      <c r="I202" s="112" t="n"/>
    </row>
    <row r="203" ht="15" customHeight="1" s="72">
      <c r="A203" s="112" t="n"/>
      <c r="B203" s="113" t="n"/>
      <c r="C203" s="114" t="n"/>
      <c r="D203" s="114" t="n"/>
      <c r="E203" s="115" t="n"/>
      <c r="F203" s="116">
        <f>IF($C203=0,0,$C203-$D203)</f>
        <v/>
      </c>
      <c r="G203" s="116">
        <f>IF($F203=0,0,$F203*$E203)</f>
        <v/>
      </c>
      <c r="H203" s="116">
        <f>$F203-$G203</f>
        <v/>
      </c>
      <c r="I203" s="112" t="n"/>
    </row>
    <row r="204" ht="15" customHeight="1" s="72">
      <c r="A204" s="112" t="n"/>
      <c r="B204" s="113" t="n"/>
      <c r="C204" s="114" t="n"/>
      <c r="D204" s="114" t="n"/>
      <c r="E204" s="115" t="n"/>
      <c r="F204" s="116">
        <f>IF($C204=0,0,$C204-$D204)</f>
        <v/>
      </c>
      <c r="G204" s="116">
        <f>IF($F204=0,0,$F204*$E204)</f>
        <v/>
      </c>
      <c r="H204" s="116">
        <f>$F204-$G204</f>
        <v/>
      </c>
      <c r="I204" s="112" t="n"/>
    </row>
    <row r="205" ht="15" customHeight="1" s="72">
      <c r="A205" s="112" t="n"/>
      <c r="B205" s="113" t="n"/>
      <c r="C205" s="114" t="n"/>
      <c r="D205" s="114" t="n"/>
      <c r="E205" s="115" t="n"/>
      <c r="F205" s="116">
        <f>IF($C205=0,0,$C205-$D205)</f>
        <v/>
      </c>
      <c r="G205" s="116">
        <f>IF($F205=0,0,$F205*$E205)</f>
        <v/>
      </c>
      <c r="H205" s="116">
        <f>$F205-$G205</f>
        <v/>
      </c>
      <c r="I205" s="112" t="n"/>
    </row>
    <row r="206" ht="15" customHeight="1" s="72">
      <c r="A206" s="112" t="n"/>
      <c r="B206" s="113" t="n"/>
      <c r="C206" s="114" t="n"/>
      <c r="D206" s="114" t="n"/>
      <c r="E206" s="115" t="n"/>
      <c r="F206" s="116">
        <f>IF($C206=0,0,$C206-$D206)</f>
        <v/>
      </c>
      <c r="G206" s="116">
        <f>IF($F206=0,0,$F206*$E206)</f>
        <v/>
      </c>
      <c r="H206" s="116">
        <f>$F206-$G206</f>
        <v/>
      </c>
      <c r="I206" s="112" t="n"/>
    </row>
    <row r="207" ht="15" customHeight="1" s="72">
      <c r="A207" s="112" t="n"/>
      <c r="B207" s="113" t="n"/>
      <c r="C207" s="114" t="n"/>
      <c r="D207" s="114" t="n"/>
      <c r="E207" s="115" t="n"/>
      <c r="F207" s="116">
        <f>IF($C207=0,0,$C207-$D207)</f>
        <v/>
      </c>
      <c r="G207" s="116">
        <f>IF($F207=0,0,$F207*$E207)</f>
        <v/>
      </c>
      <c r="H207" s="116">
        <f>$F207-$G207</f>
        <v/>
      </c>
      <c r="I207" s="112" t="n"/>
    </row>
    <row r="208" ht="15" customHeight="1" s="72">
      <c r="A208" s="112" t="n"/>
      <c r="B208" s="113" t="n"/>
      <c r="C208" s="114" t="n"/>
      <c r="D208" s="114" t="n"/>
      <c r="E208" s="115" t="n"/>
      <c r="F208" s="116">
        <f>IF($C208=0,0,$C208-$D208)</f>
        <v/>
      </c>
      <c r="G208" s="116">
        <f>IF($F208=0,0,$F208*$E208)</f>
        <v/>
      </c>
      <c r="H208" s="116">
        <f>$F208-$G208</f>
        <v/>
      </c>
      <c r="I208" s="112" t="n"/>
    </row>
    <row r="209" ht="15" customHeight="1" s="72">
      <c r="A209" s="112" t="n"/>
      <c r="B209" s="113" t="n"/>
      <c r="C209" s="114" t="n"/>
      <c r="D209" s="114" t="n"/>
      <c r="E209" s="115" t="n"/>
      <c r="F209" s="116">
        <f>IF($C209=0,0,$C209-$D209)</f>
        <v/>
      </c>
      <c r="G209" s="116">
        <f>IF($F209=0,0,$F209*$E209)</f>
        <v/>
      </c>
      <c r="H209" s="116">
        <f>$F209-$G209</f>
        <v/>
      </c>
      <c r="I209" s="112" t="n"/>
    </row>
    <row r="210" ht="15" customHeight="1" s="72">
      <c r="A210" s="112" t="n"/>
      <c r="B210" s="113" t="n"/>
      <c r="C210" s="114" t="n"/>
      <c r="D210" s="114" t="n"/>
      <c r="E210" s="115" t="n"/>
      <c r="F210" s="116">
        <f>IF($C210=0,0,$C210-$D210)</f>
        <v/>
      </c>
      <c r="G210" s="116">
        <f>IF($F210=0,0,$F210*$E210)</f>
        <v/>
      </c>
      <c r="H210" s="116">
        <f>$F210-$G210</f>
        <v/>
      </c>
      <c r="I210" s="112" t="n"/>
    </row>
    <row r="211" ht="15" customHeight="1" s="72">
      <c r="A211" s="112" t="n"/>
      <c r="B211" s="113" t="n"/>
      <c r="C211" s="114" t="n"/>
      <c r="D211" s="114" t="n"/>
      <c r="E211" s="115" t="n"/>
      <c r="F211" s="116">
        <f>IF($C211=0,0,$C211-$D211)</f>
        <v/>
      </c>
      <c r="G211" s="116">
        <f>IF($F211=0,0,$F211*$E211)</f>
        <v/>
      </c>
      <c r="H211" s="116">
        <f>$F211-$G211</f>
        <v/>
      </c>
      <c r="I211" s="112" t="n"/>
    </row>
    <row r="212" ht="15" customHeight="1" s="72">
      <c r="A212" s="112" t="n"/>
      <c r="B212" s="113" t="n"/>
      <c r="C212" s="114" t="n"/>
      <c r="D212" s="114" t="n"/>
      <c r="E212" s="115" t="n"/>
      <c r="F212" s="116">
        <f>IF($C212=0,0,$C212-$D212)</f>
        <v/>
      </c>
      <c r="G212" s="116">
        <f>IF($F212=0,0,$F212*$E212)</f>
        <v/>
      </c>
      <c r="H212" s="116">
        <f>$F212-$G212</f>
        <v/>
      </c>
      <c r="I212" s="112" t="n"/>
    </row>
    <row r="213" ht="15" customHeight="1" s="72">
      <c r="A213" s="112" t="n"/>
      <c r="B213" s="113" t="n"/>
      <c r="C213" s="114" t="n"/>
      <c r="D213" s="114" t="n"/>
      <c r="E213" s="115" t="n"/>
      <c r="F213" s="116">
        <f>IF($C213=0,0,$C213-$D213)</f>
        <v/>
      </c>
      <c r="G213" s="116">
        <f>IF($F213=0,0,$F213*$E213)</f>
        <v/>
      </c>
      <c r="H213" s="116">
        <f>$F213-$G213</f>
        <v/>
      </c>
      <c r="I213" s="112" t="n"/>
    </row>
    <row r="214" ht="15" customHeight="1" s="72">
      <c r="A214" s="112" t="n"/>
      <c r="B214" s="113" t="n"/>
      <c r="C214" s="114" t="n"/>
      <c r="D214" s="114" t="n"/>
      <c r="E214" s="115" t="n"/>
      <c r="F214" s="116">
        <f>IF($C214=0,0,$C214-$D214)</f>
        <v/>
      </c>
      <c r="G214" s="116">
        <f>IF($F214=0,0,$F214*$E214)</f>
        <v/>
      </c>
      <c r="H214" s="116">
        <f>$F214-$G214</f>
        <v/>
      </c>
      <c r="I214" s="112" t="n"/>
    </row>
    <row r="215" ht="15" customHeight="1" s="72">
      <c r="A215" s="112" t="n"/>
      <c r="B215" s="113" t="n"/>
      <c r="C215" s="114" t="n"/>
      <c r="D215" s="114" t="n"/>
      <c r="E215" s="115" t="n"/>
      <c r="F215" s="116">
        <f>IF($C215=0,0,$C215-$D215)</f>
        <v/>
      </c>
      <c r="G215" s="116">
        <f>IF($F215=0,0,$F215*$E215)</f>
        <v/>
      </c>
      <c r="H215" s="116">
        <f>$F215-$G215</f>
        <v/>
      </c>
      <c r="I215" s="112" t="n"/>
    </row>
    <row r="216" ht="15" customHeight="1" s="72">
      <c r="A216" s="112" t="n"/>
      <c r="B216" s="113" t="n"/>
      <c r="C216" s="114" t="n"/>
      <c r="D216" s="114" t="n"/>
      <c r="E216" s="115" t="n"/>
      <c r="F216" s="116">
        <f>IF($C216=0,0,$C216-$D216)</f>
        <v/>
      </c>
      <c r="G216" s="116">
        <f>IF($F216=0,0,$F216*$E216)</f>
        <v/>
      </c>
      <c r="H216" s="116">
        <f>$F216-$G216</f>
        <v/>
      </c>
      <c r="I216" s="112" t="n"/>
    </row>
    <row r="217" ht="15" customHeight="1" s="72">
      <c r="A217" s="112" t="n"/>
      <c r="B217" s="113" t="n"/>
      <c r="C217" s="114" t="n"/>
      <c r="D217" s="114" t="n"/>
      <c r="E217" s="115" t="n"/>
      <c r="F217" s="116">
        <f>IF($C217=0,0,$C217-$D217)</f>
        <v/>
      </c>
      <c r="G217" s="116">
        <f>IF($F217=0,0,$F217*$E217)</f>
        <v/>
      </c>
      <c r="H217" s="116">
        <f>$F217-$G217</f>
        <v/>
      </c>
      <c r="I217" s="112" t="n"/>
    </row>
    <row r="218" ht="15" customHeight="1" s="72">
      <c r="A218" s="112" t="n"/>
      <c r="B218" s="113" t="n"/>
      <c r="C218" s="114" t="n"/>
      <c r="D218" s="114" t="n"/>
      <c r="E218" s="115" t="n"/>
      <c r="F218" s="116">
        <f>IF($C218=0,0,$C218-$D218)</f>
        <v/>
      </c>
      <c r="G218" s="116">
        <f>IF($F218=0,0,$F218*$E218)</f>
        <v/>
      </c>
      <c r="H218" s="116">
        <f>$F218-$G218</f>
        <v/>
      </c>
      <c r="I218" s="112" t="n"/>
    </row>
    <row r="219" ht="15" customHeight="1" s="72">
      <c r="A219" s="112" t="n"/>
      <c r="B219" s="113" t="n"/>
      <c r="C219" s="114" t="n"/>
      <c r="D219" s="114" t="n"/>
      <c r="E219" s="115" t="n"/>
      <c r="F219" s="116">
        <f>IF($C219=0,0,$C219-$D219)</f>
        <v/>
      </c>
      <c r="G219" s="116">
        <f>IF($F219=0,0,$F219*$E219)</f>
        <v/>
      </c>
      <c r="H219" s="116">
        <f>$F219-$G219</f>
        <v/>
      </c>
      <c r="I219" s="112" t="n"/>
    </row>
    <row r="220" ht="15" customHeight="1" s="72">
      <c r="A220" s="112" t="n"/>
      <c r="B220" s="113" t="n"/>
      <c r="C220" s="114" t="n"/>
      <c r="D220" s="114" t="n"/>
      <c r="E220" s="115" t="n"/>
      <c r="F220" s="116">
        <f>IF($C220=0,0,$C220-$D220)</f>
        <v/>
      </c>
      <c r="G220" s="116">
        <f>IF($F220=0,0,$F220*$E220)</f>
        <v/>
      </c>
      <c r="H220" s="116">
        <f>$F220-$G220</f>
        <v/>
      </c>
      <c r="I220" s="112" t="n"/>
    </row>
    <row r="221" ht="15" customHeight="1" s="72">
      <c r="A221" s="112" t="n"/>
      <c r="B221" s="113" t="n"/>
      <c r="C221" s="114" t="n"/>
      <c r="D221" s="114" t="n"/>
      <c r="E221" s="115" t="n"/>
      <c r="F221" s="116">
        <f>IF($C221=0,0,$C221-$D221)</f>
        <v/>
      </c>
      <c r="G221" s="116">
        <f>IF($F221=0,0,$F221*$E221)</f>
        <v/>
      </c>
      <c r="H221" s="116">
        <f>$F221-$G221</f>
        <v/>
      </c>
      <c r="I221" s="112" t="n"/>
    </row>
    <row r="222" ht="15" customHeight="1" s="72">
      <c r="A222" s="112" t="n"/>
      <c r="B222" s="113" t="n"/>
      <c r="C222" s="114" t="n"/>
      <c r="D222" s="114" t="n"/>
      <c r="E222" s="115" t="n"/>
      <c r="F222" s="116">
        <f>IF($C222=0,0,$C222-$D222)</f>
        <v/>
      </c>
      <c r="G222" s="116">
        <f>IF($F222=0,0,$F222*$E222)</f>
        <v/>
      </c>
      <c r="H222" s="116">
        <f>$F222-$G222</f>
        <v/>
      </c>
      <c r="I222" s="112" t="n"/>
    </row>
    <row r="223" ht="15" customHeight="1" s="72">
      <c r="A223" s="112" t="n"/>
      <c r="B223" s="113" t="n"/>
      <c r="C223" s="114" t="n"/>
      <c r="D223" s="114" t="n"/>
      <c r="E223" s="115" t="n"/>
      <c r="F223" s="116">
        <f>IF($C223=0,0,$C223-$D223)</f>
        <v/>
      </c>
      <c r="G223" s="116">
        <f>IF($F223=0,0,$F223*$E223)</f>
        <v/>
      </c>
      <c r="H223" s="116">
        <f>$F223-$G223</f>
        <v/>
      </c>
      <c r="I223" s="112" t="n"/>
    </row>
    <row r="224" ht="15" customHeight="1" s="72">
      <c r="A224" s="112" t="n"/>
      <c r="B224" s="113" t="n"/>
      <c r="C224" s="114" t="n"/>
      <c r="D224" s="114" t="n"/>
      <c r="E224" s="115" t="n"/>
      <c r="F224" s="116">
        <f>IF($C224=0,0,$C224-$D224)</f>
        <v/>
      </c>
      <c r="G224" s="116">
        <f>IF($F224=0,0,$F224*$E224)</f>
        <v/>
      </c>
      <c r="H224" s="116">
        <f>$F224-$G224</f>
        <v/>
      </c>
      <c r="I224" s="112" t="n"/>
    </row>
    <row r="225" ht="15" customHeight="1" s="72">
      <c r="A225" s="112" t="n"/>
      <c r="B225" s="113" t="n"/>
      <c r="C225" s="114" t="n"/>
      <c r="D225" s="114" t="n"/>
      <c r="E225" s="115" t="n"/>
      <c r="F225" s="116">
        <f>IF($C225=0,0,$C225-$D225)</f>
        <v/>
      </c>
      <c r="G225" s="116">
        <f>IF($F225=0,0,$F225*$E225)</f>
        <v/>
      </c>
      <c r="H225" s="116">
        <f>$F225-$G225</f>
        <v/>
      </c>
      <c r="I225" s="112" t="n"/>
    </row>
    <row r="226" ht="15" customHeight="1" s="72">
      <c r="A226" s="112" t="n"/>
      <c r="B226" s="113" t="n"/>
      <c r="C226" s="114" t="n"/>
      <c r="D226" s="114" t="n"/>
      <c r="E226" s="115" t="n"/>
      <c r="F226" s="116">
        <f>IF($C226=0,0,$C226-$D226)</f>
        <v/>
      </c>
      <c r="G226" s="116">
        <f>IF($F226=0,0,$F226*$E226)</f>
        <v/>
      </c>
      <c r="H226" s="116">
        <f>$F226-$G226</f>
        <v/>
      </c>
      <c r="I226" s="112" t="n"/>
    </row>
    <row r="227" ht="15" customHeight="1" s="72">
      <c r="A227" s="112" t="n"/>
      <c r="B227" s="113" t="n"/>
      <c r="C227" s="114" t="n"/>
      <c r="D227" s="114" t="n"/>
      <c r="E227" s="115" t="n"/>
      <c r="F227" s="116">
        <f>IF($C227=0,0,$C227-$D227)</f>
        <v/>
      </c>
      <c r="G227" s="116">
        <f>IF($F227=0,0,$F227*$E227)</f>
        <v/>
      </c>
      <c r="H227" s="116">
        <f>$F227-$G227</f>
        <v/>
      </c>
      <c r="I227" s="112" t="n"/>
    </row>
    <row r="228" ht="15" customHeight="1" s="72">
      <c r="A228" s="112" t="n"/>
      <c r="B228" s="113" t="n"/>
      <c r="C228" s="114" t="n"/>
      <c r="D228" s="114" t="n"/>
      <c r="E228" s="115" t="n"/>
      <c r="F228" s="116">
        <f>IF($C228=0,0,$C228-$D228)</f>
        <v/>
      </c>
      <c r="G228" s="116">
        <f>IF($F228=0,0,$F228*$E228)</f>
        <v/>
      </c>
      <c r="H228" s="116">
        <f>$F228-$G228</f>
        <v/>
      </c>
      <c r="I228" s="112" t="n"/>
    </row>
    <row r="229" ht="15" customHeight="1" s="72">
      <c r="A229" s="112" t="n"/>
      <c r="B229" s="113" t="n"/>
      <c r="C229" s="114" t="n"/>
      <c r="D229" s="114" t="n"/>
      <c r="E229" s="115" t="n"/>
      <c r="F229" s="116">
        <f>IF($C229=0,0,$C229-$D229)</f>
        <v/>
      </c>
      <c r="G229" s="116">
        <f>IF($F229=0,0,$F229*$E229)</f>
        <v/>
      </c>
      <c r="H229" s="116">
        <f>$F229-$G229</f>
        <v/>
      </c>
      <c r="I229" s="112" t="n"/>
    </row>
    <row r="230" ht="15" customHeight="1" s="72">
      <c r="A230" s="112" t="n"/>
      <c r="B230" s="113" t="n"/>
      <c r="C230" s="114" t="n"/>
      <c r="D230" s="114" t="n"/>
      <c r="E230" s="115" t="n"/>
      <c r="F230" s="116">
        <f>IF($C230=0,0,$C230-$D230)</f>
        <v/>
      </c>
      <c r="G230" s="116">
        <f>IF($F230=0,0,$F230*$E230)</f>
        <v/>
      </c>
      <c r="H230" s="116">
        <f>$F230-$G230</f>
        <v/>
      </c>
      <c r="I230" s="112" t="n"/>
    </row>
    <row r="231" ht="15" customHeight="1" s="72">
      <c r="A231" s="112" t="n"/>
      <c r="B231" s="113" t="n"/>
      <c r="C231" s="114" t="n"/>
      <c r="D231" s="114" t="n"/>
      <c r="E231" s="115" t="n"/>
      <c r="F231" s="116">
        <f>IF($C231=0,0,$C231-$D231)</f>
        <v/>
      </c>
      <c r="G231" s="116">
        <f>IF($F231=0,0,$F231*$E231)</f>
        <v/>
      </c>
      <c r="H231" s="116">
        <f>$F231-$G231</f>
        <v/>
      </c>
      <c r="I231" s="112" t="n"/>
    </row>
    <row r="232" ht="15" customHeight="1" s="72">
      <c r="A232" s="112" t="n"/>
      <c r="B232" s="113" t="n"/>
      <c r="C232" s="114" t="n"/>
      <c r="D232" s="114" t="n"/>
      <c r="E232" s="115" t="n"/>
      <c r="F232" s="116">
        <f>IF($C232=0,0,$C232-$D232)</f>
        <v/>
      </c>
      <c r="G232" s="116">
        <f>IF($F232=0,0,$F232*$E232)</f>
        <v/>
      </c>
      <c r="H232" s="116">
        <f>$F232-$G232</f>
        <v/>
      </c>
      <c r="I232" s="112" t="n"/>
    </row>
    <row r="233" ht="15" customHeight="1" s="72">
      <c r="A233" s="112" t="n"/>
      <c r="B233" s="113" t="n"/>
      <c r="C233" s="114" t="n"/>
      <c r="D233" s="114" t="n"/>
      <c r="E233" s="115" t="n"/>
      <c r="F233" s="116">
        <f>IF($C233=0,0,$C233-$D233)</f>
        <v/>
      </c>
      <c r="G233" s="116">
        <f>IF($F233=0,0,$F233*$E233)</f>
        <v/>
      </c>
      <c r="H233" s="116">
        <f>$F233-$G233</f>
        <v/>
      </c>
      <c r="I233" s="112" t="n"/>
    </row>
    <row r="234" ht="15" customHeight="1" s="72">
      <c r="A234" s="112" t="n"/>
      <c r="B234" s="113" t="n"/>
      <c r="C234" s="114" t="n"/>
      <c r="D234" s="114" t="n"/>
      <c r="E234" s="115" t="n"/>
      <c r="F234" s="116">
        <f>IF($C234=0,0,$C234-$D234)</f>
        <v/>
      </c>
      <c r="G234" s="116">
        <f>IF($F234=0,0,$F234*$E234)</f>
        <v/>
      </c>
      <c r="H234" s="116">
        <f>$F234-$G234</f>
        <v/>
      </c>
      <c r="I234" s="112" t="n"/>
    </row>
    <row r="235" ht="15" customHeight="1" s="72">
      <c r="A235" s="112" t="n"/>
      <c r="B235" s="113" t="n"/>
      <c r="C235" s="114" t="n"/>
      <c r="D235" s="114" t="n"/>
      <c r="E235" s="115" t="n"/>
      <c r="F235" s="116">
        <f>IF($C235=0,0,$C235-$D235)</f>
        <v/>
      </c>
      <c r="G235" s="116">
        <f>IF($F235=0,0,$F235*$E235)</f>
        <v/>
      </c>
      <c r="H235" s="116">
        <f>$F235-$G235</f>
        <v/>
      </c>
      <c r="I235" s="112" t="n"/>
    </row>
    <row r="236" ht="15" customHeight="1" s="72">
      <c r="A236" s="112" t="n"/>
      <c r="B236" s="113" t="n"/>
      <c r="C236" s="114" t="n"/>
      <c r="D236" s="114" t="n"/>
      <c r="E236" s="115" t="n"/>
      <c r="F236" s="116">
        <f>IF($C236=0,0,$C236-$D236)</f>
        <v/>
      </c>
      <c r="G236" s="116">
        <f>IF($F236=0,0,$F236*$E236)</f>
        <v/>
      </c>
      <c r="H236" s="116">
        <f>$F236-$G236</f>
        <v/>
      </c>
      <c r="I236" s="112" t="n"/>
    </row>
    <row r="237" ht="15" customHeight="1" s="72">
      <c r="A237" s="112" t="n"/>
      <c r="B237" s="113" t="n"/>
      <c r="C237" s="114" t="n"/>
      <c r="D237" s="114" t="n"/>
      <c r="E237" s="115" t="n"/>
      <c r="F237" s="116">
        <f>IF($C237=0,0,$C237-$D237)</f>
        <v/>
      </c>
      <c r="G237" s="116">
        <f>IF($F237=0,0,$F237*$E237)</f>
        <v/>
      </c>
      <c r="H237" s="116">
        <f>$F237-$G237</f>
        <v/>
      </c>
      <c r="I237" s="112" t="n"/>
    </row>
    <row r="238" ht="15" customHeight="1" s="72">
      <c r="A238" s="112" t="n"/>
      <c r="B238" s="113" t="n"/>
      <c r="C238" s="114" t="n"/>
      <c r="D238" s="114" t="n"/>
      <c r="E238" s="115" t="n"/>
      <c r="F238" s="116">
        <f>IF($C238=0,0,$C238-$D238)</f>
        <v/>
      </c>
      <c r="G238" s="116">
        <f>IF($F238=0,0,$F238*$E238)</f>
        <v/>
      </c>
      <c r="H238" s="116">
        <f>$F238-$G238</f>
        <v/>
      </c>
      <c r="I238" s="112" t="n"/>
    </row>
    <row r="239" ht="15" customHeight="1" s="72">
      <c r="A239" s="112" t="n"/>
      <c r="B239" s="113" t="n"/>
      <c r="C239" s="114" t="n"/>
      <c r="D239" s="114" t="n"/>
      <c r="E239" s="115" t="n"/>
      <c r="F239" s="116">
        <f>IF($C239=0,0,$C239-$D239)</f>
        <v/>
      </c>
      <c r="G239" s="116">
        <f>IF($F239=0,0,$F239*$E239)</f>
        <v/>
      </c>
      <c r="H239" s="116">
        <f>$F239-$G239</f>
        <v/>
      </c>
      <c r="I239" s="112" t="n"/>
    </row>
    <row r="240" ht="15" customHeight="1" s="72">
      <c r="A240" s="112" t="n"/>
      <c r="B240" s="113" t="n"/>
      <c r="C240" s="114" t="n"/>
      <c r="D240" s="114" t="n"/>
      <c r="E240" s="115" t="n"/>
      <c r="F240" s="116">
        <f>IF($C240=0,0,$C240-$D240)</f>
        <v/>
      </c>
      <c r="G240" s="116">
        <f>IF($F240=0,0,$F240*$E240)</f>
        <v/>
      </c>
      <c r="H240" s="116">
        <f>$F240-$G240</f>
        <v/>
      </c>
      <c r="I240" s="112" t="n"/>
    </row>
    <row r="241" ht="15" customHeight="1" s="72">
      <c r="A241" s="112" t="n"/>
      <c r="B241" s="113" t="n"/>
      <c r="C241" s="114" t="n"/>
      <c r="D241" s="114" t="n"/>
      <c r="E241" s="115" t="n"/>
      <c r="F241" s="116">
        <f>IF($C241=0,0,$C241-$D241)</f>
        <v/>
      </c>
      <c r="G241" s="116">
        <f>IF($F241=0,0,$F241*$E241)</f>
        <v/>
      </c>
      <c r="H241" s="116">
        <f>$F241-$G241</f>
        <v/>
      </c>
      <c r="I241" s="112" t="n"/>
    </row>
    <row r="242" ht="15" customHeight="1" s="72">
      <c r="A242" s="112" t="n"/>
      <c r="B242" s="113" t="n"/>
      <c r="C242" s="114" t="n"/>
      <c r="D242" s="114" t="n"/>
      <c r="E242" s="115" t="n"/>
      <c r="F242" s="116">
        <f>IF($C242=0,0,$C242-$D242)</f>
        <v/>
      </c>
      <c r="G242" s="116">
        <f>IF($F242=0,0,$F242*$E242)</f>
        <v/>
      </c>
      <c r="H242" s="116">
        <f>$F242-$G242</f>
        <v/>
      </c>
      <c r="I242" s="112" t="n"/>
    </row>
    <row r="243" ht="15" customHeight="1" s="72">
      <c r="A243" s="112" t="n"/>
      <c r="B243" s="113" t="n"/>
      <c r="C243" s="114" t="n"/>
      <c r="D243" s="114" t="n"/>
      <c r="E243" s="115" t="n"/>
      <c r="F243" s="116">
        <f>IF($C243=0,0,$C243-$D243)</f>
        <v/>
      </c>
      <c r="G243" s="116">
        <f>IF($F243=0,0,$F243*$E243)</f>
        <v/>
      </c>
      <c r="H243" s="116">
        <f>$F243-$G243</f>
        <v/>
      </c>
      <c r="I243" s="112" t="n"/>
    </row>
    <row r="244" ht="15" customHeight="1" s="72">
      <c r="A244" s="112" t="n"/>
      <c r="B244" s="113" t="n"/>
      <c r="C244" s="114" t="n"/>
      <c r="D244" s="114" t="n"/>
      <c r="E244" s="115" t="n"/>
      <c r="F244" s="116">
        <f>IF($C244=0,0,$C244-$D244)</f>
        <v/>
      </c>
      <c r="G244" s="116">
        <f>IF($F244=0,0,$F244*$E244)</f>
        <v/>
      </c>
      <c r="H244" s="116">
        <f>$F244-$G244</f>
        <v/>
      </c>
      <c r="I244" s="112" t="n"/>
    </row>
    <row r="245" ht="15" customHeight="1" s="72">
      <c r="A245" s="112" t="n"/>
      <c r="B245" s="113" t="n"/>
      <c r="C245" s="114" t="n"/>
      <c r="D245" s="114" t="n"/>
      <c r="E245" s="115" t="n"/>
      <c r="F245" s="116">
        <f>IF($C245=0,0,$C245-$D245)</f>
        <v/>
      </c>
      <c r="G245" s="116">
        <f>IF($F245=0,0,$F245*$E245)</f>
        <v/>
      </c>
      <c r="H245" s="116">
        <f>$F245-$G245</f>
        <v/>
      </c>
      <c r="I245" s="112" t="n"/>
    </row>
    <row r="246" ht="15" customHeight="1" s="72">
      <c r="A246" s="112" t="n"/>
      <c r="B246" s="113" t="n"/>
      <c r="C246" s="114" t="n"/>
      <c r="D246" s="114" t="n"/>
      <c r="E246" s="115" t="n"/>
      <c r="F246" s="116">
        <f>IF($C246=0,0,$C246-$D246)</f>
        <v/>
      </c>
      <c r="G246" s="116">
        <f>IF($F246=0,0,$F246*$E246)</f>
        <v/>
      </c>
      <c r="H246" s="116">
        <f>$F246-$G246</f>
        <v/>
      </c>
      <c r="I246" s="112" t="n"/>
    </row>
    <row r="247" ht="15" customHeight="1" s="72">
      <c r="A247" s="112" t="n"/>
      <c r="B247" s="113" t="n"/>
      <c r="C247" s="114" t="n"/>
      <c r="D247" s="114" t="n"/>
      <c r="E247" s="115" t="n"/>
      <c r="F247" s="116">
        <f>IF($C247=0,0,$C247-$D247)</f>
        <v/>
      </c>
      <c r="G247" s="116">
        <f>IF($F247=0,0,$F247*$E247)</f>
        <v/>
      </c>
      <c r="H247" s="116">
        <f>$F247-$G247</f>
        <v/>
      </c>
      <c r="I247" s="112" t="n"/>
    </row>
    <row r="248" ht="15" customHeight="1" s="72">
      <c r="A248" s="112" t="n"/>
      <c r="B248" s="113" t="n"/>
      <c r="C248" s="114" t="n"/>
      <c r="D248" s="114" t="n"/>
      <c r="E248" s="115" t="n"/>
      <c r="F248" s="116">
        <f>IF($C248=0,0,$C248-$D248)</f>
        <v/>
      </c>
      <c r="G248" s="116">
        <f>IF($F248=0,0,$F248*$E248)</f>
        <v/>
      </c>
      <c r="H248" s="116">
        <f>$F248-$G248</f>
        <v/>
      </c>
      <c r="I248" s="112" t="n"/>
    </row>
    <row r="249" ht="15" customHeight="1" s="72">
      <c r="A249" s="112" t="n"/>
      <c r="B249" s="113" t="n"/>
      <c r="C249" s="114" t="n"/>
      <c r="D249" s="114" t="n"/>
      <c r="E249" s="115" t="n"/>
      <c r="F249" s="116">
        <f>IF($C249=0,0,$C249-$D249)</f>
        <v/>
      </c>
      <c r="G249" s="116">
        <f>IF($F249=0,0,$F249*$E249)</f>
        <v/>
      </c>
      <c r="H249" s="116">
        <f>$F249-$G249</f>
        <v/>
      </c>
      <c r="I249" s="112" t="n"/>
    </row>
    <row r="250" ht="15" customHeight="1" s="72">
      <c r="A250" s="112" t="n"/>
      <c r="B250" s="113" t="n"/>
      <c r="C250" s="114" t="n"/>
      <c r="D250" s="114" t="n"/>
      <c r="E250" s="115" t="n"/>
      <c r="F250" s="116">
        <f>IF($C250=0,0,$C250-$D250)</f>
        <v/>
      </c>
      <c r="G250" s="116">
        <f>IF($F250=0,0,$F250*$E250)</f>
        <v/>
      </c>
      <c r="H250" s="116">
        <f>$F250-$G250</f>
        <v/>
      </c>
      <c r="I250" s="112" t="n"/>
    </row>
    <row r="251" ht="15" customHeight="1" s="72">
      <c r="A251" s="112" t="n"/>
      <c r="B251" s="113" t="n"/>
      <c r="C251" s="114" t="n"/>
      <c r="D251" s="114" t="n"/>
      <c r="E251" s="115" t="n"/>
      <c r="F251" s="116">
        <f>IF($C251=0,0,$C251-$D251)</f>
        <v/>
      </c>
      <c r="G251" s="116">
        <f>IF($F251=0,0,$F251*$E251)</f>
        <v/>
      </c>
      <c r="H251" s="116">
        <f>$F251-$G251</f>
        <v/>
      </c>
      <c r="I251" s="112" t="n"/>
    </row>
    <row r="252" ht="15" customHeight="1" s="72">
      <c r="A252" s="112" t="n"/>
      <c r="B252" s="113" t="n"/>
      <c r="C252" s="114" t="n"/>
      <c r="D252" s="114" t="n"/>
      <c r="E252" s="115" t="n"/>
      <c r="F252" s="116">
        <f>IF($C252=0,0,$C252-$D252)</f>
        <v/>
      </c>
      <c r="G252" s="116">
        <f>IF($F252=0,0,$F252*$E252)</f>
        <v/>
      </c>
      <c r="H252" s="116">
        <f>$F252-$G252</f>
        <v/>
      </c>
      <c r="I252" s="112" t="n"/>
    </row>
    <row r="253" ht="15" customHeight="1" s="72">
      <c r="A253" s="112" t="n"/>
      <c r="B253" s="113" t="n"/>
      <c r="C253" s="114" t="n"/>
      <c r="D253" s="114" t="n"/>
      <c r="E253" s="115" t="n"/>
      <c r="F253" s="116">
        <f>IF($C253=0,0,$C253-$D253)</f>
        <v/>
      </c>
      <c r="G253" s="116">
        <f>IF($F253=0,0,$F253*$E253)</f>
        <v/>
      </c>
      <c r="H253" s="116">
        <f>$F253-$G253</f>
        <v/>
      </c>
      <c r="I253" s="112" t="n"/>
    </row>
    <row r="254" ht="15" customHeight="1" s="72">
      <c r="A254" s="112" t="n"/>
      <c r="B254" s="113" t="n"/>
      <c r="C254" s="114" t="n"/>
      <c r="D254" s="114" t="n"/>
      <c r="E254" s="115" t="n"/>
      <c r="F254" s="116">
        <f>IF($C254=0,0,$C254-$D254)</f>
        <v/>
      </c>
      <c r="G254" s="116">
        <f>IF($F254=0,0,$F254*$E254)</f>
        <v/>
      </c>
      <c r="H254" s="116">
        <f>$F254-$G254</f>
        <v/>
      </c>
      <c r="I254" s="112" t="n"/>
    </row>
    <row r="255" ht="15" customHeight="1" s="72">
      <c r="A255" s="112" t="n"/>
      <c r="B255" s="113" t="n"/>
      <c r="C255" s="114" t="n"/>
      <c r="D255" s="114" t="n"/>
      <c r="E255" s="115" t="n"/>
      <c r="F255" s="116">
        <f>IF($C255=0,0,$C255-$D255)</f>
        <v/>
      </c>
      <c r="G255" s="116">
        <f>IF($F255=0,0,$F255*$E255)</f>
        <v/>
      </c>
      <c r="H255" s="116">
        <f>$F255-$G255</f>
        <v/>
      </c>
      <c r="I255" s="112" t="n"/>
    </row>
    <row r="256" ht="15" customHeight="1" s="72">
      <c r="A256" s="112" t="n"/>
      <c r="B256" s="113" t="n"/>
      <c r="C256" s="114" t="n"/>
      <c r="D256" s="114" t="n"/>
      <c r="E256" s="115" t="n"/>
      <c r="F256" s="116">
        <f>IF($C256=0,0,$C256-$D256)</f>
        <v/>
      </c>
      <c r="G256" s="116">
        <f>IF($F256=0,0,$F256*$E256)</f>
        <v/>
      </c>
      <c r="H256" s="116">
        <f>$F256-$G256</f>
        <v/>
      </c>
      <c r="I256" s="112" t="n"/>
    </row>
    <row r="257" ht="15" customHeight="1" s="72">
      <c r="A257" s="112" t="n"/>
      <c r="B257" s="113" t="n"/>
      <c r="C257" s="114" t="n"/>
      <c r="D257" s="114" t="n"/>
      <c r="E257" s="115" t="n"/>
      <c r="F257" s="116">
        <f>IF($C257=0,0,$C257-$D257)</f>
        <v/>
      </c>
      <c r="G257" s="116">
        <f>IF($F257=0,0,$F257*$E257)</f>
        <v/>
      </c>
      <c r="H257" s="116">
        <f>$F257-$G257</f>
        <v/>
      </c>
      <c r="I257" s="112" t="n"/>
    </row>
    <row r="258" ht="15" customHeight="1" s="72">
      <c r="A258" s="112" t="n"/>
      <c r="B258" s="113" t="n"/>
      <c r="C258" s="114" t="n"/>
      <c r="D258" s="114" t="n"/>
      <c r="E258" s="115" t="n"/>
      <c r="F258" s="116">
        <f>IF($C258=0,0,$C258-$D258)</f>
        <v/>
      </c>
      <c r="G258" s="116">
        <f>IF($F258=0,0,$F258*$E258)</f>
        <v/>
      </c>
      <c r="H258" s="116">
        <f>$F258-$G258</f>
        <v/>
      </c>
      <c r="I258" s="112" t="n"/>
    </row>
    <row r="259" ht="15" customHeight="1" s="72">
      <c r="A259" s="112" t="n"/>
      <c r="B259" s="113" t="n"/>
      <c r="C259" s="114" t="n"/>
      <c r="D259" s="114" t="n"/>
      <c r="E259" s="115" t="n"/>
      <c r="F259" s="116">
        <f>IF($C259=0,0,$C259-$D259)</f>
        <v/>
      </c>
      <c r="G259" s="116">
        <f>IF($F259=0,0,$F259*$E259)</f>
        <v/>
      </c>
      <c r="H259" s="116">
        <f>$F259-$G259</f>
        <v/>
      </c>
      <c r="I259" s="112" t="n"/>
    </row>
    <row r="260" ht="15" customHeight="1" s="72">
      <c r="A260" s="112" t="n"/>
      <c r="B260" s="113" t="n"/>
      <c r="C260" s="114" t="n"/>
      <c r="D260" s="114" t="n"/>
      <c r="E260" s="115" t="n"/>
      <c r="F260" s="116">
        <f>IF($C260=0,0,$C260-$D260)</f>
        <v/>
      </c>
      <c r="G260" s="116">
        <f>IF($F260=0,0,$F260*$E260)</f>
        <v/>
      </c>
      <c r="H260" s="116">
        <f>$F260-$G260</f>
        <v/>
      </c>
      <c r="I260" s="112" t="n"/>
    </row>
    <row r="261" ht="15" customHeight="1" s="72">
      <c r="A261" s="112" t="n"/>
      <c r="B261" s="113" t="n"/>
      <c r="C261" s="114" t="n"/>
      <c r="D261" s="114" t="n"/>
      <c r="E261" s="115" t="n"/>
      <c r="F261" s="116">
        <f>IF($C261=0,0,$C261-$D261)</f>
        <v/>
      </c>
      <c r="G261" s="116">
        <f>IF($F261=0,0,$F261*$E261)</f>
        <v/>
      </c>
      <c r="H261" s="116">
        <f>$F261-$G261</f>
        <v/>
      </c>
      <c r="I261" s="112" t="n"/>
    </row>
    <row r="262" ht="15" customHeight="1" s="72">
      <c r="A262" s="112" t="n"/>
      <c r="B262" s="113" t="n"/>
      <c r="C262" s="114" t="n"/>
      <c r="D262" s="114" t="n"/>
      <c r="E262" s="115" t="n"/>
      <c r="F262" s="116">
        <f>IF($C262=0,0,$C262-$D262)</f>
        <v/>
      </c>
      <c r="G262" s="116">
        <f>IF($F262=0,0,$F262*$E262)</f>
        <v/>
      </c>
      <c r="H262" s="116">
        <f>$F262-$G262</f>
        <v/>
      </c>
      <c r="I262" s="112" t="n"/>
    </row>
    <row r="263" ht="15" customHeight="1" s="72">
      <c r="A263" s="112" t="n"/>
      <c r="B263" s="113" t="n"/>
      <c r="C263" s="114" t="n"/>
      <c r="D263" s="114" t="n"/>
      <c r="E263" s="115" t="n"/>
      <c r="F263" s="116">
        <f>IF($C263=0,0,$C263-$D263)</f>
        <v/>
      </c>
      <c r="G263" s="116">
        <f>IF($F263=0,0,$F263*$E263)</f>
        <v/>
      </c>
      <c r="H263" s="116">
        <f>$F263-$G263</f>
        <v/>
      </c>
      <c r="I263" s="112" t="n"/>
    </row>
    <row r="264" ht="15" customHeight="1" s="72">
      <c r="A264" s="112" t="n"/>
      <c r="B264" s="113" t="n"/>
      <c r="C264" s="114" t="n"/>
      <c r="D264" s="114" t="n"/>
      <c r="E264" s="115" t="n"/>
      <c r="F264" s="116">
        <f>IF($C264=0,0,$C264-$D264)</f>
        <v/>
      </c>
      <c r="G264" s="116">
        <f>IF($F264=0,0,$F264*$E264)</f>
        <v/>
      </c>
      <c r="H264" s="116">
        <f>$F264-$G264</f>
        <v/>
      </c>
      <c r="I264" s="112" t="n"/>
    </row>
    <row r="265" ht="15" customHeight="1" s="72">
      <c r="A265" s="112" t="n"/>
      <c r="B265" s="113" t="n"/>
      <c r="C265" s="114" t="n"/>
      <c r="D265" s="114" t="n"/>
      <c r="E265" s="115" t="n"/>
      <c r="F265" s="116">
        <f>IF($C265=0,0,$C265-$D265)</f>
        <v/>
      </c>
      <c r="G265" s="116">
        <f>IF($F265=0,0,$F265*$E265)</f>
        <v/>
      </c>
      <c r="H265" s="116">
        <f>$F265-$G265</f>
        <v/>
      </c>
      <c r="I265" s="112" t="n"/>
    </row>
    <row r="266" ht="15" customHeight="1" s="72">
      <c r="A266" s="112" t="n"/>
      <c r="B266" s="113" t="n"/>
      <c r="C266" s="114" t="n"/>
      <c r="D266" s="114" t="n"/>
      <c r="E266" s="115" t="n"/>
      <c r="F266" s="116">
        <f>IF($C266=0,0,$C266-$D266)</f>
        <v/>
      </c>
      <c r="G266" s="116">
        <f>IF($F266=0,0,$F266*$E266)</f>
        <v/>
      </c>
      <c r="H266" s="116">
        <f>$F266-$G266</f>
        <v/>
      </c>
      <c r="I266" s="112" t="n"/>
    </row>
    <row r="267" ht="15" customHeight="1" s="72">
      <c r="A267" s="112" t="n"/>
      <c r="B267" s="113" t="n"/>
      <c r="C267" s="114" t="n"/>
      <c r="D267" s="114" t="n"/>
      <c r="E267" s="115" t="n"/>
      <c r="F267" s="116">
        <f>IF($C267=0,0,$C267-$D267)</f>
        <v/>
      </c>
      <c r="G267" s="116">
        <f>IF($F267=0,0,$F267*$E267)</f>
        <v/>
      </c>
      <c r="H267" s="116">
        <f>$F267-$G267</f>
        <v/>
      </c>
      <c r="I267" s="112" t="n"/>
    </row>
    <row r="268" ht="15" customHeight="1" s="72">
      <c r="A268" s="112" t="n"/>
      <c r="B268" s="113" t="n"/>
      <c r="C268" s="114" t="n"/>
      <c r="D268" s="114" t="n"/>
      <c r="E268" s="115" t="n"/>
      <c r="F268" s="116">
        <f>IF($C268=0,0,$C268-$D268)</f>
        <v/>
      </c>
      <c r="G268" s="116">
        <f>IF($F268=0,0,$F268*$E268)</f>
        <v/>
      </c>
      <c r="H268" s="116">
        <f>$F268-$G268</f>
        <v/>
      </c>
      <c r="I268" s="112" t="n"/>
    </row>
    <row r="269" ht="15" customHeight="1" s="72">
      <c r="A269" s="112" t="n"/>
      <c r="B269" s="113" t="n"/>
      <c r="C269" s="114" t="n"/>
      <c r="D269" s="114" t="n"/>
      <c r="E269" s="115" t="n"/>
      <c r="F269" s="116">
        <f>IF($C269=0,0,$C269-$D269)</f>
        <v/>
      </c>
      <c r="G269" s="116">
        <f>IF($F269=0,0,$F269*$E269)</f>
        <v/>
      </c>
      <c r="H269" s="116">
        <f>$F269-$G269</f>
        <v/>
      </c>
      <c r="I269" s="112" t="n"/>
    </row>
    <row r="270" ht="15" customHeight="1" s="72">
      <c r="A270" s="112" t="n"/>
      <c r="B270" s="113" t="n"/>
      <c r="C270" s="114" t="n"/>
      <c r="D270" s="114" t="n"/>
      <c r="E270" s="115" t="n"/>
      <c r="F270" s="116">
        <f>IF($C270=0,0,$C270-$D270)</f>
        <v/>
      </c>
      <c r="G270" s="116">
        <f>IF($F270=0,0,$F270*$E270)</f>
        <v/>
      </c>
      <c r="H270" s="116">
        <f>$F270-$G270</f>
        <v/>
      </c>
      <c r="I270" s="112" t="n"/>
    </row>
    <row r="271" ht="15" customHeight="1" s="72">
      <c r="A271" s="112" t="n"/>
      <c r="B271" s="113" t="n"/>
      <c r="C271" s="114" t="n"/>
      <c r="D271" s="114" t="n"/>
      <c r="E271" s="115" t="n"/>
      <c r="F271" s="116">
        <f>IF($C271=0,0,$C271-$D271)</f>
        <v/>
      </c>
      <c r="G271" s="116">
        <f>IF($F271=0,0,$F271*$E271)</f>
        <v/>
      </c>
      <c r="H271" s="116">
        <f>$F271-$G271</f>
        <v/>
      </c>
      <c r="I271" s="112" t="n"/>
    </row>
    <row r="272" ht="15" customHeight="1" s="72">
      <c r="A272" s="112" t="n"/>
      <c r="B272" s="113" t="n"/>
      <c r="C272" s="114" t="n"/>
      <c r="D272" s="114" t="n"/>
      <c r="E272" s="115" t="n"/>
      <c r="F272" s="116">
        <f>IF($C272=0,0,$C272-$D272)</f>
        <v/>
      </c>
      <c r="G272" s="116">
        <f>IF($F272=0,0,$F272*$E272)</f>
        <v/>
      </c>
      <c r="H272" s="116">
        <f>$F272-$G272</f>
        <v/>
      </c>
      <c r="I272" s="112" t="n"/>
    </row>
    <row r="273" ht="15" customHeight="1" s="72">
      <c r="A273" s="112" t="n"/>
      <c r="B273" s="113" t="n"/>
      <c r="C273" s="114" t="n"/>
      <c r="D273" s="114" t="n"/>
      <c r="E273" s="115" t="n"/>
      <c r="F273" s="116">
        <f>IF($C273=0,0,$C273-$D273)</f>
        <v/>
      </c>
      <c r="G273" s="116">
        <f>IF($F273=0,0,$F273*$E273)</f>
        <v/>
      </c>
      <c r="H273" s="116">
        <f>$F273-$G273</f>
        <v/>
      </c>
      <c r="I273" s="112" t="n"/>
    </row>
    <row r="274" ht="15" customHeight="1" s="72">
      <c r="A274" s="112" t="n"/>
      <c r="B274" s="113" t="n"/>
      <c r="C274" s="114" t="n"/>
      <c r="D274" s="114" t="n"/>
      <c r="E274" s="115" t="n"/>
      <c r="F274" s="116">
        <f>IF($C274=0,0,$C274-$D274)</f>
        <v/>
      </c>
      <c r="G274" s="116">
        <f>IF($F274=0,0,$F274*$E274)</f>
        <v/>
      </c>
      <c r="H274" s="116">
        <f>$F274-$G274</f>
        <v/>
      </c>
      <c r="I274" s="112" t="n"/>
    </row>
    <row r="275" ht="15" customHeight="1" s="72">
      <c r="A275" s="112" t="n"/>
      <c r="B275" s="113" t="n"/>
      <c r="C275" s="114" t="n"/>
      <c r="D275" s="114" t="n"/>
      <c r="E275" s="115" t="n"/>
      <c r="F275" s="116">
        <f>IF($C275=0,0,$C275-$D275)</f>
        <v/>
      </c>
      <c r="G275" s="116">
        <f>IF($F275=0,0,$F275*$E275)</f>
        <v/>
      </c>
      <c r="H275" s="116">
        <f>$F275-$G275</f>
        <v/>
      </c>
      <c r="I275" s="112" t="n"/>
    </row>
    <row r="276" ht="15" customHeight="1" s="72">
      <c r="A276" s="112" t="n"/>
      <c r="B276" s="113" t="n"/>
      <c r="C276" s="114" t="n"/>
      <c r="D276" s="114" t="n"/>
      <c r="E276" s="115" t="n"/>
      <c r="F276" s="116">
        <f>IF($C276=0,0,$C276-$D276)</f>
        <v/>
      </c>
      <c r="G276" s="116">
        <f>IF($F276=0,0,$F276*$E276)</f>
        <v/>
      </c>
      <c r="H276" s="116">
        <f>$F276-$G276</f>
        <v/>
      </c>
      <c r="I276" s="112" t="n"/>
    </row>
    <row r="277" ht="15" customHeight="1" s="72">
      <c r="A277" s="112" t="n"/>
      <c r="B277" s="113" t="n"/>
      <c r="C277" s="114" t="n"/>
      <c r="D277" s="114" t="n"/>
      <c r="E277" s="115" t="n"/>
      <c r="F277" s="116">
        <f>IF($C277=0,0,$C277-$D277)</f>
        <v/>
      </c>
      <c r="G277" s="116">
        <f>IF($F277=0,0,$F277*$E277)</f>
        <v/>
      </c>
      <c r="H277" s="116">
        <f>$F277-$G277</f>
        <v/>
      </c>
      <c r="I277" s="112" t="n"/>
    </row>
    <row r="278" ht="15" customHeight="1" s="72">
      <c r="A278" s="112" t="n"/>
      <c r="B278" s="113" t="n"/>
      <c r="C278" s="114" t="n"/>
      <c r="D278" s="114" t="n"/>
      <c r="E278" s="115" t="n"/>
      <c r="F278" s="116">
        <f>IF($C278=0,0,$C278-$D278)</f>
        <v/>
      </c>
      <c r="G278" s="116">
        <f>IF($F278=0,0,$F278*$E278)</f>
        <v/>
      </c>
      <c r="H278" s="116">
        <f>$F278-$G278</f>
        <v/>
      </c>
      <c r="I278" s="112" t="n"/>
    </row>
    <row r="279" ht="15" customHeight="1" s="72">
      <c r="A279" s="112" t="n"/>
      <c r="B279" s="113" t="n"/>
      <c r="C279" s="114" t="n"/>
      <c r="D279" s="114" t="n"/>
      <c r="E279" s="115" t="n"/>
      <c r="F279" s="116">
        <f>IF($C279=0,0,$C279-$D279)</f>
        <v/>
      </c>
      <c r="G279" s="116">
        <f>IF($F279=0,0,$F279*$E279)</f>
        <v/>
      </c>
      <c r="H279" s="116">
        <f>$F279-$G279</f>
        <v/>
      </c>
      <c r="I279" s="112" t="n"/>
    </row>
    <row r="280" ht="15" customHeight="1" s="72">
      <c r="A280" s="112" t="n"/>
      <c r="B280" s="113" t="n"/>
      <c r="C280" s="114" t="n"/>
      <c r="D280" s="114" t="n"/>
      <c r="E280" s="115" t="n"/>
      <c r="F280" s="116">
        <f>IF($C280=0,0,$C280-$D280)</f>
        <v/>
      </c>
      <c r="G280" s="116">
        <f>IF($F280=0,0,$F280*$E280)</f>
        <v/>
      </c>
      <c r="H280" s="116">
        <f>$F280-$G280</f>
        <v/>
      </c>
      <c r="I280" s="112" t="n"/>
    </row>
    <row r="281" ht="15" customHeight="1" s="72">
      <c r="A281" s="112" t="n"/>
      <c r="B281" s="113" t="n"/>
      <c r="C281" s="114" t="n"/>
      <c r="D281" s="114" t="n"/>
      <c r="E281" s="115" t="n"/>
      <c r="F281" s="116">
        <f>IF($C281=0,0,$C281-$D281)</f>
        <v/>
      </c>
      <c r="G281" s="116">
        <f>IF($F281=0,0,$F281*$E281)</f>
        <v/>
      </c>
      <c r="H281" s="116">
        <f>$F281-$G281</f>
        <v/>
      </c>
      <c r="I281" s="112" t="n"/>
    </row>
    <row r="282" ht="15" customHeight="1" s="72">
      <c r="A282" s="112" t="n"/>
      <c r="B282" s="113" t="n"/>
      <c r="C282" s="114" t="n"/>
      <c r="D282" s="114" t="n"/>
      <c r="E282" s="115" t="n"/>
      <c r="F282" s="116">
        <f>IF($C282=0,0,$C282-$D282)</f>
        <v/>
      </c>
      <c r="G282" s="116">
        <f>IF($F282=0,0,$F282*$E282)</f>
        <v/>
      </c>
      <c r="H282" s="116">
        <f>$F282-$G282</f>
        <v/>
      </c>
      <c r="I282" s="112" t="n"/>
    </row>
    <row r="283" ht="15" customHeight="1" s="72">
      <c r="A283" s="112" t="n"/>
      <c r="B283" s="113" t="n"/>
      <c r="C283" s="114" t="n"/>
      <c r="D283" s="114" t="n"/>
      <c r="E283" s="115" t="n"/>
      <c r="F283" s="116">
        <f>IF($C283=0,0,$C283-$D283)</f>
        <v/>
      </c>
      <c r="G283" s="116">
        <f>IF($F283=0,0,$F283*$E283)</f>
        <v/>
      </c>
      <c r="H283" s="116">
        <f>$F283-$G283</f>
        <v/>
      </c>
      <c r="I283" s="112" t="n"/>
    </row>
    <row r="284" ht="15" customHeight="1" s="72">
      <c r="A284" s="112" t="n"/>
      <c r="B284" s="113" t="n"/>
      <c r="C284" s="114" t="n"/>
      <c r="D284" s="114" t="n"/>
      <c r="E284" s="115" t="n"/>
      <c r="F284" s="116">
        <f>IF($C284=0,0,$C284-$D284)</f>
        <v/>
      </c>
      <c r="G284" s="116">
        <f>IF($F284=0,0,$F284*$E284)</f>
        <v/>
      </c>
      <c r="H284" s="116">
        <f>$F284-$G284</f>
        <v/>
      </c>
      <c r="I284" s="112" t="n"/>
    </row>
    <row r="285" ht="15" customHeight="1" s="72">
      <c r="A285" s="112" t="n"/>
      <c r="B285" s="113" t="n"/>
      <c r="C285" s="114" t="n"/>
      <c r="D285" s="114" t="n"/>
      <c r="E285" s="115" t="n"/>
      <c r="F285" s="116">
        <f>IF($C285=0,0,$C285-$D285)</f>
        <v/>
      </c>
      <c r="G285" s="116">
        <f>IF($F285=0,0,$F285*$E285)</f>
        <v/>
      </c>
      <c r="H285" s="116">
        <f>$F285-$G285</f>
        <v/>
      </c>
      <c r="I285" s="112" t="n"/>
    </row>
    <row r="286" ht="15" customHeight="1" s="72">
      <c r="A286" s="112" t="n"/>
      <c r="B286" s="113" t="n"/>
      <c r="C286" s="114" t="n"/>
      <c r="D286" s="114" t="n"/>
      <c r="E286" s="115" t="n"/>
      <c r="F286" s="116">
        <f>IF($C286=0,0,$C286-$D286)</f>
        <v/>
      </c>
      <c r="G286" s="116">
        <f>IF($F286=0,0,$F286*$E286)</f>
        <v/>
      </c>
      <c r="H286" s="116">
        <f>$F286-$G286</f>
        <v/>
      </c>
      <c r="I286" s="112" t="n"/>
    </row>
    <row r="287" ht="15" customHeight="1" s="72">
      <c r="A287" s="112" t="n"/>
      <c r="B287" s="113" t="n"/>
      <c r="C287" s="114" t="n"/>
      <c r="D287" s="114" t="n"/>
      <c r="E287" s="115" t="n"/>
      <c r="F287" s="116">
        <f>IF($C287=0,0,$C287-$D287)</f>
        <v/>
      </c>
      <c r="G287" s="116">
        <f>IF($F287=0,0,$F287*$E287)</f>
        <v/>
      </c>
      <c r="H287" s="116">
        <f>$F287-$G287</f>
        <v/>
      </c>
      <c r="I287" s="112" t="n"/>
    </row>
    <row r="288" ht="15" customHeight="1" s="72">
      <c r="A288" s="112" t="n"/>
      <c r="B288" s="113" t="n"/>
      <c r="C288" s="114" t="n"/>
      <c r="D288" s="114" t="n"/>
      <c r="E288" s="115" t="n"/>
      <c r="F288" s="116">
        <f>IF($C288=0,0,$C288-$D288)</f>
        <v/>
      </c>
      <c r="G288" s="116">
        <f>IF($F288=0,0,$F288*$E288)</f>
        <v/>
      </c>
      <c r="H288" s="116">
        <f>$F288-$G288</f>
        <v/>
      </c>
      <c r="I288" s="112" t="n"/>
    </row>
    <row r="289" ht="15" customHeight="1" s="72">
      <c r="A289" s="112" t="n"/>
      <c r="B289" s="113" t="n"/>
      <c r="C289" s="114" t="n"/>
      <c r="D289" s="114" t="n"/>
      <c r="E289" s="115" t="n"/>
      <c r="F289" s="116">
        <f>IF($C289=0,0,$C289-$D289)</f>
        <v/>
      </c>
      <c r="G289" s="116">
        <f>IF($F289=0,0,$F289*$E289)</f>
        <v/>
      </c>
      <c r="H289" s="116">
        <f>$F289-$G289</f>
        <v/>
      </c>
      <c r="I289" s="112" t="n"/>
    </row>
    <row r="290" ht="15" customHeight="1" s="72">
      <c r="A290" s="112" t="n"/>
      <c r="B290" s="113" t="n"/>
      <c r="C290" s="114" t="n"/>
      <c r="D290" s="114" t="n"/>
      <c r="E290" s="115" t="n"/>
      <c r="F290" s="116">
        <f>IF($C290=0,0,$C290-$D290)</f>
        <v/>
      </c>
      <c r="G290" s="116">
        <f>IF($F290=0,0,$F290*$E290)</f>
        <v/>
      </c>
      <c r="H290" s="116">
        <f>$F290-$G290</f>
        <v/>
      </c>
      <c r="I290" s="112" t="n"/>
    </row>
    <row r="291" ht="15" customHeight="1" s="72">
      <c r="A291" s="112" t="n"/>
      <c r="B291" s="113" t="n"/>
      <c r="C291" s="114" t="n"/>
      <c r="D291" s="114" t="n"/>
      <c r="E291" s="115" t="n"/>
      <c r="F291" s="116">
        <f>IF($C291=0,0,$C291-$D291)</f>
        <v/>
      </c>
      <c r="G291" s="116">
        <f>IF($F291=0,0,$F291*$E291)</f>
        <v/>
      </c>
      <c r="H291" s="116">
        <f>$F291-$G291</f>
        <v/>
      </c>
      <c r="I291" s="112" t="n"/>
    </row>
    <row r="292" ht="15" customHeight="1" s="72">
      <c r="A292" s="112" t="n"/>
      <c r="B292" s="113" t="n"/>
      <c r="C292" s="114" t="n"/>
      <c r="D292" s="114" t="n"/>
      <c r="E292" s="115" t="n"/>
      <c r="F292" s="116">
        <f>IF($C292=0,0,$C292-$D292)</f>
        <v/>
      </c>
      <c r="G292" s="116">
        <f>IF($F292=0,0,$F292*$E292)</f>
        <v/>
      </c>
      <c r="H292" s="116">
        <f>$F292-$G292</f>
        <v/>
      </c>
      <c r="I292" s="112" t="n"/>
    </row>
    <row r="293" ht="15" customHeight="1" s="72">
      <c r="A293" s="112" t="n"/>
      <c r="B293" s="113" t="n"/>
      <c r="C293" s="114" t="n"/>
      <c r="D293" s="114" t="n"/>
      <c r="E293" s="115" t="n"/>
      <c r="F293" s="116">
        <f>IF($C293=0,0,$C293-$D293)</f>
        <v/>
      </c>
      <c r="G293" s="116">
        <f>IF($F293=0,0,$F293*$E293)</f>
        <v/>
      </c>
      <c r="H293" s="116">
        <f>$F293-$G293</f>
        <v/>
      </c>
      <c r="I293" s="112" t="n"/>
    </row>
    <row r="294" ht="15" customHeight="1" s="72">
      <c r="A294" s="112" t="n"/>
      <c r="B294" s="113" t="n"/>
      <c r="C294" s="114" t="n"/>
      <c r="D294" s="114" t="n"/>
      <c r="E294" s="115" t="n"/>
      <c r="F294" s="116">
        <f>IF($C294=0,0,$C294-$D294)</f>
        <v/>
      </c>
      <c r="G294" s="116">
        <f>IF($F294=0,0,$F294*$E294)</f>
        <v/>
      </c>
      <c r="H294" s="116">
        <f>$F294-$G294</f>
        <v/>
      </c>
      <c r="I294" s="112" t="n"/>
    </row>
    <row r="295" ht="15" customHeight="1" s="72">
      <c r="A295" s="112" t="n"/>
      <c r="B295" s="113" t="n"/>
      <c r="C295" s="114" t="n"/>
      <c r="D295" s="114" t="n"/>
      <c r="E295" s="115" t="n"/>
      <c r="F295" s="116">
        <f>IF($C295=0,0,$C295-$D295)</f>
        <v/>
      </c>
      <c r="G295" s="116">
        <f>IF($F295=0,0,$F295*$E295)</f>
        <v/>
      </c>
      <c r="H295" s="116">
        <f>$F295-$G295</f>
        <v/>
      </c>
      <c r="I295" s="112" t="n"/>
    </row>
    <row r="296" ht="15" customHeight="1" s="72">
      <c r="A296" s="112" t="n"/>
      <c r="B296" s="113" t="n"/>
      <c r="C296" s="114" t="n"/>
      <c r="D296" s="114" t="n"/>
      <c r="E296" s="115" t="n"/>
      <c r="F296" s="116">
        <f>IF($C296=0,0,$C296-$D296)</f>
        <v/>
      </c>
      <c r="G296" s="116">
        <f>IF($F296=0,0,$F296*$E296)</f>
        <v/>
      </c>
      <c r="H296" s="116">
        <f>$F296-$G296</f>
        <v/>
      </c>
      <c r="I296" s="112" t="n"/>
    </row>
    <row r="297" ht="15" customHeight="1" s="72">
      <c r="A297" s="112" t="n"/>
      <c r="B297" s="113" t="n"/>
      <c r="C297" s="114" t="n"/>
      <c r="D297" s="114" t="n"/>
      <c r="E297" s="115" t="n"/>
      <c r="F297" s="116">
        <f>IF($C297=0,0,$C297-$D297)</f>
        <v/>
      </c>
      <c r="G297" s="116">
        <f>IF($F297=0,0,$F297*$E297)</f>
        <v/>
      </c>
      <c r="H297" s="116">
        <f>$F297-$G297</f>
        <v/>
      </c>
      <c r="I297" s="112" t="n"/>
    </row>
    <row r="298" ht="15" customHeight="1" s="72">
      <c r="A298" s="112" t="n"/>
      <c r="B298" s="113" t="n"/>
      <c r="C298" s="114" t="n"/>
      <c r="D298" s="114" t="n"/>
      <c r="E298" s="115" t="n"/>
      <c r="F298" s="116">
        <f>IF($C298=0,0,$C298-$D298)</f>
        <v/>
      </c>
      <c r="G298" s="116">
        <f>IF($F298=0,0,$F298*$E298)</f>
        <v/>
      </c>
      <c r="H298" s="116">
        <f>$F298-$G298</f>
        <v/>
      </c>
      <c r="I298" s="112" t="n"/>
    </row>
    <row r="299" ht="15" customHeight="1" s="72">
      <c r="A299" s="112" t="n"/>
      <c r="B299" s="113" t="n"/>
      <c r="C299" s="114" t="n"/>
      <c r="D299" s="114" t="n"/>
      <c r="E299" s="115" t="n"/>
      <c r="F299" s="116">
        <f>IF($C299=0,0,$C299-$D299)</f>
        <v/>
      </c>
      <c r="G299" s="116">
        <f>IF($F299=0,0,$F299*$E299)</f>
        <v/>
      </c>
      <c r="H299" s="116">
        <f>$F299-$G299</f>
        <v/>
      </c>
      <c r="I299" s="112" t="n"/>
    </row>
    <row r="300" ht="15" customHeight="1" s="72">
      <c r="A300" s="112" t="n"/>
      <c r="B300" s="113" t="n"/>
      <c r="C300" s="114" t="n"/>
      <c r="D300" s="114" t="n"/>
      <c r="E300" s="115" t="n"/>
      <c r="F300" s="116">
        <f>IF($C300=0,0,$C300-$D300)</f>
        <v/>
      </c>
      <c r="G300" s="116">
        <f>IF($F300=0,0,$F300*$E300)</f>
        <v/>
      </c>
      <c r="H300" s="116">
        <f>$F300-$G300</f>
        <v/>
      </c>
      <c r="I300" s="112" t="n"/>
    </row>
    <row r="301" ht="15" customHeight="1" s="72">
      <c r="A301" s="112" t="n"/>
      <c r="B301" s="113" t="n"/>
      <c r="C301" s="114" t="n"/>
      <c r="D301" s="114" t="n"/>
      <c r="E301" s="115" t="n"/>
      <c r="F301" s="116">
        <f>IF($C301=0,0,$C301-$D301)</f>
        <v/>
      </c>
      <c r="G301" s="116">
        <f>IF($F301=0,0,$F301*$E301)</f>
        <v/>
      </c>
      <c r="H301" s="116">
        <f>$F301-$G301</f>
        <v/>
      </c>
      <c r="I301" s="112" t="n"/>
    </row>
    <row r="302" ht="15" customHeight="1" s="72">
      <c r="A302" s="112" t="n"/>
      <c r="B302" s="113" t="n"/>
      <c r="C302" s="114" t="n"/>
      <c r="D302" s="114" t="n"/>
      <c r="E302" s="115" t="n"/>
      <c r="F302" s="116">
        <f>IF($C302=0,0,$C302-$D302)</f>
        <v/>
      </c>
      <c r="G302" s="116">
        <f>IF($F302=0,0,$F302*$E302)</f>
        <v/>
      </c>
      <c r="H302" s="116">
        <f>$F302-$G302</f>
        <v/>
      </c>
      <c r="I302" s="112" t="n"/>
    </row>
    <row r="303" ht="15" customHeight="1" s="72">
      <c r="A303" s="112" t="n"/>
      <c r="B303" s="113" t="n"/>
      <c r="C303" s="114" t="n"/>
      <c r="D303" s="114" t="n"/>
      <c r="E303" s="115" t="n"/>
      <c r="F303" s="116">
        <f>IF($C303=0,0,$C303-$D303)</f>
        <v/>
      </c>
      <c r="G303" s="116">
        <f>IF($F303=0,0,$F303*$E303)</f>
        <v/>
      </c>
      <c r="H303" s="116">
        <f>$F303-$G303</f>
        <v/>
      </c>
      <c r="I303" s="112" t="n"/>
    </row>
    <row r="304" ht="15" customHeight="1" s="72">
      <c r="A304" s="112" t="n"/>
      <c r="B304" s="113" t="n"/>
      <c r="C304" s="114" t="n"/>
      <c r="D304" s="114" t="n"/>
      <c r="E304" s="115" t="n"/>
      <c r="F304" s="116">
        <f>IF($C304=0,0,$C304-$D304)</f>
        <v/>
      </c>
      <c r="G304" s="116">
        <f>IF($F304=0,0,$F304*$E304)</f>
        <v/>
      </c>
      <c r="H304" s="116">
        <f>$F304-$G304</f>
        <v/>
      </c>
      <c r="I304" s="112" t="n"/>
    </row>
    <row r="305" ht="15" customHeight="1" s="72">
      <c r="A305" s="112" t="n"/>
      <c r="B305" s="113" t="n"/>
      <c r="C305" s="114" t="n"/>
      <c r="D305" s="114" t="n"/>
      <c r="E305" s="115" t="n"/>
      <c r="F305" s="116">
        <f>IF($C305=0,0,$C305-$D305)</f>
        <v/>
      </c>
      <c r="G305" s="116">
        <f>IF($F305=0,0,$F305*$E305)</f>
        <v/>
      </c>
      <c r="H305" s="116">
        <f>$F305-$G305</f>
        <v/>
      </c>
      <c r="I305" s="112" t="n"/>
    </row>
    <row r="306" ht="15" customHeight="1" s="72">
      <c r="A306" s="112" t="n"/>
      <c r="B306" s="113" t="n"/>
      <c r="C306" s="114" t="n"/>
      <c r="D306" s="114" t="n"/>
      <c r="E306" s="115" t="n"/>
      <c r="F306" s="116">
        <f>IF($C306=0,0,$C306-$D306)</f>
        <v/>
      </c>
      <c r="G306" s="116">
        <f>IF($F306=0,0,$F306*$E306)</f>
        <v/>
      </c>
      <c r="H306" s="116">
        <f>$F306-$G306</f>
        <v/>
      </c>
      <c r="I306" s="112" t="n"/>
    </row>
    <row r="307" ht="15" customHeight="1" s="72">
      <c r="A307" s="112" t="n"/>
      <c r="B307" s="113" t="n"/>
      <c r="C307" s="114" t="n"/>
      <c r="D307" s="114" t="n"/>
      <c r="E307" s="115" t="n"/>
      <c r="F307" s="116">
        <f>IF($C307=0,0,$C307-$D307)</f>
        <v/>
      </c>
      <c r="G307" s="116">
        <f>IF($F307=0,0,$F307*$E307)</f>
        <v/>
      </c>
      <c r="H307" s="116">
        <f>$F307-$G307</f>
        <v/>
      </c>
      <c r="I307" s="112" t="n"/>
    </row>
    <row r="308" ht="15" customHeight="1" s="72">
      <c r="A308" s="112" t="n"/>
      <c r="B308" s="113" t="n"/>
      <c r="C308" s="114" t="n"/>
      <c r="D308" s="114" t="n"/>
      <c r="E308" s="115" t="n"/>
      <c r="F308" s="116">
        <f>IF($C308=0,0,$C308-$D308)</f>
        <v/>
      </c>
      <c r="G308" s="116">
        <f>IF($F308=0,0,$F308*$E308)</f>
        <v/>
      </c>
      <c r="H308" s="116">
        <f>$F308-$G308</f>
        <v/>
      </c>
      <c r="I308" s="112" t="n"/>
    </row>
    <row r="309" ht="15" customHeight="1" s="72">
      <c r="A309" s="112" t="n"/>
      <c r="B309" s="113" t="n"/>
      <c r="C309" s="114" t="n"/>
      <c r="D309" s="114" t="n"/>
      <c r="E309" s="115" t="n"/>
      <c r="F309" s="116">
        <f>IF($C309=0,0,$C309-$D309)</f>
        <v/>
      </c>
      <c r="G309" s="116">
        <f>IF($F309=0,0,$F309*$E309)</f>
        <v/>
      </c>
      <c r="H309" s="116">
        <f>$F309-$G309</f>
        <v/>
      </c>
      <c r="I309" s="112" t="n"/>
    </row>
    <row r="310" ht="15" customHeight="1" s="72">
      <c r="A310" s="112" t="n"/>
      <c r="B310" s="113" t="n"/>
      <c r="C310" s="114" t="n"/>
      <c r="D310" s="114" t="n"/>
      <c r="E310" s="115" t="n"/>
      <c r="F310" s="116">
        <f>IF($C310=0,0,$C310-$D310)</f>
        <v/>
      </c>
      <c r="G310" s="116">
        <f>IF($F310=0,0,$F310*$E310)</f>
        <v/>
      </c>
      <c r="H310" s="116">
        <f>$F310-$G310</f>
        <v/>
      </c>
      <c r="I310" s="112" t="n"/>
    </row>
    <row r="311" ht="15" customHeight="1" s="72">
      <c r="A311" s="112" t="n"/>
      <c r="B311" s="113" t="n"/>
      <c r="C311" s="114" t="n"/>
      <c r="D311" s="114" t="n"/>
      <c r="E311" s="115" t="n"/>
      <c r="F311" s="116">
        <f>IF($C311=0,0,$C311-$D311)</f>
        <v/>
      </c>
      <c r="G311" s="116">
        <f>IF($F311=0,0,$F311*$E311)</f>
        <v/>
      </c>
      <c r="H311" s="116">
        <f>$F311-$G311</f>
        <v/>
      </c>
      <c r="I311" s="112" t="n"/>
    </row>
    <row r="312" ht="15" customHeight="1" s="72">
      <c r="A312" s="112" t="n"/>
      <c r="B312" s="113" t="n"/>
      <c r="C312" s="114" t="n"/>
      <c r="D312" s="114" t="n"/>
      <c r="E312" s="115" t="n"/>
      <c r="F312" s="116">
        <f>IF($C312=0,0,$C312-$D312)</f>
        <v/>
      </c>
      <c r="G312" s="116">
        <f>IF($F312=0,0,$F312*$E312)</f>
        <v/>
      </c>
      <c r="H312" s="116">
        <f>$F312-$G312</f>
        <v/>
      </c>
      <c r="I312" s="112" t="n"/>
    </row>
    <row r="313" ht="15" customHeight="1" s="72">
      <c r="A313" s="112" t="n"/>
      <c r="B313" s="113" t="n"/>
      <c r="C313" s="114" t="n"/>
      <c r="D313" s="114" t="n"/>
      <c r="E313" s="115" t="n"/>
      <c r="F313" s="116">
        <f>IF($C313=0,0,$C313-$D313)</f>
        <v/>
      </c>
      <c r="G313" s="116">
        <f>IF($F313=0,0,$F313*$E313)</f>
        <v/>
      </c>
      <c r="H313" s="116">
        <f>$F313-$G313</f>
        <v/>
      </c>
      <c r="I313" s="112" t="n"/>
    </row>
    <row r="314" ht="15" customHeight="1" s="72">
      <c r="A314" s="112" t="n"/>
      <c r="B314" s="113" t="n"/>
      <c r="C314" s="114" t="n"/>
      <c r="D314" s="114" t="n"/>
      <c r="E314" s="115" t="n"/>
      <c r="F314" s="116">
        <f>IF($C314=0,0,$C314-$D314)</f>
        <v/>
      </c>
      <c r="G314" s="116">
        <f>IF($F314=0,0,$F314*$E314)</f>
        <v/>
      </c>
      <c r="H314" s="116">
        <f>$F314-$G314</f>
        <v/>
      </c>
      <c r="I314" s="112" t="n"/>
    </row>
    <row r="315" ht="15" customHeight="1" s="72">
      <c r="A315" s="112" t="n"/>
      <c r="B315" s="113" t="n"/>
      <c r="C315" s="114" t="n"/>
      <c r="D315" s="114" t="n"/>
      <c r="E315" s="115" t="n"/>
      <c r="F315" s="116">
        <f>IF($C315=0,0,$C315-$D315)</f>
        <v/>
      </c>
      <c r="G315" s="116">
        <f>IF($F315=0,0,$F315*$E315)</f>
        <v/>
      </c>
      <c r="H315" s="116">
        <f>$F315-$G315</f>
        <v/>
      </c>
      <c r="I315" s="112" t="n"/>
    </row>
    <row r="316" ht="15" customHeight="1" s="72">
      <c r="A316" s="112" t="n"/>
      <c r="B316" s="113" t="n"/>
      <c r="C316" s="114" t="n"/>
      <c r="D316" s="114" t="n"/>
      <c r="E316" s="115" t="n"/>
      <c r="F316" s="116">
        <f>IF($C316=0,0,$C316-$D316)</f>
        <v/>
      </c>
      <c r="G316" s="116">
        <f>IF($F316=0,0,$F316*$E316)</f>
        <v/>
      </c>
      <c r="H316" s="116">
        <f>$F316-$G316</f>
        <v/>
      </c>
      <c r="I316" s="112" t="n"/>
    </row>
    <row r="317" ht="15" customHeight="1" s="72">
      <c r="A317" s="112" t="n"/>
      <c r="B317" s="113" t="n"/>
      <c r="C317" s="114" t="n"/>
      <c r="D317" s="114" t="n"/>
      <c r="E317" s="115" t="n"/>
      <c r="F317" s="116">
        <f>IF($C317=0,0,$C317-$D317)</f>
        <v/>
      </c>
      <c r="G317" s="116">
        <f>IF($F317=0,0,$F317*$E317)</f>
        <v/>
      </c>
      <c r="H317" s="116">
        <f>$F317-$G317</f>
        <v/>
      </c>
      <c r="I317" s="112" t="n"/>
    </row>
    <row r="318" ht="15" customHeight="1" s="72">
      <c r="A318" s="112" t="n"/>
      <c r="B318" s="113" t="n"/>
      <c r="C318" s="114" t="n"/>
      <c r="D318" s="114" t="n"/>
      <c r="E318" s="115" t="n"/>
      <c r="F318" s="116">
        <f>IF($C318=0,0,$C318-$D318)</f>
        <v/>
      </c>
      <c r="G318" s="116">
        <f>IF($F318=0,0,$F318*$E318)</f>
        <v/>
      </c>
      <c r="H318" s="116">
        <f>$F318-$G318</f>
        <v/>
      </c>
      <c r="I318" s="112" t="n"/>
    </row>
    <row r="319" ht="15" customHeight="1" s="72">
      <c r="A319" s="112" t="n"/>
      <c r="B319" s="113" t="n"/>
      <c r="C319" s="114" t="n"/>
      <c r="D319" s="114" t="n"/>
      <c r="E319" s="115" t="n"/>
      <c r="F319" s="116">
        <f>IF($C319=0,0,$C319-$D319)</f>
        <v/>
      </c>
      <c r="G319" s="116">
        <f>IF($F319=0,0,$F319*$E319)</f>
        <v/>
      </c>
      <c r="H319" s="116">
        <f>$F319-$G319</f>
        <v/>
      </c>
      <c r="I319" s="112" t="n"/>
    </row>
    <row r="320" ht="15" customHeight="1" s="72">
      <c r="A320" s="112" t="n"/>
      <c r="B320" s="113" t="n"/>
      <c r="C320" s="114" t="n"/>
      <c r="D320" s="114" t="n"/>
      <c r="E320" s="115" t="n"/>
      <c r="F320" s="116">
        <f>IF($C320=0,0,$C320-$D320)</f>
        <v/>
      </c>
      <c r="G320" s="116">
        <f>IF($F320=0,0,$F320*$E320)</f>
        <v/>
      </c>
      <c r="H320" s="116">
        <f>$F320-$G320</f>
        <v/>
      </c>
      <c r="I320" s="112" t="n"/>
    </row>
    <row r="321" ht="15" customHeight="1" s="72">
      <c r="A321" s="112" t="n"/>
      <c r="B321" s="113" t="n"/>
      <c r="C321" s="114" t="n"/>
      <c r="D321" s="114" t="n"/>
      <c r="E321" s="115" t="n"/>
      <c r="F321" s="116">
        <f>IF($C321=0,0,$C321-$D321)</f>
        <v/>
      </c>
      <c r="G321" s="116">
        <f>IF($F321=0,0,$F321*$E321)</f>
        <v/>
      </c>
      <c r="H321" s="116">
        <f>$F321-$G321</f>
        <v/>
      </c>
      <c r="I321" s="112" t="n"/>
    </row>
    <row r="322" ht="15" customHeight="1" s="72">
      <c r="A322" s="112" t="n"/>
      <c r="B322" s="113" t="n"/>
      <c r="C322" s="114" t="n"/>
      <c r="D322" s="114" t="n"/>
      <c r="E322" s="115" t="n"/>
      <c r="F322" s="116">
        <f>IF($C322=0,0,$C322-$D322)</f>
        <v/>
      </c>
      <c r="G322" s="116">
        <f>IF($F322=0,0,$F322*$E322)</f>
        <v/>
      </c>
      <c r="H322" s="116">
        <f>$F322-$G322</f>
        <v/>
      </c>
      <c r="I322" s="112" t="n"/>
    </row>
    <row r="323" ht="15" customHeight="1" s="72">
      <c r="A323" s="112" t="n"/>
      <c r="B323" s="113" t="n"/>
      <c r="C323" s="114" t="n"/>
      <c r="D323" s="114" t="n"/>
      <c r="E323" s="115" t="n"/>
      <c r="F323" s="116">
        <f>IF($C323=0,0,$C323-$D323)</f>
        <v/>
      </c>
      <c r="G323" s="116">
        <f>IF($F323=0,0,$F323*$E323)</f>
        <v/>
      </c>
      <c r="H323" s="116">
        <f>$F323-$G323</f>
        <v/>
      </c>
      <c r="I323" s="112" t="n"/>
    </row>
    <row r="324" ht="15" customHeight="1" s="72">
      <c r="A324" s="112" t="n"/>
      <c r="B324" s="113" t="n"/>
      <c r="C324" s="114" t="n"/>
      <c r="D324" s="114" t="n"/>
      <c r="E324" s="115" t="n"/>
      <c r="F324" s="116">
        <f>IF($C324=0,0,$C324-$D324)</f>
        <v/>
      </c>
      <c r="G324" s="116">
        <f>IF($F324=0,0,$F324*$E324)</f>
        <v/>
      </c>
      <c r="H324" s="116">
        <f>$F324-$G324</f>
        <v/>
      </c>
      <c r="I324" s="112" t="n"/>
    </row>
    <row r="325" ht="15" customHeight="1" s="72">
      <c r="A325" s="112" t="n"/>
      <c r="B325" s="113" t="n"/>
      <c r="C325" s="114" t="n"/>
      <c r="D325" s="114" t="n"/>
      <c r="E325" s="115" t="n"/>
      <c r="F325" s="116">
        <f>IF($C325=0,0,$C325-$D325)</f>
        <v/>
      </c>
      <c r="G325" s="116">
        <f>IF($F325=0,0,$F325*$E325)</f>
        <v/>
      </c>
      <c r="H325" s="116">
        <f>$F325-$G325</f>
        <v/>
      </c>
      <c r="I325" s="112" t="n"/>
    </row>
    <row r="326" ht="15" customHeight="1" s="72">
      <c r="A326" s="112" t="n"/>
      <c r="B326" s="113" t="n"/>
      <c r="C326" s="114" t="n"/>
      <c r="D326" s="114" t="n"/>
      <c r="E326" s="115" t="n"/>
      <c r="F326" s="116">
        <f>IF($C326=0,0,$C326-$D326)</f>
        <v/>
      </c>
      <c r="G326" s="116">
        <f>IF($F326=0,0,$F326*$E326)</f>
        <v/>
      </c>
      <c r="H326" s="116">
        <f>$F326-$G326</f>
        <v/>
      </c>
      <c r="I326" s="112" t="n"/>
    </row>
    <row r="327" ht="15" customHeight="1" s="72">
      <c r="A327" s="112" t="n"/>
      <c r="B327" s="113" t="n"/>
      <c r="C327" s="114" t="n"/>
      <c r="D327" s="114" t="n"/>
      <c r="E327" s="115" t="n"/>
      <c r="F327" s="116">
        <f>IF($C327=0,0,$C327-$D327)</f>
        <v/>
      </c>
      <c r="G327" s="116">
        <f>IF($F327=0,0,$F327*$E327)</f>
        <v/>
      </c>
      <c r="H327" s="116">
        <f>$F327-$G327</f>
        <v/>
      </c>
      <c r="I327" s="112" t="n"/>
    </row>
    <row r="328" ht="15" customHeight="1" s="72">
      <c r="A328" s="112" t="n"/>
      <c r="B328" s="113" t="n"/>
      <c r="C328" s="114" t="n"/>
      <c r="D328" s="114" t="n"/>
      <c r="E328" s="115" t="n"/>
      <c r="F328" s="116">
        <f>IF($C328=0,0,$C328-$D328)</f>
        <v/>
      </c>
      <c r="G328" s="116">
        <f>IF($F328=0,0,$F328*$E328)</f>
        <v/>
      </c>
      <c r="H328" s="116">
        <f>$F328-$G328</f>
        <v/>
      </c>
      <c r="I328" s="112" t="n"/>
    </row>
    <row r="329" ht="15" customHeight="1" s="72">
      <c r="A329" s="112" t="n"/>
      <c r="B329" s="113" t="n"/>
      <c r="C329" s="114" t="n"/>
      <c r="D329" s="114" t="n"/>
      <c r="E329" s="115" t="n"/>
      <c r="F329" s="116">
        <f>IF($C329=0,0,$C329-$D329)</f>
        <v/>
      </c>
      <c r="G329" s="116">
        <f>IF($F329=0,0,$F329*$E329)</f>
        <v/>
      </c>
      <c r="H329" s="116">
        <f>$F329-$G329</f>
        <v/>
      </c>
      <c r="I329" s="112" t="n"/>
    </row>
    <row r="330" ht="15" customHeight="1" s="72">
      <c r="A330" s="112" t="n"/>
      <c r="B330" s="113" t="n"/>
      <c r="C330" s="114" t="n"/>
      <c r="D330" s="114" t="n"/>
      <c r="E330" s="115" t="n"/>
      <c r="F330" s="116">
        <f>IF($C330=0,0,$C330-$D330)</f>
        <v/>
      </c>
      <c r="G330" s="116">
        <f>IF($F330=0,0,$F330*$E330)</f>
        <v/>
      </c>
      <c r="H330" s="116">
        <f>$F330-$G330</f>
        <v/>
      </c>
      <c r="I330" s="112" t="n"/>
    </row>
    <row r="331" ht="15" customHeight="1" s="72">
      <c r="A331" s="112" t="n"/>
      <c r="B331" s="113" t="n"/>
      <c r="C331" s="114" t="n"/>
      <c r="D331" s="114" t="n"/>
      <c r="E331" s="115" t="n"/>
      <c r="F331" s="116">
        <f>IF($C331=0,0,$C331-$D331)</f>
        <v/>
      </c>
      <c r="G331" s="116">
        <f>IF($F331=0,0,$F331*$E331)</f>
        <v/>
      </c>
      <c r="H331" s="116">
        <f>$F331-$G331</f>
        <v/>
      </c>
      <c r="I331" s="112" t="n"/>
    </row>
    <row r="332" ht="15" customHeight="1" s="72">
      <c r="A332" s="112" t="n"/>
      <c r="B332" s="113" t="n"/>
      <c r="C332" s="114" t="n"/>
      <c r="D332" s="114" t="n"/>
      <c r="E332" s="115" t="n"/>
      <c r="F332" s="116">
        <f>IF($C332=0,0,$C332-$D332)</f>
        <v/>
      </c>
      <c r="G332" s="116">
        <f>IF($F332=0,0,$F332*$E332)</f>
        <v/>
      </c>
      <c r="H332" s="116">
        <f>$F332-$G332</f>
        <v/>
      </c>
      <c r="I332" s="112" t="n"/>
    </row>
    <row r="333" ht="15" customHeight="1" s="72">
      <c r="A333" s="112" t="n"/>
      <c r="B333" s="113" t="n"/>
      <c r="C333" s="114" t="n"/>
      <c r="D333" s="114" t="n"/>
      <c r="E333" s="115" t="n"/>
      <c r="F333" s="116">
        <f>IF($C333=0,0,$C333-$D333)</f>
        <v/>
      </c>
      <c r="G333" s="116">
        <f>IF($F333=0,0,$F333*$E333)</f>
        <v/>
      </c>
      <c r="H333" s="116">
        <f>$F333-$G333</f>
        <v/>
      </c>
      <c r="I333" s="112" t="n"/>
    </row>
    <row r="334" ht="15" customHeight="1" s="72">
      <c r="A334" s="112" t="n"/>
      <c r="B334" s="113" t="n"/>
      <c r="C334" s="114" t="n"/>
      <c r="D334" s="114" t="n"/>
      <c r="E334" s="115" t="n"/>
      <c r="F334" s="116">
        <f>IF($C334=0,0,$C334-$D334)</f>
        <v/>
      </c>
      <c r="G334" s="116">
        <f>IF($F334=0,0,$F334*$E334)</f>
        <v/>
      </c>
      <c r="H334" s="116">
        <f>$F334-$G334</f>
        <v/>
      </c>
      <c r="I334" s="112" t="n"/>
    </row>
    <row r="335" ht="15" customHeight="1" s="72">
      <c r="A335" s="112" t="n"/>
      <c r="B335" s="113" t="n"/>
      <c r="C335" s="114" t="n"/>
      <c r="D335" s="114" t="n"/>
      <c r="E335" s="115" t="n"/>
      <c r="F335" s="116">
        <f>IF($C335=0,0,$C335-$D335)</f>
        <v/>
      </c>
      <c r="G335" s="116">
        <f>IF($F335=0,0,$F335*$E335)</f>
        <v/>
      </c>
      <c r="H335" s="116">
        <f>$F335-$G335</f>
        <v/>
      </c>
      <c r="I335" s="112" t="n"/>
    </row>
    <row r="336" ht="15" customHeight="1" s="72">
      <c r="A336" s="112" t="n"/>
      <c r="B336" s="113" t="n"/>
      <c r="C336" s="114" t="n"/>
      <c r="D336" s="114" t="n"/>
      <c r="E336" s="115" t="n"/>
      <c r="F336" s="116">
        <f>IF($C336=0,0,$C336-$D336)</f>
        <v/>
      </c>
      <c r="G336" s="116">
        <f>IF($F336=0,0,$F336*$E336)</f>
        <v/>
      </c>
      <c r="H336" s="116">
        <f>$F336-$G336</f>
        <v/>
      </c>
      <c r="I336" s="112" t="n"/>
    </row>
    <row r="337" ht="15" customHeight="1" s="72">
      <c r="A337" s="112" t="n"/>
      <c r="B337" s="113" t="n"/>
      <c r="C337" s="114" t="n"/>
      <c r="D337" s="114" t="n"/>
      <c r="E337" s="115" t="n"/>
      <c r="F337" s="116">
        <f>IF($C337=0,0,$C337-$D337)</f>
        <v/>
      </c>
      <c r="G337" s="116">
        <f>IF($F337=0,0,$F337*$E337)</f>
        <v/>
      </c>
      <c r="H337" s="116">
        <f>$F337-$G337</f>
        <v/>
      </c>
      <c r="I337" s="112" t="n"/>
    </row>
    <row r="338" ht="15" customHeight="1" s="72">
      <c r="A338" s="112" t="n"/>
      <c r="B338" s="113" t="n"/>
      <c r="C338" s="114" t="n"/>
      <c r="D338" s="114" t="n"/>
      <c r="E338" s="115" t="n"/>
      <c r="F338" s="116">
        <f>IF($C338=0,0,$C338-$D338)</f>
        <v/>
      </c>
      <c r="G338" s="116">
        <f>IF($F338=0,0,$F338*$E338)</f>
        <v/>
      </c>
      <c r="H338" s="116">
        <f>$F338-$G338</f>
        <v/>
      </c>
      <c r="I338" s="112" t="n"/>
    </row>
    <row r="339" ht="15" customHeight="1" s="72">
      <c r="A339" s="112" t="n"/>
      <c r="B339" s="113" t="n"/>
      <c r="C339" s="114" t="n"/>
      <c r="D339" s="114" t="n"/>
      <c r="E339" s="115" t="n"/>
      <c r="F339" s="116">
        <f>IF($C339=0,0,$C339-$D339)</f>
        <v/>
      </c>
      <c r="G339" s="116">
        <f>IF($F339=0,0,$F339*$E339)</f>
        <v/>
      </c>
      <c r="H339" s="116">
        <f>$F339-$G339</f>
        <v/>
      </c>
      <c r="I339" s="112" t="n"/>
    </row>
    <row r="340" ht="15" customHeight="1" s="72">
      <c r="A340" s="112" t="n"/>
      <c r="B340" s="113" t="n"/>
      <c r="C340" s="114" t="n"/>
      <c r="D340" s="114" t="n"/>
      <c r="E340" s="115" t="n"/>
      <c r="F340" s="116">
        <f>IF($C340=0,0,$C340-$D340)</f>
        <v/>
      </c>
      <c r="G340" s="116">
        <f>IF($F340=0,0,$F340*$E340)</f>
        <v/>
      </c>
      <c r="H340" s="116">
        <f>$F340-$G340</f>
        <v/>
      </c>
      <c r="I340" s="112" t="n"/>
    </row>
    <row r="341" ht="15" customHeight="1" s="72">
      <c r="A341" s="112" t="n"/>
      <c r="B341" s="113" t="n"/>
      <c r="C341" s="114" t="n"/>
      <c r="D341" s="114" t="n"/>
      <c r="E341" s="115" t="n"/>
      <c r="F341" s="116">
        <f>IF($C341=0,0,$C341-$D341)</f>
        <v/>
      </c>
      <c r="G341" s="116">
        <f>IF($F341=0,0,$F341*$E341)</f>
        <v/>
      </c>
      <c r="H341" s="116">
        <f>$F341-$G341</f>
        <v/>
      </c>
      <c r="I341" s="112" t="n"/>
    </row>
    <row r="342" ht="15" customHeight="1" s="72">
      <c r="A342" s="112" t="n"/>
      <c r="B342" s="113" t="n"/>
      <c r="C342" s="114" t="n"/>
      <c r="D342" s="114" t="n"/>
      <c r="E342" s="115" t="n"/>
      <c r="F342" s="116">
        <f>IF($C342=0,0,$C342-$D342)</f>
        <v/>
      </c>
      <c r="G342" s="116">
        <f>IF($F342=0,0,$F342*$E342)</f>
        <v/>
      </c>
      <c r="H342" s="116">
        <f>$F342-$G342</f>
        <v/>
      </c>
      <c r="I342" s="112" t="n"/>
    </row>
    <row r="343" ht="15" customHeight="1" s="72">
      <c r="A343" s="112" t="n"/>
      <c r="B343" s="113" t="n"/>
      <c r="C343" s="114" t="n"/>
      <c r="D343" s="114" t="n"/>
      <c r="E343" s="115" t="n"/>
      <c r="F343" s="116">
        <f>IF($C343=0,0,$C343-$D343)</f>
        <v/>
      </c>
      <c r="G343" s="116">
        <f>IF($F343=0,0,$F343*$E343)</f>
        <v/>
      </c>
      <c r="H343" s="116">
        <f>$F343-$G343</f>
        <v/>
      </c>
      <c r="I343" s="112" t="n"/>
    </row>
    <row r="344" ht="15" customHeight="1" s="72">
      <c r="A344" s="112" t="n"/>
      <c r="B344" s="113" t="n"/>
      <c r="C344" s="114" t="n"/>
      <c r="D344" s="114" t="n"/>
      <c r="E344" s="115" t="n"/>
      <c r="F344" s="116">
        <f>IF($C344=0,0,$C344-$D344)</f>
        <v/>
      </c>
      <c r="G344" s="116">
        <f>IF($F344=0,0,$F344*$E344)</f>
        <v/>
      </c>
      <c r="H344" s="116">
        <f>$F344-$G344</f>
        <v/>
      </c>
      <c r="I344" s="112" t="n"/>
    </row>
    <row r="345" ht="15" customHeight="1" s="72">
      <c r="A345" s="112" t="n"/>
      <c r="B345" s="113" t="n"/>
      <c r="C345" s="114" t="n"/>
      <c r="D345" s="114" t="n"/>
      <c r="E345" s="115" t="n"/>
      <c r="F345" s="116">
        <f>IF($C345=0,0,$C345-$D345)</f>
        <v/>
      </c>
      <c r="G345" s="116">
        <f>IF($F345=0,0,$F345*$E345)</f>
        <v/>
      </c>
      <c r="H345" s="116">
        <f>$F345-$G345</f>
        <v/>
      </c>
      <c r="I345" s="112" t="n"/>
    </row>
    <row r="346" ht="15" customHeight="1" s="72">
      <c r="A346" s="112" t="n"/>
      <c r="B346" s="113" t="n"/>
      <c r="C346" s="114" t="n"/>
      <c r="D346" s="114" t="n"/>
      <c r="E346" s="115" t="n"/>
      <c r="F346" s="116">
        <f>IF($C346=0,0,$C346-$D346)</f>
        <v/>
      </c>
      <c r="G346" s="116">
        <f>IF($F346=0,0,$F346*$E346)</f>
        <v/>
      </c>
      <c r="H346" s="116">
        <f>$F346-$G346</f>
        <v/>
      </c>
      <c r="I346" s="112" t="n"/>
    </row>
    <row r="347" ht="15" customHeight="1" s="72">
      <c r="A347" s="112" t="n"/>
      <c r="B347" s="113" t="n"/>
      <c r="C347" s="114" t="n"/>
      <c r="D347" s="114" t="n"/>
      <c r="E347" s="115" t="n"/>
      <c r="F347" s="116">
        <f>IF($C347=0,0,$C347-$D347)</f>
        <v/>
      </c>
      <c r="G347" s="116">
        <f>IF($F347=0,0,$F347*$E347)</f>
        <v/>
      </c>
      <c r="H347" s="116">
        <f>$F347-$G347</f>
        <v/>
      </c>
      <c r="I347" s="112" t="n"/>
    </row>
    <row r="348" ht="15" customHeight="1" s="72">
      <c r="A348" s="112" t="n"/>
      <c r="B348" s="113" t="n"/>
      <c r="C348" s="114" t="n"/>
      <c r="D348" s="114" t="n"/>
      <c r="E348" s="115" t="n"/>
      <c r="F348" s="116">
        <f>IF($C348=0,0,$C348-$D348)</f>
        <v/>
      </c>
      <c r="G348" s="116">
        <f>IF($F348=0,0,$F348*$E348)</f>
        <v/>
      </c>
      <c r="H348" s="116">
        <f>$F348-$G348</f>
        <v/>
      </c>
      <c r="I348" s="112" t="n"/>
    </row>
    <row r="349" ht="15" customHeight="1" s="72">
      <c r="A349" s="112" t="n"/>
      <c r="B349" s="113" t="n"/>
      <c r="C349" s="114" t="n"/>
      <c r="D349" s="114" t="n"/>
      <c r="E349" s="115" t="n"/>
      <c r="F349" s="116">
        <f>IF($C349=0,0,$C349-$D349)</f>
        <v/>
      </c>
      <c r="G349" s="116">
        <f>IF($F349=0,0,$F349*$E349)</f>
        <v/>
      </c>
      <c r="H349" s="116">
        <f>$F349-$G349</f>
        <v/>
      </c>
      <c r="I349" s="112" t="n"/>
    </row>
    <row r="350" ht="15" customHeight="1" s="72">
      <c r="A350" s="112" t="n"/>
      <c r="B350" s="113" t="n"/>
      <c r="C350" s="114" t="n"/>
      <c r="D350" s="114" t="n"/>
      <c r="E350" s="115" t="n"/>
      <c r="F350" s="116">
        <f>IF($C350=0,0,$C350-$D350)</f>
        <v/>
      </c>
      <c r="G350" s="116">
        <f>IF($F350=0,0,$F350*$E350)</f>
        <v/>
      </c>
      <c r="H350" s="116">
        <f>$F350-$G350</f>
        <v/>
      </c>
      <c r="I350" s="112" t="n"/>
    </row>
    <row r="351" ht="15" customHeight="1" s="72">
      <c r="A351" s="112" t="n"/>
      <c r="B351" s="113" t="n"/>
      <c r="C351" s="114" t="n"/>
      <c r="D351" s="114" t="n"/>
      <c r="E351" s="115" t="n"/>
      <c r="F351" s="116">
        <f>IF($C351=0,0,$C351-$D351)</f>
        <v/>
      </c>
      <c r="G351" s="116">
        <f>IF($F351=0,0,$F351*$E351)</f>
        <v/>
      </c>
      <c r="H351" s="116">
        <f>$F351-$G351</f>
        <v/>
      </c>
      <c r="I351" s="112" t="n"/>
    </row>
    <row r="352" ht="15" customHeight="1" s="72">
      <c r="A352" s="112" t="n"/>
      <c r="B352" s="113" t="n"/>
      <c r="C352" s="114" t="n"/>
      <c r="D352" s="114" t="n"/>
      <c r="E352" s="115" t="n"/>
      <c r="F352" s="116">
        <f>IF($C352=0,0,$C352-$D352)</f>
        <v/>
      </c>
      <c r="G352" s="116">
        <f>IF($F352=0,0,$F352*$E352)</f>
        <v/>
      </c>
      <c r="H352" s="116">
        <f>$F352-$G352</f>
        <v/>
      </c>
      <c r="I352" s="112" t="n"/>
    </row>
    <row r="353" ht="15" customHeight="1" s="72">
      <c r="A353" s="112" t="n"/>
      <c r="B353" s="113" t="n"/>
      <c r="C353" s="114" t="n"/>
      <c r="D353" s="114" t="n"/>
      <c r="E353" s="115" t="n"/>
      <c r="F353" s="116">
        <f>IF($C353=0,0,$C353-$D353)</f>
        <v/>
      </c>
      <c r="G353" s="116">
        <f>IF($F353=0,0,$F353*$E353)</f>
        <v/>
      </c>
      <c r="H353" s="116">
        <f>$F353-$G353</f>
        <v/>
      </c>
      <c r="I353" s="112" t="n"/>
    </row>
    <row r="354" ht="15" customHeight="1" s="72">
      <c r="A354" s="112" t="n"/>
      <c r="B354" s="113" t="n"/>
      <c r="C354" s="114" t="n"/>
      <c r="D354" s="114" t="n"/>
      <c r="E354" s="115" t="n"/>
      <c r="F354" s="116">
        <f>IF($C354=0,0,$C354-$D354)</f>
        <v/>
      </c>
      <c r="G354" s="116">
        <f>IF($F354=0,0,$F354*$E354)</f>
        <v/>
      </c>
      <c r="H354" s="116">
        <f>$F354-$G354</f>
        <v/>
      </c>
      <c r="I354" s="112" t="n"/>
    </row>
    <row r="355" ht="15" customHeight="1" s="72">
      <c r="A355" s="112" t="n"/>
      <c r="B355" s="113" t="n"/>
      <c r="C355" s="114" t="n"/>
      <c r="D355" s="114" t="n"/>
      <c r="E355" s="115" t="n"/>
      <c r="F355" s="116">
        <f>IF($C355=0,0,$C355-$D355)</f>
        <v/>
      </c>
      <c r="G355" s="116">
        <f>IF($F355=0,0,$F355*$E355)</f>
        <v/>
      </c>
      <c r="H355" s="116">
        <f>$F355-$G355</f>
        <v/>
      </c>
      <c r="I355" s="112" t="n"/>
    </row>
    <row r="356" ht="15" customHeight="1" s="72">
      <c r="A356" s="112" t="n"/>
      <c r="B356" s="113" t="n"/>
      <c r="C356" s="114" t="n"/>
      <c r="D356" s="114" t="n"/>
      <c r="E356" s="115" t="n"/>
      <c r="F356" s="116">
        <f>IF($C356=0,0,$C356-$D356)</f>
        <v/>
      </c>
      <c r="G356" s="116">
        <f>IF($F356=0,0,$F356*$E356)</f>
        <v/>
      </c>
      <c r="H356" s="116">
        <f>$F356-$G356</f>
        <v/>
      </c>
      <c r="I356" s="112" t="n"/>
    </row>
    <row r="357" ht="15" customHeight="1" s="72">
      <c r="A357" s="112" t="n"/>
      <c r="B357" s="113" t="n"/>
      <c r="C357" s="114" t="n"/>
      <c r="D357" s="114" t="n"/>
      <c r="E357" s="115" t="n"/>
      <c r="F357" s="116">
        <f>IF($C357=0,0,$C357-$D357)</f>
        <v/>
      </c>
      <c r="G357" s="116">
        <f>IF($F357=0,0,$F357*$E357)</f>
        <v/>
      </c>
      <c r="H357" s="116">
        <f>$F357-$G357</f>
        <v/>
      </c>
      <c r="I357" s="112" t="n"/>
    </row>
    <row r="358" ht="15" customHeight="1" s="72">
      <c r="A358" s="112" t="n"/>
      <c r="B358" s="113" t="n"/>
      <c r="C358" s="114" t="n"/>
      <c r="D358" s="114" t="n"/>
      <c r="E358" s="115" t="n"/>
      <c r="F358" s="116">
        <f>IF($C358=0,0,$C358-$D358)</f>
        <v/>
      </c>
      <c r="G358" s="116">
        <f>IF($F358=0,0,$F358*$E358)</f>
        <v/>
      </c>
      <c r="H358" s="116">
        <f>$F358-$G358</f>
        <v/>
      </c>
      <c r="I358" s="112" t="n"/>
    </row>
    <row r="359" ht="15" customHeight="1" s="72">
      <c r="A359" s="112" t="n"/>
      <c r="B359" s="113" t="n"/>
      <c r="C359" s="114" t="n"/>
      <c r="D359" s="114" t="n"/>
      <c r="E359" s="115" t="n"/>
      <c r="F359" s="116">
        <f>IF($C359=0,0,$C359-$D359)</f>
        <v/>
      </c>
      <c r="G359" s="116">
        <f>IF($F359=0,0,$F359*$E359)</f>
        <v/>
      </c>
      <c r="H359" s="116">
        <f>$F359-$G359</f>
        <v/>
      </c>
      <c r="I359" s="112" t="n"/>
    </row>
    <row r="360" ht="15" customHeight="1" s="72">
      <c r="A360" s="112" t="n"/>
      <c r="B360" s="113" t="n"/>
      <c r="C360" s="114" t="n"/>
      <c r="D360" s="114" t="n"/>
      <c r="E360" s="115" t="n"/>
      <c r="F360" s="116">
        <f>IF($C360=0,0,$C360-$D360)</f>
        <v/>
      </c>
      <c r="G360" s="116">
        <f>IF($F360=0,0,$F360*$E360)</f>
        <v/>
      </c>
      <c r="H360" s="116">
        <f>$F360-$G360</f>
        <v/>
      </c>
      <c r="I360" s="112" t="n"/>
    </row>
    <row r="361" ht="15" customHeight="1" s="72">
      <c r="A361" s="112" t="n"/>
      <c r="B361" s="113" t="n"/>
      <c r="C361" s="114" t="n"/>
      <c r="D361" s="114" t="n"/>
      <c r="E361" s="115" t="n"/>
      <c r="F361" s="116">
        <f>IF($C361=0,0,$C361-$D361)</f>
        <v/>
      </c>
      <c r="G361" s="116">
        <f>IF($F361=0,0,$F361*$E361)</f>
        <v/>
      </c>
      <c r="H361" s="116">
        <f>$F361-$G361</f>
        <v/>
      </c>
      <c r="I361" s="112" t="n"/>
    </row>
    <row r="362" ht="15" customHeight="1" s="72">
      <c r="A362" s="112" t="n"/>
      <c r="B362" s="113" t="n"/>
      <c r="C362" s="114" t="n"/>
      <c r="D362" s="114" t="n"/>
      <c r="E362" s="115" t="n"/>
      <c r="F362" s="116">
        <f>IF($C362=0,0,$C362-$D362)</f>
        <v/>
      </c>
      <c r="G362" s="116">
        <f>IF($F362=0,0,$F362*$E362)</f>
        <v/>
      </c>
      <c r="H362" s="116">
        <f>$F362-$G362</f>
        <v/>
      </c>
      <c r="I362" s="112" t="n"/>
    </row>
    <row r="363" ht="15" customHeight="1" s="72">
      <c r="A363" s="112" t="n"/>
      <c r="B363" s="113" t="n"/>
      <c r="C363" s="114" t="n"/>
      <c r="D363" s="114" t="n"/>
      <c r="E363" s="115" t="n"/>
      <c r="F363" s="116">
        <f>IF($C363=0,0,$C363-$D363)</f>
        <v/>
      </c>
      <c r="G363" s="116">
        <f>IF($F363=0,0,$F363*$E363)</f>
        <v/>
      </c>
      <c r="H363" s="116">
        <f>$F363-$G363</f>
        <v/>
      </c>
      <c r="I363" s="112" t="n"/>
    </row>
    <row r="364" ht="15" customHeight="1" s="72">
      <c r="A364" s="112" t="n"/>
      <c r="B364" s="113" t="n"/>
      <c r="C364" s="114" t="n"/>
      <c r="D364" s="114" t="n"/>
      <c r="E364" s="115" t="n"/>
      <c r="F364" s="116">
        <f>IF($C364=0,0,$C364-$D364)</f>
        <v/>
      </c>
      <c r="G364" s="116">
        <f>IF($F364=0,0,$F364*$E364)</f>
        <v/>
      </c>
      <c r="H364" s="116">
        <f>$F364-$G364</f>
        <v/>
      </c>
      <c r="I364" s="112" t="n"/>
    </row>
    <row r="365" ht="15" customHeight="1" s="72">
      <c r="A365" s="112" t="n"/>
      <c r="B365" s="113" t="n"/>
      <c r="C365" s="114" t="n"/>
      <c r="D365" s="114" t="n"/>
      <c r="E365" s="115" t="n"/>
      <c r="F365" s="116">
        <f>IF($C365=0,0,$C365-$D365)</f>
        <v/>
      </c>
      <c r="G365" s="116">
        <f>IF($F365=0,0,$F365*$E365)</f>
        <v/>
      </c>
      <c r="H365" s="116">
        <f>$F365-$G365</f>
        <v/>
      </c>
      <c r="I365" s="112" t="n"/>
    </row>
    <row r="366" ht="15" customHeight="1" s="72">
      <c r="A366" s="112" t="n"/>
      <c r="B366" s="113" t="n"/>
      <c r="C366" s="114" t="n"/>
      <c r="D366" s="114" t="n"/>
      <c r="E366" s="115" t="n"/>
      <c r="F366" s="116">
        <f>IF($C366=0,0,$C366-$D366)</f>
        <v/>
      </c>
      <c r="G366" s="116">
        <f>IF($F366=0,0,$F366*$E366)</f>
        <v/>
      </c>
      <c r="H366" s="116">
        <f>$F366-$G366</f>
        <v/>
      </c>
      <c r="I366" s="112" t="n"/>
    </row>
    <row r="367" ht="15" customHeight="1" s="72">
      <c r="A367" s="112" t="n"/>
      <c r="B367" s="113" t="n"/>
      <c r="C367" s="114" t="n"/>
      <c r="D367" s="114" t="n"/>
      <c r="E367" s="115" t="n"/>
      <c r="F367" s="116">
        <f>IF($C367=0,0,$C367-$D367)</f>
        <v/>
      </c>
      <c r="G367" s="116">
        <f>IF($F367=0,0,$F367*$E367)</f>
        <v/>
      </c>
      <c r="H367" s="116">
        <f>$F367-$G367</f>
        <v/>
      </c>
      <c r="I367" s="112" t="n"/>
    </row>
    <row r="368" ht="15" customHeight="1" s="72">
      <c r="A368" s="112" t="n"/>
      <c r="B368" s="113" t="n"/>
      <c r="C368" s="114" t="n"/>
      <c r="D368" s="114" t="n"/>
      <c r="E368" s="115" t="n"/>
      <c r="F368" s="116">
        <f>IF($C368=0,0,$C368-$D368)</f>
        <v/>
      </c>
      <c r="G368" s="116">
        <f>IF($F368=0,0,$F368*$E368)</f>
        <v/>
      </c>
      <c r="H368" s="116">
        <f>$F368-$G368</f>
        <v/>
      </c>
      <c r="I368" s="112" t="n"/>
    </row>
    <row r="369" ht="15" customHeight="1" s="72">
      <c r="A369" s="112" t="n"/>
      <c r="B369" s="113" t="n"/>
      <c r="C369" s="114" t="n"/>
      <c r="D369" s="114" t="n"/>
      <c r="E369" s="115" t="n"/>
      <c r="F369" s="116">
        <f>IF($C369=0,0,$C369-$D369)</f>
        <v/>
      </c>
      <c r="G369" s="116">
        <f>IF($F369=0,0,$F369*$E369)</f>
        <v/>
      </c>
      <c r="H369" s="116">
        <f>$F369-$G369</f>
        <v/>
      </c>
      <c r="I369" s="112" t="n"/>
    </row>
    <row r="370" ht="15" customHeight="1" s="72">
      <c r="A370" s="112" t="n"/>
      <c r="B370" s="113" t="n"/>
      <c r="C370" s="114" t="n"/>
      <c r="D370" s="114" t="n"/>
      <c r="E370" s="115" t="n"/>
      <c r="F370" s="116">
        <f>IF($C370=0,0,$C370-$D370)</f>
        <v/>
      </c>
      <c r="G370" s="116">
        <f>IF($F370=0,0,$F370*$E370)</f>
        <v/>
      </c>
      <c r="H370" s="116">
        <f>$F370-$G370</f>
        <v/>
      </c>
      <c r="I370" s="112" t="n"/>
    </row>
    <row r="371" ht="15" customHeight="1" s="72">
      <c r="A371" s="112" t="n"/>
      <c r="B371" s="113" t="n"/>
      <c r="C371" s="114" t="n"/>
      <c r="D371" s="114" t="n"/>
      <c r="E371" s="115" t="n"/>
      <c r="F371" s="116">
        <f>IF($C371=0,0,$C371-$D371)</f>
        <v/>
      </c>
      <c r="G371" s="116">
        <f>IF($F371=0,0,$F371*$E371)</f>
        <v/>
      </c>
      <c r="H371" s="116">
        <f>$F371-$G371</f>
        <v/>
      </c>
      <c r="I371" s="112" t="n"/>
    </row>
    <row r="372" ht="15" customHeight="1" s="72">
      <c r="A372" s="112" t="n"/>
      <c r="B372" s="113" t="n"/>
      <c r="C372" s="114" t="n"/>
      <c r="D372" s="114" t="n"/>
      <c r="E372" s="115" t="n"/>
      <c r="F372" s="116">
        <f>IF($C372=0,0,$C372-$D372)</f>
        <v/>
      </c>
      <c r="G372" s="116">
        <f>IF($F372=0,0,$F372*$E372)</f>
        <v/>
      </c>
      <c r="H372" s="116">
        <f>$F372-$G372</f>
        <v/>
      </c>
      <c r="I372" s="112" t="n"/>
    </row>
    <row r="373" ht="15" customHeight="1" s="72">
      <c r="A373" s="112" t="n"/>
      <c r="B373" s="113" t="n"/>
      <c r="C373" s="114" t="n"/>
      <c r="D373" s="114" t="n"/>
      <c r="E373" s="115" t="n"/>
      <c r="F373" s="116">
        <f>IF($C373=0,0,$C373-$D373)</f>
        <v/>
      </c>
      <c r="G373" s="116">
        <f>IF($F373=0,0,$F373*$E373)</f>
        <v/>
      </c>
      <c r="H373" s="116">
        <f>$F373-$G373</f>
        <v/>
      </c>
      <c r="I373" s="112" t="n"/>
    </row>
    <row r="374" ht="15" customHeight="1" s="72">
      <c r="A374" s="112" t="n"/>
      <c r="B374" s="113" t="n"/>
      <c r="C374" s="114" t="n"/>
      <c r="D374" s="114" t="n"/>
      <c r="E374" s="115" t="n"/>
      <c r="F374" s="116">
        <f>IF($C374=0,0,$C374-$D374)</f>
        <v/>
      </c>
      <c r="G374" s="116">
        <f>IF($F374=0,0,$F374*$E374)</f>
        <v/>
      </c>
      <c r="H374" s="116">
        <f>$F374-$G374</f>
        <v/>
      </c>
      <c r="I374" s="112" t="n"/>
    </row>
    <row r="375" ht="15" customHeight="1" s="72">
      <c r="A375" s="112" t="n"/>
      <c r="B375" s="113" t="n"/>
      <c r="C375" s="114" t="n"/>
      <c r="D375" s="114" t="n"/>
      <c r="E375" s="115" t="n"/>
      <c r="F375" s="116">
        <f>IF($C375=0,0,$C375-$D375)</f>
        <v/>
      </c>
      <c r="G375" s="116">
        <f>IF($F375=0,0,$F375*$E375)</f>
        <v/>
      </c>
      <c r="H375" s="116">
        <f>$F375-$G375</f>
        <v/>
      </c>
      <c r="I375" s="112" t="n"/>
    </row>
    <row r="376" ht="15" customHeight="1" s="72">
      <c r="A376" s="112" t="n"/>
      <c r="B376" s="113" t="n"/>
      <c r="C376" s="114" t="n"/>
      <c r="D376" s="114" t="n"/>
      <c r="E376" s="115" t="n"/>
      <c r="F376" s="116">
        <f>IF($C376=0,0,$C376-$D376)</f>
        <v/>
      </c>
      <c r="G376" s="116">
        <f>IF($F376=0,0,$F376*$E376)</f>
        <v/>
      </c>
      <c r="H376" s="116">
        <f>$F376-$G376</f>
        <v/>
      </c>
      <c r="I376" s="112" t="n"/>
    </row>
    <row r="377" ht="15" customHeight="1" s="72">
      <c r="A377" s="112" t="n"/>
      <c r="B377" s="113" t="n"/>
      <c r="C377" s="114" t="n"/>
      <c r="D377" s="114" t="n"/>
      <c r="E377" s="115" t="n"/>
      <c r="F377" s="116">
        <f>IF($C377=0,0,$C377-$D377)</f>
        <v/>
      </c>
      <c r="G377" s="116">
        <f>IF($F377=0,0,$F377*$E377)</f>
        <v/>
      </c>
      <c r="H377" s="116">
        <f>$F377-$G377</f>
        <v/>
      </c>
      <c r="I377" s="112" t="n"/>
    </row>
    <row r="378" ht="15" customHeight="1" s="72">
      <c r="A378" s="112" t="n"/>
      <c r="B378" s="113" t="n"/>
      <c r="C378" s="114" t="n"/>
      <c r="D378" s="114" t="n"/>
      <c r="E378" s="115" t="n"/>
      <c r="F378" s="116">
        <f>IF($C378=0,0,$C378-$D378)</f>
        <v/>
      </c>
      <c r="G378" s="116">
        <f>IF($F378=0,0,$F378*$E378)</f>
        <v/>
      </c>
      <c r="H378" s="116">
        <f>$F378-$G378</f>
        <v/>
      </c>
      <c r="I378" s="112" t="n"/>
    </row>
    <row r="379" ht="15" customHeight="1" s="72">
      <c r="A379" s="112" t="n"/>
      <c r="B379" s="113" t="n"/>
      <c r="C379" s="114" t="n"/>
      <c r="D379" s="114" t="n"/>
      <c r="E379" s="115" t="n"/>
      <c r="F379" s="116">
        <f>IF($C379=0,0,$C379-$D379)</f>
        <v/>
      </c>
      <c r="G379" s="116">
        <f>IF($F379=0,0,$F379*$E379)</f>
        <v/>
      </c>
      <c r="H379" s="116">
        <f>$F379-$G379</f>
        <v/>
      </c>
      <c r="I379" s="112" t="n"/>
    </row>
    <row r="380" ht="15" customHeight="1" s="72">
      <c r="A380" s="112" t="n"/>
      <c r="B380" s="113" t="n"/>
      <c r="C380" s="114" t="n"/>
      <c r="D380" s="114" t="n"/>
      <c r="E380" s="115" t="n"/>
      <c r="F380" s="116">
        <f>IF($C380=0,0,$C380-$D380)</f>
        <v/>
      </c>
      <c r="G380" s="116">
        <f>IF($F380=0,0,$F380*$E380)</f>
        <v/>
      </c>
      <c r="H380" s="116">
        <f>$F380-$G380</f>
        <v/>
      </c>
      <c r="I380" s="112" t="n"/>
    </row>
    <row r="381" ht="15" customHeight="1" s="72">
      <c r="A381" s="112" t="n"/>
      <c r="B381" s="113" t="n"/>
      <c r="C381" s="114" t="n"/>
      <c r="D381" s="114" t="n"/>
      <c r="E381" s="115" t="n"/>
      <c r="F381" s="116">
        <f>IF($C381=0,0,$C381-$D381)</f>
        <v/>
      </c>
      <c r="G381" s="116">
        <f>IF($F381=0,0,$F381*$E381)</f>
        <v/>
      </c>
      <c r="H381" s="116">
        <f>$F381-$G381</f>
        <v/>
      </c>
      <c r="I381" s="112" t="n"/>
    </row>
    <row r="382" ht="15" customHeight="1" s="72">
      <c r="A382" s="112" t="n"/>
      <c r="B382" s="113" t="n"/>
      <c r="C382" s="114" t="n"/>
      <c r="D382" s="114" t="n"/>
      <c r="E382" s="115" t="n"/>
      <c r="F382" s="116">
        <f>IF($C382=0,0,$C382-$D382)</f>
        <v/>
      </c>
      <c r="G382" s="116">
        <f>IF($F382=0,0,$F382*$E382)</f>
        <v/>
      </c>
      <c r="H382" s="116">
        <f>$F382-$G382</f>
        <v/>
      </c>
      <c r="I382" s="112" t="n"/>
    </row>
    <row r="383" ht="15" customHeight="1" s="72">
      <c r="A383" s="112" t="n"/>
      <c r="B383" s="113" t="n"/>
      <c r="C383" s="114" t="n"/>
      <c r="D383" s="114" t="n"/>
      <c r="E383" s="115" t="n"/>
      <c r="F383" s="116">
        <f>IF($C383=0,0,$C383-$D383)</f>
        <v/>
      </c>
      <c r="G383" s="116">
        <f>IF($F383=0,0,$F383*$E383)</f>
        <v/>
      </c>
      <c r="H383" s="116">
        <f>$F383-$G383</f>
        <v/>
      </c>
      <c r="I383" s="112" t="n"/>
    </row>
    <row r="384" ht="15" customHeight="1" s="72">
      <c r="A384" s="112" t="n"/>
      <c r="B384" s="113" t="n"/>
      <c r="C384" s="114" t="n"/>
      <c r="D384" s="114" t="n"/>
      <c r="E384" s="115" t="n"/>
      <c r="F384" s="116">
        <f>IF($C384=0,0,$C384-$D384)</f>
        <v/>
      </c>
      <c r="G384" s="116">
        <f>IF($F384=0,0,$F384*$E384)</f>
        <v/>
      </c>
      <c r="H384" s="116">
        <f>$F384-$G384</f>
        <v/>
      </c>
      <c r="I384" s="112" t="n"/>
    </row>
    <row r="385" ht="15" customHeight="1" s="72">
      <c r="A385" s="112" t="n"/>
      <c r="B385" s="113" t="n"/>
      <c r="C385" s="114" t="n"/>
      <c r="D385" s="114" t="n"/>
      <c r="E385" s="115" t="n"/>
      <c r="F385" s="116">
        <f>IF($C385=0,0,$C385-$D385)</f>
        <v/>
      </c>
      <c r="G385" s="116">
        <f>IF($F385=0,0,$F385*$E385)</f>
        <v/>
      </c>
      <c r="H385" s="116">
        <f>$F385-$G385</f>
        <v/>
      </c>
      <c r="I385" s="112" t="n"/>
    </row>
    <row r="386" ht="15" customHeight="1" s="72">
      <c r="A386" s="112" t="n"/>
      <c r="B386" s="113" t="n"/>
      <c r="C386" s="114" t="n"/>
      <c r="D386" s="114" t="n"/>
      <c r="E386" s="115" t="n"/>
      <c r="F386" s="116">
        <f>IF($C386=0,0,$C386-$D386)</f>
        <v/>
      </c>
      <c r="G386" s="116">
        <f>IF($F386=0,0,$F386*$E386)</f>
        <v/>
      </c>
      <c r="H386" s="116">
        <f>$F386-$G386</f>
        <v/>
      </c>
      <c r="I386" s="112" t="n"/>
    </row>
    <row r="387" ht="15" customHeight="1" s="72">
      <c r="A387" s="112" t="n"/>
      <c r="B387" s="113" t="n"/>
      <c r="C387" s="114" t="n"/>
      <c r="D387" s="114" t="n"/>
      <c r="E387" s="115" t="n"/>
      <c r="F387" s="116">
        <f>IF($C387=0,0,$C387-$D387)</f>
        <v/>
      </c>
      <c r="G387" s="116">
        <f>IF($F387=0,0,$F387*$E387)</f>
        <v/>
      </c>
      <c r="H387" s="116">
        <f>$F387-$G387</f>
        <v/>
      </c>
      <c r="I387" s="112" t="n"/>
    </row>
    <row r="388" ht="15" customHeight="1" s="72">
      <c r="A388" s="112" t="n"/>
      <c r="B388" s="113" t="n"/>
      <c r="C388" s="114" t="n"/>
      <c r="D388" s="114" t="n"/>
      <c r="E388" s="115" t="n"/>
      <c r="F388" s="116">
        <f>IF($C388=0,0,$C388-$D388)</f>
        <v/>
      </c>
      <c r="G388" s="116">
        <f>IF($F388=0,0,$F388*$E388)</f>
        <v/>
      </c>
      <c r="H388" s="116">
        <f>$F388-$G388</f>
        <v/>
      </c>
      <c r="I388" s="112" t="n"/>
    </row>
    <row r="389" ht="15" customHeight="1" s="72">
      <c r="A389" s="112" t="n"/>
      <c r="B389" s="113" t="n"/>
      <c r="C389" s="114" t="n"/>
      <c r="D389" s="114" t="n"/>
      <c r="E389" s="115" t="n"/>
      <c r="F389" s="116">
        <f>IF($C389=0,0,$C389-$D389)</f>
        <v/>
      </c>
      <c r="G389" s="116">
        <f>IF($F389=0,0,$F389*$E389)</f>
        <v/>
      </c>
      <c r="H389" s="116">
        <f>$F389-$G389</f>
        <v/>
      </c>
      <c r="I389" s="112" t="n"/>
    </row>
    <row r="390" ht="15" customHeight="1" s="72">
      <c r="A390" s="112" t="n"/>
      <c r="B390" s="113" t="n"/>
      <c r="C390" s="114" t="n"/>
      <c r="D390" s="114" t="n"/>
      <c r="E390" s="115" t="n"/>
      <c r="F390" s="116">
        <f>IF($C390=0,0,$C390-$D390)</f>
        <v/>
      </c>
      <c r="G390" s="116">
        <f>IF($F390=0,0,$F390*$E390)</f>
        <v/>
      </c>
      <c r="H390" s="116">
        <f>$F390-$G390</f>
        <v/>
      </c>
      <c r="I390" s="112" t="n"/>
    </row>
    <row r="391" ht="15" customHeight="1" s="72">
      <c r="A391" s="112" t="n"/>
      <c r="B391" s="113" t="n"/>
      <c r="C391" s="114" t="n"/>
      <c r="D391" s="114" t="n"/>
      <c r="E391" s="115" t="n"/>
      <c r="F391" s="116">
        <f>IF($C391=0,0,$C391-$D391)</f>
        <v/>
      </c>
      <c r="G391" s="116">
        <f>IF($F391=0,0,$F391*$E391)</f>
        <v/>
      </c>
      <c r="H391" s="116">
        <f>$F391-$G391</f>
        <v/>
      </c>
      <c r="I391" s="112" t="n"/>
    </row>
    <row r="392" ht="15" customHeight="1" s="72">
      <c r="A392" s="112" t="n"/>
      <c r="B392" s="113" t="n"/>
      <c r="C392" s="114" t="n"/>
      <c r="D392" s="114" t="n"/>
      <c r="E392" s="115" t="n"/>
      <c r="F392" s="116">
        <f>IF($C392=0,0,$C392-$D392)</f>
        <v/>
      </c>
      <c r="G392" s="116">
        <f>IF($F392=0,0,$F392*$E392)</f>
        <v/>
      </c>
      <c r="H392" s="116">
        <f>$F392-$G392</f>
        <v/>
      </c>
      <c r="I392" s="112" t="n"/>
    </row>
    <row r="393" ht="15" customHeight="1" s="72">
      <c r="A393" s="112" t="n"/>
      <c r="B393" s="113" t="n"/>
      <c r="C393" s="114" t="n"/>
      <c r="D393" s="114" t="n"/>
      <c r="E393" s="115" t="n"/>
      <c r="F393" s="116">
        <f>IF($C393=0,0,$C393-$D393)</f>
        <v/>
      </c>
      <c r="G393" s="116">
        <f>IF($F393=0,0,$F393*$E393)</f>
        <v/>
      </c>
      <c r="H393" s="116">
        <f>$F393-$G393</f>
        <v/>
      </c>
      <c r="I393" s="112" t="n"/>
    </row>
    <row r="394" ht="15" customHeight="1" s="72">
      <c r="A394" s="112" t="n"/>
      <c r="B394" s="113" t="n"/>
      <c r="C394" s="114" t="n"/>
      <c r="D394" s="114" t="n"/>
      <c r="E394" s="115" t="n"/>
      <c r="F394" s="116">
        <f>IF($C394=0,0,$C394-$D394)</f>
        <v/>
      </c>
      <c r="G394" s="116">
        <f>IF($F394=0,0,$F394*$E394)</f>
        <v/>
      </c>
      <c r="H394" s="116">
        <f>$F394-$G394</f>
        <v/>
      </c>
      <c r="I394" s="112" t="n"/>
    </row>
    <row r="395" ht="15" customHeight="1" s="72">
      <c r="A395" s="112" t="n"/>
      <c r="B395" s="113" t="n"/>
      <c r="C395" s="114" t="n"/>
      <c r="D395" s="114" t="n"/>
      <c r="E395" s="115" t="n"/>
      <c r="F395" s="116">
        <f>IF($C395=0,0,$C395-$D395)</f>
        <v/>
      </c>
      <c r="G395" s="116">
        <f>IF($F395=0,0,$F395*$E395)</f>
        <v/>
      </c>
      <c r="H395" s="116">
        <f>$F395-$G395</f>
        <v/>
      </c>
      <c r="I395" s="112" t="n"/>
    </row>
    <row r="396" ht="15" customHeight="1" s="72">
      <c r="A396" s="112" t="n"/>
      <c r="B396" s="113" t="n"/>
      <c r="C396" s="114" t="n"/>
      <c r="D396" s="114" t="n"/>
      <c r="E396" s="115" t="n"/>
      <c r="F396" s="116">
        <f>IF($C396=0,0,$C396-$D396)</f>
        <v/>
      </c>
      <c r="G396" s="116">
        <f>IF($F396=0,0,$F396*$E396)</f>
        <v/>
      </c>
      <c r="H396" s="116">
        <f>$F396-$G396</f>
        <v/>
      </c>
      <c r="I396" s="112" t="n"/>
    </row>
    <row r="397" ht="15" customHeight="1" s="72">
      <c r="A397" s="112" t="n"/>
      <c r="B397" s="113" t="n"/>
      <c r="C397" s="114" t="n"/>
      <c r="D397" s="114" t="n"/>
      <c r="E397" s="115" t="n"/>
      <c r="F397" s="116">
        <f>IF($C397=0,0,$C397-$D397)</f>
        <v/>
      </c>
      <c r="G397" s="116">
        <f>IF($F397=0,0,$F397*$E397)</f>
        <v/>
      </c>
      <c r="H397" s="116">
        <f>$F397-$G397</f>
        <v/>
      </c>
      <c r="I397" s="112" t="n"/>
    </row>
    <row r="398" ht="15" customHeight="1" s="72">
      <c r="A398" s="112" t="n"/>
      <c r="B398" s="113" t="n"/>
      <c r="C398" s="114" t="n"/>
      <c r="D398" s="114" t="n"/>
      <c r="E398" s="115" t="n"/>
      <c r="F398" s="116">
        <f>IF($C398=0,0,$C398-$D398)</f>
        <v/>
      </c>
      <c r="G398" s="116">
        <f>IF($F398=0,0,$F398*$E398)</f>
        <v/>
      </c>
      <c r="H398" s="116">
        <f>$F398-$G398</f>
        <v/>
      </c>
      <c r="I398" s="112" t="n"/>
    </row>
    <row r="399" ht="15" customHeight="1" s="72">
      <c r="A399" s="112" t="n"/>
      <c r="B399" s="113" t="n"/>
      <c r="C399" s="114" t="n"/>
      <c r="D399" s="114" t="n"/>
      <c r="E399" s="115" t="n"/>
      <c r="F399" s="116">
        <f>IF($C399=0,0,$C399-$D399)</f>
        <v/>
      </c>
      <c r="G399" s="116">
        <f>IF($F399=0,0,$F399*$E399)</f>
        <v/>
      </c>
      <c r="H399" s="116">
        <f>$F399-$G399</f>
        <v/>
      </c>
      <c r="I399" s="112" t="n"/>
    </row>
    <row r="400" ht="15" customHeight="1" s="72">
      <c r="A400" s="112" t="n"/>
      <c r="B400" s="113" t="n"/>
      <c r="C400" s="114" t="n"/>
      <c r="D400" s="114" t="n"/>
      <c r="E400" s="115" t="n"/>
      <c r="F400" s="116">
        <f>IF($C400=0,0,$C400-$D400)</f>
        <v/>
      </c>
      <c r="G400" s="116">
        <f>IF($F400=0,0,$F400*$E400)</f>
        <v/>
      </c>
      <c r="H400" s="116">
        <f>$F400-$G400</f>
        <v/>
      </c>
      <c r="I400" s="112" t="n"/>
    </row>
    <row r="401" ht="15" customHeight="1" s="72">
      <c r="A401" s="112" t="n"/>
      <c r="B401" s="113" t="n"/>
      <c r="C401" s="114" t="n"/>
      <c r="D401" s="114" t="n"/>
      <c r="E401" s="115" t="n"/>
      <c r="F401" s="116">
        <f>IF($C401=0,0,$C401-$D401)</f>
        <v/>
      </c>
      <c r="G401" s="116">
        <f>IF($F401=0,0,$F401*$E401)</f>
        <v/>
      </c>
      <c r="H401" s="116">
        <f>$F401-$G401</f>
        <v/>
      </c>
      <c r="I401" s="112" t="n"/>
    </row>
    <row r="402" ht="15" customHeight="1" s="72">
      <c r="A402" s="112" t="n"/>
      <c r="B402" s="113" t="n"/>
      <c r="C402" s="114" t="n"/>
      <c r="D402" s="114" t="n"/>
      <c r="E402" s="115" t="n"/>
      <c r="F402" s="116">
        <f>IF($C402=0,0,$C402-$D402)</f>
        <v/>
      </c>
      <c r="G402" s="116">
        <f>IF($F402=0,0,$F402*$E402)</f>
        <v/>
      </c>
      <c r="H402" s="116">
        <f>$F402-$G402</f>
        <v/>
      </c>
      <c r="I402" s="112" t="n"/>
    </row>
    <row r="403" ht="15" customHeight="1" s="72">
      <c r="A403" s="112" t="n"/>
      <c r="B403" s="113" t="n"/>
      <c r="C403" s="114" t="n"/>
      <c r="D403" s="114" t="n"/>
      <c r="E403" s="115" t="n"/>
      <c r="F403" s="116">
        <f>IF($C403=0,0,$C403-$D403)</f>
        <v/>
      </c>
      <c r="G403" s="116">
        <f>IF($F403=0,0,$F403*$E403)</f>
        <v/>
      </c>
      <c r="H403" s="116">
        <f>$F403-$G403</f>
        <v/>
      </c>
      <c r="I403" s="112" t="n"/>
    </row>
    <row r="404" ht="15" customHeight="1" s="72">
      <c r="A404" s="112" t="n"/>
      <c r="B404" s="113" t="n"/>
      <c r="C404" s="114" t="n"/>
      <c r="D404" s="114" t="n"/>
      <c r="E404" s="115" t="n"/>
      <c r="F404" s="116">
        <f>IF($C404=0,0,$C404-$D404)</f>
        <v/>
      </c>
      <c r="G404" s="116">
        <f>IF($F404=0,0,$F404*$E404)</f>
        <v/>
      </c>
      <c r="H404" s="116">
        <f>$F404-$G404</f>
        <v/>
      </c>
      <c r="I404" s="112" t="n"/>
    </row>
    <row r="405" ht="15" customHeight="1" s="72">
      <c r="A405" s="112" t="n"/>
      <c r="B405" s="113" t="n"/>
      <c r="C405" s="114" t="n"/>
      <c r="D405" s="114" t="n"/>
      <c r="E405" s="115" t="n"/>
      <c r="F405" s="116">
        <f>IF($C405=0,0,$C405-$D405)</f>
        <v/>
      </c>
      <c r="G405" s="116">
        <f>IF($F405=0,0,$F405*$E405)</f>
        <v/>
      </c>
      <c r="H405" s="116">
        <f>$F405-$G405</f>
        <v/>
      </c>
      <c r="I405" s="112" t="n"/>
    </row>
    <row r="406" ht="15" customHeight="1" s="72">
      <c r="A406" s="112" t="n"/>
      <c r="B406" s="113" t="n"/>
      <c r="C406" s="114" t="n"/>
      <c r="D406" s="114" t="n"/>
      <c r="E406" s="115" t="n"/>
      <c r="F406" s="116">
        <f>IF($C406=0,0,$C406-$D406)</f>
        <v/>
      </c>
      <c r="G406" s="116">
        <f>IF($F406=0,0,$F406*$E406)</f>
        <v/>
      </c>
      <c r="H406" s="116">
        <f>$F406-$G406</f>
        <v/>
      </c>
      <c r="I406" s="112" t="n"/>
    </row>
    <row r="407" ht="15" customHeight="1" s="72">
      <c r="A407" s="112" t="n"/>
      <c r="B407" s="113" t="n"/>
      <c r="C407" s="114" t="n"/>
      <c r="D407" s="114" t="n"/>
      <c r="E407" s="115" t="n"/>
      <c r="F407" s="116">
        <f>IF($C407=0,0,$C407-$D407)</f>
        <v/>
      </c>
      <c r="G407" s="116">
        <f>IF($F407=0,0,$F407*$E407)</f>
        <v/>
      </c>
      <c r="H407" s="116">
        <f>$F407-$G407</f>
        <v/>
      </c>
      <c r="I407" s="112" t="n"/>
    </row>
    <row r="408" ht="15" customHeight="1" s="72">
      <c r="A408" s="112" t="n"/>
      <c r="B408" s="113" t="n"/>
      <c r="C408" s="114" t="n"/>
      <c r="D408" s="114" t="n"/>
      <c r="E408" s="115" t="n"/>
      <c r="F408" s="116">
        <f>IF($C408=0,0,$C408-$D408)</f>
        <v/>
      </c>
      <c r="G408" s="116">
        <f>IF($F408=0,0,$F408*$E408)</f>
        <v/>
      </c>
      <c r="H408" s="116">
        <f>$F408-$G408</f>
        <v/>
      </c>
      <c r="I408" s="112" t="n"/>
    </row>
    <row r="409" ht="15" customHeight="1" s="72">
      <c r="A409" s="112" t="n"/>
      <c r="B409" s="113" t="n"/>
      <c r="C409" s="114" t="n"/>
      <c r="D409" s="114" t="n"/>
      <c r="E409" s="115" t="n"/>
      <c r="F409" s="116">
        <f>IF($C409=0,0,$C409-$D409)</f>
        <v/>
      </c>
      <c r="G409" s="116">
        <f>IF($F409=0,0,$F409*$E409)</f>
        <v/>
      </c>
      <c r="H409" s="116">
        <f>$F409-$G409</f>
        <v/>
      </c>
      <c r="I409" s="112" t="n"/>
    </row>
    <row r="410" ht="15" customHeight="1" s="72">
      <c r="A410" s="112" t="n"/>
      <c r="B410" s="113" t="n"/>
      <c r="C410" s="114" t="n"/>
      <c r="D410" s="114" t="n"/>
      <c r="E410" s="115" t="n"/>
      <c r="F410" s="116">
        <f>IF($C410=0,0,$C410-$D410)</f>
        <v/>
      </c>
      <c r="G410" s="116">
        <f>IF($F410=0,0,$F410*$E410)</f>
        <v/>
      </c>
      <c r="H410" s="116">
        <f>$F410-$G410</f>
        <v/>
      </c>
      <c r="I410" s="112" t="n"/>
    </row>
    <row r="411" ht="15" customHeight="1" s="72">
      <c r="A411" s="112" t="n"/>
      <c r="B411" s="113" t="n"/>
      <c r="C411" s="114" t="n"/>
      <c r="D411" s="114" t="n"/>
      <c r="E411" s="115" t="n"/>
      <c r="F411" s="116">
        <f>IF($C411=0,0,$C411-$D411)</f>
        <v/>
      </c>
      <c r="G411" s="116">
        <f>IF($F411=0,0,$F411*$E411)</f>
        <v/>
      </c>
      <c r="H411" s="116">
        <f>$F411-$G411</f>
        <v/>
      </c>
      <c r="I411" s="112" t="n"/>
    </row>
    <row r="412" ht="15" customHeight="1" s="72">
      <c r="A412" s="112" t="n"/>
      <c r="B412" s="113" t="n"/>
      <c r="C412" s="114" t="n"/>
      <c r="D412" s="114" t="n"/>
      <c r="E412" s="115" t="n"/>
      <c r="F412" s="116">
        <f>IF($C412=0,0,$C412-$D412)</f>
        <v/>
      </c>
      <c r="G412" s="116">
        <f>IF($F412=0,0,$F412*$E412)</f>
        <v/>
      </c>
      <c r="H412" s="116">
        <f>$F412-$G412</f>
        <v/>
      </c>
      <c r="I412" s="112" t="n"/>
    </row>
    <row r="413" ht="15" customHeight="1" s="72">
      <c r="A413" s="112" t="n"/>
      <c r="B413" s="113" t="n"/>
      <c r="C413" s="114" t="n"/>
      <c r="D413" s="114" t="n"/>
      <c r="E413" s="115" t="n"/>
      <c r="F413" s="116">
        <f>IF($C413=0,0,$C413-$D413)</f>
        <v/>
      </c>
      <c r="G413" s="116">
        <f>IF($F413=0,0,$F413*$E413)</f>
        <v/>
      </c>
      <c r="H413" s="116">
        <f>$F413-$G413</f>
        <v/>
      </c>
      <c r="I413" s="112" t="n"/>
    </row>
    <row r="414" ht="15" customHeight="1" s="72">
      <c r="A414" s="112" t="n"/>
      <c r="B414" s="113" t="n"/>
      <c r="C414" s="114" t="n"/>
      <c r="D414" s="114" t="n"/>
      <c r="E414" s="115" t="n"/>
      <c r="F414" s="116">
        <f>IF($C414=0,0,$C414-$D414)</f>
        <v/>
      </c>
      <c r="G414" s="116">
        <f>IF($F414=0,0,$F414*$E414)</f>
        <v/>
      </c>
      <c r="H414" s="116">
        <f>$F414-$G414</f>
        <v/>
      </c>
      <c r="I414" s="112" t="n"/>
    </row>
    <row r="415" ht="15" customHeight="1" s="72">
      <c r="A415" s="112" t="n"/>
      <c r="B415" s="113" t="n"/>
      <c r="C415" s="114" t="n"/>
      <c r="D415" s="114" t="n"/>
      <c r="E415" s="115" t="n"/>
      <c r="F415" s="116">
        <f>IF($C415=0,0,$C415-$D415)</f>
        <v/>
      </c>
      <c r="G415" s="116">
        <f>IF($F415=0,0,$F415*$E415)</f>
        <v/>
      </c>
      <c r="H415" s="116">
        <f>$F415-$G415</f>
        <v/>
      </c>
      <c r="I415" s="112" t="n"/>
    </row>
    <row r="416" ht="15" customHeight="1" s="72">
      <c r="A416" s="112" t="n"/>
      <c r="B416" s="113" t="n"/>
      <c r="C416" s="114" t="n"/>
      <c r="D416" s="114" t="n"/>
      <c r="E416" s="115" t="n"/>
      <c r="F416" s="116">
        <f>IF($C416=0,0,$C416-$D416)</f>
        <v/>
      </c>
      <c r="G416" s="116">
        <f>IF($F416=0,0,$F416*$E416)</f>
        <v/>
      </c>
      <c r="H416" s="116">
        <f>$F416-$G416</f>
        <v/>
      </c>
      <c r="I416" s="112" t="n"/>
    </row>
    <row r="417" ht="15" customHeight="1" s="72">
      <c r="A417" s="112" t="n"/>
      <c r="B417" s="113" t="n"/>
      <c r="C417" s="114" t="n"/>
      <c r="D417" s="114" t="n"/>
      <c r="E417" s="115" t="n"/>
      <c r="F417" s="116">
        <f>IF($C417=0,0,$C417-$D417)</f>
        <v/>
      </c>
      <c r="G417" s="116">
        <f>IF($F417=0,0,$F417*$E417)</f>
        <v/>
      </c>
      <c r="H417" s="116">
        <f>$F417-$G417</f>
        <v/>
      </c>
      <c r="I417" s="112" t="n"/>
    </row>
    <row r="418" ht="15" customHeight="1" s="72">
      <c r="A418" s="112" t="n"/>
      <c r="B418" s="113" t="n"/>
      <c r="C418" s="114" t="n"/>
      <c r="D418" s="114" t="n"/>
      <c r="E418" s="115" t="n"/>
      <c r="F418" s="116">
        <f>IF($C418=0,0,$C418-$D418)</f>
        <v/>
      </c>
      <c r="G418" s="116">
        <f>IF($F418=0,0,$F418*$E418)</f>
        <v/>
      </c>
      <c r="H418" s="116">
        <f>$F418-$G418</f>
        <v/>
      </c>
      <c r="I418" s="112" t="n"/>
    </row>
    <row r="419" ht="15" customHeight="1" s="72">
      <c r="A419" s="112" t="n"/>
      <c r="B419" s="113" t="n"/>
      <c r="C419" s="114" t="n"/>
      <c r="D419" s="114" t="n"/>
      <c r="E419" s="115" t="n"/>
      <c r="F419" s="116">
        <f>IF($C419=0,0,$C419-$D419)</f>
        <v/>
      </c>
      <c r="G419" s="116">
        <f>IF($F419=0,0,$F419*$E419)</f>
        <v/>
      </c>
      <c r="H419" s="116">
        <f>$F419-$G419</f>
        <v/>
      </c>
      <c r="I419" s="112" t="n"/>
    </row>
    <row r="420" ht="15" customHeight="1" s="72">
      <c r="A420" s="112" t="n"/>
      <c r="B420" s="113" t="n"/>
      <c r="C420" s="114" t="n"/>
      <c r="D420" s="114" t="n"/>
      <c r="E420" s="115" t="n"/>
      <c r="F420" s="116">
        <f>IF($C420=0,0,$C420-$D420)</f>
        <v/>
      </c>
      <c r="G420" s="116">
        <f>IF($F420=0,0,$F420*$E420)</f>
        <v/>
      </c>
      <c r="H420" s="116">
        <f>$F420-$G420</f>
        <v/>
      </c>
      <c r="I420" s="112" t="n"/>
    </row>
    <row r="421" ht="15" customHeight="1" s="72">
      <c r="A421" s="112" t="n"/>
      <c r="B421" s="113" t="n"/>
      <c r="C421" s="114" t="n"/>
      <c r="D421" s="114" t="n"/>
      <c r="E421" s="115" t="n"/>
      <c r="F421" s="116">
        <f>IF($C421=0,0,$C421-$D421)</f>
        <v/>
      </c>
      <c r="G421" s="116">
        <f>IF($F421=0,0,$F421*$E421)</f>
        <v/>
      </c>
      <c r="H421" s="116">
        <f>$F421-$G421</f>
        <v/>
      </c>
      <c r="I421" s="112" t="n"/>
    </row>
    <row r="422" ht="15" customHeight="1" s="72">
      <c r="A422" s="112" t="n"/>
      <c r="B422" s="113" t="n"/>
      <c r="C422" s="114" t="n"/>
      <c r="D422" s="114" t="n"/>
      <c r="E422" s="115" t="n"/>
      <c r="F422" s="116">
        <f>IF($C422=0,0,$C422-$D422)</f>
        <v/>
      </c>
      <c r="G422" s="116">
        <f>IF($F422=0,0,$F422*$E422)</f>
        <v/>
      </c>
      <c r="H422" s="116">
        <f>$F422-$G422</f>
        <v/>
      </c>
      <c r="I422" s="112" t="n"/>
    </row>
    <row r="423" ht="15" customHeight="1" s="72">
      <c r="A423" s="112" t="n"/>
      <c r="B423" s="113" t="n"/>
      <c r="C423" s="114" t="n"/>
      <c r="D423" s="114" t="n"/>
      <c r="E423" s="115" t="n"/>
      <c r="F423" s="116">
        <f>IF($C423=0,0,$C423-$D423)</f>
        <v/>
      </c>
      <c r="G423" s="116">
        <f>IF($F423=0,0,$F423*$E423)</f>
        <v/>
      </c>
      <c r="H423" s="116">
        <f>$F423-$G423</f>
        <v/>
      </c>
      <c r="I423" s="112" t="n"/>
    </row>
    <row r="424" ht="15" customHeight="1" s="72">
      <c r="A424" s="112" t="n"/>
      <c r="B424" s="113" t="n"/>
      <c r="C424" s="114" t="n"/>
      <c r="D424" s="114" t="n"/>
      <c r="E424" s="115" t="n"/>
      <c r="F424" s="116">
        <f>IF($C424=0,0,$C424-$D424)</f>
        <v/>
      </c>
      <c r="G424" s="116">
        <f>IF($F424=0,0,$F424*$E424)</f>
        <v/>
      </c>
      <c r="H424" s="116">
        <f>$F424-$G424</f>
        <v/>
      </c>
      <c r="I424" s="112" t="n"/>
    </row>
    <row r="425" ht="15" customHeight="1" s="72">
      <c r="A425" s="112" t="n"/>
      <c r="B425" s="113" t="n"/>
      <c r="C425" s="114" t="n"/>
      <c r="D425" s="114" t="n"/>
      <c r="E425" s="115" t="n"/>
      <c r="F425" s="116">
        <f>IF($C425=0,0,$C425-$D425)</f>
        <v/>
      </c>
      <c r="G425" s="116">
        <f>IF($F425=0,0,$F425*$E425)</f>
        <v/>
      </c>
      <c r="H425" s="116">
        <f>$F425-$G425</f>
        <v/>
      </c>
      <c r="I425" s="112" t="n"/>
    </row>
    <row r="426" ht="15" customHeight="1" s="72">
      <c r="A426" s="112" t="n"/>
      <c r="B426" s="113" t="n"/>
      <c r="C426" s="114" t="n"/>
      <c r="D426" s="114" t="n"/>
      <c r="E426" s="115" t="n"/>
      <c r="F426" s="116">
        <f>IF($C426=0,0,$C426-$D426)</f>
        <v/>
      </c>
      <c r="G426" s="116">
        <f>IF($F426=0,0,$F426*$E426)</f>
        <v/>
      </c>
      <c r="H426" s="116">
        <f>$F426-$G426</f>
        <v/>
      </c>
      <c r="I426" s="112" t="n"/>
    </row>
    <row r="427" ht="15" customHeight="1" s="72">
      <c r="A427" s="112" t="n"/>
      <c r="B427" s="113" t="n"/>
      <c r="C427" s="114" t="n"/>
      <c r="D427" s="114" t="n"/>
      <c r="E427" s="115" t="n"/>
      <c r="F427" s="116">
        <f>IF($C427=0,0,$C427-$D427)</f>
        <v/>
      </c>
      <c r="G427" s="116">
        <f>IF($F427=0,0,$F427*$E427)</f>
        <v/>
      </c>
      <c r="H427" s="116">
        <f>$F427-$G427</f>
        <v/>
      </c>
      <c r="I427" s="112" t="n"/>
    </row>
    <row r="428" ht="15" customHeight="1" s="72">
      <c r="A428" s="112" t="n"/>
      <c r="B428" s="113" t="n"/>
      <c r="C428" s="114" t="n"/>
      <c r="D428" s="114" t="n"/>
      <c r="E428" s="115" t="n"/>
      <c r="F428" s="116">
        <f>IF($C428=0,0,$C428-$D428)</f>
        <v/>
      </c>
      <c r="G428" s="116">
        <f>IF($F428=0,0,$F428*$E428)</f>
        <v/>
      </c>
      <c r="H428" s="116">
        <f>$F428-$G428</f>
        <v/>
      </c>
      <c r="I428" s="112" t="n"/>
    </row>
    <row r="429" ht="15" customHeight="1" s="72">
      <c r="A429" s="112" t="n"/>
      <c r="B429" s="113" t="n"/>
      <c r="C429" s="114" t="n"/>
      <c r="D429" s="114" t="n"/>
      <c r="E429" s="115" t="n"/>
      <c r="F429" s="116">
        <f>IF($C429=0,0,$C429-$D429)</f>
        <v/>
      </c>
      <c r="G429" s="116">
        <f>IF($F429=0,0,$F429*$E429)</f>
        <v/>
      </c>
      <c r="H429" s="116">
        <f>$F429-$G429</f>
        <v/>
      </c>
      <c r="I429" s="112" t="n"/>
    </row>
    <row r="430" ht="15" customHeight="1" s="72">
      <c r="A430" s="112" t="n"/>
      <c r="B430" s="113" t="n"/>
      <c r="C430" s="114" t="n"/>
      <c r="D430" s="114" t="n"/>
      <c r="E430" s="115" t="n"/>
      <c r="F430" s="116">
        <f>IF($C430=0,0,$C430-$D430)</f>
        <v/>
      </c>
      <c r="G430" s="116">
        <f>IF($F430=0,0,$F430*$E430)</f>
        <v/>
      </c>
      <c r="H430" s="116">
        <f>$F430-$G430</f>
        <v/>
      </c>
      <c r="I430" s="112" t="n"/>
    </row>
    <row r="431" ht="15" customHeight="1" s="72">
      <c r="A431" s="112" t="n"/>
      <c r="B431" s="113" t="n"/>
      <c r="C431" s="114" t="n"/>
      <c r="D431" s="114" t="n"/>
      <c r="E431" s="115" t="n"/>
      <c r="F431" s="116">
        <f>IF($C431=0,0,$C431-$D431)</f>
        <v/>
      </c>
      <c r="G431" s="116">
        <f>IF($F431=0,0,$F431*$E431)</f>
        <v/>
      </c>
      <c r="H431" s="116">
        <f>$F431-$G431</f>
        <v/>
      </c>
      <c r="I431" s="112" t="n"/>
    </row>
    <row r="432" ht="15" customHeight="1" s="72">
      <c r="A432" s="112" t="n"/>
      <c r="B432" s="113" t="n"/>
      <c r="C432" s="114" t="n"/>
      <c r="D432" s="114" t="n"/>
      <c r="E432" s="115" t="n"/>
      <c r="F432" s="116">
        <f>IF($C432=0,0,$C432-$D432)</f>
        <v/>
      </c>
      <c r="G432" s="116">
        <f>IF($F432=0,0,$F432*$E432)</f>
        <v/>
      </c>
      <c r="H432" s="116">
        <f>$F432-$G432</f>
        <v/>
      </c>
      <c r="I432" s="112" t="n"/>
    </row>
    <row r="433" ht="15" customHeight="1" s="72">
      <c r="A433" s="112" t="n"/>
      <c r="B433" s="113" t="n"/>
      <c r="C433" s="114" t="n"/>
      <c r="D433" s="114" t="n"/>
      <c r="E433" s="115" t="n"/>
      <c r="F433" s="116">
        <f>IF($C433=0,0,$C433-$D433)</f>
        <v/>
      </c>
      <c r="G433" s="116">
        <f>IF($F433=0,0,$F433*$E433)</f>
        <v/>
      </c>
      <c r="H433" s="116">
        <f>$F433-$G433</f>
        <v/>
      </c>
      <c r="I433" s="112" t="n"/>
    </row>
    <row r="434" ht="15" customHeight="1" s="72">
      <c r="A434" s="112" t="n"/>
      <c r="B434" s="113" t="n"/>
      <c r="C434" s="114" t="n"/>
      <c r="D434" s="114" t="n"/>
      <c r="E434" s="115" t="n"/>
      <c r="F434" s="116">
        <f>IF($C434=0,0,$C434-$D434)</f>
        <v/>
      </c>
      <c r="G434" s="116">
        <f>IF($F434=0,0,$F434*$E434)</f>
        <v/>
      </c>
      <c r="H434" s="116">
        <f>$F434-$G434</f>
        <v/>
      </c>
      <c r="I434" s="112" t="n"/>
    </row>
    <row r="435" ht="15" customHeight="1" s="72">
      <c r="A435" s="112" t="n"/>
      <c r="B435" s="113" t="n"/>
      <c r="C435" s="114" t="n"/>
      <c r="D435" s="114" t="n"/>
      <c r="E435" s="115" t="n"/>
      <c r="F435" s="116">
        <f>IF($C435=0,0,$C435-$D435)</f>
        <v/>
      </c>
      <c r="G435" s="116">
        <f>IF($F435=0,0,$F435*$E435)</f>
        <v/>
      </c>
      <c r="H435" s="116">
        <f>$F435-$G435</f>
        <v/>
      </c>
      <c r="I435" s="112" t="n"/>
    </row>
    <row r="436" ht="15" customHeight="1" s="72">
      <c r="A436" s="112" t="n"/>
      <c r="B436" s="113" t="n"/>
      <c r="C436" s="114" t="n"/>
      <c r="D436" s="114" t="n"/>
      <c r="E436" s="115" t="n"/>
      <c r="F436" s="116">
        <f>IF($C436=0,0,$C436-$D436)</f>
        <v/>
      </c>
      <c r="G436" s="116">
        <f>IF($F436=0,0,$F436*$E436)</f>
        <v/>
      </c>
      <c r="H436" s="116">
        <f>$F436-$G436</f>
        <v/>
      </c>
      <c r="I436" s="112" t="n"/>
    </row>
    <row r="437" ht="15" customHeight="1" s="72">
      <c r="A437" s="112" t="n"/>
      <c r="B437" s="113" t="n"/>
      <c r="C437" s="114" t="n"/>
      <c r="D437" s="114" t="n"/>
      <c r="E437" s="115" t="n"/>
      <c r="F437" s="116">
        <f>IF($C437=0,0,$C437-$D437)</f>
        <v/>
      </c>
      <c r="G437" s="116">
        <f>IF($F437=0,0,$F437*$E437)</f>
        <v/>
      </c>
      <c r="H437" s="116">
        <f>$F437-$G437</f>
        <v/>
      </c>
      <c r="I437" s="112" t="n"/>
    </row>
    <row r="438" ht="15" customHeight="1" s="72">
      <c r="A438" s="112" t="n"/>
      <c r="B438" s="113" t="n"/>
      <c r="C438" s="114" t="n"/>
      <c r="D438" s="114" t="n"/>
      <c r="E438" s="115" t="n"/>
      <c r="F438" s="116">
        <f>IF($C438=0,0,$C438-$D438)</f>
        <v/>
      </c>
      <c r="G438" s="116">
        <f>IF($F438=0,0,$F438*$E438)</f>
        <v/>
      </c>
      <c r="H438" s="116">
        <f>$F438-$G438</f>
        <v/>
      </c>
      <c r="I438" s="112" t="n"/>
    </row>
    <row r="439" ht="15" customHeight="1" s="72">
      <c r="A439" s="112" t="n"/>
      <c r="B439" s="113" t="n"/>
      <c r="C439" s="114" t="n"/>
      <c r="D439" s="114" t="n"/>
      <c r="E439" s="115" t="n"/>
      <c r="F439" s="116">
        <f>IF($C439=0,0,$C439-$D439)</f>
        <v/>
      </c>
      <c r="G439" s="116">
        <f>IF($F439=0,0,$F439*$E439)</f>
        <v/>
      </c>
      <c r="H439" s="116">
        <f>$F439-$G439</f>
        <v/>
      </c>
      <c r="I439" s="112" t="n"/>
    </row>
    <row r="440" ht="15" customHeight="1" s="72">
      <c r="A440" s="112" t="n"/>
      <c r="B440" s="113" t="n"/>
      <c r="C440" s="114" t="n"/>
      <c r="D440" s="114" t="n"/>
      <c r="E440" s="115" t="n"/>
      <c r="F440" s="116">
        <f>IF($C440=0,0,$C440-$D440)</f>
        <v/>
      </c>
      <c r="G440" s="116">
        <f>IF($F440=0,0,$F440*$E440)</f>
        <v/>
      </c>
      <c r="H440" s="116">
        <f>$F440-$G440</f>
        <v/>
      </c>
      <c r="I440" s="112" t="n"/>
    </row>
    <row r="441" ht="15" customHeight="1" s="72">
      <c r="A441" s="112" t="n"/>
      <c r="B441" s="113" t="n"/>
      <c r="C441" s="114" t="n"/>
      <c r="D441" s="114" t="n"/>
      <c r="E441" s="115" t="n"/>
      <c r="F441" s="116">
        <f>IF($C441=0,0,$C441-$D441)</f>
        <v/>
      </c>
      <c r="G441" s="116">
        <f>IF($F441=0,0,$F441*$E441)</f>
        <v/>
      </c>
      <c r="H441" s="116">
        <f>$F441-$G441</f>
        <v/>
      </c>
      <c r="I441" s="112" t="n"/>
    </row>
    <row r="442" ht="15" customHeight="1" s="72">
      <c r="A442" s="112" t="n"/>
      <c r="B442" s="113" t="n"/>
      <c r="C442" s="114" t="n"/>
      <c r="D442" s="114" t="n"/>
      <c r="E442" s="115" t="n"/>
      <c r="F442" s="116">
        <f>IF($C442=0,0,$C442-$D442)</f>
        <v/>
      </c>
      <c r="G442" s="116">
        <f>IF($F442=0,0,$F442*$E442)</f>
        <v/>
      </c>
      <c r="H442" s="116">
        <f>$F442-$G442</f>
        <v/>
      </c>
      <c r="I442" s="112" t="n"/>
    </row>
    <row r="443" ht="15" customHeight="1" s="72">
      <c r="A443" s="112" t="n"/>
      <c r="B443" s="113" t="n"/>
      <c r="C443" s="114" t="n"/>
      <c r="D443" s="114" t="n"/>
      <c r="E443" s="115" t="n"/>
      <c r="F443" s="116">
        <f>IF($C443=0,0,$C443-$D443)</f>
        <v/>
      </c>
      <c r="G443" s="116">
        <f>IF($F443=0,0,$F443*$E443)</f>
        <v/>
      </c>
      <c r="H443" s="116">
        <f>$F443-$G443</f>
        <v/>
      </c>
      <c r="I443" s="112" t="n"/>
    </row>
    <row r="444" ht="15" customHeight="1" s="72">
      <c r="A444" s="112" t="n"/>
      <c r="B444" s="113" t="n"/>
      <c r="C444" s="114" t="n"/>
      <c r="D444" s="114" t="n"/>
      <c r="E444" s="115" t="n"/>
      <c r="F444" s="116">
        <f>IF($C444=0,0,$C444-$D444)</f>
        <v/>
      </c>
      <c r="G444" s="116">
        <f>IF($F444=0,0,$F444*$E444)</f>
        <v/>
      </c>
      <c r="H444" s="116">
        <f>$F444-$G444</f>
        <v/>
      </c>
      <c r="I444" s="112" t="n"/>
    </row>
    <row r="445" ht="15" customHeight="1" s="72">
      <c r="A445" s="112" t="n"/>
      <c r="B445" s="113" t="n"/>
      <c r="C445" s="114" t="n"/>
      <c r="D445" s="114" t="n"/>
      <c r="E445" s="115" t="n"/>
      <c r="F445" s="116">
        <f>IF($C445=0,0,$C445-$D445)</f>
        <v/>
      </c>
      <c r="G445" s="116">
        <f>IF($F445=0,0,$F445*$E445)</f>
        <v/>
      </c>
      <c r="H445" s="116">
        <f>$F445-$G445</f>
        <v/>
      </c>
      <c r="I445" s="112" t="n"/>
    </row>
    <row r="446" ht="15" customHeight="1" s="72">
      <c r="A446" s="112" t="n"/>
      <c r="B446" s="113" t="n"/>
      <c r="C446" s="114" t="n"/>
      <c r="D446" s="114" t="n"/>
      <c r="E446" s="115" t="n"/>
      <c r="F446" s="116">
        <f>IF($C446=0,0,$C446-$D446)</f>
        <v/>
      </c>
      <c r="G446" s="116">
        <f>IF($F446=0,0,$F446*$E446)</f>
        <v/>
      </c>
      <c r="H446" s="116">
        <f>$F446-$G446</f>
        <v/>
      </c>
      <c r="I446" s="112" t="n"/>
    </row>
    <row r="447" ht="15" customHeight="1" s="72">
      <c r="A447" s="112" t="n"/>
      <c r="B447" s="113" t="n"/>
      <c r="C447" s="114" t="n"/>
      <c r="D447" s="114" t="n"/>
      <c r="E447" s="115" t="n"/>
      <c r="F447" s="116">
        <f>IF($C447=0,0,$C447-$D447)</f>
        <v/>
      </c>
      <c r="G447" s="116">
        <f>IF($F447=0,0,$F447*$E447)</f>
        <v/>
      </c>
      <c r="H447" s="116">
        <f>$F447-$G447</f>
        <v/>
      </c>
      <c r="I447" s="112" t="n"/>
    </row>
    <row r="448" ht="15" customHeight="1" s="72">
      <c r="A448" s="112" t="n"/>
      <c r="B448" s="113" t="n"/>
      <c r="C448" s="114" t="n"/>
      <c r="D448" s="114" t="n"/>
      <c r="E448" s="115" t="n"/>
      <c r="F448" s="116">
        <f>IF($C448=0,0,$C448-$D448)</f>
        <v/>
      </c>
      <c r="G448" s="116">
        <f>IF($F448=0,0,$F448*$E448)</f>
        <v/>
      </c>
      <c r="H448" s="116">
        <f>$F448-$G448</f>
        <v/>
      </c>
      <c r="I448" s="112" t="n"/>
    </row>
    <row r="449" ht="15" customHeight="1" s="72">
      <c r="A449" s="112" t="n"/>
      <c r="B449" s="113" t="n"/>
      <c r="C449" s="114" t="n"/>
      <c r="D449" s="114" t="n"/>
      <c r="E449" s="115" t="n"/>
      <c r="F449" s="116">
        <f>IF($C449=0,0,$C449-$D449)</f>
        <v/>
      </c>
      <c r="G449" s="116">
        <f>IF($F449=0,0,$F449*$E449)</f>
        <v/>
      </c>
      <c r="H449" s="116">
        <f>$F449-$G449</f>
        <v/>
      </c>
      <c r="I449" s="112" t="n"/>
    </row>
    <row r="450" ht="15" customHeight="1" s="72">
      <c r="A450" s="112" t="n"/>
      <c r="B450" s="113" t="n"/>
      <c r="C450" s="114" t="n"/>
      <c r="D450" s="114" t="n"/>
      <c r="E450" s="115" t="n"/>
      <c r="F450" s="116">
        <f>IF($C450=0,0,$C450-$D450)</f>
        <v/>
      </c>
      <c r="G450" s="116">
        <f>IF($F450=0,0,$F450*$E450)</f>
        <v/>
      </c>
      <c r="H450" s="116">
        <f>$F450-$G450</f>
        <v/>
      </c>
      <c r="I450" s="112" t="n"/>
    </row>
    <row r="451" ht="15" customHeight="1" s="72">
      <c r="A451" s="112" t="n"/>
      <c r="B451" s="113" t="n"/>
      <c r="C451" s="114" t="n"/>
      <c r="D451" s="114" t="n"/>
      <c r="E451" s="115" t="n"/>
      <c r="F451" s="116">
        <f>IF($C451=0,0,$C451-$D451)</f>
        <v/>
      </c>
      <c r="G451" s="116">
        <f>IF($F451=0,0,$F451*$E451)</f>
        <v/>
      </c>
      <c r="H451" s="116">
        <f>$F451-$G451</f>
        <v/>
      </c>
      <c r="I451" s="112" t="n"/>
    </row>
    <row r="452" ht="15" customHeight="1" s="72">
      <c r="A452" s="112" t="n"/>
      <c r="B452" s="113" t="n"/>
      <c r="C452" s="114" t="n"/>
      <c r="D452" s="114" t="n"/>
      <c r="E452" s="115" t="n"/>
      <c r="F452" s="116">
        <f>IF($C452=0,0,$C452-$D452)</f>
        <v/>
      </c>
      <c r="G452" s="116">
        <f>IF($F452=0,0,$F452*$E452)</f>
        <v/>
      </c>
      <c r="H452" s="116">
        <f>$F452-$G452</f>
        <v/>
      </c>
      <c r="I452" s="112" t="n"/>
    </row>
    <row r="453" ht="15" customHeight="1" s="72">
      <c r="A453" s="112" t="n"/>
      <c r="B453" s="113" t="n"/>
      <c r="C453" s="114" t="n"/>
      <c r="D453" s="114" t="n"/>
      <c r="E453" s="115" t="n"/>
      <c r="F453" s="116">
        <f>IF($C453=0,0,$C453-$D453)</f>
        <v/>
      </c>
      <c r="G453" s="116">
        <f>IF($F453=0,0,$F453*$E453)</f>
        <v/>
      </c>
      <c r="H453" s="116">
        <f>$F453-$G453</f>
        <v/>
      </c>
      <c r="I453" s="112" t="n"/>
    </row>
    <row r="454" ht="15" customHeight="1" s="72">
      <c r="A454" s="112" t="n"/>
      <c r="B454" s="113" t="n"/>
      <c r="C454" s="114" t="n"/>
      <c r="D454" s="114" t="n"/>
      <c r="E454" s="115" t="n"/>
      <c r="F454" s="116">
        <f>IF($C454=0,0,$C454-$D454)</f>
        <v/>
      </c>
      <c r="G454" s="116">
        <f>IF($F454=0,0,$F454*$E454)</f>
        <v/>
      </c>
      <c r="H454" s="116">
        <f>$F454-$G454</f>
        <v/>
      </c>
      <c r="I454" s="112" t="n"/>
    </row>
    <row r="455" ht="15" customHeight="1" s="72">
      <c r="A455" s="112" t="n"/>
      <c r="B455" s="113" t="n"/>
      <c r="C455" s="114" t="n"/>
      <c r="D455" s="114" t="n"/>
      <c r="E455" s="115" t="n"/>
      <c r="F455" s="116">
        <f>IF($C455=0,0,$C455-$D455)</f>
        <v/>
      </c>
      <c r="G455" s="116">
        <f>IF($F455=0,0,$F455*$E455)</f>
        <v/>
      </c>
      <c r="H455" s="116">
        <f>$F455-$G455</f>
        <v/>
      </c>
      <c r="I455" s="112" t="n"/>
    </row>
    <row r="456" ht="15" customHeight="1" s="72">
      <c r="A456" s="112" t="n"/>
      <c r="B456" s="113" t="n"/>
      <c r="C456" s="114" t="n"/>
      <c r="D456" s="114" t="n"/>
      <c r="E456" s="115" t="n"/>
      <c r="F456" s="116">
        <f>IF($C456=0,0,$C456-$D456)</f>
        <v/>
      </c>
      <c r="G456" s="116">
        <f>IF($F456=0,0,$F456*$E456)</f>
        <v/>
      </c>
      <c r="H456" s="116">
        <f>$F456-$G456</f>
        <v/>
      </c>
      <c r="I456" s="112" t="n"/>
    </row>
    <row r="457" ht="15" customHeight="1" s="72">
      <c r="A457" s="112" t="n"/>
      <c r="B457" s="113" t="n"/>
      <c r="C457" s="114" t="n"/>
      <c r="D457" s="114" t="n"/>
      <c r="E457" s="115" t="n"/>
      <c r="F457" s="116">
        <f>IF($C457=0,0,$C457-$D457)</f>
        <v/>
      </c>
      <c r="G457" s="116">
        <f>IF($F457=0,0,$F457*$E457)</f>
        <v/>
      </c>
      <c r="H457" s="116">
        <f>$F457-$G457</f>
        <v/>
      </c>
      <c r="I457" s="112" t="n"/>
    </row>
    <row r="458" ht="15" customHeight="1" s="72">
      <c r="A458" s="112" t="n"/>
      <c r="B458" s="113" t="n"/>
      <c r="C458" s="114" t="n"/>
      <c r="D458" s="114" t="n"/>
      <c r="E458" s="115" t="n"/>
      <c r="F458" s="116">
        <f>IF($C458=0,0,$C458-$D458)</f>
        <v/>
      </c>
      <c r="G458" s="116">
        <f>IF($F458=0,0,$F458*$E458)</f>
        <v/>
      </c>
      <c r="H458" s="116">
        <f>$F458-$G458</f>
        <v/>
      </c>
      <c r="I458" s="112" t="n"/>
    </row>
    <row r="459" ht="15" customHeight="1" s="72">
      <c r="A459" s="112" t="n"/>
      <c r="B459" s="113" t="n"/>
      <c r="C459" s="114" t="n"/>
      <c r="D459" s="114" t="n"/>
      <c r="E459" s="115" t="n"/>
      <c r="F459" s="116">
        <f>IF($C459=0,0,$C459-$D459)</f>
        <v/>
      </c>
      <c r="G459" s="116">
        <f>IF($F459=0,0,$F459*$E459)</f>
        <v/>
      </c>
      <c r="H459" s="116">
        <f>$F459-$G459</f>
        <v/>
      </c>
      <c r="I459" s="112" t="n"/>
    </row>
    <row r="460" ht="15" customHeight="1" s="72">
      <c r="A460" s="112" t="n"/>
      <c r="B460" s="113" t="n"/>
      <c r="C460" s="114" t="n"/>
      <c r="D460" s="114" t="n"/>
      <c r="E460" s="115" t="n"/>
      <c r="F460" s="116">
        <f>IF($C460=0,0,$C460-$D460)</f>
        <v/>
      </c>
      <c r="G460" s="116">
        <f>IF($F460=0,0,$F460*$E460)</f>
        <v/>
      </c>
      <c r="H460" s="116">
        <f>$F460-$G460</f>
        <v/>
      </c>
      <c r="I460" s="112" t="n"/>
    </row>
    <row r="461" ht="15" customHeight="1" s="72">
      <c r="A461" s="112" t="n"/>
      <c r="B461" s="113" t="n"/>
      <c r="C461" s="114" t="n"/>
      <c r="D461" s="114" t="n"/>
      <c r="E461" s="115" t="n"/>
      <c r="F461" s="116">
        <f>IF($C461=0,0,$C461-$D461)</f>
        <v/>
      </c>
      <c r="G461" s="116">
        <f>IF($F461=0,0,$F461*$E461)</f>
        <v/>
      </c>
      <c r="H461" s="116">
        <f>$F461-$G461</f>
        <v/>
      </c>
      <c r="I461" s="112" t="n"/>
    </row>
    <row r="462" ht="15" customHeight="1" s="72">
      <c r="A462" s="112" t="n"/>
      <c r="B462" s="113" t="n"/>
      <c r="C462" s="114" t="n"/>
      <c r="D462" s="114" t="n"/>
      <c r="E462" s="115" t="n"/>
      <c r="F462" s="116">
        <f>IF($C462=0,0,$C462-$D462)</f>
        <v/>
      </c>
      <c r="G462" s="116">
        <f>IF($F462=0,0,$F462*$E462)</f>
        <v/>
      </c>
      <c r="H462" s="116">
        <f>$F462-$G462</f>
        <v/>
      </c>
      <c r="I462" s="112" t="n"/>
    </row>
    <row r="463" ht="15" customHeight="1" s="72">
      <c r="A463" s="112" t="n"/>
      <c r="B463" s="113" t="n"/>
      <c r="C463" s="114" t="n"/>
      <c r="D463" s="114" t="n"/>
      <c r="E463" s="115" t="n"/>
      <c r="F463" s="116">
        <f>IF($C463=0,0,$C463-$D463)</f>
        <v/>
      </c>
      <c r="G463" s="116">
        <f>IF($F463=0,0,$F463*$E463)</f>
        <v/>
      </c>
      <c r="H463" s="116">
        <f>$F463-$G463</f>
        <v/>
      </c>
      <c r="I463" s="112" t="n"/>
    </row>
    <row r="464" ht="15" customHeight="1" s="72">
      <c r="A464" s="112" t="n"/>
      <c r="B464" s="113" t="n"/>
      <c r="C464" s="114" t="n"/>
      <c r="D464" s="114" t="n"/>
      <c r="E464" s="115" t="n"/>
      <c r="F464" s="116">
        <f>IF($C464=0,0,$C464-$D464)</f>
        <v/>
      </c>
      <c r="G464" s="116">
        <f>IF($F464=0,0,$F464*$E464)</f>
        <v/>
      </c>
      <c r="H464" s="116">
        <f>$F464-$G464</f>
        <v/>
      </c>
      <c r="I464" s="112" t="n"/>
    </row>
    <row r="465" ht="15" customHeight="1" s="72">
      <c r="A465" s="112" t="n"/>
      <c r="B465" s="113" t="n"/>
      <c r="C465" s="114" t="n"/>
      <c r="D465" s="114" t="n"/>
      <c r="E465" s="115" t="n"/>
      <c r="F465" s="116">
        <f>IF($C465=0,0,$C465-$D465)</f>
        <v/>
      </c>
      <c r="G465" s="116">
        <f>IF($F465=0,0,$F465*$E465)</f>
        <v/>
      </c>
      <c r="H465" s="116">
        <f>$F465-$G465</f>
        <v/>
      </c>
      <c r="I465" s="112" t="n"/>
    </row>
    <row r="466" ht="15" customHeight="1" s="72">
      <c r="A466" s="112" t="n"/>
      <c r="B466" s="113" t="n"/>
      <c r="C466" s="114" t="n"/>
      <c r="D466" s="114" t="n"/>
      <c r="E466" s="115" t="n"/>
      <c r="F466" s="116">
        <f>IF($C466=0,0,$C466-$D466)</f>
        <v/>
      </c>
      <c r="G466" s="116">
        <f>IF($F466=0,0,$F466*$E466)</f>
        <v/>
      </c>
      <c r="H466" s="116">
        <f>$F466-$G466</f>
        <v/>
      </c>
      <c r="I466" s="112" t="n"/>
    </row>
    <row r="467" ht="15" customHeight="1" s="72">
      <c r="A467" s="112" t="n"/>
      <c r="B467" s="113" t="n"/>
      <c r="C467" s="114" t="n"/>
      <c r="D467" s="114" t="n"/>
      <c r="E467" s="115" t="n"/>
      <c r="F467" s="116">
        <f>IF($C467=0,0,$C467-$D467)</f>
        <v/>
      </c>
      <c r="G467" s="116">
        <f>IF($F467=0,0,$F467*$E467)</f>
        <v/>
      </c>
      <c r="H467" s="116">
        <f>$F467-$G467</f>
        <v/>
      </c>
      <c r="I467" s="112" t="n"/>
    </row>
    <row r="468" ht="15" customHeight="1" s="72">
      <c r="A468" s="112" t="n"/>
      <c r="B468" s="113" t="n"/>
      <c r="C468" s="114" t="n"/>
      <c r="D468" s="114" t="n"/>
      <c r="E468" s="115" t="n"/>
      <c r="F468" s="116">
        <f>IF($C468=0,0,$C468-$D468)</f>
        <v/>
      </c>
      <c r="G468" s="116">
        <f>IF($F468=0,0,$F468*$E468)</f>
        <v/>
      </c>
      <c r="H468" s="116">
        <f>$F468-$G468</f>
        <v/>
      </c>
      <c r="I468" s="112" t="n"/>
    </row>
    <row r="469" ht="15" customHeight="1" s="72">
      <c r="A469" s="112" t="n"/>
      <c r="B469" s="113" t="n"/>
      <c r="C469" s="114" t="n"/>
      <c r="D469" s="114" t="n"/>
      <c r="E469" s="115" t="n"/>
      <c r="F469" s="116">
        <f>IF($C469=0,0,$C469-$D469)</f>
        <v/>
      </c>
      <c r="G469" s="116">
        <f>IF($F469=0,0,$F469*$E469)</f>
        <v/>
      </c>
      <c r="H469" s="116">
        <f>$F469-$G469</f>
        <v/>
      </c>
      <c r="I469" s="112" t="n"/>
    </row>
    <row r="470" ht="15" customHeight="1" s="72">
      <c r="A470" s="112" t="n"/>
      <c r="B470" s="113" t="n"/>
      <c r="C470" s="114" t="n"/>
      <c r="D470" s="114" t="n"/>
      <c r="E470" s="115" t="n"/>
      <c r="F470" s="116">
        <f>IF($C470=0,0,$C470-$D470)</f>
        <v/>
      </c>
      <c r="G470" s="116">
        <f>IF($F470=0,0,$F470*$E470)</f>
        <v/>
      </c>
      <c r="H470" s="116">
        <f>$F470-$G470</f>
        <v/>
      </c>
      <c r="I470" s="112" t="n"/>
    </row>
    <row r="471" ht="15" customHeight="1" s="72">
      <c r="A471" s="112" t="n"/>
      <c r="B471" s="113" t="n"/>
      <c r="C471" s="114" t="n"/>
      <c r="D471" s="114" t="n"/>
      <c r="E471" s="115" t="n"/>
      <c r="F471" s="116">
        <f>IF($C471=0,0,$C471-$D471)</f>
        <v/>
      </c>
      <c r="G471" s="116">
        <f>IF($F471=0,0,$F471*$E471)</f>
        <v/>
      </c>
      <c r="H471" s="116">
        <f>$F471-$G471</f>
        <v/>
      </c>
      <c r="I471" s="112" t="n"/>
    </row>
    <row r="472" ht="15" customHeight="1" s="72">
      <c r="A472" s="112" t="n"/>
      <c r="B472" s="113" t="n"/>
      <c r="C472" s="114" t="n"/>
      <c r="D472" s="114" t="n"/>
      <c r="E472" s="115" t="n"/>
      <c r="F472" s="116">
        <f>IF($C472=0,0,$C472-$D472)</f>
        <v/>
      </c>
      <c r="G472" s="116">
        <f>IF($F472=0,0,$F472*$E472)</f>
        <v/>
      </c>
      <c r="H472" s="116">
        <f>$F472-$G472</f>
        <v/>
      </c>
      <c r="I472" s="112" t="n"/>
    </row>
    <row r="473" ht="15" customHeight="1" s="72">
      <c r="A473" s="112" t="n"/>
      <c r="B473" s="113" t="n"/>
      <c r="C473" s="114" t="n"/>
      <c r="D473" s="114" t="n"/>
      <c r="E473" s="115" t="n"/>
      <c r="F473" s="116">
        <f>IF($C473=0,0,$C473-$D473)</f>
        <v/>
      </c>
      <c r="G473" s="116">
        <f>IF($F473=0,0,$F473*$E473)</f>
        <v/>
      </c>
      <c r="H473" s="116">
        <f>$F473-$G473</f>
        <v/>
      </c>
      <c r="I473" s="112" t="n"/>
    </row>
    <row r="474" ht="15" customHeight="1" s="72">
      <c r="A474" s="112" t="n"/>
      <c r="B474" s="113" t="n"/>
      <c r="C474" s="114" t="n"/>
      <c r="D474" s="114" t="n"/>
      <c r="E474" s="115" t="n"/>
      <c r="F474" s="116">
        <f>IF($C474=0,0,$C474-$D474)</f>
        <v/>
      </c>
      <c r="G474" s="116">
        <f>IF($F474=0,0,$F474*$E474)</f>
        <v/>
      </c>
      <c r="H474" s="116">
        <f>$F474-$G474</f>
        <v/>
      </c>
      <c r="I474" s="112" t="n"/>
    </row>
    <row r="475" ht="15" customHeight="1" s="72">
      <c r="A475" s="112" t="n"/>
      <c r="B475" s="113" t="n"/>
      <c r="C475" s="114" t="n"/>
      <c r="D475" s="114" t="n"/>
      <c r="E475" s="115" t="n"/>
      <c r="F475" s="116">
        <f>IF($C475=0,0,$C475-$D475)</f>
        <v/>
      </c>
      <c r="G475" s="116">
        <f>IF($F475=0,0,$F475*$E475)</f>
        <v/>
      </c>
      <c r="H475" s="116">
        <f>$F475-$G475</f>
        <v/>
      </c>
      <c r="I475" s="112" t="n"/>
    </row>
    <row r="476" ht="15" customHeight="1" s="72">
      <c r="A476" s="112" t="n"/>
      <c r="B476" s="113" t="n"/>
      <c r="C476" s="114" t="n"/>
      <c r="D476" s="114" t="n"/>
      <c r="E476" s="115" t="n"/>
      <c r="F476" s="116">
        <f>IF($C476=0,0,$C476-$D476)</f>
        <v/>
      </c>
      <c r="G476" s="116">
        <f>IF($F476=0,0,$F476*$E476)</f>
        <v/>
      </c>
      <c r="H476" s="116">
        <f>$F476-$G476</f>
        <v/>
      </c>
      <c r="I476" s="112" t="n"/>
    </row>
    <row r="477" ht="15" customHeight="1" s="72">
      <c r="A477" s="112" t="n"/>
      <c r="B477" s="113" t="n"/>
      <c r="C477" s="114" t="n"/>
      <c r="D477" s="114" t="n"/>
      <c r="E477" s="115" t="n"/>
      <c r="F477" s="116">
        <f>IF($C477=0,0,$C477-$D477)</f>
        <v/>
      </c>
      <c r="G477" s="116">
        <f>IF($F477=0,0,$F477*$E477)</f>
        <v/>
      </c>
      <c r="H477" s="116">
        <f>$F477-$G477</f>
        <v/>
      </c>
      <c r="I477" s="112" t="n"/>
    </row>
    <row r="478" ht="15" customHeight="1" s="72">
      <c r="A478" s="112" t="n"/>
      <c r="B478" s="113" t="n"/>
      <c r="C478" s="114" t="n"/>
      <c r="D478" s="114" t="n"/>
      <c r="E478" s="115" t="n"/>
      <c r="F478" s="116">
        <f>IF($C478=0,0,$C478-$D478)</f>
        <v/>
      </c>
      <c r="G478" s="116">
        <f>IF($F478=0,0,$F478*$E478)</f>
        <v/>
      </c>
      <c r="H478" s="116">
        <f>$F478-$G478</f>
        <v/>
      </c>
      <c r="I478" s="112" t="n"/>
    </row>
    <row r="479" ht="15" customHeight="1" s="72">
      <c r="A479" s="112" t="n"/>
      <c r="B479" s="113" t="n"/>
      <c r="C479" s="114" t="n"/>
      <c r="D479" s="114" t="n"/>
      <c r="E479" s="115" t="n"/>
      <c r="F479" s="116">
        <f>IF($C479=0,0,$C479-$D479)</f>
        <v/>
      </c>
      <c r="G479" s="116">
        <f>IF($F479=0,0,$F479*$E479)</f>
        <v/>
      </c>
      <c r="H479" s="116">
        <f>$F479-$G479</f>
        <v/>
      </c>
      <c r="I479" s="112" t="n"/>
    </row>
    <row r="480" ht="15" customHeight="1" s="72">
      <c r="A480" s="112" t="n"/>
      <c r="B480" s="113" t="n"/>
      <c r="C480" s="114" t="n"/>
      <c r="D480" s="114" t="n"/>
      <c r="E480" s="115" t="n"/>
      <c r="F480" s="116">
        <f>IF($C480=0,0,$C480-$D480)</f>
        <v/>
      </c>
      <c r="G480" s="116">
        <f>IF($F480=0,0,$F480*$E480)</f>
        <v/>
      </c>
      <c r="H480" s="116">
        <f>$F480-$G480</f>
        <v/>
      </c>
      <c r="I480" s="112" t="n"/>
    </row>
    <row r="481" ht="15" customHeight="1" s="72">
      <c r="A481" s="112" t="n"/>
      <c r="B481" s="113" t="n"/>
      <c r="C481" s="114" t="n"/>
      <c r="D481" s="114" t="n"/>
      <c r="E481" s="115" t="n"/>
      <c r="F481" s="116">
        <f>IF($C481=0,0,$C481-$D481)</f>
        <v/>
      </c>
      <c r="G481" s="116">
        <f>IF($F481=0,0,$F481*$E481)</f>
        <v/>
      </c>
      <c r="H481" s="116">
        <f>$F481-$G481</f>
        <v/>
      </c>
      <c r="I481" s="112" t="n"/>
    </row>
    <row r="482" ht="15" customHeight="1" s="72">
      <c r="A482" s="112" t="n"/>
      <c r="B482" s="113" t="n"/>
      <c r="C482" s="114" t="n"/>
      <c r="D482" s="114" t="n"/>
      <c r="E482" s="115" t="n"/>
      <c r="F482" s="116">
        <f>IF($C482=0,0,$C482-$D482)</f>
        <v/>
      </c>
      <c r="G482" s="116">
        <f>IF($F482=0,0,$F482*$E482)</f>
        <v/>
      </c>
      <c r="H482" s="116">
        <f>$F482-$G482</f>
        <v/>
      </c>
      <c r="I482" s="112" t="n"/>
    </row>
    <row r="483" ht="15" customHeight="1" s="72">
      <c r="A483" s="112" t="n"/>
      <c r="B483" s="113" t="n"/>
      <c r="C483" s="114" t="n"/>
      <c r="D483" s="114" t="n"/>
      <c r="E483" s="115" t="n"/>
      <c r="F483" s="116">
        <f>IF($C483=0,0,$C483-$D483)</f>
        <v/>
      </c>
      <c r="G483" s="116">
        <f>IF($F483=0,0,$F483*$E483)</f>
        <v/>
      </c>
      <c r="H483" s="116">
        <f>$F483-$G483</f>
        <v/>
      </c>
      <c r="I483" s="112" t="n"/>
    </row>
    <row r="484" ht="15" customHeight="1" s="72">
      <c r="A484" s="112" t="n"/>
      <c r="B484" s="113" t="n"/>
      <c r="C484" s="114" t="n"/>
      <c r="D484" s="114" t="n"/>
      <c r="E484" s="115" t="n"/>
      <c r="F484" s="116">
        <f>IF($C484=0,0,$C484-$D484)</f>
        <v/>
      </c>
      <c r="G484" s="116">
        <f>IF($F484=0,0,$F484*$E484)</f>
        <v/>
      </c>
      <c r="H484" s="116">
        <f>$F484-$G484</f>
        <v/>
      </c>
      <c r="I484" s="112" t="n"/>
    </row>
    <row r="485" ht="15" customHeight="1" s="72">
      <c r="A485" s="112" t="n"/>
      <c r="B485" s="113" t="n"/>
      <c r="C485" s="114" t="n"/>
      <c r="D485" s="114" t="n"/>
      <c r="E485" s="115" t="n"/>
      <c r="F485" s="116">
        <f>IF($C485=0,0,$C485-$D485)</f>
        <v/>
      </c>
      <c r="G485" s="116">
        <f>IF($F485=0,0,$F485*$E485)</f>
        <v/>
      </c>
      <c r="H485" s="116">
        <f>$F485-$G485</f>
        <v/>
      </c>
      <c r="I485" s="112" t="n"/>
    </row>
    <row r="486" ht="15" customHeight="1" s="72">
      <c r="A486" s="112" t="n"/>
      <c r="B486" s="113" t="n"/>
      <c r="C486" s="114" t="n"/>
      <c r="D486" s="114" t="n"/>
      <c r="E486" s="115" t="n"/>
      <c r="F486" s="116">
        <f>IF($C486=0,0,$C486-$D486)</f>
        <v/>
      </c>
      <c r="G486" s="116">
        <f>IF($F486=0,0,$F486*$E486)</f>
        <v/>
      </c>
      <c r="H486" s="116">
        <f>$F486-$G486</f>
        <v/>
      </c>
      <c r="I486" s="112" t="n"/>
    </row>
    <row r="487" ht="15" customHeight="1" s="72">
      <c r="A487" s="112" t="n"/>
      <c r="B487" s="113" t="n"/>
      <c r="C487" s="114" t="n"/>
      <c r="D487" s="114" t="n"/>
      <c r="E487" s="115" t="n"/>
      <c r="F487" s="116">
        <f>IF($C487=0,0,$C487-$D487)</f>
        <v/>
      </c>
      <c r="G487" s="116">
        <f>IF($F487=0,0,$F487*$E487)</f>
        <v/>
      </c>
      <c r="H487" s="116">
        <f>$F487-$G487</f>
        <v/>
      </c>
      <c r="I487" s="112" t="n"/>
    </row>
    <row r="488" ht="15" customHeight="1" s="72">
      <c r="A488" s="112" t="n"/>
      <c r="B488" s="113" t="n"/>
      <c r="C488" s="114" t="n"/>
      <c r="D488" s="114" t="n"/>
      <c r="E488" s="115" t="n"/>
      <c r="F488" s="116">
        <f>IF($C488=0,0,$C488-$D488)</f>
        <v/>
      </c>
      <c r="G488" s="116">
        <f>IF($F488=0,0,$F488*$E488)</f>
        <v/>
      </c>
      <c r="H488" s="116">
        <f>$F488-$G488</f>
        <v/>
      </c>
      <c r="I488" s="112" t="n"/>
    </row>
    <row r="489" ht="15" customHeight="1" s="72">
      <c r="A489" s="112" t="n"/>
      <c r="B489" s="113" t="n"/>
      <c r="C489" s="114" t="n"/>
      <c r="D489" s="114" t="n"/>
      <c r="E489" s="115" t="n"/>
      <c r="F489" s="116">
        <f>IF($C489=0,0,$C489-$D489)</f>
        <v/>
      </c>
      <c r="G489" s="116">
        <f>IF($F489=0,0,$F489*$E489)</f>
        <v/>
      </c>
      <c r="H489" s="116">
        <f>$F489-$G489</f>
        <v/>
      </c>
      <c r="I489" s="112" t="n"/>
    </row>
    <row r="490" ht="15" customHeight="1" s="72">
      <c r="A490" s="112" t="n"/>
      <c r="B490" s="113" t="n"/>
      <c r="C490" s="114" t="n"/>
      <c r="D490" s="114" t="n"/>
      <c r="E490" s="115" t="n"/>
      <c r="F490" s="116">
        <f>IF($C490=0,0,$C490-$D490)</f>
        <v/>
      </c>
      <c r="G490" s="116">
        <f>IF($F490=0,0,$F490*$E490)</f>
        <v/>
      </c>
      <c r="H490" s="116">
        <f>$F490-$G490</f>
        <v/>
      </c>
      <c r="I490" s="112" t="n"/>
    </row>
    <row r="491" ht="15" customHeight="1" s="72">
      <c r="A491" s="112" t="n"/>
      <c r="B491" s="113" t="n"/>
      <c r="C491" s="114" t="n"/>
      <c r="D491" s="114" t="n"/>
      <c r="E491" s="115" t="n"/>
      <c r="F491" s="116">
        <f>IF($C491=0,0,$C491-$D491)</f>
        <v/>
      </c>
      <c r="G491" s="116">
        <f>IF($F491=0,0,$F491*$E491)</f>
        <v/>
      </c>
      <c r="H491" s="116">
        <f>$F491-$G491</f>
        <v/>
      </c>
      <c r="I491" s="112" t="n"/>
    </row>
    <row r="492" ht="15" customHeight="1" s="72">
      <c r="A492" s="112" t="n"/>
      <c r="B492" s="113" t="n"/>
      <c r="C492" s="114" t="n"/>
      <c r="D492" s="114" t="n"/>
      <c r="E492" s="115" t="n"/>
      <c r="F492" s="116">
        <f>IF($C492=0,0,$C492-$D492)</f>
        <v/>
      </c>
      <c r="G492" s="116">
        <f>IF($F492=0,0,$F492*$E492)</f>
        <v/>
      </c>
      <c r="H492" s="116">
        <f>$F492-$G492</f>
        <v/>
      </c>
      <c r="I492" s="112" t="n"/>
    </row>
    <row r="493" ht="15" customHeight="1" s="72">
      <c r="A493" s="112" t="n"/>
      <c r="B493" s="113" t="n"/>
      <c r="C493" s="114" t="n"/>
      <c r="D493" s="114" t="n"/>
      <c r="E493" s="115" t="n"/>
      <c r="F493" s="116">
        <f>IF($C493=0,0,$C493-$D493)</f>
        <v/>
      </c>
      <c r="G493" s="116">
        <f>IF($F493=0,0,$F493*$E493)</f>
        <v/>
      </c>
      <c r="H493" s="116">
        <f>$F493-$G493</f>
        <v/>
      </c>
      <c r="I493" s="112" t="n"/>
    </row>
    <row r="494" ht="15" customHeight="1" s="72">
      <c r="A494" s="112" t="n"/>
      <c r="B494" s="113" t="n"/>
      <c r="C494" s="114" t="n"/>
      <c r="D494" s="114" t="n"/>
      <c r="E494" s="115" t="n"/>
      <c r="F494" s="116">
        <f>IF($C494=0,0,$C494-$D494)</f>
        <v/>
      </c>
      <c r="G494" s="116">
        <f>IF($F494=0,0,$F494*$E494)</f>
        <v/>
      </c>
      <c r="H494" s="116">
        <f>$F494-$G494</f>
        <v/>
      </c>
      <c r="I494" s="112" t="n"/>
    </row>
    <row r="495" ht="15" customHeight="1" s="72">
      <c r="A495" s="112" t="n"/>
      <c r="B495" s="113" t="n"/>
      <c r="C495" s="114" t="n"/>
      <c r="D495" s="114" t="n"/>
      <c r="E495" s="115" t="n"/>
      <c r="F495" s="116">
        <f>IF($C495=0,0,$C495-$D495)</f>
        <v/>
      </c>
      <c r="G495" s="116">
        <f>IF($F495=0,0,$F495*$E495)</f>
        <v/>
      </c>
      <c r="H495" s="116">
        <f>$F495-$G495</f>
        <v/>
      </c>
      <c r="I495" s="112" t="n"/>
    </row>
    <row r="496" ht="15" customHeight="1" s="72">
      <c r="A496" s="112" t="n"/>
      <c r="B496" s="113" t="n"/>
      <c r="C496" s="114" t="n"/>
      <c r="D496" s="114" t="n"/>
      <c r="E496" s="115" t="n"/>
      <c r="F496" s="116">
        <f>IF($C496=0,0,$C496-$D496)</f>
        <v/>
      </c>
      <c r="G496" s="116">
        <f>IF($F496=0,0,$F496*$E496)</f>
        <v/>
      </c>
      <c r="H496" s="116">
        <f>$F496-$G496</f>
        <v/>
      </c>
      <c r="I496" s="112" t="n"/>
    </row>
    <row r="497" ht="15" customHeight="1" s="72">
      <c r="A497" s="112" t="n"/>
      <c r="B497" s="113" t="n"/>
      <c r="C497" s="114" t="n"/>
      <c r="D497" s="114" t="n"/>
      <c r="E497" s="115" t="n"/>
      <c r="F497" s="116">
        <f>IF($C497=0,0,$C497-$D497)</f>
        <v/>
      </c>
      <c r="G497" s="116">
        <f>IF($F497=0,0,$F497*$E497)</f>
        <v/>
      </c>
      <c r="H497" s="116">
        <f>$F497-$G497</f>
        <v/>
      </c>
      <c r="I497" s="112" t="n"/>
    </row>
    <row r="498" ht="15" customHeight="1" s="72">
      <c r="A498" s="112" t="n"/>
      <c r="B498" s="113" t="n"/>
      <c r="C498" s="114" t="n"/>
      <c r="D498" s="114" t="n"/>
      <c r="E498" s="115" t="n"/>
      <c r="F498" s="116">
        <f>IF($C498=0,0,$C498-$D498)</f>
        <v/>
      </c>
      <c r="G498" s="116">
        <f>IF($F498=0,0,$F498*$E498)</f>
        <v/>
      </c>
      <c r="H498" s="116">
        <f>$F498-$G498</f>
        <v/>
      </c>
      <c r="I498" s="112" t="n"/>
    </row>
    <row r="499" ht="15" customHeight="1" s="72">
      <c r="A499" s="112" t="n"/>
      <c r="B499" s="113" t="n"/>
      <c r="C499" s="114" t="n"/>
      <c r="D499" s="114" t="n"/>
      <c r="E499" s="115" t="n"/>
      <c r="F499" s="116">
        <f>IF($C499=0,0,$C499-$D499)</f>
        <v/>
      </c>
      <c r="G499" s="116">
        <f>IF($F499=0,0,$F499*$E499)</f>
        <v/>
      </c>
      <c r="H499" s="116">
        <f>$F499-$G499</f>
        <v/>
      </c>
      <c r="I499" s="112" t="n"/>
    </row>
    <row r="500" ht="15" customHeight="1" s="72">
      <c r="A500" s="112" t="n"/>
      <c r="B500" s="113" t="n"/>
      <c r="C500" s="114" t="n"/>
      <c r="D500" s="114" t="n"/>
      <c r="E500" s="115" t="n"/>
      <c r="F500" s="116">
        <f>IF($C500=0,0,$C500-$D500)</f>
        <v/>
      </c>
      <c r="G500" s="116">
        <f>IF($F500=0,0,$F500*$E500)</f>
        <v/>
      </c>
      <c r="H500" s="116">
        <f>$F500-$G500</f>
        <v/>
      </c>
      <c r="I500" s="112" t="n"/>
    </row>
    <row r="501" ht="15" customHeight="1" s="72">
      <c r="A501" s="112" t="n"/>
      <c r="B501" s="113" t="n"/>
      <c r="C501" s="114" t="n"/>
      <c r="D501" s="114" t="n"/>
      <c r="E501" s="115" t="n"/>
      <c r="F501" s="116">
        <f>IF($C501=0,0,$C501-$D501)</f>
        <v/>
      </c>
      <c r="G501" s="116">
        <f>IF($F501=0,0,$F501*$E501)</f>
        <v/>
      </c>
      <c r="H501" s="116">
        <f>$F501-$G501</f>
        <v/>
      </c>
      <c r="I501" s="112" t="n"/>
    </row>
    <row r="502" ht="15" customHeight="1" s="72">
      <c r="A502" s="112" t="n"/>
      <c r="B502" s="113" t="n"/>
      <c r="C502" s="114" t="n"/>
      <c r="D502" s="114" t="n"/>
      <c r="E502" s="115" t="n"/>
      <c r="F502" s="116">
        <f>IF($C502=0,0,$C502-$D502)</f>
        <v/>
      </c>
      <c r="G502" s="116">
        <f>IF($F502=0,0,$F502*$E502)</f>
        <v/>
      </c>
      <c r="H502" s="116">
        <f>$F502-$G502</f>
        <v/>
      </c>
      <c r="I502" s="112" t="n"/>
    </row>
    <row r="503" ht="15" customHeight="1" s="72">
      <c r="A503" s="112" t="n"/>
      <c r="B503" s="113" t="n"/>
      <c r="C503" s="114" t="n"/>
      <c r="D503" s="114" t="n"/>
      <c r="E503" s="115" t="n"/>
      <c r="F503" s="116">
        <f>IF($C503=0,0,$C503-$D503)</f>
        <v/>
      </c>
      <c r="G503" s="116">
        <f>IF($F503=0,0,$F503*$E503)</f>
        <v/>
      </c>
      <c r="H503" s="116">
        <f>$F503-$G503</f>
        <v/>
      </c>
      <c r="I503" s="112" t="n"/>
    </row>
    <row r="504" ht="15" customHeight="1" s="72">
      <c r="A504" s="112" t="n"/>
      <c r="B504" s="113" t="n"/>
      <c r="C504" s="114" t="n"/>
      <c r="D504" s="114" t="n"/>
      <c r="E504" s="115" t="n"/>
      <c r="F504" s="116">
        <f>IF($C504=0,0,$C504-$D504)</f>
        <v/>
      </c>
      <c r="G504" s="116">
        <f>IF($F504=0,0,$F504*$E504)</f>
        <v/>
      </c>
      <c r="H504" s="116">
        <f>$F504-$G504</f>
        <v/>
      </c>
      <c r="I504" s="112" t="n"/>
    </row>
    <row r="505" ht="15" customHeight="1" s="72">
      <c r="A505" s="112" t="n"/>
      <c r="B505" s="113" t="n"/>
      <c r="C505" s="114" t="n"/>
      <c r="D505" s="114" t="n"/>
      <c r="E505" s="115" t="n"/>
      <c r="F505" s="116">
        <f>IF($C505=0,0,$C505-$D505)</f>
        <v/>
      </c>
      <c r="G505" s="116">
        <f>IF($F505=0,0,$F505*$E505)</f>
        <v/>
      </c>
      <c r="H505" s="116">
        <f>$F505-$G505</f>
        <v/>
      </c>
      <c r="I505" s="112" t="n"/>
    </row>
    <row r="506" ht="15" customHeight="1" s="72">
      <c r="A506" s="112" t="n"/>
      <c r="B506" s="113" t="n"/>
      <c r="C506" s="114" t="n"/>
      <c r="D506" s="114" t="n"/>
      <c r="E506" s="115" t="n"/>
      <c r="F506" s="116">
        <f>IF($C506=0,0,$C506-$D506)</f>
        <v/>
      </c>
      <c r="G506" s="116">
        <f>IF($F506=0,0,$F506*$E506)</f>
        <v/>
      </c>
      <c r="H506" s="116">
        <f>$F506-$G506</f>
        <v/>
      </c>
      <c r="I506" s="112" t="n"/>
    </row>
    <row r="507" ht="15" customHeight="1" s="72">
      <c r="A507" s="112" t="n"/>
      <c r="B507" s="113" t="n"/>
      <c r="C507" s="114" t="n"/>
      <c r="D507" s="114" t="n"/>
      <c r="E507" s="115" t="n"/>
      <c r="F507" s="116">
        <f>IF($C507=0,0,$C507-$D507)</f>
        <v/>
      </c>
      <c r="G507" s="116">
        <f>IF($F507=0,0,$F507*$E507)</f>
        <v/>
      </c>
      <c r="H507" s="116">
        <f>$F507-$G507</f>
        <v/>
      </c>
      <c r="I507" s="112" t="n"/>
    </row>
    <row r="508" ht="15" customHeight="1" s="72">
      <c r="A508" s="112" t="n"/>
      <c r="B508" s="113" t="n"/>
      <c r="C508" s="114" t="n"/>
      <c r="D508" s="114" t="n"/>
      <c r="E508" s="115" t="n"/>
      <c r="F508" s="116">
        <f>IF($C508=0,0,$C508-$D508)</f>
        <v/>
      </c>
      <c r="G508" s="116">
        <f>IF($F508=0,0,$F508*$E508)</f>
        <v/>
      </c>
      <c r="H508" s="116">
        <f>$F508-$G508</f>
        <v/>
      </c>
      <c r="I508" s="112" t="n"/>
    </row>
    <row r="509" ht="15" customHeight="1" s="72">
      <c r="A509" s="112" t="n"/>
      <c r="B509" s="113" t="n"/>
      <c r="C509" s="114" t="n"/>
      <c r="D509" s="114" t="n"/>
      <c r="E509" s="115" t="n"/>
      <c r="F509" s="116">
        <f>IF($C509=0,0,$C509-$D509)</f>
        <v/>
      </c>
      <c r="G509" s="116">
        <f>IF($F509=0,0,$F509*$E509)</f>
        <v/>
      </c>
      <c r="H509" s="116">
        <f>$F509-$G509</f>
        <v/>
      </c>
      <c r="I509" s="112" t="n"/>
    </row>
    <row r="510" ht="15" customHeight="1" s="72">
      <c r="A510" s="112" t="n"/>
      <c r="B510" s="113" t="n"/>
      <c r="C510" s="114" t="n"/>
      <c r="D510" s="114" t="n"/>
      <c r="E510" s="115" t="n"/>
      <c r="F510" s="116">
        <f>IF($C510=0,0,$C510-$D510)</f>
        <v/>
      </c>
      <c r="G510" s="116">
        <f>IF($F510=0,0,$F510*$E510)</f>
        <v/>
      </c>
      <c r="H510" s="116">
        <f>$F510-$G510</f>
        <v/>
      </c>
      <c r="I510" s="112" t="n"/>
    </row>
    <row r="511" ht="15" customHeight="1" s="72">
      <c r="A511" s="112" t="n"/>
      <c r="B511" s="113" t="n"/>
      <c r="C511" s="114" t="n"/>
      <c r="D511" s="114" t="n"/>
      <c r="E511" s="115" t="n"/>
      <c r="F511" s="116">
        <f>IF($C511=0,0,$C511-$D511)</f>
        <v/>
      </c>
      <c r="G511" s="116">
        <f>IF($F511=0,0,$F511*$E511)</f>
        <v/>
      </c>
      <c r="H511" s="116">
        <f>$F511-$G511</f>
        <v/>
      </c>
      <c r="I511" s="112" t="n"/>
    </row>
    <row r="512" ht="15" customHeight="1" s="72">
      <c r="A512" s="112" t="n"/>
      <c r="B512" s="113" t="n"/>
      <c r="C512" s="114" t="n"/>
      <c r="D512" s="114" t="n"/>
      <c r="E512" s="115" t="n"/>
      <c r="F512" s="116">
        <f>IF($C512=0,0,$C512-$D512)</f>
        <v/>
      </c>
      <c r="G512" s="116">
        <f>IF($F512=0,0,$F512*$E512)</f>
        <v/>
      </c>
      <c r="H512" s="116">
        <f>$F512-$G512</f>
        <v/>
      </c>
      <c r="I512" s="112" t="n"/>
    </row>
    <row r="513" ht="15" customHeight="1" s="72">
      <c r="A513" s="112" t="n"/>
      <c r="B513" s="113" t="n"/>
      <c r="C513" s="114" t="n"/>
      <c r="D513" s="114" t="n"/>
      <c r="E513" s="115" t="n"/>
      <c r="F513" s="116">
        <f>IF($C513=0,0,$C513-$D513)</f>
        <v/>
      </c>
      <c r="G513" s="116">
        <f>IF($F513=0,0,$F513*$E513)</f>
        <v/>
      </c>
      <c r="H513" s="116">
        <f>$F513-$G513</f>
        <v/>
      </c>
      <c r="I513" s="112" t="n"/>
    </row>
    <row r="514" ht="15" customHeight="1" s="72">
      <c r="A514" s="112" t="n"/>
      <c r="B514" s="113" t="n"/>
      <c r="C514" s="114" t="n"/>
      <c r="D514" s="114" t="n"/>
      <c r="E514" s="115" t="n"/>
      <c r="F514" s="116">
        <f>IF($C514=0,0,$C514-$D514)</f>
        <v/>
      </c>
      <c r="G514" s="116">
        <f>IF($F514=0,0,$F514*$E514)</f>
        <v/>
      </c>
      <c r="H514" s="116">
        <f>$F514-$G514</f>
        <v/>
      </c>
      <c r="I514" s="112" t="n"/>
    </row>
    <row r="515" ht="15" customHeight="1" s="72">
      <c r="A515" s="112" t="n"/>
      <c r="B515" s="113" t="n"/>
      <c r="C515" s="114" t="n"/>
      <c r="D515" s="114" t="n"/>
      <c r="E515" s="115" t="n"/>
      <c r="F515" s="116">
        <f>IF($C515=0,0,$C515-$D515)</f>
        <v/>
      </c>
      <c r="G515" s="116">
        <f>IF($F515=0,0,$F515*$E515)</f>
        <v/>
      </c>
      <c r="H515" s="116">
        <f>$F515-$G515</f>
        <v/>
      </c>
      <c r="I515" s="112" t="n"/>
    </row>
    <row r="516" ht="15" customHeight="1" s="72">
      <c r="A516" s="112" t="n"/>
      <c r="B516" s="113" t="n"/>
      <c r="C516" s="114" t="n"/>
      <c r="D516" s="114" t="n"/>
      <c r="E516" s="115" t="n"/>
      <c r="F516" s="116">
        <f>IF($C516=0,0,$C516-$D516)</f>
        <v/>
      </c>
      <c r="G516" s="116">
        <f>IF($F516=0,0,$F516*$E516)</f>
        <v/>
      </c>
      <c r="H516" s="116">
        <f>$F516-$G516</f>
        <v/>
      </c>
      <c r="I516" s="112" t="n"/>
    </row>
    <row r="517" ht="15" customHeight="1" s="72">
      <c r="A517" s="112" t="n"/>
      <c r="B517" s="113" t="n"/>
      <c r="C517" s="114" t="n"/>
      <c r="D517" s="114" t="n"/>
      <c r="E517" s="115" t="n"/>
      <c r="F517" s="116">
        <f>IF($C517=0,0,$C517-$D517)</f>
        <v/>
      </c>
      <c r="G517" s="116">
        <f>IF($F517=0,0,$F517*$E517)</f>
        <v/>
      </c>
      <c r="H517" s="116">
        <f>$F517-$G517</f>
        <v/>
      </c>
      <c r="I517" s="112" t="n"/>
    </row>
    <row r="518" ht="15" customHeight="1" s="72">
      <c r="A518" s="112" t="n"/>
      <c r="B518" s="113" t="n"/>
      <c r="C518" s="114" t="n"/>
      <c r="D518" s="114" t="n"/>
      <c r="E518" s="115" t="n"/>
      <c r="F518" s="116">
        <f>IF($C518=0,0,$C518-$D518)</f>
        <v/>
      </c>
      <c r="G518" s="116">
        <f>IF($F518=0,0,$F518*$E518)</f>
        <v/>
      </c>
      <c r="H518" s="116">
        <f>$F518-$G518</f>
        <v/>
      </c>
      <c r="I518" s="112" t="n"/>
    </row>
    <row r="519" ht="15" customHeight="1" s="72">
      <c r="A519" s="112" t="n"/>
      <c r="B519" s="113" t="n"/>
      <c r="C519" s="114" t="n"/>
      <c r="D519" s="114" t="n"/>
      <c r="E519" s="115" t="n"/>
      <c r="F519" s="116">
        <f>IF($C519=0,0,$C519-$D519)</f>
        <v/>
      </c>
      <c r="G519" s="116">
        <f>IF($F519=0,0,$F519*$E519)</f>
        <v/>
      </c>
      <c r="H519" s="116">
        <f>$F519-$G519</f>
        <v/>
      </c>
      <c r="I519" s="112" t="n"/>
    </row>
    <row r="520" ht="15" customHeight="1" s="72">
      <c r="A520" s="112" t="n"/>
      <c r="B520" s="113" t="n"/>
      <c r="C520" s="114" t="n"/>
      <c r="D520" s="114" t="n"/>
      <c r="E520" s="115" t="n"/>
      <c r="F520" s="116">
        <f>IF($C520=0,0,$C520-$D520)</f>
        <v/>
      </c>
      <c r="G520" s="116">
        <f>IF($F520=0,0,$F520*$E520)</f>
        <v/>
      </c>
      <c r="H520" s="116">
        <f>$F520-$G520</f>
        <v/>
      </c>
      <c r="I520" s="112" t="n"/>
    </row>
    <row r="521" ht="15" customHeight="1" s="72">
      <c r="A521" s="112" t="n"/>
      <c r="B521" s="113" t="n"/>
      <c r="C521" s="114" t="n"/>
      <c r="D521" s="114" t="n"/>
      <c r="E521" s="115" t="n"/>
      <c r="F521" s="116">
        <f>IF($C521=0,0,$C521-$D521)</f>
        <v/>
      </c>
      <c r="G521" s="116">
        <f>IF($F521=0,0,$F521*$E521)</f>
        <v/>
      </c>
      <c r="H521" s="116">
        <f>$F521-$G521</f>
        <v/>
      </c>
      <c r="I521" s="112" t="n"/>
    </row>
    <row r="522" ht="15" customHeight="1" s="72">
      <c r="A522" s="112" t="n"/>
      <c r="B522" s="113" t="n"/>
      <c r="C522" s="114" t="n"/>
      <c r="D522" s="114" t="n"/>
      <c r="E522" s="115" t="n"/>
      <c r="F522" s="116">
        <f>IF($C522=0,0,$C522-$D522)</f>
        <v/>
      </c>
      <c r="G522" s="116">
        <f>IF($F522=0,0,$F522*$E522)</f>
        <v/>
      </c>
      <c r="H522" s="116">
        <f>$F522-$G522</f>
        <v/>
      </c>
      <c r="I522" s="112" t="n"/>
    </row>
    <row r="523" ht="15" customHeight="1" s="72">
      <c r="A523" s="112" t="n"/>
      <c r="B523" s="113" t="n"/>
      <c r="C523" s="114" t="n"/>
      <c r="D523" s="114" t="n"/>
      <c r="E523" s="115" t="n"/>
      <c r="F523" s="116">
        <f>IF($C523=0,0,$C523-$D523)</f>
        <v/>
      </c>
      <c r="G523" s="116">
        <f>IF($F523=0,0,$F523*$E523)</f>
        <v/>
      </c>
      <c r="H523" s="116">
        <f>$F523-$G523</f>
        <v/>
      </c>
      <c r="I523" s="112" t="n"/>
    </row>
    <row r="524" ht="15" customHeight="1" s="72">
      <c r="A524" s="112" t="n"/>
      <c r="B524" s="113" t="n"/>
      <c r="C524" s="114" t="n"/>
      <c r="D524" s="114" t="n"/>
      <c r="E524" s="115" t="n"/>
      <c r="F524" s="116">
        <f>IF($C524=0,0,$C524-$D524)</f>
        <v/>
      </c>
      <c r="G524" s="116">
        <f>IF($F524=0,0,$F524*$E524)</f>
        <v/>
      </c>
      <c r="H524" s="116">
        <f>$F524-$G524</f>
        <v/>
      </c>
      <c r="I524" s="112" t="n"/>
    </row>
    <row r="525" ht="15" customHeight="1" s="72">
      <c r="A525" s="112" t="n"/>
      <c r="B525" s="113" t="n"/>
      <c r="C525" s="114" t="n"/>
      <c r="D525" s="114" t="n"/>
      <c r="E525" s="115" t="n"/>
      <c r="F525" s="116">
        <f>IF($C525=0,0,$C525-$D525)</f>
        <v/>
      </c>
      <c r="G525" s="116">
        <f>IF($F525=0,0,$F525*$E525)</f>
        <v/>
      </c>
      <c r="H525" s="116">
        <f>$F525-$G525</f>
        <v/>
      </c>
      <c r="I525" s="112" t="n"/>
    </row>
    <row r="526" ht="15" customHeight="1" s="72">
      <c r="A526" s="112" t="n"/>
      <c r="B526" s="113" t="n"/>
      <c r="C526" s="114" t="n"/>
      <c r="D526" s="114" t="n"/>
      <c r="E526" s="115" t="n"/>
      <c r="F526" s="116">
        <f>IF($C526=0,0,$C526-$D526)</f>
        <v/>
      </c>
      <c r="G526" s="116">
        <f>IF($F526=0,0,$F526*$E526)</f>
        <v/>
      </c>
      <c r="H526" s="116">
        <f>$F526-$G526</f>
        <v/>
      </c>
      <c r="I526" s="112" t="n"/>
    </row>
    <row r="527" ht="15" customHeight="1" s="72">
      <c r="A527" s="112" t="n"/>
      <c r="B527" s="113" t="n"/>
      <c r="C527" s="114" t="n"/>
      <c r="D527" s="114" t="n"/>
      <c r="E527" s="115" t="n"/>
      <c r="F527" s="116">
        <f>IF($C527=0,0,$C527-$D527)</f>
        <v/>
      </c>
      <c r="G527" s="116">
        <f>IF($F527=0,0,$F527*$E527)</f>
        <v/>
      </c>
      <c r="H527" s="116">
        <f>$F527-$G527</f>
        <v/>
      </c>
      <c r="I527" s="112" t="n"/>
    </row>
    <row r="528" ht="15" customHeight="1" s="72">
      <c r="A528" s="112" t="n"/>
      <c r="B528" s="113" t="n"/>
      <c r="C528" s="114" t="n"/>
      <c r="D528" s="114" t="n"/>
      <c r="E528" s="115" t="n"/>
      <c r="F528" s="116">
        <f>IF($C528=0,0,$C528-$D528)</f>
        <v/>
      </c>
      <c r="G528" s="116">
        <f>IF($F528=0,0,$F528*$E528)</f>
        <v/>
      </c>
      <c r="H528" s="116">
        <f>$F528-$G528</f>
        <v/>
      </c>
      <c r="I528" s="112" t="n"/>
    </row>
    <row r="529" ht="15" customHeight="1" s="72">
      <c r="A529" s="112" t="n"/>
      <c r="B529" s="113" t="n"/>
      <c r="C529" s="114" t="n"/>
      <c r="D529" s="114" t="n"/>
      <c r="E529" s="115" t="n"/>
      <c r="F529" s="116">
        <f>IF($C529=0,0,$C529-$D529)</f>
        <v/>
      </c>
      <c r="G529" s="116">
        <f>IF($F529=0,0,$F529*$E529)</f>
        <v/>
      </c>
      <c r="H529" s="116">
        <f>$F529-$G529</f>
        <v/>
      </c>
      <c r="I529" s="112" t="n"/>
    </row>
    <row r="530" ht="15" customHeight="1" s="72">
      <c r="A530" s="112" t="n"/>
      <c r="B530" s="113" t="n"/>
      <c r="C530" s="114" t="n"/>
      <c r="D530" s="114" t="n"/>
      <c r="E530" s="115" t="n"/>
      <c r="F530" s="116">
        <f>IF($C530=0,0,$C530-$D530)</f>
        <v/>
      </c>
      <c r="G530" s="116">
        <f>IF($F530=0,0,$F530*$E530)</f>
        <v/>
      </c>
      <c r="H530" s="116">
        <f>$F530-$G530</f>
        <v/>
      </c>
      <c r="I530" s="112" t="n"/>
    </row>
    <row r="531" ht="15" customHeight="1" s="72">
      <c r="A531" s="112" t="n"/>
      <c r="B531" s="113" t="n"/>
      <c r="C531" s="114" t="n"/>
      <c r="D531" s="114" t="n"/>
      <c r="E531" s="115" t="n"/>
      <c r="F531" s="116">
        <f>IF($C531=0,0,$C531-$D531)</f>
        <v/>
      </c>
      <c r="G531" s="116">
        <f>IF($F531=0,0,$F531*$E531)</f>
        <v/>
      </c>
      <c r="H531" s="116">
        <f>$F531-$G531</f>
        <v/>
      </c>
      <c r="I531" s="112" t="n"/>
    </row>
    <row r="532" ht="15" customHeight="1" s="72">
      <c r="A532" s="112" t="n"/>
      <c r="B532" s="113" t="n"/>
      <c r="C532" s="114" t="n"/>
      <c r="D532" s="114" t="n"/>
      <c r="E532" s="115" t="n"/>
      <c r="F532" s="116">
        <f>IF($C532=0,0,$C532-$D532)</f>
        <v/>
      </c>
      <c r="G532" s="116">
        <f>IF($F532=0,0,$F532*$E532)</f>
        <v/>
      </c>
      <c r="H532" s="116">
        <f>$F532-$G532</f>
        <v/>
      </c>
      <c r="I532" s="112" t="n"/>
    </row>
    <row r="533" ht="15" customHeight="1" s="72">
      <c r="A533" s="112" t="n"/>
      <c r="B533" s="113" t="n"/>
      <c r="C533" s="114" t="n"/>
      <c r="D533" s="114" t="n"/>
      <c r="E533" s="115" t="n"/>
      <c r="F533" s="116">
        <f>IF($C533=0,0,$C533-$D533)</f>
        <v/>
      </c>
      <c r="G533" s="116">
        <f>IF($F533=0,0,$F533*$E533)</f>
        <v/>
      </c>
      <c r="H533" s="116">
        <f>$F533-$G533</f>
        <v/>
      </c>
      <c r="I533" s="112" t="n"/>
    </row>
    <row r="534" ht="15" customHeight="1" s="72">
      <c r="A534" s="112" t="n"/>
      <c r="B534" s="113" t="n"/>
      <c r="C534" s="114" t="n"/>
      <c r="D534" s="114" t="n"/>
      <c r="E534" s="115" t="n"/>
      <c r="F534" s="116">
        <f>IF($C534=0,0,$C534-$D534)</f>
        <v/>
      </c>
      <c r="G534" s="116">
        <f>IF($F534=0,0,$F534*$E534)</f>
        <v/>
      </c>
      <c r="H534" s="116">
        <f>$F534-$G534</f>
        <v/>
      </c>
      <c r="I534" s="112" t="n"/>
    </row>
    <row r="535" ht="15" customHeight="1" s="72">
      <c r="A535" s="112" t="n"/>
      <c r="B535" s="113" t="n"/>
      <c r="C535" s="114" t="n"/>
      <c r="D535" s="114" t="n"/>
      <c r="E535" s="115" t="n"/>
      <c r="F535" s="116">
        <f>IF($C535=0,0,$C535-$D535)</f>
        <v/>
      </c>
      <c r="G535" s="116">
        <f>IF($F535=0,0,$F535*$E535)</f>
        <v/>
      </c>
      <c r="H535" s="116">
        <f>$F535-$G535</f>
        <v/>
      </c>
      <c r="I535" s="112" t="n"/>
    </row>
    <row r="536" ht="15" customHeight="1" s="72">
      <c r="A536" s="112" t="n"/>
      <c r="B536" s="113" t="n"/>
      <c r="C536" s="114" t="n"/>
      <c r="D536" s="114" t="n"/>
      <c r="E536" s="115" t="n"/>
      <c r="F536" s="116">
        <f>IF($C536=0,0,$C536-$D536)</f>
        <v/>
      </c>
      <c r="G536" s="116">
        <f>IF($F536=0,0,$F536*$E536)</f>
        <v/>
      </c>
      <c r="H536" s="116">
        <f>$F536-$G536</f>
        <v/>
      </c>
      <c r="I536" s="112" t="n"/>
    </row>
    <row r="537" ht="15" customHeight="1" s="72">
      <c r="A537" s="112" t="n"/>
      <c r="B537" s="113" t="n"/>
      <c r="C537" s="114" t="n"/>
      <c r="D537" s="114" t="n"/>
      <c r="E537" s="115" t="n"/>
      <c r="F537" s="116">
        <f>IF($C537=0,0,$C537-$D537)</f>
        <v/>
      </c>
      <c r="G537" s="116">
        <f>IF($F537=0,0,$F537*$E537)</f>
        <v/>
      </c>
      <c r="H537" s="116">
        <f>$F537-$G537</f>
        <v/>
      </c>
      <c r="I537" s="112" t="n"/>
    </row>
    <row r="538" ht="15" customHeight="1" s="72">
      <c r="A538" s="112" t="n"/>
      <c r="B538" s="113" t="n"/>
      <c r="C538" s="114" t="n"/>
      <c r="D538" s="114" t="n"/>
      <c r="E538" s="115" t="n"/>
      <c r="F538" s="116">
        <f>IF($C538=0,0,$C538-$D538)</f>
        <v/>
      </c>
      <c r="G538" s="116">
        <f>IF($F538=0,0,$F538*$E538)</f>
        <v/>
      </c>
      <c r="H538" s="116">
        <f>$F538-$G538</f>
        <v/>
      </c>
      <c r="I538" s="112" t="n"/>
    </row>
    <row r="539" ht="15" customHeight="1" s="72">
      <c r="A539" s="112" t="n"/>
      <c r="B539" s="113" t="n"/>
      <c r="C539" s="114" t="n"/>
      <c r="D539" s="114" t="n"/>
      <c r="E539" s="115" t="n"/>
      <c r="F539" s="116">
        <f>IF($C539=0,0,$C539-$D539)</f>
        <v/>
      </c>
      <c r="G539" s="116">
        <f>IF($F539=0,0,$F539*$E539)</f>
        <v/>
      </c>
      <c r="H539" s="116">
        <f>$F539-$G539</f>
        <v/>
      </c>
      <c r="I539" s="112" t="n"/>
    </row>
    <row r="540" ht="15" customHeight="1" s="72">
      <c r="A540" s="112" t="n"/>
      <c r="B540" s="113" t="n"/>
      <c r="C540" s="114" t="n"/>
      <c r="D540" s="114" t="n"/>
      <c r="E540" s="115" t="n"/>
      <c r="F540" s="116">
        <f>IF($C540=0,0,$C540-$D540)</f>
        <v/>
      </c>
      <c r="G540" s="116">
        <f>IF($F540=0,0,$F540*$E540)</f>
        <v/>
      </c>
      <c r="H540" s="116">
        <f>$F540-$G540</f>
        <v/>
      </c>
      <c r="I540" s="112" t="n"/>
    </row>
    <row r="541" ht="15" customHeight="1" s="72">
      <c r="A541" s="112" t="n"/>
      <c r="B541" s="113" t="n"/>
      <c r="C541" s="114" t="n"/>
      <c r="D541" s="114" t="n"/>
      <c r="E541" s="115" t="n"/>
      <c r="F541" s="116">
        <f>IF($C541=0,0,$C541-$D541)</f>
        <v/>
      </c>
      <c r="G541" s="116">
        <f>IF($F541=0,0,$F541*$E541)</f>
        <v/>
      </c>
      <c r="H541" s="116">
        <f>$F541-$G541</f>
        <v/>
      </c>
      <c r="I541" s="112" t="n"/>
    </row>
    <row r="542" ht="15" customHeight="1" s="72">
      <c r="A542" s="112" t="n"/>
      <c r="B542" s="113" t="n"/>
      <c r="C542" s="114" t="n"/>
      <c r="D542" s="114" t="n"/>
      <c r="E542" s="115" t="n"/>
      <c r="F542" s="116">
        <f>IF($C542=0,0,$C542-$D542)</f>
        <v/>
      </c>
      <c r="G542" s="116">
        <f>IF($F542=0,0,$F542*$E542)</f>
        <v/>
      </c>
      <c r="H542" s="116">
        <f>$F542-$G542</f>
        <v/>
      </c>
      <c r="I542" s="112" t="n"/>
    </row>
    <row r="543" ht="15" customHeight="1" s="72">
      <c r="A543" s="112" t="n"/>
      <c r="B543" s="113" t="n"/>
      <c r="C543" s="114" t="n"/>
      <c r="D543" s="114" t="n"/>
      <c r="E543" s="115" t="n"/>
      <c r="F543" s="116">
        <f>IF($C543=0,0,$C543-$D543)</f>
        <v/>
      </c>
      <c r="G543" s="116">
        <f>IF($F543=0,0,$F543*$E543)</f>
        <v/>
      </c>
      <c r="H543" s="116">
        <f>$F543-$G543</f>
        <v/>
      </c>
      <c r="I543" s="112" t="n"/>
    </row>
    <row r="544" ht="15" customHeight="1" s="72">
      <c r="A544" s="112" t="n"/>
      <c r="B544" s="113" t="n"/>
      <c r="C544" s="114" t="n"/>
      <c r="D544" s="114" t="n"/>
      <c r="E544" s="115" t="n"/>
      <c r="F544" s="116">
        <f>IF($C544=0,0,$C544-$D544)</f>
        <v/>
      </c>
      <c r="G544" s="116">
        <f>IF($F544=0,0,$F544*$E544)</f>
        <v/>
      </c>
      <c r="H544" s="116">
        <f>$F544-$G544</f>
        <v/>
      </c>
      <c r="I544" s="112" t="n"/>
    </row>
    <row r="545" ht="15" customHeight="1" s="72">
      <c r="A545" s="112" t="n"/>
      <c r="B545" s="113" t="n"/>
      <c r="C545" s="114" t="n"/>
      <c r="D545" s="114" t="n"/>
      <c r="E545" s="115" t="n"/>
      <c r="F545" s="116">
        <f>IF($C545=0,0,$C545-$D545)</f>
        <v/>
      </c>
      <c r="G545" s="116">
        <f>IF($F545=0,0,$F545*$E545)</f>
        <v/>
      </c>
      <c r="H545" s="116">
        <f>$F545-$G545</f>
        <v/>
      </c>
      <c r="I545" s="112" t="n"/>
    </row>
    <row r="546" ht="15" customHeight="1" s="72">
      <c r="A546" s="112" t="n"/>
      <c r="B546" s="113" t="n"/>
      <c r="C546" s="114" t="n"/>
      <c r="D546" s="114" t="n"/>
      <c r="E546" s="115" t="n"/>
      <c r="F546" s="116">
        <f>IF($C546=0,0,$C546-$D546)</f>
        <v/>
      </c>
      <c r="G546" s="116">
        <f>IF($F546=0,0,$F546*$E546)</f>
        <v/>
      </c>
      <c r="H546" s="116">
        <f>$F546-$G546</f>
        <v/>
      </c>
      <c r="I546" s="112" t="n"/>
    </row>
    <row r="547" ht="15" customHeight="1" s="72">
      <c r="A547" s="112" t="n"/>
      <c r="B547" s="113" t="n"/>
      <c r="C547" s="114" t="n"/>
      <c r="D547" s="114" t="n"/>
      <c r="E547" s="115" t="n"/>
      <c r="F547" s="116">
        <f>IF($C547=0,0,$C547-$D547)</f>
        <v/>
      </c>
      <c r="G547" s="116">
        <f>IF($F547=0,0,$F547*$E547)</f>
        <v/>
      </c>
      <c r="H547" s="116">
        <f>$F547-$G547</f>
        <v/>
      </c>
      <c r="I547" s="112" t="n"/>
    </row>
    <row r="548" ht="15" customHeight="1" s="72">
      <c r="A548" s="112" t="n"/>
      <c r="B548" s="113" t="n"/>
      <c r="C548" s="114" t="n"/>
      <c r="D548" s="114" t="n"/>
      <c r="E548" s="115" t="n"/>
      <c r="F548" s="116">
        <f>IF($C548=0,0,$C548-$D548)</f>
        <v/>
      </c>
      <c r="G548" s="116">
        <f>IF($F548=0,0,$F548*$E548)</f>
        <v/>
      </c>
      <c r="H548" s="116">
        <f>$F548-$G548</f>
        <v/>
      </c>
      <c r="I548" s="112" t="n"/>
    </row>
    <row r="549" ht="15" customHeight="1" s="72">
      <c r="A549" s="112" t="n"/>
      <c r="B549" s="113" t="n"/>
      <c r="C549" s="114" t="n"/>
      <c r="D549" s="114" t="n"/>
      <c r="E549" s="115" t="n"/>
      <c r="F549" s="116">
        <f>IF($C549=0,0,$C549-$D549)</f>
        <v/>
      </c>
      <c r="G549" s="116">
        <f>IF($F549=0,0,$F549*$E549)</f>
        <v/>
      </c>
      <c r="H549" s="116">
        <f>$F549-$G549</f>
        <v/>
      </c>
      <c r="I549" s="112" t="n"/>
    </row>
    <row r="550" ht="15" customHeight="1" s="72">
      <c r="A550" s="112" t="n"/>
      <c r="B550" s="113" t="n"/>
      <c r="C550" s="114" t="n"/>
      <c r="D550" s="114" t="n"/>
      <c r="E550" s="115" t="n"/>
      <c r="F550" s="116">
        <f>IF($C550=0,0,$C550-$D550)</f>
        <v/>
      </c>
      <c r="G550" s="116">
        <f>IF($F550=0,0,$F550*$E550)</f>
        <v/>
      </c>
      <c r="H550" s="116">
        <f>$F550-$G550</f>
        <v/>
      </c>
      <c r="I550" s="112" t="n"/>
    </row>
    <row r="551" ht="15" customHeight="1" s="72">
      <c r="A551" s="112" t="n"/>
      <c r="B551" s="113" t="n"/>
      <c r="C551" s="114" t="n"/>
      <c r="D551" s="114" t="n"/>
      <c r="E551" s="115" t="n"/>
      <c r="F551" s="116">
        <f>IF($C551=0,0,$C551-$D551)</f>
        <v/>
      </c>
      <c r="G551" s="116">
        <f>IF($F551=0,0,$F551*$E551)</f>
        <v/>
      </c>
      <c r="H551" s="116">
        <f>$F551-$G551</f>
        <v/>
      </c>
      <c r="I551" s="112" t="n"/>
    </row>
    <row r="552" ht="15" customHeight="1" s="72">
      <c r="A552" s="112" t="n"/>
      <c r="B552" s="113" t="n"/>
      <c r="C552" s="114" t="n"/>
      <c r="D552" s="114" t="n"/>
      <c r="E552" s="115" t="n"/>
      <c r="F552" s="116">
        <f>IF($C552=0,0,$C552-$D552)</f>
        <v/>
      </c>
      <c r="G552" s="116">
        <f>IF($F552=0,0,$F552*$E552)</f>
        <v/>
      </c>
      <c r="H552" s="116">
        <f>$F552-$G552</f>
        <v/>
      </c>
      <c r="I552" s="112" t="n"/>
    </row>
    <row r="553" ht="15" customHeight="1" s="72">
      <c r="A553" s="112" t="n"/>
      <c r="B553" s="113" t="n"/>
      <c r="C553" s="114" t="n"/>
      <c r="D553" s="114" t="n"/>
      <c r="E553" s="115" t="n"/>
      <c r="F553" s="116">
        <f>IF($C553=0,0,$C553-$D553)</f>
        <v/>
      </c>
      <c r="G553" s="116">
        <f>IF($F553=0,0,$F553*$E553)</f>
        <v/>
      </c>
      <c r="H553" s="116">
        <f>$F553-$G553</f>
        <v/>
      </c>
      <c r="I553" s="112" t="n"/>
    </row>
    <row r="554" ht="15" customHeight="1" s="72">
      <c r="A554" s="112" t="n"/>
      <c r="B554" s="113" t="n"/>
      <c r="C554" s="114" t="n"/>
      <c r="D554" s="114" t="n"/>
      <c r="E554" s="115" t="n"/>
      <c r="F554" s="116">
        <f>IF($C554=0,0,$C554-$D554)</f>
        <v/>
      </c>
      <c r="G554" s="116">
        <f>IF($F554=0,0,$F554*$E554)</f>
        <v/>
      </c>
      <c r="H554" s="116">
        <f>$F554-$G554</f>
        <v/>
      </c>
      <c r="I554" s="112" t="n"/>
    </row>
    <row r="555" ht="15" customHeight="1" s="72">
      <c r="A555" s="112" t="n"/>
      <c r="B555" s="113" t="n"/>
      <c r="C555" s="114" t="n"/>
      <c r="D555" s="114" t="n"/>
      <c r="E555" s="115" t="n"/>
      <c r="F555" s="116">
        <f>IF($C555=0,0,$C555-$D555)</f>
        <v/>
      </c>
      <c r="G555" s="116">
        <f>IF($F555=0,0,$F555*$E555)</f>
        <v/>
      </c>
      <c r="H555" s="116">
        <f>$F555-$G555</f>
        <v/>
      </c>
      <c r="I555" s="112" t="n"/>
    </row>
    <row r="556" ht="15" customHeight="1" s="72">
      <c r="A556" s="112" t="n"/>
      <c r="B556" s="113" t="n"/>
      <c r="C556" s="114" t="n"/>
      <c r="D556" s="114" t="n"/>
      <c r="E556" s="115" t="n"/>
      <c r="F556" s="116">
        <f>IF($C556=0,0,$C556-$D556)</f>
        <v/>
      </c>
      <c r="G556" s="116">
        <f>IF($F556=0,0,$F556*$E556)</f>
        <v/>
      </c>
      <c r="H556" s="116">
        <f>$F556-$G556</f>
        <v/>
      </c>
      <c r="I556" s="112" t="n"/>
    </row>
    <row r="557" ht="15" customHeight="1" s="72">
      <c r="A557" s="112" t="n"/>
      <c r="B557" s="113" t="n"/>
      <c r="C557" s="114" t="n"/>
      <c r="D557" s="114" t="n"/>
      <c r="E557" s="115" t="n"/>
      <c r="F557" s="116">
        <f>IF($C557=0,0,$C557-$D557)</f>
        <v/>
      </c>
      <c r="G557" s="116">
        <f>IF($F557=0,0,$F557*$E557)</f>
        <v/>
      </c>
      <c r="H557" s="116">
        <f>$F557-$G557</f>
        <v/>
      </c>
      <c r="I557" s="112" t="n"/>
    </row>
    <row r="558" ht="15" customHeight="1" s="72">
      <c r="A558" s="112" t="n"/>
      <c r="B558" s="113" t="n"/>
      <c r="C558" s="114" t="n"/>
      <c r="D558" s="114" t="n"/>
      <c r="E558" s="115" t="n"/>
      <c r="F558" s="116">
        <f>IF($C558=0,0,$C558-$D558)</f>
        <v/>
      </c>
      <c r="G558" s="116">
        <f>IF($F558=0,0,$F558*$E558)</f>
        <v/>
      </c>
      <c r="H558" s="116">
        <f>$F558-$G558</f>
        <v/>
      </c>
      <c r="I558" s="112" t="n"/>
    </row>
    <row r="559" ht="15" customHeight="1" s="72">
      <c r="A559" s="112" t="n"/>
      <c r="B559" s="113" t="n"/>
      <c r="C559" s="114" t="n"/>
      <c r="D559" s="114" t="n"/>
      <c r="E559" s="115" t="n"/>
      <c r="F559" s="116">
        <f>IF($C559=0,0,$C559-$D559)</f>
        <v/>
      </c>
      <c r="G559" s="116">
        <f>IF($F559=0,0,$F559*$E559)</f>
        <v/>
      </c>
      <c r="H559" s="116">
        <f>$F559-$G559</f>
        <v/>
      </c>
      <c r="I559" s="112" t="n"/>
    </row>
    <row r="560" ht="15" customHeight="1" s="72">
      <c r="A560" s="112" t="n"/>
      <c r="B560" s="113" t="n"/>
      <c r="C560" s="114" t="n"/>
      <c r="D560" s="114" t="n"/>
      <c r="E560" s="115" t="n"/>
      <c r="F560" s="116">
        <f>IF($C560=0,0,$C560-$D560)</f>
        <v/>
      </c>
      <c r="G560" s="116">
        <f>IF($F560=0,0,$F560*$E560)</f>
        <v/>
      </c>
      <c r="H560" s="116">
        <f>$F560-$G560</f>
        <v/>
      </c>
      <c r="I560" s="112" t="n"/>
    </row>
    <row r="561" ht="15" customHeight="1" s="72">
      <c r="A561" s="112" t="n"/>
      <c r="B561" s="113" t="n"/>
      <c r="C561" s="114" t="n"/>
      <c r="D561" s="114" t="n"/>
      <c r="E561" s="115" t="n"/>
      <c r="F561" s="116">
        <f>IF($C561=0,0,$C561-$D561)</f>
        <v/>
      </c>
      <c r="G561" s="116">
        <f>IF($F561=0,0,$F561*$E561)</f>
        <v/>
      </c>
      <c r="H561" s="116">
        <f>$F561-$G561</f>
        <v/>
      </c>
      <c r="I561" s="112" t="n"/>
    </row>
    <row r="562" ht="15" customHeight="1" s="72">
      <c r="A562" s="112" t="n"/>
      <c r="B562" s="113" t="n"/>
      <c r="C562" s="114" t="n"/>
      <c r="D562" s="114" t="n"/>
      <c r="E562" s="115" t="n"/>
      <c r="F562" s="116">
        <f>IF($C562=0,0,$C562-$D562)</f>
        <v/>
      </c>
      <c r="G562" s="116">
        <f>IF($F562=0,0,$F562*$E562)</f>
        <v/>
      </c>
      <c r="H562" s="116">
        <f>$F562-$G562</f>
        <v/>
      </c>
      <c r="I562" s="112" t="n"/>
    </row>
    <row r="563" ht="15" customHeight="1" s="72">
      <c r="A563" s="112" t="n"/>
      <c r="B563" s="113" t="n"/>
      <c r="C563" s="114" t="n"/>
      <c r="D563" s="114" t="n"/>
      <c r="E563" s="115" t="n"/>
      <c r="F563" s="116">
        <f>IF($C563=0,0,$C563-$D563)</f>
        <v/>
      </c>
      <c r="G563" s="116">
        <f>IF($F563=0,0,$F563*$E563)</f>
        <v/>
      </c>
      <c r="H563" s="116">
        <f>$F563-$G563</f>
        <v/>
      </c>
      <c r="I563" s="112" t="n"/>
    </row>
    <row r="564" ht="15" customHeight="1" s="72">
      <c r="A564" s="112" t="n"/>
      <c r="B564" s="113" t="n"/>
      <c r="C564" s="114" t="n"/>
      <c r="D564" s="114" t="n"/>
      <c r="E564" s="115" t="n"/>
      <c r="F564" s="116">
        <f>IF($C564=0,0,$C564-$D564)</f>
        <v/>
      </c>
      <c r="G564" s="116">
        <f>IF($F564=0,0,$F564*$E564)</f>
        <v/>
      </c>
      <c r="H564" s="116">
        <f>$F564-$G564</f>
        <v/>
      </c>
      <c r="I564" s="112" t="n"/>
    </row>
    <row r="565" ht="15" customHeight="1" s="72">
      <c r="A565" s="112" t="n"/>
      <c r="B565" s="113" t="n"/>
      <c r="C565" s="114" t="n"/>
      <c r="D565" s="114" t="n"/>
      <c r="E565" s="115" t="n"/>
      <c r="F565" s="116">
        <f>IF($C565=0,0,$C565-$D565)</f>
        <v/>
      </c>
      <c r="G565" s="116">
        <f>IF($F565=0,0,$F565*$E565)</f>
        <v/>
      </c>
      <c r="H565" s="116">
        <f>$F565-$G565</f>
        <v/>
      </c>
      <c r="I565" s="112" t="n"/>
    </row>
    <row r="566" ht="15" customHeight="1" s="72">
      <c r="A566" s="112" t="n"/>
      <c r="B566" s="113" t="n"/>
      <c r="C566" s="114" t="n"/>
      <c r="D566" s="114" t="n"/>
      <c r="E566" s="115" t="n"/>
      <c r="F566" s="116">
        <f>IF($C566=0,0,$C566-$D566)</f>
        <v/>
      </c>
      <c r="G566" s="116">
        <f>IF($F566=0,0,$F566*$E566)</f>
        <v/>
      </c>
      <c r="H566" s="116">
        <f>$F566-$G566</f>
        <v/>
      </c>
      <c r="I566" s="112" t="n"/>
    </row>
    <row r="567" ht="15" customHeight="1" s="72">
      <c r="A567" s="112" t="n"/>
      <c r="B567" s="113" t="n"/>
      <c r="C567" s="114" t="n"/>
      <c r="D567" s="114" t="n"/>
      <c r="E567" s="115" t="n"/>
      <c r="F567" s="116">
        <f>IF($C567=0,0,$C567-$D567)</f>
        <v/>
      </c>
      <c r="G567" s="116">
        <f>IF($F567=0,0,$F567*$E567)</f>
        <v/>
      </c>
      <c r="H567" s="116">
        <f>$F567-$G567</f>
        <v/>
      </c>
      <c r="I567" s="112" t="n"/>
    </row>
    <row r="568" ht="15" customHeight="1" s="72">
      <c r="A568" s="112" t="n"/>
      <c r="B568" s="113" t="n"/>
      <c r="C568" s="114" t="n"/>
      <c r="D568" s="114" t="n"/>
      <c r="E568" s="115" t="n"/>
      <c r="F568" s="116">
        <f>IF($C568=0,0,$C568-$D568)</f>
        <v/>
      </c>
      <c r="G568" s="116">
        <f>IF($F568=0,0,$F568*$E568)</f>
        <v/>
      </c>
      <c r="H568" s="116">
        <f>$F568-$G568</f>
        <v/>
      </c>
      <c r="I568" s="112" t="n"/>
    </row>
    <row r="569" ht="15" customHeight="1" s="72">
      <c r="A569" s="112" t="n"/>
      <c r="B569" s="113" t="n"/>
      <c r="C569" s="114" t="n"/>
      <c r="D569" s="114" t="n"/>
      <c r="E569" s="115" t="n"/>
      <c r="F569" s="116">
        <f>IF($C569=0,0,$C569-$D569)</f>
        <v/>
      </c>
      <c r="G569" s="116">
        <f>IF($F569=0,0,$F569*$E569)</f>
        <v/>
      </c>
      <c r="H569" s="116">
        <f>$F569-$G569</f>
        <v/>
      </c>
      <c r="I569" s="112" t="n"/>
    </row>
    <row r="570" ht="15" customHeight="1" s="72">
      <c r="A570" s="112" t="n"/>
      <c r="B570" s="113" t="n"/>
      <c r="C570" s="114" t="n"/>
      <c r="D570" s="114" t="n"/>
      <c r="E570" s="115" t="n"/>
      <c r="F570" s="116">
        <f>IF($C570=0,0,$C570-$D570)</f>
        <v/>
      </c>
      <c r="G570" s="116">
        <f>IF($F570=0,0,$F570*$E570)</f>
        <v/>
      </c>
      <c r="H570" s="116">
        <f>$F570-$G570</f>
        <v/>
      </c>
      <c r="I570" s="112" t="n"/>
    </row>
    <row r="571" ht="15" customHeight="1" s="72">
      <c r="A571" s="112" t="n"/>
      <c r="B571" s="113" t="n"/>
      <c r="C571" s="114" t="n"/>
      <c r="D571" s="114" t="n"/>
      <c r="E571" s="115" t="n"/>
      <c r="F571" s="116">
        <f>IF($C571=0,0,$C571-$D571)</f>
        <v/>
      </c>
      <c r="G571" s="116">
        <f>IF($F571=0,0,$F571*$E571)</f>
        <v/>
      </c>
      <c r="H571" s="116">
        <f>$F571-$G571</f>
        <v/>
      </c>
      <c r="I571" s="112" t="n"/>
    </row>
    <row r="572" ht="15" customHeight="1" s="72">
      <c r="A572" s="112" t="n"/>
      <c r="B572" s="113" t="n"/>
      <c r="C572" s="114" t="n"/>
      <c r="D572" s="114" t="n"/>
      <c r="E572" s="115" t="n"/>
      <c r="F572" s="116">
        <f>IF($C572=0,0,$C572-$D572)</f>
        <v/>
      </c>
      <c r="G572" s="116">
        <f>IF($F572=0,0,$F572*$E572)</f>
        <v/>
      </c>
      <c r="H572" s="116">
        <f>$F572-$G572</f>
        <v/>
      </c>
      <c r="I572" s="112" t="n"/>
    </row>
    <row r="573" ht="15" customHeight="1" s="72">
      <c r="A573" s="112" t="n"/>
      <c r="B573" s="113" t="n"/>
      <c r="C573" s="114" t="n"/>
      <c r="D573" s="114" t="n"/>
      <c r="E573" s="115" t="n"/>
      <c r="F573" s="116">
        <f>IF($C573=0,0,$C573-$D573)</f>
        <v/>
      </c>
      <c r="G573" s="116">
        <f>IF($F573=0,0,$F573*$E573)</f>
        <v/>
      </c>
      <c r="H573" s="116">
        <f>$F573-$G573</f>
        <v/>
      </c>
      <c r="I573" s="112" t="n"/>
    </row>
    <row r="574" ht="15" customHeight="1" s="72">
      <c r="A574" s="112" t="n"/>
      <c r="B574" s="113" t="n"/>
      <c r="C574" s="114" t="n"/>
      <c r="D574" s="114" t="n"/>
      <c r="E574" s="115" t="n"/>
      <c r="F574" s="116">
        <f>IF($C574=0,0,$C574-$D574)</f>
        <v/>
      </c>
      <c r="G574" s="116">
        <f>IF($F574=0,0,$F574*$E574)</f>
        <v/>
      </c>
      <c r="H574" s="116">
        <f>$F574-$G574</f>
        <v/>
      </c>
      <c r="I574" s="112" t="n"/>
    </row>
    <row r="575" ht="15" customHeight="1" s="72">
      <c r="A575" s="112" t="n"/>
      <c r="B575" s="113" t="n"/>
      <c r="C575" s="114" t="n"/>
      <c r="D575" s="114" t="n"/>
      <c r="E575" s="115" t="n"/>
      <c r="F575" s="116">
        <f>IF($C575=0,0,$C575-$D575)</f>
        <v/>
      </c>
      <c r="G575" s="116">
        <f>IF($F575=0,0,$F575*$E575)</f>
        <v/>
      </c>
      <c r="H575" s="116">
        <f>$F575-$G575</f>
        <v/>
      </c>
      <c r="I575" s="112" t="n"/>
    </row>
    <row r="576" ht="15" customHeight="1" s="72">
      <c r="A576" s="112" t="n"/>
      <c r="B576" s="113" t="n"/>
      <c r="C576" s="114" t="n"/>
      <c r="D576" s="114" t="n"/>
      <c r="E576" s="115" t="n"/>
      <c r="F576" s="116">
        <f>IF($C576=0,0,$C576-$D576)</f>
        <v/>
      </c>
      <c r="G576" s="116">
        <f>IF($F576=0,0,$F576*$E576)</f>
        <v/>
      </c>
      <c r="H576" s="116">
        <f>$F576-$G576</f>
        <v/>
      </c>
      <c r="I576" s="112" t="n"/>
    </row>
    <row r="577" ht="15" customHeight="1" s="72">
      <c r="A577" s="112" t="n"/>
      <c r="B577" s="113" t="n"/>
      <c r="C577" s="114" t="n"/>
      <c r="D577" s="114" t="n"/>
      <c r="E577" s="115" t="n"/>
      <c r="F577" s="116">
        <f>IF($C577=0,0,$C577-$D577)</f>
        <v/>
      </c>
      <c r="G577" s="116">
        <f>IF($F577=0,0,$F577*$E577)</f>
        <v/>
      </c>
      <c r="H577" s="116">
        <f>$F577-$G577</f>
        <v/>
      </c>
      <c r="I577" s="112" t="n"/>
    </row>
    <row r="578" ht="15" customHeight="1" s="72">
      <c r="A578" s="112" t="n"/>
      <c r="B578" s="113" t="n"/>
      <c r="C578" s="114" t="n"/>
      <c r="D578" s="114" t="n"/>
      <c r="E578" s="115" t="n"/>
      <c r="F578" s="116">
        <f>IF($C578=0,0,$C578-$D578)</f>
        <v/>
      </c>
      <c r="G578" s="116">
        <f>IF($F578=0,0,$F578*$E578)</f>
        <v/>
      </c>
      <c r="H578" s="116">
        <f>$F578-$G578</f>
        <v/>
      </c>
      <c r="I578" s="112" t="n"/>
    </row>
    <row r="579" ht="15" customHeight="1" s="72">
      <c r="A579" s="112" t="n"/>
      <c r="B579" s="113" t="n"/>
      <c r="C579" s="114" t="n"/>
      <c r="D579" s="114" t="n"/>
      <c r="E579" s="115" t="n"/>
      <c r="F579" s="116">
        <f>IF($C579=0,0,$C579-$D579)</f>
        <v/>
      </c>
      <c r="G579" s="116">
        <f>IF($F579=0,0,$F579*$E579)</f>
        <v/>
      </c>
      <c r="H579" s="116">
        <f>$F579-$G579</f>
        <v/>
      </c>
      <c r="I579" s="112" t="n"/>
    </row>
    <row r="580" ht="15" customHeight="1" s="72">
      <c r="A580" s="112" t="n"/>
      <c r="B580" s="113" t="n"/>
      <c r="C580" s="114" t="n"/>
      <c r="D580" s="114" t="n"/>
      <c r="E580" s="115" t="n"/>
      <c r="F580" s="116">
        <f>IF($C580=0,0,$C580-$D580)</f>
        <v/>
      </c>
      <c r="G580" s="116">
        <f>IF($F580=0,0,$F580*$E580)</f>
        <v/>
      </c>
      <c r="H580" s="116">
        <f>$F580-$G580</f>
        <v/>
      </c>
      <c r="I580" s="112" t="n"/>
    </row>
    <row r="581" ht="15" customHeight="1" s="72">
      <c r="A581" s="112" t="n"/>
      <c r="B581" s="113" t="n"/>
      <c r="C581" s="114" t="n"/>
      <c r="D581" s="114" t="n"/>
      <c r="E581" s="115" t="n"/>
      <c r="F581" s="116">
        <f>IF($C581=0,0,$C581-$D581)</f>
        <v/>
      </c>
      <c r="G581" s="116">
        <f>IF($F581=0,0,$F581*$E581)</f>
        <v/>
      </c>
      <c r="H581" s="116">
        <f>$F581-$G581</f>
        <v/>
      </c>
      <c r="I581" s="112" t="n"/>
    </row>
    <row r="582" ht="15" customHeight="1" s="72">
      <c r="A582" s="112" t="n"/>
      <c r="B582" s="113" t="n"/>
      <c r="C582" s="114" t="n"/>
      <c r="D582" s="114" t="n"/>
      <c r="E582" s="115" t="n"/>
      <c r="F582" s="116">
        <f>IF($C582=0,0,$C582-$D582)</f>
        <v/>
      </c>
      <c r="G582" s="116">
        <f>IF($F582=0,0,$F582*$E582)</f>
        <v/>
      </c>
      <c r="H582" s="116">
        <f>$F582-$G582</f>
        <v/>
      </c>
      <c r="I582" s="112" t="n"/>
    </row>
    <row r="583" ht="15" customHeight="1" s="72">
      <c r="A583" s="112" t="n"/>
      <c r="B583" s="113" t="n"/>
      <c r="C583" s="114" t="n"/>
      <c r="D583" s="114" t="n"/>
      <c r="E583" s="115" t="n"/>
      <c r="F583" s="116">
        <f>IF($C583=0,0,$C583-$D583)</f>
        <v/>
      </c>
      <c r="G583" s="116">
        <f>IF($F583=0,0,$F583*$E583)</f>
        <v/>
      </c>
      <c r="H583" s="116">
        <f>$F583-$G583</f>
        <v/>
      </c>
      <c r="I583" s="112" t="n"/>
    </row>
    <row r="584" ht="15" customHeight="1" s="72">
      <c r="A584" s="112" t="n"/>
      <c r="B584" s="113" t="n"/>
      <c r="C584" s="114" t="n"/>
      <c r="D584" s="114" t="n"/>
      <c r="E584" s="115" t="n"/>
      <c r="F584" s="116">
        <f>IF($C584=0,0,$C584-$D584)</f>
        <v/>
      </c>
      <c r="G584" s="116">
        <f>IF($F584=0,0,$F584*$E584)</f>
        <v/>
      </c>
      <c r="H584" s="116">
        <f>$F584-$G584</f>
        <v/>
      </c>
      <c r="I584" s="112" t="n"/>
    </row>
    <row r="585" ht="15" customHeight="1" s="72">
      <c r="A585" s="112" t="n"/>
      <c r="B585" s="113" t="n"/>
      <c r="C585" s="114" t="n"/>
      <c r="D585" s="114" t="n"/>
      <c r="E585" s="115" t="n"/>
      <c r="F585" s="116">
        <f>IF($C585=0,0,$C585-$D585)</f>
        <v/>
      </c>
      <c r="G585" s="116">
        <f>IF($F585=0,0,$F585*$E585)</f>
        <v/>
      </c>
      <c r="H585" s="116">
        <f>$F585-$G585</f>
        <v/>
      </c>
      <c r="I585" s="112" t="n"/>
    </row>
    <row r="586" ht="15" customHeight="1" s="72">
      <c r="A586" s="112" t="n"/>
      <c r="B586" s="113" t="n"/>
      <c r="C586" s="114" t="n"/>
      <c r="D586" s="114" t="n"/>
      <c r="E586" s="115" t="n"/>
      <c r="F586" s="116">
        <f>IF($C586=0,0,$C586-$D586)</f>
        <v/>
      </c>
      <c r="G586" s="116">
        <f>IF($F586=0,0,$F586*$E586)</f>
        <v/>
      </c>
      <c r="H586" s="116">
        <f>$F586-$G586</f>
        <v/>
      </c>
      <c r="I586" s="112" t="n"/>
    </row>
    <row r="587" ht="15" customHeight="1" s="72">
      <c r="A587" s="112" t="n"/>
      <c r="B587" s="113" t="n"/>
      <c r="C587" s="114" t="n"/>
      <c r="D587" s="114" t="n"/>
      <c r="E587" s="115" t="n"/>
      <c r="F587" s="116">
        <f>IF($C587=0,0,$C587-$D587)</f>
        <v/>
      </c>
      <c r="G587" s="116">
        <f>IF($F587=0,0,$F587*$E587)</f>
        <v/>
      </c>
      <c r="H587" s="116">
        <f>$F587-$G587</f>
        <v/>
      </c>
      <c r="I587" s="112" t="n"/>
    </row>
    <row r="588" ht="15" customHeight="1" s="72">
      <c r="A588" s="112" t="n"/>
      <c r="B588" s="113" t="n"/>
      <c r="C588" s="114" t="n"/>
      <c r="D588" s="114" t="n"/>
      <c r="E588" s="115" t="n"/>
      <c r="F588" s="116">
        <f>IF($C588=0,0,$C588-$D588)</f>
        <v/>
      </c>
      <c r="G588" s="116">
        <f>IF($F588=0,0,$F588*$E588)</f>
        <v/>
      </c>
      <c r="H588" s="116">
        <f>$F588-$G588</f>
        <v/>
      </c>
      <c r="I588" s="112" t="n"/>
    </row>
    <row r="589" ht="15" customHeight="1" s="72">
      <c r="A589" s="112" t="n"/>
      <c r="B589" s="113" t="n"/>
      <c r="C589" s="114" t="n"/>
      <c r="D589" s="114" t="n"/>
      <c r="E589" s="115" t="n"/>
      <c r="F589" s="116">
        <f>IF($C589=0,0,$C589-$D589)</f>
        <v/>
      </c>
      <c r="G589" s="116">
        <f>IF($F589=0,0,$F589*$E589)</f>
        <v/>
      </c>
      <c r="H589" s="116">
        <f>$F589-$G589</f>
        <v/>
      </c>
      <c r="I589" s="112" t="n"/>
    </row>
    <row r="590" ht="15" customHeight="1" s="72">
      <c r="A590" s="112" t="n"/>
      <c r="B590" s="113" t="n"/>
      <c r="C590" s="114" t="n"/>
      <c r="D590" s="114" t="n"/>
      <c r="E590" s="115" t="n"/>
      <c r="F590" s="116">
        <f>IF($C590=0,0,$C590-$D590)</f>
        <v/>
      </c>
      <c r="G590" s="116">
        <f>IF($F590=0,0,$F590*$E590)</f>
        <v/>
      </c>
      <c r="H590" s="116">
        <f>$F590-$G590</f>
        <v/>
      </c>
      <c r="I590" s="112" t="n"/>
    </row>
    <row r="591" ht="15" customHeight="1" s="72">
      <c r="A591" s="112" t="n"/>
      <c r="B591" s="113" t="n"/>
      <c r="C591" s="114" t="n"/>
      <c r="D591" s="114" t="n"/>
      <c r="E591" s="115" t="n"/>
      <c r="F591" s="116">
        <f>IF($C591=0,0,$C591-$D591)</f>
        <v/>
      </c>
      <c r="G591" s="116">
        <f>IF($F591=0,0,$F591*$E591)</f>
        <v/>
      </c>
      <c r="H591" s="116">
        <f>$F591-$G591</f>
        <v/>
      </c>
      <c r="I591" s="112" t="n"/>
    </row>
    <row r="592" ht="15" customHeight="1" s="72">
      <c r="A592" s="112" t="n"/>
      <c r="B592" s="113" t="n"/>
      <c r="C592" s="114" t="n"/>
      <c r="D592" s="114" t="n"/>
      <c r="E592" s="115" t="n"/>
      <c r="F592" s="116">
        <f>IF($C592=0,0,$C592-$D592)</f>
        <v/>
      </c>
      <c r="G592" s="116">
        <f>IF($F592=0,0,$F592*$E592)</f>
        <v/>
      </c>
      <c r="H592" s="116">
        <f>$F592-$G592</f>
        <v/>
      </c>
      <c r="I592" s="112" t="n"/>
    </row>
    <row r="593" ht="15" customHeight="1" s="72">
      <c r="A593" s="112" t="n"/>
      <c r="B593" s="113" t="n"/>
      <c r="C593" s="114" t="n"/>
      <c r="D593" s="114" t="n"/>
      <c r="E593" s="115" t="n"/>
      <c r="F593" s="116">
        <f>IF($C593=0,0,$C593-$D593)</f>
        <v/>
      </c>
      <c r="G593" s="116">
        <f>IF($F593=0,0,$F593*$E593)</f>
        <v/>
      </c>
      <c r="H593" s="116">
        <f>$F593-$G593</f>
        <v/>
      </c>
      <c r="I593" s="112" t="n"/>
    </row>
    <row r="594" ht="15" customHeight="1" s="72">
      <c r="A594" s="112" t="n"/>
      <c r="B594" s="113" t="n"/>
      <c r="C594" s="114" t="n"/>
      <c r="D594" s="114" t="n"/>
      <c r="E594" s="115" t="n"/>
      <c r="F594" s="116">
        <f>IF($C594=0,0,$C594-$D594)</f>
        <v/>
      </c>
      <c r="G594" s="116">
        <f>IF($F594=0,0,$F594*$E594)</f>
        <v/>
      </c>
      <c r="H594" s="116">
        <f>$F594-$G594</f>
        <v/>
      </c>
      <c r="I594" s="112" t="n"/>
    </row>
    <row r="595" ht="15" customHeight="1" s="72">
      <c r="A595" s="112" t="n"/>
      <c r="B595" s="113" t="n"/>
      <c r="C595" s="114" t="n"/>
      <c r="D595" s="114" t="n"/>
      <c r="E595" s="115" t="n"/>
      <c r="F595" s="116">
        <f>IF($C595=0,0,$C595-$D595)</f>
        <v/>
      </c>
      <c r="G595" s="116">
        <f>IF($F595=0,0,$F595*$E595)</f>
        <v/>
      </c>
      <c r="H595" s="116">
        <f>$F595-$G595</f>
        <v/>
      </c>
      <c r="I595" s="112" t="n"/>
    </row>
    <row r="596" ht="15" customHeight="1" s="72">
      <c r="A596" s="112" t="n"/>
      <c r="B596" s="113" t="n"/>
      <c r="C596" s="114" t="n"/>
      <c r="D596" s="114" t="n"/>
      <c r="E596" s="115" t="n"/>
      <c r="F596" s="116">
        <f>IF($C596=0,0,$C596-$D596)</f>
        <v/>
      </c>
      <c r="G596" s="116">
        <f>IF($F596=0,0,$F596*$E596)</f>
        <v/>
      </c>
      <c r="H596" s="116">
        <f>$F596-$G596</f>
        <v/>
      </c>
      <c r="I596" s="112" t="n"/>
    </row>
    <row r="597" ht="15" customHeight="1" s="72">
      <c r="A597" s="112" t="n"/>
      <c r="B597" s="113" t="n"/>
      <c r="C597" s="114" t="n"/>
      <c r="D597" s="114" t="n"/>
      <c r="E597" s="115" t="n"/>
      <c r="F597" s="116">
        <f>IF($C597=0,0,$C597-$D597)</f>
        <v/>
      </c>
      <c r="G597" s="116">
        <f>IF($F597=0,0,$F597*$E597)</f>
        <v/>
      </c>
      <c r="H597" s="116">
        <f>$F597-$G597</f>
        <v/>
      </c>
      <c r="I597" s="112" t="n"/>
    </row>
    <row r="598" ht="15" customHeight="1" s="72">
      <c r="A598" s="112" t="n"/>
      <c r="B598" s="113" t="n"/>
      <c r="C598" s="114" t="n"/>
      <c r="D598" s="114" t="n"/>
      <c r="E598" s="115" t="n"/>
      <c r="F598" s="116">
        <f>IF($C598=0,0,$C598-$D598)</f>
        <v/>
      </c>
      <c r="G598" s="116">
        <f>IF($F598=0,0,$F598*$E598)</f>
        <v/>
      </c>
      <c r="H598" s="116">
        <f>$F598-$G598</f>
        <v/>
      </c>
      <c r="I598" s="112" t="n"/>
    </row>
    <row r="599" ht="15" customHeight="1" s="72">
      <c r="A599" s="112" t="n"/>
      <c r="B599" s="113" t="n"/>
      <c r="C599" s="114" t="n"/>
      <c r="D599" s="114" t="n"/>
      <c r="E599" s="115" t="n"/>
      <c r="F599" s="116">
        <f>IF($C599=0,0,$C599-$D599)</f>
        <v/>
      </c>
      <c r="G599" s="116">
        <f>IF($F599=0,0,$F599*$E599)</f>
        <v/>
      </c>
      <c r="H599" s="116">
        <f>$F599-$G599</f>
        <v/>
      </c>
      <c r="I599" s="112" t="n"/>
    </row>
    <row r="600" ht="15" customHeight="1" s="72">
      <c r="A600" s="112" t="n"/>
      <c r="B600" s="113" t="n"/>
      <c r="C600" s="114" t="n"/>
      <c r="D600" s="114" t="n"/>
      <c r="E600" s="115" t="n"/>
      <c r="F600" s="116">
        <f>IF($C600=0,0,$C600-$D600)</f>
        <v/>
      </c>
      <c r="G600" s="116">
        <f>IF($F600=0,0,$F600*$E600)</f>
        <v/>
      </c>
      <c r="H600" s="116">
        <f>$F600-$G600</f>
        <v/>
      </c>
      <c r="I600" s="112" t="n"/>
    </row>
    <row r="601" ht="15" customHeight="1" s="72">
      <c r="A601" s="112" t="n"/>
      <c r="B601" s="113" t="n"/>
      <c r="C601" s="114" t="n"/>
      <c r="D601" s="114" t="n"/>
      <c r="E601" s="115" t="n"/>
      <c r="F601" s="116">
        <f>IF($C601=0,0,$C601-$D601)</f>
        <v/>
      </c>
      <c r="G601" s="116">
        <f>IF($F601=0,0,$F601*$E601)</f>
        <v/>
      </c>
      <c r="H601" s="116">
        <f>$F601-$G601</f>
        <v/>
      </c>
      <c r="I601" s="112" t="n"/>
    </row>
    <row r="602" ht="15" customHeight="1" s="72">
      <c r="A602" s="112" t="n"/>
      <c r="B602" s="113" t="n"/>
      <c r="C602" s="114" t="n"/>
      <c r="D602" s="114" t="n"/>
      <c r="E602" s="115" t="n"/>
      <c r="F602" s="116">
        <f>IF($C602=0,0,$C602-$D602)</f>
        <v/>
      </c>
      <c r="G602" s="116">
        <f>IF($F602=0,0,$F602*$E602)</f>
        <v/>
      </c>
      <c r="H602" s="116">
        <f>$F602-$G602</f>
        <v/>
      </c>
      <c r="I602" s="112" t="n"/>
    </row>
    <row r="603" ht="15" customHeight="1" s="72">
      <c r="A603" s="112" t="n"/>
      <c r="B603" s="113" t="n"/>
      <c r="C603" s="114" t="n"/>
      <c r="D603" s="114" t="n"/>
      <c r="E603" s="115" t="n"/>
      <c r="F603" s="116">
        <f>IF($C603=0,0,$C603-$D603)</f>
        <v/>
      </c>
      <c r="G603" s="116">
        <f>IF($F603=0,0,$F603*$E603)</f>
        <v/>
      </c>
      <c r="H603" s="116">
        <f>$F603-$G603</f>
        <v/>
      </c>
      <c r="I603" s="112" t="n"/>
    </row>
    <row r="604" ht="15" customHeight="1" s="72">
      <c r="A604" s="112" t="n"/>
      <c r="B604" s="113" t="n"/>
      <c r="C604" s="114" t="n"/>
      <c r="D604" s="114" t="n"/>
      <c r="E604" s="115" t="n"/>
      <c r="F604" s="116">
        <f>IF($C604=0,0,$C604-$D604)</f>
        <v/>
      </c>
      <c r="G604" s="116">
        <f>IF($F604=0,0,$F604*$E604)</f>
        <v/>
      </c>
      <c r="H604" s="116">
        <f>$F604-$G604</f>
        <v/>
      </c>
      <c r="I604" s="112" t="n"/>
    </row>
    <row r="605" ht="15" customHeight="1" s="72">
      <c r="A605" s="112" t="n"/>
      <c r="B605" s="113" t="n"/>
      <c r="C605" s="114" t="n"/>
      <c r="D605" s="114" t="n"/>
      <c r="E605" s="115" t="n"/>
      <c r="F605" s="116">
        <f>IF($C605=0,0,$C605-$D605)</f>
        <v/>
      </c>
      <c r="G605" s="116">
        <f>IF($F605=0,0,$F605*$E605)</f>
        <v/>
      </c>
      <c r="H605" s="116">
        <f>$F605-$G605</f>
        <v/>
      </c>
      <c r="I605" s="112" t="n"/>
    </row>
    <row r="606" ht="15" customHeight="1" s="72">
      <c r="A606" s="112" t="n"/>
      <c r="B606" s="113" t="n"/>
      <c r="C606" s="114" t="n"/>
      <c r="D606" s="114" t="n"/>
      <c r="E606" s="115" t="n"/>
      <c r="F606" s="116">
        <f>IF($C606=0,0,$C606-$D606)</f>
        <v/>
      </c>
      <c r="G606" s="116">
        <f>IF($F606=0,0,$F606*$E606)</f>
        <v/>
      </c>
      <c r="H606" s="116">
        <f>$F606-$G606</f>
        <v/>
      </c>
      <c r="I606" s="112" t="n"/>
    </row>
    <row r="607" ht="15" customHeight="1" s="72">
      <c r="A607" s="112" t="n"/>
      <c r="B607" s="113" t="n"/>
      <c r="C607" s="114" t="n"/>
      <c r="D607" s="114" t="n"/>
      <c r="E607" s="115" t="n"/>
      <c r="F607" s="116">
        <f>IF($C607=0,0,$C607-$D607)</f>
        <v/>
      </c>
      <c r="G607" s="116">
        <f>IF($F607=0,0,$F607*$E607)</f>
        <v/>
      </c>
      <c r="H607" s="116">
        <f>$F607-$G607</f>
        <v/>
      </c>
      <c r="I607" s="112" t="n"/>
    </row>
    <row r="608" ht="15" customHeight="1" s="72">
      <c r="A608" s="112" t="n"/>
      <c r="B608" s="113" t="n"/>
      <c r="C608" s="114" t="n"/>
      <c r="D608" s="114" t="n"/>
      <c r="E608" s="115" t="n"/>
      <c r="F608" s="116">
        <f>IF($C608=0,0,$C608-$D608)</f>
        <v/>
      </c>
      <c r="G608" s="116">
        <f>IF($F608=0,0,$F608*$E608)</f>
        <v/>
      </c>
      <c r="H608" s="116">
        <f>$F608-$G608</f>
        <v/>
      </c>
      <c r="I608" s="112" t="n"/>
    </row>
    <row r="609" ht="15" customHeight="1" s="72">
      <c r="A609" s="112" t="n"/>
      <c r="B609" s="113" t="n"/>
      <c r="C609" s="114" t="n"/>
      <c r="D609" s="114" t="n"/>
      <c r="E609" s="115" t="n"/>
      <c r="F609" s="116">
        <f>IF($C609=0,0,$C609-$D609)</f>
        <v/>
      </c>
      <c r="G609" s="116">
        <f>IF($F609=0,0,$F609*$E609)</f>
        <v/>
      </c>
      <c r="H609" s="116">
        <f>$F609-$G609</f>
        <v/>
      </c>
      <c r="I609" s="112" t="n"/>
    </row>
    <row r="610" ht="15" customHeight="1" s="72">
      <c r="A610" s="112" t="n"/>
      <c r="B610" s="113" t="n"/>
      <c r="C610" s="114" t="n"/>
      <c r="D610" s="114" t="n"/>
      <c r="E610" s="115" t="n"/>
      <c r="F610" s="116">
        <f>IF($C610=0,0,$C610-$D610)</f>
        <v/>
      </c>
      <c r="G610" s="116">
        <f>IF($F610=0,0,$F610*$E610)</f>
        <v/>
      </c>
      <c r="H610" s="116">
        <f>$F610-$G610</f>
        <v/>
      </c>
      <c r="I610" s="112" t="n"/>
    </row>
    <row r="611" ht="15" customHeight="1" s="72">
      <c r="A611" s="112" t="n"/>
      <c r="B611" s="113" t="n"/>
      <c r="C611" s="114" t="n"/>
      <c r="D611" s="114" t="n"/>
      <c r="E611" s="115" t="n"/>
      <c r="F611" s="116">
        <f>IF($C611=0,0,$C611-$D611)</f>
        <v/>
      </c>
      <c r="G611" s="116">
        <f>IF($F611=0,0,$F611*$E611)</f>
        <v/>
      </c>
      <c r="H611" s="116">
        <f>$F611-$G611</f>
        <v/>
      </c>
      <c r="I611" s="112" t="n"/>
    </row>
    <row r="612" ht="15" customHeight="1" s="72">
      <c r="A612" s="112" t="n"/>
      <c r="B612" s="113" t="n"/>
      <c r="C612" s="114" t="n"/>
      <c r="D612" s="114" t="n"/>
      <c r="E612" s="115" t="n"/>
      <c r="F612" s="116">
        <f>IF($C612=0,0,$C612-$D612)</f>
        <v/>
      </c>
      <c r="G612" s="116">
        <f>IF($F612=0,0,$F612*$E612)</f>
        <v/>
      </c>
      <c r="H612" s="116">
        <f>$F612-$G612</f>
        <v/>
      </c>
      <c r="I612" s="112" t="n"/>
    </row>
    <row r="613" ht="15" customHeight="1" s="72">
      <c r="A613" s="112" t="n"/>
      <c r="B613" s="113" t="n"/>
      <c r="C613" s="114" t="n"/>
      <c r="D613" s="114" t="n"/>
      <c r="E613" s="115" t="n"/>
      <c r="F613" s="116">
        <f>IF($C613=0,0,$C613-$D613)</f>
        <v/>
      </c>
      <c r="G613" s="116">
        <f>IF($F613=0,0,$F613*$E613)</f>
        <v/>
      </c>
      <c r="H613" s="116">
        <f>$F613-$G613</f>
        <v/>
      </c>
      <c r="I613" s="112" t="n"/>
    </row>
    <row r="614" ht="15" customHeight="1" s="72">
      <c r="A614" s="112" t="n"/>
      <c r="B614" s="113" t="n"/>
      <c r="C614" s="114" t="n"/>
      <c r="D614" s="114" t="n"/>
      <c r="E614" s="115" t="n"/>
      <c r="F614" s="116">
        <f>IF($C614=0,0,$C614-$D614)</f>
        <v/>
      </c>
      <c r="G614" s="116">
        <f>IF($F614=0,0,$F614*$E614)</f>
        <v/>
      </c>
      <c r="H614" s="116">
        <f>$F614-$G614</f>
        <v/>
      </c>
      <c r="I614" s="112" t="n"/>
    </row>
    <row r="615" ht="15" customHeight="1" s="72">
      <c r="A615" s="112" t="n"/>
      <c r="B615" s="113" t="n"/>
      <c r="C615" s="114" t="n"/>
      <c r="D615" s="114" t="n"/>
      <c r="E615" s="115" t="n"/>
      <c r="F615" s="116">
        <f>IF($C615=0,0,$C615-$D615)</f>
        <v/>
      </c>
      <c r="G615" s="116">
        <f>IF($F615=0,0,$F615*$E615)</f>
        <v/>
      </c>
      <c r="H615" s="116">
        <f>$F615-$G615</f>
        <v/>
      </c>
      <c r="I615" s="112" t="n"/>
    </row>
    <row r="616" ht="15" customHeight="1" s="72">
      <c r="A616" s="112" t="n"/>
      <c r="B616" s="113" t="n"/>
      <c r="C616" s="114" t="n"/>
      <c r="D616" s="114" t="n"/>
      <c r="E616" s="115" t="n"/>
      <c r="F616" s="116">
        <f>IF($C616=0,0,$C616-$D616)</f>
        <v/>
      </c>
      <c r="G616" s="116">
        <f>IF($F616=0,0,$F616*$E616)</f>
        <v/>
      </c>
      <c r="H616" s="116">
        <f>$F616-$G616</f>
        <v/>
      </c>
      <c r="I616" s="112" t="n"/>
    </row>
    <row r="617" ht="15" customHeight="1" s="72">
      <c r="A617" s="112" t="n"/>
      <c r="B617" s="113" t="n"/>
      <c r="C617" s="114" t="n"/>
      <c r="D617" s="114" t="n"/>
      <c r="E617" s="115" t="n"/>
      <c r="F617" s="116">
        <f>IF($C617=0,0,$C617-$D617)</f>
        <v/>
      </c>
      <c r="G617" s="116">
        <f>IF($F617=0,0,$F617*$E617)</f>
        <v/>
      </c>
      <c r="H617" s="116">
        <f>$F617-$G617</f>
        <v/>
      </c>
      <c r="I617" s="112" t="n"/>
    </row>
    <row r="618" ht="15" customHeight="1" s="72">
      <c r="A618" s="112" t="n"/>
      <c r="B618" s="113" t="n"/>
      <c r="C618" s="114" t="n"/>
      <c r="D618" s="114" t="n"/>
      <c r="E618" s="115" t="n"/>
      <c r="F618" s="116">
        <f>IF($C618=0,0,$C618-$D618)</f>
        <v/>
      </c>
      <c r="G618" s="116">
        <f>IF($F618=0,0,$F618*$E618)</f>
        <v/>
      </c>
      <c r="H618" s="116">
        <f>$F618-$G618</f>
        <v/>
      </c>
      <c r="I618" s="112" t="n"/>
    </row>
    <row r="619" ht="15" customHeight="1" s="72">
      <c r="A619" s="112" t="n"/>
      <c r="B619" s="113" t="n"/>
      <c r="C619" s="114" t="n"/>
      <c r="D619" s="114" t="n"/>
      <c r="E619" s="115" t="n"/>
      <c r="F619" s="116">
        <f>IF($C619=0,0,$C619-$D619)</f>
        <v/>
      </c>
      <c r="G619" s="116">
        <f>IF($F619=0,0,$F619*$E619)</f>
        <v/>
      </c>
      <c r="H619" s="116">
        <f>$F619-$G619</f>
        <v/>
      </c>
      <c r="I619" s="112" t="n"/>
    </row>
    <row r="620" ht="15" customHeight="1" s="72">
      <c r="A620" s="112" t="n"/>
      <c r="B620" s="113" t="n"/>
      <c r="C620" s="114" t="n"/>
      <c r="D620" s="114" t="n"/>
      <c r="E620" s="115" t="n"/>
      <c r="F620" s="116">
        <f>IF($C620=0,0,$C620-$D620)</f>
        <v/>
      </c>
      <c r="G620" s="116">
        <f>IF($F620=0,0,$F620*$E620)</f>
        <v/>
      </c>
      <c r="H620" s="116">
        <f>$F620-$G620</f>
        <v/>
      </c>
      <c r="I620" s="112" t="n"/>
    </row>
    <row r="621" ht="15" customHeight="1" s="72">
      <c r="A621" s="112" t="n"/>
      <c r="B621" s="113" t="n"/>
      <c r="C621" s="114" t="n"/>
      <c r="D621" s="114" t="n"/>
      <c r="E621" s="115" t="n"/>
      <c r="F621" s="116">
        <f>IF($C621=0,0,$C621-$D621)</f>
        <v/>
      </c>
      <c r="G621" s="116">
        <f>IF($F621=0,0,$F621*$E621)</f>
        <v/>
      </c>
      <c r="H621" s="116">
        <f>$F621-$G621</f>
        <v/>
      </c>
      <c r="I621" s="112" t="n"/>
    </row>
    <row r="622" ht="15" customHeight="1" s="72">
      <c r="A622" s="112" t="n"/>
      <c r="B622" s="113" t="n"/>
      <c r="C622" s="114" t="n"/>
      <c r="D622" s="114" t="n"/>
      <c r="E622" s="115" t="n"/>
      <c r="F622" s="116">
        <f>IF($C622=0,0,$C622-$D622)</f>
        <v/>
      </c>
      <c r="G622" s="116">
        <f>IF($F622=0,0,$F622*$E622)</f>
        <v/>
      </c>
      <c r="H622" s="116">
        <f>$F622-$G622</f>
        <v/>
      </c>
      <c r="I622" s="112" t="n"/>
    </row>
    <row r="623" ht="15" customHeight="1" s="72">
      <c r="A623" s="112" t="n"/>
      <c r="B623" s="113" t="n"/>
      <c r="C623" s="114" t="n"/>
      <c r="D623" s="114" t="n"/>
      <c r="E623" s="115" t="n"/>
      <c r="F623" s="116">
        <f>IF($C623=0,0,$C623-$D623)</f>
        <v/>
      </c>
      <c r="G623" s="116">
        <f>IF($F623=0,0,$F623*$E623)</f>
        <v/>
      </c>
      <c r="H623" s="116">
        <f>$F623-$G623</f>
        <v/>
      </c>
      <c r="I623" s="112" t="n"/>
    </row>
    <row r="624" ht="15" customHeight="1" s="72">
      <c r="A624" s="112" t="n"/>
      <c r="B624" s="113" t="n"/>
      <c r="C624" s="114" t="n"/>
      <c r="D624" s="114" t="n"/>
      <c r="E624" s="115" t="n"/>
      <c r="F624" s="116">
        <f>IF($C624=0,0,$C624-$D624)</f>
        <v/>
      </c>
      <c r="G624" s="116">
        <f>IF($F624=0,0,$F624*$E624)</f>
        <v/>
      </c>
      <c r="H624" s="116">
        <f>$F624-$G624</f>
        <v/>
      </c>
      <c r="I624" s="112" t="n"/>
    </row>
    <row r="625" ht="15" customHeight="1" s="72">
      <c r="A625" s="112" t="n"/>
      <c r="B625" s="113" t="n"/>
      <c r="C625" s="114" t="n"/>
      <c r="D625" s="114" t="n"/>
      <c r="E625" s="115" t="n"/>
      <c r="F625" s="116">
        <f>IF($C625=0,0,$C625-$D625)</f>
        <v/>
      </c>
      <c r="G625" s="116">
        <f>IF($F625=0,0,$F625*$E625)</f>
        <v/>
      </c>
      <c r="H625" s="116">
        <f>$F625-$G625</f>
        <v/>
      </c>
      <c r="I625" s="112" t="n"/>
    </row>
    <row r="626" ht="15" customHeight="1" s="72">
      <c r="A626" s="112" t="n"/>
      <c r="B626" s="113" t="n"/>
      <c r="C626" s="114" t="n"/>
      <c r="D626" s="114" t="n"/>
      <c r="E626" s="115" t="n"/>
      <c r="F626" s="116">
        <f>IF($C626=0,0,$C626-$D626)</f>
        <v/>
      </c>
      <c r="G626" s="116">
        <f>IF($F626=0,0,$F626*$E626)</f>
        <v/>
      </c>
      <c r="H626" s="116">
        <f>$F626-$G626</f>
        <v/>
      </c>
      <c r="I626" s="112" t="n"/>
    </row>
    <row r="627" ht="15" customHeight="1" s="72">
      <c r="A627" s="112" t="n"/>
      <c r="B627" s="113" t="n"/>
      <c r="C627" s="114" t="n"/>
      <c r="D627" s="114" t="n"/>
      <c r="E627" s="115" t="n"/>
      <c r="F627" s="116">
        <f>IF($C627=0,0,$C627-$D627)</f>
        <v/>
      </c>
      <c r="G627" s="116">
        <f>IF($F627=0,0,$F627*$E627)</f>
        <v/>
      </c>
      <c r="H627" s="116">
        <f>$F627-$G627</f>
        <v/>
      </c>
      <c r="I627" s="112" t="n"/>
    </row>
    <row r="628" ht="15" customHeight="1" s="72">
      <c r="A628" s="112" t="n"/>
      <c r="B628" s="113" t="n"/>
      <c r="C628" s="114" t="n"/>
      <c r="D628" s="114" t="n"/>
      <c r="E628" s="115" t="n"/>
      <c r="F628" s="116">
        <f>IF($C628=0,0,$C628-$D628)</f>
        <v/>
      </c>
      <c r="G628" s="116">
        <f>IF($F628=0,0,$F628*$E628)</f>
        <v/>
      </c>
      <c r="H628" s="116">
        <f>$F628-$G628</f>
        <v/>
      </c>
      <c r="I628" s="112" t="n"/>
    </row>
    <row r="629" ht="15" customHeight="1" s="72">
      <c r="A629" s="112" t="n"/>
      <c r="B629" s="113" t="n"/>
      <c r="C629" s="114" t="n"/>
      <c r="D629" s="114" t="n"/>
      <c r="E629" s="115" t="n"/>
      <c r="F629" s="116">
        <f>IF($C629=0,0,$C629-$D629)</f>
        <v/>
      </c>
      <c r="G629" s="116">
        <f>IF($F629=0,0,$F629*$E629)</f>
        <v/>
      </c>
      <c r="H629" s="116">
        <f>$F629-$G629</f>
        <v/>
      </c>
      <c r="I629" s="112" t="n"/>
    </row>
    <row r="630" ht="15" customHeight="1" s="72">
      <c r="A630" s="112" t="n"/>
      <c r="B630" s="113" t="n"/>
      <c r="C630" s="114" t="n"/>
      <c r="D630" s="114" t="n"/>
      <c r="E630" s="115" t="n"/>
      <c r="F630" s="116">
        <f>IF($C630=0,0,$C630-$D630)</f>
        <v/>
      </c>
      <c r="G630" s="116">
        <f>IF($F630=0,0,$F630*$E630)</f>
        <v/>
      </c>
      <c r="H630" s="116">
        <f>$F630-$G630</f>
        <v/>
      </c>
      <c r="I630" s="112" t="n"/>
    </row>
    <row r="631" ht="15" customHeight="1" s="72">
      <c r="A631" s="112" t="n"/>
      <c r="B631" s="113" t="n"/>
      <c r="C631" s="114" t="n"/>
      <c r="D631" s="114" t="n"/>
      <c r="E631" s="115" t="n"/>
      <c r="F631" s="116">
        <f>IF($C631=0,0,$C631-$D631)</f>
        <v/>
      </c>
      <c r="G631" s="116">
        <f>IF($F631=0,0,$F631*$E631)</f>
        <v/>
      </c>
      <c r="H631" s="116">
        <f>$F631-$G631</f>
        <v/>
      </c>
      <c r="I631" s="112" t="n"/>
    </row>
    <row r="632" ht="15" customHeight="1" s="72">
      <c r="A632" s="112" t="n"/>
      <c r="B632" s="113" t="n"/>
      <c r="C632" s="114" t="n"/>
      <c r="D632" s="114" t="n"/>
      <c r="E632" s="115" t="n"/>
      <c r="F632" s="116">
        <f>IF($C632=0,0,$C632-$D632)</f>
        <v/>
      </c>
      <c r="G632" s="116">
        <f>IF($F632=0,0,$F632*$E632)</f>
        <v/>
      </c>
      <c r="H632" s="116">
        <f>$F632-$G632</f>
        <v/>
      </c>
      <c r="I632" s="112" t="n"/>
    </row>
    <row r="633" ht="15" customHeight="1" s="72">
      <c r="A633" s="112" t="n"/>
      <c r="B633" s="113" t="n"/>
      <c r="C633" s="114" t="n"/>
      <c r="D633" s="114" t="n"/>
      <c r="E633" s="115" t="n"/>
      <c r="F633" s="116">
        <f>IF($C633=0,0,$C633-$D633)</f>
        <v/>
      </c>
      <c r="G633" s="116">
        <f>IF($F633=0,0,$F633*$E633)</f>
        <v/>
      </c>
      <c r="H633" s="116">
        <f>$F633-$G633</f>
        <v/>
      </c>
      <c r="I633" s="112" t="n"/>
    </row>
    <row r="634" ht="15" customHeight="1" s="72">
      <c r="A634" s="112" t="n"/>
      <c r="B634" s="113" t="n"/>
      <c r="C634" s="114" t="n"/>
      <c r="D634" s="114" t="n"/>
      <c r="E634" s="115" t="n"/>
      <c r="F634" s="116">
        <f>IF($C634=0,0,$C634-$D634)</f>
        <v/>
      </c>
      <c r="G634" s="116">
        <f>IF($F634=0,0,$F634*$E634)</f>
        <v/>
      </c>
      <c r="H634" s="116">
        <f>$F634-$G634</f>
        <v/>
      </c>
      <c r="I634" s="112" t="n"/>
    </row>
    <row r="635" ht="15" customHeight="1" s="72">
      <c r="A635" s="112" t="n"/>
      <c r="B635" s="113" t="n"/>
      <c r="C635" s="114" t="n"/>
      <c r="D635" s="114" t="n"/>
      <c r="E635" s="115" t="n"/>
      <c r="F635" s="116">
        <f>IF($C635=0,0,$C635-$D635)</f>
        <v/>
      </c>
      <c r="G635" s="116">
        <f>IF($F635=0,0,$F635*$E635)</f>
        <v/>
      </c>
      <c r="H635" s="116">
        <f>$F635-$G635</f>
        <v/>
      </c>
      <c r="I635" s="112" t="n"/>
    </row>
    <row r="636" ht="15" customHeight="1" s="72">
      <c r="A636" s="112" t="n"/>
      <c r="B636" s="113" t="n"/>
      <c r="C636" s="114" t="n"/>
      <c r="D636" s="114" t="n"/>
      <c r="E636" s="115" t="n"/>
      <c r="F636" s="116">
        <f>IF($C636=0,0,$C636-$D636)</f>
        <v/>
      </c>
      <c r="G636" s="116">
        <f>IF($F636=0,0,$F636*$E636)</f>
        <v/>
      </c>
      <c r="H636" s="116">
        <f>$F636-$G636</f>
        <v/>
      </c>
      <c r="I636" s="112" t="n"/>
    </row>
    <row r="637" ht="15" customHeight="1" s="72">
      <c r="A637" s="112" t="n"/>
      <c r="B637" s="113" t="n"/>
      <c r="C637" s="114" t="n"/>
      <c r="D637" s="114" t="n"/>
      <c r="E637" s="115" t="n"/>
      <c r="F637" s="116">
        <f>IF($C637=0,0,$C637-$D637)</f>
        <v/>
      </c>
      <c r="G637" s="116">
        <f>IF($F637=0,0,$F637*$E637)</f>
        <v/>
      </c>
      <c r="H637" s="116">
        <f>$F637-$G637</f>
        <v/>
      </c>
      <c r="I637" s="112" t="n"/>
    </row>
    <row r="638" ht="15" customHeight="1" s="72">
      <c r="A638" s="112" t="n"/>
      <c r="B638" s="113" t="n"/>
      <c r="C638" s="114" t="n"/>
      <c r="D638" s="114" t="n"/>
      <c r="E638" s="115" t="n"/>
      <c r="F638" s="116">
        <f>IF($C638=0,0,$C638-$D638)</f>
        <v/>
      </c>
      <c r="G638" s="116">
        <f>IF($F638=0,0,$F638*$E638)</f>
        <v/>
      </c>
      <c r="H638" s="116">
        <f>$F638-$G638</f>
        <v/>
      </c>
      <c r="I638" s="112" t="n"/>
    </row>
    <row r="639" ht="15" customHeight="1" s="72">
      <c r="A639" s="112" t="n"/>
      <c r="B639" s="113" t="n"/>
      <c r="C639" s="114" t="n"/>
      <c r="D639" s="114" t="n"/>
      <c r="E639" s="115" t="n"/>
      <c r="F639" s="116">
        <f>IF($C639=0,0,$C639-$D639)</f>
        <v/>
      </c>
      <c r="G639" s="116">
        <f>IF($F639=0,0,$F639*$E639)</f>
        <v/>
      </c>
      <c r="H639" s="116">
        <f>$F639-$G639</f>
        <v/>
      </c>
      <c r="I639" s="112" t="n"/>
    </row>
    <row r="640" ht="15" customHeight="1" s="72">
      <c r="A640" s="112" t="n"/>
      <c r="B640" s="113" t="n"/>
      <c r="C640" s="114" t="n"/>
      <c r="D640" s="114" t="n"/>
      <c r="E640" s="115" t="n"/>
      <c r="F640" s="116">
        <f>IF($C640=0,0,$C640-$D640)</f>
        <v/>
      </c>
      <c r="G640" s="116">
        <f>IF($F640=0,0,$F640*$E640)</f>
        <v/>
      </c>
      <c r="H640" s="116">
        <f>$F640-$G640</f>
        <v/>
      </c>
      <c r="I640" s="112" t="n"/>
    </row>
    <row r="641" ht="15" customHeight="1" s="72">
      <c r="A641" s="112" t="n"/>
      <c r="B641" s="113" t="n"/>
      <c r="C641" s="114" t="n"/>
      <c r="D641" s="114" t="n"/>
      <c r="E641" s="115" t="n"/>
      <c r="F641" s="116">
        <f>IF($C641=0,0,$C641-$D641)</f>
        <v/>
      </c>
      <c r="G641" s="116">
        <f>IF($F641=0,0,$F641*$E641)</f>
        <v/>
      </c>
      <c r="H641" s="116">
        <f>$F641-$G641</f>
        <v/>
      </c>
      <c r="I641" s="112" t="n"/>
    </row>
    <row r="642" ht="15" customHeight="1" s="72">
      <c r="A642" s="112" t="n"/>
      <c r="B642" s="113" t="n"/>
      <c r="C642" s="114" t="n"/>
      <c r="D642" s="114" t="n"/>
      <c r="E642" s="115" t="n"/>
      <c r="F642" s="116">
        <f>IF($C642=0,0,$C642-$D642)</f>
        <v/>
      </c>
      <c r="G642" s="116">
        <f>IF($F642=0,0,$F642*$E642)</f>
        <v/>
      </c>
      <c r="H642" s="116">
        <f>$F642-$G642</f>
        <v/>
      </c>
      <c r="I642" s="112" t="n"/>
    </row>
    <row r="643" ht="15" customHeight="1" s="72">
      <c r="A643" s="112" t="n"/>
      <c r="B643" s="113" t="n"/>
      <c r="C643" s="114" t="n"/>
      <c r="D643" s="114" t="n"/>
      <c r="E643" s="115" t="n"/>
      <c r="F643" s="116">
        <f>IF($C643=0,0,$C643-$D643)</f>
        <v/>
      </c>
      <c r="G643" s="116">
        <f>IF($F643=0,0,$F643*$E643)</f>
        <v/>
      </c>
      <c r="H643" s="116">
        <f>$F643-$G643</f>
        <v/>
      </c>
      <c r="I643" s="112" t="n"/>
    </row>
    <row r="644" ht="15" customHeight="1" s="72">
      <c r="A644" s="112" t="n"/>
      <c r="B644" s="113" t="n"/>
      <c r="C644" s="114" t="n"/>
      <c r="D644" s="114" t="n"/>
      <c r="E644" s="115" t="n"/>
      <c r="F644" s="116">
        <f>IF($C644=0,0,$C644-$D644)</f>
        <v/>
      </c>
      <c r="G644" s="116">
        <f>IF($F644=0,0,$F644*$E644)</f>
        <v/>
      </c>
      <c r="H644" s="116">
        <f>$F644-$G644</f>
        <v/>
      </c>
      <c r="I644" s="112" t="n"/>
    </row>
    <row r="645" ht="15" customHeight="1" s="72">
      <c r="A645" s="112" t="n"/>
      <c r="B645" s="113" t="n"/>
      <c r="C645" s="114" t="n"/>
      <c r="D645" s="114" t="n"/>
      <c r="E645" s="115" t="n"/>
      <c r="F645" s="116">
        <f>IF($C645=0,0,$C645-$D645)</f>
        <v/>
      </c>
      <c r="G645" s="116">
        <f>IF($F645=0,0,$F645*$E645)</f>
        <v/>
      </c>
      <c r="H645" s="116">
        <f>$F645-$G645</f>
        <v/>
      </c>
      <c r="I645" s="112" t="n"/>
    </row>
    <row r="646" ht="15" customHeight="1" s="72">
      <c r="A646" s="112" t="n"/>
      <c r="B646" s="113" t="n"/>
      <c r="C646" s="114" t="n"/>
      <c r="D646" s="114" t="n"/>
      <c r="E646" s="115" t="n"/>
      <c r="F646" s="116">
        <f>IF($C646=0,0,$C646-$D646)</f>
        <v/>
      </c>
      <c r="G646" s="116">
        <f>IF($F646=0,0,$F646*$E646)</f>
        <v/>
      </c>
      <c r="H646" s="116">
        <f>$F646-$G646</f>
        <v/>
      </c>
      <c r="I646" s="112" t="n"/>
    </row>
    <row r="647" ht="15" customHeight="1" s="72">
      <c r="A647" s="112" t="n"/>
      <c r="B647" s="113" t="n"/>
      <c r="C647" s="114" t="n"/>
      <c r="D647" s="114" t="n"/>
      <c r="E647" s="115" t="n"/>
      <c r="F647" s="116">
        <f>IF($C647=0,0,$C647-$D647)</f>
        <v/>
      </c>
      <c r="G647" s="116">
        <f>IF($F647=0,0,$F647*$E647)</f>
        <v/>
      </c>
      <c r="H647" s="116">
        <f>$F647-$G647</f>
        <v/>
      </c>
      <c r="I647" s="112" t="n"/>
    </row>
    <row r="648" ht="15" customHeight="1" s="72">
      <c r="A648" s="112" t="n"/>
      <c r="B648" s="113" t="n"/>
      <c r="C648" s="114" t="n"/>
      <c r="D648" s="114" t="n"/>
      <c r="E648" s="115" t="n"/>
      <c r="F648" s="116">
        <f>IF($C648=0,0,$C648-$D648)</f>
        <v/>
      </c>
      <c r="G648" s="116">
        <f>IF($F648=0,0,$F648*$E648)</f>
        <v/>
      </c>
      <c r="H648" s="116">
        <f>$F648-$G648</f>
        <v/>
      </c>
      <c r="I648" s="112" t="n"/>
    </row>
    <row r="649" ht="15" customHeight="1" s="72">
      <c r="A649" s="112" t="n"/>
      <c r="B649" s="113" t="n"/>
      <c r="C649" s="114" t="n"/>
      <c r="D649" s="114" t="n"/>
      <c r="E649" s="115" t="n"/>
      <c r="F649" s="116">
        <f>IF($C649=0,0,$C649-$D649)</f>
        <v/>
      </c>
      <c r="G649" s="116">
        <f>IF($F649=0,0,$F649*$E649)</f>
        <v/>
      </c>
      <c r="H649" s="116">
        <f>$F649-$G649</f>
        <v/>
      </c>
      <c r="I649" s="112" t="n"/>
    </row>
    <row r="650" ht="15" customHeight="1" s="72">
      <c r="A650" s="112" t="n"/>
      <c r="B650" s="113" t="n"/>
      <c r="C650" s="114" t="n"/>
      <c r="D650" s="114" t="n"/>
      <c r="E650" s="115" t="n"/>
      <c r="F650" s="116">
        <f>IF($C650=0,0,$C650-$D650)</f>
        <v/>
      </c>
      <c r="G650" s="116">
        <f>IF($F650=0,0,$F650*$E650)</f>
        <v/>
      </c>
      <c r="H650" s="116">
        <f>$F650-$G650</f>
        <v/>
      </c>
      <c r="I650" s="112" t="n"/>
    </row>
    <row r="651" ht="15" customHeight="1" s="72">
      <c r="A651" s="112" t="n"/>
      <c r="B651" s="113" t="n"/>
      <c r="C651" s="114" t="n"/>
      <c r="D651" s="114" t="n"/>
      <c r="E651" s="115" t="n"/>
      <c r="F651" s="116">
        <f>IF($C651=0,0,$C651-$D651)</f>
        <v/>
      </c>
      <c r="G651" s="116">
        <f>IF($F651=0,0,$F651*$E651)</f>
        <v/>
      </c>
      <c r="H651" s="116">
        <f>$F651-$G651</f>
        <v/>
      </c>
      <c r="I651" s="112" t="n"/>
    </row>
    <row r="652" ht="15" customHeight="1" s="72">
      <c r="A652" s="112" t="n"/>
      <c r="B652" s="113" t="n"/>
      <c r="C652" s="114" t="n"/>
      <c r="D652" s="114" t="n"/>
      <c r="E652" s="115" t="n"/>
      <c r="F652" s="116">
        <f>IF($C652=0,0,$C652-$D652)</f>
        <v/>
      </c>
      <c r="G652" s="116">
        <f>IF($F652=0,0,$F652*$E652)</f>
        <v/>
      </c>
      <c r="H652" s="116">
        <f>$F652-$G652</f>
        <v/>
      </c>
      <c r="I652" s="112" t="n"/>
    </row>
    <row r="653" ht="15" customHeight="1" s="72">
      <c r="A653" s="112" t="n"/>
      <c r="B653" s="113" t="n"/>
      <c r="C653" s="114" t="n"/>
      <c r="D653" s="114" t="n"/>
      <c r="E653" s="115" t="n"/>
      <c r="F653" s="116">
        <f>IF($C653=0,0,$C653-$D653)</f>
        <v/>
      </c>
      <c r="G653" s="116">
        <f>IF($F653=0,0,$F653*$E653)</f>
        <v/>
      </c>
      <c r="H653" s="116">
        <f>$F653-$G653</f>
        <v/>
      </c>
      <c r="I653" s="112" t="n"/>
    </row>
    <row r="654" ht="15" customHeight="1" s="72">
      <c r="A654" s="112" t="n"/>
      <c r="B654" s="113" t="n"/>
      <c r="C654" s="114" t="n"/>
      <c r="D654" s="114" t="n"/>
      <c r="E654" s="115" t="n"/>
      <c r="F654" s="116">
        <f>IF($C654=0,0,$C654-$D654)</f>
        <v/>
      </c>
      <c r="G654" s="116">
        <f>IF($F654=0,0,$F654*$E654)</f>
        <v/>
      </c>
      <c r="H654" s="116">
        <f>$F654-$G654</f>
        <v/>
      </c>
      <c r="I654" s="112" t="n"/>
    </row>
    <row r="655" ht="15" customHeight="1" s="72">
      <c r="A655" s="112" t="n"/>
      <c r="B655" s="113" t="n"/>
      <c r="C655" s="114" t="n"/>
      <c r="D655" s="114" t="n"/>
      <c r="E655" s="115" t="n"/>
      <c r="F655" s="116">
        <f>IF($C655=0,0,$C655-$D655)</f>
        <v/>
      </c>
      <c r="G655" s="116">
        <f>IF($F655=0,0,$F655*$E655)</f>
        <v/>
      </c>
      <c r="H655" s="116">
        <f>$F655-$G655</f>
        <v/>
      </c>
      <c r="I655" s="112" t="n"/>
    </row>
    <row r="656" ht="15" customHeight="1" s="72">
      <c r="A656" s="112" t="n"/>
      <c r="B656" s="113" t="n"/>
      <c r="C656" s="114" t="n"/>
      <c r="D656" s="114" t="n"/>
      <c r="E656" s="115" t="n"/>
      <c r="F656" s="116">
        <f>IF($C656=0,0,$C656-$D656)</f>
        <v/>
      </c>
      <c r="G656" s="116">
        <f>IF($F656=0,0,$F656*$E656)</f>
        <v/>
      </c>
      <c r="H656" s="116">
        <f>$F656-$G656</f>
        <v/>
      </c>
      <c r="I656" s="112" t="n"/>
    </row>
    <row r="657" ht="15" customHeight="1" s="72">
      <c r="A657" s="112" t="n"/>
      <c r="B657" s="113" t="n"/>
      <c r="C657" s="114" t="n"/>
      <c r="D657" s="114" t="n"/>
      <c r="E657" s="115" t="n"/>
      <c r="F657" s="116">
        <f>IF($C657=0,0,$C657-$D657)</f>
        <v/>
      </c>
      <c r="G657" s="116">
        <f>IF($F657=0,0,$F657*$E657)</f>
        <v/>
      </c>
      <c r="H657" s="116">
        <f>$F657-$G657</f>
        <v/>
      </c>
      <c r="I657" s="112" t="n"/>
    </row>
    <row r="658" ht="15" customHeight="1" s="72">
      <c r="A658" s="112" t="n"/>
      <c r="B658" s="113" t="n"/>
      <c r="C658" s="114" t="n"/>
      <c r="D658" s="114" t="n"/>
      <c r="E658" s="115" t="n"/>
      <c r="F658" s="116">
        <f>IF($C658=0,0,$C658-$D658)</f>
        <v/>
      </c>
      <c r="G658" s="116">
        <f>IF($F658=0,0,$F658*$E658)</f>
        <v/>
      </c>
      <c r="H658" s="116">
        <f>$F658-$G658</f>
        <v/>
      </c>
      <c r="I658" s="112" t="n"/>
    </row>
    <row r="659" ht="15" customHeight="1" s="72">
      <c r="A659" s="112" t="n"/>
      <c r="B659" s="113" t="n"/>
      <c r="C659" s="114" t="n"/>
      <c r="D659" s="114" t="n"/>
      <c r="E659" s="115" t="n"/>
      <c r="F659" s="116">
        <f>IF($C659=0,0,$C659-$D659)</f>
        <v/>
      </c>
      <c r="G659" s="116">
        <f>IF($F659=0,0,$F659*$E659)</f>
        <v/>
      </c>
      <c r="H659" s="116">
        <f>$F659-$G659</f>
        <v/>
      </c>
      <c r="I659" s="112" t="n"/>
    </row>
    <row r="660" ht="15" customHeight="1" s="72">
      <c r="A660" s="112" t="n"/>
      <c r="B660" s="113" t="n"/>
      <c r="C660" s="114" t="n"/>
      <c r="D660" s="114" t="n"/>
      <c r="E660" s="115" t="n"/>
      <c r="F660" s="116">
        <f>IF($C660=0,0,$C660-$D660)</f>
        <v/>
      </c>
      <c r="G660" s="116">
        <f>IF($F660=0,0,$F660*$E660)</f>
        <v/>
      </c>
      <c r="H660" s="116">
        <f>$F660-$G660</f>
        <v/>
      </c>
      <c r="I660" s="112" t="n"/>
    </row>
    <row r="661" ht="15" customHeight="1" s="72">
      <c r="A661" s="112" t="n"/>
      <c r="B661" s="113" t="n"/>
      <c r="C661" s="114" t="n"/>
      <c r="D661" s="114" t="n"/>
      <c r="E661" s="115" t="n"/>
      <c r="F661" s="116">
        <f>IF($C661=0,0,$C661-$D661)</f>
        <v/>
      </c>
      <c r="G661" s="116">
        <f>IF($F661=0,0,$F661*$E661)</f>
        <v/>
      </c>
      <c r="H661" s="116">
        <f>$F661-$G661</f>
        <v/>
      </c>
      <c r="I661" s="112" t="n"/>
    </row>
    <row r="662" ht="15" customHeight="1" s="72">
      <c r="A662" s="112" t="n"/>
      <c r="B662" s="113" t="n"/>
      <c r="C662" s="114" t="n"/>
      <c r="D662" s="114" t="n"/>
      <c r="E662" s="115" t="n"/>
      <c r="F662" s="116">
        <f>IF($C662=0,0,$C662-$D662)</f>
        <v/>
      </c>
      <c r="G662" s="116">
        <f>IF($F662=0,0,$F662*$E662)</f>
        <v/>
      </c>
      <c r="H662" s="116">
        <f>$F662-$G662</f>
        <v/>
      </c>
      <c r="I662" s="112" t="n"/>
    </row>
    <row r="663" ht="15" customHeight="1" s="72">
      <c r="A663" s="112" t="n"/>
      <c r="B663" s="113" t="n"/>
      <c r="C663" s="114" t="n"/>
      <c r="D663" s="114" t="n"/>
      <c r="E663" s="115" t="n"/>
      <c r="F663" s="116">
        <f>IF($C663=0,0,$C663-$D663)</f>
        <v/>
      </c>
      <c r="G663" s="116">
        <f>IF($F663=0,0,$F663*$E663)</f>
        <v/>
      </c>
      <c r="H663" s="116">
        <f>$F663-$G663</f>
        <v/>
      </c>
      <c r="I663" s="112" t="n"/>
    </row>
    <row r="664" ht="15" customHeight="1" s="72">
      <c r="A664" s="112" t="n"/>
      <c r="B664" s="113" t="n"/>
      <c r="C664" s="114" t="n"/>
      <c r="D664" s="114" t="n"/>
      <c r="E664" s="115" t="n"/>
      <c r="F664" s="116">
        <f>IF($C664=0,0,$C664-$D664)</f>
        <v/>
      </c>
      <c r="G664" s="116">
        <f>IF($F664=0,0,$F664*$E664)</f>
        <v/>
      </c>
      <c r="H664" s="116">
        <f>$F664-$G664</f>
        <v/>
      </c>
      <c r="I664" s="112" t="n"/>
    </row>
    <row r="665" ht="15" customHeight="1" s="72">
      <c r="A665" s="112" t="n"/>
      <c r="B665" s="113" t="n"/>
      <c r="C665" s="114" t="n"/>
      <c r="D665" s="114" t="n"/>
      <c r="E665" s="115" t="n"/>
      <c r="F665" s="116">
        <f>IF($C665=0,0,$C665-$D665)</f>
        <v/>
      </c>
      <c r="G665" s="116">
        <f>IF($F665=0,0,$F665*$E665)</f>
        <v/>
      </c>
      <c r="H665" s="116">
        <f>$F665-$G665</f>
        <v/>
      </c>
      <c r="I665" s="112" t="n"/>
    </row>
    <row r="666" ht="15" customHeight="1" s="72">
      <c r="A666" s="112" t="n"/>
      <c r="B666" s="113" t="n"/>
      <c r="C666" s="114" t="n"/>
      <c r="D666" s="114" t="n"/>
      <c r="E666" s="115" t="n"/>
      <c r="F666" s="116">
        <f>IF($C666=0,0,$C666-$D666)</f>
        <v/>
      </c>
      <c r="G666" s="116">
        <f>IF($F666=0,0,$F666*$E666)</f>
        <v/>
      </c>
      <c r="H666" s="116">
        <f>$F666-$G666</f>
        <v/>
      </c>
      <c r="I666" s="112" t="n"/>
    </row>
    <row r="667" ht="15" customHeight="1" s="72">
      <c r="A667" s="112" t="n"/>
      <c r="B667" s="113" t="n"/>
      <c r="C667" s="114" t="n"/>
      <c r="D667" s="114" t="n"/>
      <c r="E667" s="115" t="n"/>
      <c r="F667" s="116">
        <f>IF($C667=0,0,$C667-$D667)</f>
        <v/>
      </c>
      <c r="G667" s="116">
        <f>IF($F667=0,0,$F667*$E667)</f>
        <v/>
      </c>
      <c r="H667" s="116">
        <f>$F667-$G667</f>
        <v/>
      </c>
      <c r="I667" s="112" t="n"/>
    </row>
    <row r="668" ht="15" customHeight="1" s="72">
      <c r="A668" s="112" t="n"/>
      <c r="B668" s="113" t="n"/>
      <c r="C668" s="114" t="n"/>
      <c r="D668" s="114" t="n"/>
      <c r="E668" s="115" t="n"/>
      <c r="F668" s="116">
        <f>IF($C668=0,0,$C668-$D668)</f>
        <v/>
      </c>
      <c r="G668" s="116">
        <f>IF($F668=0,0,$F668*$E668)</f>
        <v/>
      </c>
      <c r="H668" s="116">
        <f>$F668-$G668</f>
        <v/>
      </c>
      <c r="I668" s="112" t="n"/>
    </row>
    <row r="669" ht="15" customHeight="1" s="72">
      <c r="A669" s="112" t="n"/>
      <c r="B669" s="113" t="n"/>
      <c r="C669" s="114" t="n"/>
      <c r="D669" s="114" t="n"/>
      <c r="E669" s="115" t="n"/>
      <c r="F669" s="116">
        <f>IF($C669=0,0,$C669-$D669)</f>
        <v/>
      </c>
      <c r="G669" s="116">
        <f>IF($F669=0,0,$F669*$E669)</f>
        <v/>
      </c>
      <c r="H669" s="116">
        <f>$F669-$G669</f>
        <v/>
      </c>
      <c r="I669" s="112" t="n"/>
    </row>
    <row r="670" ht="15" customHeight="1" s="72">
      <c r="A670" s="112" t="n"/>
      <c r="B670" s="113" t="n"/>
      <c r="C670" s="114" t="n"/>
      <c r="D670" s="114" t="n"/>
      <c r="E670" s="115" t="n"/>
      <c r="F670" s="116">
        <f>IF($C670=0,0,$C670-$D670)</f>
        <v/>
      </c>
      <c r="G670" s="116">
        <f>IF($F670=0,0,$F670*$E670)</f>
        <v/>
      </c>
      <c r="H670" s="116">
        <f>$F670-$G670</f>
        <v/>
      </c>
      <c r="I670" s="112" t="n"/>
    </row>
    <row r="671" ht="15" customHeight="1" s="72">
      <c r="A671" s="112" t="n"/>
      <c r="B671" s="113" t="n"/>
      <c r="C671" s="114" t="n"/>
      <c r="D671" s="114" t="n"/>
      <c r="E671" s="115" t="n"/>
      <c r="F671" s="116">
        <f>IF($C671=0,0,$C671-$D671)</f>
        <v/>
      </c>
      <c r="G671" s="116">
        <f>IF($F671=0,0,$F671*$E671)</f>
        <v/>
      </c>
      <c r="H671" s="116">
        <f>$F671-$G671</f>
        <v/>
      </c>
      <c r="I671" s="112" t="n"/>
    </row>
    <row r="672" ht="15" customHeight="1" s="72">
      <c r="A672" s="112" t="n"/>
      <c r="B672" s="113" t="n"/>
      <c r="C672" s="114" t="n"/>
      <c r="D672" s="114" t="n"/>
      <c r="E672" s="115" t="n"/>
      <c r="F672" s="116">
        <f>IF($C672=0,0,$C672-$D672)</f>
        <v/>
      </c>
      <c r="G672" s="116">
        <f>IF($F672=0,0,$F672*$E672)</f>
        <v/>
      </c>
      <c r="H672" s="116">
        <f>$F672-$G672</f>
        <v/>
      </c>
      <c r="I672" s="112" t="n"/>
    </row>
    <row r="673" ht="15" customHeight="1" s="72">
      <c r="A673" s="112" t="n"/>
      <c r="B673" s="113" t="n"/>
      <c r="C673" s="114" t="n"/>
      <c r="D673" s="114" t="n"/>
      <c r="E673" s="115" t="n"/>
      <c r="F673" s="116">
        <f>IF($C673=0,0,$C673-$D673)</f>
        <v/>
      </c>
      <c r="G673" s="116">
        <f>IF($F673=0,0,$F673*$E673)</f>
        <v/>
      </c>
      <c r="H673" s="116">
        <f>$F673-$G673</f>
        <v/>
      </c>
      <c r="I673" s="112" t="n"/>
    </row>
    <row r="674" ht="15" customHeight="1" s="72">
      <c r="A674" s="112" t="n"/>
      <c r="B674" s="113" t="n"/>
      <c r="C674" s="114" t="n"/>
      <c r="D674" s="114" t="n"/>
      <c r="E674" s="115" t="n"/>
      <c r="F674" s="116">
        <f>IF($C674=0,0,$C674-$D674)</f>
        <v/>
      </c>
      <c r="G674" s="116">
        <f>IF($F674=0,0,$F674*$E674)</f>
        <v/>
      </c>
      <c r="H674" s="116">
        <f>$F674-$G674</f>
        <v/>
      </c>
      <c r="I674" s="112" t="n"/>
    </row>
    <row r="675" ht="15" customHeight="1" s="72">
      <c r="A675" s="112" t="n"/>
      <c r="B675" s="113" t="n"/>
      <c r="C675" s="114" t="n"/>
      <c r="D675" s="114" t="n"/>
      <c r="E675" s="115" t="n"/>
      <c r="F675" s="116">
        <f>IF($C675=0,0,$C675-$D675)</f>
        <v/>
      </c>
      <c r="G675" s="116">
        <f>IF($F675=0,0,$F675*$E675)</f>
        <v/>
      </c>
      <c r="H675" s="116">
        <f>$F675-$G675</f>
        <v/>
      </c>
      <c r="I675" s="112" t="n"/>
    </row>
    <row r="676" ht="15" customHeight="1" s="72">
      <c r="A676" s="112" t="n"/>
      <c r="B676" s="113" t="n"/>
      <c r="C676" s="114" t="n"/>
      <c r="D676" s="114" t="n"/>
      <c r="E676" s="115" t="n"/>
      <c r="F676" s="116">
        <f>IF($C676=0,0,$C676-$D676)</f>
        <v/>
      </c>
      <c r="G676" s="116">
        <f>IF($F676=0,0,$F676*$E676)</f>
        <v/>
      </c>
      <c r="H676" s="116">
        <f>$F676-$G676</f>
        <v/>
      </c>
      <c r="I676" s="112" t="n"/>
    </row>
    <row r="677" ht="15" customHeight="1" s="72">
      <c r="A677" s="112" t="n"/>
      <c r="B677" s="113" t="n"/>
      <c r="C677" s="114" t="n"/>
      <c r="D677" s="114" t="n"/>
      <c r="E677" s="115" t="n"/>
      <c r="F677" s="116">
        <f>IF($C677=0,0,$C677-$D677)</f>
        <v/>
      </c>
      <c r="G677" s="116">
        <f>IF($F677=0,0,$F677*$E677)</f>
        <v/>
      </c>
      <c r="H677" s="116">
        <f>$F677-$G677</f>
        <v/>
      </c>
      <c r="I677" s="112" t="n"/>
    </row>
    <row r="678" ht="15" customHeight="1" s="72">
      <c r="A678" s="112" t="n"/>
      <c r="B678" s="113" t="n"/>
      <c r="C678" s="114" t="n"/>
      <c r="D678" s="114" t="n"/>
      <c r="E678" s="115" t="n"/>
      <c r="F678" s="116">
        <f>IF($C678=0,0,$C678-$D678)</f>
        <v/>
      </c>
      <c r="G678" s="116">
        <f>IF($F678=0,0,$F678*$E678)</f>
        <v/>
      </c>
      <c r="H678" s="116">
        <f>$F678-$G678</f>
        <v/>
      </c>
      <c r="I678" s="112" t="n"/>
    </row>
    <row r="679" ht="15" customHeight="1" s="72">
      <c r="A679" s="112" t="n"/>
      <c r="B679" s="113" t="n"/>
      <c r="C679" s="114" t="n"/>
      <c r="D679" s="114" t="n"/>
      <c r="E679" s="115" t="n"/>
      <c r="F679" s="116">
        <f>IF($C679=0,0,$C679-$D679)</f>
        <v/>
      </c>
      <c r="G679" s="116">
        <f>IF($F679=0,0,$F679*$E679)</f>
        <v/>
      </c>
      <c r="H679" s="116">
        <f>$F679-$G679</f>
        <v/>
      </c>
      <c r="I679" s="112" t="n"/>
    </row>
    <row r="680" ht="15" customHeight="1" s="72">
      <c r="A680" s="112" t="n"/>
      <c r="B680" s="113" t="n"/>
      <c r="C680" s="114" t="n"/>
      <c r="D680" s="114" t="n"/>
      <c r="E680" s="115" t="n"/>
      <c r="F680" s="116">
        <f>IF($C680=0,0,$C680-$D680)</f>
        <v/>
      </c>
      <c r="G680" s="116">
        <f>IF($F680=0,0,$F680*$E680)</f>
        <v/>
      </c>
      <c r="H680" s="116">
        <f>$F680-$G680</f>
        <v/>
      </c>
      <c r="I680" s="112" t="n"/>
    </row>
    <row r="681" ht="15" customHeight="1" s="72">
      <c r="A681" s="112" t="n"/>
      <c r="B681" s="113" t="n"/>
      <c r="C681" s="114" t="n"/>
      <c r="D681" s="114" t="n"/>
      <c r="E681" s="115" t="n"/>
      <c r="F681" s="116">
        <f>IF($C681=0,0,$C681-$D681)</f>
        <v/>
      </c>
      <c r="G681" s="116">
        <f>IF($F681=0,0,$F681*$E681)</f>
        <v/>
      </c>
      <c r="H681" s="116">
        <f>$F681-$G681</f>
        <v/>
      </c>
      <c r="I681" s="112" t="n"/>
    </row>
    <row r="682" ht="15" customHeight="1" s="72">
      <c r="A682" s="112" t="n"/>
      <c r="B682" s="113" t="n"/>
      <c r="C682" s="114" t="n"/>
      <c r="D682" s="114" t="n"/>
      <c r="E682" s="115" t="n"/>
      <c r="F682" s="116">
        <f>IF($C682=0,0,$C682-$D682)</f>
        <v/>
      </c>
      <c r="G682" s="116">
        <f>IF($F682=0,0,$F682*$E682)</f>
        <v/>
      </c>
      <c r="H682" s="116">
        <f>$F682-$G682</f>
        <v/>
      </c>
      <c r="I682" s="112" t="n"/>
    </row>
    <row r="683" ht="15" customHeight="1" s="72">
      <c r="A683" s="112" t="n"/>
      <c r="B683" s="113" t="n"/>
      <c r="C683" s="114" t="n"/>
      <c r="D683" s="114" t="n"/>
      <c r="E683" s="115" t="n"/>
      <c r="F683" s="116">
        <f>IF($C683=0,0,$C683-$D683)</f>
        <v/>
      </c>
      <c r="G683" s="116">
        <f>IF($F683=0,0,$F683*$E683)</f>
        <v/>
      </c>
      <c r="H683" s="116">
        <f>$F683-$G683</f>
        <v/>
      </c>
      <c r="I683" s="112" t="n"/>
    </row>
    <row r="684" ht="15" customHeight="1" s="72">
      <c r="A684" s="112" t="n"/>
      <c r="B684" s="113" t="n"/>
      <c r="C684" s="114" t="n"/>
      <c r="D684" s="114" t="n"/>
      <c r="E684" s="115" t="n"/>
      <c r="F684" s="116">
        <f>IF($C684=0,0,$C684-$D684)</f>
        <v/>
      </c>
      <c r="G684" s="116">
        <f>IF($F684=0,0,$F684*$E684)</f>
        <v/>
      </c>
      <c r="H684" s="116">
        <f>$F684-$G684</f>
        <v/>
      </c>
      <c r="I684" s="112" t="n"/>
    </row>
    <row r="685" ht="15" customHeight="1" s="72">
      <c r="A685" s="112" t="n"/>
      <c r="B685" s="113" t="n"/>
      <c r="C685" s="114" t="n"/>
      <c r="D685" s="114" t="n"/>
      <c r="E685" s="115" t="n"/>
      <c r="F685" s="116">
        <f>IF($C685=0,0,$C685-$D685)</f>
        <v/>
      </c>
      <c r="G685" s="116">
        <f>IF($F685=0,0,$F685*$E685)</f>
        <v/>
      </c>
      <c r="H685" s="116">
        <f>$F685-$G685</f>
        <v/>
      </c>
      <c r="I685" s="112" t="n"/>
    </row>
    <row r="686" ht="15" customHeight="1" s="72">
      <c r="A686" s="112" t="n"/>
      <c r="B686" s="113" t="n"/>
      <c r="C686" s="114" t="n"/>
      <c r="D686" s="114" t="n"/>
      <c r="E686" s="115" t="n"/>
      <c r="F686" s="116">
        <f>IF($C686=0,0,$C686-$D686)</f>
        <v/>
      </c>
      <c r="G686" s="116">
        <f>IF($F686=0,0,$F686*$E686)</f>
        <v/>
      </c>
      <c r="H686" s="116">
        <f>$F686-$G686</f>
        <v/>
      </c>
      <c r="I686" s="112" t="n"/>
    </row>
    <row r="687" ht="15" customHeight="1" s="72">
      <c r="A687" s="112" t="n"/>
      <c r="B687" s="113" t="n"/>
      <c r="C687" s="114" t="n"/>
      <c r="D687" s="114" t="n"/>
      <c r="E687" s="115" t="n"/>
      <c r="F687" s="116">
        <f>IF($C687=0,0,$C687-$D687)</f>
        <v/>
      </c>
      <c r="G687" s="116">
        <f>IF($F687=0,0,$F687*$E687)</f>
        <v/>
      </c>
      <c r="H687" s="116">
        <f>$F687-$G687</f>
        <v/>
      </c>
      <c r="I687" s="112" t="n"/>
    </row>
    <row r="688" ht="15" customHeight="1" s="72">
      <c r="A688" s="112" t="n"/>
      <c r="B688" s="113" t="n"/>
      <c r="C688" s="114" t="n"/>
      <c r="D688" s="114" t="n"/>
      <c r="E688" s="115" t="n"/>
      <c r="F688" s="116">
        <f>IF($C688=0,0,$C688-$D688)</f>
        <v/>
      </c>
      <c r="G688" s="116">
        <f>IF($F688=0,0,$F688*$E688)</f>
        <v/>
      </c>
      <c r="H688" s="116">
        <f>$F688-$G688</f>
        <v/>
      </c>
      <c r="I688" s="112" t="n"/>
    </row>
    <row r="689" ht="15" customHeight="1" s="72">
      <c r="A689" s="112" t="n"/>
      <c r="B689" s="113" t="n"/>
      <c r="C689" s="114" t="n"/>
      <c r="D689" s="114" t="n"/>
      <c r="E689" s="115" t="n"/>
      <c r="F689" s="116">
        <f>IF($C689=0,0,$C689-$D689)</f>
        <v/>
      </c>
      <c r="G689" s="116">
        <f>IF($F689=0,0,$F689*$E689)</f>
        <v/>
      </c>
      <c r="H689" s="116">
        <f>$F689-$G689</f>
        <v/>
      </c>
      <c r="I689" s="112" t="n"/>
    </row>
    <row r="690" ht="15" customHeight="1" s="72">
      <c r="A690" s="112" t="n"/>
      <c r="B690" s="113" t="n"/>
      <c r="C690" s="114" t="n"/>
      <c r="D690" s="114" t="n"/>
      <c r="E690" s="115" t="n"/>
      <c r="F690" s="116">
        <f>IF($C690=0,0,$C690-$D690)</f>
        <v/>
      </c>
      <c r="G690" s="116">
        <f>IF($F690=0,0,$F690*$E690)</f>
        <v/>
      </c>
      <c r="H690" s="116">
        <f>$F690-$G690</f>
        <v/>
      </c>
      <c r="I690" s="112" t="n"/>
    </row>
    <row r="691" ht="15" customHeight="1" s="72">
      <c r="A691" s="112" t="n"/>
      <c r="B691" s="113" t="n"/>
      <c r="C691" s="114" t="n"/>
      <c r="D691" s="114" t="n"/>
      <c r="E691" s="115" t="n"/>
      <c r="F691" s="116">
        <f>IF($C691=0,0,$C691-$D691)</f>
        <v/>
      </c>
      <c r="G691" s="116">
        <f>IF($F691=0,0,$F691*$E691)</f>
        <v/>
      </c>
      <c r="H691" s="116">
        <f>$F691-$G691</f>
        <v/>
      </c>
      <c r="I691" s="112" t="n"/>
    </row>
    <row r="692" ht="15" customHeight="1" s="72">
      <c r="A692" s="112" t="n"/>
      <c r="B692" s="113" t="n"/>
      <c r="C692" s="114" t="n"/>
      <c r="D692" s="114" t="n"/>
      <c r="E692" s="115" t="n"/>
      <c r="F692" s="116">
        <f>IF($C692=0,0,$C692-$D692)</f>
        <v/>
      </c>
      <c r="G692" s="116">
        <f>IF($F692=0,0,$F692*$E692)</f>
        <v/>
      </c>
      <c r="H692" s="116">
        <f>$F692-$G692</f>
        <v/>
      </c>
      <c r="I692" s="112" t="n"/>
    </row>
    <row r="693" ht="15" customHeight="1" s="72">
      <c r="A693" s="112" t="n"/>
      <c r="B693" s="113" t="n"/>
      <c r="C693" s="114" t="n"/>
      <c r="D693" s="114" t="n"/>
      <c r="E693" s="115" t="n"/>
      <c r="F693" s="116">
        <f>IF($C693=0,0,$C693-$D693)</f>
        <v/>
      </c>
      <c r="G693" s="116">
        <f>IF($F693=0,0,$F693*$E693)</f>
        <v/>
      </c>
      <c r="H693" s="116">
        <f>$F693-$G693</f>
        <v/>
      </c>
      <c r="I693" s="112" t="n"/>
    </row>
    <row r="694" ht="15" customHeight="1" s="72">
      <c r="A694" s="112" t="n"/>
      <c r="B694" s="113" t="n"/>
      <c r="C694" s="114" t="n"/>
      <c r="D694" s="114" t="n"/>
      <c r="E694" s="115" t="n"/>
      <c r="F694" s="116">
        <f>IF($C694=0,0,$C694-$D694)</f>
        <v/>
      </c>
      <c r="G694" s="116">
        <f>IF($F694=0,0,$F694*$E694)</f>
        <v/>
      </c>
      <c r="H694" s="116">
        <f>$F694-$G694</f>
        <v/>
      </c>
      <c r="I694" s="112" t="n"/>
    </row>
    <row r="695" ht="15" customHeight="1" s="72">
      <c r="A695" s="112" t="n"/>
      <c r="B695" s="113" t="n"/>
      <c r="C695" s="114" t="n"/>
      <c r="D695" s="114" t="n"/>
      <c r="E695" s="115" t="n"/>
      <c r="F695" s="116">
        <f>IF($C695=0,0,$C695-$D695)</f>
        <v/>
      </c>
      <c r="G695" s="116">
        <f>IF($F695=0,0,$F695*$E695)</f>
        <v/>
      </c>
      <c r="H695" s="116">
        <f>$F695-$G695</f>
        <v/>
      </c>
      <c r="I695" s="112" t="n"/>
    </row>
    <row r="696" ht="15" customHeight="1" s="72">
      <c r="A696" s="112" t="n"/>
      <c r="B696" s="113" t="n"/>
      <c r="C696" s="114" t="n"/>
      <c r="D696" s="114" t="n"/>
      <c r="E696" s="115" t="n"/>
      <c r="F696" s="116">
        <f>IF($C696=0,0,$C696-$D696)</f>
        <v/>
      </c>
      <c r="G696" s="116">
        <f>IF($F696=0,0,$F696*$E696)</f>
        <v/>
      </c>
      <c r="H696" s="116">
        <f>$F696-$G696</f>
        <v/>
      </c>
      <c r="I696" s="112" t="n"/>
    </row>
    <row r="697" ht="15" customHeight="1" s="72">
      <c r="A697" s="112" t="n"/>
      <c r="B697" s="113" t="n"/>
      <c r="C697" s="114" t="n"/>
      <c r="D697" s="114" t="n"/>
      <c r="E697" s="115" t="n"/>
      <c r="F697" s="116">
        <f>IF($C697=0,0,$C697-$D697)</f>
        <v/>
      </c>
      <c r="G697" s="116">
        <f>IF($F697=0,0,$F697*$E697)</f>
        <v/>
      </c>
      <c r="H697" s="116">
        <f>$F697-$G697</f>
        <v/>
      </c>
      <c r="I697" s="112" t="n"/>
    </row>
    <row r="698" ht="15" customHeight="1" s="72">
      <c r="A698" s="112" t="n"/>
      <c r="B698" s="113" t="n"/>
      <c r="C698" s="114" t="n"/>
      <c r="D698" s="114" t="n"/>
      <c r="E698" s="115" t="n"/>
      <c r="F698" s="116">
        <f>IF($C698=0,0,$C698-$D698)</f>
        <v/>
      </c>
      <c r="G698" s="116">
        <f>IF($F698=0,0,$F698*$E698)</f>
        <v/>
      </c>
      <c r="H698" s="116">
        <f>$F698-$G698</f>
        <v/>
      </c>
      <c r="I698" s="112" t="n"/>
    </row>
    <row r="699" ht="15" customHeight="1" s="72">
      <c r="A699" s="112" t="n"/>
      <c r="B699" s="113" t="n"/>
      <c r="C699" s="114" t="n"/>
      <c r="D699" s="114" t="n"/>
      <c r="E699" s="115" t="n"/>
      <c r="F699" s="116">
        <f>IF($C699=0,0,$C699-$D699)</f>
        <v/>
      </c>
      <c r="G699" s="116">
        <f>IF($F699=0,0,$F699*$E699)</f>
        <v/>
      </c>
      <c r="H699" s="116">
        <f>$F699-$G699</f>
        <v/>
      </c>
      <c r="I699" s="112" t="n"/>
    </row>
    <row r="700" ht="15" customHeight="1" s="72">
      <c r="A700" s="112" t="n"/>
      <c r="B700" s="113" t="n"/>
      <c r="C700" s="114" t="n"/>
      <c r="D700" s="114" t="n"/>
      <c r="E700" s="115" t="n"/>
      <c r="F700" s="116">
        <f>IF($C700=0,0,$C700-$D700)</f>
        <v/>
      </c>
      <c r="G700" s="116">
        <f>IF($F700=0,0,$F700*$E700)</f>
        <v/>
      </c>
      <c r="H700" s="116">
        <f>$F700-$G700</f>
        <v/>
      </c>
      <c r="I700" s="112" t="n"/>
    </row>
    <row r="701" ht="15" customHeight="1" s="72">
      <c r="A701" s="112" t="n"/>
      <c r="B701" s="113" t="n"/>
      <c r="C701" s="114" t="n"/>
      <c r="D701" s="114" t="n"/>
      <c r="E701" s="115" t="n"/>
      <c r="F701" s="116">
        <f>IF($C701=0,0,$C701-$D701)</f>
        <v/>
      </c>
      <c r="G701" s="116">
        <f>IF($F701=0,0,$F701*$E701)</f>
        <v/>
      </c>
      <c r="H701" s="116">
        <f>$F701-$G701</f>
        <v/>
      </c>
      <c r="I701" s="112" t="n"/>
    </row>
    <row r="702" ht="15" customHeight="1" s="72">
      <c r="A702" s="112" t="n"/>
      <c r="B702" s="113" t="n"/>
      <c r="C702" s="114" t="n"/>
      <c r="D702" s="114" t="n"/>
      <c r="E702" s="115" t="n"/>
      <c r="F702" s="116">
        <f>IF($C702=0,0,$C702-$D702)</f>
        <v/>
      </c>
      <c r="G702" s="116">
        <f>IF($F702=0,0,$F702*$E702)</f>
        <v/>
      </c>
      <c r="H702" s="116">
        <f>$F702-$G702</f>
        <v/>
      </c>
      <c r="I702" s="112" t="n"/>
    </row>
    <row r="703" ht="15" customHeight="1" s="72">
      <c r="A703" s="112" t="n"/>
      <c r="B703" s="113" t="n"/>
      <c r="C703" s="114" t="n"/>
      <c r="D703" s="114" t="n"/>
      <c r="E703" s="115" t="n"/>
      <c r="F703" s="116">
        <f>IF($C703=0,0,$C703-$D703)</f>
        <v/>
      </c>
      <c r="G703" s="116">
        <f>IF($F703=0,0,$F703*$E703)</f>
        <v/>
      </c>
      <c r="H703" s="116">
        <f>$F703-$G703</f>
        <v/>
      </c>
      <c r="I703" s="112" t="n"/>
    </row>
    <row r="704" ht="15" customHeight="1" s="72">
      <c r="A704" s="112" t="n"/>
      <c r="B704" s="113" t="n"/>
      <c r="C704" s="114" t="n"/>
      <c r="D704" s="114" t="n"/>
      <c r="E704" s="115" t="n"/>
      <c r="F704" s="116">
        <f>IF($C704=0,0,$C704-$D704)</f>
        <v/>
      </c>
      <c r="G704" s="116">
        <f>IF($F704=0,0,$F704*$E704)</f>
        <v/>
      </c>
      <c r="H704" s="116">
        <f>$F704-$G704</f>
        <v/>
      </c>
      <c r="I704" s="112" t="n"/>
    </row>
    <row r="705" ht="15" customHeight="1" s="72">
      <c r="A705" s="112" t="n"/>
      <c r="B705" s="113" t="n"/>
      <c r="C705" s="114" t="n"/>
      <c r="D705" s="114" t="n"/>
      <c r="E705" s="115" t="n"/>
      <c r="F705" s="116">
        <f>IF($C705=0,0,$C705-$D705)</f>
        <v/>
      </c>
      <c r="G705" s="116">
        <f>IF($F705=0,0,$F705*$E705)</f>
        <v/>
      </c>
      <c r="H705" s="116">
        <f>$F705-$G705</f>
        <v/>
      </c>
      <c r="I705" s="112" t="n"/>
    </row>
    <row r="706" ht="15" customHeight="1" s="72">
      <c r="A706" s="112" t="n"/>
      <c r="B706" s="113" t="n"/>
      <c r="C706" s="114" t="n"/>
      <c r="D706" s="114" t="n"/>
      <c r="E706" s="115" t="n"/>
      <c r="F706" s="116">
        <f>IF($C706=0,0,$C706-$D706)</f>
        <v/>
      </c>
      <c r="G706" s="116">
        <f>IF($F706=0,0,$F706*$E706)</f>
        <v/>
      </c>
      <c r="H706" s="116">
        <f>$F706-$G706</f>
        <v/>
      </c>
      <c r="I706" s="112" t="n"/>
    </row>
    <row r="707" ht="15" customHeight="1" s="72">
      <c r="A707" s="112" t="n"/>
      <c r="B707" s="113" t="n"/>
      <c r="C707" s="114" t="n"/>
      <c r="D707" s="114" t="n"/>
      <c r="E707" s="115" t="n"/>
      <c r="F707" s="116">
        <f>IF($C707=0,0,$C707-$D707)</f>
        <v/>
      </c>
      <c r="G707" s="116">
        <f>IF($F707=0,0,$F707*$E707)</f>
        <v/>
      </c>
      <c r="H707" s="116">
        <f>$F707-$G707</f>
        <v/>
      </c>
      <c r="I707" s="112" t="n"/>
    </row>
    <row r="708" ht="15" customHeight="1" s="72">
      <c r="A708" s="112" t="n"/>
      <c r="B708" s="113" t="n"/>
      <c r="C708" s="114" t="n"/>
      <c r="D708" s="114" t="n"/>
      <c r="E708" s="115" t="n"/>
      <c r="F708" s="116">
        <f>IF($C708=0,0,$C708-$D708)</f>
        <v/>
      </c>
      <c r="G708" s="116">
        <f>IF($F708=0,0,$F708*$E708)</f>
        <v/>
      </c>
      <c r="H708" s="116">
        <f>$F708-$G708</f>
        <v/>
      </c>
      <c r="I708" s="112" t="n"/>
    </row>
    <row r="709" ht="15" customHeight="1" s="72">
      <c r="A709" s="112" t="n"/>
      <c r="B709" s="113" t="n"/>
      <c r="C709" s="114" t="n"/>
      <c r="D709" s="114" t="n"/>
      <c r="E709" s="115" t="n"/>
      <c r="F709" s="116">
        <f>IF($C709=0,0,$C709-$D709)</f>
        <v/>
      </c>
      <c r="G709" s="116">
        <f>IF($F709=0,0,$F709*$E709)</f>
        <v/>
      </c>
      <c r="H709" s="116">
        <f>$F709-$G709</f>
        <v/>
      </c>
      <c r="I709" s="112" t="n"/>
    </row>
    <row r="710" ht="15" customHeight="1" s="72">
      <c r="A710" s="112" t="n"/>
      <c r="B710" s="113" t="n"/>
      <c r="C710" s="114" t="n"/>
      <c r="D710" s="114" t="n"/>
      <c r="E710" s="115" t="n"/>
      <c r="F710" s="116">
        <f>IF($C710=0,0,$C710-$D710)</f>
        <v/>
      </c>
      <c r="G710" s="116">
        <f>IF($F710=0,0,$F710*$E710)</f>
        <v/>
      </c>
      <c r="H710" s="116">
        <f>$F710-$G710</f>
        <v/>
      </c>
      <c r="I710" s="112" t="n"/>
    </row>
    <row r="711" ht="15" customHeight="1" s="72">
      <c r="A711" s="112" t="n"/>
      <c r="B711" s="113" t="n"/>
      <c r="C711" s="114" t="n"/>
      <c r="D711" s="114" t="n"/>
      <c r="E711" s="115" t="n"/>
      <c r="F711" s="116">
        <f>IF($C711=0,0,$C711-$D711)</f>
        <v/>
      </c>
      <c r="G711" s="116">
        <f>IF($F711=0,0,$F711*$E711)</f>
        <v/>
      </c>
      <c r="H711" s="116">
        <f>$F711-$G711</f>
        <v/>
      </c>
      <c r="I711" s="112" t="n"/>
    </row>
    <row r="712" ht="15" customHeight="1" s="72">
      <c r="A712" s="112" t="n"/>
      <c r="B712" s="113" t="n"/>
      <c r="C712" s="114" t="n"/>
      <c r="D712" s="114" t="n"/>
      <c r="E712" s="115" t="n"/>
      <c r="F712" s="116">
        <f>IF($C712=0,0,$C712-$D712)</f>
        <v/>
      </c>
      <c r="G712" s="116">
        <f>IF($F712=0,0,$F712*$E712)</f>
        <v/>
      </c>
      <c r="H712" s="116">
        <f>$F712-$G712</f>
        <v/>
      </c>
      <c r="I712" s="112" t="n"/>
    </row>
    <row r="713" ht="15" customHeight="1" s="72">
      <c r="A713" s="112" t="n"/>
      <c r="B713" s="113" t="n"/>
      <c r="C713" s="114" t="n"/>
      <c r="D713" s="114" t="n"/>
      <c r="E713" s="115" t="n"/>
      <c r="F713" s="116">
        <f>IF($C713=0,0,$C713-$D713)</f>
        <v/>
      </c>
      <c r="G713" s="116">
        <f>IF($F713=0,0,$F713*$E713)</f>
        <v/>
      </c>
      <c r="H713" s="116">
        <f>$F713-$G713</f>
        <v/>
      </c>
      <c r="I713" s="112" t="n"/>
    </row>
    <row r="714" ht="15" customHeight="1" s="72">
      <c r="A714" s="112" t="n"/>
      <c r="B714" s="113" t="n"/>
      <c r="C714" s="114" t="n"/>
      <c r="D714" s="114" t="n"/>
      <c r="E714" s="115" t="n"/>
      <c r="F714" s="116">
        <f>IF($C714=0,0,$C714-$D714)</f>
        <v/>
      </c>
      <c r="G714" s="116">
        <f>IF($F714=0,0,$F714*$E714)</f>
        <v/>
      </c>
      <c r="H714" s="116">
        <f>$F714-$G714</f>
        <v/>
      </c>
      <c r="I714" s="112" t="n"/>
    </row>
    <row r="715" ht="15" customHeight="1" s="72">
      <c r="A715" s="112" t="n"/>
      <c r="B715" s="113" t="n"/>
      <c r="C715" s="114" t="n"/>
      <c r="D715" s="114" t="n"/>
      <c r="E715" s="115" t="n"/>
      <c r="F715" s="116">
        <f>IF($C715=0,0,$C715-$D715)</f>
        <v/>
      </c>
      <c r="G715" s="116">
        <f>IF($F715=0,0,$F715*$E715)</f>
        <v/>
      </c>
      <c r="H715" s="116">
        <f>$F715-$G715</f>
        <v/>
      </c>
      <c r="I715" s="112" t="n"/>
    </row>
    <row r="716" ht="15" customHeight="1" s="72">
      <c r="A716" s="112" t="n"/>
      <c r="B716" s="113" t="n"/>
      <c r="C716" s="114" t="n"/>
      <c r="D716" s="114" t="n"/>
      <c r="E716" s="115" t="n"/>
      <c r="F716" s="116">
        <f>IF($C716=0,0,$C716-$D716)</f>
        <v/>
      </c>
      <c r="G716" s="116">
        <f>IF($F716=0,0,$F716*$E716)</f>
        <v/>
      </c>
      <c r="H716" s="116">
        <f>$F716-$G716</f>
        <v/>
      </c>
      <c r="I716" s="112" t="n"/>
    </row>
    <row r="717" ht="15" customHeight="1" s="72">
      <c r="A717" s="112" t="n"/>
      <c r="B717" s="113" t="n"/>
      <c r="C717" s="114" t="n"/>
      <c r="D717" s="114" t="n"/>
      <c r="E717" s="115" t="n"/>
      <c r="F717" s="116">
        <f>IF($C717=0,0,$C717-$D717)</f>
        <v/>
      </c>
      <c r="G717" s="116">
        <f>IF($F717=0,0,$F717*$E717)</f>
        <v/>
      </c>
      <c r="H717" s="116">
        <f>$F717-$G717</f>
        <v/>
      </c>
      <c r="I717" s="112" t="n"/>
    </row>
    <row r="718" ht="15" customHeight="1" s="72">
      <c r="A718" s="112" t="n"/>
      <c r="B718" s="113" t="n"/>
      <c r="C718" s="114" t="n"/>
      <c r="D718" s="114" t="n"/>
      <c r="E718" s="115" t="n"/>
      <c r="F718" s="116">
        <f>IF($C718=0,0,$C718-$D718)</f>
        <v/>
      </c>
      <c r="G718" s="116">
        <f>IF($F718=0,0,$F718*$E718)</f>
        <v/>
      </c>
      <c r="H718" s="116">
        <f>$F718-$G718</f>
        <v/>
      </c>
      <c r="I718" s="112" t="n"/>
    </row>
    <row r="719" ht="15" customHeight="1" s="72">
      <c r="A719" s="112" t="n"/>
      <c r="B719" s="113" t="n"/>
      <c r="C719" s="114" t="n"/>
      <c r="D719" s="114" t="n"/>
      <c r="E719" s="115" t="n"/>
      <c r="F719" s="116">
        <f>IF($C719=0,0,$C719-$D719)</f>
        <v/>
      </c>
      <c r="G719" s="116">
        <f>IF($F719=0,0,$F719*$E719)</f>
        <v/>
      </c>
      <c r="H719" s="116">
        <f>$F719-$G719</f>
        <v/>
      </c>
      <c r="I719" s="112" t="n"/>
    </row>
    <row r="720" ht="15" customHeight="1" s="72">
      <c r="A720" s="112" t="n"/>
      <c r="B720" s="113" t="n"/>
      <c r="C720" s="114" t="n"/>
      <c r="D720" s="114" t="n"/>
      <c r="E720" s="115" t="n"/>
      <c r="F720" s="116">
        <f>IF($C720=0,0,$C720-$D720)</f>
        <v/>
      </c>
      <c r="G720" s="116">
        <f>IF($F720=0,0,$F720*$E720)</f>
        <v/>
      </c>
      <c r="H720" s="116">
        <f>$F720-$G720</f>
        <v/>
      </c>
      <c r="I720" s="112" t="n"/>
    </row>
    <row r="721" ht="15" customHeight="1" s="72">
      <c r="A721" s="112" t="n"/>
      <c r="B721" s="113" t="n"/>
      <c r="C721" s="114" t="n"/>
      <c r="D721" s="114" t="n"/>
      <c r="E721" s="115" t="n"/>
      <c r="F721" s="116">
        <f>IF($C721=0,0,$C721-$D721)</f>
        <v/>
      </c>
      <c r="G721" s="116">
        <f>IF($F721=0,0,$F721*$E721)</f>
        <v/>
      </c>
      <c r="H721" s="116">
        <f>$F721-$G721</f>
        <v/>
      </c>
      <c r="I721" s="112" t="n"/>
    </row>
    <row r="722" ht="15" customHeight="1" s="72">
      <c r="A722" s="112" t="n"/>
      <c r="B722" s="113" t="n"/>
      <c r="C722" s="114" t="n"/>
      <c r="D722" s="114" t="n"/>
      <c r="E722" s="115" t="n"/>
      <c r="F722" s="116">
        <f>IF($C722=0,0,$C722-$D722)</f>
        <v/>
      </c>
      <c r="G722" s="116">
        <f>IF($F722=0,0,$F722*$E722)</f>
        <v/>
      </c>
      <c r="H722" s="116">
        <f>$F722-$G722</f>
        <v/>
      </c>
      <c r="I722" s="112" t="n"/>
    </row>
    <row r="723" ht="15" customHeight="1" s="72">
      <c r="A723" s="112" t="n"/>
      <c r="B723" s="113" t="n"/>
      <c r="C723" s="114" t="n"/>
      <c r="D723" s="114" t="n"/>
      <c r="E723" s="115" t="n"/>
      <c r="F723" s="116">
        <f>IF($C723=0,0,$C723-$D723)</f>
        <v/>
      </c>
      <c r="G723" s="116">
        <f>IF($F723=0,0,$F723*$E723)</f>
        <v/>
      </c>
      <c r="H723" s="116">
        <f>$F723-$G723</f>
        <v/>
      </c>
      <c r="I723" s="112" t="n"/>
    </row>
    <row r="724" ht="15" customHeight="1" s="72">
      <c r="A724" s="112" t="n"/>
      <c r="B724" s="113" t="n"/>
      <c r="C724" s="114" t="n"/>
      <c r="D724" s="114" t="n"/>
      <c r="E724" s="115" t="n"/>
      <c r="F724" s="116">
        <f>IF($C724=0,0,$C724-$D724)</f>
        <v/>
      </c>
      <c r="G724" s="116">
        <f>IF($F724=0,0,$F724*$E724)</f>
        <v/>
      </c>
      <c r="H724" s="116">
        <f>$F724-$G724</f>
        <v/>
      </c>
      <c r="I724" s="112" t="n"/>
    </row>
    <row r="725" ht="15" customHeight="1" s="72">
      <c r="A725" s="112" t="n"/>
      <c r="B725" s="113" t="n"/>
      <c r="C725" s="114" t="n"/>
      <c r="D725" s="114" t="n"/>
      <c r="E725" s="115" t="n"/>
      <c r="F725" s="116">
        <f>IF($C725=0,0,$C725-$D725)</f>
        <v/>
      </c>
      <c r="G725" s="116">
        <f>IF($F725=0,0,$F725*$E725)</f>
        <v/>
      </c>
      <c r="H725" s="116">
        <f>$F725-$G725</f>
        <v/>
      </c>
      <c r="I725" s="112" t="n"/>
    </row>
    <row r="726" ht="15" customHeight="1" s="72">
      <c r="A726" s="112" t="n"/>
      <c r="B726" s="113" t="n"/>
      <c r="C726" s="114" t="n"/>
      <c r="D726" s="114" t="n"/>
      <c r="E726" s="115" t="n"/>
      <c r="F726" s="116">
        <f>IF($C726=0,0,$C726-$D726)</f>
        <v/>
      </c>
      <c r="G726" s="116">
        <f>IF($F726=0,0,$F726*$E726)</f>
        <v/>
      </c>
      <c r="H726" s="116">
        <f>$F726-$G726</f>
        <v/>
      </c>
      <c r="I726" s="112" t="n"/>
    </row>
    <row r="727" ht="15" customHeight="1" s="72">
      <c r="A727" s="112" t="n"/>
      <c r="B727" s="113" t="n"/>
      <c r="C727" s="114" t="n"/>
      <c r="D727" s="114" t="n"/>
      <c r="E727" s="115" t="n"/>
      <c r="F727" s="116">
        <f>IF($C727=0,0,$C727-$D727)</f>
        <v/>
      </c>
      <c r="G727" s="116">
        <f>IF($F727=0,0,$F727*$E727)</f>
        <v/>
      </c>
      <c r="H727" s="116">
        <f>$F727-$G727</f>
        <v/>
      </c>
      <c r="I727" s="112" t="n"/>
    </row>
    <row r="728" ht="15" customHeight="1" s="72">
      <c r="A728" s="112" t="n"/>
      <c r="B728" s="113" t="n"/>
      <c r="C728" s="114" t="n"/>
      <c r="D728" s="114" t="n"/>
      <c r="E728" s="115" t="n"/>
      <c r="F728" s="116">
        <f>IF($C728=0,0,$C728-$D728)</f>
        <v/>
      </c>
      <c r="G728" s="116">
        <f>IF($F728=0,0,$F728*$E728)</f>
        <v/>
      </c>
      <c r="H728" s="116">
        <f>$F728-$G728</f>
        <v/>
      </c>
      <c r="I728" s="112" t="n"/>
    </row>
    <row r="729" ht="15" customHeight="1" s="72">
      <c r="A729" s="112" t="n"/>
      <c r="B729" s="113" t="n"/>
      <c r="C729" s="114" t="n"/>
      <c r="D729" s="114" t="n"/>
      <c r="E729" s="115" t="n"/>
      <c r="F729" s="116">
        <f>IF($C729=0,0,$C729-$D729)</f>
        <v/>
      </c>
      <c r="G729" s="116">
        <f>IF($F729=0,0,$F729*$E729)</f>
        <v/>
      </c>
      <c r="H729" s="116">
        <f>$F729-$G729</f>
        <v/>
      </c>
      <c r="I729" s="112" t="n"/>
    </row>
    <row r="730" ht="15" customHeight="1" s="72">
      <c r="A730" s="112" t="n"/>
      <c r="B730" s="113" t="n"/>
      <c r="C730" s="114" t="n"/>
      <c r="D730" s="114" t="n"/>
      <c r="E730" s="115" t="n"/>
      <c r="F730" s="116">
        <f>IF($C730=0,0,$C730-$D730)</f>
        <v/>
      </c>
      <c r="G730" s="116">
        <f>IF($F730=0,0,$F730*$E730)</f>
        <v/>
      </c>
      <c r="H730" s="116">
        <f>$F730-$G730</f>
        <v/>
      </c>
      <c r="I730" s="112" t="n"/>
    </row>
    <row r="731" ht="15" customHeight="1" s="72">
      <c r="A731" s="112" t="n"/>
      <c r="B731" s="113" t="n"/>
      <c r="C731" s="114" t="n"/>
      <c r="D731" s="114" t="n"/>
      <c r="E731" s="115" t="n"/>
      <c r="F731" s="116">
        <f>IF($C731=0,0,$C731-$D731)</f>
        <v/>
      </c>
      <c r="G731" s="116">
        <f>IF($F731=0,0,$F731*$E731)</f>
        <v/>
      </c>
      <c r="H731" s="116">
        <f>$F731-$G731</f>
        <v/>
      </c>
      <c r="I731" s="112" t="n"/>
    </row>
    <row r="732" ht="15" customHeight="1" s="72">
      <c r="A732" s="112" t="n"/>
      <c r="B732" s="113" t="n"/>
      <c r="C732" s="114" t="n"/>
      <c r="D732" s="114" t="n"/>
      <c r="E732" s="115" t="n"/>
      <c r="F732" s="116">
        <f>IF($C732=0,0,$C732-$D732)</f>
        <v/>
      </c>
      <c r="G732" s="116">
        <f>IF($F732=0,0,$F732*$E732)</f>
        <v/>
      </c>
      <c r="H732" s="116">
        <f>$F732-$G732</f>
        <v/>
      </c>
      <c r="I732" s="112" t="n"/>
    </row>
    <row r="733" ht="15" customHeight="1" s="72">
      <c r="A733" s="112" t="n"/>
      <c r="B733" s="113" t="n"/>
      <c r="C733" s="114" t="n"/>
      <c r="D733" s="114" t="n"/>
      <c r="E733" s="115" t="n"/>
      <c r="F733" s="116">
        <f>IF($C733=0,0,$C733-$D733)</f>
        <v/>
      </c>
      <c r="G733" s="116">
        <f>IF($F733=0,0,$F733*$E733)</f>
        <v/>
      </c>
      <c r="H733" s="116">
        <f>$F733-$G733</f>
        <v/>
      </c>
      <c r="I733" s="112" t="n"/>
    </row>
    <row r="734" ht="15" customHeight="1" s="72">
      <c r="A734" s="112" t="n"/>
      <c r="B734" s="113" t="n"/>
      <c r="C734" s="114" t="n"/>
      <c r="D734" s="114" t="n"/>
      <c r="E734" s="115" t="n"/>
      <c r="F734" s="116">
        <f>IF($C734=0,0,$C734-$D734)</f>
        <v/>
      </c>
      <c r="G734" s="116">
        <f>IF($F734=0,0,$F734*$E734)</f>
        <v/>
      </c>
      <c r="H734" s="116">
        <f>$F734-$G734</f>
        <v/>
      </c>
      <c r="I734" s="112" t="n"/>
    </row>
    <row r="735" ht="15" customHeight="1" s="72">
      <c r="A735" s="112" t="n"/>
      <c r="B735" s="113" t="n"/>
      <c r="C735" s="114" t="n"/>
      <c r="D735" s="114" t="n"/>
      <c r="E735" s="115" t="n"/>
      <c r="F735" s="116">
        <f>IF($C735=0,0,$C735-$D735)</f>
        <v/>
      </c>
      <c r="G735" s="116">
        <f>IF($F735=0,0,$F735*$E735)</f>
        <v/>
      </c>
      <c r="H735" s="116">
        <f>$F735-$G735</f>
        <v/>
      </c>
      <c r="I735" s="112" t="n"/>
    </row>
    <row r="736" ht="15" customHeight="1" s="72">
      <c r="A736" s="112" t="n"/>
      <c r="B736" s="113" t="n"/>
      <c r="C736" s="114" t="n"/>
      <c r="D736" s="114" t="n"/>
      <c r="E736" s="115" t="n"/>
      <c r="F736" s="116">
        <f>IF($C736=0,0,$C736-$D736)</f>
        <v/>
      </c>
      <c r="G736" s="116">
        <f>IF($F736=0,0,$F736*$E736)</f>
        <v/>
      </c>
      <c r="H736" s="116">
        <f>$F736-$G736</f>
        <v/>
      </c>
      <c r="I736" s="112" t="n"/>
    </row>
    <row r="737" ht="15" customHeight="1" s="72">
      <c r="A737" s="112" t="n"/>
      <c r="B737" s="113" t="n"/>
      <c r="C737" s="114" t="n"/>
      <c r="D737" s="114" t="n"/>
      <c r="E737" s="115" t="n"/>
      <c r="F737" s="116">
        <f>IF($C737=0,0,$C737-$D737)</f>
        <v/>
      </c>
      <c r="G737" s="116">
        <f>IF($F737=0,0,$F737*$E737)</f>
        <v/>
      </c>
      <c r="H737" s="116">
        <f>$F737-$G737</f>
        <v/>
      </c>
      <c r="I737" s="112" t="n"/>
    </row>
    <row r="738" ht="15" customHeight="1" s="72">
      <c r="A738" s="112" t="n"/>
      <c r="B738" s="113" t="n"/>
      <c r="C738" s="114" t="n"/>
      <c r="D738" s="114" t="n"/>
      <c r="E738" s="115" t="n"/>
      <c r="F738" s="116">
        <f>IF($C738=0,0,$C738-$D738)</f>
        <v/>
      </c>
      <c r="G738" s="116">
        <f>IF($F738=0,0,$F738*$E738)</f>
        <v/>
      </c>
      <c r="H738" s="116">
        <f>$F738-$G738</f>
        <v/>
      </c>
      <c r="I738" s="112" t="n"/>
    </row>
    <row r="739" ht="15" customHeight="1" s="72">
      <c r="A739" s="112" t="n"/>
      <c r="B739" s="113" t="n"/>
      <c r="C739" s="114" t="n"/>
      <c r="D739" s="114" t="n"/>
      <c r="E739" s="115" t="n"/>
      <c r="F739" s="116">
        <f>IF($C739=0,0,$C739-$D739)</f>
        <v/>
      </c>
      <c r="G739" s="116">
        <f>IF($F739=0,0,$F739*$E739)</f>
        <v/>
      </c>
      <c r="H739" s="116">
        <f>$F739-$G739</f>
        <v/>
      </c>
      <c r="I739" s="112" t="n"/>
    </row>
    <row r="740" ht="15" customHeight="1" s="72">
      <c r="A740" s="112" t="n"/>
      <c r="B740" s="113" t="n"/>
      <c r="C740" s="114" t="n"/>
      <c r="D740" s="114" t="n"/>
      <c r="E740" s="115" t="n"/>
      <c r="F740" s="116">
        <f>IF($C740=0,0,$C740-$D740)</f>
        <v/>
      </c>
      <c r="G740" s="116">
        <f>IF($F740=0,0,$F740*$E740)</f>
        <v/>
      </c>
      <c r="H740" s="116">
        <f>$F740-$G740</f>
        <v/>
      </c>
      <c r="I740" s="112" t="n"/>
    </row>
    <row r="741" ht="15" customHeight="1" s="72">
      <c r="A741" s="112" t="n"/>
      <c r="B741" s="113" t="n"/>
      <c r="C741" s="114" t="n"/>
      <c r="D741" s="114" t="n"/>
      <c r="E741" s="115" t="n"/>
      <c r="F741" s="116">
        <f>IF($C741=0,0,$C741-$D741)</f>
        <v/>
      </c>
      <c r="G741" s="116">
        <f>IF($F741=0,0,$F741*$E741)</f>
        <v/>
      </c>
      <c r="H741" s="116">
        <f>$F741-$G741</f>
        <v/>
      </c>
      <c r="I741" s="112" t="n"/>
    </row>
    <row r="742" ht="15" customHeight="1" s="72">
      <c r="A742" s="112" t="n"/>
      <c r="B742" s="113" t="n"/>
      <c r="C742" s="114" t="n"/>
      <c r="D742" s="114" t="n"/>
      <c r="E742" s="115" t="n"/>
      <c r="F742" s="116">
        <f>IF($C742=0,0,$C742-$D742)</f>
        <v/>
      </c>
      <c r="G742" s="116">
        <f>IF($F742=0,0,$F742*$E742)</f>
        <v/>
      </c>
      <c r="H742" s="116">
        <f>$F742-$G742</f>
        <v/>
      </c>
      <c r="I742" s="112" t="n"/>
    </row>
    <row r="743" ht="15" customHeight="1" s="72">
      <c r="A743" s="112" t="n"/>
      <c r="B743" s="113" t="n"/>
      <c r="C743" s="114" t="n"/>
      <c r="D743" s="114" t="n"/>
      <c r="E743" s="115" t="n"/>
      <c r="F743" s="116">
        <f>IF($C743=0,0,$C743-$D743)</f>
        <v/>
      </c>
      <c r="G743" s="116">
        <f>IF($F743=0,0,$F743*$E743)</f>
        <v/>
      </c>
      <c r="H743" s="116">
        <f>$F743-$G743</f>
        <v/>
      </c>
      <c r="I743" s="112" t="n"/>
    </row>
    <row r="744" ht="15" customHeight="1" s="72">
      <c r="A744" s="112" t="n"/>
      <c r="B744" s="113" t="n"/>
      <c r="C744" s="114" t="n"/>
      <c r="D744" s="114" t="n"/>
      <c r="E744" s="115" t="n"/>
      <c r="F744" s="116">
        <f>IF($C744=0,0,$C744-$D744)</f>
        <v/>
      </c>
      <c r="G744" s="116">
        <f>IF($F744=0,0,$F744*$E744)</f>
        <v/>
      </c>
      <c r="H744" s="116">
        <f>$F744-$G744</f>
        <v/>
      </c>
      <c r="I744" s="112" t="n"/>
    </row>
    <row r="745" ht="15" customHeight="1" s="72">
      <c r="A745" s="112" t="n"/>
      <c r="B745" s="113" t="n"/>
      <c r="C745" s="114" t="n"/>
      <c r="D745" s="114" t="n"/>
      <c r="E745" s="115" t="n"/>
      <c r="F745" s="116">
        <f>IF($C745=0,0,$C745-$D745)</f>
        <v/>
      </c>
      <c r="G745" s="116">
        <f>IF($F745=0,0,$F745*$E745)</f>
        <v/>
      </c>
      <c r="H745" s="116">
        <f>$F745-$G745</f>
        <v/>
      </c>
      <c r="I745" s="112" t="n"/>
    </row>
    <row r="746" ht="15" customHeight="1" s="72">
      <c r="A746" s="112" t="n"/>
      <c r="B746" s="113" t="n"/>
      <c r="C746" s="114" t="n"/>
      <c r="D746" s="114" t="n"/>
      <c r="E746" s="115" t="n"/>
      <c r="F746" s="116">
        <f>IF($C746=0,0,$C746-$D746)</f>
        <v/>
      </c>
      <c r="G746" s="116">
        <f>IF($F746=0,0,$F746*$E746)</f>
        <v/>
      </c>
      <c r="H746" s="116">
        <f>$F746-$G746</f>
        <v/>
      </c>
      <c r="I746" s="112" t="n"/>
    </row>
    <row r="747" ht="15" customHeight="1" s="72">
      <c r="A747" s="112" t="n"/>
      <c r="B747" s="113" t="n"/>
      <c r="C747" s="114" t="n"/>
      <c r="D747" s="114" t="n"/>
      <c r="E747" s="115" t="n"/>
      <c r="F747" s="116">
        <f>IF($C747=0,0,$C747-$D747)</f>
        <v/>
      </c>
      <c r="G747" s="116">
        <f>IF($F747=0,0,$F747*$E747)</f>
        <v/>
      </c>
      <c r="H747" s="116">
        <f>$F747-$G747</f>
        <v/>
      </c>
      <c r="I747" s="112" t="n"/>
    </row>
    <row r="748" ht="15" customHeight="1" s="72">
      <c r="A748" s="112" t="n"/>
      <c r="B748" s="113" t="n"/>
      <c r="C748" s="114" t="n"/>
      <c r="D748" s="114" t="n"/>
      <c r="E748" s="115" t="n"/>
      <c r="F748" s="116">
        <f>IF($C748=0,0,$C748-$D748)</f>
        <v/>
      </c>
      <c r="G748" s="116">
        <f>IF($F748=0,0,$F748*$E748)</f>
        <v/>
      </c>
      <c r="H748" s="116">
        <f>$F748-$G748</f>
        <v/>
      </c>
      <c r="I748" s="112" t="n"/>
    </row>
    <row r="749" ht="15" customHeight="1" s="72">
      <c r="A749" s="112" t="n"/>
      <c r="B749" s="113" t="n"/>
      <c r="C749" s="114" t="n"/>
      <c r="D749" s="114" t="n"/>
      <c r="E749" s="115" t="n"/>
      <c r="F749" s="116">
        <f>IF($C749=0,0,$C749-$D749)</f>
        <v/>
      </c>
      <c r="G749" s="116">
        <f>IF($F749=0,0,$F749*$E749)</f>
        <v/>
      </c>
      <c r="H749" s="116">
        <f>$F749-$G749</f>
        <v/>
      </c>
      <c r="I749" s="112" t="n"/>
    </row>
    <row r="750" ht="15" customHeight="1" s="72">
      <c r="A750" s="112" t="n"/>
      <c r="B750" s="113" t="n"/>
      <c r="C750" s="114" t="n"/>
      <c r="D750" s="114" t="n"/>
      <c r="E750" s="115" t="n"/>
      <c r="F750" s="116">
        <f>IF($C750=0,0,$C750-$D750)</f>
        <v/>
      </c>
      <c r="G750" s="116">
        <f>IF($F750=0,0,$F750*$E750)</f>
        <v/>
      </c>
      <c r="H750" s="116">
        <f>$F750-$G750</f>
        <v/>
      </c>
      <c r="I750" s="112" t="n"/>
    </row>
    <row r="751" ht="15" customHeight="1" s="72">
      <c r="A751" s="112" t="n"/>
      <c r="B751" s="113" t="n"/>
      <c r="C751" s="114" t="n"/>
      <c r="D751" s="114" t="n"/>
      <c r="E751" s="115" t="n"/>
      <c r="F751" s="116">
        <f>IF($C751=0,0,$C751-$D751)</f>
        <v/>
      </c>
      <c r="G751" s="116">
        <f>IF($F751=0,0,$F751*$E751)</f>
        <v/>
      </c>
      <c r="H751" s="116">
        <f>$F751-$G751</f>
        <v/>
      </c>
      <c r="I751" s="112" t="n"/>
    </row>
    <row r="752" ht="15" customHeight="1" s="72">
      <c r="A752" s="112" t="n"/>
      <c r="B752" s="113" t="n"/>
      <c r="C752" s="114" t="n"/>
      <c r="D752" s="114" t="n"/>
      <c r="E752" s="115" t="n"/>
      <c r="F752" s="116">
        <f>IF($C752=0,0,$C752-$D752)</f>
        <v/>
      </c>
      <c r="G752" s="116">
        <f>IF($F752=0,0,$F752*$E752)</f>
        <v/>
      </c>
      <c r="H752" s="116">
        <f>$F752-$G752</f>
        <v/>
      </c>
      <c r="I752" s="112" t="n"/>
    </row>
    <row r="753" ht="15" customHeight="1" s="72">
      <c r="A753" s="112" t="n"/>
      <c r="B753" s="113" t="n"/>
      <c r="C753" s="114" t="n"/>
      <c r="D753" s="114" t="n"/>
      <c r="E753" s="115" t="n"/>
      <c r="F753" s="116">
        <f>IF($C753=0,0,$C753-$D753)</f>
        <v/>
      </c>
      <c r="G753" s="116">
        <f>IF($F753=0,0,$F753*$E753)</f>
        <v/>
      </c>
      <c r="H753" s="116">
        <f>$F753-$G753</f>
        <v/>
      </c>
      <c r="I753" s="112" t="n"/>
    </row>
    <row r="754" ht="15" customHeight="1" s="72">
      <c r="A754" s="112" t="n"/>
      <c r="B754" s="113" t="n"/>
      <c r="C754" s="114" t="n"/>
      <c r="D754" s="114" t="n"/>
      <c r="E754" s="115" t="n"/>
      <c r="F754" s="116">
        <f>IF($C754=0,0,$C754-$D754)</f>
        <v/>
      </c>
      <c r="G754" s="116">
        <f>IF($F754=0,0,$F754*$E754)</f>
        <v/>
      </c>
      <c r="H754" s="116">
        <f>$F754-$G754</f>
        <v/>
      </c>
      <c r="I754" s="112" t="n"/>
    </row>
    <row r="755" ht="15" customHeight="1" s="72">
      <c r="A755" s="112" t="n"/>
      <c r="B755" s="113" t="n"/>
      <c r="C755" s="114" t="n"/>
      <c r="D755" s="114" t="n"/>
      <c r="E755" s="115" t="n"/>
      <c r="F755" s="116">
        <f>IF($C755=0,0,$C755-$D755)</f>
        <v/>
      </c>
      <c r="G755" s="116">
        <f>IF($F755=0,0,$F755*$E755)</f>
        <v/>
      </c>
      <c r="H755" s="116">
        <f>$F755-$G755</f>
        <v/>
      </c>
      <c r="I755" s="112" t="n"/>
    </row>
    <row r="756" ht="15" customHeight="1" s="72">
      <c r="A756" s="112" t="n"/>
      <c r="B756" s="113" t="n"/>
      <c r="C756" s="114" t="n"/>
      <c r="D756" s="114" t="n"/>
      <c r="E756" s="115" t="n"/>
      <c r="F756" s="116">
        <f>IF($C756=0,0,$C756-$D756)</f>
        <v/>
      </c>
      <c r="G756" s="116">
        <f>IF($F756=0,0,$F756*$E756)</f>
        <v/>
      </c>
      <c r="H756" s="116">
        <f>$F756-$G756</f>
        <v/>
      </c>
      <c r="I756" s="112" t="n"/>
    </row>
    <row r="757" ht="15" customHeight="1" s="72">
      <c r="A757" s="112" t="n"/>
      <c r="B757" s="113" t="n"/>
      <c r="C757" s="114" t="n"/>
      <c r="D757" s="114" t="n"/>
      <c r="E757" s="115" t="n"/>
      <c r="F757" s="116">
        <f>IF($C757=0,0,$C757-$D757)</f>
        <v/>
      </c>
      <c r="G757" s="116">
        <f>IF($F757=0,0,$F757*$E757)</f>
        <v/>
      </c>
      <c r="H757" s="116">
        <f>$F757-$G757</f>
        <v/>
      </c>
      <c r="I757" s="112" t="n"/>
    </row>
    <row r="758" ht="15" customHeight="1" s="72">
      <c r="A758" s="112" t="n"/>
      <c r="B758" s="113" t="n"/>
      <c r="C758" s="114" t="n"/>
      <c r="D758" s="114" t="n"/>
      <c r="E758" s="115" t="n"/>
      <c r="F758" s="116">
        <f>IF($C758=0,0,$C758-$D758)</f>
        <v/>
      </c>
      <c r="G758" s="116">
        <f>IF($F758=0,0,$F758*$E758)</f>
        <v/>
      </c>
      <c r="H758" s="116">
        <f>$F758-$G758</f>
        <v/>
      </c>
      <c r="I758" s="112" t="n"/>
    </row>
    <row r="759" ht="15" customHeight="1" s="72">
      <c r="A759" s="112" t="n"/>
      <c r="B759" s="113" t="n"/>
      <c r="C759" s="114" t="n"/>
      <c r="D759" s="114" t="n"/>
      <c r="E759" s="115" t="n"/>
      <c r="F759" s="116">
        <f>IF($C759=0,0,$C759-$D759)</f>
        <v/>
      </c>
      <c r="G759" s="116">
        <f>IF($F759=0,0,$F759*$E759)</f>
        <v/>
      </c>
      <c r="H759" s="116">
        <f>$F759-$G759</f>
        <v/>
      </c>
      <c r="I759" s="112" t="n"/>
    </row>
    <row r="760" ht="15" customHeight="1" s="72">
      <c r="A760" s="112" t="n"/>
      <c r="B760" s="113" t="n"/>
      <c r="C760" s="114" t="n"/>
      <c r="D760" s="114" t="n"/>
      <c r="E760" s="115" t="n"/>
      <c r="F760" s="116">
        <f>IF($C760=0,0,$C760-$D760)</f>
        <v/>
      </c>
      <c r="G760" s="116">
        <f>IF($F760=0,0,$F760*$E760)</f>
        <v/>
      </c>
      <c r="H760" s="116">
        <f>$F760-$G760</f>
        <v/>
      </c>
      <c r="I760" s="112" t="n"/>
    </row>
    <row r="761" ht="15" customHeight="1" s="72">
      <c r="A761" s="112" t="n"/>
      <c r="B761" s="113" t="n"/>
      <c r="C761" s="114" t="n"/>
      <c r="D761" s="114" t="n"/>
      <c r="E761" s="115" t="n"/>
      <c r="F761" s="116">
        <f>IF($C761=0,0,$C761-$D761)</f>
        <v/>
      </c>
      <c r="G761" s="116">
        <f>IF($F761=0,0,$F761*$E761)</f>
        <v/>
      </c>
      <c r="H761" s="116">
        <f>$F761-$G761</f>
        <v/>
      </c>
      <c r="I761" s="112" t="n"/>
    </row>
    <row r="762" ht="15" customHeight="1" s="72">
      <c r="A762" s="112" t="n"/>
      <c r="B762" s="113" t="n"/>
      <c r="C762" s="114" t="n"/>
      <c r="D762" s="114" t="n"/>
      <c r="E762" s="115" t="n"/>
      <c r="F762" s="116">
        <f>IF($C762=0,0,$C762-$D762)</f>
        <v/>
      </c>
      <c r="G762" s="116">
        <f>IF($F762=0,0,$F762*$E762)</f>
        <v/>
      </c>
      <c r="H762" s="116">
        <f>$F762-$G762</f>
        <v/>
      </c>
      <c r="I762" s="112" t="n"/>
    </row>
    <row r="763" ht="15" customHeight="1" s="72">
      <c r="A763" s="112" t="n"/>
      <c r="B763" s="113" t="n"/>
      <c r="C763" s="114" t="n"/>
      <c r="D763" s="114" t="n"/>
      <c r="E763" s="115" t="n"/>
      <c r="F763" s="116">
        <f>IF($C763=0,0,$C763-$D763)</f>
        <v/>
      </c>
      <c r="G763" s="116">
        <f>IF($F763=0,0,$F763*$E763)</f>
        <v/>
      </c>
      <c r="H763" s="116">
        <f>$F763-$G763</f>
        <v/>
      </c>
      <c r="I763" s="112" t="n"/>
    </row>
    <row r="764" ht="15" customHeight="1" s="72">
      <c r="A764" s="112" t="n"/>
      <c r="B764" s="113" t="n"/>
      <c r="C764" s="114" t="n"/>
      <c r="D764" s="114" t="n"/>
      <c r="E764" s="115" t="n"/>
      <c r="F764" s="116">
        <f>IF($C764=0,0,$C764-$D764)</f>
        <v/>
      </c>
      <c r="G764" s="116">
        <f>IF($F764=0,0,$F764*$E764)</f>
        <v/>
      </c>
      <c r="H764" s="116">
        <f>$F764-$G764</f>
        <v/>
      </c>
      <c r="I764" s="112" t="n"/>
    </row>
    <row r="765" ht="15" customHeight="1" s="72">
      <c r="A765" s="112" t="n"/>
      <c r="B765" s="113" t="n"/>
      <c r="C765" s="114" t="n"/>
      <c r="D765" s="114" t="n"/>
      <c r="E765" s="115" t="n"/>
      <c r="F765" s="116">
        <f>IF($C765=0,0,$C765-$D765)</f>
        <v/>
      </c>
      <c r="G765" s="116">
        <f>IF($F765=0,0,$F765*$E765)</f>
        <v/>
      </c>
      <c r="H765" s="116">
        <f>$F765-$G765</f>
        <v/>
      </c>
      <c r="I765" s="112" t="n"/>
    </row>
    <row r="766" ht="15" customHeight="1" s="72">
      <c r="A766" s="112" t="n"/>
      <c r="B766" s="113" t="n"/>
      <c r="C766" s="114" t="n"/>
      <c r="D766" s="114" t="n"/>
      <c r="E766" s="115" t="n"/>
      <c r="F766" s="116">
        <f>IF($C766=0,0,$C766-$D766)</f>
        <v/>
      </c>
      <c r="G766" s="116">
        <f>IF($F766=0,0,$F766*$E766)</f>
        <v/>
      </c>
      <c r="H766" s="116">
        <f>$F766-$G766</f>
        <v/>
      </c>
      <c r="I766" s="112" t="n"/>
    </row>
    <row r="767" ht="15" customHeight="1" s="72">
      <c r="A767" s="112" t="n"/>
      <c r="B767" s="113" t="n"/>
      <c r="C767" s="114" t="n"/>
      <c r="D767" s="114" t="n"/>
      <c r="E767" s="115" t="n"/>
      <c r="F767" s="116">
        <f>IF($C767=0,0,$C767-$D767)</f>
        <v/>
      </c>
      <c r="G767" s="116">
        <f>IF($F767=0,0,$F767*$E767)</f>
        <v/>
      </c>
      <c r="H767" s="116">
        <f>$F767-$G767</f>
        <v/>
      </c>
      <c r="I767" s="112" t="n"/>
    </row>
    <row r="768" ht="15" customHeight="1" s="72">
      <c r="A768" s="112" t="n"/>
      <c r="B768" s="113" t="n"/>
      <c r="C768" s="114" t="n"/>
      <c r="D768" s="114" t="n"/>
      <c r="E768" s="115" t="n"/>
      <c r="F768" s="116">
        <f>IF($C768=0,0,$C768-$D768)</f>
        <v/>
      </c>
      <c r="G768" s="116">
        <f>IF($F768=0,0,$F768*$E768)</f>
        <v/>
      </c>
      <c r="H768" s="116">
        <f>$F768-$G768</f>
        <v/>
      </c>
      <c r="I768" s="112" t="n"/>
    </row>
    <row r="769" ht="15" customHeight="1" s="72">
      <c r="A769" s="112" t="n"/>
      <c r="B769" s="113" t="n"/>
      <c r="C769" s="114" t="n"/>
      <c r="D769" s="114" t="n"/>
      <c r="E769" s="115" t="n"/>
      <c r="F769" s="116">
        <f>IF($C769=0,0,$C769-$D769)</f>
        <v/>
      </c>
      <c r="G769" s="116">
        <f>IF($F769=0,0,$F769*$E769)</f>
        <v/>
      </c>
      <c r="H769" s="116">
        <f>$F769-$G769</f>
        <v/>
      </c>
      <c r="I769" s="112" t="n"/>
    </row>
    <row r="770" ht="15" customHeight="1" s="72">
      <c r="A770" s="112" t="n"/>
      <c r="B770" s="113" t="n"/>
      <c r="C770" s="114" t="n"/>
      <c r="D770" s="114" t="n"/>
      <c r="E770" s="115" t="n"/>
      <c r="F770" s="116">
        <f>IF($C770=0,0,$C770-$D770)</f>
        <v/>
      </c>
      <c r="G770" s="116">
        <f>IF($F770=0,0,$F770*$E770)</f>
        <v/>
      </c>
      <c r="H770" s="116">
        <f>$F770-$G770</f>
        <v/>
      </c>
      <c r="I770" s="112" t="n"/>
    </row>
    <row r="771" ht="15" customHeight="1" s="72">
      <c r="A771" s="112" t="n"/>
      <c r="B771" s="113" t="n"/>
      <c r="C771" s="114" t="n"/>
      <c r="D771" s="114" t="n"/>
      <c r="E771" s="115" t="n"/>
      <c r="F771" s="116">
        <f>IF($C771=0,0,$C771-$D771)</f>
        <v/>
      </c>
      <c r="G771" s="116">
        <f>IF($F771=0,0,$F771*$E771)</f>
        <v/>
      </c>
      <c r="H771" s="116">
        <f>$F771-$G771</f>
        <v/>
      </c>
      <c r="I771" s="112" t="n"/>
    </row>
    <row r="772" ht="15" customHeight="1" s="72">
      <c r="A772" s="112" t="n"/>
      <c r="B772" s="113" t="n"/>
      <c r="C772" s="114" t="n"/>
      <c r="D772" s="114" t="n"/>
      <c r="E772" s="115" t="n"/>
      <c r="F772" s="116">
        <f>IF($C772=0,0,$C772-$D772)</f>
        <v/>
      </c>
      <c r="G772" s="116">
        <f>IF($F772=0,0,$F772*$E772)</f>
        <v/>
      </c>
      <c r="H772" s="116">
        <f>$F772-$G772</f>
        <v/>
      </c>
      <c r="I772" s="112" t="n"/>
    </row>
    <row r="773" ht="15" customHeight="1" s="72">
      <c r="A773" s="112" t="n"/>
      <c r="B773" s="113" t="n"/>
      <c r="C773" s="114" t="n"/>
      <c r="D773" s="114" t="n"/>
      <c r="E773" s="115" t="n"/>
      <c r="F773" s="116">
        <f>IF($C773=0,0,$C773-$D773)</f>
        <v/>
      </c>
      <c r="G773" s="116">
        <f>IF($F773=0,0,$F773*$E773)</f>
        <v/>
      </c>
      <c r="H773" s="116">
        <f>$F773-$G773</f>
        <v/>
      </c>
      <c r="I773" s="112" t="n"/>
    </row>
    <row r="774" ht="15" customHeight="1" s="72">
      <c r="A774" s="112" t="n"/>
      <c r="B774" s="113" t="n"/>
      <c r="C774" s="114" t="n"/>
      <c r="D774" s="114" t="n"/>
      <c r="E774" s="115" t="n"/>
      <c r="F774" s="116">
        <f>IF($C774=0,0,$C774-$D774)</f>
        <v/>
      </c>
      <c r="G774" s="116">
        <f>IF($F774=0,0,$F774*$E774)</f>
        <v/>
      </c>
      <c r="H774" s="116">
        <f>$F774-$G774</f>
        <v/>
      </c>
      <c r="I774" s="112" t="n"/>
    </row>
    <row r="775" ht="15" customHeight="1" s="72">
      <c r="A775" s="112" t="n"/>
      <c r="B775" s="113" t="n"/>
      <c r="C775" s="114" t="n"/>
      <c r="D775" s="114" t="n"/>
      <c r="E775" s="115" t="n"/>
      <c r="F775" s="116">
        <f>IF($C775=0,0,$C775-$D775)</f>
        <v/>
      </c>
      <c r="G775" s="116">
        <f>IF($F775=0,0,$F775*$E775)</f>
        <v/>
      </c>
      <c r="H775" s="116">
        <f>$F775-$G775</f>
        <v/>
      </c>
      <c r="I775" s="112" t="n"/>
    </row>
    <row r="776" ht="15" customHeight="1" s="72">
      <c r="A776" s="112" t="n"/>
      <c r="B776" s="113" t="n"/>
      <c r="C776" s="114" t="n"/>
      <c r="D776" s="114" t="n"/>
      <c r="E776" s="115" t="n"/>
      <c r="F776" s="116">
        <f>IF($C776=0,0,$C776-$D776)</f>
        <v/>
      </c>
      <c r="G776" s="116">
        <f>IF($F776=0,0,$F776*$E776)</f>
        <v/>
      </c>
      <c r="H776" s="116">
        <f>$F776-$G776</f>
        <v/>
      </c>
      <c r="I776" s="112" t="n"/>
    </row>
    <row r="777" ht="15" customHeight="1" s="72">
      <c r="A777" s="112" t="n"/>
      <c r="B777" s="113" t="n"/>
      <c r="C777" s="114" t="n"/>
      <c r="D777" s="114" t="n"/>
      <c r="E777" s="115" t="n"/>
      <c r="F777" s="116">
        <f>IF($C777=0,0,$C777-$D777)</f>
        <v/>
      </c>
      <c r="G777" s="116">
        <f>IF($F777=0,0,$F777*$E777)</f>
        <v/>
      </c>
      <c r="H777" s="116">
        <f>$F777-$G777</f>
        <v/>
      </c>
      <c r="I777" s="112" t="n"/>
    </row>
    <row r="778" ht="15" customHeight="1" s="72">
      <c r="A778" s="112" t="n"/>
      <c r="B778" s="113" t="n"/>
      <c r="C778" s="114" t="n"/>
      <c r="D778" s="114" t="n"/>
      <c r="E778" s="115" t="n"/>
      <c r="F778" s="116">
        <f>IF($C778=0,0,$C778-$D778)</f>
        <v/>
      </c>
      <c r="G778" s="116">
        <f>IF($F778=0,0,$F778*$E778)</f>
        <v/>
      </c>
      <c r="H778" s="116">
        <f>$F778-$G778</f>
        <v/>
      </c>
      <c r="I778" s="112" t="n"/>
    </row>
    <row r="779" ht="15" customHeight="1" s="72">
      <c r="A779" s="112" t="n"/>
      <c r="B779" s="113" t="n"/>
      <c r="C779" s="114" t="n"/>
      <c r="D779" s="114" t="n"/>
      <c r="E779" s="115" t="n"/>
      <c r="F779" s="116">
        <f>IF($C779=0,0,$C779-$D779)</f>
        <v/>
      </c>
      <c r="G779" s="116">
        <f>IF($F779=0,0,$F779*$E779)</f>
        <v/>
      </c>
      <c r="H779" s="116">
        <f>$F779-$G779</f>
        <v/>
      </c>
      <c r="I779" s="112" t="n"/>
    </row>
    <row r="780" ht="15" customHeight="1" s="72">
      <c r="A780" s="112" t="n"/>
      <c r="B780" s="113" t="n"/>
      <c r="C780" s="114" t="n"/>
      <c r="D780" s="114" t="n"/>
      <c r="E780" s="115" t="n"/>
      <c r="F780" s="116">
        <f>IF($C780=0,0,$C780-$D780)</f>
        <v/>
      </c>
      <c r="G780" s="116">
        <f>IF($F780=0,0,$F780*$E780)</f>
        <v/>
      </c>
      <c r="H780" s="116">
        <f>$F780-$G780</f>
        <v/>
      </c>
      <c r="I780" s="112" t="n"/>
    </row>
    <row r="781" ht="15" customHeight="1" s="72">
      <c r="A781" s="112" t="n"/>
      <c r="B781" s="113" t="n"/>
      <c r="C781" s="114" t="n"/>
      <c r="D781" s="114" t="n"/>
      <c r="E781" s="115" t="n"/>
      <c r="F781" s="116">
        <f>IF($C781=0,0,$C781-$D781)</f>
        <v/>
      </c>
      <c r="G781" s="116">
        <f>IF($F781=0,0,$F781*$E781)</f>
        <v/>
      </c>
      <c r="H781" s="116">
        <f>$F781-$G781</f>
        <v/>
      </c>
      <c r="I781" s="112" t="n"/>
    </row>
    <row r="782" ht="15" customHeight="1" s="72">
      <c r="A782" s="112" t="n"/>
      <c r="B782" s="113" t="n"/>
      <c r="C782" s="114" t="n"/>
      <c r="D782" s="114" t="n"/>
      <c r="E782" s="115" t="n"/>
      <c r="F782" s="116">
        <f>IF($C782=0,0,$C782-$D782)</f>
        <v/>
      </c>
      <c r="G782" s="116">
        <f>IF($F782=0,0,$F782*$E782)</f>
        <v/>
      </c>
      <c r="H782" s="116">
        <f>$F782-$G782</f>
        <v/>
      </c>
      <c r="I782" s="112" t="n"/>
    </row>
    <row r="783" ht="15" customHeight="1" s="72">
      <c r="A783" s="112" t="n"/>
      <c r="B783" s="113" t="n"/>
      <c r="C783" s="114" t="n"/>
      <c r="D783" s="114" t="n"/>
      <c r="E783" s="115" t="n"/>
      <c r="F783" s="116">
        <f>IF($C783=0,0,$C783-$D783)</f>
        <v/>
      </c>
      <c r="G783" s="116">
        <f>IF($F783=0,0,$F783*$E783)</f>
        <v/>
      </c>
      <c r="H783" s="116">
        <f>$F783-$G783</f>
        <v/>
      </c>
      <c r="I783" s="112" t="n"/>
    </row>
    <row r="784" ht="15" customHeight="1" s="72">
      <c r="A784" s="112" t="n"/>
      <c r="B784" s="113" t="n"/>
      <c r="C784" s="114" t="n"/>
      <c r="D784" s="114" t="n"/>
      <c r="E784" s="115" t="n"/>
      <c r="F784" s="116">
        <f>IF($C784=0,0,$C784-$D784)</f>
        <v/>
      </c>
      <c r="G784" s="116">
        <f>IF($F784=0,0,$F784*$E784)</f>
        <v/>
      </c>
      <c r="H784" s="116">
        <f>$F784-$G784</f>
        <v/>
      </c>
      <c r="I784" s="112" t="n"/>
    </row>
    <row r="785" ht="15" customHeight="1" s="72">
      <c r="A785" s="112" t="n"/>
      <c r="B785" s="113" t="n"/>
      <c r="C785" s="114" t="n"/>
      <c r="D785" s="114" t="n"/>
      <c r="E785" s="115" t="n"/>
      <c r="F785" s="116">
        <f>IF($C785=0,0,$C785-$D785)</f>
        <v/>
      </c>
      <c r="G785" s="116">
        <f>IF($F785=0,0,$F785*$E785)</f>
        <v/>
      </c>
      <c r="H785" s="116">
        <f>$F785-$G785</f>
        <v/>
      </c>
      <c r="I785" s="112" t="n"/>
    </row>
    <row r="786" ht="15" customHeight="1" s="72">
      <c r="A786" s="112" t="n"/>
      <c r="B786" s="113" t="n"/>
      <c r="C786" s="114" t="n"/>
      <c r="D786" s="114" t="n"/>
      <c r="E786" s="115" t="n"/>
      <c r="F786" s="116">
        <f>IF($C786=0,0,$C786-$D786)</f>
        <v/>
      </c>
      <c r="G786" s="116">
        <f>IF($F786=0,0,$F786*$E786)</f>
        <v/>
      </c>
      <c r="H786" s="116">
        <f>$F786-$G786</f>
        <v/>
      </c>
      <c r="I786" s="112" t="n"/>
    </row>
    <row r="787" ht="15" customHeight="1" s="72">
      <c r="A787" s="112" t="n"/>
      <c r="B787" s="113" t="n"/>
      <c r="C787" s="114" t="n"/>
      <c r="D787" s="114" t="n"/>
      <c r="E787" s="115" t="n"/>
      <c r="F787" s="116">
        <f>IF($C787=0,0,$C787-$D787)</f>
        <v/>
      </c>
      <c r="G787" s="116">
        <f>IF($F787=0,0,$F787*$E787)</f>
        <v/>
      </c>
      <c r="H787" s="116">
        <f>$F787-$G787</f>
        <v/>
      </c>
      <c r="I787" s="112" t="n"/>
    </row>
    <row r="788" ht="15" customHeight="1" s="72">
      <c r="A788" s="112" t="n"/>
      <c r="B788" s="113" t="n"/>
      <c r="C788" s="114" t="n"/>
      <c r="D788" s="114" t="n"/>
      <c r="E788" s="115" t="n"/>
      <c r="F788" s="116">
        <f>IF($C788=0,0,$C788-$D788)</f>
        <v/>
      </c>
      <c r="G788" s="116">
        <f>IF($F788=0,0,$F788*$E788)</f>
        <v/>
      </c>
      <c r="H788" s="116">
        <f>$F788-$G788</f>
        <v/>
      </c>
      <c r="I788" s="112" t="n"/>
    </row>
    <row r="789" ht="15" customHeight="1" s="72">
      <c r="A789" s="112" t="n"/>
      <c r="B789" s="113" t="n"/>
      <c r="C789" s="114" t="n"/>
      <c r="D789" s="114" t="n"/>
      <c r="E789" s="115" t="n"/>
      <c r="F789" s="116">
        <f>IF($C789=0,0,$C789-$D789)</f>
        <v/>
      </c>
      <c r="G789" s="116">
        <f>IF($F789=0,0,$F789*$E789)</f>
        <v/>
      </c>
      <c r="H789" s="116">
        <f>$F789-$G789</f>
        <v/>
      </c>
      <c r="I789" s="112" t="n"/>
    </row>
    <row r="790" ht="15" customHeight="1" s="72">
      <c r="A790" s="112" t="n"/>
      <c r="B790" s="113" t="n"/>
      <c r="C790" s="114" t="n"/>
      <c r="D790" s="114" t="n"/>
      <c r="E790" s="115" t="n"/>
      <c r="F790" s="116">
        <f>IF($C790=0,0,$C790-$D790)</f>
        <v/>
      </c>
      <c r="G790" s="116">
        <f>IF($F790=0,0,$F790*$E790)</f>
        <v/>
      </c>
      <c r="H790" s="116">
        <f>$F790-$G790</f>
        <v/>
      </c>
      <c r="I790" s="112" t="n"/>
    </row>
    <row r="791" ht="15" customHeight="1" s="72">
      <c r="A791" s="112" t="n"/>
      <c r="B791" s="113" t="n"/>
      <c r="C791" s="114" t="n"/>
      <c r="D791" s="114" t="n"/>
      <c r="E791" s="115" t="n"/>
      <c r="F791" s="116">
        <f>IF($C791=0,0,$C791-$D791)</f>
        <v/>
      </c>
      <c r="G791" s="116">
        <f>IF($F791=0,0,$F791*$E791)</f>
        <v/>
      </c>
      <c r="H791" s="116">
        <f>$F791-$G791</f>
        <v/>
      </c>
      <c r="I791" s="112" t="n"/>
    </row>
    <row r="792" ht="15" customHeight="1" s="72">
      <c r="A792" s="112" t="n"/>
      <c r="B792" s="113" t="n"/>
      <c r="C792" s="114" t="n"/>
      <c r="D792" s="114" t="n"/>
      <c r="E792" s="115" t="n"/>
      <c r="F792" s="116">
        <f>IF($C792=0,0,$C792-$D792)</f>
        <v/>
      </c>
      <c r="G792" s="116">
        <f>IF($F792=0,0,$F792*$E792)</f>
        <v/>
      </c>
      <c r="H792" s="116">
        <f>$F792-$G792</f>
        <v/>
      </c>
      <c r="I792" s="112" t="n"/>
    </row>
    <row r="793" ht="15" customHeight="1" s="72">
      <c r="A793" s="112" t="n"/>
      <c r="B793" s="113" t="n"/>
      <c r="C793" s="114" t="n"/>
      <c r="D793" s="114" t="n"/>
      <c r="E793" s="115" t="n"/>
      <c r="F793" s="116">
        <f>IF($C793=0,0,$C793-$D793)</f>
        <v/>
      </c>
      <c r="G793" s="116">
        <f>IF($F793=0,0,$F793*$E793)</f>
        <v/>
      </c>
      <c r="H793" s="116">
        <f>$F793-$G793</f>
        <v/>
      </c>
      <c r="I793" s="112" t="n"/>
    </row>
    <row r="794" ht="15" customHeight="1" s="72">
      <c r="A794" s="112" t="n"/>
      <c r="B794" s="113" t="n"/>
      <c r="C794" s="114" t="n"/>
      <c r="D794" s="114" t="n"/>
      <c r="E794" s="115" t="n"/>
      <c r="F794" s="116">
        <f>IF($C794=0,0,$C794-$D794)</f>
        <v/>
      </c>
      <c r="G794" s="116">
        <f>IF($F794=0,0,$F794*$E794)</f>
        <v/>
      </c>
      <c r="H794" s="116">
        <f>$F794-$G794</f>
        <v/>
      </c>
      <c r="I794" s="112" t="n"/>
    </row>
    <row r="795" ht="15" customHeight="1" s="72">
      <c r="A795" s="112" t="n"/>
      <c r="B795" s="113" t="n"/>
      <c r="C795" s="114" t="n"/>
      <c r="D795" s="114" t="n"/>
      <c r="E795" s="115" t="n"/>
      <c r="F795" s="116">
        <f>IF($C795=0,0,$C795-$D795)</f>
        <v/>
      </c>
      <c r="G795" s="116">
        <f>IF($F795=0,0,$F795*$E795)</f>
        <v/>
      </c>
      <c r="H795" s="116">
        <f>$F795-$G795</f>
        <v/>
      </c>
      <c r="I795" s="112" t="n"/>
    </row>
    <row r="796" ht="15" customHeight="1" s="72">
      <c r="A796" s="112" t="n"/>
      <c r="B796" s="113" t="n"/>
      <c r="C796" s="114" t="n"/>
      <c r="D796" s="114" t="n"/>
      <c r="E796" s="115" t="n"/>
      <c r="F796" s="116">
        <f>IF($C796=0,0,$C796-$D796)</f>
        <v/>
      </c>
      <c r="G796" s="116">
        <f>IF($F796=0,0,$F796*$E796)</f>
        <v/>
      </c>
      <c r="H796" s="116">
        <f>$F796-$G796</f>
        <v/>
      </c>
      <c r="I796" s="112" t="n"/>
    </row>
    <row r="797" ht="15" customHeight="1" s="72">
      <c r="A797" s="112" t="n"/>
      <c r="B797" s="113" t="n"/>
      <c r="C797" s="114" t="n"/>
      <c r="D797" s="114" t="n"/>
      <c r="E797" s="115" t="n"/>
      <c r="F797" s="116">
        <f>IF($C797=0,0,$C797-$D797)</f>
        <v/>
      </c>
      <c r="G797" s="116">
        <f>IF($F797=0,0,$F797*$E797)</f>
        <v/>
      </c>
      <c r="H797" s="116">
        <f>$F797-$G797</f>
        <v/>
      </c>
      <c r="I797" s="112" t="n"/>
    </row>
    <row r="798" ht="15" customHeight="1" s="72">
      <c r="A798" s="112" t="n"/>
      <c r="B798" s="113" t="n"/>
      <c r="C798" s="114" t="n"/>
      <c r="D798" s="114" t="n"/>
      <c r="E798" s="115" t="n"/>
      <c r="F798" s="116">
        <f>IF($C798=0,0,$C798-$D798)</f>
        <v/>
      </c>
      <c r="G798" s="116">
        <f>IF($F798=0,0,$F798*$E798)</f>
        <v/>
      </c>
      <c r="H798" s="116">
        <f>$F798-$G798</f>
        <v/>
      </c>
      <c r="I798" s="112" t="n"/>
    </row>
    <row r="799" ht="15" customHeight="1" s="72">
      <c r="A799" s="112" t="n"/>
      <c r="B799" s="113" t="n"/>
      <c r="C799" s="114" t="n"/>
      <c r="D799" s="114" t="n"/>
      <c r="E799" s="115" t="n"/>
      <c r="F799" s="116">
        <f>IF($C799=0,0,$C799-$D799)</f>
        <v/>
      </c>
      <c r="G799" s="116">
        <f>IF($F799=0,0,$F799*$E799)</f>
        <v/>
      </c>
      <c r="H799" s="116">
        <f>$F799-$G799</f>
        <v/>
      </c>
      <c r="I799" s="112" t="n"/>
    </row>
    <row r="800" ht="15" customHeight="1" s="72">
      <c r="A800" s="112" t="n"/>
      <c r="B800" s="113" t="n"/>
      <c r="C800" s="114" t="n"/>
      <c r="D800" s="114" t="n"/>
      <c r="E800" s="115" t="n"/>
      <c r="F800" s="116">
        <f>IF($C800=0,0,$C800-$D800)</f>
        <v/>
      </c>
      <c r="G800" s="116">
        <f>IF($F800=0,0,$F800*$E800)</f>
        <v/>
      </c>
      <c r="H800" s="116">
        <f>$F800-$G800</f>
        <v/>
      </c>
      <c r="I800" s="112" t="n"/>
    </row>
    <row r="801" ht="15" customHeight="1" s="72">
      <c r="A801" s="112" t="n"/>
      <c r="B801" s="113" t="n"/>
      <c r="C801" s="114" t="n"/>
      <c r="D801" s="114" t="n"/>
      <c r="E801" s="115" t="n"/>
      <c r="F801" s="116">
        <f>IF($C801=0,0,$C801-$D801)</f>
        <v/>
      </c>
      <c r="G801" s="116">
        <f>IF($F801=0,0,$F801*$E801)</f>
        <v/>
      </c>
      <c r="H801" s="116">
        <f>$F801-$G801</f>
        <v/>
      </c>
      <c r="I801" s="112" t="n"/>
    </row>
    <row r="802" ht="15" customHeight="1" s="72">
      <c r="A802" s="112" t="n"/>
      <c r="B802" s="113" t="n"/>
      <c r="C802" s="114" t="n"/>
      <c r="D802" s="114" t="n"/>
      <c r="E802" s="115" t="n"/>
      <c r="F802" s="116">
        <f>IF($C802=0,0,$C802-$D802)</f>
        <v/>
      </c>
      <c r="G802" s="116">
        <f>IF($F802=0,0,$F802*$E802)</f>
        <v/>
      </c>
      <c r="H802" s="116">
        <f>$F802-$G802</f>
        <v/>
      </c>
      <c r="I802" s="112" t="n"/>
    </row>
    <row r="803" ht="15" customHeight="1" s="72">
      <c r="A803" s="112" t="n"/>
      <c r="B803" s="113" t="n"/>
      <c r="C803" s="114" t="n"/>
      <c r="D803" s="114" t="n"/>
      <c r="E803" s="115" t="n"/>
      <c r="F803" s="116">
        <f>IF($C803=0,0,$C803-$D803)</f>
        <v/>
      </c>
      <c r="G803" s="116">
        <f>IF($F803=0,0,$F803*$E803)</f>
        <v/>
      </c>
      <c r="H803" s="116">
        <f>$F803-$G803</f>
        <v/>
      </c>
      <c r="I803" s="112" t="n"/>
    </row>
    <row r="804" ht="15" customHeight="1" s="72">
      <c r="A804" s="112" t="n"/>
      <c r="B804" s="113" t="n"/>
      <c r="C804" s="114" t="n"/>
      <c r="D804" s="114" t="n"/>
      <c r="E804" s="115" t="n"/>
      <c r="F804" s="116">
        <f>IF($C804=0,0,$C804-$D804)</f>
        <v/>
      </c>
      <c r="G804" s="116">
        <f>IF($F804=0,0,$F804*$E804)</f>
        <v/>
      </c>
      <c r="H804" s="116">
        <f>$F804-$G804</f>
        <v/>
      </c>
      <c r="I804" s="112" t="n"/>
    </row>
    <row r="805" ht="15" customHeight="1" s="72">
      <c r="A805" s="112" t="n"/>
      <c r="B805" s="113" t="n"/>
      <c r="C805" s="114" t="n"/>
      <c r="D805" s="114" t="n"/>
      <c r="E805" s="115" t="n"/>
      <c r="F805" s="116">
        <f>IF($C805=0,0,$C805-$D805)</f>
        <v/>
      </c>
      <c r="G805" s="116">
        <f>IF($F805=0,0,$F805*$E805)</f>
        <v/>
      </c>
      <c r="H805" s="116">
        <f>$F805-$G805</f>
        <v/>
      </c>
      <c r="I805" s="112" t="n"/>
    </row>
    <row r="806" ht="15" customHeight="1" s="72">
      <c r="A806" s="112" t="n"/>
      <c r="B806" s="113" t="n"/>
      <c r="C806" s="114" t="n"/>
      <c r="D806" s="114" t="n"/>
      <c r="E806" s="115" t="n"/>
      <c r="F806" s="116">
        <f>IF($C806=0,0,$C806-$D806)</f>
        <v/>
      </c>
      <c r="G806" s="116">
        <f>IF($F806=0,0,$F806*$E806)</f>
        <v/>
      </c>
      <c r="H806" s="116">
        <f>$F806-$G806</f>
        <v/>
      </c>
      <c r="I806" s="112" t="n"/>
    </row>
    <row r="807" ht="15" customHeight="1" s="72">
      <c r="A807" s="112" t="n"/>
      <c r="B807" s="113" t="n"/>
      <c r="C807" s="114" t="n"/>
      <c r="D807" s="114" t="n"/>
      <c r="E807" s="115" t="n"/>
      <c r="F807" s="116">
        <f>IF($C807=0,0,$C807-$D807)</f>
        <v/>
      </c>
      <c r="G807" s="116">
        <f>IF($F807=0,0,$F807*$E807)</f>
        <v/>
      </c>
      <c r="H807" s="116">
        <f>$F807-$G807</f>
        <v/>
      </c>
      <c r="I807" s="112" t="n"/>
    </row>
    <row r="808" ht="15" customHeight="1" s="72">
      <c r="A808" s="112" t="n"/>
      <c r="B808" s="113" t="n"/>
      <c r="C808" s="114" t="n"/>
      <c r="D808" s="114" t="n"/>
      <c r="E808" s="115" t="n"/>
      <c r="F808" s="116">
        <f>IF($C808=0,0,$C808-$D808)</f>
        <v/>
      </c>
      <c r="G808" s="116">
        <f>IF($F808=0,0,$F808*$E808)</f>
        <v/>
      </c>
      <c r="H808" s="116">
        <f>$F808-$G808</f>
        <v/>
      </c>
      <c r="I808" s="112" t="n"/>
    </row>
    <row r="809" ht="15" customHeight="1" s="72">
      <c r="A809" s="112" t="n"/>
      <c r="B809" s="113" t="n"/>
      <c r="C809" s="114" t="n"/>
      <c r="D809" s="114" t="n"/>
      <c r="E809" s="115" t="n"/>
      <c r="F809" s="116">
        <f>IF($C809=0,0,$C809-$D809)</f>
        <v/>
      </c>
      <c r="G809" s="116">
        <f>IF($F809=0,0,$F809*$E809)</f>
        <v/>
      </c>
      <c r="H809" s="116">
        <f>$F809-$G809</f>
        <v/>
      </c>
      <c r="I809" s="112" t="n"/>
    </row>
    <row r="810" ht="15" customHeight="1" s="72">
      <c r="A810" s="112" t="n"/>
      <c r="B810" s="113" t="n"/>
      <c r="C810" s="114" t="n"/>
      <c r="D810" s="114" t="n"/>
      <c r="E810" s="115" t="n"/>
      <c r="F810" s="116">
        <f>IF($C810=0,0,$C810-$D810)</f>
        <v/>
      </c>
      <c r="G810" s="116">
        <f>IF($F810=0,0,$F810*$E810)</f>
        <v/>
      </c>
      <c r="H810" s="116">
        <f>$F810-$G810</f>
        <v/>
      </c>
      <c r="I810" s="112" t="n"/>
    </row>
    <row r="811" ht="15" customHeight="1" s="72">
      <c r="A811" s="112" t="n"/>
      <c r="B811" s="113" t="n"/>
      <c r="C811" s="114" t="n"/>
      <c r="D811" s="114" t="n"/>
      <c r="E811" s="115" t="n"/>
      <c r="F811" s="116">
        <f>IF($C811=0,0,$C811-$D811)</f>
        <v/>
      </c>
      <c r="G811" s="116">
        <f>IF($F811=0,0,$F811*$E811)</f>
        <v/>
      </c>
      <c r="H811" s="116">
        <f>$F811-$G811</f>
        <v/>
      </c>
      <c r="I811" s="112" t="n"/>
    </row>
    <row r="812" ht="15" customHeight="1" s="72">
      <c r="A812" s="112" t="n"/>
      <c r="B812" s="113" t="n"/>
      <c r="C812" s="114" t="n"/>
      <c r="D812" s="114" t="n"/>
      <c r="E812" s="115" t="n"/>
      <c r="F812" s="116">
        <f>IF($C812=0,0,$C812-$D812)</f>
        <v/>
      </c>
      <c r="G812" s="116">
        <f>IF($F812=0,0,$F812*$E812)</f>
        <v/>
      </c>
      <c r="H812" s="116">
        <f>$F812-$G812</f>
        <v/>
      </c>
      <c r="I812" s="112" t="n"/>
    </row>
    <row r="813" ht="15" customHeight="1" s="72">
      <c r="A813" s="112" t="n"/>
      <c r="B813" s="113" t="n"/>
      <c r="C813" s="114" t="n"/>
      <c r="D813" s="114" t="n"/>
      <c r="E813" s="115" t="n"/>
      <c r="F813" s="116">
        <f>IF($C813=0,0,$C813-$D813)</f>
        <v/>
      </c>
      <c r="G813" s="116">
        <f>IF($F813=0,0,$F813*$E813)</f>
        <v/>
      </c>
      <c r="H813" s="116">
        <f>$F813-$G813</f>
        <v/>
      </c>
      <c r="I813" s="112" t="n"/>
    </row>
    <row r="814" ht="15" customHeight="1" s="72">
      <c r="A814" s="112" t="n"/>
      <c r="B814" s="113" t="n"/>
      <c r="C814" s="114" t="n"/>
      <c r="D814" s="114" t="n"/>
      <c r="E814" s="115" t="n"/>
      <c r="F814" s="116">
        <f>IF($C814=0,0,$C814-$D814)</f>
        <v/>
      </c>
      <c r="G814" s="116">
        <f>IF($F814=0,0,$F814*$E814)</f>
        <v/>
      </c>
      <c r="H814" s="116">
        <f>$F814-$G814</f>
        <v/>
      </c>
      <c r="I814" s="112" t="n"/>
    </row>
    <row r="815" ht="15" customHeight="1" s="72">
      <c r="A815" s="112" t="n"/>
      <c r="B815" s="113" t="n"/>
      <c r="C815" s="114" t="n"/>
      <c r="D815" s="114" t="n"/>
      <c r="E815" s="115" t="n"/>
      <c r="F815" s="116">
        <f>IF($C815=0,0,$C815-$D815)</f>
        <v/>
      </c>
      <c r="G815" s="116">
        <f>IF($F815=0,0,$F815*$E815)</f>
        <v/>
      </c>
      <c r="H815" s="116">
        <f>$F815-$G815</f>
        <v/>
      </c>
      <c r="I815" s="112" t="n"/>
    </row>
    <row r="816" ht="15" customHeight="1" s="72">
      <c r="A816" s="112" t="n"/>
      <c r="B816" s="113" t="n"/>
      <c r="C816" s="114" t="n"/>
      <c r="D816" s="114" t="n"/>
      <c r="E816" s="115" t="n"/>
      <c r="F816" s="116">
        <f>IF($C816=0,0,$C816-$D816)</f>
        <v/>
      </c>
      <c r="G816" s="116">
        <f>IF($F816=0,0,$F816*$E816)</f>
        <v/>
      </c>
      <c r="H816" s="116">
        <f>$F816-$G816</f>
        <v/>
      </c>
      <c r="I816" s="112" t="n"/>
    </row>
    <row r="817" ht="15" customHeight="1" s="72">
      <c r="A817" s="112" t="n"/>
      <c r="B817" s="113" t="n"/>
      <c r="C817" s="114" t="n"/>
      <c r="D817" s="114" t="n"/>
      <c r="E817" s="115" t="n"/>
      <c r="F817" s="116">
        <f>IF($C817=0,0,$C817-$D817)</f>
        <v/>
      </c>
      <c r="G817" s="116">
        <f>IF($F817=0,0,$F817*$E817)</f>
        <v/>
      </c>
      <c r="H817" s="116">
        <f>$F817-$G817</f>
        <v/>
      </c>
      <c r="I817" s="112" t="n"/>
    </row>
    <row r="818" ht="15" customHeight="1" s="72">
      <c r="A818" s="112" t="n"/>
      <c r="B818" s="113" t="n"/>
      <c r="C818" s="114" t="n"/>
      <c r="D818" s="114" t="n"/>
      <c r="E818" s="115" t="n"/>
      <c r="F818" s="116">
        <f>IF($C818=0,0,$C818-$D818)</f>
        <v/>
      </c>
      <c r="G818" s="116">
        <f>IF($F818=0,0,$F818*$E818)</f>
        <v/>
      </c>
      <c r="H818" s="116">
        <f>$F818-$G818</f>
        <v/>
      </c>
      <c r="I818" s="112" t="n"/>
    </row>
    <row r="819" ht="15" customHeight="1" s="72">
      <c r="A819" s="112" t="n"/>
      <c r="B819" s="113" t="n"/>
      <c r="C819" s="114" t="n"/>
      <c r="D819" s="114" t="n"/>
      <c r="E819" s="115" t="n"/>
      <c r="F819" s="116">
        <f>IF($C819=0,0,$C819-$D819)</f>
        <v/>
      </c>
      <c r="G819" s="116">
        <f>IF($F819=0,0,$F819*$E819)</f>
        <v/>
      </c>
      <c r="H819" s="116">
        <f>$F819-$G819</f>
        <v/>
      </c>
      <c r="I819" s="112" t="n"/>
    </row>
    <row r="820" ht="15" customHeight="1" s="72">
      <c r="A820" s="112" t="n"/>
      <c r="B820" s="113" t="n"/>
      <c r="C820" s="114" t="n"/>
      <c r="D820" s="114" t="n"/>
      <c r="E820" s="115" t="n"/>
      <c r="F820" s="116">
        <f>IF($C820=0,0,$C820-$D820)</f>
        <v/>
      </c>
      <c r="G820" s="116">
        <f>IF($F820=0,0,$F820*$E820)</f>
        <v/>
      </c>
      <c r="H820" s="116">
        <f>$F820-$G820</f>
        <v/>
      </c>
      <c r="I820" s="112" t="n"/>
    </row>
    <row r="821" ht="15" customHeight="1" s="72">
      <c r="A821" s="112" t="n"/>
      <c r="B821" s="113" t="n"/>
      <c r="C821" s="114" t="n"/>
      <c r="D821" s="114" t="n"/>
      <c r="E821" s="115" t="n"/>
      <c r="F821" s="116">
        <f>IF($C821=0,0,$C821-$D821)</f>
        <v/>
      </c>
      <c r="G821" s="116">
        <f>IF($F821=0,0,$F821*$E821)</f>
        <v/>
      </c>
      <c r="H821" s="116">
        <f>$F821-$G821</f>
        <v/>
      </c>
      <c r="I821" s="112" t="n"/>
    </row>
    <row r="822" ht="15" customHeight="1" s="72">
      <c r="A822" s="112" t="n"/>
      <c r="B822" s="113" t="n"/>
      <c r="C822" s="114" t="n"/>
      <c r="D822" s="114" t="n"/>
      <c r="E822" s="115" t="n"/>
      <c r="F822" s="116">
        <f>IF($C822=0,0,$C822-$D822)</f>
        <v/>
      </c>
      <c r="G822" s="116">
        <f>IF($F822=0,0,$F822*$E822)</f>
        <v/>
      </c>
      <c r="H822" s="116">
        <f>$F822-$G822</f>
        <v/>
      </c>
      <c r="I822" s="112" t="n"/>
    </row>
    <row r="823" ht="15" customHeight="1" s="72">
      <c r="A823" s="112" t="n"/>
      <c r="B823" s="113" t="n"/>
      <c r="C823" s="114" t="n"/>
      <c r="D823" s="114" t="n"/>
      <c r="E823" s="115" t="n"/>
      <c r="F823" s="116">
        <f>IF($C823=0,0,$C823-$D823)</f>
        <v/>
      </c>
      <c r="G823" s="116">
        <f>IF($F823=0,0,$F823*$E823)</f>
        <v/>
      </c>
      <c r="H823" s="116">
        <f>$F823-$G823</f>
        <v/>
      </c>
      <c r="I823" s="112" t="n"/>
    </row>
    <row r="824" ht="15" customHeight="1" s="72">
      <c r="A824" s="112" t="n"/>
      <c r="B824" s="113" t="n"/>
      <c r="C824" s="114" t="n"/>
      <c r="D824" s="114" t="n"/>
      <c r="E824" s="115" t="n"/>
      <c r="F824" s="116">
        <f>IF($C824=0,0,$C824-$D824)</f>
        <v/>
      </c>
      <c r="G824" s="116">
        <f>IF($F824=0,0,$F824*$E824)</f>
        <v/>
      </c>
      <c r="H824" s="116">
        <f>$F824-$G824</f>
        <v/>
      </c>
      <c r="I824" s="112" t="n"/>
    </row>
    <row r="825" ht="15" customHeight="1" s="72">
      <c r="A825" s="112" t="n"/>
      <c r="B825" s="113" t="n"/>
      <c r="C825" s="114" t="n"/>
      <c r="D825" s="114" t="n"/>
      <c r="E825" s="115" t="n"/>
      <c r="F825" s="116">
        <f>IF($C825=0,0,$C825-$D825)</f>
        <v/>
      </c>
      <c r="G825" s="116">
        <f>IF($F825=0,0,$F825*$E825)</f>
        <v/>
      </c>
      <c r="H825" s="116">
        <f>$F825-$G825</f>
        <v/>
      </c>
      <c r="I825" s="112" t="n"/>
    </row>
    <row r="826" ht="15" customHeight="1" s="72">
      <c r="A826" s="112" t="n"/>
      <c r="B826" s="113" t="n"/>
      <c r="C826" s="114" t="n"/>
      <c r="D826" s="114" t="n"/>
      <c r="E826" s="115" t="n"/>
      <c r="F826" s="116">
        <f>IF($C826=0,0,$C826-$D826)</f>
        <v/>
      </c>
      <c r="G826" s="116">
        <f>IF($F826=0,0,$F826*$E826)</f>
        <v/>
      </c>
      <c r="H826" s="116">
        <f>$F826-$G826</f>
        <v/>
      </c>
      <c r="I826" s="112" t="n"/>
    </row>
    <row r="827" ht="15" customHeight="1" s="72">
      <c r="A827" s="112" t="n"/>
      <c r="B827" s="113" t="n"/>
      <c r="C827" s="114" t="n"/>
      <c r="D827" s="114" t="n"/>
      <c r="E827" s="115" t="n"/>
      <c r="F827" s="116">
        <f>IF($C827=0,0,$C827-$D827)</f>
        <v/>
      </c>
      <c r="G827" s="116">
        <f>IF($F827=0,0,$F827*$E827)</f>
        <v/>
      </c>
      <c r="H827" s="116">
        <f>$F827-$G827</f>
        <v/>
      </c>
      <c r="I827" s="112" t="n"/>
    </row>
    <row r="828" ht="15" customHeight="1" s="72">
      <c r="A828" s="112" t="n"/>
      <c r="B828" s="113" t="n"/>
      <c r="C828" s="114" t="n"/>
      <c r="D828" s="114" t="n"/>
      <c r="E828" s="115" t="n"/>
      <c r="F828" s="116">
        <f>IF($C828=0,0,$C828-$D828)</f>
        <v/>
      </c>
      <c r="G828" s="116">
        <f>IF($F828=0,0,$F828*$E828)</f>
        <v/>
      </c>
      <c r="H828" s="116">
        <f>$F828-$G828</f>
        <v/>
      </c>
      <c r="I828" s="112" t="n"/>
    </row>
    <row r="829" ht="15" customHeight="1" s="72">
      <c r="A829" s="112" t="n"/>
      <c r="B829" s="113" t="n"/>
      <c r="C829" s="114" t="n"/>
      <c r="D829" s="114" t="n"/>
      <c r="E829" s="115" t="n"/>
      <c r="F829" s="116">
        <f>IF($C829=0,0,$C829-$D829)</f>
        <v/>
      </c>
      <c r="G829" s="116">
        <f>IF($F829=0,0,$F829*$E829)</f>
        <v/>
      </c>
      <c r="H829" s="116">
        <f>$F829-$G829</f>
        <v/>
      </c>
      <c r="I829" s="112" t="n"/>
    </row>
    <row r="830" ht="15" customHeight="1" s="72">
      <c r="A830" s="112" t="n"/>
      <c r="B830" s="113" t="n"/>
      <c r="C830" s="114" t="n"/>
      <c r="D830" s="114" t="n"/>
      <c r="E830" s="115" t="n"/>
      <c r="F830" s="116">
        <f>IF($C830=0,0,$C830-$D830)</f>
        <v/>
      </c>
      <c r="G830" s="116">
        <f>IF($F830=0,0,$F830*$E830)</f>
        <v/>
      </c>
      <c r="H830" s="116">
        <f>$F830-$G830</f>
        <v/>
      </c>
      <c r="I830" s="112" t="n"/>
    </row>
    <row r="831" ht="15" customHeight="1" s="72">
      <c r="A831" s="112" t="n"/>
      <c r="B831" s="113" t="n"/>
      <c r="C831" s="114" t="n"/>
      <c r="D831" s="114" t="n"/>
      <c r="E831" s="115" t="n"/>
      <c r="F831" s="116">
        <f>IF($C831=0,0,$C831-$D831)</f>
        <v/>
      </c>
      <c r="G831" s="116">
        <f>IF($F831=0,0,$F831*$E831)</f>
        <v/>
      </c>
      <c r="H831" s="116">
        <f>$F831-$G831</f>
        <v/>
      </c>
      <c r="I831" s="112" t="n"/>
    </row>
    <row r="832" ht="15" customHeight="1" s="72">
      <c r="A832" s="112" t="n"/>
      <c r="B832" s="113" t="n"/>
      <c r="C832" s="114" t="n"/>
      <c r="D832" s="114" t="n"/>
      <c r="E832" s="115" t="n"/>
      <c r="F832" s="116">
        <f>IF($C832=0,0,$C832-$D832)</f>
        <v/>
      </c>
      <c r="G832" s="116">
        <f>IF($F832=0,0,$F832*$E832)</f>
        <v/>
      </c>
      <c r="H832" s="116">
        <f>$F832-$G832</f>
        <v/>
      </c>
      <c r="I832" s="112" t="n"/>
    </row>
    <row r="833" ht="15" customHeight="1" s="72">
      <c r="A833" s="112" t="n"/>
      <c r="B833" s="113" t="n"/>
      <c r="C833" s="114" t="n"/>
      <c r="D833" s="114" t="n"/>
      <c r="E833" s="115" t="n"/>
      <c r="F833" s="116">
        <f>IF($C833=0,0,$C833-$D833)</f>
        <v/>
      </c>
      <c r="G833" s="116">
        <f>IF($F833=0,0,$F833*$E833)</f>
        <v/>
      </c>
      <c r="H833" s="116">
        <f>$F833-$G833</f>
        <v/>
      </c>
      <c r="I833" s="112" t="n"/>
    </row>
    <row r="834" ht="15" customHeight="1" s="72">
      <c r="A834" s="112" t="n"/>
      <c r="B834" s="113" t="n"/>
      <c r="C834" s="114" t="n"/>
      <c r="D834" s="114" t="n"/>
      <c r="E834" s="115" t="n"/>
      <c r="F834" s="116">
        <f>IF($C834=0,0,$C834-$D834)</f>
        <v/>
      </c>
      <c r="G834" s="116">
        <f>IF($F834=0,0,$F834*$E834)</f>
        <v/>
      </c>
      <c r="H834" s="116">
        <f>$F834-$G834</f>
        <v/>
      </c>
      <c r="I834" s="112" t="n"/>
    </row>
    <row r="835" ht="15" customHeight="1" s="72">
      <c r="A835" s="112" t="n"/>
      <c r="B835" s="113" t="n"/>
      <c r="C835" s="114" t="n"/>
      <c r="D835" s="114" t="n"/>
      <c r="E835" s="115" t="n"/>
      <c r="F835" s="116">
        <f>IF($C835=0,0,$C835-$D835)</f>
        <v/>
      </c>
      <c r="G835" s="116">
        <f>IF($F835=0,0,$F835*$E835)</f>
        <v/>
      </c>
      <c r="H835" s="116">
        <f>$F835-$G835</f>
        <v/>
      </c>
      <c r="I835" s="112" t="n"/>
    </row>
    <row r="836" ht="15" customHeight="1" s="72">
      <c r="A836" s="112" t="n"/>
      <c r="B836" s="113" t="n"/>
      <c r="C836" s="114" t="n"/>
      <c r="D836" s="114" t="n"/>
      <c r="E836" s="115" t="n"/>
      <c r="F836" s="116">
        <f>IF($C836=0,0,$C836-$D836)</f>
        <v/>
      </c>
      <c r="G836" s="116">
        <f>IF($F836=0,0,$F836*$E836)</f>
        <v/>
      </c>
      <c r="H836" s="116">
        <f>$F836-$G836</f>
        <v/>
      </c>
      <c r="I836" s="112" t="n"/>
    </row>
    <row r="837" ht="15" customHeight="1" s="72">
      <c r="A837" s="112" t="n"/>
      <c r="B837" s="113" t="n"/>
      <c r="C837" s="114" t="n"/>
      <c r="D837" s="114" t="n"/>
      <c r="E837" s="115" t="n"/>
      <c r="F837" s="116">
        <f>IF($C837=0,0,$C837-$D837)</f>
        <v/>
      </c>
      <c r="G837" s="116">
        <f>IF($F837=0,0,$F837*$E837)</f>
        <v/>
      </c>
      <c r="H837" s="116">
        <f>$F837-$G837</f>
        <v/>
      </c>
      <c r="I837" s="112" t="n"/>
    </row>
    <row r="838" ht="15" customHeight="1" s="72">
      <c r="A838" s="112" t="n"/>
      <c r="B838" s="113" t="n"/>
      <c r="C838" s="114" t="n"/>
      <c r="D838" s="114" t="n"/>
      <c r="E838" s="115" t="n"/>
      <c r="F838" s="116">
        <f>IF($C838=0,0,$C838-$D838)</f>
        <v/>
      </c>
      <c r="G838" s="116">
        <f>IF($F838=0,0,$F838*$E838)</f>
        <v/>
      </c>
      <c r="H838" s="116">
        <f>$F838-$G838</f>
        <v/>
      </c>
      <c r="I838" s="112" t="n"/>
    </row>
    <row r="839" ht="15" customHeight="1" s="72">
      <c r="A839" s="112" t="n"/>
      <c r="B839" s="113" t="n"/>
      <c r="C839" s="114" t="n"/>
      <c r="D839" s="114" t="n"/>
      <c r="E839" s="115" t="n"/>
      <c r="F839" s="116">
        <f>IF($C839=0,0,$C839-$D839)</f>
        <v/>
      </c>
      <c r="G839" s="116">
        <f>IF($F839=0,0,$F839*$E839)</f>
        <v/>
      </c>
      <c r="H839" s="116">
        <f>$F839-$G839</f>
        <v/>
      </c>
      <c r="I839" s="112" t="n"/>
    </row>
    <row r="840" ht="15" customHeight="1" s="72">
      <c r="A840" s="112" t="n"/>
      <c r="B840" s="113" t="n"/>
      <c r="C840" s="114" t="n"/>
      <c r="D840" s="114" t="n"/>
      <c r="E840" s="115" t="n"/>
      <c r="F840" s="116">
        <f>IF($C840=0,0,$C840-$D840)</f>
        <v/>
      </c>
      <c r="G840" s="116">
        <f>IF($F840=0,0,$F840*$E840)</f>
        <v/>
      </c>
      <c r="H840" s="116">
        <f>$F840-$G840</f>
        <v/>
      </c>
      <c r="I840" s="112" t="n"/>
    </row>
    <row r="841" ht="15" customHeight="1" s="72">
      <c r="A841" s="112" t="n"/>
      <c r="B841" s="113" t="n"/>
      <c r="C841" s="114" t="n"/>
      <c r="D841" s="114" t="n"/>
      <c r="E841" s="115" t="n"/>
      <c r="F841" s="116">
        <f>IF($C841=0,0,$C841-$D841)</f>
        <v/>
      </c>
      <c r="G841" s="116">
        <f>IF($F841=0,0,$F841*$E841)</f>
        <v/>
      </c>
      <c r="H841" s="116">
        <f>$F841-$G841</f>
        <v/>
      </c>
      <c r="I841" s="112" t="n"/>
    </row>
    <row r="842" ht="15" customHeight="1" s="72">
      <c r="A842" s="112" t="n"/>
      <c r="B842" s="113" t="n"/>
      <c r="C842" s="114" t="n"/>
      <c r="D842" s="114" t="n"/>
      <c r="E842" s="115" t="n"/>
      <c r="F842" s="116">
        <f>IF($C842=0,0,$C842-$D842)</f>
        <v/>
      </c>
      <c r="G842" s="116">
        <f>IF($F842=0,0,$F842*$E842)</f>
        <v/>
      </c>
      <c r="H842" s="116">
        <f>$F842-$G842</f>
        <v/>
      </c>
      <c r="I842" s="112" t="n"/>
    </row>
    <row r="843" ht="15" customHeight="1" s="72">
      <c r="A843" s="112" t="n"/>
      <c r="B843" s="113" t="n"/>
      <c r="C843" s="114" t="n"/>
      <c r="D843" s="114" t="n"/>
      <c r="E843" s="115" t="n"/>
      <c r="F843" s="116">
        <f>IF($C843=0,0,$C843-$D843)</f>
        <v/>
      </c>
      <c r="G843" s="116">
        <f>IF($F843=0,0,$F843*$E843)</f>
        <v/>
      </c>
      <c r="H843" s="116">
        <f>$F843-$G843</f>
        <v/>
      </c>
      <c r="I843" s="112" t="n"/>
    </row>
    <row r="844" ht="15" customHeight="1" s="72">
      <c r="A844" s="112" t="n"/>
      <c r="B844" s="113" t="n"/>
      <c r="C844" s="114" t="n"/>
      <c r="D844" s="114" t="n"/>
      <c r="E844" s="115" t="n"/>
      <c r="F844" s="116">
        <f>IF($C844=0,0,$C844-$D844)</f>
        <v/>
      </c>
      <c r="G844" s="116">
        <f>IF($F844=0,0,$F844*$E844)</f>
        <v/>
      </c>
      <c r="H844" s="116">
        <f>$F844-$G844</f>
        <v/>
      </c>
      <c r="I844" s="112" t="n"/>
    </row>
    <row r="845" ht="15" customHeight="1" s="72">
      <c r="A845" s="112" t="n"/>
      <c r="B845" s="113" t="n"/>
      <c r="C845" s="114" t="n"/>
      <c r="D845" s="114" t="n"/>
      <c r="E845" s="115" t="n"/>
      <c r="F845" s="116">
        <f>IF($C845=0,0,$C845-$D845)</f>
        <v/>
      </c>
      <c r="G845" s="116">
        <f>IF($F845=0,0,$F845*$E845)</f>
        <v/>
      </c>
      <c r="H845" s="116">
        <f>$F845-$G845</f>
        <v/>
      </c>
      <c r="I845" s="112" t="n"/>
    </row>
    <row r="846" ht="15" customHeight="1" s="72">
      <c r="A846" s="112" t="n"/>
      <c r="B846" s="113" t="n"/>
      <c r="C846" s="114" t="n"/>
      <c r="D846" s="114" t="n"/>
      <c r="E846" s="115" t="n"/>
      <c r="F846" s="116">
        <f>IF($C846=0,0,$C846-$D846)</f>
        <v/>
      </c>
      <c r="G846" s="116">
        <f>IF($F846=0,0,$F846*$E846)</f>
        <v/>
      </c>
      <c r="H846" s="116">
        <f>$F846-$G846</f>
        <v/>
      </c>
      <c r="I846" s="112" t="n"/>
    </row>
    <row r="847" ht="15" customHeight="1" s="72">
      <c r="A847" s="112" t="n"/>
      <c r="B847" s="113" t="n"/>
      <c r="C847" s="114" t="n"/>
      <c r="D847" s="114" t="n"/>
      <c r="E847" s="115" t="n"/>
      <c r="F847" s="116">
        <f>IF($C847=0,0,$C847-$D847)</f>
        <v/>
      </c>
      <c r="G847" s="116">
        <f>IF($F847=0,0,$F847*$E847)</f>
        <v/>
      </c>
      <c r="H847" s="116">
        <f>$F847-$G847</f>
        <v/>
      </c>
      <c r="I847" s="112" t="n"/>
    </row>
    <row r="848" ht="15" customHeight="1" s="72">
      <c r="A848" s="112" t="n"/>
      <c r="B848" s="113" t="n"/>
      <c r="C848" s="114" t="n"/>
      <c r="D848" s="114" t="n"/>
      <c r="E848" s="115" t="n"/>
      <c r="F848" s="116">
        <f>IF($C848=0,0,$C848-$D848)</f>
        <v/>
      </c>
      <c r="G848" s="116">
        <f>IF($F848=0,0,$F848*$E848)</f>
        <v/>
      </c>
      <c r="H848" s="116">
        <f>$F848-$G848</f>
        <v/>
      </c>
      <c r="I848" s="112" t="n"/>
    </row>
    <row r="849" ht="15" customHeight="1" s="72">
      <c r="A849" s="112" t="n"/>
      <c r="B849" s="113" t="n"/>
      <c r="C849" s="114" t="n"/>
      <c r="D849" s="114" t="n"/>
      <c r="E849" s="115" t="n"/>
      <c r="F849" s="116">
        <f>IF($C849=0,0,$C849-$D849)</f>
        <v/>
      </c>
      <c r="G849" s="116">
        <f>IF($F849=0,0,$F849*$E849)</f>
        <v/>
      </c>
      <c r="H849" s="116">
        <f>$F849-$G849</f>
        <v/>
      </c>
      <c r="I849" s="112" t="n"/>
    </row>
    <row r="850" ht="15" customHeight="1" s="72">
      <c r="A850" s="112" t="n"/>
      <c r="B850" s="113" t="n"/>
      <c r="C850" s="114" t="n"/>
      <c r="D850" s="114" t="n"/>
      <c r="E850" s="115" t="n"/>
      <c r="F850" s="116">
        <f>IF($C850=0,0,$C850-$D850)</f>
        <v/>
      </c>
      <c r="G850" s="116">
        <f>IF($F850=0,0,$F850*$E850)</f>
        <v/>
      </c>
      <c r="H850" s="116">
        <f>$F850-$G850</f>
        <v/>
      </c>
      <c r="I850" s="112" t="n"/>
    </row>
    <row r="851" ht="15" customHeight="1" s="72">
      <c r="A851" s="112" t="n"/>
      <c r="B851" s="113" t="n"/>
      <c r="C851" s="114" t="n"/>
      <c r="D851" s="114" t="n"/>
      <c r="E851" s="115" t="n"/>
      <c r="F851" s="116">
        <f>IF($C851=0,0,$C851-$D851)</f>
        <v/>
      </c>
      <c r="G851" s="116">
        <f>IF($F851=0,0,$F851*$E851)</f>
        <v/>
      </c>
      <c r="H851" s="116">
        <f>$F851-$G851</f>
        <v/>
      </c>
      <c r="I851" s="112" t="n"/>
    </row>
    <row r="852" ht="15" customHeight="1" s="72">
      <c r="A852" s="112" t="n"/>
      <c r="B852" s="113" t="n"/>
      <c r="C852" s="114" t="n"/>
      <c r="D852" s="114" t="n"/>
      <c r="E852" s="115" t="n"/>
      <c r="F852" s="116">
        <f>IF($C852=0,0,$C852-$D852)</f>
        <v/>
      </c>
      <c r="G852" s="116">
        <f>IF($F852=0,0,$F852*$E852)</f>
        <v/>
      </c>
      <c r="H852" s="116">
        <f>$F852-$G852</f>
        <v/>
      </c>
      <c r="I852" s="112" t="n"/>
    </row>
    <row r="853" ht="15" customHeight="1" s="72">
      <c r="A853" s="112" t="n"/>
      <c r="B853" s="113" t="n"/>
      <c r="C853" s="114" t="n"/>
      <c r="D853" s="114" t="n"/>
      <c r="E853" s="115" t="n"/>
      <c r="F853" s="116">
        <f>IF($C853=0,0,$C853-$D853)</f>
        <v/>
      </c>
      <c r="G853" s="116">
        <f>IF($F853=0,0,$F853*$E853)</f>
        <v/>
      </c>
      <c r="H853" s="116">
        <f>$F853-$G853</f>
        <v/>
      </c>
      <c r="I853" s="112" t="n"/>
    </row>
    <row r="854" ht="15" customHeight="1" s="72">
      <c r="A854" s="112" t="n"/>
      <c r="B854" s="113" t="n"/>
      <c r="C854" s="114" t="n"/>
      <c r="D854" s="114" t="n"/>
      <c r="E854" s="115" t="n"/>
      <c r="F854" s="116">
        <f>IF($C854=0,0,$C854-$D854)</f>
        <v/>
      </c>
      <c r="G854" s="116">
        <f>IF($F854=0,0,$F854*$E854)</f>
        <v/>
      </c>
      <c r="H854" s="116">
        <f>$F854-$G854</f>
        <v/>
      </c>
      <c r="I854" s="112" t="n"/>
    </row>
    <row r="855" ht="15" customHeight="1" s="72">
      <c r="A855" s="112" t="n"/>
      <c r="B855" s="113" t="n"/>
      <c r="C855" s="114" t="n"/>
      <c r="D855" s="114" t="n"/>
      <c r="E855" s="115" t="n"/>
      <c r="F855" s="116">
        <f>IF($C855=0,0,$C855-$D855)</f>
        <v/>
      </c>
      <c r="G855" s="116">
        <f>IF($F855=0,0,$F855*$E855)</f>
        <v/>
      </c>
      <c r="H855" s="116">
        <f>$F855-$G855</f>
        <v/>
      </c>
      <c r="I855" s="112" t="n"/>
    </row>
    <row r="856" ht="15" customHeight="1" s="72">
      <c r="A856" s="112" t="n"/>
      <c r="B856" s="113" t="n"/>
      <c r="C856" s="114" t="n"/>
      <c r="D856" s="114" t="n"/>
      <c r="E856" s="115" t="n"/>
      <c r="F856" s="116">
        <f>IF($C856=0,0,$C856-$D856)</f>
        <v/>
      </c>
      <c r="G856" s="116">
        <f>IF($F856=0,0,$F856*$E856)</f>
        <v/>
      </c>
      <c r="H856" s="116">
        <f>$F856-$G856</f>
        <v/>
      </c>
      <c r="I856" s="112" t="n"/>
    </row>
    <row r="857" ht="15" customHeight="1" s="72">
      <c r="A857" s="112" t="n"/>
      <c r="B857" s="113" t="n"/>
      <c r="C857" s="114" t="n"/>
      <c r="D857" s="114" t="n"/>
      <c r="E857" s="115" t="n"/>
      <c r="F857" s="116">
        <f>IF($C857=0,0,$C857-$D857)</f>
        <v/>
      </c>
      <c r="G857" s="116">
        <f>IF($F857=0,0,$F857*$E857)</f>
        <v/>
      </c>
      <c r="H857" s="116">
        <f>$F857-$G857</f>
        <v/>
      </c>
      <c r="I857" s="112" t="n"/>
    </row>
    <row r="858" ht="15" customHeight="1" s="72">
      <c r="A858" s="112" t="n"/>
      <c r="B858" s="113" t="n"/>
      <c r="C858" s="114" t="n"/>
      <c r="D858" s="114" t="n"/>
      <c r="E858" s="115" t="n"/>
      <c r="F858" s="116">
        <f>IF($C858=0,0,$C858-$D858)</f>
        <v/>
      </c>
      <c r="G858" s="116">
        <f>IF($F858=0,0,$F858*$E858)</f>
        <v/>
      </c>
      <c r="H858" s="116">
        <f>$F858-$G858</f>
        <v/>
      </c>
      <c r="I858" s="112" t="n"/>
    </row>
    <row r="859" ht="15" customHeight="1" s="72">
      <c r="A859" s="112" t="n"/>
      <c r="B859" s="113" t="n"/>
      <c r="C859" s="114" t="n"/>
      <c r="D859" s="114" t="n"/>
      <c r="E859" s="115" t="n"/>
      <c r="F859" s="116">
        <f>IF($C859=0,0,$C859-$D859)</f>
        <v/>
      </c>
      <c r="G859" s="116">
        <f>IF($F859=0,0,$F859*$E859)</f>
        <v/>
      </c>
      <c r="H859" s="116">
        <f>$F859-$G859</f>
        <v/>
      </c>
      <c r="I859" s="112" t="n"/>
    </row>
    <row r="860" ht="15" customHeight="1" s="72">
      <c r="A860" s="112" t="n"/>
      <c r="B860" s="113" t="n"/>
      <c r="C860" s="114" t="n"/>
      <c r="D860" s="114" t="n"/>
      <c r="E860" s="115" t="n"/>
      <c r="F860" s="116">
        <f>IF($C860=0,0,$C860-$D860)</f>
        <v/>
      </c>
      <c r="G860" s="116">
        <f>IF($F860=0,0,$F860*$E860)</f>
        <v/>
      </c>
      <c r="H860" s="116">
        <f>$F860-$G860</f>
        <v/>
      </c>
      <c r="I860" s="112" t="n"/>
    </row>
    <row r="861" ht="15" customHeight="1" s="72">
      <c r="A861" s="112" t="n"/>
      <c r="B861" s="113" t="n"/>
      <c r="C861" s="114" t="n"/>
      <c r="D861" s="114" t="n"/>
      <c r="E861" s="115" t="n"/>
      <c r="F861" s="116">
        <f>IF($C861=0,0,$C861-$D861)</f>
        <v/>
      </c>
      <c r="G861" s="116">
        <f>IF($F861=0,0,$F861*$E861)</f>
        <v/>
      </c>
      <c r="H861" s="116">
        <f>$F861-$G861</f>
        <v/>
      </c>
      <c r="I861" s="112" t="n"/>
    </row>
    <row r="862" ht="15" customHeight="1" s="72">
      <c r="A862" s="112" t="n"/>
      <c r="B862" s="113" t="n"/>
      <c r="C862" s="114" t="n"/>
      <c r="D862" s="114" t="n"/>
      <c r="E862" s="115" t="n"/>
      <c r="F862" s="116">
        <f>IF($C862=0,0,$C862-$D862)</f>
        <v/>
      </c>
      <c r="G862" s="116">
        <f>IF($F862=0,0,$F862*$E862)</f>
        <v/>
      </c>
      <c r="H862" s="116">
        <f>$F862-$G862</f>
        <v/>
      </c>
      <c r="I862" s="112" t="n"/>
    </row>
    <row r="863" ht="15" customHeight="1" s="72">
      <c r="A863" s="112" t="n"/>
      <c r="B863" s="113" t="n"/>
      <c r="C863" s="114" t="n"/>
      <c r="D863" s="114" t="n"/>
      <c r="E863" s="115" t="n"/>
      <c r="F863" s="116">
        <f>IF($C863=0,0,$C863-$D863)</f>
        <v/>
      </c>
      <c r="G863" s="116">
        <f>IF($F863=0,0,$F863*$E863)</f>
        <v/>
      </c>
      <c r="H863" s="116">
        <f>$F863-$G863</f>
        <v/>
      </c>
      <c r="I863" s="112" t="n"/>
    </row>
    <row r="864" ht="15" customHeight="1" s="72">
      <c r="A864" s="112" t="n"/>
      <c r="B864" s="113" t="n"/>
      <c r="C864" s="114" t="n"/>
      <c r="D864" s="114" t="n"/>
      <c r="E864" s="115" t="n"/>
      <c r="F864" s="116">
        <f>IF($C864=0,0,$C864-$D864)</f>
        <v/>
      </c>
      <c r="G864" s="116">
        <f>IF($F864=0,0,$F864*$E864)</f>
        <v/>
      </c>
      <c r="H864" s="116">
        <f>$F864-$G864</f>
        <v/>
      </c>
      <c r="I864" s="112" t="n"/>
    </row>
    <row r="865" ht="15" customHeight="1" s="72">
      <c r="A865" s="112" t="n"/>
      <c r="B865" s="113" t="n"/>
      <c r="C865" s="114" t="n"/>
      <c r="D865" s="114" t="n"/>
      <c r="E865" s="115" t="n"/>
      <c r="F865" s="116">
        <f>IF($C865=0,0,$C865-$D865)</f>
        <v/>
      </c>
      <c r="G865" s="116">
        <f>IF($F865=0,0,$F865*$E865)</f>
        <v/>
      </c>
      <c r="H865" s="116">
        <f>$F865-$G865</f>
        <v/>
      </c>
      <c r="I865" s="112" t="n"/>
    </row>
    <row r="866" ht="15" customHeight="1" s="72">
      <c r="A866" s="112" t="n"/>
      <c r="B866" s="113" t="n"/>
      <c r="C866" s="114" t="n"/>
      <c r="D866" s="114" t="n"/>
      <c r="E866" s="115" t="n"/>
      <c r="F866" s="116">
        <f>IF($C866=0,0,$C866-$D866)</f>
        <v/>
      </c>
      <c r="G866" s="116">
        <f>IF($F866=0,0,$F866*$E866)</f>
        <v/>
      </c>
      <c r="H866" s="116">
        <f>$F866-$G866</f>
        <v/>
      </c>
      <c r="I866" s="112" t="n"/>
    </row>
    <row r="867" ht="15" customHeight="1" s="72">
      <c r="A867" s="112" t="n"/>
      <c r="B867" s="113" t="n"/>
      <c r="C867" s="114" t="n"/>
      <c r="D867" s="114" t="n"/>
      <c r="E867" s="115" t="n"/>
      <c r="F867" s="116">
        <f>IF($C867=0,0,$C867-$D867)</f>
        <v/>
      </c>
      <c r="G867" s="116">
        <f>IF($F867=0,0,$F867*$E867)</f>
        <v/>
      </c>
      <c r="H867" s="116">
        <f>$F867-$G867</f>
        <v/>
      </c>
      <c r="I867" s="112" t="n"/>
    </row>
    <row r="868" ht="15" customHeight="1" s="72">
      <c r="A868" s="112" t="n"/>
      <c r="B868" s="113" t="n"/>
      <c r="C868" s="114" t="n"/>
      <c r="D868" s="114" t="n"/>
      <c r="E868" s="115" t="n"/>
      <c r="F868" s="116">
        <f>IF($C868=0,0,$C868-$D868)</f>
        <v/>
      </c>
      <c r="G868" s="116">
        <f>IF($F868=0,0,$F868*$E868)</f>
        <v/>
      </c>
      <c r="H868" s="116">
        <f>$F868-$G868</f>
        <v/>
      </c>
      <c r="I868" s="112" t="n"/>
    </row>
    <row r="869" ht="15" customHeight="1" s="72">
      <c r="A869" s="112" t="n"/>
      <c r="B869" s="113" t="n"/>
      <c r="C869" s="114" t="n"/>
      <c r="D869" s="114" t="n"/>
      <c r="E869" s="115" t="n"/>
      <c r="F869" s="116">
        <f>IF($C869=0,0,$C869-$D869)</f>
        <v/>
      </c>
      <c r="G869" s="116">
        <f>IF($F869=0,0,$F869*$E869)</f>
        <v/>
      </c>
      <c r="H869" s="116">
        <f>$F869-$G869</f>
        <v/>
      </c>
      <c r="I869" s="112" t="n"/>
    </row>
    <row r="870" ht="15" customHeight="1" s="72">
      <c r="A870" s="112" t="n"/>
      <c r="B870" s="113" t="n"/>
      <c r="C870" s="114" t="n"/>
      <c r="D870" s="114" t="n"/>
      <c r="E870" s="115" t="n"/>
      <c r="F870" s="116">
        <f>IF($C870=0,0,$C870-$D870)</f>
        <v/>
      </c>
      <c r="G870" s="116">
        <f>IF($F870=0,0,$F870*$E870)</f>
        <v/>
      </c>
      <c r="H870" s="116">
        <f>$F870-$G870</f>
        <v/>
      </c>
      <c r="I870" s="112" t="n"/>
    </row>
    <row r="871" ht="15" customHeight="1" s="72">
      <c r="A871" s="112" t="n"/>
      <c r="B871" s="113" t="n"/>
      <c r="C871" s="114" t="n"/>
      <c r="D871" s="114" t="n"/>
      <c r="E871" s="115" t="n"/>
      <c r="F871" s="116">
        <f>IF($C871=0,0,$C871-$D871)</f>
        <v/>
      </c>
      <c r="G871" s="116">
        <f>IF($F871=0,0,$F871*$E871)</f>
        <v/>
      </c>
      <c r="H871" s="116">
        <f>$F871-$G871</f>
        <v/>
      </c>
      <c r="I871" s="112" t="n"/>
    </row>
    <row r="872" ht="15" customHeight="1" s="72">
      <c r="A872" s="112" t="n"/>
      <c r="B872" s="113" t="n"/>
      <c r="C872" s="114" t="n"/>
      <c r="D872" s="114" t="n"/>
      <c r="E872" s="115" t="n"/>
      <c r="F872" s="116">
        <f>IF($C872=0,0,$C872-$D872)</f>
        <v/>
      </c>
      <c r="G872" s="116">
        <f>IF($F872=0,0,$F872*$E872)</f>
        <v/>
      </c>
      <c r="H872" s="116">
        <f>$F872-$G872</f>
        <v/>
      </c>
      <c r="I872" s="112" t="n"/>
    </row>
    <row r="873" ht="15" customHeight="1" s="72">
      <c r="A873" s="112" t="n"/>
      <c r="B873" s="113" t="n"/>
      <c r="C873" s="114" t="n"/>
      <c r="D873" s="114" t="n"/>
      <c r="E873" s="115" t="n"/>
      <c r="F873" s="116">
        <f>IF($C873=0,0,$C873-$D873)</f>
        <v/>
      </c>
      <c r="G873" s="116">
        <f>IF($F873=0,0,$F873*$E873)</f>
        <v/>
      </c>
      <c r="H873" s="116">
        <f>$F873-$G873</f>
        <v/>
      </c>
      <c r="I873" s="112" t="n"/>
    </row>
    <row r="874" ht="15" customHeight="1" s="72">
      <c r="A874" s="112" t="n"/>
      <c r="B874" s="113" t="n"/>
      <c r="C874" s="114" t="n"/>
      <c r="D874" s="114" t="n"/>
      <c r="E874" s="115" t="n"/>
      <c r="F874" s="116">
        <f>IF($C874=0,0,$C874-$D874)</f>
        <v/>
      </c>
      <c r="G874" s="116">
        <f>IF($F874=0,0,$F874*$E874)</f>
        <v/>
      </c>
      <c r="H874" s="116">
        <f>$F874-$G874</f>
        <v/>
      </c>
      <c r="I874" s="112" t="n"/>
    </row>
    <row r="875" ht="15" customHeight="1" s="72">
      <c r="A875" s="112" t="n"/>
      <c r="B875" s="113" t="n"/>
      <c r="C875" s="114" t="n"/>
      <c r="D875" s="114" t="n"/>
      <c r="E875" s="115" t="n"/>
      <c r="F875" s="116">
        <f>IF($C875=0,0,$C875-$D875)</f>
        <v/>
      </c>
      <c r="G875" s="116">
        <f>IF($F875=0,0,$F875*$E875)</f>
        <v/>
      </c>
      <c r="H875" s="116">
        <f>$F875-$G875</f>
        <v/>
      </c>
      <c r="I875" s="112" t="n"/>
    </row>
    <row r="876" ht="15" customHeight="1" s="72">
      <c r="A876" s="112" t="n"/>
      <c r="B876" s="113" t="n"/>
      <c r="C876" s="114" t="n"/>
      <c r="D876" s="114" t="n"/>
      <c r="E876" s="115" t="n"/>
      <c r="F876" s="116">
        <f>IF($C876=0,0,$C876-$D876)</f>
        <v/>
      </c>
      <c r="G876" s="116">
        <f>IF($F876=0,0,$F876*$E876)</f>
        <v/>
      </c>
      <c r="H876" s="116">
        <f>$F876-$G876</f>
        <v/>
      </c>
      <c r="I876" s="112" t="n"/>
    </row>
    <row r="877" ht="15" customHeight="1" s="72">
      <c r="A877" s="112" t="n"/>
      <c r="B877" s="113" t="n"/>
      <c r="C877" s="114" t="n"/>
      <c r="D877" s="114" t="n"/>
      <c r="E877" s="115" t="n"/>
      <c r="F877" s="116">
        <f>IF($C877=0,0,$C877-$D877)</f>
        <v/>
      </c>
      <c r="G877" s="116">
        <f>IF($F877=0,0,$F877*$E877)</f>
        <v/>
      </c>
      <c r="H877" s="116">
        <f>$F877-$G877</f>
        <v/>
      </c>
      <c r="I877" s="112" t="n"/>
    </row>
    <row r="878" ht="15" customHeight="1" s="72">
      <c r="A878" s="112" t="n"/>
      <c r="B878" s="113" t="n"/>
      <c r="C878" s="114" t="n"/>
      <c r="D878" s="114" t="n"/>
      <c r="E878" s="115" t="n"/>
      <c r="F878" s="116">
        <f>IF($C878=0,0,$C878-$D878)</f>
        <v/>
      </c>
      <c r="G878" s="116">
        <f>IF($F878=0,0,$F878*$E878)</f>
        <v/>
      </c>
      <c r="H878" s="116">
        <f>$F878-$G878</f>
        <v/>
      </c>
      <c r="I878" s="112" t="n"/>
    </row>
    <row r="879" ht="15" customHeight="1" s="72">
      <c r="A879" s="112" t="n"/>
      <c r="B879" s="113" t="n"/>
      <c r="C879" s="114" t="n"/>
      <c r="D879" s="114" t="n"/>
      <c r="E879" s="115" t="n"/>
      <c r="F879" s="116">
        <f>IF($C879=0,0,$C879-$D879)</f>
        <v/>
      </c>
      <c r="G879" s="116">
        <f>IF($F879=0,0,$F879*$E879)</f>
        <v/>
      </c>
      <c r="H879" s="116">
        <f>$F879-$G879</f>
        <v/>
      </c>
      <c r="I879" s="112" t="n"/>
    </row>
    <row r="880" ht="15" customHeight="1" s="72">
      <c r="A880" s="112" t="n"/>
      <c r="B880" s="113" t="n"/>
      <c r="C880" s="114" t="n"/>
      <c r="D880" s="114" t="n"/>
      <c r="E880" s="115" t="n"/>
      <c r="F880" s="116">
        <f>IF($C880=0,0,$C880-$D880)</f>
        <v/>
      </c>
      <c r="G880" s="116">
        <f>IF($F880=0,0,$F880*$E880)</f>
        <v/>
      </c>
      <c r="H880" s="116">
        <f>$F880-$G880</f>
        <v/>
      </c>
      <c r="I880" s="112" t="n"/>
    </row>
    <row r="881" ht="15" customHeight="1" s="72">
      <c r="A881" s="112" t="n"/>
      <c r="B881" s="113" t="n"/>
      <c r="C881" s="114" t="n"/>
      <c r="D881" s="114" t="n"/>
      <c r="E881" s="115" t="n"/>
      <c r="F881" s="116">
        <f>IF($C881=0,0,$C881-$D881)</f>
        <v/>
      </c>
      <c r="G881" s="116">
        <f>IF($F881=0,0,$F881*$E881)</f>
        <v/>
      </c>
      <c r="H881" s="116">
        <f>$F881-$G881</f>
        <v/>
      </c>
      <c r="I881" s="112" t="n"/>
    </row>
    <row r="882" ht="15" customHeight="1" s="72">
      <c r="A882" s="112" t="n"/>
      <c r="B882" s="113" t="n"/>
      <c r="C882" s="114" t="n"/>
      <c r="D882" s="114" t="n"/>
      <c r="E882" s="115" t="n"/>
      <c r="F882" s="116">
        <f>IF($C882=0,0,$C882-$D882)</f>
        <v/>
      </c>
      <c r="G882" s="116">
        <f>IF($F882=0,0,$F882*$E882)</f>
        <v/>
      </c>
      <c r="H882" s="116">
        <f>$F882-$G882</f>
        <v/>
      </c>
      <c r="I882" s="112" t="n"/>
    </row>
    <row r="883" ht="15" customHeight="1" s="72">
      <c r="A883" s="112" t="n"/>
      <c r="B883" s="113" t="n"/>
      <c r="C883" s="114" t="n"/>
      <c r="D883" s="114" t="n"/>
      <c r="E883" s="115" t="n"/>
      <c r="F883" s="116">
        <f>IF($C883=0,0,$C883-$D883)</f>
        <v/>
      </c>
      <c r="G883" s="116">
        <f>IF($F883=0,0,$F883*$E883)</f>
        <v/>
      </c>
      <c r="H883" s="116">
        <f>$F883-$G883</f>
        <v/>
      </c>
      <c r="I883" s="112" t="n"/>
    </row>
    <row r="884" ht="15" customHeight="1" s="72">
      <c r="A884" s="112" t="n"/>
      <c r="B884" s="113" t="n"/>
      <c r="C884" s="114" t="n"/>
      <c r="D884" s="114" t="n"/>
      <c r="E884" s="115" t="n"/>
      <c r="F884" s="116">
        <f>IF($C884=0,0,$C884-$D884)</f>
        <v/>
      </c>
      <c r="G884" s="116">
        <f>IF($F884=0,0,$F884*$E884)</f>
        <v/>
      </c>
      <c r="H884" s="116">
        <f>$F884-$G884</f>
        <v/>
      </c>
      <c r="I884" s="112" t="n"/>
    </row>
    <row r="885" ht="15" customHeight="1" s="72">
      <c r="A885" s="112" t="n"/>
      <c r="B885" s="113" t="n"/>
      <c r="C885" s="114" t="n"/>
      <c r="D885" s="114" t="n"/>
      <c r="E885" s="115" t="n"/>
      <c r="F885" s="116">
        <f>IF($C885=0,0,$C885-$D885)</f>
        <v/>
      </c>
      <c r="G885" s="116">
        <f>IF($F885=0,0,$F885*$E885)</f>
        <v/>
      </c>
      <c r="H885" s="116">
        <f>$F885-$G885</f>
        <v/>
      </c>
      <c r="I885" s="112" t="n"/>
    </row>
    <row r="886" ht="15" customHeight="1" s="72">
      <c r="A886" s="112" t="n"/>
      <c r="B886" s="113" t="n"/>
      <c r="C886" s="114" t="n"/>
      <c r="D886" s="114" t="n"/>
      <c r="E886" s="115" t="n"/>
      <c r="F886" s="116">
        <f>IF($C886=0,0,$C886-$D886)</f>
        <v/>
      </c>
      <c r="G886" s="116">
        <f>IF($F886=0,0,$F886*$E886)</f>
        <v/>
      </c>
      <c r="H886" s="116">
        <f>$F886-$G886</f>
        <v/>
      </c>
      <c r="I886" s="112" t="n"/>
    </row>
    <row r="887" ht="15" customHeight="1" s="72">
      <c r="A887" s="112" t="n"/>
      <c r="B887" s="113" t="n"/>
      <c r="C887" s="114" t="n"/>
      <c r="D887" s="114" t="n"/>
      <c r="E887" s="115" t="n"/>
      <c r="F887" s="116">
        <f>IF($C887=0,0,$C887-$D887)</f>
        <v/>
      </c>
      <c r="G887" s="116">
        <f>IF($F887=0,0,$F887*$E887)</f>
        <v/>
      </c>
      <c r="H887" s="116">
        <f>$F887-$G887</f>
        <v/>
      </c>
      <c r="I887" s="112" t="n"/>
    </row>
    <row r="888" ht="15" customHeight="1" s="72">
      <c r="A888" s="112" t="n"/>
      <c r="B888" s="113" t="n"/>
      <c r="C888" s="114" t="n"/>
      <c r="D888" s="114" t="n"/>
      <c r="E888" s="115" t="n"/>
      <c r="F888" s="116">
        <f>IF($C888=0,0,$C888-$D888)</f>
        <v/>
      </c>
      <c r="G888" s="116">
        <f>IF($F888=0,0,$F888*$E888)</f>
        <v/>
      </c>
      <c r="H888" s="116">
        <f>$F888-$G888</f>
        <v/>
      </c>
      <c r="I888" s="112" t="n"/>
    </row>
    <row r="889" ht="15" customHeight="1" s="72">
      <c r="A889" s="112" t="n"/>
      <c r="B889" s="113" t="n"/>
      <c r="C889" s="114" t="n"/>
      <c r="D889" s="114" t="n"/>
      <c r="E889" s="115" t="n"/>
      <c r="F889" s="116">
        <f>IF($C889=0,0,$C889-$D889)</f>
        <v/>
      </c>
      <c r="G889" s="116">
        <f>IF($F889=0,0,$F889*$E889)</f>
        <v/>
      </c>
      <c r="H889" s="116">
        <f>$F889-$G889</f>
        <v/>
      </c>
      <c r="I889" s="112" t="n"/>
    </row>
    <row r="890" ht="15" customHeight="1" s="72">
      <c r="A890" s="112" t="n"/>
      <c r="B890" s="113" t="n"/>
      <c r="C890" s="114" t="n"/>
      <c r="D890" s="114" t="n"/>
      <c r="E890" s="115" t="n"/>
      <c r="F890" s="116">
        <f>IF($C890=0,0,$C890-$D890)</f>
        <v/>
      </c>
      <c r="G890" s="116">
        <f>IF($F890=0,0,$F890*$E890)</f>
        <v/>
      </c>
      <c r="H890" s="116">
        <f>$F890-$G890</f>
        <v/>
      </c>
      <c r="I890" s="112" t="n"/>
    </row>
    <row r="891" ht="15" customHeight="1" s="72">
      <c r="A891" s="112" t="n"/>
      <c r="B891" s="113" t="n"/>
      <c r="C891" s="114" t="n"/>
      <c r="D891" s="114" t="n"/>
      <c r="E891" s="115" t="n"/>
      <c r="F891" s="116">
        <f>IF($C891=0,0,$C891-$D891)</f>
        <v/>
      </c>
      <c r="G891" s="116">
        <f>IF($F891=0,0,$F891*$E891)</f>
        <v/>
      </c>
      <c r="H891" s="116">
        <f>$F891-$G891</f>
        <v/>
      </c>
      <c r="I891" s="112" t="n"/>
    </row>
    <row r="892" ht="15" customHeight="1" s="72">
      <c r="A892" s="112" t="n"/>
      <c r="B892" s="113" t="n"/>
      <c r="C892" s="114" t="n"/>
      <c r="D892" s="114" t="n"/>
      <c r="E892" s="115" t="n"/>
      <c r="F892" s="116">
        <f>IF($C892=0,0,$C892-$D892)</f>
        <v/>
      </c>
      <c r="G892" s="116">
        <f>IF($F892=0,0,$F892*$E892)</f>
        <v/>
      </c>
      <c r="H892" s="116">
        <f>$F892-$G892</f>
        <v/>
      </c>
      <c r="I892" s="112" t="n"/>
    </row>
    <row r="893" ht="15" customHeight="1" s="72">
      <c r="A893" s="112" t="n"/>
      <c r="B893" s="113" t="n"/>
      <c r="C893" s="114" t="n"/>
      <c r="D893" s="114" t="n"/>
      <c r="E893" s="115" t="n"/>
      <c r="F893" s="116">
        <f>IF($C893=0,0,$C893-$D893)</f>
        <v/>
      </c>
      <c r="G893" s="116">
        <f>IF($F893=0,0,$F893*$E893)</f>
        <v/>
      </c>
      <c r="H893" s="116">
        <f>$F893-$G893</f>
        <v/>
      </c>
      <c r="I893" s="112" t="n"/>
    </row>
    <row r="894" ht="15" customHeight="1" s="72">
      <c r="A894" s="112" t="n"/>
      <c r="B894" s="113" t="n"/>
      <c r="C894" s="114" t="n"/>
      <c r="D894" s="114" t="n"/>
      <c r="E894" s="115" t="n"/>
      <c r="F894" s="116">
        <f>IF($C894=0,0,$C894-$D894)</f>
        <v/>
      </c>
      <c r="G894" s="116">
        <f>IF($F894=0,0,$F894*$E894)</f>
        <v/>
      </c>
      <c r="H894" s="116">
        <f>$F894-$G894</f>
        <v/>
      </c>
      <c r="I894" s="112" t="n"/>
    </row>
    <row r="895" ht="15" customHeight="1" s="72">
      <c r="A895" s="112" t="n"/>
      <c r="B895" s="113" t="n"/>
      <c r="C895" s="114" t="n"/>
      <c r="D895" s="114" t="n"/>
      <c r="E895" s="115" t="n"/>
      <c r="F895" s="116">
        <f>IF($C895=0,0,$C895-$D895)</f>
        <v/>
      </c>
      <c r="G895" s="116">
        <f>IF($F895=0,0,$F895*$E895)</f>
        <v/>
      </c>
      <c r="H895" s="116">
        <f>$F895-$G895</f>
        <v/>
      </c>
      <c r="I895" s="112" t="n"/>
    </row>
    <row r="896" ht="15" customHeight="1" s="72">
      <c r="A896" s="112" t="n"/>
      <c r="B896" s="113" t="n"/>
      <c r="C896" s="114" t="n"/>
      <c r="D896" s="114" t="n"/>
      <c r="E896" s="115" t="n"/>
      <c r="F896" s="116">
        <f>IF($C896=0,0,$C896-$D896)</f>
        <v/>
      </c>
      <c r="G896" s="116">
        <f>IF($F896=0,0,$F896*$E896)</f>
        <v/>
      </c>
      <c r="H896" s="116">
        <f>$F896-$G896</f>
        <v/>
      </c>
      <c r="I896" s="112" t="n"/>
    </row>
    <row r="897" ht="15" customHeight="1" s="72">
      <c r="A897" s="112" t="n"/>
      <c r="B897" s="113" t="n"/>
      <c r="C897" s="114" t="n"/>
      <c r="D897" s="114" t="n"/>
      <c r="E897" s="115" t="n"/>
      <c r="F897" s="116">
        <f>IF($C897=0,0,$C897-$D897)</f>
        <v/>
      </c>
      <c r="G897" s="116">
        <f>IF($F897=0,0,$F897*$E897)</f>
        <v/>
      </c>
      <c r="H897" s="116">
        <f>$F897-$G897</f>
        <v/>
      </c>
      <c r="I897" s="112" t="n"/>
    </row>
    <row r="898" ht="15" customHeight="1" s="72">
      <c r="A898" s="112" t="n"/>
      <c r="B898" s="113" t="n"/>
      <c r="C898" s="114" t="n"/>
      <c r="D898" s="114" t="n"/>
      <c r="E898" s="115" t="n"/>
      <c r="F898" s="116">
        <f>IF($C898=0,0,$C898-$D898)</f>
        <v/>
      </c>
      <c r="G898" s="116">
        <f>IF($F898=0,0,$F898*$E898)</f>
        <v/>
      </c>
      <c r="H898" s="116">
        <f>$F898-$G898</f>
        <v/>
      </c>
      <c r="I898" s="112" t="n"/>
    </row>
    <row r="899" ht="15" customHeight="1" s="72">
      <c r="A899" s="112" t="n"/>
      <c r="B899" s="113" t="n"/>
      <c r="C899" s="114" t="n"/>
      <c r="D899" s="114" t="n"/>
      <c r="E899" s="115" t="n"/>
      <c r="F899" s="116">
        <f>IF($C899=0,0,$C899-$D899)</f>
        <v/>
      </c>
      <c r="G899" s="116">
        <f>IF($F899=0,0,$F899*$E899)</f>
        <v/>
      </c>
      <c r="H899" s="116">
        <f>$F899-$G899</f>
        <v/>
      </c>
      <c r="I899" s="112" t="n"/>
    </row>
    <row r="900" ht="15" customHeight="1" s="72">
      <c r="A900" s="112" t="n"/>
      <c r="B900" s="113" t="n"/>
      <c r="C900" s="114" t="n"/>
      <c r="D900" s="114" t="n"/>
      <c r="E900" s="115" t="n"/>
      <c r="F900" s="116">
        <f>IF($C900=0,0,$C900-$D900)</f>
        <v/>
      </c>
      <c r="G900" s="116">
        <f>IF($F900=0,0,$F900*$E900)</f>
        <v/>
      </c>
      <c r="H900" s="116">
        <f>$F900-$G900</f>
        <v/>
      </c>
      <c r="I900" s="112" t="n"/>
    </row>
    <row r="901" ht="15" customHeight="1" s="72">
      <c r="A901" s="112" t="n"/>
      <c r="B901" s="113" t="n"/>
      <c r="C901" s="114" t="n"/>
      <c r="D901" s="114" t="n"/>
      <c r="E901" s="115" t="n"/>
      <c r="F901" s="116">
        <f>IF($C901=0,0,$C901-$D901)</f>
        <v/>
      </c>
      <c r="G901" s="116">
        <f>IF($F901=0,0,$F901*$E901)</f>
        <v/>
      </c>
      <c r="H901" s="116">
        <f>$F901-$G901</f>
        <v/>
      </c>
      <c r="I901" s="112" t="n"/>
    </row>
    <row r="902" ht="15" customHeight="1" s="72">
      <c r="A902" s="112" t="n"/>
      <c r="B902" s="113" t="n"/>
      <c r="C902" s="114" t="n"/>
      <c r="D902" s="114" t="n"/>
      <c r="E902" s="115" t="n"/>
      <c r="F902" s="116">
        <f>IF($C902=0,0,$C902-$D902)</f>
        <v/>
      </c>
      <c r="G902" s="116">
        <f>IF($F902=0,0,$F902*$E902)</f>
        <v/>
      </c>
      <c r="H902" s="116">
        <f>$F902-$G902</f>
        <v/>
      </c>
      <c r="I902" s="112" t="n"/>
    </row>
    <row r="903" ht="15" customHeight="1" s="72">
      <c r="A903" s="112" t="n"/>
      <c r="B903" s="113" t="n"/>
      <c r="C903" s="114" t="n"/>
      <c r="D903" s="114" t="n"/>
      <c r="E903" s="115" t="n"/>
      <c r="F903" s="116">
        <f>IF($C903=0,0,$C903-$D903)</f>
        <v/>
      </c>
      <c r="G903" s="116">
        <f>IF($F903=0,0,$F903*$E903)</f>
        <v/>
      </c>
      <c r="H903" s="116">
        <f>$F903-$G903</f>
        <v/>
      </c>
      <c r="I903" s="112" t="n"/>
    </row>
    <row r="904" ht="15" customHeight="1" s="72">
      <c r="A904" s="112" t="n"/>
      <c r="B904" s="113" t="n"/>
      <c r="C904" s="114" t="n"/>
      <c r="D904" s="114" t="n"/>
      <c r="E904" s="115" t="n"/>
      <c r="F904" s="116">
        <f>IF($C904=0,0,$C904-$D904)</f>
        <v/>
      </c>
      <c r="G904" s="116">
        <f>IF($F904=0,0,$F904*$E904)</f>
        <v/>
      </c>
      <c r="H904" s="116">
        <f>$F904-$G904</f>
        <v/>
      </c>
      <c r="I904" s="112" t="n"/>
    </row>
    <row r="905" ht="15" customHeight="1" s="72">
      <c r="A905" s="112" t="n"/>
      <c r="B905" s="113" t="n"/>
      <c r="C905" s="114" t="n"/>
      <c r="D905" s="114" t="n"/>
      <c r="E905" s="115" t="n"/>
      <c r="F905" s="116">
        <f>IF($C905=0,0,$C905-$D905)</f>
        <v/>
      </c>
      <c r="G905" s="116">
        <f>IF($F905=0,0,$F905*$E905)</f>
        <v/>
      </c>
      <c r="H905" s="116">
        <f>$F905-$G905</f>
        <v/>
      </c>
      <c r="I905" s="112" t="n"/>
    </row>
    <row r="906" ht="15" customHeight="1" s="72">
      <c r="A906" s="112" t="n"/>
      <c r="B906" s="113" t="n"/>
      <c r="C906" s="114" t="n"/>
      <c r="D906" s="114" t="n"/>
      <c r="E906" s="115" t="n"/>
      <c r="F906" s="116">
        <f>IF($C906=0,0,$C906-$D906)</f>
        <v/>
      </c>
      <c r="G906" s="116">
        <f>IF($F906=0,0,$F906*$E906)</f>
        <v/>
      </c>
      <c r="H906" s="116">
        <f>$F906-$G906</f>
        <v/>
      </c>
      <c r="I906" s="112" t="n"/>
    </row>
    <row r="907" ht="15" customHeight="1" s="72">
      <c r="A907" s="112" t="n"/>
      <c r="B907" s="113" t="n"/>
      <c r="C907" s="114" t="n"/>
      <c r="D907" s="114" t="n"/>
      <c r="E907" s="115" t="n"/>
      <c r="F907" s="116">
        <f>IF($C907=0,0,$C907-$D907)</f>
        <v/>
      </c>
      <c r="G907" s="116">
        <f>IF($F907=0,0,$F907*$E907)</f>
        <v/>
      </c>
      <c r="H907" s="116">
        <f>$F907-$G907</f>
        <v/>
      </c>
      <c r="I907" s="112" t="n"/>
    </row>
    <row r="908" ht="15" customHeight="1" s="72">
      <c r="A908" s="112" t="n"/>
      <c r="B908" s="113" t="n"/>
      <c r="C908" s="114" t="n"/>
      <c r="D908" s="114" t="n"/>
      <c r="E908" s="115" t="n"/>
      <c r="F908" s="116">
        <f>IF($C908=0,0,$C908-$D908)</f>
        <v/>
      </c>
      <c r="G908" s="116">
        <f>IF($F908=0,0,$F908*$E908)</f>
        <v/>
      </c>
      <c r="H908" s="116">
        <f>$F908-$G908</f>
        <v/>
      </c>
      <c r="I908" s="112" t="n"/>
    </row>
    <row r="909" ht="15" customHeight="1" s="72">
      <c r="A909" s="112" t="n"/>
      <c r="B909" s="113" t="n"/>
      <c r="C909" s="114" t="n"/>
      <c r="D909" s="114" t="n"/>
      <c r="E909" s="115" t="n"/>
      <c r="F909" s="116">
        <f>IF($C909=0,0,$C909-$D909)</f>
        <v/>
      </c>
      <c r="G909" s="116">
        <f>IF($F909=0,0,$F909*$E909)</f>
        <v/>
      </c>
      <c r="H909" s="116">
        <f>$F909-$G909</f>
        <v/>
      </c>
      <c r="I909" s="112" t="n"/>
    </row>
    <row r="910" ht="15" customHeight="1" s="72">
      <c r="A910" s="112" t="n"/>
      <c r="B910" s="113" t="n"/>
      <c r="C910" s="114" t="n"/>
      <c r="D910" s="114" t="n"/>
      <c r="E910" s="115" t="n"/>
      <c r="F910" s="116">
        <f>IF($C910=0,0,$C910-$D910)</f>
        <v/>
      </c>
      <c r="G910" s="116">
        <f>IF($F910=0,0,$F910*$E910)</f>
        <v/>
      </c>
      <c r="H910" s="116">
        <f>$F910-$G910</f>
        <v/>
      </c>
      <c r="I910" s="112" t="n"/>
    </row>
    <row r="911" ht="15" customHeight="1" s="72">
      <c r="A911" s="112" t="n"/>
      <c r="B911" s="113" t="n"/>
      <c r="C911" s="114" t="n"/>
      <c r="D911" s="114" t="n"/>
      <c r="E911" s="115" t="n"/>
      <c r="F911" s="116">
        <f>IF($C911=0,0,$C911-$D911)</f>
        <v/>
      </c>
      <c r="G911" s="116">
        <f>IF($F911=0,0,$F911*$E911)</f>
        <v/>
      </c>
      <c r="H911" s="116">
        <f>$F911-$G911</f>
        <v/>
      </c>
      <c r="I911" s="112" t="n"/>
    </row>
    <row r="912" ht="15" customHeight="1" s="72">
      <c r="A912" s="112" t="n"/>
      <c r="B912" s="113" t="n"/>
      <c r="C912" s="114" t="n"/>
      <c r="D912" s="114" t="n"/>
      <c r="E912" s="115" t="n"/>
      <c r="F912" s="116">
        <f>IF($C912=0,0,$C912-$D912)</f>
        <v/>
      </c>
      <c r="G912" s="116">
        <f>IF($F912=0,0,$F912*$E912)</f>
        <v/>
      </c>
      <c r="H912" s="116">
        <f>$F912-$G912</f>
        <v/>
      </c>
      <c r="I912" s="112" t="n"/>
    </row>
    <row r="913" ht="15" customHeight="1" s="72">
      <c r="A913" s="112" t="n"/>
      <c r="B913" s="113" t="n"/>
      <c r="C913" s="114" t="n"/>
      <c r="D913" s="114" t="n"/>
      <c r="E913" s="115" t="n"/>
      <c r="F913" s="116">
        <f>IF($C913=0,0,$C913-$D913)</f>
        <v/>
      </c>
      <c r="G913" s="116">
        <f>IF($F913=0,0,$F913*$E913)</f>
        <v/>
      </c>
      <c r="H913" s="116">
        <f>$F913-$G913</f>
        <v/>
      </c>
      <c r="I913" s="112" t="n"/>
    </row>
    <row r="914" ht="15" customHeight="1" s="72">
      <c r="A914" s="112" t="n"/>
      <c r="B914" s="113" t="n"/>
      <c r="C914" s="114" t="n"/>
      <c r="D914" s="114" t="n"/>
      <c r="E914" s="115" t="n"/>
      <c r="F914" s="116">
        <f>IF($C914=0,0,$C914-$D914)</f>
        <v/>
      </c>
      <c r="G914" s="116">
        <f>IF($F914=0,0,$F914*$E914)</f>
        <v/>
      </c>
      <c r="H914" s="116">
        <f>$F914-$G914</f>
        <v/>
      </c>
      <c r="I914" s="112" t="n"/>
    </row>
    <row r="915" ht="15" customHeight="1" s="72">
      <c r="A915" s="112" t="n"/>
      <c r="B915" s="113" t="n"/>
      <c r="C915" s="114" t="n"/>
      <c r="D915" s="114" t="n"/>
      <c r="E915" s="115" t="n"/>
      <c r="F915" s="116">
        <f>IF($C915=0,0,$C915-$D915)</f>
        <v/>
      </c>
      <c r="G915" s="116">
        <f>IF($F915=0,0,$F915*$E915)</f>
        <v/>
      </c>
      <c r="H915" s="116">
        <f>$F915-$G915</f>
        <v/>
      </c>
      <c r="I915" s="112" t="n"/>
    </row>
    <row r="916" ht="15" customHeight="1" s="72">
      <c r="A916" s="112" t="n"/>
      <c r="B916" s="113" t="n"/>
      <c r="C916" s="114" t="n"/>
      <c r="D916" s="114" t="n"/>
      <c r="E916" s="115" t="n"/>
      <c r="F916" s="116">
        <f>IF($C916=0,0,$C916-$D916)</f>
        <v/>
      </c>
      <c r="G916" s="116">
        <f>IF($F916=0,0,$F916*$E916)</f>
        <v/>
      </c>
      <c r="H916" s="116">
        <f>$F916-$G916</f>
        <v/>
      </c>
      <c r="I916" s="112" t="n"/>
    </row>
    <row r="917" ht="15" customHeight="1" s="72">
      <c r="A917" s="112" t="n"/>
      <c r="B917" s="113" t="n"/>
      <c r="C917" s="114" t="n"/>
      <c r="D917" s="114" t="n"/>
      <c r="E917" s="115" t="n"/>
      <c r="F917" s="116">
        <f>IF($C917=0,0,$C917-$D917)</f>
        <v/>
      </c>
      <c r="G917" s="116">
        <f>IF($F917=0,0,$F917*$E917)</f>
        <v/>
      </c>
      <c r="H917" s="116">
        <f>$F917-$G917</f>
        <v/>
      </c>
      <c r="I917" s="112" t="n"/>
    </row>
    <row r="918" ht="15" customHeight="1" s="72">
      <c r="A918" s="112" t="n"/>
      <c r="B918" s="113" t="n"/>
      <c r="C918" s="114" t="n"/>
      <c r="D918" s="114" t="n"/>
      <c r="E918" s="115" t="n"/>
      <c r="F918" s="116">
        <f>IF($C918=0,0,$C918-$D918)</f>
        <v/>
      </c>
      <c r="G918" s="116">
        <f>IF($F918=0,0,$F918*$E918)</f>
        <v/>
      </c>
      <c r="H918" s="116">
        <f>$F918-$G918</f>
        <v/>
      </c>
      <c r="I918" s="112" t="n"/>
    </row>
    <row r="919" ht="15" customHeight="1" s="72">
      <c r="A919" s="112" t="n"/>
      <c r="B919" s="113" t="n"/>
      <c r="C919" s="114" t="n"/>
      <c r="D919" s="114" t="n"/>
      <c r="E919" s="115" t="n"/>
      <c r="F919" s="116">
        <f>IF($C919=0,0,$C919-$D919)</f>
        <v/>
      </c>
      <c r="G919" s="116">
        <f>IF($F919=0,0,$F919*$E919)</f>
        <v/>
      </c>
      <c r="H919" s="116">
        <f>$F919-$G919</f>
        <v/>
      </c>
      <c r="I919" s="112" t="n"/>
    </row>
    <row r="920" ht="15" customHeight="1" s="72">
      <c r="A920" s="112" t="n"/>
      <c r="B920" s="113" t="n"/>
      <c r="C920" s="114" t="n"/>
      <c r="D920" s="114" t="n"/>
      <c r="E920" s="115" t="n"/>
      <c r="F920" s="116">
        <f>IF($C920=0,0,$C920-$D920)</f>
        <v/>
      </c>
      <c r="G920" s="116">
        <f>IF($F920=0,0,$F920*$E920)</f>
        <v/>
      </c>
      <c r="H920" s="116">
        <f>$F920-$G920</f>
        <v/>
      </c>
      <c r="I920" s="112" t="n"/>
    </row>
    <row r="921" ht="15" customHeight="1" s="72">
      <c r="A921" s="112" t="n"/>
      <c r="B921" s="113" t="n"/>
      <c r="C921" s="114" t="n"/>
      <c r="D921" s="114" t="n"/>
      <c r="E921" s="115" t="n"/>
      <c r="F921" s="116">
        <f>IF($C921=0,0,$C921-$D921)</f>
        <v/>
      </c>
      <c r="G921" s="116">
        <f>IF($F921=0,0,$F921*$E921)</f>
        <v/>
      </c>
      <c r="H921" s="116">
        <f>$F921-$G921</f>
        <v/>
      </c>
      <c r="I921" s="112" t="n"/>
    </row>
    <row r="922" ht="15" customHeight="1" s="72">
      <c r="A922" s="112" t="n"/>
      <c r="B922" s="113" t="n"/>
      <c r="C922" s="114" t="n"/>
      <c r="D922" s="114" t="n"/>
      <c r="E922" s="115" t="n"/>
      <c r="F922" s="116">
        <f>IF($C922=0,0,$C922-$D922)</f>
        <v/>
      </c>
      <c r="G922" s="116">
        <f>IF($F922=0,0,$F922*$E922)</f>
        <v/>
      </c>
      <c r="H922" s="116">
        <f>$F922-$G922</f>
        <v/>
      </c>
      <c r="I922" s="112" t="n"/>
    </row>
    <row r="923" ht="15" customHeight="1" s="72">
      <c r="A923" s="112" t="n"/>
      <c r="B923" s="113" t="n"/>
      <c r="C923" s="114" t="n"/>
      <c r="D923" s="114" t="n"/>
      <c r="E923" s="115" t="n"/>
      <c r="F923" s="116">
        <f>IF($C923=0,0,$C923-$D923)</f>
        <v/>
      </c>
      <c r="G923" s="116">
        <f>IF($F923=0,0,$F923*$E923)</f>
        <v/>
      </c>
      <c r="H923" s="116">
        <f>$F923-$G923</f>
        <v/>
      </c>
      <c r="I923" s="112" t="n"/>
    </row>
    <row r="924" ht="15" customHeight="1" s="72">
      <c r="A924" s="112" t="n"/>
      <c r="B924" s="113" t="n"/>
      <c r="C924" s="114" t="n"/>
      <c r="D924" s="114" t="n"/>
      <c r="E924" s="115" t="n"/>
      <c r="F924" s="116">
        <f>IF($C924=0,0,$C924-$D924)</f>
        <v/>
      </c>
      <c r="G924" s="116">
        <f>IF($F924=0,0,$F924*$E924)</f>
        <v/>
      </c>
      <c r="H924" s="116">
        <f>$F924-$G924</f>
        <v/>
      </c>
      <c r="I924" s="112" t="n"/>
    </row>
    <row r="925" ht="15" customHeight="1" s="72">
      <c r="A925" s="112" t="n"/>
      <c r="B925" s="113" t="n"/>
      <c r="C925" s="114" t="n"/>
      <c r="D925" s="114" t="n"/>
      <c r="E925" s="115" t="n"/>
      <c r="F925" s="116">
        <f>IF($C925=0,0,$C925-$D925)</f>
        <v/>
      </c>
      <c r="G925" s="116">
        <f>IF($F925=0,0,$F925*$E925)</f>
        <v/>
      </c>
      <c r="H925" s="116">
        <f>$F925-$G925</f>
        <v/>
      </c>
      <c r="I925" s="112" t="n"/>
    </row>
    <row r="926" ht="15" customHeight="1" s="72">
      <c r="A926" s="112" t="n"/>
      <c r="B926" s="113" t="n"/>
      <c r="C926" s="114" t="n"/>
      <c r="D926" s="114" t="n"/>
      <c r="E926" s="115" t="n"/>
      <c r="F926" s="116">
        <f>IF($C926=0,0,$C926-$D926)</f>
        <v/>
      </c>
      <c r="G926" s="116">
        <f>IF($F926=0,0,$F926*$E926)</f>
        <v/>
      </c>
      <c r="H926" s="116">
        <f>$F926-$G926</f>
        <v/>
      </c>
      <c r="I926" s="112" t="n"/>
    </row>
    <row r="927" ht="15" customHeight="1" s="72">
      <c r="A927" s="112" t="n"/>
      <c r="B927" s="113" t="n"/>
      <c r="C927" s="114" t="n"/>
      <c r="D927" s="114" t="n"/>
      <c r="E927" s="115" t="n"/>
      <c r="F927" s="116">
        <f>IF($C927=0,0,$C927-$D927)</f>
        <v/>
      </c>
      <c r="G927" s="116">
        <f>IF($F927=0,0,$F927*$E927)</f>
        <v/>
      </c>
      <c r="H927" s="116">
        <f>$F927-$G927</f>
        <v/>
      </c>
      <c r="I927" s="112" t="n"/>
    </row>
    <row r="928" ht="15" customHeight="1" s="72">
      <c r="A928" s="112" t="n"/>
      <c r="B928" s="113" t="n"/>
      <c r="C928" s="114" t="n"/>
      <c r="D928" s="114" t="n"/>
      <c r="E928" s="115" t="n"/>
      <c r="F928" s="116">
        <f>IF($C928=0,0,$C928-$D928)</f>
        <v/>
      </c>
      <c r="G928" s="116">
        <f>IF($F928=0,0,$F928*$E928)</f>
        <v/>
      </c>
      <c r="H928" s="116">
        <f>$F928-$G928</f>
        <v/>
      </c>
      <c r="I928" s="112" t="n"/>
    </row>
    <row r="929" ht="15" customHeight="1" s="72">
      <c r="A929" s="112" t="n"/>
      <c r="B929" s="113" t="n"/>
      <c r="C929" s="114" t="n"/>
      <c r="D929" s="114" t="n"/>
      <c r="E929" s="115" t="n"/>
      <c r="F929" s="116">
        <f>IF($C929=0,0,$C929-$D929)</f>
        <v/>
      </c>
      <c r="G929" s="116">
        <f>IF($F929=0,0,$F929*$E929)</f>
        <v/>
      </c>
      <c r="H929" s="116">
        <f>$F929-$G929</f>
        <v/>
      </c>
      <c r="I929" s="112" t="n"/>
    </row>
    <row r="930" ht="15" customHeight="1" s="72">
      <c r="A930" s="112" t="n"/>
      <c r="B930" s="113" t="n"/>
      <c r="C930" s="114" t="n"/>
      <c r="D930" s="114" t="n"/>
      <c r="E930" s="115" t="n"/>
      <c r="F930" s="116">
        <f>IF($C930=0,0,$C930-$D930)</f>
        <v/>
      </c>
      <c r="G930" s="116">
        <f>IF($F930=0,0,$F930*$E930)</f>
        <v/>
      </c>
      <c r="H930" s="116">
        <f>$F930-$G930</f>
        <v/>
      </c>
      <c r="I930" s="112" t="n"/>
    </row>
    <row r="931" ht="15" customHeight="1" s="72">
      <c r="A931" s="112" t="n"/>
      <c r="B931" s="113" t="n"/>
      <c r="C931" s="114" t="n"/>
      <c r="D931" s="114" t="n"/>
      <c r="E931" s="115" t="n"/>
      <c r="F931" s="116">
        <f>IF($C931=0,0,$C931-$D931)</f>
        <v/>
      </c>
      <c r="G931" s="116">
        <f>IF($F931=0,0,$F931*$E931)</f>
        <v/>
      </c>
      <c r="H931" s="116">
        <f>$F931-$G931</f>
        <v/>
      </c>
      <c r="I931" s="112" t="n"/>
    </row>
    <row r="932" ht="15" customHeight="1" s="72">
      <c r="A932" s="112" t="n"/>
      <c r="B932" s="113" t="n"/>
      <c r="C932" s="114" t="n"/>
      <c r="D932" s="114" t="n"/>
      <c r="E932" s="115" t="n"/>
      <c r="F932" s="116">
        <f>IF($C932=0,0,$C932-$D932)</f>
        <v/>
      </c>
      <c r="G932" s="116">
        <f>IF($F932=0,0,$F932*$E932)</f>
        <v/>
      </c>
      <c r="H932" s="116">
        <f>$F932-$G932</f>
        <v/>
      </c>
      <c r="I932" s="112" t="n"/>
    </row>
    <row r="933" ht="15" customHeight="1" s="72">
      <c r="A933" s="112" t="n"/>
      <c r="B933" s="113" t="n"/>
      <c r="C933" s="114" t="n"/>
      <c r="D933" s="114" t="n"/>
      <c r="E933" s="115" t="n"/>
      <c r="F933" s="116">
        <f>IF($C933=0,0,$C933-$D933)</f>
        <v/>
      </c>
      <c r="G933" s="116">
        <f>IF($F933=0,0,$F933*$E933)</f>
        <v/>
      </c>
      <c r="H933" s="116">
        <f>$F933-$G933</f>
        <v/>
      </c>
      <c r="I933" s="112" t="n"/>
    </row>
    <row r="934" ht="15" customHeight="1" s="72">
      <c r="A934" s="112" t="n"/>
      <c r="B934" s="113" t="n"/>
      <c r="C934" s="114" t="n"/>
      <c r="D934" s="114" t="n"/>
      <c r="E934" s="115" t="n"/>
      <c r="F934" s="116">
        <f>IF($C934=0,0,$C934-$D934)</f>
        <v/>
      </c>
      <c r="G934" s="116">
        <f>IF($F934=0,0,$F934*$E934)</f>
        <v/>
      </c>
      <c r="H934" s="116">
        <f>$F934-$G934</f>
        <v/>
      </c>
      <c r="I934" s="112" t="n"/>
    </row>
    <row r="935" ht="15" customHeight="1" s="72">
      <c r="A935" s="112" t="n"/>
      <c r="B935" s="113" t="n"/>
      <c r="C935" s="114" t="n"/>
      <c r="D935" s="114" t="n"/>
      <c r="E935" s="115" t="n"/>
      <c r="F935" s="116">
        <f>IF($C935=0,0,$C935-$D935)</f>
        <v/>
      </c>
      <c r="G935" s="116">
        <f>IF($F935=0,0,$F935*$E935)</f>
        <v/>
      </c>
      <c r="H935" s="116">
        <f>$F935-$G935</f>
        <v/>
      </c>
      <c r="I935" s="112" t="n"/>
    </row>
    <row r="936" ht="15" customHeight="1" s="72">
      <c r="A936" s="112" t="n"/>
      <c r="B936" s="113" t="n"/>
      <c r="C936" s="114" t="n"/>
      <c r="D936" s="114" t="n"/>
      <c r="E936" s="115" t="n"/>
      <c r="F936" s="116">
        <f>IF($C936=0,0,$C936-$D936)</f>
        <v/>
      </c>
      <c r="G936" s="116">
        <f>IF($F936=0,0,$F936*$E936)</f>
        <v/>
      </c>
      <c r="H936" s="116">
        <f>$F936-$G936</f>
        <v/>
      </c>
      <c r="I936" s="112" t="n"/>
    </row>
    <row r="937" ht="15" customHeight="1" s="72">
      <c r="A937" s="112" t="n"/>
      <c r="B937" s="113" t="n"/>
      <c r="C937" s="114" t="n"/>
      <c r="D937" s="114" t="n"/>
      <c r="E937" s="115" t="n"/>
      <c r="F937" s="116">
        <f>IF($C937=0,0,$C937-$D937)</f>
        <v/>
      </c>
      <c r="G937" s="116">
        <f>IF($F937=0,0,$F937*$E937)</f>
        <v/>
      </c>
      <c r="H937" s="116">
        <f>$F937-$G937</f>
        <v/>
      </c>
      <c r="I937" s="112" t="n"/>
    </row>
    <row r="938" ht="15" customHeight="1" s="72">
      <c r="A938" s="112" t="n"/>
      <c r="B938" s="113" t="n"/>
      <c r="C938" s="114" t="n"/>
      <c r="D938" s="114" t="n"/>
      <c r="E938" s="115" t="n"/>
      <c r="F938" s="116">
        <f>IF($C938=0,0,$C938-$D938)</f>
        <v/>
      </c>
      <c r="G938" s="116">
        <f>IF($F938=0,0,$F938*$E938)</f>
        <v/>
      </c>
      <c r="H938" s="116">
        <f>$F938-$G938</f>
        <v/>
      </c>
      <c r="I938" s="112" t="n"/>
    </row>
    <row r="939" ht="15" customHeight="1" s="72">
      <c r="A939" s="112" t="n"/>
      <c r="B939" s="113" t="n"/>
      <c r="C939" s="114" t="n"/>
      <c r="D939" s="114" t="n"/>
      <c r="E939" s="115" t="n"/>
      <c r="F939" s="116">
        <f>IF($C939=0,0,$C939-$D939)</f>
        <v/>
      </c>
      <c r="G939" s="116">
        <f>IF($F939=0,0,$F939*$E939)</f>
        <v/>
      </c>
      <c r="H939" s="116">
        <f>$F939-$G939</f>
        <v/>
      </c>
      <c r="I939" s="112" t="n"/>
    </row>
    <row r="940" ht="15" customHeight="1" s="72">
      <c r="A940" s="112" t="n"/>
      <c r="B940" s="113" t="n"/>
      <c r="C940" s="114" t="n"/>
      <c r="D940" s="114" t="n"/>
      <c r="E940" s="115" t="n"/>
      <c r="F940" s="116">
        <f>IF($C940=0,0,$C940-$D940)</f>
        <v/>
      </c>
      <c r="G940" s="116">
        <f>IF($F940=0,0,$F940*$E940)</f>
        <v/>
      </c>
      <c r="H940" s="116">
        <f>$F940-$G940</f>
        <v/>
      </c>
      <c r="I940" s="112" t="n"/>
    </row>
    <row r="941" ht="15" customHeight="1" s="72">
      <c r="A941" s="112" t="n"/>
      <c r="B941" s="113" t="n"/>
      <c r="C941" s="114" t="n"/>
      <c r="D941" s="114" t="n"/>
      <c r="E941" s="115" t="n"/>
      <c r="F941" s="116">
        <f>IF($C941=0,0,$C941-$D941)</f>
        <v/>
      </c>
      <c r="G941" s="116">
        <f>IF($F941=0,0,$F941*$E941)</f>
        <v/>
      </c>
      <c r="H941" s="116">
        <f>$F941-$G941</f>
        <v/>
      </c>
      <c r="I941" s="112" t="n"/>
    </row>
    <row r="942" ht="15" customHeight="1" s="72">
      <c r="A942" s="112" t="n"/>
      <c r="B942" s="113" t="n"/>
      <c r="C942" s="114" t="n"/>
      <c r="D942" s="114" t="n"/>
      <c r="E942" s="115" t="n"/>
      <c r="F942" s="116">
        <f>IF($C942=0,0,$C942-$D942)</f>
        <v/>
      </c>
      <c r="G942" s="116">
        <f>IF($F942=0,0,$F942*$E942)</f>
        <v/>
      </c>
      <c r="H942" s="116">
        <f>$F942-$G942</f>
        <v/>
      </c>
      <c r="I942" s="112" t="n"/>
    </row>
    <row r="943" ht="15" customHeight="1" s="72">
      <c r="A943" s="112" t="n"/>
      <c r="B943" s="113" t="n"/>
      <c r="C943" s="114" t="n"/>
      <c r="D943" s="114" t="n"/>
      <c r="E943" s="115" t="n"/>
      <c r="F943" s="116">
        <f>IF($C943=0,0,$C943-$D943)</f>
        <v/>
      </c>
      <c r="G943" s="116">
        <f>IF($F943=0,0,$F943*$E943)</f>
        <v/>
      </c>
      <c r="H943" s="116">
        <f>$F943-$G943</f>
        <v/>
      </c>
      <c r="I943" s="112" t="n"/>
    </row>
    <row r="944" ht="15" customHeight="1" s="72">
      <c r="A944" s="112" t="n"/>
      <c r="B944" s="113" t="n"/>
      <c r="C944" s="114" t="n"/>
      <c r="D944" s="114" t="n"/>
      <c r="E944" s="115" t="n"/>
      <c r="F944" s="116">
        <f>IF($C944=0,0,$C944-$D944)</f>
        <v/>
      </c>
      <c r="G944" s="116">
        <f>IF($F944=0,0,$F944*$E944)</f>
        <v/>
      </c>
      <c r="H944" s="116">
        <f>$F944-$G944</f>
        <v/>
      </c>
      <c r="I944" s="112" t="n"/>
    </row>
    <row r="945" ht="15" customHeight="1" s="72">
      <c r="A945" s="112" t="n"/>
      <c r="B945" s="113" t="n"/>
      <c r="C945" s="114" t="n"/>
      <c r="D945" s="114" t="n"/>
      <c r="E945" s="115" t="n"/>
      <c r="F945" s="116">
        <f>IF($C945=0,0,$C945-$D945)</f>
        <v/>
      </c>
      <c r="G945" s="116">
        <f>IF($F945=0,0,$F945*$E945)</f>
        <v/>
      </c>
      <c r="H945" s="116">
        <f>$F945-$G945</f>
        <v/>
      </c>
      <c r="I945" s="112" t="n"/>
    </row>
    <row r="946" ht="15" customHeight="1" s="72">
      <c r="A946" s="112" t="n"/>
      <c r="B946" s="113" t="n"/>
      <c r="C946" s="114" t="n"/>
      <c r="D946" s="114" t="n"/>
      <c r="E946" s="115" t="n"/>
      <c r="F946" s="116">
        <f>IF($C946=0,0,$C946-$D946)</f>
        <v/>
      </c>
      <c r="G946" s="116">
        <f>IF($F946=0,0,$F946*$E946)</f>
        <v/>
      </c>
      <c r="H946" s="116">
        <f>$F946-$G946</f>
        <v/>
      </c>
      <c r="I946" s="112" t="n"/>
    </row>
    <row r="947" ht="15" customHeight="1" s="72">
      <c r="A947" s="112" t="n"/>
      <c r="B947" s="113" t="n"/>
      <c r="C947" s="114" t="n"/>
      <c r="D947" s="114" t="n"/>
      <c r="E947" s="115" t="n"/>
      <c r="F947" s="116">
        <f>IF($C947=0,0,$C947-$D947)</f>
        <v/>
      </c>
      <c r="G947" s="116">
        <f>IF($F947=0,0,$F947*$E947)</f>
        <v/>
      </c>
      <c r="H947" s="116">
        <f>$F947-$G947</f>
        <v/>
      </c>
      <c r="I947" s="112" t="n"/>
    </row>
    <row r="948" ht="15" customHeight="1" s="72">
      <c r="A948" s="112" t="n"/>
      <c r="B948" s="113" t="n"/>
      <c r="C948" s="114" t="n"/>
      <c r="D948" s="114" t="n"/>
      <c r="E948" s="115" t="n"/>
      <c r="F948" s="116">
        <f>IF($C948=0,0,$C948-$D948)</f>
        <v/>
      </c>
      <c r="G948" s="116">
        <f>IF($F948=0,0,$F948*$E948)</f>
        <v/>
      </c>
      <c r="H948" s="116">
        <f>$F948-$G948</f>
        <v/>
      </c>
      <c r="I948" s="112" t="n"/>
    </row>
    <row r="949" ht="15" customHeight="1" s="72">
      <c r="A949" s="112" t="n"/>
      <c r="B949" s="113" t="n"/>
      <c r="C949" s="114" t="n"/>
      <c r="D949" s="114" t="n"/>
      <c r="E949" s="115" t="n"/>
      <c r="F949" s="116">
        <f>IF($C949=0,0,$C949-$D949)</f>
        <v/>
      </c>
      <c r="G949" s="116">
        <f>IF($F949=0,0,$F949*$E949)</f>
        <v/>
      </c>
      <c r="H949" s="116">
        <f>$F949-$G949</f>
        <v/>
      </c>
      <c r="I949" s="112" t="n"/>
    </row>
    <row r="950" ht="15" customHeight="1" s="72">
      <c r="A950" s="112" t="n"/>
      <c r="B950" s="113" t="n"/>
      <c r="C950" s="114" t="n"/>
      <c r="D950" s="114" t="n"/>
      <c r="E950" s="115" t="n"/>
      <c r="F950" s="116">
        <f>IF($C950=0,0,$C950-$D950)</f>
        <v/>
      </c>
      <c r="G950" s="116">
        <f>IF($F950=0,0,$F950*$E950)</f>
        <v/>
      </c>
      <c r="H950" s="116">
        <f>$F950-$G950</f>
        <v/>
      </c>
      <c r="I950" s="112" t="n"/>
    </row>
    <row r="951" ht="15" customHeight="1" s="72">
      <c r="A951" s="112" t="n"/>
      <c r="B951" s="113" t="n"/>
      <c r="C951" s="114" t="n"/>
      <c r="D951" s="114" t="n"/>
      <c r="E951" s="115" t="n"/>
      <c r="F951" s="116">
        <f>IF($C951=0,0,$C951-$D951)</f>
        <v/>
      </c>
      <c r="G951" s="116">
        <f>IF($F951=0,0,$F951*$E951)</f>
        <v/>
      </c>
      <c r="H951" s="116">
        <f>$F951-$G951</f>
        <v/>
      </c>
      <c r="I951" s="112" t="n"/>
    </row>
    <row r="952" ht="15" customHeight="1" s="72">
      <c r="A952" s="112" t="n"/>
      <c r="B952" s="113" t="n"/>
      <c r="C952" s="114" t="n"/>
      <c r="D952" s="114" t="n"/>
      <c r="E952" s="115" t="n"/>
      <c r="F952" s="116">
        <f>IF($C952=0,0,$C952-$D952)</f>
        <v/>
      </c>
      <c r="G952" s="116">
        <f>IF($F952=0,0,$F952*$E952)</f>
        <v/>
      </c>
      <c r="H952" s="116">
        <f>$F952-$G952</f>
        <v/>
      </c>
      <c r="I952" s="112" t="n"/>
    </row>
    <row r="953" ht="15" customHeight="1" s="72">
      <c r="A953" s="112" t="n"/>
      <c r="B953" s="113" t="n"/>
      <c r="C953" s="114" t="n"/>
      <c r="D953" s="114" t="n"/>
      <c r="E953" s="115" t="n"/>
      <c r="F953" s="116">
        <f>IF($C953=0,0,$C953-$D953)</f>
        <v/>
      </c>
      <c r="G953" s="116">
        <f>IF($F953=0,0,$F953*$E953)</f>
        <v/>
      </c>
      <c r="H953" s="116">
        <f>$F953-$G953</f>
        <v/>
      </c>
      <c r="I953" s="112" t="n"/>
    </row>
    <row r="954" ht="15" customHeight="1" s="72">
      <c r="A954" s="112" t="n"/>
      <c r="B954" s="113" t="n"/>
      <c r="C954" s="114" t="n"/>
      <c r="D954" s="114" t="n"/>
      <c r="E954" s="115" t="n"/>
      <c r="F954" s="116">
        <f>IF($C954=0,0,$C954-$D954)</f>
        <v/>
      </c>
      <c r="G954" s="116">
        <f>IF($F954=0,0,$F954*$E954)</f>
        <v/>
      </c>
      <c r="H954" s="116">
        <f>$F954-$G954</f>
        <v/>
      </c>
      <c r="I954" s="112" t="n"/>
    </row>
    <row r="955" ht="15" customHeight="1" s="72">
      <c r="A955" s="112" t="n"/>
      <c r="B955" s="113" t="n"/>
      <c r="C955" s="114" t="n"/>
      <c r="D955" s="114" t="n"/>
      <c r="E955" s="115" t="n"/>
      <c r="F955" s="116">
        <f>IF($C955=0,0,$C955-$D955)</f>
        <v/>
      </c>
      <c r="G955" s="116">
        <f>IF($F955=0,0,$F955*$E955)</f>
        <v/>
      </c>
      <c r="H955" s="116">
        <f>$F955-$G955</f>
        <v/>
      </c>
      <c r="I955" s="112" t="n"/>
    </row>
    <row r="956" ht="15" customHeight="1" s="72">
      <c r="A956" s="112" t="n"/>
      <c r="B956" s="113" t="n"/>
      <c r="C956" s="114" t="n"/>
      <c r="D956" s="114" t="n"/>
      <c r="E956" s="115" t="n"/>
      <c r="F956" s="116">
        <f>IF($C956=0,0,$C956-$D956)</f>
        <v/>
      </c>
      <c r="G956" s="116">
        <f>IF($F956=0,0,$F956*$E956)</f>
        <v/>
      </c>
      <c r="H956" s="116">
        <f>$F956-$G956</f>
        <v/>
      </c>
      <c r="I956" s="112" t="n"/>
    </row>
    <row r="957" ht="15" customHeight="1" s="72">
      <c r="A957" s="112" t="n"/>
      <c r="B957" s="113" t="n"/>
      <c r="C957" s="114" t="n"/>
      <c r="D957" s="114" t="n"/>
      <c r="E957" s="115" t="n"/>
      <c r="F957" s="116">
        <f>IF($C957=0,0,$C957-$D957)</f>
        <v/>
      </c>
      <c r="G957" s="116">
        <f>IF($F957=0,0,$F957*$E957)</f>
        <v/>
      </c>
      <c r="H957" s="116">
        <f>$F957-$G957</f>
        <v/>
      </c>
      <c r="I957" s="112" t="n"/>
    </row>
    <row r="958" ht="15" customHeight="1" s="72">
      <c r="A958" s="112" t="n"/>
      <c r="B958" s="113" t="n"/>
      <c r="C958" s="114" t="n"/>
      <c r="D958" s="114" t="n"/>
      <c r="E958" s="115" t="n"/>
      <c r="F958" s="116">
        <f>IF($C958=0,0,$C958-$D958)</f>
        <v/>
      </c>
      <c r="G958" s="116">
        <f>IF($F958=0,0,$F958*$E958)</f>
        <v/>
      </c>
      <c r="H958" s="116">
        <f>$F958-$G958</f>
        <v/>
      </c>
      <c r="I958" s="112" t="n"/>
    </row>
    <row r="959" ht="15" customHeight="1" s="72">
      <c r="A959" s="112" t="n"/>
      <c r="B959" s="113" t="n"/>
      <c r="C959" s="114" t="n"/>
      <c r="D959" s="114" t="n"/>
      <c r="E959" s="115" t="n"/>
      <c r="F959" s="116">
        <f>IF($C959=0,0,$C959-$D959)</f>
        <v/>
      </c>
      <c r="G959" s="116">
        <f>IF($F959=0,0,$F959*$E959)</f>
        <v/>
      </c>
      <c r="H959" s="116">
        <f>$F959-$G959</f>
        <v/>
      </c>
      <c r="I959" s="112" t="n"/>
    </row>
    <row r="960" ht="15" customHeight="1" s="72">
      <c r="A960" s="112" t="n"/>
      <c r="B960" s="113" t="n"/>
      <c r="C960" s="114" t="n"/>
      <c r="D960" s="114" t="n"/>
      <c r="E960" s="115" t="n"/>
      <c r="F960" s="116">
        <f>IF($C960=0,0,$C960-$D960)</f>
        <v/>
      </c>
      <c r="G960" s="116">
        <f>IF($F960=0,0,$F960*$E960)</f>
        <v/>
      </c>
      <c r="H960" s="116">
        <f>$F960-$G960</f>
        <v/>
      </c>
      <c r="I960" s="112" t="n"/>
    </row>
    <row r="961" ht="15" customHeight="1" s="72">
      <c r="A961" s="112" t="n"/>
      <c r="B961" s="113" t="n"/>
      <c r="C961" s="114" t="n"/>
      <c r="D961" s="114" t="n"/>
      <c r="E961" s="115" t="n"/>
      <c r="F961" s="116">
        <f>IF($C961=0,0,$C961-$D961)</f>
        <v/>
      </c>
      <c r="G961" s="116">
        <f>IF($F961=0,0,$F961*$E961)</f>
        <v/>
      </c>
      <c r="H961" s="116">
        <f>$F961-$G961</f>
        <v/>
      </c>
      <c r="I961" s="112" t="n"/>
    </row>
    <row r="962" ht="15" customHeight="1" s="72">
      <c r="A962" s="112" t="n"/>
      <c r="B962" s="113" t="n"/>
      <c r="C962" s="114" t="n"/>
      <c r="D962" s="114" t="n"/>
      <c r="E962" s="115" t="n"/>
      <c r="F962" s="116">
        <f>IF($C962=0,0,$C962-$D962)</f>
        <v/>
      </c>
      <c r="G962" s="116">
        <f>IF($F962=0,0,$F962*$E962)</f>
        <v/>
      </c>
      <c r="H962" s="116">
        <f>$F962-$G962</f>
        <v/>
      </c>
      <c r="I962" s="112" t="n"/>
    </row>
    <row r="963" ht="15" customHeight="1" s="72">
      <c r="A963" s="112" t="n"/>
      <c r="B963" s="113" t="n"/>
      <c r="C963" s="114" t="n"/>
      <c r="D963" s="114" t="n"/>
      <c r="E963" s="115" t="n"/>
      <c r="F963" s="116">
        <f>IF($C963=0,0,$C963-$D963)</f>
        <v/>
      </c>
      <c r="G963" s="116">
        <f>IF($F963=0,0,$F963*$E963)</f>
        <v/>
      </c>
      <c r="H963" s="116">
        <f>$F963-$G963</f>
        <v/>
      </c>
      <c r="I963" s="112" t="n"/>
    </row>
    <row r="964" ht="15" customHeight="1" s="72">
      <c r="A964" s="112" t="n"/>
      <c r="B964" s="113" t="n"/>
      <c r="C964" s="114" t="n"/>
      <c r="D964" s="114" t="n"/>
      <c r="E964" s="115" t="n"/>
      <c r="F964" s="116">
        <f>IF($C964=0,0,$C964-$D964)</f>
        <v/>
      </c>
      <c r="G964" s="116">
        <f>IF($F964=0,0,$F964*$E964)</f>
        <v/>
      </c>
      <c r="H964" s="116">
        <f>$F964-$G964</f>
        <v/>
      </c>
      <c r="I964" s="112" t="n"/>
    </row>
    <row r="965" ht="15" customHeight="1" s="72">
      <c r="A965" s="112" t="n"/>
      <c r="B965" s="113" t="n"/>
      <c r="C965" s="114" t="n"/>
      <c r="D965" s="114" t="n"/>
      <c r="E965" s="115" t="n"/>
      <c r="F965" s="116">
        <f>IF($C965=0,0,$C965-$D965)</f>
        <v/>
      </c>
      <c r="G965" s="116">
        <f>IF($F965=0,0,$F965*$E965)</f>
        <v/>
      </c>
      <c r="H965" s="116">
        <f>$F965-$G965</f>
        <v/>
      </c>
      <c r="I965" s="112" t="n"/>
    </row>
    <row r="966" ht="15" customHeight="1" s="72">
      <c r="A966" s="112" t="n"/>
      <c r="B966" s="113" t="n"/>
      <c r="C966" s="114" t="n"/>
      <c r="D966" s="114" t="n"/>
      <c r="E966" s="115" t="n"/>
      <c r="F966" s="116">
        <f>IF($C966=0,0,$C966-$D966)</f>
        <v/>
      </c>
      <c r="G966" s="116">
        <f>IF($F966=0,0,$F966*$E966)</f>
        <v/>
      </c>
      <c r="H966" s="116">
        <f>$F966-$G966</f>
        <v/>
      </c>
      <c r="I966" s="112" t="n"/>
    </row>
    <row r="967" ht="15" customHeight="1" s="72">
      <c r="A967" s="112" t="n"/>
      <c r="B967" s="113" t="n"/>
      <c r="C967" s="114" t="n"/>
      <c r="D967" s="114" t="n"/>
      <c r="E967" s="115" t="n"/>
      <c r="F967" s="116">
        <f>IF($C967=0,0,$C967-$D967)</f>
        <v/>
      </c>
      <c r="G967" s="116">
        <f>IF($F967=0,0,$F967*$E967)</f>
        <v/>
      </c>
      <c r="H967" s="116">
        <f>$F967-$G967</f>
        <v/>
      </c>
      <c r="I967" s="112" t="n"/>
    </row>
    <row r="968" ht="15" customHeight="1" s="72">
      <c r="A968" s="112" t="n"/>
      <c r="B968" s="113" t="n"/>
      <c r="C968" s="114" t="n"/>
      <c r="D968" s="114" t="n"/>
      <c r="E968" s="115" t="n"/>
      <c r="F968" s="116">
        <f>IF($C968=0,0,$C968-$D968)</f>
        <v/>
      </c>
      <c r="G968" s="116">
        <f>IF($F968=0,0,$F968*$E968)</f>
        <v/>
      </c>
      <c r="H968" s="116">
        <f>$F968-$G968</f>
        <v/>
      </c>
      <c r="I968" s="112" t="n"/>
    </row>
    <row r="969" ht="15" customHeight="1" s="72">
      <c r="A969" s="112" t="n"/>
      <c r="B969" s="113" t="n"/>
      <c r="C969" s="114" t="n"/>
      <c r="D969" s="114" t="n"/>
      <c r="E969" s="115" t="n"/>
      <c r="F969" s="116">
        <f>IF($C969=0,0,$C969-$D969)</f>
        <v/>
      </c>
      <c r="G969" s="116">
        <f>IF($F969=0,0,$F969*$E969)</f>
        <v/>
      </c>
      <c r="H969" s="116">
        <f>$F969-$G969</f>
        <v/>
      </c>
      <c r="I969" s="112" t="n"/>
    </row>
    <row r="970" ht="15" customHeight="1" s="72">
      <c r="A970" s="112" t="n"/>
      <c r="B970" s="113" t="n"/>
      <c r="C970" s="114" t="n"/>
      <c r="D970" s="114" t="n"/>
      <c r="E970" s="115" t="n"/>
      <c r="F970" s="116">
        <f>IF($C970=0,0,$C970-$D970)</f>
        <v/>
      </c>
      <c r="G970" s="116">
        <f>IF($F970=0,0,$F970*$E970)</f>
        <v/>
      </c>
      <c r="H970" s="116">
        <f>$F970-$G970</f>
        <v/>
      </c>
      <c r="I970" s="112" t="n"/>
    </row>
    <row r="971" ht="15" customHeight="1" s="72">
      <c r="A971" s="112" t="n"/>
      <c r="B971" s="113" t="n"/>
      <c r="C971" s="114" t="n"/>
      <c r="D971" s="114" t="n"/>
      <c r="E971" s="115" t="n"/>
      <c r="F971" s="116">
        <f>IF($C971=0,0,$C971-$D971)</f>
        <v/>
      </c>
      <c r="G971" s="116">
        <f>IF($F971=0,0,$F971*$E971)</f>
        <v/>
      </c>
      <c r="H971" s="116">
        <f>$F971-$G971</f>
        <v/>
      </c>
      <c r="I971" s="112" t="n"/>
    </row>
    <row r="972" ht="15" customHeight="1" s="72">
      <c r="A972" s="112" t="n"/>
      <c r="B972" s="113" t="n"/>
      <c r="C972" s="114" t="n"/>
      <c r="D972" s="114" t="n"/>
      <c r="E972" s="115" t="n"/>
      <c r="F972" s="116">
        <f>IF($C972=0,0,$C972-$D972)</f>
        <v/>
      </c>
      <c r="G972" s="116">
        <f>IF($F972=0,0,$F972*$E972)</f>
        <v/>
      </c>
      <c r="H972" s="116">
        <f>$F972-$G972</f>
        <v/>
      </c>
      <c r="I972" s="112" t="n"/>
    </row>
    <row r="973" ht="15" customHeight="1" s="72">
      <c r="A973" s="112" t="n"/>
      <c r="B973" s="113" t="n"/>
      <c r="C973" s="114" t="n"/>
      <c r="D973" s="114" t="n"/>
      <c r="E973" s="115" t="n"/>
      <c r="F973" s="116">
        <f>IF($C973=0,0,$C973-$D973)</f>
        <v/>
      </c>
      <c r="G973" s="116">
        <f>IF($F973=0,0,$F973*$E973)</f>
        <v/>
      </c>
      <c r="H973" s="116">
        <f>$F973-$G973</f>
        <v/>
      </c>
      <c r="I973" s="112" t="n"/>
    </row>
    <row r="974" ht="15" customHeight="1" s="72">
      <c r="A974" s="112" t="n"/>
      <c r="B974" s="113" t="n"/>
      <c r="C974" s="114" t="n"/>
      <c r="D974" s="114" t="n"/>
      <c r="E974" s="115" t="n"/>
      <c r="F974" s="116">
        <f>IF($C974=0,0,$C974-$D974)</f>
        <v/>
      </c>
      <c r="G974" s="116">
        <f>IF($F974=0,0,$F974*$E974)</f>
        <v/>
      </c>
      <c r="H974" s="116">
        <f>$F974-$G974</f>
        <v/>
      </c>
      <c r="I974" s="112" t="n"/>
    </row>
    <row r="975" ht="15" customHeight="1" s="72">
      <c r="A975" s="112" t="n"/>
      <c r="B975" s="113" t="n"/>
      <c r="C975" s="114" t="n"/>
      <c r="D975" s="114" t="n"/>
      <c r="E975" s="115" t="n"/>
      <c r="F975" s="116">
        <f>IF($C975=0,0,$C975-$D975)</f>
        <v/>
      </c>
      <c r="G975" s="116">
        <f>IF($F975=0,0,$F975*$E975)</f>
        <v/>
      </c>
      <c r="H975" s="116">
        <f>$F975-$G975</f>
        <v/>
      </c>
      <c r="I975" s="112" t="n"/>
    </row>
    <row r="976" ht="15" customHeight="1" s="72">
      <c r="A976" s="112" t="n"/>
      <c r="B976" s="113" t="n"/>
      <c r="C976" s="114" t="n"/>
      <c r="D976" s="114" t="n"/>
      <c r="E976" s="115" t="n"/>
      <c r="F976" s="116">
        <f>IF($C976=0,0,$C976-$D976)</f>
        <v/>
      </c>
      <c r="G976" s="116">
        <f>IF($F976=0,0,$F976*$E976)</f>
        <v/>
      </c>
      <c r="H976" s="116">
        <f>$F976-$G976</f>
        <v/>
      </c>
      <c r="I976" s="112" t="n"/>
    </row>
    <row r="977" ht="15" customHeight="1" s="72">
      <c r="A977" s="112" t="n"/>
      <c r="B977" s="113" t="n"/>
      <c r="C977" s="114" t="n"/>
      <c r="D977" s="114" t="n"/>
      <c r="E977" s="115" t="n"/>
      <c r="F977" s="116">
        <f>IF($C977=0,0,$C977-$D977)</f>
        <v/>
      </c>
      <c r="G977" s="116">
        <f>IF($F977=0,0,$F977*$E977)</f>
        <v/>
      </c>
      <c r="H977" s="116">
        <f>$F977-$G977</f>
        <v/>
      </c>
      <c r="I977" s="112" t="n"/>
    </row>
    <row r="978" ht="15" customHeight="1" s="72">
      <c r="A978" s="112" t="n"/>
      <c r="B978" s="113" t="n"/>
      <c r="C978" s="114" t="n"/>
      <c r="D978" s="114" t="n"/>
      <c r="E978" s="115" t="n"/>
      <c r="F978" s="116">
        <f>IF($C978=0,0,$C978-$D978)</f>
        <v/>
      </c>
      <c r="G978" s="116">
        <f>IF($F978=0,0,$F978*$E978)</f>
        <v/>
      </c>
      <c r="H978" s="116">
        <f>$F978-$G978</f>
        <v/>
      </c>
      <c r="I978" s="112" t="n"/>
    </row>
    <row r="979" ht="15" customHeight="1" s="72">
      <c r="A979" s="112" t="n"/>
      <c r="B979" s="113" t="n"/>
      <c r="C979" s="114" t="n"/>
      <c r="D979" s="114" t="n"/>
      <c r="E979" s="115" t="n"/>
      <c r="F979" s="116">
        <f>IF($C979=0,0,$C979-$D979)</f>
        <v/>
      </c>
      <c r="G979" s="116">
        <f>IF($F979=0,0,$F979*$E979)</f>
        <v/>
      </c>
      <c r="H979" s="116">
        <f>$F979-$G979</f>
        <v/>
      </c>
      <c r="I979" s="112" t="n"/>
    </row>
    <row r="980" ht="15" customHeight="1" s="72">
      <c r="A980" s="112" t="n"/>
      <c r="B980" s="113" t="n"/>
      <c r="C980" s="114" t="n"/>
      <c r="D980" s="114" t="n"/>
      <c r="E980" s="115" t="n"/>
      <c r="F980" s="116">
        <f>IF($C980=0,0,$C980-$D980)</f>
        <v/>
      </c>
      <c r="G980" s="116">
        <f>IF($F980=0,0,$F980*$E980)</f>
        <v/>
      </c>
      <c r="H980" s="116">
        <f>$F980-$G980</f>
        <v/>
      </c>
      <c r="I980" s="112" t="n"/>
    </row>
    <row r="981" ht="15" customHeight="1" s="72">
      <c r="A981" s="112" t="n"/>
      <c r="B981" s="113" t="n"/>
      <c r="C981" s="114" t="n"/>
      <c r="D981" s="114" t="n"/>
      <c r="E981" s="115" t="n"/>
      <c r="F981" s="116">
        <f>IF($C981=0,0,$C981-$D981)</f>
        <v/>
      </c>
      <c r="G981" s="116">
        <f>IF($F981=0,0,$F981*$E981)</f>
        <v/>
      </c>
      <c r="H981" s="116">
        <f>$F981-$G981</f>
        <v/>
      </c>
      <c r="I981" s="112" t="n"/>
    </row>
    <row r="982" ht="15" customHeight="1" s="72">
      <c r="A982" s="112" t="n"/>
      <c r="B982" s="113" t="n"/>
      <c r="C982" s="114" t="n"/>
      <c r="D982" s="114" t="n"/>
      <c r="E982" s="115" t="n"/>
      <c r="F982" s="116">
        <f>IF($C982=0,0,$C982-$D982)</f>
        <v/>
      </c>
      <c r="G982" s="116">
        <f>IF($F982=0,0,$F982*$E982)</f>
        <v/>
      </c>
      <c r="H982" s="116">
        <f>$F982-$G982</f>
        <v/>
      </c>
      <c r="I982" s="112" t="n"/>
    </row>
    <row r="983" ht="15" customHeight="1" s="72">
      <c r="A983" s="112" t="n"/>
      <c r="B983" s="113" t="n"/>
      <c r="C983" s="114" t="n"/>
      <c r="D983" s="114" t="n"/>
      <c r="E983" s="115" t="n"/>
      <c r="F983" s="116">
        <f>IF($C983=0,0,$C983-$D983)</f>
        <v/>
      </c>
      <c r="G983" s="116">
        <f>IF($F983=0,0,$F983*$E983)</f>
        <v/>
      </c>
      <c r="H983" s="116">
        <f>$F983-$G983</f>
        <v/>
      </c>
      <c r="I983" s="112" t="n"/>
    </row>
    <row r="984" ht="15" customHeight="1" s="72">
      <c r="A984" s="112" t="n"/>
      <c r="B984" s="113" t="n"/>
      <c r="C984" s="114" t="n"/>
      <c r="D984" s="114" t="n"/>
      <c r="E984" s="115" t="n"/>
      <c r="F984" s="116">
        <f>IF($C984=0,0,$C984-$D984)</f>
        <v/>
      </c>
      <c r="G984" s="116">
        <f>IF($F984=0,0,$F984*$E984)</f>
        <v/>
      </c>
      <c r="H984" s="116">
        <f>$F984-$G984</f>
        <v/>
      </c>
      <c r="I984" s="112" t="n"/>
    </row>
    <row r="985" ht="15" customHeight="1" s="72">
      <c r="A985" s="112" t="n"/>
      <c r="B985" s="113" t="n"/>
      <c r="C985" s="114" t="n"/>
      <c r="D985" s="114" t="n"/>
      <c r="E985" s="115" t="n"/>
      <c r="F985" s="116">
        <f>IF($C985=0,0,$C985-$D985)</f>
        <v/>
      </c>
      <c r="G985" s="116">
        <f>IF($F985=0,0,$F985*$E985)</f>
        <v/>
      </c>
      <c r="H985" s="116">
        <f>$F985-$G985</f>
        <v/>
      </c>
      <c r="I985" s="112" t="n"/>
    </row>
    <row r="986" ht="15" customHeight="1" s="72">
      <c r="A986" s="112" t="n"/>
      <c r="B986" s="113" t="n"/>
      <c r="C986" s="114" t="n"/>
      <c r="D986" s="114" t="n"/>
      <c r="E986" s="115" t="n"/>
      <c r="F986" s="116">
        <f>IF($C986=0,0,$C986-$D986)</f>
        <v/>
      </c>
      <c r="G986" s="116">
        <f>IF($F986=0,0,$F986*$E986)</f>
        <v/>
      </c>
      <c r="H986" s="116">
        <f>$F986-$G986</f>
        <v/>
      </c>
      <c r="I986" s="112" t="n"/>
    </row>
    <row r="987" ht="15" customHeight="1" s="72">
      <c r="A987" s="112" t="n"/>
      <c r="B987" s="113" t="n"/>
      <c r="C987" s="114" t="n"/>
      <c r="D987" s="114" t="n"/>
      <c r="E987" s="115" t="n"/>
      <c r="F987" s="116">
        <f>IF($C987=0,0,$C987-$D987)</f>
        <v/>
      </c>
      <c r="G987" s="116">
        <f>IF($F987=0,0,$F987*$E987)</f>
        <v/>
      </c>
      <c r="H987" s="116">
        <f>$F987-$G987</f>
        <v/>
      </c>
      <c r="I987" s="112" t="n"/>
    </row>
    <row r="988" ht="15" customHeight="1" s="72">
      <c r="A988" s="112" t="n"/>
      <c r="B988" s="113" t="n"/>
      <c r="C988" s="114" t="n"/>
      <c r="D988" s="114" t="n"/>
      <c r="E988" s="115" t="n"/>
      <c r="F988" s="116">
        <f>IF($C988=0,0,$C988-$D988)</f>
        <v/>
      </c>
      <c r="G988" s="116">
        <f>IF($F988=0,0,$F988*$E988)</f>
        <v/>
      </c>
      <c r="H988" s="116">
        <f>$F988-$G988</f>
        <v/>
      </c>
      <c r="I988" s="112" t="n"/>
    </row>
    <row r="989" ht="15" customHeight="1" s="72">
      <c r="A989" s="112" t="n"/>
      <c r="B989" s="113" t="n"/>
      <c r="C989" s="114" t="n"/>
      <c r="D989" s="114" t="n"/>
      <c r="E989" s="115" t="n"/>
      <c r="F989" s="116">
        <f>IF($C989=0,0,$C989-$D989)</f>
        <v/>
      </c>
      <c r="G989" s="116">
        <f>IF($F989=0,0,$F989*$E989)</f>
        <v/>
      </c>
      <c r="H989" s="116">
        <f>$F989-$G989</f>
        <v/>
      </c>
      <c r="I989" s="112" t="n"/>
    </row>
    <row r="990" ht="15" customHeight="1" s="72">
      <c r="A990" s="112" t="n"/>
      <c r="B990" s="113" t="n"/>
      <c r="C990" s="114" t="n"/>
      <c r="D990" s="114" t="n"/>
      <c r="E990" s="115" t="n"/>
      <c r="F990" s="116">
        <f>IF($C990=0,0,$C990-$D990)</f>
        <v/>
      </c>
      <c r="G990" s="116">
        <f>IF($F990=0,0,$F990*$E990)</f>
        <v/>
      </c>
      <c r="H990" s="116">
        <f>$F990-$G990</f>
        <v/>
      </c>
      <c r="I990" s="112" t="n"/>
    </row>
    <row r="991" ht="15" customHeight="1" s="72">
      <c r="A991" s="112" t="n"/>
      <c r="B991" s="113" t="n"/>
      <c r="C991" s="114" t="n"/>
      <c r="D991" s="114" t="n"/>
      <c r="E991" s="115" t="n"/>
      <c r="F991" s="116">
        <f>IF($C991=0,0,$C991-$D991)</f>
        <v/>
      </c>
      <c r="G991" s="116">
        <f>IF($F991=0,0,$F991*$E991)</f>
        <v/>
      </c>
      <c r="H991" s="116">
        <f>$F991-$G991</f>
        <v/>
      </c>
      <c r="I991" s="112" t="n"/>
    </row>
    <row r="992" ht="15" customHeight="1" s="72">
      <c r="A992" s="112" t="n"/>
      <c r="B992" s="113" t="n"/>
      <c r="C992" s="114" t="n"/>
      <c r="D992" s="114" t="n"/>
      <c r="E992" s="115" t="n"/>
      <c r="F992" s="116">
        <f>IF($C992=0,0,$C992-$D992)</f>
        <v/>
      </c>
      <c r="G992" s="116">
        <f>IF($F992=0,0,$F992*$E992)</f>
        <v/>
      </c>
      <c r="H992" s="116">
        <f>$F992-$G992</f>
        <v/>
      </c>
      <c r="I992" s="112" t="n"/>
    </row>
    <row r="993" ht="15" customHeight="1" s="72">
      <c r="A993" s="112" t="n"/>
      <c r="B993" s="113" t="n"/>
      <c r="C993" s="114" t="n"/>
      <c r="D993" s="114" t="n"/>
      <c r="E993" s="115" t="n"/>
      <c r="F993" s="116">
        <f>IF($C993=0,0,$C993-$D993)</f>
        <v/>
      </c>
      <c r="G993" s="116">
        <f>IF($F993=0,0,$F993*$E993)</f>
        <v/>
      </c>
      <c r="H993" s="116">
        <f>$F993-$G993</f>
        <v/>
      </c>
      <c r="I993" s="112" t="n"/>
    </row>
    <row r="994" ht="15" customHeight="1" s="72">
      <c r="A994" s="112" t="n"/>
      <c r="B994" s="113" t="n"/>
      <c r="C994" s="114" t="n"/>
      <c r="D994" s="114" t="n"/>
      <c r="E994" s="115" t="n"/>
      <c r="F994" s="116">
        <f>IF($C994=0,0,$C994-$D994)</f>
        <v/>
      </c>
      <c r="G994" s="116">
        <f>IF($F994=0,0,$F994*$E994)</f>
        <v/>
      </c>
      <c r="H994" s="116">
        <f>$F994-$G994</f>
        <v/>
      </c>
      <c r="I994" s="112" t="n"/>
    </row>
    <row r="995" ht="15" customHeight="1" s="72">
      <c r="A995" s="112" t="n"/>
      <c r="B995" s="113" t="n"/>
      <c r="C995" s="114" t="n"/>
      <c r="D995" s="114" t="n"/>
      <c r="E995" s="115" t="n"/>
      <c r="F995" s="116">
        <f>IF($C995=0,0,$C995-$D995)</f>
        <v/>
      </c>
      <c r="G995" s="116">
        <f>IF($F995=0,0,$F995*$E995)</f>
        <v/>
      </c>
      <c r="H995" s="116">
        <f>$F995-$G995</f>
        <v/>
      </c>
      <c r="I995" s="112" t="n"/>
    </row>
    <row r="996" ht="15" customHeight="1" s="72">
      <c r="A996" s="112" t="n"/>
      <c r="B996" s="113" t="n"/>
      <c r="C996" s="114" t="n"/>
      <c r="D996" s="114" t="n"/>
      <c r="E996" s="115" t="n"/>
      <c r="F996" s="116">
        <f>IF($C996=0,0,$C996-$D996)</f>
        <v/>
      </c>
      <c r="G996" s="116">
        <f>IF($F996=0,0,$F996*$E996)</f>
        <v/>
      </c>
      <c r="H996" s="116">
        <f>$F996-$G996</f>
        <v/>
      </c>
      <c r="I996" s="112" t="n"/>
    </row>
    <row r="997" ht="15" customHeight="1" s="72">
      <c r="A997" s="112" t="n"/>
      <c r="B997" s="113" t="n"/>
      <c r="C997" s="114" t="n"/>
      <c r="D997" s="114" t="n"/>
      <c r="E997" s="115" t="n"/>
      <c r="F997" s="116">
        <f>IF($C997=0,0,$C997-$D997)</f>
        <v/>
      </c>
      <c r="G997" s="116">
        <f>IF($F997=0,0,$F997*$E997)</f>
        <v/>
      </c>
      <c r="H997" s="116">
        <f>$F997-$G997</f>
        <v/>
      </c>
      <c r="I997" s="112" t="n"/>
    </row>
    <row r="998" ht="15" customHeight="1" s="72">
      <c r="A998" s="112" t="n"/>
      <c r="B998" s="113" t="n"/>
      <c r="C998" s="114" t="n"/>
      <c r="D998" s="114" t="n"/>
      <c r="E998" s="115" t="n"/>
      <c r="F998" s="116">
        <f>IF($C998=0,0,$C998-$D998)</f>
        <v/>
      </c>
      <c r="G998" s="116">
        <f>IF($F998=0,0,$F998*$E998)</f>
        <v/>
      </c>
      <c r="H998" s="116">
        <f>$F998-$G998</f>
        <v/>
      </c>
      <c r="I998" s="112" t="n"/>
    </row>
    <row r="999" ht="15" customHeight="1" s="72">
      <c r="A999" s="112" t="n"/>
      <c r="B999" s="113" t="n"/>
      <c r="C999" s="114" t="n"/>
      <c r="D999" s="114" t="n"/>
      <c r="E999" s="115" t="n"/>
      <c r="F999" s="116">
        <f>IF($C999=0,0,$C999-$D999)</f>
        <v/>
      </c>
      <c r="G999" s="116">
        <f>IF($F999=0,0,$F999*$E999)</f>
        <v/>
      </c>
      <c r="H999" s="116">
        <f>$F999-$G999</f>
        <v/>
      </c>
      <c r="I999" s="112" t="n"/>
    </row>
    <row r="1000" ht="15" customHeight="1" s="72">
      <c r="A1000" s="112" t="n"/>
      <c r="B1000" s="113" t="n"/>
      <c r="C1000" s="114" t="n"/>
      <c r="D1000" s="114" t="n"/>
      <c r="E1000" s="115" t="n"/>
      <c r="F1000" s="116">
        <f>IF($C1000=0,0,$C1000-$D1000)</f>
        <v/>
      </c>
      <c r="G1000" s="116">
        <f>IF($F1000=0,0,$F1000*$E1000)</f>
        <v/>
      </c>
      <c r="H1000" s="116">
        <f>$F1000-$G1000</f>
        <v/>
      </c>
      <c r="I1000" s="112" t="n"/>
    </row>
    <row r="1001" ht="15" customHeight="1" s="72">
      <c r="A1001" s="112" t="n"/>
      <c r="B1001" s="113" t="n"/>
      <c r="C1001" s="114" t="n"/>
      <c r="D1001" s="114" t="n"/>
      <c r="E1001" s="115" t="n"/>
      <c r="F1001" s="116">
        <f>IF($C1001=0,0,$C1001-$D1001)</f>
        <v/>
      </c>
      <c r="G1001" s="116">
        <f>IF($F1001=0,0,$F1001*$E1001)</f>
        <v/>
      </c>
      <c r="H1001" s="116">
        <f>$F1001-$G1001</f>
        <v/>
      </c>
      <c r="I1001" s="112" t="n"/>
    </row>
    <row r="1002" ht="15" customHeight="1" s="72">
      <c r="A1002" s="112" t="n"/>
      <c r="B1002" s="113" t="n"/>
      <c r="C1002" s="114" t="n"/>
      <c r="D1002" s="114" t="n"/>
      <c r="E1002" s="115" t="n"/>
      <c r="F1002" s="116">
        <f>IF($C1002=0,0,$C1002-$D1002)</f>
        <v/>
      </c>
      <c r="G1002" s="116">
        <f>IF($F1002=0,0,$F1002*$E1002)</f>
        <v/>
      </c>
      <c r="H1002" s="116">
        <f>$F1002-$G1002</f>
        <v/>
      </c>
      <c r="I1002" s="112" t="n"/>
    </row>
    <row r="1003" ht="15" customHeight="1" s="72">
      <c r="A1003" s="112" t="n"/>
      <c r="B1003" s="113" t="n"/>
      <c r="C1003" s="114" t="n"/>
      <c r="D1003" s="114" t="n"/>
      <c r="E1003" s="115" t="n"/>
      <c r="F1003" s="116">
        <f>IF($C1003=0,0,$C1003-$D1003)</f>
        <v/>
      </c>
      <c r="G1003" s="116">
        <f>IF($F1003=0,0,$F1003*$E1003)</f>
        <v/>
      </c>
      <c r="H1003" s="116">
        <f>$F1003-$G1003</f>
        <v/>
      </c>
      <c r="I1003" s="112" t="n"/>
    </row>
    <row r="1004" ht="15" customHeight="1" s="72">
      <c r="A1004" s="112" t="n"/>
      <c r="B1004" s="112" t="n"/>
      <c r="C1004" s="112" t="n"/>
      <c r="D1004" s="112" t="n"/>
      <c r="E1004" s="112" t="n"/>
      <c r="F1004" s="117">
        <f>IF($C1004=0,0,$C1004-$D1004)</f>
        <v/>
      </c>
      <c r="G1004" s="117">
        <f>IF($F1004=0,0,$F1004*$E1004)</f>
        <v/>
      </c>
      <c r="H1004" s="117">
        <f>$F1004-$G1004</f>
        <v/>
      </c>
      <c r="I1004" s="112" t="n"/>
    </row>
    <row r="1005"/>
    <row r="1006" ht="19.5" customHeight="1" s="72">
      <c r="A1006" s="118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06:AN1006"/>
    <mergeCell ref="A3:I3"/>
  </mergeCells>
  <conditionalFormatting sqref="C6:C1004">
    <cfRule type="cellIs" rank="0" priority="2" equalAverage="0" operator="lessThan" aboveAverage="0" dxfId="6" text="" percent="0" bottom="0">
      <formula>0</formula>
    </cfRule>
  </conditionalFormatting>
  <conditionalFormatting sqref="D6:D1004">
    <cfRule type="cellIs" rank="0" priority="3" equalAverage="0" operator="lessThan" aboveAverage="0" dxfId="6" text="" percent="0" bottom="0">
      <formula>0</formula>
    </cfRule>
  </conditionalFormatting>
  <conditionalFormatting sqref="E6:E1004">
    <cfRule type="cellIs" rank="0" priority="4" equalAverage="0" operator="lessThan" aboveAverage="0" dxfId="6" text="" percent="0" bottom="0">
      <formula>0</formula>
    </cfRule>
    <cfRule type="cellIs" rank="0" priority="5" equalAverage="0" operator="greaterThan" aboveAverage="0" dxfId="7" text="" percent="0" bottom="0">
      <formula>0.5</formula>
    </cfRule>
  </conditionalFormatting>
  <conditionalFormatting sqref="F6:F1004">
    <cfRule type="cellIs" rank="0" priority="6" equalAverage="0" operator="lessThan" aboveAverage="0" dxfId="6" text="" percent="0" bottom="0">
      <formula>0</formula>
    </cfRule>
    <cfRule type="cellIs" rank="0" priority="7" equalAverage="0" operator="greaterThan" aboveAverage="0" dxfId="8" text="" percent="0" bottom="0">
      <formula>0</formula>
    </cfRule>
  </conditionalFormatting>
  <conditionalFormatting sqref="G6:G1004">
    <cfRule type="cellIs" rank="0" priority="8" equalAverage="0" operator="lessThan" aboveAverage="0" dxfId="6" text="" percent="0" bottom="0">
      <formula>0</formula>
    </cfRule>
  </conditionalFormatting>
  <conditionalFormatting sqref="H6:H1004">
    <cfRule type="cellIs" rank="0" priority="9" equalAverage="0" operator="lessThan" aboveAverage="0" dxfId="6" text="" percent="0" bottom="0">
      <formula>0</formula>
    </cfRule>
  </conditionalFormatting>
  <dataValidations count="5">
    <dataValidation sqref="A6:A1004" showDropDown="0" showInputMessage="1" showErrorMessage="1" allowBlank="1" errorTitle="Geçersiz kanal" error="Listede olmayan kanal giremezsiniz." promptTitle="Kanal" prompt="Listeden bir POS kanalı seçin." type="list" errorStyle="stop" operator="between">
      <formula1>ListeKanalAdlari</formula1>
      <formula2>0</formula2>
    </dataValidation>
    <dataValidation sqref="B6:B1004" showDropDown="0" showInputMessage="1" showErrorMessage="1" allowBlank="1" errorTitle="Geçersiz tarih" error="Tarih 01.01.2024 - 31.12.2027 aralığında olmalı." promptTitle="İşlem Tarihi" prompt="GG.AA.YYYY biçiminde tarih girin." type="date" errorStyle="stop" operator="between">
      <formula1>01.01.2024</formula1>
      <formula2>31.12.2027</formula2>
    </dataValidation>
    <dataValidation sqref="C6:C1004" showDropDown="0" showInputMessage="1" showErrorMessage="1" allowBlank="1" errorTitle="Geçersiz tutar" error="0 ile 100.000.000 ₺ arasında olmalı." promptTitle="Brüt Satış" prompt="KDV dahil toplam satış tutarını girin." type="decimal" errorStyle="stop" operator="between">
      <formula1>0</formula1>
      <formula2>100000000</formula2>
    </dataValidation>
    <dataValidation sqref="D6:D1004" showDropDown="0" showInputMessage="1" showErrorMessage="1" allowBlank="1" errorTitle="Geçersiz tutar" error="0 ile 100.000.000 ₺ arasında olmalı." promptTitle="İade Tutarı" prompt="İade edilen tutarı pozitif girin." type="decimal" errorStyle="stop" operator="between">
      <formula1>0</formula1>
      <formula2>100000000</formula2>
    </dataValidation>
    <dataValidation sqref="E6:E1004" showDropDown="0" showInputMessage="1" showErrorMessage="1" allowBlank="1" errorTitle="Geçersiz oran" error="0 ile 0,50 arasında katsayı girin." promptTitle="Komisyon Oranı" prompt="Katsayı girin (örnek: %3 için 0,03)." type="decimal" errorStyle="stop" operator="between">
      <formula1>0</formula1>
      <formula2>0.5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1.5" customWidth="1" style="98" min="1" max="1"/>
    <col width="18.5" customWidth="1" style="98" min="2" max="3"/>
    <col width="17.5" customWidth="1" style="72" min="3" max="3"/>
    <col width="14" customWidth="1" style="98" min="4" max="5"/>
    <col width="16.5" customWidth="1" style="72" min="5" max="5"/>
    <col width="20.5" customWidth="1" style="98" min="6" max="6"/>
    <col width="14.5" customWidth="1" style="98" min="7" max="7"/>
    <col width="18.5" customWidth="1" style="98" min="8" max="8"/>
    <col width="22.5" customWidth="1" style="98" min="9" max="9"/>
    <col width="13" customWidth="1" style="72" min="10" max="10"/>
  </cols>
  <sheetData>
    <row r="1" ht="32" customHeight="1" s="72">
      <c r="A1" s="272" t="inlineStr">
        <is>
          <t>HESAP — POS, Komisyon ve Net Tahsilat Kontrol Sistemi</t>
        </is>
      </c>
    </row>
    <row r="2"/>
    <row r="3" ht="22" customHeight="1" s="72">
      <c r="A3" s="292" t="inlineStr">
        <is>
          <t>Kanal Bazlı Net Tahsilat Hesabı</t>
        </is>
      </c>
    </row>
    <row r="4" ht="41.25" customHeight="1" s="72">
      <c r="A4" s="101" t="inlineStr">
        <is>
          <t>Aşağıdaki özet kanal adlarına göre POS hareketlerinden otomatik beslenir; elle değiştirilmez.</t>
        </is>
      </c>
    </row>
    <row r="5" ht="30" customHeight="1" s="72">
      <c r="A5" s="111" t="inlineStr">
        <is>
          <t>Kanal</t>
        </is>
      </c>
      <c r="B5" s="111" t="inlineStr">
        <is>
          <t>Brüt Satış (₺)</t>
        </is>
      </c>
      <c r="C5" s="111" t="inlineStr">
        <is>
          <t>Net Satış (₺)</t>
        </is>
      </c>
      <c r="D5" s="111" t="inlineStr">
        <is>
          <t>İade (₺)</t>
        </is>
      </c>
      <c r="E5" s="111" t="inlineStr">
        <is>
          <t>Komisyon (₺)</t>
        </is>
      </c>
      <c r="F5" s="111" t="inlineStr">
        <is>
          <t>Net Tahsilat (₺)</t>
        </is>
      </c>
      <c r="G5" s="111" t="inlineStr">
        <is>
          <t>İade Oranı</t>
        </is>
      </c>
      <c r="H5" s="111" t="inlineStr">
        <is>
          <t>Komisyon Oranı</t>
        </is>
      </c>
      <c r="I5" s="111" t="inlineStr">
        <is>
          <t>Net Tahsilat Oranı</t>
        </is>
      </c>
    </row>
    <row r="6" ht="15" customHeight="1" s="72">
      <c r="A6" s="119" t="inlineStr">
        <is>
          <t>Mağaza POS</t>
        </is>
      </c>
      <c r="B6" s="120">
        <f>SUMIFS(tblPos[Brüt Satış (₺)],tblPos[Kanal],$A6)</f>
        <v/>
      </c>
      <c r="C6" s="120">
        <f>SUMIFS(tblPos[Net Satış (₺)],tblPos[Kanal],$A6)</f>
        <v/>
      </c>
      <c r="D6" s="120">
        <f>SUMIFS(tblPos[İade Tutarı (₺)],tblPos[Kanal],$A6)</f>
        <v/>
      </c>
      <c r="E6" s="120">
        <f>SUMIFS(tblPos[Komisyon Tutarı (₺)],tblPos[Kanal],$A6)</f>
        <v/>
      </c>
      <c r="F6" s="120">
        <f>SUMIFS(tblPos[Net Tahsilat (₺)],tblPos[Kanal],$A6)</f>
        <v/>
      </c>
      <c r="G6" s="121">
        <f>IF(B6=0,0,D6/B6)</f>
        <v/>
      </c>
      <c r="H6" s="121">
        <f>IF(C6=0,0,E6/C6)</f>
        <v/>
      </c>
      <c r="I6" s="121">
        <f>IF(B6=0,0,F6/B6)</f>
        <v/>
      </c>
    </row>
    <row r="7" ht="15" customHeight="1" s="72">
      <c r="A7" s="119" t="inlineStr">
        <is>
          <t>Sanal POS</t>
        </is>
      </c>
      <c r="B7" s="120">
        <f>SUMIFS(tblPos[Brüt Satış (₺)],tblPos[Kanal],$A7)</f>
        <v/>
      </c>
      <c r="C7" s="120">
        <f>SUMIFS(tblPos[Net Satış (₺)],tblPos[Kanal],$A7)</f>
        <v/>
      </c>
      <c r="D7" s="120">
        <f>SUMIFS(tblPos[İade Tutarı (₺)],tblPos[Kanal],$A7)</f>
        <v/>
      </c>
      <c r="E7" s="120">
        <f>SUMIFS(tblPos[Komisyon Tutarı (₺)],tblPos[Kanal],$A7)</f>
        <v/>
      </c>
      <c r="F7" s="120">
        <f>SUMIFS(tblPos[Net Tahsilat (₺)],tblPos[Kanal],$A7)</f>
        <v/>
      </c>
      <c r="G7" s="121">
        <f>IF(B7=0,0,D7/B7)</f>
        <v/>
      </c>
      <c r="H7" s="121">
        <f>IF(C7=0,0,E7/C7)</f>
        <v/>
      </c>
      <c r="I7" s="121">
        <f>IF(B7=0,0,F7/B7)</f>
        <v/>
      </c>
    </row>
    <row r="8" ht="15" customHeight="1" s="72">
      <c r="A8" s="119" t="inlineStr">
        <is>
          <t>Mobil POS</t>
        </is>
      </c>
      <c r="B8" s="120">
        <f>SUMIFS(tblPos[Brüt Satış (₺)],tblPos[Kanal],$A8)</f>
        <v/>
      </c>
      <c r="C8" s="120">
        <f>SUMIFS(tblPos[Net Satış (₺)],tblPos[Kanal],$A8)</f>
        <v/>
      </c>
      <c r="D8" s="120">
        <f>SUMIFS(tblPos[İade Tutarı (₺)],tblPos[Kanal],$A8)</f>
        <v/>
      </c>
      <c r="E8" s="120">
        <f>SUMIFS(tblPos[Komisyon Tutarı (₺)],tblPos[Kanal],$A8)</f>
        <v/>
      </c>
      <c r="F8" s="120">
        <f>SUMIFS(tblPos[Net Tahsilat (₺)],tblPos[Kanal],$A8)</f>
        <v/>
      </c>
      <c r="G8" s="121">
        <f>IF(B8=0,0,D8/B8)</f>
        <v/>
      </c>
      <c r="H8" s="121">
        <f>IF(C8=0,0,E8/C8)</f>
        <v/>
      </c>
      <c r="I8" s="121">
        <f>IF(B8=0,0,F8/B8)</f>
        <v/>
      </c>
    </row>
    <row r="9" ht="15" customHeight="1" s="72">
      <c r="A9" s="119" t="inlineStr">
        <is>
          <t>Pazaryeri POS</t>
        </is>
      </c>
      <c r="B9" s="120">
        <f>SUMIFS(tblPos[Brüt Satış (₺)],tblPos[Kanal],$A9)</f>
        <v/>
      </c>
      <c r="C9" s="120">
        <f>SUMIFS(tblPos[Net Satış (₺)],tblPos[Kanal],$A9)</f>
        <v/>
      </c>
      <c r="D9" s="120">
        <f>SUMIFS(tblPos[İade Tutarı (₺)],tblPos[Kanal],$A9)</f>
        <v/>
      </c>
      <c r="E9" s="120">
        <f>SUMIFS(tblPos[Komisyon Tutarı (₺)],tblPos[Kanal],$A9)</f>
        <v/>
      </c>
      <c r="F9" s="120">
        <f>SUMIFS(tblPos[Net Tahsilat (₺)],tblPos[Kanal],$A9)</f>
        <v/>
      </c>
      <c r="G9" s="121">
        <f>IF(B9=0,0,D9/B9)</f>
        <v/>
      </c>
      <c r="H9" s="121">
        <f>IF(C9=0,0,E9/C9)</f>
        <v/>
      </c>
      <c r="I9" s="121">
        <f>IF(B9=0,0,F9/B9)</f>
        <v/>
      </c>
    </row>
    <row r="10" ht="15" customHeight="1" s="72">
      <c r="A10" s="119" t="inlineStr">
        <is>
          <t>Diğer</t>
        </is>
      </c>
      <c r="B10" s="120">
        <f>SUMIFS(tblPos[Brüt Satış (₺)],tblPos[Kanal],$A10)</f>
        <v/>
      </c>
      <c r="C10" s="120">
        <f>SUMIFS(tblPos[Net Satış (₺)],tblPos[Kanal],$A10)</f>
        <v/>
      </c>
      <c r="D10" s="120">
        <f>SUMIFS(tblPos[İade Tutarı (₺)],tblPos[Kanal],$A10)</f>
        <v/>
      </c>
      <c r="E10" s="120">
        <f>SUMIFS(tblPos[Komisyon Tutarı (₺)],tblPos[Kanal],$A10)</f>
        <v/>
      </c>
      <c r="F10" s="120">
        <f>SUMIFS(tblPos[Net Tahsilat (₺)],tblPos[Kanal],$A10)</f>
        <v/>
      </c>
      <c r="G10" s="121">
        <f>IF(B10=0,0,D10/B10)</f>
        <v/>
      </c>
      <c r="H10" s="121">
        <f>IF(C10=0,0,E10/C10)</f>
        <v/>
      </c>
      <c r="I10" s="121">
        <f>IF(B10=0,0,F10/B10)</f>
        <v/>
      </c>
    </row>
    <row r="11" ht="15" customHeight="1" s="72">
      <c r="A11" s="122" t="inlineStr">
        <is>
          <t>TOPLAM</t>
        </is>
      </c>
      <c r="B11" s="123">
        <f>SUM(B6:B10)</f>
        <v/>
      </c>
      <c r="C11" s="123">
        <f>SUM(C6:C10)</f>
        <v/>
      </c>
      <c r="D11" s="123">
        <f>SUM(D6:D10)</f>
        <v/>
      </c>
      <c r="E11" s="123">
        <f>SUM(E6:E10)</f>
        <v/>
      </c>
      <c r="F11" s="123">
        <f>SUM(F6:F10)</f>
        <v/>
      </c>
      <c r="G11" s="124">
        <f>IF(B11=0,0,D11/B11)</f>
        <v/>
      </c>
      <c r="H11" s="124">
        <f>IF(C11=0,0,E11/C11)</f>
        <v/>
      </c>
      <c r="I11" s="124">
        <f>IF(B11=0,0,F11/B11)</f>
        <v/>
      </c>
    </row>
    <row r="12"/>
    <row r="13" ht="15" customHeight="1" s="72">
      <c r="A13" s="122" t="inlineStr">
        <is>
          <t>En Pahalı Kanal</t>
        </is>
      </c>
      <c r="B13" s="125">
        <f>INDEX($A$6:$A$10,MATCH(MAX($E$6:$E$10),$E$6:$E$10,0))</f>
        <v/>
      </c>
    </row>
    <row r="14"/>
    <row r="15" ht="19.5" customHeight="1" s="72">
      <c r="A15" s="118" t="inlineStr">
        <is>
          <t>Hesap satırları yalnızca POS hareketlerinden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5:AN15"/>
    <mergeCell ref="A3:I3"/>
  </mergeCells>
  <conditionalFormatting sqref="B6:B11">
    <cfRule type="cellIs" rank="0" priority="2" equalAverage="0" operator="lessThan" aboveAverage="0" dxfId="6" text="" percent="0" bottom="0">
      <formula>0</formula>
    </cfRule>
  </conditionalFormatting>
  <conditionalFormatting sqref="C6:C11">
    <cfRule type="cellIs" rank="0" priority="3" equalAverage="0" operator="lessThan" aboveAverage="0" dxfId="6" text="" percent="0" bottom="0">
      <formula>0</formula>
    </cfRule>
  </conditionalFormatting>
  <conditionalFormatting sqref="D6:D11">
    <cfRule type="cellIs" rank="0" priority="4" equalAverage="0" operator="lessThan" aboveAverage="0" dxfId="6" text="" percent="0" bottom="0">
      <formula>0</formula>
    </cfRule>
  </conditionalFormatting>
  <conditionalFormatting sqref="E6:E11">
    <cfRule type="cellIs" rank="0" priority="5" equalAverage="0" operator="lessThan" aboveAverage="0" dxfId="6" text="" percent="0" bottom="0">
      <formula>0</formula>
    </cfRule>
  </conditionalFormatting>
  <conditionalFormatting sqref="F6:F11">
    <cfRule type="cellIs" rank="0" priority="6" equalAverage="0" operator="lessThan" aboveAverage="0" dxfId="6" text="" percent="0" bottom="0">
      <formula>0</formula>
    </cfRule>
  </conditionalFormatting>
  <conditionalFormatting sqref="G6:G11">
    <cfRule type="cellIs" rank="0" priority="7" equalAverage="0" operator="greaterThan" aboveAverage="0" dxfId="7" text="" percent="0" bottom="0">
      <formula>0.5</formula>
    </cfRule>
  </conditionalFormatting>
  <conditionalFormatting sqref="H6:H11">
    <cfRule type="cellIs" rank="0" priority="8" equalAverage="0" operator="greaterThan" aboveAverage="0" dxfId="7" text="" percent="0" bottom="0">
      <formula>0.03</formula>
    </cfRule>
  </conditionalFormatting>
  <conditionalFormatting sqref="I6:I11">
    <cfRule type="cellIs" rank="0" priority="9" equalAverage="0" operator="lessThan" aboveAverage="0" dxfId="7" text="" percent="0" bottom="0">
      <formula>0.95</formula>
    </cfRule>
    <cfRule type="cellIs" rank="0" priority="10" equalAverage="0" operator="lessThan" aboveAverage="0" dxfId="6" text="" percent="0" bottom="0">
      <formula>0.8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.5" customWidth="1" style="98" min="1" max="1"/>
    <col width="35.5" customWidth="1" style="98" min="2" max="2"/>
    <col width="52" customWidth="1" style="98" min="3" max="3"/>
    <col width="72" customWidth="1" style="98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ANALITIK MOTOR — POS, Komisyon ve Net Tahsilat Kontrol Sistemi</t>
        </is>
      </c>
    </row>
    <row r="2"/>
    <row r="3" ht="22" customHeight="1" s="72">
      <c r="A3" s="292" t="inlineStr">
        <is>
          <t>ANALİTİK MOTOR — DERİNLİK KATMANI</t>
        </is>
      </c>
    </row>
    <row r="4"/>
    <row r="5" ht="30" customHeight="1" s="72">
      <c r="A5" s="111" t="inlineStr">
        <is>
          <t>Kod</t>
        </is>
      </c>
      <c r="B5" s="111" t="inlineStr">
        <is>
          <t>Gösterge</t>
        </is>
      </c>
      <c r="C5" s="111" t="inlineStr">
        <is>
          <t>Değer</t>
        </is>
      </c>
      <c r="D5" s="111" t="inlineStr">
        <is>
          <t>Makine Yorumu</t>
        </is>
      </c>
    </row>
    <row r="6" ht="30" customHeight="1" s="72">
      <c r="A6" s="126" t="inlineStr">
        <is>
          <t>T2</t>
        </is>
      </c>
      <c r="B6" s="127" t="inlineStr">
        <is>
          <t>Aylık Ortalama Net Tahsilat</t>
        </is>
      </c>
      <c r="C6" s="120">
        <f>PANO!B25</f>
        <v/>
      </c>
      <c r="D6" s="128">
        <f>_xlfn.TEXTJOIN("; ",TRUE(),"Aylık AVERAGE net tahsilat ",TEXT(C6,"₺ #,##0")," TL — eğilim bu seviyede seyrediyor")</f>
        <v/>
      </c>
    </row>
    <row r="7" ht="30" customHeight="1" s="72">
      <c r="A7" s="126" t="inlineStr">
        <is>
          <t>T4</t>
        </is>
      </c>
      <c r="B7" s="127" t="inlineStr">
        <is>
          <t>İlk-Son Ay Net Tahsilat Farkı</t>
        </is>
      </c>
      <c r="C7" s="129">
        <f>IFERROR(INDEX(tblPos[Net Tahsilat (₺)],COUNTA(tblPos[Kanal]))-INDEX(tblPos[Net Tahsilat (₺)],1),0)</f>
        <v/>
      </c>
      <c r="D7" s="128">
        <f>_xlfn.TEXTJOIN("; ",TRUE(),"İlk ile son ay net tahsilat farkı ",TEXT(C7,"₺ #,##0")," TL — artış tahsilat gücünü gösterir")</f>
        <v/>
      </c>
    </row>
    <row r="8" ht="30" customHeight="1" s="72">
      <c r="A8" s="126" t="inlineStr">
        <is>
          <t>O1</t>
        </is>
      </c>
      <c r="B8" s="127" t="inlineStr">
        <is>
          <t>Net Tahsilat Sapması (STDEV)</t>
        </is>
      </c>
      <c r="C8" s="120">
        <f>PANO!B26</f>
        <v/>
      </c>
      <c r="D8" s="128">
        <f>_xlfn.TEXTJOIN("; ",TRUE(),"Net tahsilat sapması ",TEXT(C8,"₺ #,##0")," TL — sapma yüksekse tahsilat öngörülemezdir")</f>
        <v/>
      </c>
    </row>
    <row r="9" ht="30" customHeight="1" s="72">
      <c r="A9" s="126" t="inlineStr">
        <is>
          <t>O2</t>
        </is>
      </c>
      <c r="B9" s="127" t="inlineStr">
        <is>
          <t>Tornado: En Büyük Etki</t>
        </is>
      </c>
      <c r="C9" s="129">
        <f>MAX(SENARYO_DUYARLILIK!B12:B13)</f>
        <v/>
      </c>
      <c r="D9" s="128">
        <f>_xlfn.TEXTJOIN("; ",TRUE(),"Net tahsilatı en çok etkileyen değişkenin etkisi ",TEXT(C9,"₺ #,##0")," TL — öncelik bu değişkenin izlenmesinde")</f>
        <v/>
      </c>
    </row>
    <row r="10" ht="30" customHeight="1" s="72">
      <c r="A10" s="126" t="inlineStr">
        <is>
          <t>O3</t>
        </is>
      </c>
      <c r="B10" s="127" t="inlineStr">
        <is>
          <t>Senaryo Bant Genişliği</t>
        </is>
      </c>
      <c r="C10" s="129">
        <f>SENARYO_DUYARLILIK!C7-SENARYO_DUYARLILIK!C9</f>
        <v/>
      </c>
      <c r="D10" s="128">
        <f>_xlfn.TEXTJOIN("; ",TRUE(),"İyimser ile kötümser senaryo net tahsilat farkı ",TEXT(C10,"₺ #,##0")," TL — belirsizlik aralığını gösterir")</f>
        <v/>
      </c>
    </row>
    <row r="11" ht="30" customHeight="1" s="72">
      <c r="A11" s="126" t="inlineStr">
        <is>
          <t>O6</t>
        </is>
      </c>
      <c r="B11" s="127" t="inlineStr">
        <is>
          <t>Kanal Yoğunlaşma (HHI)</t>
        </is>
      </c>
      <c r="C11" s="129">
        <f>IF(PosBrutToplam=0,0,SUMPRODUCT((HESAP!$B$6:$B$10/HESAP!$B$11)^2))</f>
        <v/>
      </c>
      <c r="D11" s="128">
        <f>_xlfn.TEXTJOIN("; ",TRUE(),"Kanal yoğunlaşma endeksi ",TEXT(C11,"0.00")," — endeks yüksekse tek kanala bağımlılık risklidir")</f>
        <v/>
      </c>
    </row>
    <row r="12" ht="30" customHeight="1" s="72">
      <c r="A12" s="126" t="inlineStr">
        <is>
          <t>O8</t>
        </is>
      </c>
      <c r="B12" s="127" t="inlineStr">
        <is>
          <t>Veri Kalite Skoru</t>
        </is>
      </c>
      <c r="C12" s="130">
        <f>KONTROLLER!B19</f>
        <v/>
      </c>
      <c r="D12" s="128">
        <f>_xlfn.TEXTJOIN("; ",TRUE(),"Veri kalite skoru ",TEXT(C12,"0")," puan — ",IF(C12&gt;=PosKaliteIyi,"yüksek güven","veri girişi tamamlanmalı"))</f>
        <v/>
      </c>
    </row>
    <row r="13" ht="30" customHeight="1" s="72">
      <c r="A13" s="126" t="inlineStr">
        <is>
          <t>I1</t>
        </is>
      </c>
      <c r="B13" s="127" t="inlineStr">
        <is>
          <t>Gelecek Ay Net Tahsilat Tahmini</t>
        </is>
      </c>
      <c r="C13" s="120">
        <f>PANO!B24</f>
        <v/>
      </c>
      <c r="D13" s="128">
        <f>_xlfn.TEXTJOIN("; ",TRUE(),"Gelecek ay net tahsilat tahmini ",TEXT(C13,"₺ #,##0")," TL — güven bandı için alt/üst sınır PANO sayfasındadır")</f>
        <v/>
      </c>
    </row>
    <row r="14" ht="30" customHeight="1" s="72">
      <c r="A14" s="126" t="inlineStr">
        <is>
          <t>I2</t>
        </is>
      </c>
      <c r="B14" s="127" t="inlineStr">
        <is>
          <t>Net Tahsilat Yüzdelik P90</t>
        </is>
      </c>
      <c r="C14" s="129">
        <f>_xlfn.PERCENTILE.INC(tblPos[Net Tahsilat (₺)],PosP90Oran)</f>
        <v/>
      </c>
      <c r="D14" s="128">
        <f>_xlfn.TEXTJOIN("; ",TRUE(),"Net tahsilatların %90 ı ",TEXT(C14,"₺ #,##0")," TL altında gerçekleşir — üst sınır bütçe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8" min="1" max="1"/>
    <col width="55" customWidth="1" style="98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KONTROLLER — POS, Komisyon ve Net Tahsilat Kontrol Sistemi</t>
        </is>
      </c>
    </row>
    <row r="2"/>
    <row r="3" ht="22" customHeight="1" s="72">
      <c r="A3" s="292" t="inlineStr">
        <is>
          <t>Giriş Kalite Kontrolleri</t>
        </is>
      </c>
    </row>
    <row r="4" ht="27.75" customHeight="1" s="72">
      <c r="A4" s="101" t="inlineStr">
        <is>
          <t>Aşağıdaki kontroller canlı formüllerle çalışır; sorun varsa uyarı üretir.</t>
        </is>
      </c>
    </row>
    <row r="5"/>
    <row r="6" ht="15" customHeight="1" s="72">
      <c r="A6" s="104" t="inlineStr">
        <is>
          <t>Boş kanal satırı var mı?</t>
        </is>
      </c>
      <c r="B6" s="129">
        <f>IF(COUNTBLANK(tblPos[Kanal])=0,"TEMİZ","BOŞ VAR")</f>
        <v/>
      </c>
    </row>
    <row r="7" ht="15" customHeight="1" s="72">
      <c r="A7" s="104" t="inlineStr">
        <is>
          <t>Boş brüt satış var mı?</t>
        </is>
      </c>
      <c r="B7" s="129">
        <f>IF(COUNTBLANK(tblPos[Brüt Satış (₺)])=0,"TEMİZ","BOŞ VAR")</f>
        <v/>
      </c>
    </row>
    <row r="8" ht="15" customHeight="1" s="72">
      <c r="A8" s="104" t="inlineStr">
        <is>
          <t>Negatif brüt satış var mı?</t>
        </is>
      </c>
      <c r="B8" s="129">
        <f>IF(COUNTIF(tblPos[Brüt Satış (₺)],"&lt;0")=0,"TEMİZ","NEGATİF VAR")</f>
        <v/>
      </c>
    </row>
    <row r="9" ht="15" customHeight="1" s="72">
      <c r="A9" s="104" t="inlineStr">
        <is>
          <t>İade tutarı brütü aşıyor mu?</t>
        </is>
      </c>
      <c r="B9" s="129">
        <f>IF(SUMPRODUCT((tblPos[İade Tutarı (₺)]&gt;tblPos[Brüt Satış (₺)])*1)=0,"TEMİZ","FARK VAR")</f>
        <v/>
      </c>
    </row>
    <row r="10" ht="15" customHeight="1" s="72">
      <c r="A10" s="104" t="inlineStr">
        <is>
          <t>Komisyon oranı eşiği aşılıyor mu?</t>
        </is>
      </c>
      <c r="B10" s="129">
        <f>IF(COUNTIF(tblPos[Komisyon Oranı],"&gt;"&amp;PosKomisyonRiskEsik)=0,"NORMAL","AŞIYOR")</f>
        <v/>
      </c>
    </row>
    <row r="11" ht="15" customHeight="1" s="72">
      <c r="A11" s="104" t="inlineStr">
        <is>
          <t>Genel iade oranı eşiği aşılıyor mu?</t>
        </is>
      </c>
      <c r="B11" s="129">
        <f>IF(PosIadeOrani&gt;PosIadeRiskEsik,"AŞIYOR","NORMAL")</f>
        <v/>
      </c>
    </row>
    <row r="12" ht="15" customHeight="1" s="72">
      <c r="A12" s="104" t="inlineStr">
        <is>
          <t>Net tahsilat oranı hedefte mi?</t>
        </is>
      </c>
      <c r="B12" s="129">
        <f>IF(PosNetOran&lt;PosNetHedefOran,"ALTINDA","HEDEFTE")</f>
        <v/>
      </c>
    </row>
    <row r="13" ht="15" customHeight="1" s="72">
      <c r="A13" s="104" t="inlineStr">
        <is>
          <t>En pahalı kanal riskli mi?</t>
        </is>
      </c>
      <c r="B13" s="129">
        <f>IF(PosKomisyonOrani&gt;PosKomisyonRiskEsik,"RİSK","GÜVENLİ")</f>
        <v/>
      </c>
    </row>
    <row r="14"/>
    <row r="15" ht="15" customHeight="1" s="72">
      <c r="A15" s="102" t="inlineStr">
        <is>
          <t>Veri Kalitesi Skoru (0-100)</t>
        </is>
      </c>
    </row>
    <row r="16" ht="27.75" customHeight="1" s="72">
      <c r="A16" s="101" t="inlineStr">
        <is>
          <t>Boş ve negatif girişlerin oranına göre üretilen kalite skoru.</t>
        </is>
      </c>
    </row>
    <row r="17" ht="15" customHeight="1" s="72">
      <c r="A17" s="104" t="inlineStr">
        <is>
          <t>Toplam Giriş Hücresi</t>
        </is>
      </c>
      <c r="B17" s="130">
        <f>COUNTA(tblPos[Kanal])*COUNTA(tblPos[#Headers])</f>
        <v/>
      </c>
    </row>
    <row r="18" ht="15" customHeight="1" s="72">
      <c r="A18" s="104" t="inlineStr">
        <is>
          <t>Dolu Giriş Hücresi</t>
        </is>
      </c>
      <c r="B18" s="130">
        <f>COUNTA(tblPos[#Data])</f>
        <v/>
      </c>
    </row>
    <row r="19" ht="15" customHeight="1" s="72">
      <c r="A19" s="119" t="inlineStr">
        <is>
          <t>Kalite Skoru</t>
        </is>
      </c>
      <c r="B19" s="131">
        <f>ROUND(IF(PosToplamGiris=0,0,PosDoluGiris/PosToplamGiris*100),0)</f>
        <v/>
      </c>
    </row>
    <row r="20" ht="15" customHeight="1" s="72">
      <c r="A20" s="104" t="inlineStr">
        <is>
          <t>Kalite Seviyesi</t>
        </is>
      </c>
      <c r="B20" s="129">
        <f>IF(B19&gt;=PosKaliteIyi,"YÜKSEK",IF(B19&gt;=PosKaliteOrta,"ORTA","DÜŞÜK"))</f>
        <v/>
      </c>
    </row>
    <row r="21"/>
    <row r="22" ht="19.5" customHeight="1" s="72">
      <c r="A22" s="118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2:AN22"/>
    <mergeCell ref="A3:I3"/>
  </mergeCells>
  <conditionalFormatting sqref="B6:B13">
    <cfRule type="cellIs" rank="0" priority="2" equalAverage="0" operator="equal" aboveAverage="0" dxfId="9" text="" percent="0" bottom="0">
      <formula>"BOŞ VAR"</formula>
    </cfRule>
    <cfRule type="cellIs" rank="0" priority="3" equalAverage="0" operator="equal" aboveAverage="0" dxfId="9" text="" percent="0" bottom="0">
      <formula>"NEGATİF VAR"</formula>
    </cfRule>
    <cfRule type="cellIs" rank="0" priority="4" equalAverage="0" operator="equal" aboveAverage="0" dxfId="9" text="" percent="0" bottom="0">
      <formula>"FARK VAR"</formula>
    </cfRule>
    <cfRule type="cellIs" rank="0" priority="5" equalAverage="0" operator="equal" aboveAverage="0" dxfId="9" text="" percent="0" bottom="0">
      <formula>"AŞIYOR"</formula>
    </cfRule>
    <cfRule type="cellIs" rank="0" priority="6" equalAverage="0" operator="equal" aboveAverage="0" dxfId="9" text="" percent="0" bottom="0">
      <formula>"RİSK"</formula>
    </cfRule>
    <cfRule type="cellIs" rank="0" priority="7" equalAverage="0" operator="equal" aboveAverage="0" dxfId="8" text="" percent="0" bottom="0">
      <formula>"TEMİZ"</formula>
    </cfRule>
    <cfRule type="cellIs" rank="0" priority="8" equalAverage="0" operator="equal" aboveAverage="0" dxfId="8" text="" percent="0" bottom="0">
      <formula>"NORMAL"</formula>
    </cfRule>
    <cfRule type="cellIs" rank="0" priority="9" equalAverage="0" operator="equal" aboveAverage="0" dxfId="8" text="" percent="0" bottom="0">
      <formula>"HEDEFTE"</formula>
    </cfRule>
    <cfRule type="cellIs" rank="0" priority="10" equalAverage="0" operator="equal" aboveAverage="0" dxfId="8" text="" percent="0" bottom="0">
      <formula>"GÜVENLİ"</formula>
    </cfRule>
    <cfRule type="cellIs" rank="0" priority="11" equalAverage="0" operator="equal" aboveAverage="0" dxfId="7" text="" percent="0" bottom="0">
      <formula>"ALTINDA"</formula>
    </cfRule>
  </conditionalFormatting>
  <conditionalFormatting sqref="B19">
    <cfRule type="cellIs" rank="0" priority="12" equalAverage="0" operator="lessThan" aboveAverage="0" dxfId="6" text="" percent="0" bottom="0">
      <formula>70</formula>
    </cfRule>
    <cfRule type="cellIs" rank="0" priority="13" equalAverage="0" operator="between" aboveAverage="0" dxfId="7" text="" percent="0" bottom="0">
      <formula>70</formula>
      <formula>90</formula>
    </cfRule>
    <cfRule type="cellIs" rank="0" priority="14" equalAverage="0" operator="greaterThanOrEqual" aboveAverage="0" dxfId="8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8" min="1" max="1"/>
    <col width="60" customWidth="1" style="98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KARAR — POS, Komisyon ve Net Tahsilat Kontrol Sistemi</t>
        </is>
      </c>
    </row>
    <row r="2"/>
    <row r="3" ht="22" customHeight="1" s="72">
      <c r="A3" s="292" t="inlineStr">
        <is>
          <t>Karar Kapısı — Net Tahsilat Yeterliliği</t>
        </is>
      </c>
    </row>
    <row r="4" ht="27.75" customHeight="1" s="72">
      <c r="A4" s="101" t="inlineStr">
        <is>
          <t>Net tahsilat oranı, komisyon ve iade eşiklerine göre üretilen karar.</t>
        </is>
      </c>
    </row>
    <row r="5"/>
    <row r="6" ht="15" customHeight="1" s="72">
      <c r="A6" s="104" t="inlineStr">
        <is>
          <t>Toplam Net Tahsilat</t>
        </is>
      </c>
      <c r="B6" s="123">
        <f>PosNetTahsilatToplam</f>
        <v/>
      </c>
    </row>
    <row r="7" ht="15" customHeight="1" s="72">
      <c r="A7" s="104" t="inlineStr">
        <is>
          <t>Net Tahsilat Oranı</t>
        </is>
      </c>
      <c r="B7" s="121">
        <f>PosNetOran</f>
        <v/>
      </c>
    </row>
    <row r="8" ht="15" customHeight="1" s="72">
      <c r="A8" s="104" t="inlineStr">
        <is>
          <t>Komisyon Oranı (Ağırlıklı)</t>
        </is>
      </c>
      <c r="B8" s="121">
        <f>PosKomisyonOrani</f>
        <v/>
      </c>
    </row>
    <row r="9" ht="15" customHeight="1" s="72">
      <c r="A9" s="104" t="inlineStr">
        <is>
          <t>En Pahalı Kanal</t>
        </is>
      </c>
      <c r="B9" s="129">
        <f>HESAP!B12</f>
        <v/>
      </c>
    </row>
    <row r="10"/>
    <row r="11" ht="21" customHeight="1" s="72">
      <c r="A11" s="132" t="inlineStr">
        <is>
          <t>KARAR</t>
        </is>
      </c>
      <c r="B11" s="133">
        <f>IF(COUNTA(tblPos[Kanal])=0,"VERİ YOK",IF(PosNetOran&lt;PosNetHedefOran,"İNCELE",IF(PosKomisyonOrani&gt;PosKomisyonRiskEsik,"DURDUR","UYGUN")))</f>
        <v/>
      </c>
    </row>
    <row r="12" ht="15" customHeight="1" s="72">
      <c r="A12" s="119" t="inlineStr">
        <is>
          <t>Gerekçe</t>
        </is>
      </c>
      <c r="B12" s="128">
        <f>IF(COUNTA(tblPos[Kanal])=0,"Veri girilmemiş; giriş yapılmadan karar üretilemez.",IF(PosNetOran&lt;PosNetHedefOran,"Net tahsilat oranı hedefin altında; komisyon/iade yapısı revize edilmeli.",IF(PosKomisyonOrani&gt;PosKomisyonRiskEsik,"Komisyon oranı risk eşiğini aşıyor; en pahalı kanal gözden geçirilmeli.","Karar kapısı uygun: net tahsilat oranı hedefte.")))</f>
        <v/>
      </c>
    </row>
    <row r="13"/>
    <row r="14" ht="15" customHeight="1" s="72">
      <c r="A14" s="102" t="inlineStr">
        <is>
          <t>Önerilen Aksiyonlar</t>
        </is>
      </c>
    </row>
    <row r="15" ht="15" customHeight="1" s="72">
      <c r="A15" s="104" t="inlineStr">
        <is>
          <t>Aksiyon 1</t>
        </is>
      </c>
      <c r="B15" s="128">
        <f>PosAksiyon1_ACIKLAMA</f>
        <v/>
      </c>
    </row>
    <row r="16" ht="15" customHeight="1" s="72">
      <c r="A16" s="104" t="inlineStr">
        <is>
          <t>Aksiyon 2</t>
        </is>
      </c>
      <c r="B16" s="128">
        <f>PosAksiyon2_ACIKLAMA</f>
        <v/>
      </c>
    </row>
    <row r="17" ht="15" customHeight="1" s="72">
      <c r="A17" s="104" t="inlineStr">
        <is>
          <t>Aksiyon 3</t>
        </is>
      </c>
      <c r="B17" s="128">
        <f>PosAksiyon3_ACIKLAMA</f>
        <v/>
      </c>
    </row>
    <row r="18"/>
    <row r="19" ht="19.5" customHeight="1" s="72">
      <c r="A19" s="118" t="inlineStr">
        <is>
          <t>Karar yalnızca giriş verisi ve AYARLAR'daki eşiklerden türetilir; kesin finansal tavsiye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B15:J15"/>
    <mergeCell ref="A1:I1"/>
    <mergeCell ref="B17:J17"/>
    <mergeCell ref="A19:AN19"/>
    <mergeCell ref="A3:I3"/>
    <mergeCell ref="B12:J12"/>
    <mergeCell ref="B16:J16"/>
  </mergeCells>
  <conditionalFormatting sqref="B11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11" text="" percent="0" bottom="0">
      <formula>"İNCELE"</formula>
    </cfRule>
    <cfRule type="cellIs" rank="0" priority="4" equalAverage="0" operator="equal" aboveAverage="0" dxfId="9" text="" percent="0" bottom="0">
      <formula>"DURDUR"</formula>
    </cfRule>
  </conditionalFormatting>
  <conditionalFormatting sqref="B6">
    <cfRule type="cellIs" rank="0" priority="5" equalAverage="0" operator="lessThan" aboveAverage="0" dxfId="6" text="" percent="0" bottom="0">
      <formula>0</formula>
    </cfRule>
  </conditionalFormatting>
  <conditionalFormatting sqref="B7">
    <cfRule type="cellIs" rank="0" priority="6" equalAverage="0" operator="lessThan" aboveAverage="0" dxfId="6" text="" percent="0" bottom="0">
      <formula>0.8</formula>
    </cfRule>
  </conditionalFormatting>
  <conditionalFormatting sqref="B8">
    <cfRule type="cellIs" rank="0" priority="7" equalAverage="0" operator="greaterThan" aboveAverage="0" dxfId="7" text="" percent="0" bottom="0">
      <formula>0.03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8" min="1" max="1"/>
    <col width="30" customWidth="1" style="98" min="2" max="2"/>
    <col width="20" customWidth="1" style="98" min="3" max="3"/>
    <col width="18" customWidth="1" style="98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SENARYO DUYARLILIK — POS, Komisyon ve Net Tahsilat Kontrol Sistemi</t>
        </is>
      </c>
    </row>
    <row r="2"/>
    <row r="3" ht="22" customHeight="1" s="72">
      <c r="A3" s="292" t="inlineStr">
        <is>
          <t>Senaryo ve Duyarlılık Analizi</t>
        </is>
      </c>
    </row>
    <row r="4" ht="41.25" customHeight="1" s="72">
      <c r="A4" s="101" t="inlineStr">
        <is>
          <t>İyimser, baz ve kötümser senaryolarda net tahsilat; ardından hangi değişkenin sonucu en çok etkilediğini gösteren tornado analizi.</t>
        </is>
      </c>
    </row>
    <row r="5"/>
    <row r="6" ht="15" customHeight="1" s="72">
      <c r="A6" s="140" t="inlineStr">
        <is>
          <t>Senaryo</t>
        </is>
      </c>
      <c r="B6" s="140" t="inlineStr">
        <is>
          <t>Net Tahsilat Çarpanı</t>
        </is>
      </c>
      <c r="C6" s="140" t="inlineStr">
        <is>
          <t>Toplam Net Tahsilat</t>
        </is>
      </c>
      <c r="D6" s="140" t="inlineStr">
        <is>
          <t>Net Tahsilat Oranı</t>
        </is>
      </c>
    </row>
    <row r="7" ht="15" customHeight="1" s="72">
      <c r="A7" s="119" t="inlineStr">
        <is>
          <t>İYİMSER</t>
        </is>
      </c>
      <c r="B7" s="121">
        <f>IF(PosNetTahsilatToplam=0,"VERİ YOK",PosIyiSenaryo)</f>
        <v/>
      </c>
      <c r="C7" s="120">
        <f>ROUND(PosNetTahsilatToplam*PosIyiSenaryo,0)</f>
        <v/>
      </c>
      <c r="D7" s="121">
        <f>IF(PosBrutToplam=0,0,C7/PosBrutToplam)</f>
        <v/>
      </c>
    </row>
    <row r="8" ht="15" customHeight="1" s="72">
      <c r="A8" s="119" t="inlineStr">
        <is>
          <t>BAZ</t>
        </is>
      </c>
      <c r="B8" s="121">
        <f>IF(PosNetTahsilatToplam=0,"VERİ YOK",PosBazSenaryo)</f>
        <v/>
      </c>
      <c r="C8" s="120">
        <f>ROUND(PosNetTahsilatToplam*PosBazSenaryo,0)</f>
        <v/>
      </c>
      <c r="D8" s="121">
        <f>IF(PosBrutToplam=0,0,C8/PosBrutToplam)</f>
        <v/>
      </c>
    </row>
    <row r="9" ht="15" customHeight="1" s="72">
      <c r="A9" s="119" t="inlineStr">
        <is>
          <t>KÖTÜMSER</t>
        </is>
      </c>
      <c r="B9" s="121">
        <f>IF(PosNetTahsilatToplam=0,"VERİ YOK",PosKotuSenaryo)</f>
        <v/>
      </c>
      <c r="C9" s="120">
        <f>ROUND(PosNetTahsilatToplam*PosKotuSenaryo,0)</f>
        <v/>
      </c>
      <c r="D9" s="121">
        <f>IF(PosBrutToplam=0,0,C9/PosBrutToplam)</f>
        <v/>
      </c>
    </row>
    <row r="10"/>
    <row r="11" ht="15" customHeight="1" s="72">
      <c r="A11" s="102" t="inlineStr">
        <is>
          <t>Tornado: Toplam Net Tahsilata Etki</t>
        </is>
      </c>
    </row>
    <row r="12" ht="15" customHeight="1" s="72">
      <c r="A12" s="104" t="inlineStr">
        <is>
          <t>Komisyon +1 puan</t>
        </is>
      </c>
      <c r="B12" s="120">
        <f>ROUND(SUM(tblPos[Brüt Satış (₺)])*PosTornadoKomisyon,0)</f>
        <v/>
      </c>
    </row>
    <row r="13" ht="15" customHeight="1" s="72">
      <c r="A13" s="104" t="inlineStr">
        <is>
          <t>İade +1 puan</t>
        </is>
      </c>
      <c r="B13" s="120">
        <f>ROUND(SUM(tblPos[Brüt Satış (₺)])*PosTornadoIade,0)</f>
        <v/>
      </c>
    </row>
    <row r="14"/>
    <row r="15" ht="15" customHeight="1" s="72">
      <c r="A15" s="122" t="inlineStr">
        <is>
          <t>En Etkili Değişken</t>
        </is>
      </c>
      <c r="B15" s="125">
        <f>IF(B12&gt;=B13,"Komisyon Oranı","İade Oranı")</f>
        <v/>
      </c>
    </row>
    <row r="16"/>
    <row r="17" ht="19.5" customHeight="1" s="72">
      <c r="A17" s="118" t="inlineStr">
        <is>
          <t>Tornado etkileri AYARLAR'daki çarpanlardan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7:AN17"/>
  </mergeCells>
  <conditionalFormatting sqref="C7:C9">
    <cfRule type="cellIs" rank="0" priority="2" equalAverage="0" operator="lessThan" aboveAverage="0" dxfId="6" text="" percent="0" bottom="0">
      <formula>0</formula>
    </cfRule>
  </conditionalFormatting>
  <conditionalFormatting sqref="D7:D9">
    <cfRule type="cellIs" rank="0" priority="3" equalAverage="0" operator="lessThan" aboveAverage="0" dxfId="6" text="" percent="0" bottom="0">
      <formula>0.8</formula>
    </cfRule>
    <cfRule type="cellIs" rank="0" priority="4" equalAverage="0" operator="lessThan" aboveAverage="0" dxfId="7" text="" percent="0" bottom="0">
      <formula>0.95</formula>
    </cfRule>
  </conditionalFormatting>
  <conditionalFormatting sqref="B12:B13">
    <cfRule type="cellIs" rank="0" priority="5" equalAverage="0" operator="less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L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8" min="1" max="1"/>
    <col width="40" customWidth="1" style="98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POS, KOMİSYON VE NET TAHSİLAT KONTROL SİSTEMİ — YÖNETİCİ ÖZETİ</t>
        </is>
      </c>
    </row>
    <row r="2" ht="15" customHeight="1" s="72">
      <c r="A2" s="142">
        <f>_xlfn.CONCAT("Rapor Tarihi: ",TEXT(RaporTarihi,"dd.mm.yyyy")," | Hazırlayan: ",RaporHazirlayan," | Sürüm: ",DosyaSurumu)</f>
        <v/>
      </c>
    </row>
    <row r="3"/>
    <row r="4" ht="17.25" customHeight="1" s="72">
      <c r="A4" s="102" t="inlineStr">
        <is>
          <t>Karar</t>
        </is>
      </c>
      <c r="B4" s="133">
        <f>KARAR!B11</f>
        <v/>
      </c>
    </row>
    <row r="5"/>
    <row r="6" ht="15" customHeight="1" s="72">
      <c r="A6" s="104" t="inlineStr">
        <is>
          <t>Toplam Brüt Satış</t>
        </is>
      </c>
      <c r="B6" s="120">
        <f>PosBrutToplam</f>
        <v/>
      </c>
    </row>
    <row r="7" ht="15" customHeight="1" s="72">
      <c r="A7" s="104" t="inlineStr">
        <is>
          <t>Toplam İade</t>
        </is>
      </c>
      <c r="B7" s="120">
        <f>PosIadeToplam</f>
        <v/>
      </c>
    </row>
    <row r="8" ht="15" customHeight="1" s="72">
      <c r="A8" s="104" t="inlineStr">
        <is>
          <t>Toplam Komisyon</t>
        </is>
      </c>
      <c r="B8" s="120">
        <f>PosKomisyonToplam</f>
        <v/>
      </c>
    </row>
    <row r="9" ht="15" customHeight="1" s="72">
      <c r="A9" s="104" t="inlineStr">
        <is>
          <t>Net Tahsilat</t>
        </is>
      </c>
      <c r="B9" s="120">
        <f>PosNetTahsilatToplam</f>
        <v/>
      </c>
    </row>
    <row r="10" ht="15" customHeight="1" s="72">
      <c r="A10" s="104" t="inlineStr">
        <is>
          <t>Net Tahsilat Oranı</t>
        </is>
      </c>
      <c r="B10" s="121">
        <f>PosNetOran</f>
        <v/>
      </c>
    </row>
    <row r="11" ht="15" customHeight="1" s="72">
      <c r="A11" s="104" t="inlineStr">
        <is>
          <t>İade Oranı</t>
        </is>
      </c>
      <c r="B11" s="121">
        <f>PosIadeOrani</f>
        <v/>
      </c>
    </row>
    <row r="12" ht="15" customHeight="1" s="72">
      <c r="A12" s="104" t="inlineStr">
        <is>
          <t>Komisyon Oranı</t>
        </is>
      </c>
      <c r="B12" s="121">
        <f>PosKomisyonOrani</f>
        <v/>
      </c>
    </row>
    <row r="13" ht="15" customHeight="1" s="72">
      <c r="A13" s="104" t="inlineStr">
        <is>
          <t>En Pahalı Kanal</t>
        </is>
      </c>
      <c r="B13" s="129">
        <f>KARAR!B9</f>
        <v/>
      </c>
    </row>
    <row r="14" ht="15" customHeight="1" s="72">
      <c r="A14" s="104" t="inlineStr">
        <is>
          <t>Kalite Skoru</t>
        </is>
      </c>
      <c r="B14" s="130">
        <f>KONTROLLER!B19</f>
        <v/>
      </c>
    </row>
    <row r="15"/>
    <row r="16" ht="15" customHeight="1" s="72">
      <c r="A16" s="137" t="inlineStr">
        <is>
          <t>Varsayımlar ve Önemli Notlar</t>
        </is>
      </c>
    </row>
    <row r="17" ht="15" customHeight="1" s="72">
      <c r="A17" s="103" t="inlineStr">
        <is>
          <t>• Komisyon oranları her işlem için ayrı ayrı giriş yapılır; katsayı olarak girilir.</t>
        </is>
      </c>
    </row>
    <row r="18" ht="15" customHeight="1" s="72">
      <c r="A18" s="103" t="inlineStr">
        <is>
          <t>• İade tutarı brüt satıştan düşülür; komisyon net tutar üzerinden hesaplanır.</t>
        </is>
      </c>
    </row>
    <row r="19" ht="15" customHeight="1" s="72">
      <c r="A19" s="103" t="inlineStr">
        <is>
          <t>• Eşikler ve senaryo çarpanları AYARLAR sayfasından alınır.</t>
        </is>
      </c>
    </row>
    <row r="20" ht="15" customHeight="1" s="72">
      <c r="A20" s="103" t="inlineStr">
        <is>
          <t>• Bu dosya muhasebe kaydı değildir; kanal maliyeti karar destek aracıdır.</t>
        </is>
      </c>
    </row>
    <row r="21" ht="15" customHeight="1" s="72">
      <c r="A21" s="103" t="inlineStr">
        <is>
          <t>• Demo veriler gerçek müşteri verisi değildir; kullanımdan önce temizlenmelidir.</t>
        </is>
      </c>
    </row>
    <row r="22"/>
    <row r="23" ht="15" customHeight="1" s="72">
      <c r="A23" s="137" t="inlineStr">
        <is>
          <t>Önerilen Aksiyonlar</t>
        </is>
      </c>
    </row>
    <row r="24" ht="15" customHeight="1" s="72">
      <c r="A24" s="103">
        <f>PosAksiyon1_ACIKLAMA</f>
        <v/>
      </c>
    </row>
    <row r="25" ht="15" customHeight="1" s="72">
      <c r="A25" s="103">
        <f>PosAksiyon2_ACIKLAMA</f>
        <v/>
      </c>
    </row>
    <row r="26" ht="15" customHeight="1" s="72">
      <c r="A26" s="103">
        <f>PosAksiyon3_ACIKLAMA</f>
        <v/>
      </c>
    </row>
    <row r="27"/>
    <row r="28" ht="15" customHeight="1" s="72">
      <c r="A28" s="143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6:L26"/>
    <mergeCell ref="A25:L25"/>
    <mergeCell ref="A19:L19"/>
    <mergeCell ref="A1:I1"/>
    <mergeCell ref="A17:L17"/>
    <mergeCell ref="A18:L18"/>
    <mergeCell ref="A21:L2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&amp;LPOS, Komisyon ve Net Tahsilat Kontrol Sistemi&amp;CExcelArşiv&amp;RSayfa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8" min="1" max="1"/>
    <col width="16.5" customWidth="1" style="98" min="2" max="2"/>
    <col width="18.5" customWidth="1" style="98" min="3" max="4"/>
    <col width="19.5" customWidth="1" style="72" min="4" max="4"/>
    <col width="18.5" customWidth="1" style="98" min="5" max="5"/>
    <col width="17.5" customWidth="1" style="98" min="6" max="6"/>
    <col width="22" customWidth="1" style="98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ORNEK VERI — POS, Komisyon ve Net Tahsilat Kontrol Sistemi</t>
        </is>
      </c>
    </row>
    <row r="2"/>
    <row r="3" ht="22" customHeight="1" s="72">
      <c r="A3" s="292" t="inlineStr">
        <is>
          <t>Örnek Veri (Demo)</t>
        </is>
      </c>
    </row>
    <row r="4" ht="81.75" customHeight="1" s="72">
      <c r="A4" s="101" t="inlineStr">
        <is>
          <t>Gerçek girişlere başlamadan önce demo veri ile ürünü deneyin. Bu satırlar örnektir; gerçek verilerle değiştirin.</t>
        </is>
      </c>
    </row>
    <row r="5" ht="30" customHeight="1" s="72">
      <c r="A5" s="111" t="inlineStr">
        <is>
          <t>Kanal</t>
        </is>
      </c>
      <c r="B5" s="111" t="inlineStr">
        <is>
          <t>İşlem Tarihi</t>
        </is>
      </c>
      <c r="C5" s="111" t="inlineStr">
        <is>
          <t>Brüt Satış (₺)</t>
        </is>
      </c>
      <c r="D5" s="111" t="inlineStr">
        <is>
          <t>İade Tutarı (₺)</t>
        </is>
      </c>
      <c r="E5" s="111" t="inlineStr">
        <is>
          <t>Komisyon Oranı</t>
        </is>
      </c>
      <c r="F5" s="111" t="inlineStr">
        <is>
          <t>Net Satış (₺)</t>
        </is>
      </c>
      <c r="G5" s="111" t="inlineStr">
        <is>
          <t>Not</t>
        </is>
      </c>
    </row>
    <row r="6" ht="15" customHeight="1" s="72">
      <c r="A6" s="144" t="inlineStr">
        <is>
          <t>Mağaza POS</t>
        </is>
      </c>
      <c r="B6" s="145" t="inlineStr">
        <is>
          <t>2026-01-05</t>
        </is>
      </c>
      <c r="C6" s="146" t="n">
        <v>185000</v>
      </c>
      <c r="D6" s="146" t="n">
        <v>12000</v>
      </c>
      <c r="E6" s="147" t="n">
        <v>0.02</v>
      </c>
      <c r="F6" s="117">
        <f>IF($C6=0,0,$C6-$D6)</f>
        <v/>
      </c>
      <c r="G6" s="144" t="inlineStr">
        <is>
          <t>Örnek işlem 1</t>
        </is>
      </c>
    </row>
    <row r="7" ht="15" customHeight="1" s="72">
      <c r="A7" s="144" t="inlineStr">
        <is>
          <t>Sanal POS</t>
        </is>
      </c>
      <c r="B7" s="145" t="inlineStr">
        <is>
          <t>2026-01-12</t>
        </is>
      </c>
      <c r="C7" s="146" t="n">
        <v>142000</v>
      </c>
      <c r="D7" s="146" t="n">
        <v>5000</v>
      </c>
      <c r="E7" s="147" t="n">
        <v>0.03</v>
      </c>
      <c r="F7" s="117">
        <f>IF($C7=0,0,$C7-$D7)</f>
        <v/>
      </c>
      <c r="G7" s="144" t="inlineStr">
        <is>
          <t>Örnek işlem 2</t>
        </is>
      </c>
    </row>
    <row r="8" ht="15" customHeight="1" s="72">
      <c r="A8" s="144" t="inlineStr">
        <is>
          <t>Mobil POS</t>
        </is>
      </c>
      <c r="B8" s="145" t="inlineStr">
        <is>
          <t>2026-02-03</t>
        </is>
      </c>
      <c r="C8" s="146" t="n">
        <v>98000</v>
      </c>
      <c r="D8" s="146" t="n">
        <v>8000</v>
      </c>
      <c r="E8" s="147" t="n">
        <v>0.015</v>
      </c>
      <c r="F8" s="117">
        <f>IF($C8=0,0,$C8-$D8)</f>
        <v/>
      </c>
      <c r="G8" s="144" t="inlineStr">
        <is>
          <t>Örnek işlem 3</t>
        </is>
      </c>
    </row>
    <row r="9" ht="15" customHeight="1" s="72">
      <c r="A9" s="144" t="inlineStr">
        <is>
          <t>Mağaza POS</t>
        </is>
      </c>
      <c r="B9" s="145" t="inlineStr">
        <is>
          <t>2026-02-18</t>
        </is>
      </c>
      <c r="C9" s="146" t="n">
        <v>210000</v>
      </c>
      <c r="D9" s="146" t="n">
        <v>15000</v>
      </c>
      <c r="E9" s="147" t="n">
        <v>0.02</v>
      </c>
      <c r="F9" s="117">
        <f>IF($C9=0,0,$C9-$D9)</f>
        <v/>
      </c>
      <c r="G9" s="144" t="inlineStr">
        <is>
          <t>Örnek işlem 4</t>
        </is>
      </c>
    </row>
    <row r="10" ht="15" customHeight="1" s="72">
      <c r="A10" s="144" t="inlineStr">
        <is>
          <t>Pazaryeri POS</t>
        </is>
      </c>
      <c r="B10" s="145" t="inlineStr">
        <is>
          <t>2026-03-07</t>
        </is>
      </c>
      <c r="C10" s="146" t="n">
        <v>265000</v>
      </c>
      <c r="D10" s="146" t="n">
        <v>22000</v>
      </c>
      <c r="E10" s="147" t="n">
        <v>0.05</v>
      </c>
      <c r="F10" s="117">
        <f>IF($C10=0,0,$C10-$D10)</f>
        <v/>
      </c>
      <c r="G10" s="144" t="inlineStr">
        <is>
          <t>Örnek işlem 5</t>
        </is>
      </c>
    </row>
    <row r="11" ht="15" customHeight="1" s="72">
      <c r="A11" s="144" t="inlineStr">
        <is>
          <t>Sanal POS</t>
        </is>
      </c>
      <c r="B11" s="145" t="inlineStr">
        <is>
          <t>2026-03-21</t>
        </is>
      </c>
      <c r="C11" s="146" t="n">
        <v>168000</v>
      </c>
      <c r="D11" s="146" t="n">
        <v>9000</v>
      </c>
      <c r="E11" s="147" t="n">
        <v>0.03</v>
      </c>
      <c r="F11" s="117">
        <f>IF($C11=0,0,$C11-$D11)</f>
        <v/>
      </c>
      <c r="G11" s="144" t="inlineStr">
        <is>
          <t>Örnek işlem 6</t>
        </is>
      </c>
    </row>
    <row r="12" ht="15" customHeight="1" s="72">
      <c r="F12" s="117">
        <f>IF($C12=0,0,$C12-$D12)</f>
        <v/>
      </c>
    </row>
    <row r="13" ht="15" customHeight="1" s="72">
      <c r="F13" s="117">
        <f>IF($C13=0,0,$C13-$D13)</f>
        <v/>
      </c>
    </row>
    <row r="14" ht="15" customHeight="1" s="72">
      <c r="F14" s="117">
        <f>IF($C14=0,0,$C14-$D14)</f>
        <v/>
      </c>
    </row>
    <row r="15" ht="15" customHeight="1" s="72">
      <c r="F15" s="117">
        <f>IF($C15=0,0,$C15-$D15)</f>
        <v/>
      </c>
    </row>
    <row r="16" ht="15" customHeight="1" s="72">
      <c r="F16" s="117">
        <f>IF($C16=0,0,$C16-$D16)</f>
        <v/>
      </c>
    </row>
    <row r="17" ht="15" customHeight="1" s="72">
      <c r="F17" s="117">
        <f>IF($C17=0,0,$C17-$D17)</f>
        <v/>
      </c>
    </row>
    <row r="18" ht="15" customHeight="1" s="72">
      <c r="F18" s="117">
        <f>IF($C18=0,0,$C18-$D18)</f>
        <v/>
      </c>
    </row>
    <row r="19" ht="15" customHeight="1" s="72">
      <c r="F19" s="117">
        <f>IF($C19=0,0,$C19-$D19)</f>
        <v/>
      </c>
    </row>
    <row r="20" ht="15" customHeight="1" s="72">
      <c r="F20" s="117">
        <f>IF($C20=0,0,$C20-$D20)</f>
        <v/>
      </c>
    </row>
    <row r="21" ht="15" customHeight="1" s="72">
      <c r="F21" s="117">
        <f>IF($C21=0,0,$C21-$D21)</f>
        <v/>
      </c>
    </row>
    <row r="22" ht="15" customHeight="1" s="72">
      <c r="F22" s="117">
        <f>IF($C22=0,0,$C22-$D22)</f>
        <v/>
      </c>
    </row>
    <row r="23" ht="15" customHeight="1" s="72">
      <c r="F23" s="117">
        <f>IF($C23=0,0,$C23-$D23)</f>
        <v/>
      </c>
    </row>
    <row r="24" ht="15" customHeight="1" s="72">
      <c r="F24" s="117">
        <f>IF($C24=0,0,$C24-$D24)</f>
        <v/>
      </c>
    </row>
    <row r="25" ht="15" customHeight="1" s="72">
      <c r="F25" s="117">
        <f>IF($C25=0,0,$C25-$D25)</f>
        <v/>
      </c>
    </row>
    <row r="26" ht="15" customHeight="1" s="72">
      <c r="F26" s="117">
        <f>IF($C26=0,0,$C26-$D26)</f>
        <v/>
      </c>
    </row>
    <row r="27" ht="15" customHeight="1" s="72">
      <c r="F27" s="117">
        <f>IF($C27=0,0,$C27-$D27)</f>
        <v/>
      </c>
    </row>
    <row r="28" ht="15" customHeight="1" s="72">
      <c r="F28" s="117">
        <f>IF($C28=0,0,$C28-$D28)</f>
        <v/>
      </c>
    </row>
    <row r="29" ht="15" customHeight="1" s="72">
      <c r="F29" s="117">
        <f>IF($C29=0,0,$C29-$D29)</f>
        <v/>
      </c>
    </row>
    <row r="30" ht="15" customHeight="1" s="72">
      <c r="F30" s="117">
        <f>IF($C30=0,0,$C30-$D30)</f>
        <v/>
      </c>
    </row>
    <row r="31" ht="15" customHeight="1" s="72">
      <c r="F31" s="117">
        <f>IF($C31=0,0,$C31-$D31)</f>
        <v/>
      </c>
    </row>
    <row r="32" ht="15" customHeight="1" s="72">
      <c r="F32" s="117">
        <f>IF($C32=0,0,$C32-$D32)</f>
        <v/>
      </c>
    </row>
    <row r="33" ht="15" customHeight="1" s="72">
      <c r="F33" s="117">
        <f>IF($C33=0,0,$C33-$D33)</f>
        <v/>
      </c>
    </row>
    <row r="34" ht="15" customHeight="1" s="72">
      <c r="F34" s="117">
        <f>IF($C34=0,0,$C34-$D34)</f>
        <v/>
      </c>
    </row>
    <row r="35" ht="15" customHeight="1" s="72">
      <c r="F35" s="117">
        <f>IF($C35=0,0,$C35-$D35)</f>
        <v/>
      </c>
    </row>
    <row r="36" ht="15" customHeight="1" s="72">
      <c r="F36" s="117">
        <f>IF($C36=0,0,$C36-$D36)</f>
        <v/>
      </c>
    </row>
    <row r="37" ht="15" customHeight="1" s="72">
      <c r="F37" s="117">
        <f>IF($C37=0,0,$C37-$D37)</f>
        <v/>
      </c>
    </row>
    <row r="38" ht="15" customHeight="1" s="72">
      <c r="F38" s="117">
        <f>IF($C38=0,0,$C38-$D38)</f>
        <v/>
      </c>
    </row>
    <row r="39" ht="15" customHeight="1" s="72">
      <c r="F39" s="117">
        <f>IF($C39=0,0,$C39-$D39)</f>
        <v/>
      </c>
    </row>
    <row r="40" ht="15" customHeight="1" s="72">
      <c r="F40" s="117">
        <f>IF($C40=0,0,$C40-$D40)</f>
        <v/>
      </c>
    </row>
    <row r="41" ht="15" customHeight="1" s="72">
      <c r="F41" s="117">
        <f>IF($C41=0,0,$C41-$D41)</f>
        <v/>
      </c>
    </row>
    <row r="42" ht="15" customHeight="1" s="72">
      <c r="F42" s="117">
        <f>IF($C42=0,0,$C42-$D42)</f>
        <v/>
      </c>
    </row>
    <row r="43" ht="15" customHeight="1" s="72">
      <c r="F43" s="117">
        <f>IF($C43=0,0,$C43-$D43)</f>
        <v/>
      </c>
    </row>
    <row r="44" ht="15" customHeight="1" s="72">
      <c r="F44" s="117">
        <f>IF($C44=0,0,$C44-$D44)</f>
        <v/>
      </c>
    </row>
    <row r="45" ht="15" customHeight="1" s="72">
      <c r="F45" s="117">
        <f>IF($C45=0,0,$C45-$D45)</f>
        <v/>
      </c>
    </row>
    <row r="46" ht="15" customHeight="1" s="72">
      <c r="F46" s="117">
        <f>IF($C46=0,0,$C46-$D46)</f>
        <v/>
      </c>
    </row>
    <row r="47" ht="15" customHeight="1" s="72">
      <c r="F47" s="117">
        <f>IF($C47=0,0,$C47-$D47)</f>
        <v/>
      </c>
    </row>
    <row r="48" ht="15" customHeight="1" s="72">
      <c r="F48" s="117">
        <f>IF($C48=0,0,$C48-$D48)</f>
        <v/>
      </c>
    </row>
    <row r="49" ht="15" customHeight="1" s="72">
      <c r="F49" s="117">
        <f>IF($C49=0,0,$C49-$D49)</f>
        <v/>
      </c>
    </row>
    <row r="50" ht="15" customHeight="1" s="72">
      <c r="F50" s="117">
        <f>IF($C50=0,0,$C50-$D50)</f>
        <v/>
      </c>
    </row>
    <row r="51" ht="15" customHeight="1" s="72">
      <c r="F51" s="117">
        <f>IF($C51=0,0,$C51-$D51)</f>
        <v/>
      </c>
    </row>
    <row r="52" ht="15" customHeight="1" s="72">
      <c r="F52" s="117">
        <f>IF($C52=0,0,$C52-$D52)</f>
        <v/>
      </c>
    </row>
    <row r="53" ht="15" customHeight="1" s="72">
      <c r="F53" s="117">
        <f>IF($C53=0,0,$C53-$D53)</f>
        <v/>
      </c>
    </row>
    <row r="54" ht="15" customHeight="1" s="72">
      <c r="F54" s="117">
        <f>IF($C54=0,0,$C54-$D54)</f>
        <v/>
      </c>
    </row>
    <row r="55" ht="15" customHeight="1" s="72">
      <c r="F55" s="117">
        <f>IF($C55=0,0,$C55-$D55)</f>
        <v/>
      </c>
    </row>
    <row r="56" ht="15" customHeight="1" s="72">
      <c r="F56" s="117">
        <f>IF($C56=0,0,$C56-$D56)</f>
        <v/>
      </c>
    </row>
    <row r="57" ht="15" customHeight="1" s="72">
      <c r="F57" s="117">
        <f>IF($C57=0,0,$C57-$D57)</f>
        <v/>
      </c>
    </row>
    <row r="58" ht="15" customHeight="1" s="72">
      <c r="F58" s="117">
        <f>IF($C58=0,0,$C58-$D58)</f>
        <v/>
      </c>
    </row>
    <row r="59" ht="15" customHeight="1" s="72">
      <c r="F59" s="117">
        <f>IF($C59=0,0,$C59-$D59)</f>
        <v/>
      </c>
    </row>
    <row r="60" ht="15" customHeight="1" s="72">
      <c r="F60" s="117">
        <f>IF($C60=0,0,$C60-$D60)</f>
        <v/>
      </c>
    </row>
    <row r="61" ht="15" customHeight="1" s="72">
      <c r="F61" s="117">
        <f>IF($C61=0,0,$C61-$D61)</f>
        <v/>
      </c>
    </row>
    <row r="62" ht="15" customHeight="1" s="72">
      <c r="F62" s="117">
        <f>IF($C62=0,0,$C62-$D62)</f>
        <v/>
      </c>
    </row>
    <row r="63" ht="15" customHeight="1" s="72">
      <c r="F63" s="117">
        <f>IF($C63=0,0,$C63-$D63)</f>
        <v/>
      </c>
    </row>
    <row r="64" ht="15" customHeight="1" s="72">
      <c r="F64" s="117">
        <f>IF($C64=0,0,$C64-$D64)</f>
        <v/>
      </c>
    </row>
    <row r="65" ht="15" customHeight="1" s="72">
      <c r="F65" s="117">
        <f>IF($C65=0,0,$C65-$D65)</f>
        <v/>
      </c>
    </row>
    <row r="66" ht="15" customHeight="1" s="72">
      <c r="F66" s="117">
        <f>IF($C66=0,0,$C66-$D66)</f>
        <v/>
      </c>
    </row>
    <row r="67" ht="15" customHeight="1" s="72">
      <c r="F67" s="117">
        <f>IF($C67=0,0,$C67-$D67)</f>
        <v/>
      </c>
    </row>
    <row r="68" ht="15" customHeight="1" s="72">
      <c r="F68" s="117">
        <f>IF($C68=0,0,$C68-$D68)</f>
        <v/>
      </c>
    </row>
    <row r="69" ht="15" customHeight="1" s="72">
      <c r="F69" s="117">
        <f>IF($C69=0,0,$C69-$D69)</f>
        <v/>
      </c>
    </row>
    <row r="70" ht="15" customHeight="1" s="72">
      <c r="F70" s="117">
        <f>IF($C70=0,0,$C70-$D70)</f>
        <v/>
      </c>
    </row>
    <row r="71" ht="15" customHeight="1" s="72">
      <c r="F71" s="117">
        <f>IF($C71=0,0,$C71-$D71)</f>
        <v/>
      </c>
    </row>
    <row r="72" ht="15" customHeight="1" s="72">
      <c r="F72" s="117">
        <f>IF($C72=0,0,$C72-$D72)</f>
        <v/>
      </c>
    </row>
    <row r="73" ht="15" customHeight="1" s="72">
      <c r="F73" s="117">
        <f>IF($C73=0,0,$C73-$D73)</f>
        <v/>
      </c>
    </row>
    <row r="74" ht="15" customHeight="1" s="72">
      <c r="F74" s="117">
        <f>IF($C74=0,0,$C74-$D74)</f>
        <v/>
      </c>
    </row>
    <row r="75" ht="15" customHeight="1" s="72">
      <c r="F75" s="117">
        <f>IF($C75=0,0,$C75-$D75)</f>
        <v/>
      </c>
    </row>
    <row r="76" ht="15" customHeight="1" s="72">
      <c r="F76" s="117">
        <f>IF($C76=0,0,$C76-$D76)</f>
        <v/>
      </c>
    </row>
    <row r="77" ht="15" customHeight="1" s="72">
      <c r="F77" s="117">
        <f>IF($C77=0,0,$C77-$D77)</f>
        <v/>
      </c>
    </row>
    <row r="78" ht="15" customHeight="1" s="72">
      <c r="F78" s="117">
        <f>IF($C78=0,0,$C78-$D78)</f>
        <v/>
      </c>
    </row>
    <row r="79" ht="15" customHeight="1" s="72">
      <c r="F79" s="117">
        <f>IF($C79=0,0,$C79-$D79)</f>
        <v/>
      </c>
    </row>
    <row r="80" ht="15" customHeight="1" s="72">
      <c r="F80" s="117">
        <f>IF($C80=0,0,$C80-$D80)</f>
        <v/>
      </c>
    </row>
    <row r="81" ht="15" customHeight="1" s="72">
      <c r="F81" s="117">
        <f>IF($C81=0,0,$C81-$D81)</f>
        <v/>
      </c>
    </row>
    <row r="82" ht="15" customHeight="1" s="72">
      <c r="F82" s="117">
        <f>IF($C82=0,0,$C82-$D82)</f>
        <v/>
      </c>
    </row>
    <row r="83" ht="15" customHeight="1" s="72">
      <c r="F83" s="117">
        <f>IF($C83=0,0,$C83-$D83)</f>
        <v/>
      </c>
    </row>
    <row r="84" ht="15" customHeight="1" s="72">
      <c r="F84" s="117">
        <f>IF($C84=0,0,$C84-$D84)</f>
        <v/>
      </c>
    </row>
    <row r="85" ht="15" customHeight="1" s="72">
      <c r="F85" s="117">
        <f>IF($C85=0,0,$C85-$D85)</f>
        <v/>
      </c>
    </row>
    <row r="86" ht="15" customHeight="1" s="72">
      <c r="F86" s="117">
        <f>IF($C86=0,0,$C86-$D86)</f>
        <v/>
      </c>
    </row>
    <row r="87" ht="15" customHeight="1" s="72">
      <c r="F87" s="117">
        <f>IF($C87=0,0,$C87-$D87)</f>
        <v/>
      </c>
    </row>
    <row r="88" ht="15" customHeight="1" s="72">
      <c r="F88" s="117">
        <f>IF($C88=0,0,$C88-$D88)</f>
        <v/>
      </c>
    </row>
    <row r="89" ht="15" customHeight="1" s="72">
      <c r="F89" s="117">
        <f>IF($C89=0,0,$C89-$D89)</f>
        <v/>
      </c>
    </row>
    <row r="90" ht="15" customHeight="1" s="72">
      <c r="F90" s="117">
        <f>IF($C90=0,0,$C90-$D90)</f>
        <v/>
      </c>
    </row>
    <row r="91" ht="15" customHeight="1" s="72">
      <c r="F91" s="117">
        <f>IF($C91=0,0,$C91-$D91)</f>
        <v/>
      </c>
    </row>
    <row r="92" ht="15" customHeight="1" s="72">
      <c r="F92" s="117">
        <f>IF($C92=0,0,$C92-$D92)</f>
        <v/>
      </c>
    </row>
    <row r="93" ht="15" customHeight="1" s="72">
      <c r="F93" s="117">
        <f>IF($C93=0,0,$C93-$D93)</f>
        <v/>
      </c>
    </row>
    <row r="94" ht="15" customHeight="1" s="72">
      <c r="F94" s="117">
        <f>IF($C94=0,0,$C94-$D94)</f>
        <v/>
      </c>
    </row>
    <row r="95" ht="15" customHeight="1" s="72">
      <c r="F95" s="117">
        <f>IF($C95=0,0,$C95-$D95)</f>
        <v/>
      </c>
    </row>
    <row r="96" ht="15" customHeight="1" s="72">
      <c r="F96" s="117">
        <f>IF($C96=0,0,$C96-$D96)</f>
        <v/>
      </c>
    </row>
    <row r="97" ht="15" customHeight="1" s="72">
      <c r="F97" s="117">
        <f>IF($C97=0,0,$C97-$D97)</f>
        <v/>
      </c>
    </row>
    <row r="98" ht="15" customHeight="1" s="72">
      <c r="F98" s="117">
        <f>IF($C98=0,0,$C98-$D98)</f>
        <v/>
      </c>
    </row>
    <row r="99" ht="15" customHeight="1" s="72">
      <c r="F99" s="117">
        <f>IF($C99=0,0,$C99-$D99)</f>
        <v/>
      </c>
    </row>
    <row r="100" ht="15" customHeight="1" s="72">
      <c r="F100" s="117">
        <f>IF($C100=0,0,$C100-$D100)</f>
        <v/>
      </c>
    </row>
    <row r="101" ht="15" customHeight="1" s="72">
      <c r="F101" s="117">
        <f>IF($C101=0,0,$C101-$D101)</f>
        <v/>
      </c>
    </row>
    <row r="102" ht="15" customHeight="1" s="72">
      <c r="F102" s="117">
        <f>IF($C102=0,0,$C102-$D102)</f>
        <v/>
      </c>
    </row>
    <row r="103" ht="15" customHeight="1" s="72">
      <c r="F103" s="117">
        <f>IF($C103=0,0,$C103-$D103)</f>
        <v/>
      </c>
    </row>
    <row r="104" ht="15" customHeight="1" s="72">
      <c r="F104" s="117">
        <f>IF($C104=0,0,$C104-$D104)</f>
        <v/>
      </c>
    </row>
    <row r="105" ht="15" customHeight="1" s="72">
      <c r="F105" s="117">
        <f>IF($C105=0,0,$C105-$D105)</f>
        <v/>
      </c>
    </row>
    <row r="106" ht="15" customHeight="1" s="72">
      <c r="F106" s="117">
        <f>IF($C106=0,0,$C106-$D106)</f>
        <v/>
      </c>
    </row>
    <row r="107" ht="15" customHeight="1" s="72">
      <c r="F107" s="117">
        <f>IF($C107=0,0,$C107-$D107)</f>
        <v/>
      </c>
    </row>
    <row r="108" ht="15" customHeight="1" s="72">
      <c r="F108" s="117">
        <f>IF($C108=0,0,$C108-$D108)</f>
        <v/>
      </c>
    </row>
    <row r="109" ht="15" customHeight="1" s="72">
      <c r="F109" s="117">
        <f>IF($C109=0,0,$C109-$D109)</f>
        <v/>
      </c>
    </row>
    <row r="110" ht="15" customHeight="1" s="72">
      <c r="F110" s="117">
        <f>IF($C110=0,0,$C110-$D110)</f>
        <v/>
      </c>
    </row>
    <row r="111" ht="15" customHeight="1" s="72">
      <c r="F111" s="117">
        <f>IF($C111=0,0,$C111-$D111)</f>
        <v/>
      </c>
    </row>
    <row r="112" ht="15" customHeight="1" s="72">
      <c r="F112" s="117">
        <f>IF($C112=0,0,$C112-$D112)</f>
        <v/>
      </c>
    </row>
    <row r="113" ht="15" customHeight="1" s="72">
      <c r="F113" s="117">
        <f>IF($C113=0,0,$C113-$D113)</f>
        <v/>
      </c>
    </row>
    <row r="114" ht="15" customHeight="1" s="72">
      <c r="F114" s="117">
        <f>IF($C114=0,0,$C114-$D114)</f>
        <v/>
      </c>
    </row>
    <row r="115" ht="15" customHeight="1" s="72">
      <c r="F115" s="117">
        <f>IF($C115=0,0,$C115-$D115)</f>
        <v/>
      </c>
    </row>
    <row r="116" ht="15" customHeight="1" s="72">
      <c r="F116" s="117">
        <f>IF($C116=0,0,$C116-$D116)</f>
        <v/>
      </c>
    </row>
    <row r="117" ht="15" customHeight="1" s="72">
      <c r="F117" s="117">
        <f>IF($C117=0,0,$C117-$D117)</f>
        <v/>
      </c>
    </row>
    <row r="118" ht="15" customHeight="1" s="72">
      <c r="F118" s="117">
        <f>IF($C118=0,0,$C118-$D118)</f>
        <v/>
      </c>
    </row>
    <row r="119" ht="15" customHeight="1" s="72">
      <c r="F119" s="117">
        <f>IF($C119=0,0,$C119-$D119)</f>
        <v/>
      </c>
    </row>
    <row r="120" ht="15" customHeight="1" s="72">
      <c r="F120" s="117">
        <f>IF($C120=0,0,$C120-$D120)</f>
        <v/>
      </c>
    </row>
    <row r="121" ht="15" customHeight="1" s="72">
      <c r="F121" s="117">
        <f>IF($C121=0,0,$C121-$D121)</f>
        <v/>
      </c>
    </row>
    <row r="122" ht="15" customHeight="1" s="72">
      <c r="F122" s="117">
        <f>IF($C122=0,0,$C122-$D122)</f>
        <v/>
      </c>
    </row>
    <row r="123" ht="15" customHeight="1" s="72">
      <c r="F123" s="117">
        <f>IF($C123=0,0,$C123-$D123)</f>
        <v/>
      </c>
    </row>
    <row r="124" ht="15" customHeight="1" s="72">
      <c r="F124" s="117">
        <f>IF($C124=0,0,$C124-$D124)</f>
        <v/>
      </c>
    </row>
    <row r="125" ht="15" customHeight="1" s="72">
      <c r="F125" s="117">
        <f>IF($C125=0,0,$C125-$D125)</f>
        <v/>
      </c>
    </row>
    <row r="126" ht="15" customHeight="1" s="72">
      <c r="F126" s="117">
        <f>IF($C126=0,0,$C126-$D126)</f>
        <v/>
      </c>
    </row>
    <row r="127" ht="15" customHeight="1" s="72">
      <c r="F127" s="117">
        <f>IF($C127=0,0,$C127-$D127)</f>
        <v/>
      </c>
    </row>
    <row r="128" ht="15" customHeight="1" s="72">
      <c r="F128" s="117">
        <f>IF($C128=0,0,$C128-$D128)</f>
        <v/>
      </c>
    </row>
    <row r="129" ht="15" customHeight="1" s="72">
      <c r="F129" s="117">
        <f>IF($C129=0,0,$C129-$D129)</f>
        <v/>
      </c>
    </row>
    <row r="130" ht="15" customHeight="1" s="72">
      <c r="F130" s="117">
        <f>IF($C130=0,0,$C130-$D130)</f>
        <v/>
      </c>
    </row>
    <row r="131" ht="15" customHeight="1" s="72">
      <c r="F131" s="117">
        <f>IF($C131=0,0,$C131-$D131)</f>
        <v/>
      </c>
    </row>
    <row r="132" ht="15" customHeight="1" s="72">
      <c r="F132" s="117">
        <f>IF($C132=0,0,$C132-$D132)</f>
        <v/>
      </c>
    </row>
    <row r="133" ht="15" customHeight="1" s="72">
      <c r="F133" s="117">
        <f>IF($C133=0,0,$C133-$D133)</f>
        <v/>
      </c>
    </row>
    <row r="134" ht="15" customHeight="1" s="72">
      <c r="F134" s="117">
        <f>IF($C134=0,0,$C134-$D134)</f>
        <v/>
      </c>
    </row>
    <row r="135" ht="15" customHeight="1" s="72">
      <c r="F135" s="117">
        <f>IF($C135=0,0,$C135-$D135)</f>
        <v/>
      </c>
    </row>
    <row r="136" ht="15" customHeight="1" s="72">
      <c r="F136" s="117">
        <f>IF($C136=0,0,$C136-$D136)</f>
        <v/>
      </c>
    </row>
    <row r="137" ht="15" customHeight="1" s="72">
      <c r="F137" s="117">
        <f>IF($C137=0,0,$C137-$D137)</f>
        <v/>
      </c>
    </row>
    <row r="138" ht="15" customHeight="1" s="72">
      <c r="F138" s="117">
        <f>IF($C138=0,0,$C138-$D138)</f>
        <v/>
      </c>
    </row>
    <row r="139" ht="15" customHeight="1" s="72">
      <c r="F139" s="117">
        <f>IF($C139=0,0,$C139-$D139)</f>
        <v/>
      </c>
    </row>
    <row r="140" ht="15" customHeight="1" s="72">
      <c r="F140" s="117">
        <f>IF($C140=0,0,$C140-$D140)</f>
        <v/>
      </c>
    </row>
    <row r="141" ht="15" customHeight="1" s="72">
      <c r="F141" s="117">
        <f>IF($C141=0,0,$C141-$D141)</f>
        <v/>
      </c>
    </row>
    <row r="142" ht="15" customHeight="1" s="72">
      <c r="F142" s="117">
        <f>IF($C142=0,0,$C142-$D142)</f>
        <v/>
      </c>
    </row>
    <row r="143" ht="15" customHeight="1" s="72">
      <c r="F143" s="117">
        <f>IF($C143=0,0,$C143-$D143)</f>
        <v/>
      </c>
    </row>
    <row r="144" ht="15" customHeight="1" s="72">
      <c r="F144" s="117">
        <f>IF($C144=0,0,$C144-$D144)</f>
        <v/>
      </c>
    </row>
    <row r="145" ht="15" customHeight="1" s="72">
      <c r="F145" s="117">
        <f>IF($C145=0,0,$C145-$D145)</f>
        <v/>
      </c>
    </row>
    <row r="146" ht="15" customHeight="1" s="72">
      <c r="F146" s="117">
        <f>IF($C146=0,0,$C146-$D146)</f>
        <v/>
      </c>
    </row>
    <row r="147" ht="15" customHeight="1" s="72">
      <c r="F147" s="117">
        <f>IF($C147=0,0,$C147-$D147)</f>
        <v/>
      </c>
    </row>
    <row r="148" ht="15" customHeight="1" s="72">
      <c r="F148" s="117">
        <f>IF($C148=0,0,$C148-$D148)</f>
        <v/>
      </c>
    </row>
    <row r="149" ht="15" customHeight="1" s="72">
      <c r="F149" s="117">
        <f>IF($C149=0,0,$C149-$D149)</f>
        <v/>
      </c>
    </row>
    <row r="150" ht="15" customHeight="1" s="72">
      <c r="F150" s="117">
        <f>IF($C150=0,0,$C150-$D150)</f>
        <v/>
      </c>
    </row>
    <row r="151" ht="15" customHeight="1" s="72">
      <c r="F151" s="117">
        <f>IF($C151=0,0,$C151-$D151)</f>
        <v/>
      </c>
    </row>
    <row r="152" ht="15" customHeight="1" s="72">
      <c r="F152" s="117">
        <f>IF($C152=0,0,$C152-$D152)</f>
        <v/>
      </c>
    </row>
    <row r="153" ht="15" customHeight="1" s="72">
      <c r="F153" s="117">
        <f>IF($C153=0,0,$C153-$D153)</f>
        <v/>
      </c>
    </row>
    <row r="154" ht="15" customHeight="1" s="72">
      <c r="F154" s="117">
        <f>IF($C154=0,0,$C154-$D154)</f>
        <v/>
      </c>
    </row>
    <row r="155" ht="15" customHeight="1" s="72">
      <c r="F155" s="117">
        <f>IF($C155=0,0,$C155-$D155)</f>
        <v/>
      </c>
    </row>
    <row r="156" ht="15" customHeight="1" s="72">
      <c r="F156" s="117">
        <f>IF($C156=0,0,$C156-$D156)</f>
        <v/>
      </c>
    </row>
    <row r="157" ht="15" customHeight="1" s="72">
      <c r="F157" s="117">
        <f>IF($C157=0,0,$C157-$D157)</f>
        <v/>
      </c>
    </row>
    <row r="158" ht="15" customHeight="1" s="72">
      <c r="F158" s="117">
        <f>IF($C158=0,0,$C158-$D158)</f>
        <v/>
      </c>
    </row>
    <row r="159" ht="15" customHeight="1" s="72">
      <c r="F159" s="117">
        <f>IF($C159=0,0,$C159-$D159)</f>
        <v/>
      </c>
    </row>
    <row r="160" ht="15" customHeight="1" s="72">
      <c r="F160" s="117">
        <f>IF($C160=0,0,$C160-$D160)</f>
        <v/>
      </c>
    </row>
    <row r="161" ht="15" customHeight="1" s="72">
      <c r="F161" s="117">
        <f>IF($C161=0,0,$C161-$D161)</f>
        <v/>
      </c>
    </row>
    <row r="162" ht="15" customHeight="1" s="72">
      <c r="F162" s="117">
        <f>IF($C162=0,0,$C162-$D162)</f>
        <v/>
      </c>
    </row>
    <row r="163" ht="15" customHeight="1" s="72">
      <c r="F163" s="117">
        <f>IF($C163=0,0,$C163-$D163)</f>
        <v/>
      </c>
    </row>
    <row r="164" ht="15" customHeight="1" s="72">
      <c r="F164" s="117">
        <f>IF($C164=0,0,$C164-$D164)</f>
        <v/>
      </c>
    </row>
    <row r="165" ht="15" customHeight="1" s="72">
      <c r="F165" s="117">
        <f>IF($C165=0,0,$C165-$D165)</f>
        <v/>
      </c>
    </row>
    <row r="166" ht="15" customHeight="1" s="72">
      <c r="F166" s="117">
        <f>IF($C166=0,0,$C166-$D166)</f>
        <v/>
      </c>
    </row>
    <row r="167" ht="15" customHeight="1" s="72">
      <c r="F167" s="117">
        <f>IF($C167=0,0,$C167-$D167)</f>
        <v/>
      </c>
    </row>
    <row r="168" ht="15" customHeight="1" s="72">
      <c r="F168" s="117">
        <f>IF($C168=0,0,$C168-$D168)</f>
        <v/>
      </c>
    </row>
    <row r="169" ht="15" customHeight="1" s="72">
      <c r="F169" s="117">
        <f>IF($C169=0,0,$C169-$D169)</f>
        <v/>
      </c>
    </row>
    <row r="170" ht="15" customHeight="1" s="72">
      <c r="F170" s="117">
        <f>IF($C170=0,0,$C170-$D170)</f>
        <v/>
      </c>
    </row>
    <row r="171" ht="15" customHeight="1" s="72">
      <c r="F171" s="117">
        <f>IF($C171=0,0,$C171-$D171)</f>
        <v/>
      </c>
    </row>
    <row r="172" ht="15" customHeight="1" s="72">
      <c r="F172" s="117">
        <f>IF($C172=0,0,$C172-$D172)</f>
        <v/>
      </c>
    </row>
    <row r="173" ht="15" customHeight="1" s="72">
      <c r="F173" s="117">
        <f>IF($C173=0,0,$C173-$D173)</f>
        <v/>
      </c>
    </row>
    <row r="174" ht="15" customHeight="1" s="72">
      <c r="F174" s="117">
        <f>IF($C174=0,0,$C174-$D174)</f>
        <v/>
      </c>
    </row>
    <row r="175" ht="15" customHeight="1" s="72">
      <c r="F175" s="117">
        <f>IF($C175=0,0,$C175-$D175)</f>
        <v/>
      </c>
    </row>
    <row r="176" ht="15" customHeight="1" s="72">
      <c r="F176" s="117">
        <f>IF($C176=0,0,$C176-$D176)</f>
        <v/>
      </c>
    </row>
    <row r="177" ht="15" customHeight="1" s="72">
      <c r="F177" s="117">
        <f>IF($C177=0,0,$C177-$D177)</f>
        <v/>
      </c>
    </row>
    <row r="178" ht="15" customHeight="1" s="72">
      <c r="F178" s="117">
        <f>IF($C178=0,0,$C178-$D178)</f>
        <v/>
      </c>
    </row>
    <row r="179" ht="15" customHeight="1" s="72">
      <c r="F179" s="117">
        <f>IF($C179=0,0,$C179-$D179)</f>
        <v/>
      </c>
    </row>
    <row r="180" ht="15" customHeight="1" s="72">
      <c r="F180" s="117">
        <f>IF($C180=0,0,$C180-$D180)</f>
        <v/>
      </c>
    </row>
    <row r="181" ht="15" customHeight="1" s="72">
      <c r="F181" s="117">
        <f>IF($C181=0,0,$C181-$D181)</f>
        <v/>
      </c>
    </row>
    <row r="182" ht="15" customHeight="1" s="72">
      <c r="F182" s="117">
        <f>IF($C182=0,0,$C182-$D182)</f>
        <v/>
      </c>
    </row>
    <row r="183" ht="15" customHeight="1" s="72">
      <c r="F183" s="117">
        <f>IF($C183=0,0,$C183-$D183)</f>
        <v/>
      </c>
    </row>
    <row r="184" ht="15" customHeight="1" s="72">
      <c r="F184" s="117">
        <f>IF($C184=0,0,$C184-$D184)</f>
        <v/>
      </c>
    </row>
    <row r="185" ht="15" customHeight="1" s="72">
      <c r="F185" s="117">
        <f>IF($C185=0,0,$C185-$D185)</f>
        <v/>
      </c>
    </row>
    <row r="186" ht="15" customHeight="1" s="72">
      <c r="F186" s="117">
        <f>IF($C186=0,0,$C186-$D186)</f>
        <v/>
      </c>
    </row>
    <row r="187" ht="15" customHeight="1" s="72">
      <c r="F187" s="117">
        <f>IF($C187=0,0,$C187-$D187)</f>
        <v/>
      </c>
    </row>
    <row r="188" ht="15" customHeight="1" s="72">
      <c r="F188" s="117">
        <f>IF($C188=0,0,$C188-$D188)</f>
        <v/>
      </c>
    </row>
    <row r="189" ht="15" customHeight="1" s="72">
      <c r="F189" s="117">
        <f>IF($C189=0,0,$C189-$D189)</f>
        <v/>
      </c>
    </row>
    <row r="190" ht="15" customHeight="1" s="72">
      <c r="F190" s="117">
        <f>IF($C190=0,0,$C190-$D190)</f>
        <v/>
      </c>
    </row>
    <row r="191" ht="15" customHeight="1" s="72">
      <c r="F191" s="117">
        <f>IF($C191=0,0,$C191-$D191)</f>
        <v/>
      </c>
    </row>
    <row r="192" ht="15" customHeight="1" s="72">
      <c r="F192" s="117">
        <f>IF($C192=0,0,$C192-$D192)</f>
        <v/>
      </c>
    </row>
    <row r="193" ht="15" customHeight="1" s="72">
      <c r="F193" s="117">
        <f>IF($C193=0,0,$C193-$D193)</f>
        <v/>
      </c>
    </row>
    <row r="194" ht="15" customHeight="1" s="72">
      <c r="F194" s="117">
        <f>IF($C194=0,0,$C194-$D194)</f>
        <v/>
      </c>
    </row>
    <row r="195" ht="15" customHeight="1" s="72">
      <c r="F195" s="117">
        <f>IF($C195=0,0,$C195-$D195)</f>
        <v/>
      </c>
    </row>
    <row r="196" ht="15" customHeight="1" s="72">
      <c r="F196" s="117">
        <f>IF($C196=0,0,$C196-$D196)</f>
        <v/>
      </c>
    </row>
    <row r="197" ht="15" customHeight="1" s="72">
      <c r="F197" s="117">
        <f>IF($C197=0,0,$C197-$D197)</f>
        <v/>
      </c>
    </row>
    <row r="198" ht="15" customHeight="1" s="72">
      <c r="F198" s="117">
        <f>IF($C198=0,0,$C198-$D198)</f>
        <v/>
      </c>
    </row>
    <row r="199" ht="15" customHeight="1" s="72">
      <c r="F199" s="117">
        <f>IF($C199=0,0,$C199-$D199)</f>
        <v/>
      </c>
    </row>
    <row r="200" ht="15" customHeight="1" s="72">
      <c r="F200" s="117">
        <f>IF($C200=0,0,$C200-$D200)</f>
        <v/>
      </c>
    </row>
    <row r="201" ht="15" customHeight="1" s="72">
      <c r="F201" s="117">
        <f>IF($C201=0,0,$C201-$D201)</f>
        <v/>
      </c>
    </row>
    <row r="202" ht="15" customHeight="1" s="72">
      <c r="F202" s="117">
        <f>IF($C202=0,0,$C202-$D202)</f>
        <v/>
      </c>
    </row>
    <row r="203" ht="15" customHeight="1" s="72">
      <c r="F203" s="117">
        <f>IF($C203=0,0,$C203-$D203)</f>
        <v/>
      </c>
    </row>
    <row r="204" ht="15" customHeight="1" s="72">
      <c r="F204" s="117">
        <f>IF($C204=0,0,$C204-$D204)</f>
        <v/>
      </c>
    </row>
    <row r="205" ht="15" customHeight="1" s="72">
      <c r="F205" s="117">
        <f>IF($C205=0,0,$C205-$D205)</f>
        <v/>
      </c>
    </row>
    <row r="206" ht="15" customHeight="1" s="72">
      <c r="F206" s="117">
        <f>IF($C206=0,0,$C206-$D206)</f>
        <v/>
      </c>
    </row>
    <row r="207" ht="15" customHeight="1" s="72">
      <c r="F207" s="117">
        <f>IF($C207=0,0,$C207-$D207)</f>
        <v/>
      </c>
    </row>
    <row r="208" ht="15" customHeight="1" s="72">
      <c r="F208" s="117">
        <f>IF($C208=0,0,$C208-$D208)</f>
        <v/>
      </c>
    </row>
    <row r="209" ht="15" customHeight="1" s="72">
      <c r="F209" s="117">
        <f>IF($C209=0,0,$C209-$D209)</f>
        <v/>
      </c>
    </row>
    <row r="210" ht="15" customHeight="1" s="72">
      <c r="F210" s="117">
        <f>IF($C210=0,0,$C210-$D210)</f>
        <v/>
      </c>
    </row>
    <row r="211" ht="15" customHeight="1" s="72">
      <c r="F211" s="117">
        <f>IF($C211=0,0,$C211-$D211)</f>
        <v/>
      </c>
    </row>
    <row r="212" ht="15" customHeight="1" s="72">
      <c r="F212" s="117">
        <f>IF($C212=0,0,$C212-$D212)</f>
        <v/>
      </c>
    </row>
    <row r="213" ht="15" customHeight="1" s="72">
      <c r="F213" s="117">
        <f>IF($C213=0,0,$C213-$D213)</f>
        <v/>
      </c>
    </row>
    <row r="214" ht="15" customHeight="1" s="72">
      <c r="F214" s="117">
        <f>IF($C214=0,0,$C214-$D214)</f>
        <v/>
      </c>
    </row>
    <row r="215" ht="15" customHeight="1" s="72">
      <c r="F215" s="117">
        <f>IF($C215=0,0,$C215-$D215)</f>
        <v/>
      </c>
    </row>
    <row r="216" ht="15" customHeight="1" s="72">
      <c r="F216" s="117">
        <f>IF($C216=0,0,$C216-$D216)</f>
        <v/>
      </c>
    </row>
    <row r="217" ht="15" customHeight="1" s="72">
      <c r="F217" s="117">
        <f>IF($C217=0,0,$C217-$D217)</f>
        <v/>
      </c>
    </row>
    <row r="218" ht="15" customHeight="1" s="72">
      <c r="F218" s="117">
        <f>IF($C218=0,0,$C218-$D218)</f>
        <v/>
      </c>
    </row>
    <row r="219" ht="15" customHeight="1" s="72">
      <c r="F219" s="117">
        <f>IF($C219=0,0,$C219-$D219)</f>
        <v/>
      </c>
    </row>
    <row r="220" ht="15" customHeight="1" s="72">
      <c r="F220" s="117">
        <f>IF($C220=0,0,$C220-$D220)</f>
        <v/>
      </c>
    </row>
    <row r="221" ht="15" customHeight="1" s="72">
      <c r="F221" s="117">
        <f>IF($C221=0,0,$C221-$D221)</f>
        <v/>
      </c>
    </row>
    <row r="222" ht="15" customHeight="1" s="72">
      <c r="F222" s="117">
        <f>IF($C222=0,0,$C222-$D222)</f>
        <v/>
      </c>
    </row>
    <row r="223" ht="15" customHeight="1" s="72">
      <c r="F223" s="117">
        <f>IF($C223=0,0,$C223-$D223)</f>
        <v/>
      </c>
    </row>
    <row r="224" ht="15" customHeight="1" s="72">
      <c r="F224" s="117">
        <f>IF($C224=0,0,$C224-$D224)</f>
        <v/>
      </c>
    </row>
    <row r="225" ht="15" customHeight="1" s="72">
      <c r="F225" s="117">
        <f>IF($C225=0,0,$C225-$D225)</f>
        <v/>
      </c>
    </row>
    <row r="226" ht="15" customHeight="1" s="72">
      <c r="F226" s="117">
        <f>IF($C226=0,0,$C226-$D226)</f>
        <v/>
      </c>
    </row>
    <row r="227" ht="15" customHeight="1" s="72">
      <c r="F227" s="117">
        <f>IF($C227=0,0,$C227-$D227)</f>
        <v/>
      </c>
    </row>
    <row r="228" ht="15" customHeight="1" s="72">
      <c r="F228" s="117">
        <f>IF($C228=0,0,$C228-$D228)</f>
        <v/>
      </c>
    </row>
    <row r="229" ht="15" customHeight="1" s="72">
      <c r="F229" s="117">
        <f>IF($C229=0,0,$C229-$D229)</f>
        <v/>
      </c>
    </row>
    <row r="230" ht="15" customHeight="1" s="72">
      <c r="F230" s="117">
        <f>IF($C230=0,0,$C230-$D230)</f>
        <v/>
      </c>
    </row>
    <row r="231" ht="15" customHeight="1" s="72">
      <c r="F231" s="117">
        <f>IF($C231=0,0,$C231-$D231)</f>
        <v/>
      </c>
    </row>
    <row r="232" ht="15" customHeight="1" s="72">
      <c r="F232" s="117">
        <f>IF($C232=0,0,$C232-$D232)</f>
        <v/>
      </c>
    </row>
    <row r="233" ht="15" customHeight="1" s="72">
      <c r="F233" s="117">
        <f>IF($C233=0,0,$C233-$D233)</f>
        <v/>
      </c>
    </row>
    <row r="234" ht="15" customHeight="1" s="72">
      <c r="F234" s="117">
        <f>IF($C234=0,0,$C234-$D234)</f>
        <v/>
      </c>
    </row>
    <row r="235" ht="15" customHeight="1" s="72">
      <c r="F235" s="117">
        <f>IF($C235=0,0,$C235-$D235)</f>
        <v/>
      </c>
    </row>
    <row r="236" ht="15" customHeight="1" s="72">
      <c r="F236" s="117">
        <f>IF($C236=0,0,$C236-$D236)</f>
        <v/>
      </c>
    </row>
    <row r="237" ht="15" customHeight="1" s="72">
      <c r="F237" s="117">
        <f>IF($C237=0,0,$C237-$D237)</f>
        <v/>
      </c>
    </row>
    <row r="238" ht="15" customHeight="1" s="72">
      <c r="F238" s="117">
        <f>IF($C238=0,0,$C238-$D238)</f>
        <v/>
      </c>
    </row>
    <row r="239" ht="15" customHeight="1" s="72">
      <c r="F239" s="117">
        <f>IF($C239=0,0,$C239-$D239)</f>
        <v/>
      </c>
    </row>
    <row r="240" ht="15" customHeight="1" s="72">
      <c r="F240" s="117">
        <f>IF($C240=0,0,$C240-$D240)</f>
        <v/>
      </c>
    </row>
    <row r="241" ht="15" customHeight="1" s="72">
      <c r="F241" s="117">
        <f>IF($C241=0,0,$C241-$D241)</f>
        <v/>
      </c>
    </row>
    <row r="242" ht="15" customHeight="1" s="72">
      <c r="F242" s="117">
        <f>IF($C242=0,0,$C242-$D242)</f>
        <v/>
      </c>
    </row>
    <row r="243" ht="15" customHeight="1" s="72">
      <c r="F243" s="117">
        <f>IF($C243=0,0,$C243-$D243)</f>
        <v/>
      </c>
    </row>
    <row r="244" ht="15" customHeight="1" s="72">
      <c r="F244" s="117">
        <f>IF($C244=0,0,$C244-$D244)</f>
        <v/>
      </c>
    </row>
    <row r="245" ht="15" customHeight="1" s="72">
      <c r="F245" s="117">
        <f>IF($C245=0,0,$C245-$D245)</f>
        <v/>
      </c>
    </row>
    <row r="246" ht="15" customHeight="1" s="72">
      <c r="F246" s="117">
        <f>IF($C246=0,0,$C246-$D246)</f>
        <v/>
      </c>
    </row>
    <row r="247" ht="15" customHeight="1" s="72">
      <c r="F247" s="117">
        <f>IF($C247=0,0,$C247-$D247)</f>
        <v/>
      </c>
    </row>
    <row r="248" ht="15" customHeight="1" s="72">
      <c r="F248" s="117">
        <f>IF($C248=0,0,$C248-$D248)</f>
        <v/>
      </c>
    </row>
    <row r="249" ht="15" customHeight="1" s="72">
      <c r="F249" s="117">
        <f>IF($C249=0,0,$C249-$D249)</f>
        <v/>
      </c>
    </row>
    <row r="250" ht="15" customHeight="1" s="72">
      <c r="F250" s="117">
        <f>IF($C250=0,0,$C250-$D250)</f>
        <v/>
      </c>
    </row>
    <row r="251" ht="15" customHeight="1" s="72">
      <c r="F251" s="117">
        <f>IF($C251=0,0,$C251-$D251)</f>
        <v/>
      </c>
    </row>
    <row r="252" ht="15" customHeight="1" s="72">
      <c r="F252" s="117">
        <f>IF($C252=0,0,$C252-$D252)</f>
        <v/>
      </c>
    </row>
    <row r="253" ht="15" customHeight="1" s="72">
      <c r="F253" s="117">
        <f>IF($C253=0,0,$C253-$D253)</f>
        <v/>
      </c>
    </row>
    <row r="254" ht="15" customHeight="1" s="72">
      <c r="F254" s="117">
        <f>IF($C254=0,0,$C254-$D254)</f>
        <v/>
      </c>
    </row>
    <row r="255" ht="15" customHeight="1" s="72">
      <c r="F255" s="117">
        <f>IF($C255=0,0,$C255-$D255)</f>
        <v/>
      </c>
    </row>
    <row r="256" ht="15" customHeight="1" s="72">
      <c r="F256" s="117">
        <f>IF($C256=0,0,$C256-$D256)</f>
        <v/>
      </c>
    </row>
    <row r="257" ht="15" customHeight="1" s="72">
      <c r="F257" s="117">
        <f>IF($C257=0,0,$C257-$D257)</f>
        <v/>
      </c>
    </row>
    <row r="258" ht="15" customHeight="1" s="72">
      <c r="F258" s="117">
        <f>IF($C258=0,0,$C258-$D258)</f>
        <v/>
      </c>
    </row>
    <row r="259" ht="15" customHeight="1" s="72">
      <c r="F259" s="117">
        <f>IF($C259=0,0,$C259-$D259)</f>
        <v/>
      </c>
    </row>
    <row r="260" ht="15" customHeight="1" s="72">
      <c r="F260" s="117">
        <f>IF($C260=0,0,$C260-$D260)</f>
        <v/>
      </c>
    </row>
    <row r="261" ht="15" customHeight="1" s="72">
      <c r="F261" s="117">
        <f>IF($C261=0,0,$C261-$D261)</f>
        <v/>
      </c>
    </row>
    <row r="262" ht="15" customHeight="1" s="72">
      <c r="F262" s="117">
        <f>IF($C262=0,0,$C262-$D262)</f>
        <v/>
      </c>
    </row>
    <row r="263" ht="15" customHeight="1" s="72">
      <c r="F263" s="117">
        <f>IF($C263=0,0,$C263-$D263)</f>
        <v/>
      </c>
    </row>
    <row r="264" ht="15" customHeight="1" s="72">
      <c r="F264" s="117">
        <f>IF($C264=0,0,$C264-$D264)</f>
        <v/>
      </c>
    </row>
    <row r="265" ht="15" customHeight="1" s="72">
      <c r="F265" s="117">
        <f>IF($C265=0,0,$C265-$D265)</f>
        <v/>
      </c>
    </row>
    <row r="266" ht="15" customHeight="1" s="72">
      <c r="F266" s="117">
        <f>IF($C266=0,0,$C266-$D266)</f>
        <v/>
      </c>
    </row>
    <row r="267" ht="15" customHeight="1" s="72">
      <c r="F267" s="117">
        <f>IF($C267=0,0,$C267-$D267)</f>
        <v/>
      </c>
    </row>
    <row r="268" ht="15" customHeight="1" s="72">
      <c r="F268" s="117">
        <f>IF($C268=0,0,$C268-$D268)</f>
        <v/>
      </c>
    </row>
    <row r="269" ht="15" customHeight="1" s="72">
      <c r="F269" s="117">
        <f>IF($C269=0,0,$C269-$D269)</f>
        <v/>
      </c>
    </row>
    <row r="270" ht="15" customHeight="1" s="72">
      <c r="F270" s="117">
        <f>IF($C270=0,0,$C270-$D270)</f>
        <v/>
      </c>
    </row>
    <row r="271" ht="15" customHeight="1" s="72">
      <c r="F271" s="117">
        <f>IF($C271=0,0,$C271-$D271)</f>
        <v/>
      </c>
    </row>
    <row r="272" ht="15" customHeight="1" s="72">
      <c r="F272" s="117">
        <f>IF($C272=0,0,$C272-$D272)</f>
        <v/>
      </c>
    </row>
    <row r="273" ht="15" customHeight="1" s="72">
      <c r="F273" s="117">
        <f>IF($C273=0,0,$C273-$D273)</f>
        <v/>
      </c>
    </row>
    <row r="274" ht="15" customHeight="1" s="72">
      <c r="F274" s="117">
        <f>IF($C274=0,0,$C274-$D274)</f>
        <v/>
      </c>
    </row>
    <row r="275" ht="15" customHeight="1" s="72">
      <c r="F275" s="117">
        <f>IF($C275=0,0,$C275-$D275)</f>
        <v/>
      </c>
    </row>
    <row r="276" ht="15" customHeight="1" s="72">
      <c r="F276" s="117">
        <f>IF($C276=0,0,$C276-$D276)</f>
        <v/>
      </c>
    </row>
    <row r="277" ht="15" customHeight="1" s="72">
      <c r="F277" s="117">
        <f>IF($C277=0,0,$C277-$D277)</f>
        <v/>
      </c>
    </row>
    <row r="278" ht="15" customHeight="1" s="72">
      <c r="F278" s="117">
        <f>IF($C278=0,0,$C278-$D278)</f>
        <v/>
      </c>
    </row>
    <row r="279" ht="15" customHeight="1" s="72">
      <c r="F279" s="117">
        <f>IF($C279=0,0,$C279-$D279)</f>
        <v/>
      </c>
    </row>
    <row r="280" ht="15" customHeight="1" s="72">
      <c r="F280" s="117">
        <f>IF($C280=0,0,$C280-$D280)</f>
        <v/>
      </c>
    </row>
    <row r="281" ht="15" customHeight="1" s="72">
      <c r="F281" s="117">
        <f>IF($C281=0,0,$C281-$D281)</f>
        <v/>
      </c>
    </row>
    <row r="282" ht="15" customHeight="1" s="72">
      <c r="F282" s="117">
        <f>IF($C282=0,0,$C282-$D282)</f>
        <v/>
      </c>
    </row>
    <row r="283" ht="15" customHeight="1" s="72">
      <c r="F283" s="117">
        <f>IF($C283=0,0,$C283-$D283)</f>
        <v/>
      </c>
    </row>
    <row r="284" ht="15" customHeight="1" s="72">
      <c r="F284" s="117">
        <f>IF($C284=0,0,$C284-$D284)</f>
        <v/>
      </c>
    </row>
    <row r="285" ht="15" customHeight="1" s="72">
      <c r="F285" s="117">
        <f>IF($C285=0,0,$C285-$D285)</f>
        <v/>
      </c>
    </row>
    <row r="286" ht="15" customHeight="1" s="72">
      <c r="F286" s="117">
        <f>IF($C286=0,0,$C286-$D286)</f>
        <v/>
      </c>
    </row>
    <row r="287" ht="15" customHeight="1" s="72">
      <c r="F287" s="117">
        <f>IF($C287=0,0,$C287-$D287)</f>
        <v/>
      </c>
    </row>
    <row r="288" ht="15" customHeight="1" s="72">
      <c r="F288" s="117">
        <f>IF($C288=0,0,$C288-$D288)</f>
        <v/>
      </c>
    </row>
    <row r="289" ht="15" customHeight="1" s="72">
      <c r="F289" s="117">
        <f>IF($C289=0,0,$C289-$D289)</f>
        <v/>
      </c>
    </row>
    <row r="290" ht="15" customHeight="1" s="72">
      <c r="F290" s="117">
        <f>IF($C290=0,0,$C290-$D290)</f>
        <v/>
      </c>
    </row>
    <row r="291" ht="15" customHeight="1" s="72">
      <c r="F291" s="117">
        <f>IF($C291=0,0,$C291-$D291)</f>
        <v/>
      </c>
    </row>
    <row r="292" ht="15" customHeight="1" s="72">
      <c r="F292" s="117">
        <f>IF($C292=0,0,$C292-$D292)</f>
        <v/>
      </c>
    </row>
    <row r="293" ht="15" customHeight="1" s="72">
      <c r="F293" s="117">
        <f>IF($C293=0,0,$C293-$D293)</f>
        <v/>
      </c>
    </row>
    <row r="294" ht="15" customHeight="1" s="72">
      <c r="F294" s="117">
        <f>IF($C294=0,0,$C294-$D294)</f>
        <v/>
      </c>
    </row>
    <row r="295" ht="15" customHeight="1" s="72">
      <c r="F295" s="117">
        <f>IF($C295=0,0,$C295-$D295)</f>
        <v/>
      </c>
    </row>
    <row r="296" ht="15" customHeight="1" s="72">
      <c r="F296" s="117">
        <f>IF($C296=0,0,$C296-$D296)</f>
        <v/>
      </c>
    </row>
    <row r="297" ht="15" customHeight="1" s="72">
      <c r="F297" s="117">
        <f>IF($C297=0,0,$C297-$D297)</f>
        <v/>
      </c>
    </row>
    <row r="298" ht="15" customHeight="1" s="72">
      <c r="F298" s="117">
        <f>IF($C298=0,0,$C298-$D298)</f>
        <v/>
      </c>
    </row>
    <row r="299" ht="15" customHeight="1" s="72">
      <c r="F299" s="117">
        <f>IF($C299=0,0,$C299-$D299)</f>
        <v/>
      </c>
    </row>
    <row r="300" ht="15" customHeight="1" s="72">
      <c r="F300" s="117">
        <f>IF($C300=0,0,$C300-$D300)</f>
        <v/>
      </c>
    </row>
    <row r="301" ht="15" customHeight="1" s="72">
      <c r="F301" s="117">
        <f>IF($C301=0,0,$C301-$D301)</f>
        <v/>
      </c>
    </row>
    <row r="302" ht="15" customHeight="1" s="72">
      <c r="F302" s="117">
        <f>IF($C302=0,0,$C302-$D302)</f>
        <v/>
      </c>
    </row>
    <row r="303" ht="15" customHeight="1" s="72">
      <c r="F303" s="117">
        <f>IF($C303=0,0,$C303-$D303)</f>
        <v/>
      </c>
    </row>
    <row r="304" ht="15" customHeight="1" s="72">
      <c r="F304" s="117">
        <f>IF($C304=0,0,$C304-$D304)</f>
        <v/>
      </c>
    </row>
    <row r="305" ht="15" customHeight="1" s="72">
      <c r="F305" s="117">
        <f>IF($C305=0,0,$C305-$D305)</f>
        <v/>
      </c>
    </row>
    <row r="306" ht="15" customHeight="1" s="72">
      <c r="F306" s="117">
        <f>IF($C306=0,0,$C306-$D306)</f>
        <v/>
      </c>
    </row>
    <row r="307" ht="15" customHeight="1" s="72">
      <c r="F307" s="117">
        <f>IF($C307=0,0,$C307-$D307)</f>
        <v/>
      </c>
    </row>
    <row r="308" ht="15" customHeight="1" s="72">
      <c r="F308" s="117">
        <f>IF($C308=0,0,$C308-$D308)</f>
        <v/>
      </c>
    </row>
    <row r="309" ht="15" customHeight="1" s="72">
      <c r="F309" s="117">
        <f>IF($C309=0,0,$C309-$D309)</f>
        <v/>
      </c>
    </row>
    <row r="310" ht="15" customHeight="1" s="72">
      <c r="F310" s="117">
        <f>IF($C310=0,0,$C310-$D310)</f>
        <v/>
      </c>
    </row>
    <row r="311" ht="15" customHeight="1" s="72">
      <c r="F311" s="117">
        <f>IF($C311=0,0,$C311-$D311)</f>
        <v/>
      </c>
    </row>
    <row r="312" ht="15" customHeight="1" s="72">
      <c r="F312" s="117">
        <f>IF($C312=0,0,$C312-$D312)</f>
        <v/>
      </c>
    </row>
    <row r="313" ht="15" customHeight="1" s="72">
      <c r="F313" s="117">
        <f>IF($C313=0,0,$C313-$D313)</f>
        <v/>
      </c>
    </row>
    <row r="314" ht="15" customHeight="1" s="72">
      <c r="F314" s="117">
        <f>IF($C314=0,0,$C314-$D314)</f>
        <v/>
      </c>
    </row>
    <row r="315" ht="15" customHeight="1" s="72">
      <c r="F315" s="117">
        <f>IF($C315=0,0,$C315-$D315)</f>
        <v/>
      </c>
    </row>
    <row r="316" ht="15" customHeight="1" s="72">
      <c r="F316" s="117">
        <f>IF($C316=0,0,$C316-$D316)</f>
        <v/>
      </c>
    </row>
    <row r="317" ht="15" customHeight="1" s="72">
      <c r="F317" s="117">
        <f>IF($C317=0,0,$C317-$D317)</f>
        <v/>
      </c>
    </row>
    <row r="318" ht="15" customHeight="1" s="72">
      <c r="F318" s="117">
        <f>IF($C318=0,0,$C318-$D318)</f>
        <v/>
      </c>
    </row>
    <row r="319" ht="15" customHeight="1" s="72">
      <c r="F319" s="117">
        <f>IF($C319=0,0,$C319-$D319)</f>
        <v/>
      </c>
    </row>
    <row r="320" ht="15" customHeight="1" s="72">
      <c r="F320" s="117">
        <f>IF($C320=0,0,$C320-$D320)</f>
        <v/>
      </c>
    </row>
    <row r="321" ht="15" customHeight="1" s="72">
      <c r="F321" s="117">
        <f>IF($C321=0,0,$C321-$D321)</f>
        <v/>
      </c>
    </row>
    <row r="322" ht="15" customHeight="1" s="72">
      <c r="F322" s="117">
        <f>IF($C322=0,0,$C322-$D322)</f>
        <v/>
      </c>
    </row>
    <row r="323" ht="15" customHeight="1" s="72">
      <c r="F323" s="117">
        <f>IF($C323=0,0,$C323-$D323)</f>
        <v/>
      </c>
    </row>
    <row r="324" ht="15" customHeight="1" s="72">
      <c r="F324" s="117">
        <f>IF($C324=0,0,$C324-$D324)</f>
        <v/>
      </c>
    </row>
    <row r="325" ht="15" customHeight="1" s="72">
      <c r="F325" s="117">
        <f>IF($C325=0,0,$C325-$D325)</f>
        <v/>
      </c>
    </row>
    <row r="326" ht="15" customHeight="1" s="72">
      <c r="F326" s="117">
        <f>IF($C326=0,0,$C326-$D326)</f>
        <v/>
      </c>
    </row>
    <row r="327" ht="15" customHeight="1" s="72">
      <c r="F327" s="117">
        <f>IF($C327=0,0,$C327-$D327)</f>
        <v/>
      </c>
    </row>
    <row r="328" ht="15" customHeight="1" s="72">
      <c r="F328" s="117">
        <f>IF($C328=0,0,$C328-$D328)</f>
        <v/>
      </c>
    </row>
    <row r="329" ht="15" customHeight="1" s="72">
      <c r="F329" s="117">
        <f>IF($C329=0,0,$C329-$D329)</f>
        <v/>
      </c>
    </row>
    <row r="330" ht="15" customHeight="1" s="72">
      <c r="F330" s="117">
        <f>IF($C330=0,0,$C330-$D330)</f>
        <v/>
      </c>
    </row>
    <row r="331" ht="15" customHeight="1" s="72">
      <c r="F331" s="117">
        <f>IF($C331=0,0,$C331-$D331)</f>
        <v/>
      </c>
    </row>
    <row r="332" ht="15" customHeight="1" s="72">
      <c r="F332" s="117">
        <f>IF($C332=0,0,$C332-$D332)</f>
        <v/>
      </c>
    </row>
    <row r="333" ht="15" customHeight="1" s="72">
      <c r="F333" s="117">
        <f>IF($C333=0,0,$C333-$D333)</f>
        <v/>
      </c>
    </row>
    <row r="334" ht="15" customHeight="1" s="72">
      <c r="F334" s="117">
        <f>IF($C334=0,0,$C334-$D334)</f>
        <v/>
      </c>
    </row>
    <row r="335" ht="15" customHeight="1" s="72">
      <c r="F335" s="117">
        <f>IF($C335=0,0,$C335-$D335)</f>
        <v/>
      </c>
    </row>
    <row r="336" ht="15" customHeight="1" s="72">
      <c r="F336" s="117">
        <f>IF($C336=0,0,$C336-$D336)</f>
        <v/>
      </c>
    </row>
    <row r="337" ht="15" customHeight="1" s="72">
      <c r="F337" s="117">
        <f>IF($C337=0,0,$C337-$D337)</f>
        <v/>
      </c>
    </row>
    <row r="338" ht="15" customHeight="1" s="72">
      <c r="F338" s="117">
        <f>IF($C338=0,0,$C338-$D338)</f>
        <v/>
      </c>
    </row>
    <row r="339" ht="15" customHeight="1" s="72">
      <c r="F339" s="117">
        <f>IF($C339=0,0,$C339-$D339)</f>
        <v/>
      </c>
    </row>
    <row r="340" ht="15" customHeight="1" s="72">
      <c r="F340" s="117">
        <f>IF($C340=0,0,$C340-$D340)</f>
        <v/>
      </c>
    </row>
    <row r="341" ht="15" customHeight="1" s="72">
      <c r="F341" s="117">
        <f>IF($C341=0,0,$C341-$D341)</f>
        <v/>
      </c>
    </row>
    <row r="342" ht="15" customHeight="1" s="72">
      <c r="F342" s="117">
        <f>IF($C342=0,0,$C342-$D342)</f>
        <v/>
      </c>
    </row>
    <row r="343" ht="15" customHeight="1" s="72">
      <c r="F343" s="117">
        <f>IF($C343=0,0,$C343-$D343)</f>
        <v/>
      </c>
    </row>
    <row r="344" ht="15" customHeight="1" s="72">
      <c r="F344" s="117">
        <f>IF($C344=0,0,$C344-$D344)</f>
        <v/>
      </c>
    </row>
    <row r="345" ht="15" customHeight="1" s="72">
      <c r="F345" s="117">
        <f>IF($C345=0,0,$C345-$D345)</f>
        <v/>
      </c>
    </row>
    <row r="346" ht="15" customHeight="1" s="72">
      <c r="F346" s="117">
        <f>IF($C346=0,0,$C346-$D346)</f>
        <v/>
      </c>
    </row>
    <row r="347" ht="15" customHeight="1" s="72">
      <c r="F347" s="117">
        <f>IF($C347=0,0,$C347-$D347)</f>
        <v/>
      </c>
    </row>
    <row r="348" ht="15" customHeight="1" s="72">
      <c r="F348" s="117">
        <f>IF($C348=0,0,$C348-$D348)</f>
        <v/>
      </c>
    </row>
    <row r="349" ht="15" customHeight="1" s="72">
      <c r="F349" s="117">
        <f>IF($C349=0,0,$C349-$D349)</f>
        <v/>
      </c>
    </row>
    <row r="350" ht="15" customHeight="1" s="72">
      <c r="F350" s="117">
        <f>IF($C350=0,0,$C350-$D350)</f>
        <v/>
      </c>
    </row>
    <row r="351" ht="15" customHeight="1" s="72">
      <c r="F351" s="117">
        <f>IF($C351=0,0,$C351-$D351)</f>
        <v/>
      </c>
    </row>
    <row r="352" ht="15" customHeight="1" s="72">
      <c r="F352" s="117">
        <f>IF($C352=0,0,$C352-$D352)</f>
        <v/>
      </c>
    </row>
    <row r="353" ht="15" customHeight="1" s="72">
      <c r="F353" s="117">
        <f>IF($C353=0,0,$C353-$D353)</f>
        <v/>
      </c>
    </row>
    <row r="354" ht="15" customHeight="1" s="72">
      <c r="F354" s="117">
        <f>IF($C354=0,0,$C354-$D354)</f>
        <v/>
      </c>
    </row>
    <row r="355" ht="15" customHeight="1" s="72">
      <c r="F355" s="117">
        <f>IF($C355=0,0,$C355-$D355)</f>
        <v/>
      </c>
    </row>
    <row r="356" ht="15" customHeight="1" s="72">
      <c r="F356" s="117">
        <f>IF($C356=0,0,$C356-$D356)</f>
        <v/>
      </c>
    </row>
    <row r="357" ht="15" customHeight="1" s="72">
      <c r="F357" s="117">
        <f>IF($C357=0,0,$C357-$D357)</f>
        <v/>
      </c>
    </row>
    <row r="358" ht="15" customHeight="1" s="72">
      <c r="F358" s="117">
        <f>IF($C358=0,0,$C358-$D358)</f>
        <v/>
      </c>
    </row>
    <row r="359" ht="15" customHeight="1" s="72">
      <c r="F359" s="117">
        <f>IF($C359=0,0,$C359-$D359)</f>
        <v/>
      </c>
    </row>
    <row r="360" ht="15" customHeight="1" s="72">
      <c r="F360" s="117">
        <f>IF($C360=0,0,$C360-$D360)</f>
        <v/>
      </c>
    </row>
    <row r="361" ht="15" customHeight="1" s="72">
      <c r="F361" s="117">
        <f>IF($C361=0,0,$C361-$D361)</f>
        <v/>
      </c>
    </row>
    <row r="362" ht="15" customHeight="1" s="72">
      <c r="F362" s="117">
        <f>IF($C362=0,0,$C362-$D362)</f>
        <v/>
      </c>
    </row>
    <row r="363" ht="15" customHeight="1" s="72">
      <c r="F363" s="117">
        <f>IF($C363=0,0,$C363-$D363)</f>
        <v/>
      </c>
    </row>
    <row r="364" ht="15" customHeight="1" s="72">
      <c r="F364" s="117">
        <f>IF($C364=0,0,$C364-$D364)</f>
        <v/>
      </c>
    </row>
    <row r="365" ht="15" customHeight="1" s="72">
      <c r="F365" s="117">
        <f>IF($C365=0,0,$C365-$D365)</f>
        <v/>
      </c>
    </row>
    <row r="366" ht="15" customHeight="1" s="72">
      <c r="F366" s="117">
        <f>IF($C366=0,0,$C366-$D366)</f>
        <v/>
      </c>
    </row>
    <row r="367" ht="15" customHeight="1" s="72">
      <c r="F367" s="117">
        <f>IF($C367=0,0,$C367-$D367)</f>
        <v/>
      </c>
    </row>
    <row r="368" ht="15" customHeight="1" s="72">
      <c r="F368" s="117">
        <f>IF($C368=0,0,$C368-$D368)</f>
        <v/>
      </c>
    </row>
    <row r="369" ht="15" customHeight="1" s="72">
      <c r="F369" s="117">
        <f>IF($C369=0,0,$C369-$D369)</f>
        <v/>
      </c>
    </row>
    <row r="370" ht="15" customHeight="1" s="72">
      <c r="F370" s="117">
        <f>IF($C370=0,0,$C370-$D370)</f>
        <v/>
      </c>
    </row>
    <row r="371" ht="15" customHeight="1" s="72">
      <c r="F371" s="117">
        <f>IF($C371=0,0,$C371-$D371)</f>
        <v/>
      </c>
    </row>
    <row r="372" ht="15" customHeight="1" s="72">
      <c r="F372" s="117">
        <f>IF($C372=0,0,$C372-$D372)</f>
        <v/>
      </c>
    </row>
    <row r="373" ht="15" customHeight="1" s="72">
      <c r="F373" s="117">
        <f>IF($C373=0,0,$C373-$D373)</f>
        <v/>
      </c>
    </row>
    <row r="374" ht="15" customHeight="1" s="72">
      <c r="F374" s="117">
        <f>IF($C374=0,0,$C374-$D374)</f>
        <v/>
      </c>
    </row>
    <row r="375" ht="15" customHeight="1" s="72">
      <c r="F375" s="117">
        <f>IF($C375=0,0,$C375-$D375)</f>
        <v/>
      </c>
    </row>
    <row r="376" ht="15" customHeight="1" s="72">
      <c r="F376" s="117">
        <f>IF($C376=0,0,$C376-$D376)</f>
        <v/>
      </c>
    </row>
    <row r="377" ht="15" customHeight="1" s="72">
      <c r="F377" s="117">
        <f>IF($C377=0,0,$C377-$D377)</f>
        <v/>
      </c>
    </row>
    <row r="378" ht="15" customHeight="1" s="72">
      <c r="F378" s="117">
        <f>IF($C378=0,0,$C378-$D378)</f>
        <v/>
      </c>
    </row>
    <row r="379" ht="15" customHeight="1" s="72">
      <c r="F379" s="117">
        <f>IF($C379=0,0,$C379-$D379)</f>
        <v/>
      </c>
    </row>
    <row r="380" ht="15" customHeight="1" s="72">
      <c r="F380" s="117">
        <f>IF($C380=0,0,$C380-$D380)</f>
        <v/>
      </c>
    </row>
    <row r="381" ht="15" customHeight="1" s="72">
      <c r="F381" s="117">
        <f>IF($C381=0,0,$C381-$D381)</f>
        <v/>
      </c>
    </row>
    <row r="382" ht="15" customHeight="1" s="72">
      <c r="F382" s="117">
        <f>IF($C382=0,0,$C382-$D382)</f>
        <v/>
      </c>
    </row>
    <row r="383" ht="15" customHeight="1" s="72">
      <c r="F383" s="117">
        <f>IF($C383=0,0,$C383-$D383)</f>
        <v/>
      </c>
    </row>
    <row r="384" ht="15" customHeight="1" s="72">
      <c r="F384" s="117">
        <f>IF($C384=0,0,$C384-$D384)</f>
        <v/>
      </c>
    </row>
    <row r="385" ht="15" customHeight="1" s="72">
      <c r="F385" s="117">
        <f>IF($C385=0,0,$C385-$D385)</f>
        <v/>
      </c>
    </row>
    <row r="386" ht="15" customHeight="1" s="72">
      <c r="F386" s="117">
        <f>IF($C386=0,0,$C386-$D386)</f>
        <v/>
      </c>
    </row>
    <row r="387" ht="15" customHeight="1" s="72">
      <c r="F387" s="117">
        <f>IF($C387=0,0,$C387-$D387)</f>
        <v/>
      </c>
    </row>
    <row r="388" ht="15" customHeight="1" s="72">
      <c r="F388" s="117">
        <f>IF($C388=0,0,$C388-$D388)</f>
        <v/>
      </c>
    </row>
    <row r="389" ht="15" customHeight="1" s="72">
      <c r="F389" s="117">
        <f>IF($C389=0,0,$C389-$D389)</f>
        <v/>
      </c>
    </row>
    <row r="390" ht="15" customHeight="1" s="72">
      <c r="F390" s="117">
        <f>IF($C390=0,0,$C390-$D390)</f>
        <v/>
      </c>
    </row>
    <row r="391" ht="15" customHeight="1" s="72">
      <c r="F391" s="117">
        <f>IF($C391=0,0,$C391-$D391)</f>
        <v/>
      </c>
    </row>
    <row r="392" ht="15" customHeight="1" s="72">
      <c r="F392" s="117">
        <f>IF($C392=0,0,$C392-$D392)</f>
        <v/>
      </c>
    </row>
    <row r="393" ht="15" customHeight="1" s="72">
      <c r="F393" s="117">
        <f>IF($C393=0,0,$C393-$D393)</f>
        <v/>
      </c>
    </row>
    <row r="394" ht="15" customHeight="1" s="72">
      <c r="F394" s="117">
        <f>IF($C394=0,0,$C394-$D394)</f>
        <v/>
      </c>
    </row>
    <row r="395" ht="15" customHeight="1" s="72">
      <c r="F395" s="117">
        <f>IF($C395=0,0,$C395-$D395)</f>
        <v/>
      </c>
    </row>
    <row r="396" ht="15" customHeight="1" s="72">
      <c r="F396" s="117">
        <f>IF($C396=0,0,$C396-$D396)</f>
        <v/>
      </c>
    </row>
    <row r="397" ht="15" customHeight="1" s="72">
      <c r="F397" s="117">
        <f>IF($C397=0,0,$C397-$D397)</f>
        <v/>
      </c>
    </row>
    <row r="398" ht="15" customHeight="1" s="72">
      <c r="F398" s="117">
        <f>IF($C398=0,0,$C398-$D398)</f>
        <v/>
      </c>
    </row>
    <row r="399" ht="15" customHeight="1" s="72">
      <c r="F399" s="117">
        <f>IF($C399=0,0,$C399-$D399)</f>
        <v/>
      </c>
    </row>
    <row r="400" ht="15" customHeight="1" s="72">
      <c r="F400" s="117">
        <f>IF($C400=0,0,$C400-$D400)</f>
        <v/>
      </c>
    </row>
    <row r="401" ht="15" customHeight="1" s="72">
      <c r="F401" s="117">
        <f>IF($C401=0,0,$C401-$D401)</f>
        <v/>
      </c>
    </row>
    <row r="402" ht="15" customHeight="1" s="72">
      <c r="F402" s="117">
        <f>IF($C402=0,0,$C402-$D402)</f>
        <v/>
      </c>
    </row>
    <row r="403" ht="15" customHeight="1" s="72">
      <c r="F403" s="117">
        <f>IF($C403=0,0,$C403-$D403)</f>
        <v/>
      </c>
    </row>
    <row r="404" ht="15" customHeight="1" s="72">
      <c r="F404" s="117">
        <f>IF($C404=0,0,$C404-$D404)</f>
        <v/>
      </c>
    </row>
    <row r="405" ht="15" customHeight="1" s="72">
      <c r="F405" s="117">
        <f>IF($C405=0,0,$C405-$D405)</f>
        <v/>
      </c>
    </row>
    <row r="406" ht="15" customHeight="1" s="72">
      <c r="F406" s="117">
        <f>IF($C406=0,0,$C406-$D406)</f>
        <v/>
      </c>
    </row>
    <row r="407" ht="15" customHeight="1" s="72">
      <c r="F407" s="117">
        <f>IF($C407=0,0,$C407-$D407)</f>
        <v/>
      </c>
    </row>
    <row r="408" ht="15" customHeight="1" s="72">
      <c r="F408" s="117">
        <f>IF($C408=0,0,$C408-$D408)</f>
        <v/>
      </c>
    </row>
    <row r="409" ht="15" customHeight="1" s="72">
      <c r="F409" s="117">
        <f>IF($C409=0,0,$C409-$D409)</f>
        <v/>
      </c>
    </row>
    <row r="410" ht="15" customHeight="1" s="72">
      <c r="F410" s="117">
        <f>IF($C410=0,0,$C410-$D410)</f>
        <v/>
      </c>
    </row>
    <row r="411" ht="15" customHeight="1" s="72">
      <c r="F411" s="117">
        <f>IF($C411=0,0,$C411-$D411)</f>
        <v/>
      </c>
    </row>
    <row r="412" ht="15" customHeight="1" s="72">
      <c r="F412" s="117">
        <f>IF($C412=0,0,$C412-$D412)</f>
        <v/>
      </c>
    </row>
    <row r="413" ht="15" customHeight="1" s="72">
      <c r="F413" s="117">
        <f>IF($C413=0,0,$C413-$D413)</f>
        <v/>
      </c>
    </row>
    <row r="414" ht="15" customHeight="1" s="72">
      <c r="F414" s="117">
        <f>IF($C414=0,0,$C414-$D414)</f>
        <v/>
      </c>
    </row>
    <row r="415" ht="15" customHeight="1" s="72">
      <c r="F415" s="117">
        <f>IF($C415=0,0,$C415-$D415)</f>
        <v/>
      </c>
    </row>
    <row r="416" ht="15" customHeight="1" s="72">
      <c r="F416" s="117">
        <f>IF($C416=0,0,$C416-$D416)</f>
        <v/>
      </c>
    </row>
    <row r="417" ht="15" customHeight="1" s="72">
      <c r="F417" s="117">
        <f>IF($C417=0,0,$C417-$D417)</f>
        <v/>
      </c>
    </row>
    <row r="418" ht="15" customHeight="1" s="72">
      <c r="F418" s="117">
        <f>IF($C418=0,0,$C418-$D418)</f>
        <v/>
      </c>
    </row>
    <row r="419" ht="15" customHeight="1" s="72">
      <c r="F419" s="117">
        <f>IF($C419=0,0,$C419-$D419)</f>
        <v/>
      </c>
    </row>
    <row r="420" ht="15" customHeight="1" s="72">
      <c r="F420" s="117">
        <f>IF($C420=0,0,$C420-$D420)</f>
        <v/>
      </c>
    </row>
    <row r="421" ht="15" customHeight="1" s="72">
      <c r="F421" s="117">
        <f>IF($C421=0,0,$C421-$D421)</f>
        <v/>
      </c>
    </row>
    <row r="422" ht="15" customHeight="1" s="72">
      <c r="F422" s="117">
        <f>IF($C422=0,0,$C422-$D422)</f>
        <v/>
      </c>
    </row>
    <row r="423" ht="15" customHeight="1" s="72">
      <c r="F423" s="117">
        <f>IF($C423=0,0,$C423-$D423)</f>
        <v/>
      </c>
    </row>
    <row r="424" ht="15" customHeight="1" s="72">
      <c r="F424" s="117">
        <f>IF($C424=0,0,$C424-$D424)</f>
        <v/>
      </c>
    </row>
    <row r="425" ht="15" customHeight="1" s="72">
      <c r="F425" s="117">
        <f>IF($C425=0,0,$C425-$D425)</f>
        <v/>
      </c>
    </row>
    <row r="426" ht="15" customHeight="1" s="72">
      <c r="F426" s="117">
        <f>IF($C426=0,0,$C426-$D426)</f>
        <v/>
      </c>
    </row>
    <row r="427" ht="15" customHeight="1" s="72">
      <c r="F427" s="117">
        <f>IF($C427=0,0,$C427-$D427)</f>
        <v/>
      </c>
    </row>
    <row r="428" ht="15" customHeight="1" s="72">
      <c r="F428" s="117">
        <f>IF($C428=0,0,$C428-$D428)</f>
        <v/>
      </c>
    </row>
    <row r="429" ht="15" customHeight="1" s="72">
      <c r="F429" s="117">
        <f>IF($C429=0,0,$C429-$D429)</f>
        <v/>
      </c>
    </row>
    <row r="430" ht="15" customHeight="1" s="72">
      <c r="F430" s="117">
        <f>IF($C430=0,0,$C430-$D430)</f>
        <v/>
      </c>
    </row>
    <row r="431" ht="15" customHeight="1" s="72">
      <c r="F431" s="117">
        <f>IF($C431=0,0,$C431-$D431)</f>
        <v/>
      </c>
    </row>
    <row r="432" ht="15" customHeight="1" s="72">
      <c r="F432" s="117">
        <f>IF($C432=0,0,$C432-$D432)</f>
        <v/>
      </c>
    </row>
    <row r="433" ht="15" customHeight="1" s="72">
      <c r="F433" s="117">
        <f>IF($C433=0,0,$C433-$D433)</f>
        <v/>
      </c>
    </row>
    <row r="434" ht="15" customHeight="1" s="72">
      <c r="F434" s="117">
        <f>IF($C434=0,0,$C434-$D434)</f>
        <v/>
      </c>
    </row>
    <row r="435" ht="15" customHeight="1" s="72">
      <c r="F435" s="117">
        <f>IF($C435=0,0,$C435-$D435)</f>
        <v/>
      </c>
    </row>
    <row r="436" ht="15" customHeight="1" s="72">
      <c r="F436" s="117">
        <f>IF($C436=0,0,$C436-$D436)</f>
        <v/>
      </c>
    </row>
    <row r="437" ht="15" customHeight="1" s="72">
      <c r="F437" s="117">
        <f>IF($C437=0,0,$C437-$D437)</f>
        <v/>
      </c>
    </row>
    <row r="438" ht="15" customHeight="1" s="72">
      <c r="F438" s="117">
        <f>IF($C438=0,0,$C438-$D438)</f>
        <v/>
      </c>
    </row>
    <row r="439" ht="15" customHeight="1" s="72">
      <c r="F439" s="117">
        <f>IF($C439=0,0,$C439-$D439)</f>
        <v/>
      </c>
    </row>
    <row r="440" ht="15" customHeight="1" s="72">
      <c r="F440" s="117">
        <f>IF($C440=0,0,$C440-$D440)</f>
        <v/>
      </c>
    </row>
    <row r="441" ht="15" customHeight="1" s="72">
      <c r="F441" s="117">
        <f>IF($C441=0,0,$C441-$D441)</f>
        <v/>
      </c>
    </row>
    <row r="442" ht="15" customHeight="1" s="72">
      <c r="F442" s="117">
        <f>IF($C442=0,0,$C442-$D442)</f>
        <v/>
      </c>
    </row>
    <row r="443" ht="15" customHeight="1" s="72">
      <c r="F443" s="117">
        <f>IF($C443=0,0,$C443-$D443)</f>
        <v/>
      </c>
    </row>
    <row r="444" ht="15" customHeight="1" s="72">
      <c r="F444" s="117">
        <f>IF($C444=0,0,$C444-$D444)</f>
        <v/>
      </c>
    </row>
    <row r="445" ht="15" customHeight="1" s="72">
      <c r="F445" s="117">
        <f>IF($C445=0,0,$C445-$D445)</f>
        <v/>
      </c>
    </row>
    <row r="446" ht="15" customHeight="1" s="72">
      <c r="F446" s="117">
        <f>IF($C446=0,0,$C446-$D446)</f>
        <v/>
      </c>
    </row>
    <row r="447" ht="15" customHeight="1" s="72">
      <c r="F447" s="117">
        <f>IF($C447=0,0,$C447-$D447)</f>
        <v/>
      </c>
    </row>
    <row r="448" ht="15" customHeight="1" s="72">
      <c r="F448" s="117">
        <f>IF($C448=0,0,$C448-$D448)</f>
        <v/>
      </c>
    </row>
    <row r="449" ht="15" customHeight="1" s="72">
      <c r="F449" s="117">
        <f>IF($C449=0,0,$C449-$D449)</f>
        <v/>
      </c>
    </row>
    <row r="450" ht="15" customHeight="1" s="72">
      <c r="F450" s="117">
        <f>IF($C450=0,0,$C450-$D450)</f>
        <v/>
      </c>
    </row>
    <row r="451" ht="15" customHeight="1" s="72">
      <c r="F451" s="117">
        <f>IF($C451=0,0,$C451-$D451)</f>
        <v/>
      </c>
    </row>
    <row r="452" ht="15" customHeight="1" s="72">
      <c r="F452" s="117">
        <f>IF($C452=0,0,$C452-$D452)</f>
        <v/>
      </c>
    </row>
    <row r="453" ht="15" customHeight="1" s="72">
      <c r="F453" s="117">
        <f>IF($C453=0,0,$C453-$D453)</f>
        <v/>
      </c>
    </row>
    <row r="454" ht="15" customHeight="1" s="72">
      <c r="F454" s="117">
        <f>IF($C454=0,0,$C454-$D454)</f>
        <v/>
      </c>
    </row>
    <row r="455" ht="15" customHeight="1" s="72">
      <c r="F455" s="117">
        <f>IF($C455=0,0,$C455-$D455)</f>
        <v/>
      </c>
    </row>
    <row r="456" ht="15" customHeight="1" s="72">
      <c r="F456" s="117">
        <f>IF($C456=0,0,$C456-$D456)</f>
        <v/>
      </c>
    </row>
    <row r="457" ht="15" customHeight="1" s="72">
      <c r="F457" s="117">
        <f>IF($C457=0,0,$C457-$D457)</f>
        <v/>
      </c>
    </row>
    <row r="458" ht="15" customHeight="1" s="72">
      <c r="F458" s="117">
        <f>IF($C458=0,0,$C458-$D458)</f>
        <v/>
      </c>
    </row>
    <row r="459" ht="15" customHeight="1" s="72">
      <c r="F459" s="117">
        <f>IF($C459=0,0,$C459-$D459)</f>
        <v/>
      </c>
    </row>
    <row r="460" ht="15" customHeight="1" s="72">
      <c r="F460" s="117">
        <f>IF($C460=0,0,$C460-$D460)</f>
        <v/>
      </c>
    </row>
    <row r="461" ht="15" customHeight="1" s="72">
      <c r="F461" s="117">
        <f>IF($C461=0,0,$C461-$D461)</f>
        <v/>
      </c>
    </row>
    <row r="462" ht="15" customHeight="1" s="72">
      <c r="F462" s="117">
        <f>IF($C462=0,0,$C462-$D462)</f>
        <v/>
      </c>
    </row>
    <row r="463" ht="15" customHeight="1" s="72">
      <c r="F463" s="117">
        <f>IF($C463=0,0,$C463-$D463)</f>
        <v/>
      </c>
    </row>
    <row r="464" ht="15" customHeight="1" s="72">
      <c r="F464" s="117">
        <f>IF($C464=0,0,$C464-$D464)</f>
        <v/>
      </c>
    </row>
    <row r="465" ht="15" customHeight="1" s="72">
      <c r="F465" s="117">
        <f>IF($C465=0,0,$C465-$D465)</f>
        <v/>
      </c>
    </row>
    <row r="466" ht="15" customHeight="1" s="72">
      <c r="F466" s="117">
        <f>IF($C466=0,0,$C466-$D466)</f>
        <v/>
      </c>
    </row>
    <row r="467" ht="15" customHeight="1" s="72">
      <c r="F467" s="117">
        <f>IF($C467=0,0,$C467-$D467)</f>
        <v/>
      </c>
    </row>
    <row r="468" ht="15" customHeight="1" s="72">
      <c r="F468" s="117">
        <f>IF($C468=0,0,$C468-$D468)</f>
        <v/>
      </c>
    </row>
    <row r="469" ht="15" customHeight="1" s="72">
      <c r="F469" s="117">
        <f>IF($C469=0,0,$C469-$D469)</f>
        <v/>
      </c>
    </row>
    <row r="470" ht="15" customHeight="1" s="72">
      <c r="F470" s="117">
        <f>IF($C470=0,0,$C470-$D470)</f>
        <v/>
      </c>
    </row>
    <row r="471" ht="15" customHeight="1" s="72">
      <c r="F471" s="117">
        <f>IF($C471=0,0,$C471-$D471)</f>
        <v/>
      </c>
    </row>
    <row r="472" ht="15" customHeight="1" s="72">
      <c r="F472" s="117">
        <f>IF($C472=0,0,$C472-$D472)</f>
        <v/>
      </c>
    </row>
    <row r="473" ht="15" customHeight="1" s="72">
      <c r="F473" s="117">
        <f>IF($C473=0,0,$C473-$D473)</f>
        <v/>
      </c>
    </row>
    <row r="474" ht="15" customHeight="1" s="72">
      <c r="F474" s="117">
        <f>IF($C474=0,0,$C474-$D474)</f>
        <v/>
      </c>
    </row>
    <row r="475" ht="15" customHeight="1" s="72">
      <c r="F475" s="117">
        <f>IF($C475=0,0,$C475-$D475)</f>
        <v/>
      </c>
    </row>
    <row r="476" ht="15" customHeight="1" s="72">
      <c r="F476" s="117">
        <f>IF($C476=0,0,$C476-$D476)</f>
        <v/>
      </c>
    </row>
    <row r="477" ht="15" customHeight="1" s="72">
      <c r="F477" s="117">
        <f>IF($C477=0,0,$C477-$D477)</f>
        <v/>
      </c>
    </row>
    <row r="478" ht="15" customHeight="1" s="72">
      <c r="F478" s="117">
        <f>IF($C478=0,0,$C478-$D478)</f>
        <v/>
      </c>
    </row>
    <row r="479" ht="15" customHeight="1" s="72">
      <c r="F479" s="117">
        <f>IF($C479=0,0,$C479-$D479)</f>
        <v/>
      </c>
    </row>
    <row r="480" ht="15" customHeight="1" s="72">
      <c r="F480" s="117">
        <f>IF($C480=0,0,$C480-$D480)</f>
        <v/>
      </c>
    </row>
    <row r="481" ht="15" customHeight="1" s="72">
      <c r="F481" s="117">
        <f>IF($C481=0,0,$C481-$D481)</f>
        <v/>
      </c>
    </row>
    <row r="482" ht="15" customHeight="1" s="72">
      <c r="F482" s="117">
        <f>IF($C482=0,0,$C482-$D482)</f>
        <v/>
      </c>
    </row>
    <row r="483" ht="15" customHeight="1" s="72">
      <c r="F483" s="117">
        <f>IF($C483=0,0,$C483-$D483)</f>
        <v/>
      </c>
    </row>
    <row r="484" ht="15" customHeight="1" s="72">
      <c r="F484" s="117">
        <f>IF($C484=0,0,$C484-$D484)</f>
        <v/>
      </c>
    </row>
    <row r="485" ht="15" customHeight="1" s="72">
      <c r="F485" s="117">
        <f>IF($C485=0,0,$C485-$D485)</f>
        <v/>
      </c>
    </row>
    <row r="486" ht="15" customHeight="1" s="72">
      <c r="F486" s="117">
        <f>IF($C486=0,0,$C486-$D486)</f>
        <v/>
      </c>
    </row>
    <row r="487" ht="15" customHeight="1" s="72">
      <c r="F487" s="117">
        <f>IF($C487=0,0,$C487-$D487)</f>
        <v/>
      </c>
    </row>
    <row r="488" ht="15" customHeight="1" s="72">
      <c r="F488" s="117">
        <f>IF($C488=0,0,$C488-$D488)</f>
        <v/>
      </c>
    </row>
    <row r="489" ht="15" customHeight="1" s="72">
      <c r="F489" s="117">
        <f>IF($C489=0,0,$C489-$D489)</f>
        <v/>
      </c>
    </row>
    <row r="490" ht="15" customHeight="1" s="72">
      <c r="F490" s="117">
        <f>IF($C490=0,0,$C490-$D490)</f>
        <v/>
      </c>
    </row>
    <row r="491" ht="15" customHeight="1" s="72">
      <c r="F491" s="117">
        <f>IF($C491=0,0,$C491-$D491)</f>
        <v/>
      </c>
    </row>
    <row r="492" ht="15" customHeight="1" s="72">
      <c r="F492" s="117">
        <f>IF($C492=0,0,$C492-$D492)</f>
        <v/>
      </c>
    </row>
    <row r="493" ht="15" customHeight="1" s="72">
      <c r="F493" s="117">
        <f>IF($C493=0,0,$C493-$D493)</f>
        <v/>
      </c>
    </row>
    <row r="494" ht="15" customHeight="1" s="72">
      <c r="F494" s="117">
        <f>IF($C494=0,0,$C494-$D494)</f>
        <v/>
      </c>
    </row>
    <row r="495" ht="15" customHeight="1" s="72">
      <c r="F495" s="117">
        <f>IF($C495=0,0,$C495-$D495)</f>
        <v/>
      </c>
    </row>
    <row r="496" ht="15" customHeight="1" s="72">
      <c r="F496" s="117">
        <f>IF($C496=0,0,$C496-$D496)</f>
        <v/>
      </c>
    </row>
    <row r="497" ht="15" customHeight="1" s="72">
      <c r="F497" s="117">
        <f>IF($C497=0,0,$C497-$D497)</f>
        <v/>
      </c>
    </row>
    <row r="498" ht="15" customHeight="1" s="72">
      <c r="F498" s="117">
        <f>IF($C498=0,0,$C498-$D498)</f>
        <v/>
      </c>
    </row>
    <row r="499" ht="15" customHeight="1" s="72">
      <c r="F499" s="117">
        <f>IF($C499=0,0,$C499-$D499)</f>
        <v/>
      </c>
    </row>
    <row r="500" ht="15" customHeight="1" s="72">
      <c r="F500" s="117">
        <f>IF($C500=0,0,$C500-$D500)</f>
        <v/>
      </c>
    </row>
    <row r="501" ht="15" customHeight="1" s="72">
      <c r="F501" s="117">
        <f>IF($C501=0,0,$C501-$D501)</f>
        <v/>
      </c>
    </row>
    <row r="502" ht="15" customHeight="1" s="72">
      <c r="F502" s="117">
        <f>IF($C502=0,0,$C502-$D502)</f>
        <v/>
      </c>
    </row>
    <row r="503" ht="15" customHeight="1" s="72">
      <c r="F503" s="117">
        <f>IF($C503=0,0,$C503-$D503)</f>
        <v/>
      </c>
    </row>
    <row r="504" ht="15" customHeight="1" s="72">
      <c r="F504" s="117">
        <f>IF($C504=0,0,$C504-$D504)</f>
        <v/>
      </c>
    </row>
    <row r="505" ht="15" customHeight="1" s="72">
      <c r="F505" s="117">
        <f>IF($C505=0,0,$C505-$D505)</f>
        <v/>
      </c>
    </row>
    <row r="506" ht="15" customHeight="1" s="72">
      <c r="F506" s="117">
        <f>IF($C506=0,0,$C506-$D506)</f>
        <v/>
      </c>
    </row>
    <row r="507" ht="15" customHeight="1" s="72">
      <c r="F507" s="117">
        <f>IF($C507=0,0,$C507-$D507)</f>
        <v/>
      </c>
    </row>
    <row r="508" ht="15" customHeight="1" s="72">
      <c r="F508" s="117">
        <f>IF($C508=0,0,$C508-$D508)</f>
        <v/>
      </c>
    </row>
    <row r="509" ht="15" customHeight="1" s="72">
      <c r="F509" s="117">
        <f>IF($C509=0,0,$C509-$D509)</f>
        <v/>
      </c>
    </row>
    <row r="510" ht="15" customHeight="1" s="72">
      <c r="F510" s="117">
        <f>IF($C510=0,0,$C510-$D510)</f>
        <v/>
      </c>
    </row>
    <row r="511" ht="15" customHeight="1" s="72">
      <c r="F511" s="117">
        <f>IF($C511=0,0,$C511-$D511)</f>
        <v/>
      </c>
    </row>
    <row r="512" ht="15" customHeight="1" s="72">
      <c r="F512" s="117">
        <f>IF($C512=0,0,$C512-$D512)</f>
        <v/>
      </c>
    </row>
    <row r="513" ht="15" customHeight="1" s="72">
      <c r="F513" s="117">
        <f>IF($C513=0,0,$C513-$D513)</f>
        <v/>
      </c>
    </row>
    <row r="514" ht="15" customHeight="1" s="72">
      <c r="F514" s="117">
        <f>IF($C514=0,0,$C514-$D514)</f>
        <v/>
      </c>
    </row>
    <row r="515" ht="15" customHeight="1" s="72">
      <c r="F515" s="117">
        <f>IF($C515=0,0,$C515-$D515)</f>
        <v/>
      </c>
    </row>
    <row r="516" ht="15" customHeight="1" s="72">
      <c r="F516" s="117">
        <f>IF($C516=0,0,$C516-$D516)</f>
        <v/>
      </c>
    </row>
    <row r="517" ht="15" customHeight="1" s="72">
      <c r="F517" s="117">
        <f>IF($C517=0,0,$C517-$D517)</f>
        <v/>
      </c>
    </row>
    <row r="518" ht="15" customHeight="1" s="72">
      <c r="F518" s="117">
        <f>IF($C518=0,0,$C518-$D518)</f>
        <v/>
      </c>
    </row>
    <row r="519" ht="15" customHeight="1" s="72">
      <c r="F519" s="117">
        <f>IF($C519=0,0,$C519-$D519)</f>
        <v/>
      </c>
    </row>
    <row r="520" ht="15" customHeight="1" s="72">
      <c r="F520" s="117">
        <f>IF($C520=0,0,$C520-$D520)</f>
        <v/>
      </c>
    </row>
    <row r="521" ht="15" customHeight="1" s="72">
      <c r="F521" s="117">
        <f>IF($C521=0,0,$C521-$D521)</f>
        <v/>
      </c>
    </row>
    <row r="522" ht="15" customHeight="1" s="72">
      <c r="F522" s="117">
        <f>IF($C522=0,0,$C522-$D522)</f>
        <v/>
      </c>
    </row>
    <row r="523" ht="15" customHeight="1" s="72">
      <c r="F523" s="117">
        <f>IF($C523=0,0,$C523-$D523)</f>
        <v/>
      </c>
    </row>
    <row r="524" ht="15" customHeight="1" s="72">
      <c r="F524" s="117">
        <f>IF($C524=0,0,$C524-$D524)</f>
        <v/>
      </c>
    </row>
    <row r="525" ht="15" customHeight="1" s="72">
      <c r="F525" s="117">
        <f>IF($C525=0,0,$C525-$D525)</f>
        <v/>
      </c>
    </row>
    <row r="526" ht="15" customHeight="1" s="72">
      <c r="F526" s="117">
        <f>IF($C526=0,0,$C526-$D526)</f>
        <v/>
      </c>
    </row>
    <row r="527" ht="15" customHeight="1" s="72">
      <c r="F527" s="117">
        <f>IF($C527=0,0,$C527-$D527)</f>
        <v/>
      </c>
    </row>
    <row r="528" ht="15" customHeight="1" s="72">
      <c r="F528" s="117">
        <f>IF($C528=0,0,$C528-$D528)</f>
        <v/>
      </c>
    </row>
    <row r="529" ht="15" customHeight="1" s="72">
      <c r="F529" s="117">
        <f>IF($C529=0,0,$C529-$D529)</f>
        <v/>
      </c>
    </row>
    <row r="530" ht="15" customHeight="1" s="72">
      <c r="F530" s="117">
        <f>IF($C530=0,0,$C530-$D530)</f>
        <v/>
      </c>
    </row>
    <row r="531" ht="15" customHeight="1" s="72">
      <c r="F531" s="117">
        <f>IF($C531=0,0,$C531-$D531)</f>
        <v/>
      </c>
    </row>
    <row r="532" ht="15" customHeight="1" s="72">
      <c r="F532" s="117">
        <f>IF($C532=0,0,$C532-$D532)</f>
        <v/>
      </c>
    </row>
    <row r="533" ht="15" customHeight="1" s="72">
      <c r="F533" s="117">
        <f>IF($C533=0,0,$C533-$D533)</f>
        <v/>
      </c>
    </row>
    <row r="534" ht="15" customHeight="1" s="72">
      <c r="F534" s="117">
        <f>IF($C534=0,0,$C534-$D534)</f>
        <v/>
      </c>
    </row>
    <row r="535" ht="15" customHeight="1" s="72">
      <c r="F535" s="117">
        <f>IF($C535=0,0,$C535-$D535)</f>
        <v/>
      </c>
    </row>
    <row r="536" ht="15" customHeight="1" s="72">
      <c r="F536" s="117">
        <f>IF($C536=0,0,$C536-$D536)</f>
        <v/>
      </c>
    </row>
    <row r="537" ht="15" customHeight="1" s="72">
      <c r="F537" s="117">
        <f>IF($C537=0,0,$C537-$D537)</f>
        <v/>
      </c>
    </row>
    <row r="538" ht="15" customHeight="1" s="72">
      <c r="F538" s="117">
        <f>IF($C538=0,0,$C538-$D538)</f>
        <v/>
      </c>
    </row>
    <row r="539" ht="15" customHeight="1" s="72">
      <c r="F539" s="117">
        <f>IF($C539=0,0,$C539-$D539)</f>
        <v/>
      </c>
    </row>
    <row r="540" ht="15" customHeight="1" s="72">
      <c r="F540" s="117">
        <f>IF($C540=0,0,$C540-$D540)</f>
        <v/>
      </c>
    </row>
    <row r="541" ht="15" customHeight="1" s="72">
      <c r="F541" s="117">
        <f>IF($C541=0,0,$C541-$D541)</f>
        <v/>
      </c>
    </row>
    <row r="542" ht="15" customHeight="1" s="72">
      <c r="F542" s="117">
        <f>IF($C542=0,0,$C542-$D542)</f>
        <v/>
      </c>
    </row>
    <row r="543" ht="15" customHeight="1" s="72">
      <c r="F543" s="117">
        <f>IF($C543=0,0,$C543-$D543)</f>
        <v/>
      </c>
    </row>
    <row r="544" ht="15" customHeight="1" s="72">
      <c r="F544" s="117">
        <f>IF($C544=0,0,$C544-$D544)</f>
        <v/>
      </c>
    </row>
    <row r="545" ht="15" customHeight="1" s="72">
      <c r="F545" s="117">
        <f>IF($C545=0,0,$C545-$D545)</f>
        <v/>
      </c>
    </row>
    <row r="546" ht="15" customHeight="1" s="72">
      <c r="F546" s="117">
        <f>IF($C546=0,0,$C546-$D546)</f>
        <v/>
      </c>
    </row>
    <row r="547" ht="15" customHeight="1" s="72">
      <c r="F547" s="117">
        <f>IF($C547=0,0,$C547-$D547)</f>
        <v/>
      </c>
    </row>
    <row r="548" ht="15" customHeight="1" s="72">
      <c r="F548" s="117">
        <f>IF($C548=0,0,$C548-$D548)</f>
        <v/>
      </c>
    </row>
    <row r="549" ht="15" customHeight="1" s="72">
      <c r="F549" s="117">
        <f>IF($C549=0,0,$C549-$D549)</f>
        <v/>
      </c>
    </row>
    <row r="550" ht="15" customHeight="1" s="72">
      <c r="F550" s="117">
        <f>IF($C550=0,0,$C550-$D550)</f>
        <v/>
      </c>
    </row>
    <row r="551" ht="15" customHeight="1" s="72">
      <c r="F551" s="117">
        <f>IF($C551=0,0,$C551-$D551)</f>
        <v/>
      </c>
    </row>
    <row r="552" ht="15" customHeight="1" s="72">
      <c r="F552" s="117">
        <f>IF($C552=0,0,$C552-$D552)</f>
        <v/>
      </c>
    </row>
    <row r="553" ht="15" customHeight="1" s="72">
      <c r="F553" s="117">
        <f>IF($C553=0,0,$C553-$D553)</f>
        <v/>
      </c>
    </row>
    <row r="554" ht="15" customHeight="1" s="72">
      <c r="F554" s="117">
        <f>IF($C554=0,0,$C554-$D554)</f>
        <v/>
      </c>
    </row>
    <row r="555" ht="15" customHeight="1" s="72">
      <c r="F555" s="117">
        <f>IF($C555=0,0,$C555-$D555)</f>
        <v/>
      </c>
    </row>
    <row r="556" ht="15" customHeight="1" s="72">
      <c r="F556" s="117">
        <f>IF($C556=0,0,$C556-$D556)</f>
        <v/>
      </c>
    </row>
    <row r="557" ht="15" customHeight="1" s="72">
      <c r="F557" s="117">
        <f>IF($C557=0,0,$C557-$D557)</f>
        <v/>
      </c>
    </row>
    <row r="558" ht="15" customHeight="1" s="72">
      <c r="F558" s="117">
        <f>IF($C558=0,0,$C558-$D558)</f>
        <v/>
      </c>
    </row>
    <row r="559" ht="15" customHeight="1" s="72">
      <c r="F559" s="117">
        <f>IF($C559=0,0,$C559-$D559)</f>
        <v/>
      </c>
    </row>
    <row r="560" ht="15" customHeight="1" s="72">
      <c r="F560" s="117">
        <f>IF($C560=0,0,$C560-$D560)</f>
        <v/>
      </c>
    </row>
    <row r="561" ht="15" customHeight="1" s="72">
      <c r="F561" s="117">
        <f>IF($C561=0,0,$C561-$D561)</f>
        <v/>
      </c>
    </row>
    <row r="562" ht="15" customHeight="1" s="72">
      <c r="F562" s="117">
        <f>IF($C562=0,0,$C562-$D562)</f>
        <v/>
      </c>
    </row>
    <row r="563" ht="15" customHeight="1" s="72">
      <c r="F563" s="117">
        <f>IF($C563=0,0,$C563-$D563)</f>
        <v/>
      </c>
    </row>
    <row r="564" ht="15" customHeight="1" s="72">
      <c r="F564" s="117">
        <f>IF($C564=0,0,$C564-$D564)</f>
        <v/>
      </c>
    </row>
    <row r="565" ht="15" customHeight="1" s="72">
      <c r="F565" s="117">
        <f>IF($C565=0,0,$C565-$D565)</f>
        <v/>
      </c>
    </row>
    <row r="566" ht="15" customHeight="1" s="72">
      <c r="F566" s="117">
        <f>IF($C566=0,0,$C566-$D566)</f>
        <v/>
      </c>
    </row>
    <row r="567" ht="15" customHeight="1" s="72">
      <c r="F567" s="117">
        <f>IF($C567=0,0,$C567-$D567)</f>
        <v/>
      </c>
    </row>
    <row r="568" ht="15" customHeight="1" s="72">
      <c r="F568" s="117">
        <f>IF($C568=0,0,$C568-$D568)</f>
        <v/>
      </c>
    </row>
    <row r="569" ht="15" customHeight="1" s="72">
      <c r="F569" s="117">
        <f>IF($C569=0,0,$C569-$D569)</f>
        <v/>
      </c>
    </row>
    <row r="570" ht="15" customHeight="1" s="72">
      <c r="F570" s="117">
        <f>IF($C570=0,0,$C570-$D570)</f>
        <v/>
      </c>
    </row>
    <row r="571" ht="15" customHeight="1" s="72">
      <c r="F571" s="117">
        <f>IF($C571=0,0,$C571-$D571)</f>
        <v/>
      </c>
    </row>
    <row r="572" ht="15" customHeight="1" s="72">
      <c r="F572" s="117">
        <f>IF($C572=0,0,$C572-$D572)</f>
        <v/>
      </c>
    </row>
    <row r="573" ht="15" customHeight="1" s="72">
      <c r="F573" s="117">
        <f>IF($C573=0,0,$C573-$D573)</f>
        <v/>
      </c>
    </row>
    <row r="574" ht="15" customHeight="1" s="72">
      <c r="F574" s="117">
        <f>IF($C574=0,0,$C574-$D574)</f>
        <v/>
      </c>
    </row>
    <row r="575" ht="15" customHeight="1" s="72">
      <c r="F575" s="117">
        <f>IF($C575=0,0,$C575-$D575)</f>
        <v/>
      </c>
    </row>
    <row r="576" ht="15" customHeight="1" s="72">
      <c r="F576" s="117">
        <f>IF($C576=0,0,$C576-$D576)</f>
        <v/>
      </c>
    </row>
    <row r="577" ht="15" customHeight="1" s="72">
      <c r="F577" s="117">
        <f>IF($C577=0,0,$C577-$D577)</f>
        <v/>
      </c>
    </row>
    <row r="578" ht="15" customHeight="1" s="72">
      <c r="F578" s="117">
        <f>IF($C578=0,0,$C578-$D578)</f>
        <v/>
      </c>
    </row>
    <row r="579" ht="15" customHeight="1" s="72">
      <c r="F579" s="117">
        <f>IF($C579=0,0,$C579-$D579)</f>
        <v/>
      </c>
    </row>
    <row r="580" ht="15" customHeight="1" s="72">
      <c r="F580" s="117">
        <f>IF($C580=0,0,$C580-$D580)</f>
        <v/>
      </c>
    </row>
    <row r="581" ht="15" customHeight="1" s="72">
      <c r="F581" s="117">
        <f>IF($C581=0,0,$C581-$D581)</f>
        <v/>
      </c>
    </row>
    <row r="582" ht="15" customHeight="1" s="72">
      <c r="F582" s="117">
        <f>IF($C582=0,0,$C582-$D582)</f>
        <v/>
      </c>
    </row>
    <row r="583" ht="15" customHeight="1" s="72">
      <c r="F583" s="117">
        <f>IF($C583=0,0,$C583-$D583)</f>
        <v/>
      </c>
    </row>
    <row r="584" ht="15" customHeight="1" s="72">
      <c r="F584" s="117">
        <f>IF($C584=0,0,$C584-$D584)</f>
        <v/>
      </c>
    </row>
    <row r="585" ht="15" customHeight="1" s="72">
      <c r="F585" s="117">
        <f>IF($C585=0,0,$C585-$D585)</f>
        <v/>
      </c>
    </row>
    <row r="586" ht="15" customHeight="1" s="72">
      <c r="F586" s="117">
        <f>IF($C586=0,0,$C586-$D586)</f>
        <v/>
      </c>
    </row>
    <row r="587" ht="15" customHeight="1" s="72">
      <c r="F587" s="117">
        <f>IF($C587=0,0,$C587-$D587)</f>
        <v/>
      </c>
    </row>
    <row r="588" ht="15" customHeight="1" s="72">
      <c r="F588" s="117">
        <f>IF($C588=0,0,$C588-$D588)</f>
        <v/>
      </c>
    </row>
    <row r="589" ht="15" customHeight="1" s="72">
      <c r="F589" s="117">
        <f>IF($C589=0,0,$C589-$D589)</f>
        <v/>
      </c>
    </row>
    <row r="590" ht="15" customHeight="1" s="72">
      <c r="F590" s="117">
        <f>IF($C590=0,0,$C590-$D590)</f>
        <v/>
      </c>
    </row>
    <row r="591" ht="15" customHeight="1" s="72">
      <c r="F591" s="117">
        <f>IF($C591=0,0,$C591-$D591)</f>
        <v/>
      </c>
    </row>
    <row r="592" ht="15" customHeight="1" s="72">
      <c r="F592" s="117">
        <f>IF($C592=0,0,$C592-$D592)</f>
        <v/>
      </c>
    </row>
    <row r="593" ht="15" customHeight="1" s="72">
      <c r="F593" s="117">
        <f>IF($C593=0,0,$C593-$D593)</f>
        <v/>
      </c>
    </row>
    <row r="594" ht="15" customHeight="1" s="72">
      <c r="F594" s="117">
        <f>IF($C594=0,0,$C594-$D594)</f>
        <v/>
      </c>
    </row>
    <row r="595" ht="15" customHeight="1" s="72">
      <c r="F595" s="117">
        <f>IF($C595=0,0,$C595-$D595)</f>
        <v/>
      </c>
    </row>
    <row r="596" ht="15" customHeight="1" s="72">
      <c r="F596" s="117">
        <f>IF($C596=0,0,$C596-$D596)</f>
        <v/>
      </c>
    </row>
    <row r="597" ht="15" customHeight="1" s="72">
      <c r="F597" s="117">
        <f>IF($C597=0,0,$C597-$D597)</f>
        <v/>
      </c>
    </row>
    <row r="598" ht="15" customHeight="1" s="72">
      <c r="F598" s="117">
        <f>IF($C598=0,0,$C598-$D598)</f>
        <v/>
      </c>
    </row>
    <row r="599" ht="15" customHeight="1" s="72">
      <c r="F599" s="117">
        <f>IF($C599=0,0,$C599-$D599)</f>
        <v/>
      </c>
    </row>
    <row r="600" ht="15" customHeight="1" s="72">
      <c r="F600" s="117">
        <f>IF($C600=0,0,$C600-$D600)</f>
        <v/>
      </c>
    </row>
    <row r="601" ht="15" customHeight="1" s="72">
      <c r="F601" s="117">
        <f>IF($C601=0,0,$C601-$D601)</f>
        <v/>
      </c>
    </row>
    <row r="602" ht="15" customHeight="1" s="72">
      <c r="F602" s="117">
        <f>IF($C602=0,0,$C602-$D602)</f>
        <v/>
      </c>
    </row>
    <row r="603" ht="15" customHeight="1" s="72">
      <c r="F603" s="117">
        <f>IF($C603=0,0,$C603-$D603)</f>
        <v/>
      </c>
    </row>
    <row r="604" ht="15" customHeight="1" s="72">
      <c r="F604" s="117">
        <f>IF($C604=0,0,$C604-$D604)</f>
        <v/>
      </c>
    </row>
    <row r="605" ht="15" customHeight="1" s="72">
      <c r="F605" s="117">
        <f>IF($C605=0,0,$C605-$D605)</f>
        <v/>
      </c>
    </row>
    <row r="606" ht="15" customHeight="1" s="72">
      <c r="F606" s="117">
        <f>IF($C606=0,0,$C606-$D606)</f>
        <v/>
      </c>
    </row>
    <row r="607" ht="15" customHeight="1" s="72">
      <c r="F607" s="117">
        <f>IF($C607=0,0,$C607-$D607)</f>
        <v/>
      </c>
    </row>
    <row r="608" ht="15" customHeight="1" s="72">
      <c r="F608" s="117">
        <f>IF($C608=0,0,$C608-$D608)</f>
        <v/>
      </c>
    </row>
    <row r="609" ht="15" customHeight="1" s="72">
      <c r="F609" s="117">
        <f>IF($C609=0,0,$C609-$D609)</f>
        <v/>
      </c>
    </row>
    <row r="610" ht="15" customHeight="1" s="72">
      <c r="F610" s="117">
        <f>IF($C610=0,0,$C610-$D610)</f>
        <v/>
      </c>
    </row>
    <row r="611" ht="15" customHeight="1" s="72">
      <c r="F611" s="117">
        <f>IF($C611=0,0,$C611-$D611)</f>
        <v/>
      </c>
    </row>
    <row r="612" ht="15" customHeight="1" s="72">
      <c r="F612" s="117">
        <f>IF($C612=0,0,$C612-$D612)</f>
        <v/>
      </c>
    </row>
    <row r="613" ht="15" customHeight="1" s="72">
      <c r="F613" s="117">
        <f>IF($C613=0,0,$C613-$D613)</f>
        <v/>
      </c>
    </row>
    <row r="614" ht="15" customHeight="1" s="72">
      <c r="F614" s="117">
        <f>IF($C614=0,0,$C614-$D614)</f>
        <v/>
      </c>
    </row>
    <row r="615" ht="15" customHeight="1" s="72">
      <c r="F615" s="117">
        <f>IF($C615=0,0,$C615-$D615)</f>
        <v/>
      </c>
    </row>
    <row r="616" ht="15" customHeight="1" s="72">
      <c r="F616" s="117">
        <f>IF($C616=0,0,$C616-$D616)</f>
        <v/>
      </c>
    </row>
    <row r="617" ht="15" customHeight="1" s="72">
      <c r="F617" s="117">
        <f>IF($C617=0,0,$C617-$D617)</f>
        <v/>
      </c>
    </row>
    <row r="618" ht="15" customHeight="1" s="72">
      <c r="F618" s="117">
        <f>IF($C618=0,0,$C618-$D618)</f>
        <v/>
      </c>
    </row>
    <row r="619" ht="15" customHeight="1" s="72">
      <c r="F619" s="117">
        <f>IF($C619=0,0,$C619-$D619)</f>
        <v/>
      </c>
    </row>
    <row r="620" ht="15" customHeight="1" s="72">
      <c r="F620" s="117">
        <f>IF($C620=0,0,$C620-$D620)</f>
        <v/>
      </c>
    </row>
    <row r="621" ht="15" customHeight="1" s="72">
      <c r="F621" s="117">
        <f>IF($C621=0,0,$C621-$D621)</f>
        <v/>
      </c>
    </row>
    <row r="622" ht="15" customHeight="1" s="72">
      <c r="F622" s="117">
        <f>IF($C622=0,0,$C622-$D622)</f>
        <v/>
      </c>
    </row>
    <row r="623" ht="15" customHeight="1" s="72">
      <c r="F623" s="117">
        <f>IF($C623=0,0,$C623-$D623)</f>
        <v/>
      </c>
    </row>
    <row r="624" ht="15" customHeight="1" s="72">
      <c r="F624" s="117">
        <f>IF($C624=0,0,$C624-$D624)</f>
        <v/>
      </c>
    </row>
    <row r="625" ht="15" customHeight="1" s="72">
      <c r="F625" s="117">
        <f>IF($C625=0,0,$C625-$D625)</f>
        <v/>
      </c>
    </row>
    <row r="626" ht="15" customHeight="1" s="72">
      <c r="F626" s="117">
        <f>IF($C626=0,0,$C626-$D626)</f>
        <v/>
      </c>
    </row>
    <row r="627" ht="15" customHeight="1" s="72">
      <c r="F627" s="117">
        <f>IF($C627=0,0,$C627-$D627)</f>
        <v/>
      </c>
    </row>
    <row r="628" ht="15" customHeight="1" s="72">
      <c r="F628" s="117">
        <f>IF($C628=0,0,$C628-$D628)</f>
        <v/>
      </c>
    </row>
    <row r="629" ht="15" customHeight="1" s="72">
      <c r="F629" s="117">
        <f>IF($C629=0,0,$C629-$D629)</f>
        <v/>
      </c>
    </row>
    <row r="630" ht="15" customHeight="1" s="72">
      <c r="F630" s="117">
        <f>IF($C630=0,0,$C630-$D630)</f>
        <v/>
      </c>
    </row>
    <row r="631" ht="15" customHeight="1" s="72">
      <c r="F631" s="117">
        <f>IF($C631=0,0,$C631-$D631)</f>
        <v/>
      </c>
    </row>
    <row r="632" ht="15" customHeight="1" s="72">
      <c r="F632" s="117">
        <f>IF($C632=0,0,$C632-$D632)</f>
        <v/>
      </c>
    </row>
    <row r="633" ht="15" customHeight="1" s="72">
      <c r="F633" s="117">
        <f>IF($C633=0,0,$C633-$D633)</f>
        <v/>
      </c>
    </row>
    <row r="634" ht="15" customHeight="1" s="72">
      <c r="F634" s="117">
        <f>IF($C634=0,0,$C634-$D634)</f>
        <v/>
      </c>
    </row>
    <row r="635" ht="15" customHeight="1" s="72">
      <c r="F635" s="117">
        <f>IF($C635=0,0,$C635-$D635)</f>
        <v/>
      </c>
    </row>
    <row r="636" ht="15" customHeight="1" s="72">
      <c r="F636" s="117">
        <f>IF($C636=0,0,$C636-$D636)</f>
        <v/>
      </c>
    </row>
    <row r="637" ht="15" customHeight="1" s="72">
      <c r="F637" s="117">
        <f>IF($C637=0,0,$C637-$D637)</f>
        <v/>
      </c>
    </row>
    <row r="638" ht="15" customHeight="1" s="72">
      <c r="F638" s="117">
        <f>IF($C638=0,0,$C638-$D638)</f>
        <v/>
      </c>
    </row>
    <row r="639" ht="15" customHeight="1" s="72">
      <c r="F639" s="117">
        <f>IF($C639=0,0,$C639-$D639)</f>
        <v/>
      </c>
    </row>
    <row r="640" ht="15" customHeight="1" s="72">
      <c r="F640" s="117">
        <f>IF($C640=0,0,$C640-$D640)</f>
        <v/>
      </c>
    </row>
    <row r="641" ht="15" customHeight="1" s="72">
      <c r="F641" s="117">
        <f>IF($C641=0,0,$C641-$D641)</f>
        <v/>
      </c>
    </row>
    <row r="642" ht="15" customHeight="1" s="72">
      <c r="F642" s="117">
        <f>IF($C642=0,0,$C642-$D642)</f>
        <v/>
      </c>
    </row>
    <row r="643" ht="15" customHeight="1" s="72">
      <c r="F643" s="117">
        <f>IF($C643=0,0,$C643-$D643)</f>
        <v/>
      </c>
    </row>
    <row r="644" ht="15" customHeight="1" s="72">
      <c r="F644" s="117">
        <f>IF($C644=0,0,$C644-$D644)</f>
        <v/>
      </c>
    </row>
    <row r="645" ht="15" customHeight="1" s="72">
      <c r="F645" s="117">
        <f>IF($C645=0,0,$C645-$D645)</f>
        <v/>
      </c>
    </row>
    <row r="646" ht="15" customHeight="1" s="72">
      <c r="F646" s="117">
        <f>IF($C646=0,0,$C646-$D646)</f>
        <v/>
      </c>
    </row>
    <row r="647" ht="15" customHeight="1" s="72">
      <c r="F647" s="117">
        <f>IF($C647=0,0,$C647-$D647)</f>
        <v/>
      </c>
    </row>
    <row r="648" ht="15" customHeight="1" s="72">
      <c r="F648" s="117">
        <f>IF($C648=0,0,$C648-$D648)</f>
        <v/>
      </c>
    </row>
    <row r="649" ht="15" customHeight="1" s="72">
      <c r="F649" s="117">
        <f>IF($C649=0,0,$C649-$D649)</f>
        <v/>
      </c>
    </row>
    <row r="650" ht="15" customHeight="1" s="72">
      <c r="F650" s="117">
        <f>IF($C650=0,0,$C650-$D650)</f>
        <v/>
      </c>
    </row>
    <row r="651" ht="15" customHeight="1" s="72">
      <c r="F651" s="117">
        <f>IF($C651=0,0,$C651-$D651)</f>
        <v/>
      </c>
    </row>
    <row r="652" ht="15" customHeight="1" s="72">
      <c r="F652" s="117">
        <f>IF($C652=0,0,$C652-$D652)</f>
        <v/>
      </c>
    </row>
    <row r="653" ht="15" customHeight="1" s="72">
      <c r="F653" s="117">
        <f>IF($C653=0,0,$C653-$D653)</f>
        <v/>
      </c>
    </row>
    <row r="654" ht="15" customHeight="1" s="72">
      <c r="F654" s="117">
        <f>IF($C654=0,0,$C654-$D654)</f>
        <v/>
      </c>
    </row>
    <row r="655" ht="15" customHeight="1" s="72">
      <c r="F655" s="117">
        <f>IF($C655=0,0,$C655-$D655)</f>
        <v/>
      </c>
    </row>
    <row r="656" ht="15" customHeight="1" s="72">
      <c r="F656" s="117">
        <f>IF($C656=0,0,$C656-$D656)</f>
        <v/>
      </c>
    </row>
    <row r="657" ht="15" customHeight="1" s="72">
      <c r="F657" s="117">
        <f>IF($C657=0,0,$C657-$D657)</f>
        <v/>
      </c>
    </row>
    <row r="658" ht="15" customHeight="1" s="72">
      <c r="F658" s="117">
        <f>IF($C658=0,0,$C658-$D658)</f>
        <v/>
      </c>
    </row>
    <row r="659" ht="15" customHeight="1" s="72">
      <c r="F659" s="117">
        <f>IF($C659=0,0,$C659-$D659)</f>
        <v/>
      </c>
    </row>
    <row r="660" ht="15" customHeight="1" s="72">
      <c r="F660" s="117">
        <f>IF($C660=0,0,$C660-$D660)</f>
        <v/>
      </c>
    </row>
    <row r="661" ht="15" customHeight="1" s="72">
      <c r="F661" s="117">
        <f>IF($C661=0,0,$C661-$D661)</f>
        <v/>
      </c>
    </row>
    <row r="662" ht="15" customHeight="1" s="72">
      <c r="F662" s="117">
        <f>IF($C662=0,0,$C662-$D662)</f>
        <v/>
      </c>
    </row>
    <row r="663" ht="15" customHeight="1" s="72">
      <c r="F663" s="117">
        <f>IF($C663=0,0,$C663-$D663)</f>
        <v/>
      </c>
    </row>
    <row r="664" ht="15" customHeight="1" s="72">
      <c r="F664" s="117">
        <f>IF($C664=0,0,$C664-$D664)</f>
        <v/>
      </c>
    </row>
    <row r="665" ht="15" customHeight="1" s="72">
      <c r="F665" s="117">
        <f>IF($C665=0,0,$C665-$D665)</f>
        <v/>
      </c>
    </row>
    <row r="666" ht="15" customHeight="1" s="72">
      <c r="F666" s="117">
        <f>IF($C666=0,0,$C666-$D666)</f>
        <v/>
      </c>
    </row>
    <row r="667" ht="15" customHeight="1" s="72">
      <c r="F667" s="117">
        <f>IF($C667=0,0,$C667-$D667)</f>
        <v/>
      </c>
    </row>
    <row r="668" ht="15" customHeight="1" s="72">
      <c r="F668" s="117">
        <f>IF($C668=0,0,$C668-$D668)</f>
        <v/>
      </c>
    </row>
    <row r="669" ht="15" customHeight="1" s="72">
      <c r="F669" s="117">
        <f>IF($C669=0,0,$C669-$D669)</f>
        <v/>
      </c>
    </row>
    <row r="670" ht="15" customHeight="1" s="72">
      <c r="F670" s="117">
        <f>IF($C670=0,0,$C670-$D670)</f>
        <v/>
      </c>
    </row>
    <row r="671" ht="15" customHeight="1" s="72">
      <c r="F671" s="117">
        <f>IF($C671=0,0,$C671-$D671)</f>
        <v/>
      </c>
    </row>
    <row r="672" ht="15" customHeight="1" s="72">
      <c r="F672" s="117">
        <f>IF($C672=0,0,$C672-$D672)</f>
        <v/>
      </c>
    </row>
    <row r="673" ht="15" customHeight="1" s="72">
      <c r="F673" s="117">
        <f>IF($C673=0,0,$C673-$D673)</f>
        <v/>
      </c>
    </row>
    <row r="674" ht="15" customHeight="1" s="72">
      <c r="F674" s="117">
        <f>IF($C674=0,0,$C674-$D674)</f>
        <v/>
      </c>
    </row>
    <row r="675" ht="15" customHeight="1" s="72">
      <c r="F675" s="117">
        <f>IF($C675=0,0,$C675-$D675)</f>
        <v/>
      </c>
    </row>
    <row r="676" ht="15" customHeight="1" s="72">
      <c r="F676" s="117">
        <f>IF($C676=0,0,$C676-$D676)</f>
        <v/>
      </c>
    </row>
    <row r="677" ht="15" customHeight="1" s="72">
      <c r="F677" s="117">
        <f>IF($C677=0,0,$C677-$D677)</f>
        <v/>
      </c>
    </row>
    <row r="678" ht="15" customHeight="1" s="72">
      <c r="F678" s="117">
        <f>IF($C678=0,0,$C678-$D678)</f>
        <v/>
      </c>
    </row>
    <row r="679" ht="15" customHeight="1" s="72">
      <c r="F679" s="117">
        <f>IF($C679=0,0,$C679-$D679)</f>
        <v/>
      </c>
    </row>
    <row r="680" ht="15" customHeight="1" s="72">
      <c r="F680" s="117">
        <f>IF($C680=0,0,$C680-$D680)</f>
        <v/>
      </c>
    </row>
    <row r="681" ht="15" customHeight="1" s="72">
      <c r="F681" s="117">
        <f>IF($C681=0,0,$C681-$D681)</f>
        <v/>
      </c>
    </row>
    <row r="682" ht="15" customHeight="1" s="72">
      <c r="F682" s="117">
        <f>IF($C682=0,0,$C682-$D682)</f>
        <v/>
      </c>
    </row>
    <row r="683" ht="15" customHeight="1" s="72">
      <c r="F683" s="117">
        <f>IF($C683=0,0,$C683-$D683)</f>
        <v/>
      </c>
    </row>
    <row r="684" ht="15" customHeight="1" s="72">
      <c r="F684" s="117">
        <f>IF($C684=0,0,$C684-$D684)</f>
        <v/>
      </c>
    </row>
    <row r="685" ht="15" customHeight="1" s="72">
      <c r="F685" s="117">
        <f>IF($C685=0,0,$C685-$D685)</f>
        <v/>
      </c>
    </row>
    <row r="686" ht="15" customHeight="1" s="72">
      <c r="F686" s="117">
        <f>IF($C686=0,0,$C686-$D686)</f>
        <v/>
      </c>
    </row>
    <row r="687" ht="15" customHeight="1" s="72">
      <c r="F687" s="117">
        <f>IF($C687=0,0,$C687-$D687)</f>
        <v/>
      </c>
    </row>
    <row r="688" ht="15" customHeight="1" s="72">
      <c r="F688" s="117">
        <f>IF($C688=0,0,$C688-$D688)</f>
        <v/>
      </c>
    </row>
    <row r="689" ht="15" customHeight="1" s="72">
      <c r="F689" s="117">
        <f>IF($C689=0,0,$C689-$D689)</f>
        <v/>
      </c>
    </row>
    <row r="690" ht="15" customHeight="1" s="72">
      <c r="F690" s="117">
        <f>IF($C690=0,0,$C690-$D690)</f>
        <v/>
      </c>
    </row>
    <row r="691" ht="15" customHeight="1" s="72">
      <c r="F691" s="117">
        <f>IF($C691=0,0,$C691-$D691)</f>
        <v/>
      </c>
    </row>
    <row r="692" ht="15" customHeight="1" s="72">
      <c r="F692" s="117">
        <f>IF($C692=0,0,$C692-$D692)</f>
        <v/>
      </c>
    </row>
    <row r="693" ht="15" customHeight="1" s="72">
      <c r="F693" s="117">
        <f>IF($C693=0,0,$C693-$D693)</f>
        <v/>
      </c>
    </row>
    <row r="694" ht="15" customHeight="1" s="72">
      <c r="F694" s="117">
        <f>IF($C694=0,0,$C694-$D694)</f>
        <v/>
      </c>
    </row>
    <row r="695" ht="15" customHeight="1" s="72">
      <c r="F695" s="117">
        <f>IF($C695=0,0,$C695-$D695)</f>
        <v/>
      </c>
    </row>
    <row r="696" ht="15" customHeight="1" s="72">
      <c r="F696" s="117">
        <f>IF($C696=0,0,$C696-$D696)</f>
        <v/>
      </c>
    </row>
    <row r="697" ht="15" customHeight="1" s="72">
      <c r="F697" s="117">
        <f>IF($C697=0,0,$C697-$D697)</f>
        <v/>
      </c>
    </row>
    <row r="698" ht="15" customHeight="1" s="72">
      <c r="F698" s="117">
        <f>IF($C698=0,0,$C698-$D698)</f>
        <v/>
      </c>
    </row>
    <row r="699" ht="15" customHeight="1" s="72">
      <c r="F699" s="117">
        <f>IF($C699=0,0,$C699-$D699)</f>
        <v/>
      </c>
    </row>
    <row r="700" ht="15" customHeight="1" s="72">
      <c r="F700" s="117">
        <f>IF($C700=0,0,$C700-$D700)</f>
        <v/>
      </c>
    </row>
    <row r="701" ht="15" customHeight="1" s="72">
      <c r="F701" s="117">
        <f>IF($C701=0,0,$C701-$D701)</f>
        <v/>
      </c>
    </row>
    <row r="702" ht="15" customHeight="1" s="72">
      <c r="F702" s="117">
        <f>IF($C702=0,0,$C702-$D702)</f>
        <v/>
      </c>
    </row>
    <row r="703" ht="15" customHeight="1" s="72">
      <c r="F703" s="117">
        <f>IF($C703=0,0,$C703-$D703)</f>
        <v/>
      </c>
    </row>
    <row r="704" ht="15" customHeight="1" s="72">
      <c r="F704" s="117">
        <f>IF($C704=0,0,$C704-$D704)</f>
        <v/>
      </c>
    </row>
    <row r="705" ht="15" customHeight="1" s="72">
      <c r="F705" s="117">
        <f>IF($C705=0,0,$C705-$D705)</f>
        <v/>
      </c>
    </row>
    <row r="706" ht="15" customHeight="1" s="72">
      <c r="F706" s="117">
        <f>IF($C706=0,0,$C706-$D706)</f>
        <v/>
      </c>
    </row>
    <row r="707" ht="15" customHeight="1" s="72">
      <c r="F707" s="117">
        <f>IF($C707=0,0,$C707-$D707)</f>
        <v/>
      </c>
    </row>
    <row r="708" ht="15" customHeight="1" s="72">
      <c r="F708" s="117">
        <f>IF($C708=0,0,$C708-$D708)</f>
        <v/>
      </c>
    </row>
    <row r="709" ht="15" customHeight="1" s="72">
      <c r="F709" s="117">
        <f>IF($C709=0,0,$C709-$D709)</f>
        <v/>
      </c>
    </row>
    <row r="710" ht="15" customHeight="1" s="72">
      <c r="F710" s="117">
        <f>IF($C710=0,0,$C710-$D710)</f>
        <v/>
      </c>
    </row>
    <row r="711" ht="15" customHeight="1" s="72">
      <c r="F711" s="117">
        <f>IF($C711=0,0,$C711-$D711)</f>
        <v/>
      </c>
    </row>
    <row r="712" ht="15" customHeight="1" s="72">
      <c r="F712" s="117">
        <f>IF($C712=0,0,$C712-$D712)</f>
        <v/>
      </c>
    </row>
    <row r="713" ht="15" customHeight="1" s="72">
      <c r="F713" s="117">
        <f>IF($C713=0,0,$C713-$D713)</f>
        <v/>
      </c>
    </row>
    <row r="714" ht="15" customHeight="1" s="72">
      <c r="F714" s="117">
        <f>IF($C714=0,0,$C714-$D714)</f>
        <v/>
      </c>
    </row>
    <row r="715" ht="15" customHeight="1" s="72">
      <c r="F715" s="117">
        <f>IF($C715=0,0,$C715-$D715)</f>
        <v/>
      </c>
    </row>
    <row r="716" ht="15" customHeight="1" s="72">
      <c r="F716" s="117">
        <f>IF($C716=0,0,$C716-$D716)</f>
        <v/>
      </c>
    </row>
    <row r="717" ht="15" customHeight="1" s="72">
      <c r="F717" s="117">
        <f>IF($C717=0,0,$C717-$D717)</f>
        <v/>
      </c>
    </row>
    <row r="718" ht="15" customHeight="1" s="72">
      <c r="F718" s="117">
        <f>IF($C718=0,0,$C718-$D718)</f>
        <v/>
      </c>
    </row>
    <row r="719" ht="15" customHeight="1" s="72">
      <c r="F719" s="117">
        <f>IF($C719=0,0,$C719-$D719)</f>
        <v/>
      </c>
    </row>
    <row r="720" ht="15" customHeight="1" s="72">
      <c r="F720" s="117">
        <f>IF($C720=0,0,$C720-$D720)</f>
        <v/>
      </c>
    </row>
    <row r="721" ht="15" customHeight="1" s="72">
      <c r="F721" s="117">
        <f>IF($C721=0,0,$C721-$D721)</f>
        <v/>
      </c>
    </row>
    <row r="722" ht="15" customHeight="1" s="72">
      <c r="F722" s="117">
        <f>IF($C722=0,0,$C722-$D722)</f>
        <v/>
      </c>
    </row>
    <row r="723" ht="15" customHeight="1" s="72">
      <c r="F723" s="117">
        <f>IF($C723=0,0,$C723-$D723)</f>
        <v/>
      </c>
    </row>
    <row r="724" ht="15" customHeight="1" s="72">
      <c r="F724" s="117">
        <f>IF($C724=0,0,$C724-$D724)</f>
        <v/>
      </c>
    </row>
    <row r="725" ht="15" customHeight="1" s="72">
      <c r="F725" s="117">
        <f>IF($C725=0,0,$C725-$D725)</f>
        <v/>
      </c>
    </row>
    <row r="726" ht="15" customHeight="1" s="72">
      <c r="F726" s="117">
        <f>IF($C726=0,0,$C726-$D726)</f>
        <v/>
      </c>
    </row>
    <row r="727" ht="15" customHeight="1" s="72">
      <c r="F727" s="117">
        <f>IF($C727=0,0,$C727-$D727)</f>
        <v/>
      </c>
    </row>
    <row r="728" ht="15" customHeight="1" s="72">
      <c r="F728" s="117">
        <f>IF($C728=0,0,$C728-$D728)</f>
        <v/>
      </c>
    </row>
    <row r="729" ht="15" customHeight="1" s="72">
      <c r="F729" s="117">
        <f>IF($C729=0,0,$C729-$D729)</f>
        <v/>
      </c>
    </row>
    <row r="730" ht="15" customHeight="1" s="72">
      <c r="F730" s="117">
        <f>IF($C730=0,0,$C730-$D730)</f>
        <v/>
      </c>
    </row>
    <row r="731" ht="15" customHeight="1" s="72">
      <c r="F731" s="117">
        <f>IF($C731=0,0,$C731-$D731)</f>
        <v/>
      </c>
    </row>
    <row r="732" ht="15" customHeight="1" s="72">
      <c r="F732" s="117">
        <f>IF($C732=0,0,$C732-$D732)</f>
        <v/>
      </c>
    </row>
    <row r="733" ht="15" customHeight="1" s="72">
      <c r="F733" s="117">
        <f>IF($C733=0,0,$C733-$D733)</f>
        <v/>
      </c>
    </row>
    <row r="734" ht="15" customHeight="1" s="72">
      <c r="F734" s="117">
        <f>IF($C734=0,0,$C734-$D734)</f>
        <v/>
      </c>
    </row>
    <row r="735" ht="15" customHeight="1" s="72">
      <c r="F735" s="117">
        <f>IF($C735=0,0,$C735-$D735)</f>
        <v/>
      </c>
    </row>
    <row r="736" ht="15" customHeight="1" s="72">
      <c r="F736" s="117">
        <f>IF($C736=0,0,$C736-$D736)</f>
        <v/>
      </c>
    </row>
    <row r="737" ht="15" customHeight="1" s="72">
      <c r="F737" s="117">
        <f>IF($C737=0,0,$C737-$D737)</f>
        <v/>
      </c>
    </row>
    <row r="738" ht="15" customHeight="1" s="72">
      <c r="F738" s="117">
        <f>IF($C738=0,0,$C738-$D738)</f>
        <v/>
      </c>
    </row>
    <row r="739" ht="15" customHeight="1" s="72">
      <c r="F739" s="117">
        <f>IF($C739=0,0,$C739-$D739)</f>
        <v/>
      </c>
    </row>
    <row r="740" ht="15" customHeight="1" s="72">
      <c r="F740" s="117">
        <f>IF($C740=0,0,$C740-$D740)</f>
        <v/>
      </c>
    </row>
    <row r="741" ht="15" customHeight="1" s="72">
      <c r="F741" s="117">
        <f>IF($C741=0,0,$C741-$D741)</f>
        <v/>
      </c>
    </row>
    <row r="742" ht="15" customHeight="1" s="72">
      <c r="F742" s="117">
        <f>IF($C742=0,0,$C742-$D742)</f>
        <v/>
      </c>
    </row>
    <row r="743" ht="15" customHeight="1" s="72">
      <c r="F743" s="117">
        <f>IF($C743=0,0,$C743-$D743)</f>
        <v/>
      </c>
    </row>
    <row r="744" ht="15" customHeight="1" s="72">
      <c r="F744" s="117">
        <f>IF($C744=0,0,$C744-$D744)</f>
        <v/>
      </c>
    </row>
    <row r="745" ht="15" customHeight="1" s="72">
      <c r="F745" s="117">
        <f>IF($C745=0,0,$C745-$D745)</f>
        <v/>
      </c>
    </row>
    <row r="746" ht="15" customHeight="1" s="72">
      <c r="F746" s="117">
        <f>IF($C746=0,0,$C746-$D746)</f>
        <v/>
      </c>
    </row>
    <row r="747" ht="15" customHeight="1" s="72">
      <c r="F747" s="117">
        <f>IF($C747=0,0,$C747-$D747)</f>
        <v/>
      </c>
    </row>
    <row r="748" ht="15" customHeight="1" s="72">
      <c r="F748" s="117">
        <f>IF($C748=0,0,$C748-$D748)</f>
        <v/>
      </c>
    </row>
    <row r="749" ht="15" customHeight="1" s="72">
      <c r="F749" s="117">
        <f>IF($C749=0,0,$C749-$D749)</f>
        <v/>
      </c>
    </row>
    <row r="750" ht="15" customHeight="1" s="72">
      <c r="F750" s="117">
        <f>IF($C750=0,0,$C750-$D750)</f>
        <v/>
      </c>
    </row>
    <row r="751" ht="15" customHeight="1" s="72">
      <c r="F751" s="117">
        <f>IF($C751=0,0,$C751-$D751)</f>
        <v/>
      </c>
    </row>
    <row r="752" ht="15" customHeight="1" s="72">
      <c r="F752" s="117">
        <f>IF($C752=0,0,$C752-$D752)</f>
        <v/>
      </c>
    </row>
    <row r="753" ht="15" customHeight="1" s="72">
      <c r="F753" s="117">
        <f>IF($C753=0,0,$C753-$D753)</f>
        <v/>
      </c>
    </row>
    <row r="754" ht="15" customHeight="1" s="72">
      <c r="F754" s="117">
        <f>IF($C754=0,0,$C754-$D754)</f>
        <v/>
      </c>
    </row>
    <row r="755" ht="15" customHeight="1" s="72">
      <c r="F755" s="117">
        <f>IF($C755=0,0,$C755-$D755)</f>
        <v/>
      </c>
    </row>
    <row r="756" ht="15" customHeight="1" s="72">
      <c r="F756" s="117">
        <f>IF($C756=0,0,$C756-$D756)</f>
        <v/>
      </c>
    </row>
    <row r="757" ht="15" customHeight="1" s="72">
      <c r="F757" s="117">
        <f>IF($C757=0,0,$C757-$D757)</f>
        <v/>
      </c>
    </row>
    <row r="758" ht="15" customHeight="1" s="72">
      <c r="F758" s="117">
        <f>IF($C758=0,0,$C758-$D758)</f>
        <v/>
      </c>
    </row>
    <row r="759" ht="15" customHeight="1" s="72">
      <c r="F759" s="117">
        <f>IF($C759=0,0,$C759-$D759)</f>
        <v/>
      </c>
    </row>
    <row r="760" ht="15" customHeight="1" s="72">
      <c r="F760" s="117">
        <f>IF($C760=0,0,$C760-$D760)</f>
        <v/>
      </c>
    </row>
    <row r="761" ht="15" customHeight="1" s="72">
      <c r="F761" s="117">
        <f>IF($C761=0,0,$C761-$D761)</f>
        <v/>
      </c>
    </row>
    <row r="762" ht="15" customHeight="1" s="72">
      <c r="F762" s="117">
        <f>IF($C762=0,0,$C762-$D762)</f>
        <v/>
      </c>
    </row>
    <row r="763" ht="15" customHeight="1" s="72">
      <c r="F763" s="117">
        <f>IF($C763=0,0,$C763-$D763)</f>
        <v/>
      </c>
    </row>
    <row r="764" ht="15" customHeight="1" s="72">
      <c r="F764" s="117">
        <f>IF($C764=0,0,$C764-$D764)</f>
        <v/>
      </c>
    </row>
    <row r="765" ht="15" customHeight="1" s="72">
      <c r="F765" s="117">
        <f>IF($C765=0,0,$C765-$D765)</f>
        <v/>
      </c>
    </row>
    <row r="766" ht="15" customHeight="1" s="72">
      <c r="F766" s="117">
        <f>IF($C766=0,0,$C766-$D766)</f>
        <v/>
      </c>
    </row>
    <row r="767" ht="15" customHeight="1" s="72">
      <c r="F767" s="117">
        <f>IF($C767=0,0,$C767-$D767)</f>
        <v/>
      </c>
    </row>
    <row r="768" ht="15" customHeight="1" s="72">
      <c r="F768" s="117">
        <f>IF($C768=0,0,$C768-$D768)</f>
        <v/>
      </c>
    </row>
    <row r="769" ht="15" customHeight="1" s="72">
      <c r="F769" s="117">
        <f>IF($C769=0,0,$C769-$D769)</f>
        <v/>
      </c>
    </row>
    <row r="770" ht="15" customHeight="1" s="72">
      <c r="F770" s="117">
        <f>IF($C770=0,0,$C770-$D770)</f>
        <v/>
      </c>
    </row>
    <row r="771" ht="15" customHeight="1" s="72">
      <c r="F771" s="117">
        <f>IF($C771=0,0,$C771-$D771)</f>
        <v/>
      </c>
    </row>
    <row r="772" ht="15" customHeight="1" s="72">
      <c r="F772" s="117">
        <f>IF($C772=0,0,$C772-$D772)</f>
        <v/>
      </c>
    </row>
    <row r="773" ht="15" customHeight="1" s="72">
      <c r="F773" s="117">
        <f>IF($C773=0,0,$C773-$D773)</f>
        <v/>
      </c>
    </row>
    <row r="774" ht="15" customHeight="1" s="72">
      <c r="F774" s="117">
        <f>IF($C774=0,0,$C774-$D774)</f>
        <v/>
      </c>
    </row>
    <row r="775" ht="15" customHeight="1" s="72">
      <c r="F775" s="117">
        <f>IF($C775=0,0,$C775-$D775)</f>
        <v/>
      </c>
    </row>
    <row r="776" ht="15" customHeight="1" s="72">
      <c r="F776" s="117">
        <f>IF($C776=0,0,$C776-$D776)</f>
        <v/>
      </c>
    </row>
    <row r="777" ht="15" customHeight="1" s="72">
      <c r="F777" s="117">
        <f>IF($C777=0,0,$C777-$D777)</f>
        <v/>
      </c>
    </row>
    <row r="778" ht="15" customHeight="1" s="72">
      <c r="F778" s="117">
        <f>IF($C778=0,0,$C778-$D778)</f>
        <v/>
      </c>
    </row>
    <row r="779" ht="15" customHeight="1" s="72">
      <c r="F779" s="117">
        <f>IF($C779=0,0,$C779-$D779)</f>
        <v/>
      </c>
    </row>
    <row r="780" ht="15" customHeight="1" s="72">
      <c r="F780" s="117">
        <f>IF($C780=0,0,$C780-$D780)</f>
        <v/>
      </c>
    </row>
    <row r="781" ht="15" customHeight="1" s="72">
      <c r="F781" s="117">
        <f>IF($C781=0,0,$C781-$D781)</f>
        <v/>
      </c>
    </row>
    <row r="782" ht="15" customHeight="1" s="72">
      <c r="F782" s="117">
        <f>IF($C782=0,0,$C782-$D782)</f>
        <v/>
      </c>
    </row>
    <row r="783" ht="15" customHeight="1" s="72">
      <c r="F783" s="117">
        <f>IF($C783=0,0,$C783-$D783)</f>
        <v/>
      </c>
    </row>
    <row r="784" ht="15" customHeight="1" s="72">
      <c r="F784" s="117">
        <f>IF($C784=0,0,$C784-$D784)</f>
        <v/>
      </c>
    </row>
    <row r="785" ht="15" customHeight="1" s="72">
      <c r="F785" s="117">
        <f>IF($C785=0,0,$C785-$D785)</f>
        <v/>
      </c>
    </row>
    <row r="786" ht="15" customHeight="1" s="72">
      <c r="F786" s="117">
        <f>IF($C786=0,0,$C786-$D786)</f>
        <v/>
      </c>
    </row>
    <row r="787" ht="15" customHeight="1" s="72">
      <c r="F787" s="117">
        <f>IF($C787=0,0,$C787-$D787)</f>
        <v/>
      </c>
    </row>
    <row r="788" ht="15" customHeight="1" s="72">
      <c r="F788" s="117">
        <f>IF($C788=0,0,$C788-$D788)</f>
        <v/>
      </c>
    </row>
    <row r="789" ht="15" customHeight="1" s="72">
      <c r="F789" s="117">
        <f>IF($C789=0,0,$C789-$D789)</f>
        <v/>
      </c>
    </row>
    <row r="790" ht="15" customHeight="1" s="72">
      <c r="F790" s="117">
        <f>IF($C790=0,0,$C790-$D790)</f>
        <v/>
      </c>
    </row>
    <row r="791" ht="15" customHeight="1" s="72">
      <c r="F791" s="117">
        <f>IF($C791=0,0,$C791-$D791)</f>
        <v/>
      </c>
    </row>
    <row r="792" ht="15" customHeight="1" s="72">
      <c r="F792" s="117">
        <f>IF($C792=0,0,$C792-$D792)</f>
        <v/>
      </c>
    </row>
    <row r="793" ht="15" customHeight="1" s="72">
      <c r="F793" s="117">
        <f>IF($C793=0,0,$C793-$D793)</f>
        <v/>
      </c>
    </row>
    <row r="794" ht="15" customHeight="1" s="72">
      <c r="F794" s="117">
        <f>IF($C794=0,0,$C794-$D794)</f>
        <v/>
      </c>
    </row>
    <row r="795" ht="15" customHeight="1" s="72">
      <c r="F795" s="117">
        <f>IF($C795=0,0,$C795-$D795)</f>
        <v/>
      </c>
    </row>
    <row r="796" ht="15" customHeight="1" s="72">
      <c r="F796" s="117">
        <f>IF($C796=0,0,$C796-$D796)</f>
        <v/>
      </c>
    </row>
    <row r="797" ht="15" customHeight="1" s="72">
      <c r="F797" s="117">
        <f>IF($C797=0,0,$C797-$D797)</f>
        <v/>
      </c>
    </row>
    <row r="798" ht="15" customHeight="1" s="72">
      <c r="F798" s="117">
        <f>IF($C798=0,0,$C798-$D798)</f>
        <v/>
      </c>
    </row>
    <row r="799" ht="15" customHeight="1" s="72">
      <c r="F799" s="117">
        <f>IF($C799=0,0,$C799-$D799)</f>
        <v/>
      </c>
    </row>
    <row r="800" ht="15" customHeight="1" s="72">
      <c r="F800" s="117">
        <f>IF($C800=0,0,$C800-$D800)</f>
        <v/>
      </c>
    </row>
    <row r="801" ht="15" customHeight="1" s="72">
      <c r="F801" s="117">
        <f>IF($C801=0,0,$C801-$D801)</f>
        <v/>
      </c>
    </row>
    <row r="802" ht="15" customHeight="1" s="72">
      <c r="F802" s="117">
        <f>IF($C802=0,0,$C802-$D802)</f>
        <v/>
      </c>
    </row>
    <row r="803" ht="15" customHeight="1" s="72">
      <c r="F803" s="117">
        <f>IF($C803=0,0,$C803-$D803)</f>
        <v/>
      </c>
    </row>
    <row r="804" ht="15" customHeight="1" s="72">
      <c r="F804" s="117">
        <f>IF($C804=0,0,$C804-$D804)</f>
        <v/>
      </c>
    </row>
    <row r="805" ht="15" customHeight="1" s="72">
      <c r="F805" s="117">
        <f>IF($C805=0,0,$C805-$D805)</f>
        <v/>
      </c>
    </row>
    <row r="806" ht="15" customHeight="1" s="72">
      <c r="F806" s="117">
        <f>IF($C806=0,0,$C806-$D806)</f>
        <v/>
      </c>
    </row>
    <row r="807" ht="15" customHeight="1" s="72">
      <c r="F807" s="117">
        <f>IF($C807=0,0,$C807-$D807)</f>
        <v/>
      </c>
    </row>
    <row r="808" ht="15" customHeight="1" s="72">
      <c r="F808" s="117">
        <f>IF($C808=0,0,$C808-$D808)</f>
        <v/>
      </c>
    </row>
    <row r="809" ht="15" customHeight="1" s="72">
      <c r="F809" s="117">
        <f>IF($C809=0,0,$C809-$D809)</f>
        <v/>
      </c>
    </row>
    <row r="810" ht="15" customHeight="1" s="72">
      <c r="F810" s="117">
        <f>IF($C810=0,0,$C810-$D810)</f>
        <v/>
      </c>
    </row>
    <row r="811" ht="15" customHeight="1" s="72">
      <c r="F811" s="117">
        <f>IF($C811=0,0,$C811-$D811)</f>
        <v/>
      </c>
    </row>
    <row r="812" ht="15" customHeight="1" s="72">
      <c r="F812" s="117">
        <f>IF($C812=0,0,$C812-$D812)</f>
        <v/>
      </c>
    </row>
    <row r="813" ht="15" customHeight="1" s="72">
      <c r="F813" s="117">
        <f>IF($C813=0,0,$C813-$D813)</f>
        <v/>
      </c>
    </row>
    <row r="814" ht="15" customHeight="1" s="72">
      <c r="F814" s="117">
        <f>IF($C814=0,0,$C814-$D814)</f>
        <v/>
      </c>
    </row>
    <row r="815" ht="15" customHeight="1" s="72">
      <c r="F815" s="117">
        <f>IF($C815=0,0,$C815-$D815)</f>
        <v/>
      </c>
    </row>
    <row r="816" ht="15" customHeight="1" s="72">
      <c r="F816" s="117">
        <f>IF($C816=0,0,$C816-$D816)</f>
        <v/>
      </c>
    </row>
    <row r="817" ht="15" customHeight="1" s="72">
      <c r="F817" s="117">
        <f>IF($C817=0,0,$C817-$D817)</f>
        <v/>
      </c>
    </row>
    <row r="818" ht="15" customHeight="1" s="72">
      <c r="F818" s="117">
        <f>IF($C818=0,0,$C818-$D818)</f>
        <v/>
      </c>
    </row>
    <row r="819" ht="15" customHeight="1" s="72">
      <c r="F819" s="117">
        <f>IF($C819=0,0,$C819-$D819)</f>
        <v/>
      </c>
    </row>
    <row r="820" ht="15" customHeight="1" s="72">
      <c r="F820" s="117">
        <f>IF($C820=0,0,$C820-$D820)</f>
        <v/>
      </c>
    </row>
    <row r="821" ht="15" customHeight="1" s="72">
      <c r="F821" s="117">
        <f>IF($C821=0,0,$C821-$D821)</f>
        <v/>
      </c>
    </row>
    <row r="822" ht="15" customHeight="1" s="72">
      <c r="F822" s="117">
        <f>IF($C822=0,0,$C822-$D822)</f>
        <v/>
      </c>
    </row>
    <row r="823" ht="15" customHeight="1" s="72">
      <c r="F823" s="117">
        <f>IF($C823=0,0,$C823-$D823)</f>
        <v/>
      </c>
    </row>
    <row r="824" ht="15" customHeight="1" s="72">
      <c r="F824" s="117">
        <f>IF($C824=0,0,$C824-$D824)</f>
        <v/>
      </c>
    </row>
    <row r="825" ht="15" customHeight="1" s="72">
      <c r="F825" s="117">
        <f>IF($C825=0,0,$C825-$D825)</f>
        <v/>
      </c>
    </row>
    <row r="826" ht="15" customHeight="1" s="72">
      <c r="F826" s="117">
        <f>IF($C826=0,0,$C826-$D826)</f>
        <v/>
      </c>
    </row>
    <row r="827" ht="15" customHeight="1" s="72">
      <c r="F827" s="117">
        <f>IF($C827=0,0,$C827-$D827)</f>
        <v/>
      </c>
    </row>
    <row r="828" ht="15" customHeight="1" s="72">
      <c r="F828" s="117">
        <f>IF($C828=0,0,$C828-$D828)</f>
        <v/>
      </c>
    </row>
    <row r="829" ht="15" customHeight="1" s="72">
      <c r="F829" s="117">
        <f>IF($C829=0,0,$C829-$D829)</f>
        <v/>
      </c>
    </row>
    <row r="830" ht="15" customHeight="1" s="72">
      <c r="F830" s="117">
        <f>IF($C830=0,0,$C830-$D830)</f>
        <v/>
      </c>
    </row>
    <row r="831" ht="15" customHeight="1" s="72">
      <c r="F831" s="117">
        <f>IF($C831=0,0,$C831-$D831)</f>
        <v/>
      </c>
    </row>
    <row r="832" ht="15" customHeight="1" s="72">
      <c r="F832" s="117">
        <f>IF($C832=0,0,$C832-$D832)</f>
        <v/>
      </c>
    </row>
    <row r="833" ht="15" customHeight="1" s="72">
      <c r="F833" s="117">
        <f>IF($C833=0,0,$C833-$D833)</f>
        <v/>
      </c>
    </row>
    <row r="834" ht="15" customHeight="1" s="72">
      <c r="F834" s="117">
        <f>IF($C834=0,0,$C834-$D834)</f>
        <v/>
      </c>
    </row>
    <row r="835" ht="15" customHeight="1" s="72">
      <c r="F835" s="117">
        <f>IF($C835=0,0,$C835-$D835)</f>
        <v/>
      </c>
    </row>
    <row r="836" ht="15" customHeight="1" s="72">
      <c r="F836" s="117">
        <f>IF($C836=0,0,$C836-$D836)</f>
        <v/>
      </c>
    </row>
    <row r="837" ht="15" customHeight="1" s="72">
      <c r="F837" s="117">
        <f>IF($C837=0,0,$C837-$D837)</f>
        <v/>
      </c>
    </row>
    <row r="838" ht="15" customHeight="1" s="72">
      <c r="F838" s="117">
        <f>IF($C838=0,0,$C838-$D838)</f>
        <v/>
      </c>
    </row>
    <row r="839" ht="15" customHeight="1" s="72">
      <c r="F839" s="117">
        <f>IF($C839=0,0,$C839-$D839)</f>
        <v/>
      </c>
    </row>
    <row r="840" ht="15" customHeight="1" s="72">
      <c r="F840" s="117">
        <f>IF($C840=0,0,$C840-$D840)</f>
        <v/>
      </c>
    </row>
    <row r="841" ht="15" customHeight="1" s="72">
      <c r="F841" s="117">
        <f>IF($C841=0,0,$C841-$D841)</f>
        <v/>
      </c>
    </row>
    <row r="842" ht="15" customHeight="1" s="72">
      <c r="F842" s="117">
        <f>IF($C842=0,0,$C842-$D842)</f>
        <v/>
      </c>
    </row>
    <row r="843" ht="15" customHeight="1" s="72">
      <c r="F843" s="117">
        <f>IF($C843=0,0,$C843-$D843)</f>
        <v/>
      </c>
    </row>
    <row r="844" ht="15" customHeight="1" s="72">
      <c r="F844" s="117">
        <f>IF($C844=0,0,$C844-$D844)</f>
        <v/>
      </c>
    </row>
    <row r="845" ht="15" customHeight="1" s="72">
      <c r="F845" s="117">
        <f>IF($C845=0,0,$C845-$D845)</f>
        <v/>
      </c>
    </row>
    <row r="846" ht="15" customHeight="1" s="72">
      <c r="F846" s="117">
        <f>IF($C846=0,0,$C846-$D846)</f>
        <v/>
      </c>
    </row>
    <row r="847" ht="15" customHeight="1" s="72">
      <c r="F847" s="117">
        <f>IF($C847=0,0,$C847-$D847)</f>
        <v/>
      </c>
    </row>
    <row r="848" ht="15" customHeight="1" s="72">
      <c r="F848" s="117">
        <f>IF($C848=0,0,$C848-$D848)</f>
        <v/>
      </c>
    </row>
    <row r="849" ht="15" customHeight="1" s="72">
      <c r="F849" s="117">
        <f>IF($C849=0,0,$C849-$D849)</f>
        <v/>
      </c>
    </row>
    <row r="850" ht="15" customHeight="1" s="72">
      <c r="F850" s="117">
        <f>IF($C850=0,0,$C850-$D850)</f>
        <v/>
      </c>
    </row>
    <row r="851" ht="15" customHeight="1" s="72">
      <c r="F851" s="117">
        <f>IF($C851=0,0,$C851-$D851)</f>
        <v/>
      </c>
    </row>
    <row r="852" ht="15" customHeight="1" s="72">
      <c r="F852" s="117">
        <f>IF($C852=0,0,$C852-$D852)</f>
        <v/>
      </c>
    </row>
    <row r="853" ht="15" customHeight="1" s="72">
      <c r="F853" s="117">
        <f>IF($C853=0,0,$C853-$D853)</f>
        <v/>
      </c>
    </row>
    <row r="854" ht="15" customHeight="1" s="72">
      <c r="F854" s="117">
        <f>IF($C854=0,0,$C854-$D854)</f>
        <v/>
      </c>
    </row>
    <row r="855" ht="15" customHeight="1" s="72">
      <c r="F855" s="117">
        <f>IF($C855=0,0,$C855-$D855)</f>
        <v/>
      </c>
    </row>
    <row r="856" ht="15" customHeight="1" s="72">
      <c r="F856" s="117">
        <f>IF($C856=0,0,$C856-$D856)</f>
        <v/>
      </c>
    </row>
    <row r="857" ht="15" customHeight="1" s="72">
      <c r="F857" s="117">
        <f>IF($C857=0,0,$C857-$D857)</f>
        <v/>
      </c>
    </row>
    <row r="858" ht="15" customHeight="1" s="72">
      <c r="F858" s="117">
        <f>IF($C858=0,0,$C858-$D858)</f>
        <v/>
      </c>
    </row>
    <row r="859" ht="15" customHeight="1" s="72">
      <c r="F859" s="117">
        <f>IF($C859=0,0,$C859-$D859)</f>
        <v/>
      </c>
    </row>
    <row r="860" ht="15" customHeight="1" s="72">
      <c r="F860" s="117">
        <f>IF($C860=0,0,$C860-$D860)</f>
        <v/>
      </c>
    </row>
    <row r="861" ht="15" customHeight="1" s="72">
      <c r="F861" s="117">
        <f>IF($C861=0,0,$C861-$D861)</f>
        <v/>
      </c>
    </row>
    <row r="862" ht="15" customHeight="1" s="72">
      <c r="F862" s="117">
        <f>IF($C862=0,0,$C862-$D862)</f>
        <v/>
      </c>
    </row>
    <row r="863" ht="15" customHeight="1" s="72">
      <c r="F863" s="117">
        <f>IF($C863=0,0,$C863-$D863)</f>
        <v/>
      </c>
    </row>
    <row r="864" ht="15" customHeight="1" s="72">
      <c r="F864" s="117">
        <f>IF($C864=0,0,$C864-$D864)</f>
        <v/>
      </c>
    </row>
    <row r="865" ht="15" customHeight="1" s="72">
      <c r="F865" s="117">
        <f>IF($C865=0,0,$C865-$D865)</f>
        <v/>
      </c>
    </row>
    <row r="866" ht="15" customHeight="1" s="72">
      <c r="F866" s="117">
        <f>IF($C866=0,0,$C866-$D866)</f>
        <v/>
      </c>
    </row>
    <row r="867" ht="15" customHeight="1" s="72">
      <c r="F867" s="117">
        <f>IF($C867=0,0,$C867-$D867)</f>
        <v/>
      </c>
    </row>
    <row r="868" ht="15" customHeight="1" s="72">
      <c r="F868" s="117">
        <f>IF($C868=0,0,$C868-$D868)</f>
        <v/>
      </c>
    </row>
    <row r="869" ht="15" customHeight="1" s="72">
      <c r="F869" s="117">
        <f>IF($C869=0,0,$C869-$D869)</f>
        <v/>
      </c>
    </row>
    <row r="870" ht="15" customHeight="1" s="72">
      <c r="F870" s="117">
        <f>IF($C870=0,0,$C870-$D870)</f>
        <v/>
      </c>
    </row>
    <row r="871" ht="15" customHeight="1" s="72">
      <c r="F871" s="117">
        <f>IF($C871=0,0,$C871-$D871)</f>
        <v/>
      </c>
    </row>
    <row r="872" ht="15" customHeight="1" s="72">
      <c r="F872" s="117">
        <f>IF($C872=0,0,$C872-$D872)</f>
        <v/>
      </c>
    </row>
    <row r="873" ht="15" customHeight="1" s="72">
      <c r="F873" s="117">
        <f>IF($C873=0,0,$C873-$D873)</f>
        <v/>
      </c>
    </row>
    <row r="874" ht="15" customHeight="1" s="72">
      <c r="F874" s="117">
        <f>IF($C874=0,0,$C874-$D874)</f>
        <v/>
      </c>
    </row>
    <row r="875" ht="15" customHeight="1" s="72">
      <c r="F875" s="117">
        <f>IF($C875=0,0,$C875-$D875)</f>
        <v/>
      </c>
    </row>
    <row r="876" ht="15" customHeight="1" s="72">
      <c r="F876" s="117">
        <f>IF($C876=0,0,$C876-$D876)</f>
        <v/>
      </c>
    </row>
    <row r="877" ht="15" customHeight="1" s="72">
      <c r="F877" s="117">
        <f>IF($C877=0,0,$C877-$D877)</f>
        <v/>
      </c>
    </row>
    <row r="878" ht="15" customHeight="1" s="72">
      <c r="F878" s="117">
        <f>IF($C878=0,0,$C878-$D878)</f>
        <v/>
      </c>
    </row>
    <row r="879" ht="15" customHeight="1" s="72">
      <c r="F879" s="117">
        <f>IF($C879=0,0,$C879-$D879)</f>
        <v/>
      </c>
    </row>
    <row r="880" ht="15" customHeight="1" s="72">
      <c r="F880" s="117">
        <f>IF($C880=0,0,$C880-$D880)</f>
        <v/>
      </c>
    </row>
    <row r="881" ht="15" customHeight="1" s="72">
      <c r="F881" s="117">
        <f>IF($C881=0,0,$C881-$D881)</f>
        <v/>
      </c>
    </row>
    <row r="882" ht="15" customHeight="1" s="72">
      <c r="F882" s="117">
        <f>IF($C882=0,0,$C882-$D882)</f>
        <v/>
      </c>
    </row>
    <row r="883" ht="15" customHeight="1" s="72">
      <c r="F883" s="117">
        <f>IF($C883=0,0,$C883-$D883)</f>
        <v/>
      </c>
    </row>
    <row r="884" ht="15" customHeight="1" s="72">
      <c r="F884" s="117">
        <f>IF($C884=0,0,$C884-$D884)</f>
        <v/>
      </c>
    </row>
    <row r="885" ht="15" customHeight="1" s="72">
      <c r="F885" s="117">
        <f>IF($C885=0,0,$C885-$D885)</f>
        <v/>
      </c>
    </row>
    <row r="886" ht="15" customHeight="1" s="72">
      <c r="F886" s="117">
        <f>IF($C886=0,0,$C886-$D886)</f>
        <v/>
      </c>
    </row>
    <row r="887" ht="15" customHeight="1" s="72">
      <c r="F887" s="117">
        <f>IF($C887=0,0,$C887-$D887)</f>
        <v/>
      </c>
    </row>
    <row r="888" ht="15" customHeight="1" s="72">
      <c r="F888" s="117">
        <f>IF($C888=0,0,$C888-$D888)</f>
        <v/>
      </c>
    </row>
    <row r="889" ht="15" customHeight="1" s="72">
      <c r="F889" s="117">
        <f>IF($C889=0,0,$C889-$D889)</f>
        <v/>
      </c>
    </row>
    <row r="890" ht="15" customHeight="1" s="72">
      <c r="F890" s="117">
        <f>IF($C890=0,0,$C890-$D890)</f>
        <v/>
      </c>
    </row>
    <row r="891" ht="15" customHeight="1" s="72">
      <c r="F891" s="117">
        <f>IF($C891=0,0,$C891-$D891)</f>
        <v/>
      </c>
    </row>
    <row r="892" ht="15" customHeight="1" s="72">
      <c r="F892" s="117">
        <f>IF($C892=0,0,$C892-$D892)</f>
        <v/>
      </c>
    </row>
    <row r="893" ht="15" customHeight="1" s="72">
      <c r="F893" s="117">
        <f>IF($C893=0,0,$C893-$D893)</f>
        <v/>
      </c>
    </row>
    <row r="894" ht="15" customHeight="1" s="72">
      <c r="F894" s="117">
        <f>IF($C894=0,0,$C894-$D894)</f>
        <v/>
      </c>
    </row>
    <row r="895" ht="15" customHeight="1" s="72">
      <c r="F895" s="117">
        <f>IF($C895=0,0,$C895-$D895)</f>
        <v/>
      </c>
    </row>
    <row r="896" ht="15" customHeight="1" s="72">
      <c r="F896" s="117">
        <f>IF($C896=0,0,$C896-$D896)</f>
        <v/>
      </c>
    </row>
    <row r="897" ht="15" customHeight="1" s="72">
      <c r="F897" s="117">
        <f>IF($C897=0,0,$C897-$D897)</f>
        <v/>
      </c>
    </row>
    <row r="898" ht="15" customHeight="1" s="72">
      <c r="F898" s="117">
        <f>IF($C898=0,0,$C898-$D898)</f>
        <v/>
      </c>
    </row>
    <row r="899" ht="15" customHeight="1" s="72">
      <c r="F899" s="117">
        <f>IF($C899=0,0,$C899-$D899)</f>
        <v/>
      </c>
    </row>
    <row r="900" ht="15" customHeight="1" s="72">
      <c r="F900" s="117">
        <f>IF($C900=0,0,$C900-$D900)</f>
        <v/>
      </c>
    </row>
    <row r="901" ht="15" customHeight="1" s="72">
      <c r="F901" s="117">
        <f>IF($C901=0,0,$C901-$D901)</f>
        <v/>
      </c>
    </row>
    <row r="902" ht="15" customHeight="1" s="72">
      <c r="F902" s="117">
        <f>IF($C902=0,0,$C902-$D902)</f>
        <v/>
      </c>
    </row>
    <row r="903" ht="15" customHeight="1" s="72">
      <c r="F903" s="117">
        <f>IF($C903=0,0,$C903-$D903)</f>
        <v/>
      </c>
    </row>
    <row r="904" ht="15" customHeight="1" s="72">
      <c r="F904" s="117">
        <f>IF($C904=0,0,$C904-$D904)</f>
        <v/>
      </c>
    </row>
    <row r="905" ht="15" customHeight="1" s="72">
      <c r="F905" s="117">
        <f>IF($C905=0,0,$C905-$D905)</f>
        <v/>
      </c>
    </row>
    <row r="906" ht="15" customHeight="1" s="72">
      <c r="F906" s="117">
        <f>IF($C906=0,0,$C906-$D906)</f>
        <v/>
      </c>
    </row>
    <row r="907" ht="15" customHeight="1" s="72">
      <c r="F907" s="117">
        <f>IF($C907=0,0,$C907-$D907)</f>
        <v/>
      </c>
    </row>
    <row r="908" ht="15" customHeight="1" s="72">
      <c r="F908" s="117">
        <f>IF($C908=0,0,$C908-$D908)</f>
        <v/>
      </c>
    </row>
    <row r="909" ht="15" customHeight="1" s="72">
      <c r="F909" s="117">
        <f>IF($C909=0,0,$C909-$D909)</f>
        <v/>
      </c>
    </row>
    <row r="910" ht="15" customHeight="1" s="72">
      <c r="F910" s="117">
        <f>IF($C910=0,0,$C910-$D910)</f>
        <v/>
      </c>
    </row>
    <row r="911" ht="15" customHeight="1" s="72">
      <c r="F911" s="117">
        <f>IF($C911=0,0,$C911-$D911)</f>
        <v/>
      </c>
    </row>
    <row r="912" ht="15" customHeight="1" s="72">
      <c r="F912" s="117">
        <f>IF($C912=0,0,$C912-$D912)</f>
        <v/>
      </c>
    </row>
    <row r="913" ht="15" customHeight="1" s="72">
      <c r="F913" s="117">
        <f>IF($C913=0,0,$C913-$D913)</f>
        <v/>
      </c>
    </row>
    <row r="914" ht="15" customHeight="1" s="72">
      <c r="F914" s="117">
        <f>IF($C914=0,0,$C914-$D914)</f>
        <v/>
      </c>
    </row>
    <row r="915" ht="15" customHeight="1" s="72">
      <c r="F915" s="117">
        <f>IF($C915=0,0,$C915-$D915)</f>
        <v/>
      </c>
    </row>
    <row r="916" ht="15" customHeight="1" s="72">
      <c r="F916" s="117">
        <f>IF($C916=0,0,$C916-$D916)</f>
        <v/>
      </c>
    </row>
    <row r="917" ht="15" customHeight="1" s="72">
      <c r="F917" s="117">
        <f>IF($C917=0,0,$C917-$D917)</f>
        <v/>
      </c>
    </row>
    <row r="918" ht="15" customHeight="1" s="72">
      <c r="F918" s="117">
        <f>IF($C918=0,0,$C918-$D918)</f>
        <v/>
      </c>
    </row>
    <row r="919" ht="15" customHeight="1" s="72">
      <c r="F919" s="117">
        <f>IF($C919=0,0,$C919-$D919)</f>
        <v/>
      </c>
    </row>
    <row r="920" ht="15" customHeight="1" s="72">
      <c r="F920" s="117">
        <f>IF($C920=0,0,$C920-$D920)</f>
        <v/>
      </c>
    </row>
    <row r="921" ht="15" customHeight="1" s="72">
      <c r="F921" s="117">
        <f>IF($C921=0,0,$C921-$D921)</f>
        <v/>
      </c>
    </row>
    <row r="922" ht="15" customHeight="1" s="72">
      <c r="F922" s="117">
        <f>IF($C922=0,0,$C922-$D922)</f>
        <v/>
      </c>
    </row>
    <row r="923" ht="15" customHeight="1" s="72">
      <c r="F923" s="117">
        <f>IF($C923=0,0,$C923-$D923)</f>
        <v/>
      </c>
    </row>
    <row r="924" ht="15" customHeight="1" s="72">
      <c r="F924" s="117">
        <f>IF($C924=0,0,$C924-$D924)</f>
        <v/>
      </c>
    </row>
    <row r="925" ht="15" customHeight="1" s="72">
      <c r="F925" s="117">
        <f>IF($C925=0,0,$C925-$D925)</f>
        <v/>
      </c>
    </row>
    <row r="926" ht="15" customHeight="1" s="72">
      <c r="F926" s="117">
        <f>IF($C926=0,0,$C926-$D926)</f>
        <v/>
      </c>
    </row>
    <row r="927" ht="15" customHeight="1" s="72">
      <c r="F927" s="117">
        <f>IF($C927=0,0,$C927-$D927)</f>
        <v/>
      </c>
    </row>
    <row r="928" ht="15" customHeight="1" s="72">
      <c r="F928" s="117">
        <f>IF($C928=0,0,$C928-$D928)</f>
        <v/>
      </c>
    </row>
    <row r="929" ht="15" customHeight="1" s="72">
      <c r="F929" s="117">
        <f>IF($C929=0,0,$C929-$D929)</f>
        <v/>
      </c>
    </row>
    <row r="930" ht="15" customHeight="1" s="72">
      <c r="F930" s="117">
        <f>IF($C930=0,0,$C930-$D930)</f>
        <v/>
      </c>
    </row>
    <row r="931" ht="15" customHeight="1" s="72">
      <c r="F931" s="117">
        <f>IF($C931=0,0,$C931-$D931)</f>
        <v/>
      </c>
    </row>
    <row r="932" ht="15" customHeight="1" s="72">
      <c r="F932" s="117">
        <f>IF($C932=0,0,$C932-$D932)</f>
        <v/>
      </c>
    </row>
    <row r="933" ht="15" customHeight="1" s="72">
      <c r="F933" s="117">
        <f>IF($C933=0,0,$C933-$D933)</f>
        <v/>
      </c>
    </row>
    <row r="934" ht="15" customHeight="1" s="72">
      <c r="F934" s="117">
        <f>IF($C934=0,0,$C934-$D934)</f>
        <v/>
      </c>
    </row>
    <row r="935" ht="15" customHeight="1" s="72">
      <c r="F935" s="117">
        <f>IF($C935=0,0,$C935-$D935)</f>
        <v/>
      </c>
    </row>
    <row r="936" ht="15" customHeight="1" s="72">
      <c r="F936" s="117">
        <f>IF($C936=0,0,$C936-$D936)</f>
        <v/>
      </c>
    </row>
    <row r="937" ht="15" customHeight="1" s="72">
      <c r="F937" s="117">
        <f>IF($C937=0,0,$C937-$D937)</f>
        <v/>
      </c>
    </row>
    <row r="938" ht="15" customHeight="1" s="72">
      <c r="F938" s="117">
        <f>IF($C938=0,0,$C938-$D938)</f>
        <v/>
      </c>
    </row>
    <row r="939" ht="15" customHeight="1" s="72">
      <c r="F939" s="117">
        <f>IF($C939=0,0,$C939-$D939)</f>
        <v/>
      </c>
    </row>
    <row r="940" ht="15" customHeight="1" s="72">
      <c r="F940" s="117">
        <f>IF($C940=0,0,$C940-$D940)</f>
        <v/>
      </c>
    </row>
    <row r="941" ht="15" customHeight="1" s="72">
      <c r="F941" s="117">
        <f>IF($C941=0,0,$C941-$D941)</f>
        <v/>
      </c>
    </row>
    <row r="942" ht="15" customHeight="1" s="72">
      <c r="F942" s="117">
        <f>IF($C942=0,0,$C942-$D942)</f>
        <v/>
      </c>
    </row>
    <row r="943" ht="15" customHeight="1" s="72">
      <c r="F943" s="117">
        <f>IF($C943=0,0,$C943-$D943)</f>
        <v/>
      </c>
    </row>
    <row r="944" ht="15" customHeight="1" s="72">
      <c r="F944" s="117">
        <f>IF($C944=0,0,$C944-$D944)</f>
        <v/>
      </c>
    </row>
    <row r="945" ht="15" customHeight="1" s="72">
      <c r="F945" s="117">
        <f>IF($C945=0,0,$C945-$D945)</f>
        <v/>
      </c>
    </row>
    <row r="946" ht="15" customHeight="1" s="72">
      <c r="F946" s="117">
        <f>IF($C946=0,0,$C946-$D946)</f>
        <v/>
      </c>
    </row>
    <row r="947" ht="15" customHeight="1" s="72">
      <c r="F947" s="117">
        <f>IF($C947=0,0,$C947-$D947)</f>
        <v/>
      </c>
    </row>
    <row r="948" ht="15" customHeight="1" s="72">
      <c r="F948" s="117">
        <f>IF($C948=0,0,$C948-$D948)</f>
        <v/>
      </c>
    </row>
    <row r="949" ht="15" customHeight="1" s="72">
      <c r="F949" s="117">
        <f>IF($C949=0,0,$C949-$D949)</f>
        <v/>
      </c>
    </row>
    <row r="950" ht="15" customHeight="1" s="72">
      <c r="F950" s="117">
        <f>IF($C950=0,0,$C950-$D950)</f>
        <v/>
      </c>
    </row>
    <row r="951" ht="15" customHeight="1" s="72">
      <c r="F951" s="117">
        <f>IF($C951=0,0,$C951-$D951)</f>
        <v/>
      </c>
    </row>
    <row r="952" ht="15" customHeight="1" s="72">
      <c r="F952" s="117">
        <f>IF($C952=0,0,$C952-$D952)</f>
        <v/>
      </c>
    </row>
    <row r="953" ht="15" customHeight="1" s="72">
      <c r="F953" s="117">
        <f>IF($C953=0,0,$C953-$D953)</f>
        <v/>
      </c>
    </row>
    <row r="954" ht="15" customHeight="1" s="72">
      <c r="F954" s="117">
        <f>IF($C954=0,0,$C954-$D954)</f>
        <v/>
      </c>
    </row>
    <row r="955" ht="15" customHeight="1" s="72">
      <c r="F955" s="117">
        <f>IF($C955=0,0,$C955-$D955)</f>
        <v/>
      </c>
    </row>
    <row r="956" ht="15" customHeight="1" s="72">
      <c r="F956" s="117">
        <f>IF($C956=0,0,$C956-$D956)</f>
        <v/>
      </c>
    </row>
    <row r="957" ht="15" customHeight="1" s="72">
      <c r="F957" s="117">
        <f>IF($C957=0,0,$C957-$D957)</f>
        <v/>
      </c>
    </row>
    <row r="958" ht="15" customHeight="1" s="72">
      <c r="F958" s="117">
        <f>IF($C958=0,0,$C958-$D958)</f>
        <v/>
      </c>
    </row>
    <row r="959" ht="15" customHeight="1" s="72">
      <c r="F959" s="117">
        <f>IF($C959=0,0,$C959-$D959)</f>
        <v/>
      </c>
    </row>
    <row r="960" ht="15" customHeight="1" s="72">
      <c r="F960" s="117">
        <f>IF($C960=0,0,$C960-$D960)</f>
        <v/>
      </c>
    </row>
    <row r="961" ht="15" customHeight="1" s="72">
      <c r="F961" s="117">
        <f>IF($C961=0,0,$C961-$D961)</f>
        <v/>
      </c>
    </row>
    <row r="962" ht="15" customHeight="1" s="72">
      <c r="F962" s="117">
        <f>IF($C962=0,0,$C962-$D962)</f>
        <v/>
      </c>
    </row>
    <row r="963" ht="15" customHeight="1" s="72">
      <c r="F963" s="117">
        <f>IF($C963=0,0,$C963-$D963)</f>
        <v/>
      </c>
    </row>
    <row r="964" ht="15" customHeight="1" s="72">
      <c r="F964" s="117">
        <f>IF($C964=0,0,$C964-$D964)</f>
        <v/>
      </c>
    </row>
    <row r="965" ht="15" customHeight="1" s="72">
      <c r="F965" s="117">
        <f>IF($C965=0,0,$C965-$D965)</f>
        <v/>
      </c>
    </row>
    <row r="966" ht="15" customHeight="1" s="72">
      <c r="F966" s="117">
        <f>IF($C966=0,0,$C966-$D966)</f>
        <v/>
      </c>
    </row>
    <row r="967" ht="15" customHeight="1" s="72">
      <c r="F967" s="117">
        <f>IF($C967=0,0,$C967-$D967)</f>
        <v/>
      </c>
    </row>
    <row r="968" ht="15" customHeight="1" s="72">
      <c r="F968" s="117">
        <f>IF($C968=0,0,$C968-$D968)</f>
        <v/>
      </c>
    </row>
    <row r="969" ht="15" customHeight="1" s="72">
      <c r="F969" s="117">
        <f>IF($C969=0,0,$C969-$D969)</f>
        <v/>
      </c>
    </row>
    <row r="970" ht="15" customHeight="1" s="72">
      <c r="F970" s="117">
        <f>IF($C970=0,0,$C970-$D970)</f>
        <v/>
      </c>
    </row>
    <row r="971" ht="15" customHeight="1" s="72">
      <c r="F971" s="117">
        <f>IF($C971=0,0,$C971-$D971)</f>
        <v/>
      </c>
    </row>
    <row r="972" ht="15" customHeight="1" s="72">
      <c r="F972" s="117">
        <f>IF($C972=0,0,$C972-$D972)</f>
        <v/>
      </c>
    </row>
    <row r="973" ht="15" customHeight="1" s="72">
      <c r="F973" s="117">
        <f>IF($C973=0,0,$C973-$D973)</f>
        <v/>
      </c>
    </row>
    <row r="974" ht="15" customHeight="1" s="72">
      <c r="F974" s="117">
        <f>IF($C974=0,0,$C974-$D974)</f>
        <v/>
      </c>
    </row>
    <row r="975" ht="15" customHeight="1" s="72">
      <c r="F975" s="117">
        <f>IF($C975=0,0,$C975-$D975)</f>
        <v/>
      </c>
    </row>
    <row r="976" ht="15" customHeight="1" s="72">
      <c r="F976" s="117">
        <f>IF($C976=0,0,$C976-$D976)</f>
        <v/>
      </c>
    </row>
    <row r="977" ht="15" customHeight="1" s="72">
      <c r="F977" s="117">
        <f>IF($C977=0,0,$C977-$D977)</f>
        <v/>
      </c>
    </row>
    <row r="978" ht="15" customHeight="1" s="72">
      <c r="F978" s="117">
        <f>IF($C978=0,0,$C978-$D978)</f>
        <v/>
      </c>
    </row>
    <row r="979" ht="15" customHeight="1" s="72">
      <c r="F979" s="117">
        <f>IF($C979=0,0,$C979-$D979)</f>
        <v/>
      </c>
    </row>
    <row r="980" ht="15" customHeight="1" s="72">
      <c r="F980" s="117">
        <f>IF($C980=0,0,$C980-$D980)</f>
        <v/>
      </c>
    </row>
    <row r="981" ht="15" customHeight="1" s="72">
      <c r="F981" s="117">
        <f>IF($C981=0,0,$C981-$D981)</f>
        <v/>
      </c>
    </row>
    <row r="982" ht="15" customHeight="1" s="72">
      <c r="F982" s="117">
        <f>IF($C982=0,0,$C982-$D982)</f>
        <v/>
      </c>
    </row>
    <row r="983" ht="15" customHeight="1" s="72">
      <c r="F983" s="117">
        <f>IF($C983=0,0,$C983-$D983)</f>
        <v/>
      </c>
    </row>
    <row r="984" ht="15" customHeight="1" s="72">
      <c r="F984" s="117">
        <f>IF($C984=0,0,$C984-$D984)</f>
        <v/>
      </c>
    </row>
    <row r="985" ht="15" customHeight="1" s="72">
      <c r="F985" s="117">
        <f>IF($C985=0,0,$C985-$D985)</f>
        <v/>
      </c>
    </row>
    <row r="986" ht="15" customHeight="1" s="72">
      <c r="F986" s="117">
        <f>IF($C986=0,0,$C986-$D986)</f>
        <v/>
      </c>
    </row>
    <row r="987" ht="15" customHeight="1" s="72">
      <c r="F987" s="117">
        <f>IF($C987=0,0,$C987-$D987)</f>
        <v/>
      </c>
    </row>
    <row r="988" ht="15" customHeight="1" s="72">
      <c r="F988" s="117">
        <f>IF($C988=0,0,$C988-$D988)</f>
        <v/>
      </c>
    </row>
    <row r="989" ht="15" customHeight="1" s="72">
      <c r="F989" s="117">
        <f>IF($C989=0,0,$C989-$D989)</f>
        <v/>
      </c>
    </row>
    <row r="990" ht="15" customHeight="1" s="72">
      <c r="F990" s="117">
        <f>IF($C990=0,0,$C990-$D990)</f>
        <v/>
      </c>
    </row>
    <row r="991" ht="15" customHeight="1" s="72">
      <c r="F991" s="117">
        <f>IF($C991=0,0,$C991-$D991)</f>
        <v/>
      </c>
    </row>
    <row r="992" ht="15" customHeight="1" s="72">
      <c r="F992" s="117">
        <f>IF($C992=0,0,$C992-$D992)</f>
        <v/>
      </c>
    </row>
    <row r="993" ht="15" customHeight="1" s="72">
      <c r="F993" s="117">
        <f>IF($C993=0,0,$C993-$D993)</f>
        <v/>
      </c>
    </row>
    <row r="994" ht="15" customHeight="1" s="72">
      <c r="F994" s="117">
        <f>IF($C994=0,0,$C994-$D994)</f>
        <v/>
      </c>
    </row>
    <row r="995" ht="15" customHeight="1" s="72">
      <c r="F995" s="117">
        <f>IF($C995=0,0,$C995-$D995)</f>
        <v/>
      </c>
    </row>
    <row r="996" ht="15" customHeight="1" s="72">
      <c r="F996" s="117">
        <f>IF($C996=0,0,$C996-$D996)</f>
        <v/>
      </c>
    </row>
    <row r="997" ht="15" customHeight="1" s="72">
      <c r="F997" s="117">
        <f>IF($C997=0,0,$C997-$D997)</f>
        <v/>
      </c>
    </row>
    <row r="998" ht="15" customHeight="1" s="72">
      <c r="F998" s="117">
        <f>IF($C998=0,0,$C998-$D998)</f>
        <v/>
      </c>
    </row>
    <row r="999" ht="15" customHeight="1" s="72">
      <c r="F999" s="117">
        <f>IF($C999=0,0,$C999-$D999)</f>
        <v/>
      </c>
    </row>
    <row r="1000" ht="15" customHeight="1" s="72">
      <c r="F1000" s="117">
        <f>IF($C1000=0,0,$C1000-$D1000)</f>
        <v/>
      </c>
    </row>
    <row r="1001" ht="15" customHeight="1" s="72">
      <c r="F1001" s="117">
        <f>IF($C1001=0,0,$C1001-$D1001)</f>
        <v/>
      </c>
    </row>
    <row r="1002" ht="15" customHeight="1" s="72">
      <c r="F1002" s="117">
        <f>IF($C1002=0,0,$C1002-$D1002)</f>
        <v/>
      </c>
    </row>
    <row r="1003" ht="15" customHeight="1" s="72">
      <c r="F1003" s="117">
        <f>IF($C1003=0,0,$C1003-$D1003)</f>
        <v/>
      </c>
    </row>
    <row r="1004" ht="15" customHeight="1" s="72">
      <c r="F1004" s="117">
        <f>IF($C1004=0,0,$C1004-$D1004)</f>
        <v/>
      </c>
    </row>
    <row r="1005"/>
    <row r="1006" ht="19.5" customHeight="1" s="72">
      <c r="A1006" s="118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06:AN1006"/>
    <mergeCell ref="A3:I3"/>
  </mergeCells>
  <conditionalFormatting sqref="C6:C1004">
    <cfRule type="cellIs" rank="0" priority="2" equalAverage="0" operator="lessThan" aboveAverage="0" dxfId="6" text="" percent="0" bottom="0">
      <formula>0</formula>
    </cfRule>
  </conditionalFormatting>
  <conditionalFormatting sqref="D6:D1004">
    <cfRule type="cellIs" rank="0" priority="3" equalAverage="0" operator="lessThan" aboveAverage="0" dxfId="6" text="" percent="0" bottom="0">
      <formula>0</formula>
    </cfRule>
  </conditionalFormatting>
  <conditionalFormatting sqref="E6:E1004">
    <cfRule type="cellIs" rank="0" priority="4" equalAverage="0" operator="lessThan" aboveAverage="0" dxfId="6" text="" percent="0" bottom="0">
      <formula>0</formula>
    </cfRule>
    <cfRule type="cellIs" rank="0" priority="5" equalAverage="0" operator="greaterThan" aboveAverage="0" dxfId="7" text="" percent="0" bottom="0">
      <formula>0.5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98" min="1" max="1"/>
    <col width="33.5" customWidth="1" style="98" min="2" max="2"/>
    <col width="29.5" customWidth="1" style="98" min="3" max="3"/>
    <col width="30.5" customWidth="1" style="98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ANAHTAR — PosKomisyonVeNetTahsilatKontrolSistemi</t>
        </is>
      </c>
    </row>
    <row r="2"/>
    <row r="3" ht="15" customHeight="1" s="72">
      <c r="A3" s="98" t="inlineStr">
        <is>
          <t>ham_anahtar</t>
        </is>
      </c>
      <c r="B3" s="98" t="inlineStr">
        <is>
          <t>norm_anahtar</t>
        </is>
      </c>
      <c r="C3" s="98" t="inlineStr">
        <is>
          <t>duplike_sayisi</t>
        </is>
      </c>
      <c r="D3" s="98" t="inlineStr">
        <is>
          <t>not</t>
        </is>
      </c>
    </row>
    <row r="4" ht="15" customHeight="1" s="72">
      <c r="A4" s="98" t="inlineStr">
        <is>
          <t>ORNEK-001</t>
        </is>
      </c>
      <c r="B4" s="98">
        <f>UPPER(SUBSTITUTE(A4," ",""))</f>
        <v/>
      </c>
      <c r="C4" s="98">
        <f>COUNTIF($A$4:$A$1000,A4)</f>
        <v/>
      </c>
      <c r="D4" s="98" t="inlineStr">
        <is>
          <t>normalize + duplike izi</t>
        </is>
      </c>
    </row>
    <row r="5" ht="15" customHeight="1" s="72">
      <c r="A5" s="98" t="inlineStr">
        <is>
          <t>ORNEK-002</t>
        </is>
      </c>
      <c r="B5" s="98">
        <f>UPPER(SUBSTITUTE(A5," ",""))</f>
        <v/>
      </c>
      <c r="C5" s="98">
        <f>COUNTIF($A$4:$A$1000,A5)</f>
        <v/>
      </c>
      <c r="D5" s="98" t="inlineStr">
        <is>
          <t>kisa/uzun numara senaryosu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8" min="1" max="1"/>
    <col width="28" customWidth="1" style="98" min="2" max="2"/>
    <col width="12" customWidth="1" style="98" min="3" max="4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ESLESTIRME — PosKomisyonVeNetTahsilatKontrolSistemi</t>
        </is>
      </c>
    </row>
    <row r="2"/>
    <row r="3" ht="15" customHeight="1" s="72">
      <c r="A3" s="98" t="inlineStr">
        <is>
          <t>kova</t>
        </is>
      </c>
      <c r="B3" s="98" t="inlineStr">
        <is>
          <t>aciklama</t>
        </is>
      </c>
      <c r="C3" s="98" t="inlineStr">
        <is>
          <t>tutar</t>
        </is>
      </c>
      <c r="D3" s="98" t="inlineStr">
        <is>
          <t>tolerans</t>
        </is>
      </c>
    </row>
    <row r="4" ht="15" customHeight="1" s="72">
      <c r="A4" s="98" t="inlineStr">
        <is>
          <t>ESLESEN</t>
        </is>
      </c>
      <c r="B4" s="98" t="inlineStr">
        <is>
          <t>Tam eşleşen kayıtlar</t>
        </is>
      </c>
      <c r="C4" s="148" t="n">
        <v>0</v>
      </c>
      <c r="D4" s="148" t="n">
        <v>0</v>
      </c>
    </row>
    <row r="5" ht="15" customHeight="1" s="72">
      <c r="A5" s="98" t="inlineStr">
        <is>
          <t>TOLERANS</t>
        </is>
      </c>
      <c r="B5" s="98" t="inlineStr">
        <is>
          <t>Tolerans içi fark</t>
        </is>
      </c>
      <c r="C5" s="148" t="n">
        <v>0</v>
      </c>
      <c r="D5" s="148" t="n">
        <v>0.01</v>
      </c>
    </row>
    <row r="6" ht="15" customHeight="1" s="72">
      <c r="A6" s="98" t="inlineStr">
        <is>
          <t>TUTARSIZ</t>
        </is>
      </c>
      <c r="B6" s="98" t="inlineStr">
        <is>
          <t>Tutar uyuşmazlığı</t>
        </is>
      </c>
      <c r="C6" s="148" t="n">
        <v>0</v>
      </c>
      <c r="D6" s="148" t="n">
        <v>0</v>
      </c>
    </row>
    <row r="7" ht="15" customHeight="1" s="72">
      <c r="A7" s="98" t="inlineStr">
        <is>
          <t>ESLESMEYEN</t>
        </is>
      </c>
      <c r="B7" s="98" t="inlineStr">
        <is>
          <t>Eşleşmeyen kayıtlar</t>
        </is>
      </c>
      <c r="C7" s="148" t="n">
        <v>0</v>
      </c>
      <c r="D7" s="148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8" min="1" max="1"/>
    <col width="42" customWidth="1" style="98" min="2" max="2"/>
    <col width="18.5" customWidth="1" style="98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KOK_NEDEN — PosKomisyonVeNetTahsilatKontrolSistemi</t>
        </is>
      </c>
    </row>
    <row r="2"/>
    <row r="3" ht="15" customHeight="1" s="72">
      <c r="A3" s="98" t="inlineStr">
        <is>
          <t>kova</t>
        </is>
      </c>
      <c r="B3" s="98" t="inlineStr">
        <is>
          <t>kok_neden</t>
        </is>
      </c>
      <c r="C3" s="98" t="inlineStr">
        <is>
          <t>aksiyon</t>
        </is>
      </c>
    </row>
    <row r="4" ht="15" customHeight="1" s="72">
      <c r="A4" s="98" t="inlineStr">
        <is>
          <t>TANIMSIZ</t>
        </is>
      </c>
      <c r="B4" s="98" t="inlineStr">
        <is>
          <t>Sınıflandırılamayan kayıt — elle incele</t>
        </is>
      </c>
      <c r="C4" s="98" t="inlineStr">
        <is>
          <t>Manuel inceleme</t>
        </is>
      </c>
    </row>
    <row r="5" ht="15" customHeight="1" s="72">
      <c r="A5" s="98" t="inlineStr">
        <is>
          <t>ESLESMEYEN</t>
        </is>
      </c>
      <c r="B5" s="98" t="inlineStr">
        <is>
          <t>Karşı tarafta yok</t>
        </is>
      </c>
      <c r="C5" s="98" t="inlineStr">
        <is>
          <t>Veri tamamlama</t>
        </is>
      </c>
    </row>
    <row r="6" ht="15" customHeight="1" s="72">
      <c r="A6" s="98" t="inlineStr">
        <is>
          <t>TUTARSIZ</t>
        </is>
      </c>
      <c r="B6" s="98" t="inlineStr">
        <is>
          <t>Tutar farkı</t>
        </is>
      </c>
      <c r="C6" s="98" t="inlineStr">
        <is>
          <t>Mutabakat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" customWidth="1" style="98" min="1" max="1"/>
    <col width="10" customWidth="1" style="98" min="2" max="2"/>
    <col width="40" customWidth="1" style="98" min="3" max="3"/>
    <col width="30.5" customWidth="1" style="98" min="4" max="4"/>
    <col width="14.5" customWidth="1" style="98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DEGISIKLIK KAYDI — POS, Komisyon ve Net Tahsilat Kontrol Sistemi</t>
        </is>
      </c>
    </row>
    <row r="2"/>
    <row r="3" ht="22" customHeight="1" s="72">
      <c r="A3" s="292" t="inlineStr">
        <is>
          <t>Değişiklik Kaydı</t>
        </is>
      </c>
    </row>
    <row r="4" ht="30" customHeight="1" s="72">
      <c r="A4" s="111" t="inlineStr">
        <is>
          <t>Tarih</t>
        </is>
      </c>
      <c r="B4" s="111" t="inlineStr">
        <is>
          <t>Sürüm</t>
        </is>
      </c>
      <c r="C4" s="111" t="inlineStr">
        <is>
          <t>Değişiklik</t>
        </is>
      </c>
      <c r="D4" s="111" t="inlineStr">
        <is>
          <t>Neden</t>
        </is>
      </c>
      <c r="E4" s="111" t="inlineStr">
        <is>
          <t>Yapan</t>
        </is>
      </c>
    </row>
    <row r="5" ht="15" customHeight="1" s="72">
      <c r="A5" s="144" t="inlineStr">
        <is>
          <t>01.08.2026</t>
        </is>
      </c>
      <c r="B5" s="144" t="inlineStr">
        <is>
          <t>1.0.0</t>
        </is>
      </c>
      <c r="C5" s="144" t="inlineStr">
        <is>
          <t>İlk üretim</t>
        </is>
      </c>
      <c r="D5" s="144" t="inlineStr">
        <is>
          <t>Ürünün yayına hazırlanması</t>
        </is>
      </c>
      <c r="E5" s="144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8" min="1" max="1"/>
    <col width="13" customWidth="1" style="72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LISTELER — POS, Komisyon ve Net Tahsilat Kontrol Sistemi</t>
        </is>
      </c>
    </row>
    <row r="2"/>
    <row r="3" ht="15" customHeight="1" s="72">
      <c r="A3" s="102" t="inlineStr">
        <is>
          <t>Bağlı Listeler</t>
        </is>
      </c>
    </row>
    <row r="4" ht="54.75" customHeight="1" s="72">
      <c r="A4" s="101" t="inlineStr">
        <is>
          <t>Bu sayfadaki listeler açılır menüleri besler; yeni seçenek eklemek için sarı hücrelere yazın.</t>
        </is>
      </c>
    </row>
    <row r="5"/>
    <row r="6" ht="15" customHeight="1" s="72">
      <c r="A6" s="140" t="inlineStr">
        <is>
          <t>Kanal</t>
        </is>
      </c>
    </row>
    <row r="7" ht="15" customHeight="1" s="72">
      <c r="A7" s="149" t="inlineStr">
        <is>
          <t>Mağaza POS</t>
        </is>
      </c>
    </row>
    <row r="8" ht="15" customHeight="1" s="72">
      <c r="A8" s="149" t="inlineStr">
        <is>
          <t>Sanal POS</t>
        </is>
      </c>
    </row>
    <row r="9" ht="15" customHeight="1" s="72">
      <c r="A9" s="149" t="inlineStr">
        <is>
          <t>Mobil POS</t>
        </is>
      </c>
    </row>
    <row r="10" ht="15" customHeight="1" s="72">
      <c r="A10" s="149" t="inlineStr">
        <is>
          <t>Pazaryeri POS</t>
        </is>
      </c>
    </row>
    <row r="11" ht="15" customHeight="1" s="72">
      <c r="A11" s="149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98" min="1" max="1"/>
    <col width="26" customWidth="1" style="98" min="2" max="2"/>
    <col width="10" customWidth="1" style="98" min="3" max="5"/>
    <col width="13" customWidth="1" style="72" min="4" max="4"/>
    <col width="13" customWidth="1" style="72" min="5" max="5"/>
    <col width="60" customWidth="1" style="98" min="6" max="6"/>
    <col width="14" customWidth="1" style="98" min="7" max="7"/>
    <col width="13" customWidth="1" style="98" min="8" max="9"/>
    <col width="13" customWidth="1" style="72" min="9" max="9"/>
    <col width="13" customWidth="1" style="72" min="10" max="10"/>
  </cols>
  <sheetData>
    <row r="1" ht="32" customHeight="1" s="72">
      <c r="A1" s="272" t="inlineStr">
        <is>
          <t>AYARLAR — POS, Komisyon ve Net Tahsilat Kontrol Sistemi</t>
        </is>
      </c>
    </row>
    <row r="2"/>
    <row r="3" ht="22" customHeight="1" s="72">
      <c r="A3" s="292" t="inlineStr">
        <is>
          <t>Sistem Ayarları ve Oranlar</t>
        </is>
      </c>
    </row>
    <row r="4" ht="81.75" customHeight="1" s="72">
      <c r="A4" s="101" t="inlineStr">
        <is>
          <t>Tüm sabitler bu sayfadadır. Eşikleri ve çarpanları kendi işletmenize göre güncelleyin. Değişen her değer tüm hesaplamalara anında yansır.</t>
        </is>
      </c>
    </row>
    <row r="5"/>
    <row r="6" ht="30" customHeight="1" s="72">
      <c r="A6" s="111" t="inlineStr">
        <is>
          <t>anahtar</t>
        </is>
      </c>
      <c r="B6" s="111" t="inlineStr">
        <is>
          <t>deger</t>
        </is>
      </c>
      <c r="C6" s="111" t="inlineStr">
        <is>
          <t>birim</t>
        </is>
      </c>
      <c r="D6" s="111" t="inlineStr">
        <is>
          <t>alt</t>
        </is>
      </c>
      <c r="E6" s="111" t="inlineStr">
        <is>
          <t>ust</t>
        </is>
      </c>
      <c r="F6" s="111" t="inlineStr">
        <is>
          <t>aciklama</t>
        </is>
      </c>
      <c r="G6" s="111" t="inlineStr">
        <is>
          <t>kaynak</t>
        </is>
      </c>
      <c r="H6" s="111" t="inlineStr">
        <is>
          <t>yururluk_tarihi</t>
        </is>
      </c>
      <c r="I6" s="111" t="inlineStr">
        <is>
          <t>dogrulama_tarihi</t>
        </is>
      </c>
    </row>
    <row r="7" ht="25.5" customHeight="1" s="72">
      <c r="A7" s="150" t="inlineStr">
        <is>
          <t>FirmaUnvan</t>
        </is>
      </c>
      <c r="B7" s="151" t="inlineStr">
        <is>
          <t>Örnek Firma A.Ş.</t>
        </is>
      </c>
      <c r="C7" s="105" t="inlineStr">
        <is>
          <t>Metin</t>
        </is>
      </c>
      <c r="D7" s="152" t="n"/>
      <c r="E7" s="152" t="n"/>
      <c r="F7" s="110" t="inlineStr">
        <is>
          <t>Rapor ve kapakta görünen firma adı.</t>
        </is>
      </c>
      <c r="G7" s="105" t="inlineStr">
        <is>
          <t>Kullanıcı</t>
        </is>
      </c>
      <c r="H7" s="153" t="n">
        <v>46023</v>
      </c>
      <c r="I7" s="153" t="n">
        <v>46244</v>
      </c>
    </row>
    <row r="8" ht="25.5" customHeight="1" s="72">
      <c r="A8" s="150" t="inlineStr">
        <is>
          <t>RaporTarihi</t>
        </is>
      </c>
      <c r="B8" s="154" t="n">
        <v>46242</v>
      </c>
      <c r="C8" s="105" t="inlineStr">
        <is>
          <t>Tarih</t>
        </is>
      </c>
      <c r="D8" s="152" t="n"/>
      <c r="E8" s="152" t="n"/>
      <c r="F8" s="110" t="inlineStr">
        <is>
          <t>Tüm hesapların ve kararın alındığı tarih.</t>
        </is>
      </c>
      <c r="G8" s="105" t="inlineStr">
        <is>
          <t>Kullanıcı</t>
        </is>
      </c>
      <c r="H8" s="153" t="n">
        <v>46023</v>
      </c>
      <c r="I8" s="153" t="n">
        <v>46244</v>
      </c>
    </row>
    <row r="9" ht="25.5" customHeight="1" s="72">
      <c r="A9" s="150" t="inlineStr">
        <is>
          <t>RaporHazirlayan</t>
        </is>
      </c>
      <c r="B9" s="151" t="inlineStr">
        <is>
          <t>Finans Direktörü</t>
        </is>
      </c>
      <c r="C9" s="105" t="inlineStr">
        <is>
          <t>Metin</t>
        </is>
      </c>
      <c r="D9" s="152" t="n"/>
      <c r="E9" s="152" t="n"/>
      <c r="F9" s="110" t="inlineStr">
        <is>
          <t>Raporu hazırlayan kişi/rol.</t>
        </is>
      </c>
      <c r="G9" s="105" t="inlineStr">
        <is>
          <t>Kullanıcı</t>
        </is>
      </c>
      <c r="H9" s="153" t="n">
        <v>46023</v>
      </c>
      <c r="I9" s="153" t="n">
        <v>46244</v>
      </c>
    </row>
    <row r="10" ht="25.5" customHeight="1" s="72">
      <c r="A10" s="150" t="inlineStr">
        <is>
          <t>DosyaSurumu</t>
        </is>
      </c>
      <c r="B10" s="151" t="inlineStr">
        <is>
          <t>1.0.0</t>
        </is>
      </c>
      <c r="C10" s="105" t="inlineStr">
        <is>
          <t>Metin</t>
        </is>
      </c>
      <c r="D10" s="152" t="n"/>
      <c r="E10" s="152" t="n"/>
      <c r="F10" s="110" t="inlineStr">
        <is>
          <t>Ürün sürüm bilgisi; rapor alt bilgisinde görünür.</t>
        </is>
      </c>
      <c r="G10" s="105" t="inlineStr">
        <is>
          <t>Kullanıcı</t>
        </is>
      </c>
      <c r="H10" s="153" t="n">
        <v>46023</v>
      </c>
      <c r="I10" s="153" t="n">
        <v>46244</v>
      </c>
    </row>
    <row r="11" ht="25.5" customHeight="1" s="72">
      <c r="A11" s="150" t="inlineStr">
        <is>
          <t>PosNetHedefOran</t>
        </is>
      </c>
      <c r="B11" s="155" t="n">
        <v>0.97</v>
      </c>
      <c r="C11" s="105" t="inlineStr">
        <is>
          <t>Oran</t>
        </is>
      </c>
      <c r="D11" s="152" t="n">
        <v>0.5</v>
      </c>
      <c r="E11" s="152" t="n">
        <v>1</v>
      </c>
      <c r="F11" s="110" t="inlineStr">
        <is>
          <t>Hedef net tahsilat oranı; bu değerin altındaki oran İNCELE kararı üretir.</t>
        </is>
      </c>
      <c r="G11" s="105" t="inlineStr">
        <is>
          <t>Varsayım</t>
        </is>
      </c>
      <c r="H11" s="153" t="n">
        <v>46023</v>
      </c>
      <c r="I11" s="153" t="n">
        <v>46244</v>
      </c>
    </row>
    <row r="12" ht="25.5" customHeight="1" s="72">
      <c r="A12" s="150" t="inlineStr">
        <is>
          <t>PosIadeRiskEsik</t>
        </is>
      </c>
      <c r="B12" s="155" t="n">
        <v>0.05</v>
      </c>
      <c r="C12" s="105" t="inlineStr">
        <is>
          <t>Oran</t>
        </is>
      </c>
      <c r="D12" s="152" t="n">
        <v>0</v>
      </c>
      <c r="E12" s="152" t="n">
        <v>1</v>
      </c>
      <c r="F12" s="110" t="inlineStr">
        <is>
          <t>İade oranı bu eşiği aşarsa kanal riskli işaretlenir.</t>
        </is>
      </c>
      <c r="G12" s="105" t="inlineStr">
        <is>
          <t>Varsayım</t>
        </is>
      </c>
      <c r="H12" s="153" t="n">
        <v>46023</v>
      </c>
      <c r="I12" s="153" t="n">
        <v>46244</v>
      </c>
    </row>
    <row r="13" ht="25.5" customHeight="1" s="72">
      <c r="A13" s="150" t="inlineStr">
        <is>
          <t>PosKomisyonRiskEsik</t>
        </is>
      </c>
      <c r="B13" s="155" t="n">
        <v>0.03</v>
      </c>
      <c r="C13" s="105" t="inlineStr">
        <is>
          <t>Oran</t>
        </is>
      </c>
      <c r="D13" s="152" t="n">
        <v>0</v>
      </c>
      <c r="E13" s="152" t="n">
        <v>0.5</v>
      </c>
      <c r="F13" s="110" t="inlineStr">
        <is>
          <t>Komisyon oranı bu eşiği aşarsa karar DURDUR olur.</t>
        </is>
      </c>
      <c r="G13" s="105" t="inlineStr">
        <is>
          <t>Varsayım</t>
        </is>
      </c>
      <c r="H13" s="153" t="n">
        <v>46023</v>
      </c>
      <c r="I13" s="153" t="n">
        <v>46244</v>
      </c>
    </row>
    <row r="14" ht="25.5" customHeight="1" s="72">
      <c r="A14" s="150" t="inlineStr">
        <is>
          <t>PosIyiSenaryo</t>
        </is>
      </c>
      <c r="B14" s="155" t="n">
        <v>1.05</v>
      </c>
      <c r="C14" s="105" t="inlineStr">
        <is>
          <t>Oran</t>
        </is>
      </c>
      <c r="D14" s="152" t="n">
        <v>0.5</v>
      </c>
      <c r="E14" s="152" t="n">
        <v>1.5</v>
      </c>
      <c r="F14" s="110" t="inlineStr">
        <is>
          <t>İyimser senaryoda net tahsilat bu çarpanla hesaplanır.</t>
        </is>
      </c>
      <c r="G14" s="105" t="inlineStr">
        <is>
          <t>Varsayım</t>
        </is>
      </c>
      <c r="H14" s="153" t="n">
        <v>46023</v>
      </c>
      <c r="I14" s="153" t="n">
        <v>46244</v>
      </c>
    </row>
    <row r="15" ht="25.5" customHeight="1" s="72">
      <c r="A15" s="150" t="inlineStr">
        <is>
          <t>PosBazSenaryo</t>
        </is>
      </c>
      <c r="B15" s="155" t="n">
        <v>1</v>
      </c>
      <c r="C15" s="105" t="inlineStr">
        <is>
          <t>Oran</t>
        </is>
      </c>
      <c r="D15" s="152" t="n">
        <v>0.5</v>
      </c>
      <c r="E15" s="152" t="n">
        <v>1.5</v>
      </c>
      <c r="F15" s="110" t="inlineStr">
        <is>
          <t>Baz senaryoda net tahsilat bu çarpanla hesaplanır.</t>
        </is>
      </c>
      <c r="G15" s="105" t="inlineStr">
        <is>
          <t>Varsayım</t>
        </is>
      </c>
      <c r="H15" s="153" t="n">
        <v>46023</v>
      </c>
      <c r="I15" s="153" t="n">
        <v>46244</v>
      </c>
    </row>
    <row r="16" ht="25.5" customHeight="1" s="72">
      <c r="A16" s="150" t="inlineStr">
        <is>
          <t>PosKotuSenaryo</t>
        </is>
      </c>
      <c r="B16" s="155" t="n">
        <v>0.95</v>
      </c>
      <c r="C16" s="105" t="inlineStr">
        <is>
          <t>Oran</t>
        </is>
      </c>
      <c r="D16" s="152" t="n">
        <v>0.5</v>
      </c>
      <c r="E16" s="152" t="n">
        <v>1.5</v>
      </c>
      <c r="F16" s="110" t="inlineStr">
        <is>
          <t>Kötümser senaryoda net tahsilat bu çarpanla hesaplanır.</t>
        </is>
      </c>
      <c r="G16" s="105" t="inlineStr">
        <is>
          <t>Varsayım</t>
        </is>
      </c>
      <c r="H16" s="153" t="n">
        <v>46023</v>
      </c>
      <c r="I16" s="153" t="n">
        <v>46244</v>
      </c>
    </row>
    <row r="17" ht="25.5" customHeight="1" s="72">
      <c r="A17" s="150" t="inlineStr">
        <is>
          <t>PosTornadoKomisyon</t>
        </is>
      </c>
      <c r="B17" s="155" t="n">
        <v>0.01</v>
      </c>
      <c r="C17" s="105" t="inlineStr">
        <is>
          <t>Oran</t>
        </is>
      </c>
      <c r="D17" s="152" t="n">
        <v>0</v>
      </c>
      <c r="E17" s="152" t="n">
        <v>0.2</v>
      </c>
      <c r="F17" s="110" t="inlineStr">
        <is>
          <t>Komisyon oranının %1 puan artışının net tahsilata etkisi.</t>
        </is>
      </c>
      <c r="G17" s="105" t="inlineStr">
        <is>
          <t>Varsayım</t>
        </is>
      </c>
      <c r="H17" s="153" t="n">
        <v>46023</v>
      </c>
      <c r="I17" s="153" t="n">
        <v>46244</v>
      </c>
    </row>
    <row r="18" ht="25.5" customHeight="1" s="72">
      <c r="A18" s="150" t="inlineStr">
        <is>
          <t>PosTornadoIade</t>
        </is>
      </c>
      <c r="B18" s="155" t="n">
        <v>0.01</v>
      </c>
      <c r="C18" s="105" t="inlineStr">
        <is>
          <t>Oran</t>
        </is>
      </c>
      <c r="D18" s="152" t="n">
        <v>0</v>
      </c>
      <c r="E18" s="152" t="n">
        <v>0.2</v>
      </c>
      <c r="F18" s="110" t="inlineStr">
        <is>
          <t>İade oranının %1 puan artışının net tahsilata etkisi.</t>
        </is>
      </c>
      <c r="G18" s="105" t="inlineStr">
        <is>
          <t>Varsayım</t>
        </is>
      </c>
      <c r="H18" s="153" t="n">
        <v>46023</v>
      </c>
      <c r="I18" s="153" t="n">
        <v>46244</v>
      </c>
    </row>
    <row r="19" ht="25.5" customHeight="1" s="72">
      <c r="A19" s="150" t="inlineStr">
        <is>
          <t>PosTahminCarpan</t>
        </is>
      </c>
      <c r="B19" s="155" t="n">
        <v>1.645</v>
      </c>
      <c r="C19" s="105" t="inlineStr">
        <is>
          <t>Oran</t>
        </is>
      </c>
      <c r="D19" s="152" t="n">
        <v>0</v>
      </c>
      <c r="E19" s="152" t="n">
        <v>3</v>
      </c>
      <c r="F19" s="110" t="inlineStr">
        <is>
          <t>Tahmin bandı genişliği (standart sapma katı).</t>
        </is>
      </c>
      <c r="G19" s="105" t="inlineStr">
        <is>
          <t>Varsayım</t>
        </is>
      </c>
      <c r="H19" s="153" t="n">
        <v>46023</v>
      </c>
      <c r="I19" s="153" t="n">
        <v>46244</v>
      </c>
    </row>
    <row r="20" ht="25.5" customHeight="1" s="72">
      <c r="A20" s="150" t="inlineStr">
        <is>
          <t>PosKaliteIyi</t>
        </is>
      </c>
      <c r="B20" s="156" t="n">
        <v>90</v>
      </c>
      <c r="C20" s="105" t="inlineStr">
        <is>
          <t>Skor</t>
        </is>
      </c>
      <c r="D20" s="152" t="n">
        <v>0</v>
      </c>
      <c r="E20" s="152" t="n">
        <v>100</v>
      </c>
      <c r="F20" s="110" t="inlineStr">
        <is>
          <t>Kalite skoru bu eşiğin üzerindeyse YÜKSEK kalite.</t>
        </is>
      </c>
      <c r="G20" s="105" t="inlineStr">
        <is>
          <t>Varsayım</t>
        </is>
      </c>
      <c r="H20" s="153" t="n">
        <v>46023</v>
      </c>
      <c r="I20" s="153" t="n">
        <v>46244</v>
      </c>
    </row>
    <row r="21" ht="25.5" customHeight="1" s="72">
      <c r="A21" s="150" t="inlineStr">
        <is>
          <t>PosKaliteOrta</t>
        </is>
      </c>
      <c r="B21" s="156" t="n">
        <v>70</v>
      </c>
      <c r="C21" s="105" t="inlineStr">
        <is>
          <t>Skor</t>
        </is>
      </c>
      <c r="D21" s="152" t="n">
        <v>0</v>
      </c>
      <c r="E21" s="152" t="n">
        <v>100</v>
      </c>
      <c r="F21" s="110" t="inlineStr">
        <is>
          <t>Kalite skoru bu eşiğin üzerindeyse ORTA kalite.</t>
        </is>
      </c>
      <c r="G21" s="105" t="inlineStr">
        <is>
          <t>Varsayım</t>
        </is>
      </c>
      <c r="H21" s="153" t="n">
        <v>46023</v>
      </c>
      <c r="I21" s="153" t="n">
        <v>46244</v>
      </c>
    </row>
    <row r="22" ht="25.5" customHeight="1" s="72">
      <c r="A22" s="150" t="inlineStr">
        <is>
          <t>PosAksiyon1_ACIKLAMA</t>
        </is>
      </c>
      <c r="B22" s="157" t="inlineStr">
        <is>
          <t>Komisyon oranı eşiği aşıyorsa kanal sözleşmesini yeniden müzakere edin.</t>
        </is>
      </c>
      <c r="C22" s="105" t="inlineStr">
        <is>
          <t>Metin</t>
        </is>
      </c>
      <c r="D22" s="152" t="n"/>
      <c r="E22" s="152" t="n"/>
      <c r="F22" s="110" t="inlineStr">
        <is>
          <t>DURDUR kararında gösterilen ilk öneri.</t>
        </is>
      </c>
      <c r="G22" s="105" t="inlineStr">
        <is>
          <t>Varsayım</t>
        </is>
      </c>
      <c r="H22" s="153" t="n">
        <v>46023</v>
      </c>
      <c r="I22" s="153" t="n">
        <v>46244</v>
      </c>
    </row>
    <row r="23" ht="25.5" customHeight="1" s="72">
      <c r="A23" s="150" t="inlineStr">
        <is>
          <t>PosAksiyon2_ACIKLAMA</t>
        </is>
      </c>
      <c r="B23" s="157" t="inlineStr">
        <is>
          <t>İade oranı yüksek kanalda ürün/hizmet kalitesini inceleyin.</t>
        </is>
      </c>
      <c r="C23" s="105" t="inlineStr">
        <is>
          <t>Metin</t>
        </is>
      </c>
      <c r="D23" s="152" t="n"/>
      <c r="E23" s="152" t="n"/>
      <c r="F23" s="110" t="inlineStr">
        <is>
          <t>İNCELE kararında gösterilen ikinci öneri.</t>
        </is>
      </c>
      <c r="G23" s="105" t="inlineStr">
        <is>
          <t>Varsayım</t>
        </is>
      </c>
      <c r="H23" s="153" t="n">
        <v>46023</v>
      </c>
      <c r="I23" s="153" t="n">
        <v>46244</v>
      </c>
    </row>
    <row r="24" ht="25.5" customHeight="1" s="72">
      <c r="A24" s="150" t="inlineStr">
        <is>
          <t>PosAksiyon3_ACIKLAMA</t>
        </is>
      </c>
      <c r="B24" s="157" t="inlineStr">
        <is>
          <t>Net tahsilat oranı hedefin altındaysa komisyon ve iade yapısını birlikte gözden geçirin.</t>
        </is>
      </c>
      <c r="C24" s="105" t="inlineStr">
        <is>
          <t>Metin</t>
        </is>
      </c>
      <c r="D24" s="152" t="n"/>
      <c r="E24" s="152" t="n"/>
      <c r="F24" s="110" t="inlineStr">
        <is>
          <t>İNCELE kararında gösterilen üçüncü öneri.</t>
        </is>
      </c>
      <c r="G24" s="105" t="inlineStr">
        <is>
          <t>Varsayım</t>
        </is>
      </c>
      <c r="H24" s="153" t="n">
        <v>46023</v>
      </c>
      <c r="I24" s="153" t="n">
        <v>46244</v>
      </c>
    </row>
    <row r="25" ht="25.5" customHeight="1" s="72">
      <c r="A25" s="150" t="inlineStr">
        <is>
          <t>PosP90Oran</t>
        </is>
      </c>
      <c r="B25" s="155" t="n">
        <v>0.9</v>
      </c>
      <c r="C25" s="105" t="inlineStr">
        <is>
          <t>Oran</t>
        </is>
      </c>
      <c r="D25" s="152" t="n">
        <v>0.5</v>
      </c>
      <c r="E25" s="152" t="n">
        <v>1</v>
      </c>
      <c r="F25" s="110" t="inlineStr">
        <is>
          <t>Net tahsilat dağılımında üst yüzdelik dilimin oranı.</t>
        </is>
      </c>
      <c r="G25" s="105" t="inlineStr">
        <is>
          <t>Varsayım</t>
        </is>
      </c>
      <c r="H25" s="153" t="n">
        <v>46023</v>
      </c>
      <c r="I25" s="153" t="n">
        <v>46244</v>
      </c>
    </row>
    <row r="26" ht="19.5" customHeight="1" s="72">
      <c r="A26" s="104" t="inlineStr">
        <is>
          <t>PanelSatir1</t>
        </is>
      </c>
      <c r="B26" s="158" t="n">
        <v>1</v>
      </c>
      <c r="C26" s="105" t="inlineStr">
        <is>
          <t>Satır</t>
        </is>
      </c>
      <c r="F26" s="110" t="inlineStr">
        <is>
          <t>PANO'daki aylık grafik serisinin tablodaki veri satırı (1. ay).</t>
        </is>
      </c>
      <c r="G26" s="105" t="inlineStr">
        <is>
          <t>Kullanıcı</t>
        </is>
      </c>
      <c r="H26" s="153" t="n">
        <v>46023</v>
      </c>
      <c r="I26" s="153" t="n">
        <v>46244</v>
      </c>
    </row>
    <row r="27" ht="19.5" customHeight="1" s="72">
      <c r="A27" s="104" t="inlineStr">
        <is>
          <t>PanelSatir2</t>
        </is>
      </c>
      <c r="B27" s="158" t="n">
        <v>2</v>
      </c>
      <c r="C27" s="105" t="inlineStr">
        <is>
          <t>Satır</t>
        </is>
      </c>
      <c r="F27" s="110" t="inlineStr">
        <is>
          <t>PANO'daki aylık grafik serisinin tablodaki veri satırı (2. ay).</t>
        </is>
      </c>
      <c r="G27" s="105" t="inlineStr">
        <is>
          <t>Kullanıcı</t>
        </is>
      </c>
      <c r="H27" s="153" t="n">
        <v>46023</v>
      </c>
      <c r="I27" s="153" t="n">
        <v>46244</v>
      </c>
    </row>
    <row r="28" ht="19.5" customHeight="1" s="72">
      <c r="A28" s="104" t="inlineStr">
        <is>
          <t>PanelSatir3</t>
        </is>
      </c>
      <c r="B28" s="158" t="n">
        <v>3</v>
      </c>
      <c r="C28" s="105" t="inlineStr">
        <is>
          <t>Satır</t>
        </is>
      </c>
      <c r="F28" s="110" t="inlineStr">
        <is>
          <t>PANO'daki aylık grafik serisinin tablodaki veri satırı (3. ay).</t>
        </is>
      </c>
      <c r="G28" s="105" t="inlineStr">
        <is>
          <t>Kullanıcı</t>
        </is>
      </c>
      <c r="H28" s="153" t="n">
        <v>46023</v>
      </c>
      <c r="I28" s="153" t="n">
        <v>46244</v>
      </c>
    </row>
    <row r="29" ht="19.5" customHeight="1" s="72">
      <c r="A29" s="104" t="inlineStr">
        <is>
          <t>PanelSatir4</t>
        </is>
      </c>
      <c r="B29" s="158" t="n">
        <v>4</v>
      </c>
      <c r="C29" s="105" t="inlineStr">
        <is>
          <t>Satır</t>
        </is>
      </c>
      <c r="F29" s="110" t="inlineStr">
        <is>
          <t>PANO'daki aylık grafik serisinin tablodaki veri satırı (4. ay).</t>
        </is>
      </c>
      <c r="G29" s="105" t="inlineStr">
        <is>
          <t>Kullanıcı</t>
        </is>
      </c>
      <c r="H29" s="153" t="n">
        <v>46023</v>
      </c>
      <c r="I29" s="153" t="n">
        <v>46244</v>
      </c>
    </row>
    <row r="30" ht="19.5" customHeight="1" s="72">
      <c r="A30" s="104" t="inlineStr">
        <is>
          <t>PanelSatir5</t>
        </is>
      </c>
      <c r="B30" s="158" t="n">
        <v>5</v>
      </c>
      <c r="C30" s="105" t="inlineStr">
        <is>
          <t>Satır</t>
        </is>
      </c>
      <c r="F30" s="110" t="inlineStr">
        <is>
          <t>PANO'daki aylık grafik serisinin tablodaki veri satırı (5. ay).</t>
        </is>
      </c>
      <c r="G30" s="105" t="inlineStr">
        <is>
          <t>Kullanıcı</t>
        </is>
      </c>
      <c r="H30" s="153" t="n">
        <v>46023</v>
      </c>
      <c r="I30" s="153" t="n">
        <v>46244</v>
      </c>
    </row>
    <row r="31" ht="19.5" customHeight="1" s="72">
      <c r="A31" s="104" t="inlineStr">
        <is>
          <t>PanelSatir6</t>
        </is>
      </c>
      <c r="B31" s="158" t="n">
        <v>6</v>
      </c>
      <c r="C31" s="105" t="inlineStr">
        <is>
          <t>Satır</t>
        </is>
      </c>
      <c r="F31" s="110" t="inlineStr">
        <is>
          <t>PANO'daki aylık grafik serisinin tablodaki veri satırı (6. ay).</t>
        </is>
      </c>
      <c r="G31" s="105" t="inlineStr">
        <is>
          <t>Kullanıcı</t>
        </is>
      </c>
      <c r="H31" s="153" t="n">
        <v>46023</v>
      </c>
      <c r="I31" s="153" t="n">
        <v>46244</v>
      </c>
    </row>
    <row r="32" ht="19.5" customHeight="1" s="72">
      <c r="A32" s="104" t="inlineStr">
        <is>
          <t>PanelSatir7</t>
        </is>
      </c>
      <c r="B32" s="158" t="n">
        <v>7</v>
      </c>
      <c r="C32" s="105" t="inlineStr">
        <is>
          <t>Satır</t>
        </is>
      </c>
      <c r="F32" s="110" t="inlineStr">
        <is>
          <t>PANO'daki aylık grafik serisinin tablodaki veri satırı (7. ay).</t>
        </is>
      </c>
      <c r="G32" s="105" t="inlineStr">
        <is>
          <t>Kullanıcı</t>
        </is>
      </c>
      <c r="H32" s="153" t="n">
        <v>46023</v>
      </c>
      <c r="I32" s="153" t="n">
        <v>46244</v>
      </c>
    </row>
    <row r="33" ht="19.5" customHeight="1" s="72">
      <c r="A33" s="104" t="inlineStr">
        <is>
          <t>PanelSatir8</t>
        </is>
      </c>
      <c r="B33" s="158" t="n">
        <v>8</v>
      </c>
      <c r="C33" s="105" t="inlineStr">
        <is>
          <t>Satır</t>
        </is>
      </c>
      <c r="F33" s="110" t="inlineStr">
        <is>
          <t>PANO'daki aylık grafik serisinin tablodaki veri satırı (8. ay).</t>
        </is>
      </c>
      <c r="G33" s="105" t="inlineStr">
        <is>
          <t>Kullanıcı</t>
        </is>
      </c>
      <c r="H33" s="153" t="n">
        <v>46023</v>
      </c>
      <c r="I33" s="153" t="n">
        <v>46244</v>
      </c>
    </row>
    <row r="34" ht="19.5" customHeight="1" s="72">
      <c r="A34" s="104" t="inlineStr">
        <is>
          <t>PanelSatir9</t>
        </is>
      </c>
      <c r="B34" s="158" t="n">
        <v>9</v>
      </c>
      <c r="C34" s="105" t="inlineStr">
        <is>
          <t>Satır</t>
        </is>
      </c>
      <c r="F34" s="110" t="inlineStr">
        <is>
          <t>PANO'daki aylık grafik serisinin tablodaki veri satırı (9. ay).</t>
        </is>
      </c>
      <c r="G34" s="105" t="inlineStr">
        <is>
          <t>Kullanıcı</t>
        </is>
      </c>
      <c r="H34" s="153" t="n">
        <v>46023</v>
      </c>
      <c r="I34" s="153" t="n">
        <v>46244</v>
      </c>
    </row>
    <row r="35" ht="19.5" customHeight="1" s="72">
      <c r="A35" s="104" t="inlineStr">
        <is>
          <t>PanelSatir10</t>
        </is>
      </c>
      <c r="B35" s="158" t="n">
        <v>10</v>
      </c>
      <c r="C35" s="105" t="inlineStr">
        <is>
          <t>Satır</t>
        </is>
      </c>
      <c r="F35" s="110" t="inlineStr">
        <is>
          <t>PANO'daki aylık grafik serisinin tablodaki veri satırı (10. ay).</t>
        </is>
      </c>
      <c r="G35" s="105" t="inlineStr">
        <is>
          <t>Kullanıcı</t>
        </is>
      </c>
      <c r="H35" s="153" t="n">
        <v>46023</v>
      </c>
      <c r="I35" s="153" t="n">
        <v>46244</v>
      </c>
    </row>
    <row r="36" ht="19.5" customHeight="1" s="72">
      <c r="A36" s="104" t="inlineStr">
        <is>
          <t>PanelSatir11</t>
        </is>
      </c>
      <c r="B36" s="158" t="n">
        <v>11</v>
      </c>
      <c r="C36" s="105" t="inlineStr">
        <is>
          <t>Satır</t>
        </is>
      </c>
      <c r="F36" s="110" t="inlineStr">
        <is>
          <t>PANO'daki aylık grafik serisinin tablodaki veri satırı (11. ay).</t>
        </is>
      </c>
      <c r="G36" s="105" t="inlineStr">
        <is>
          <t>Kullanıcı</t>
        </is>
      </c>
      <c r="H36" s="153" t="n">
        <v>46023</v>
      </c>
      <c r="I36" s="153" t="n">
        <v>46244</v>
      </c>
    </row>
    <row r="37" ht="19.5" customHeight="1" s="72">
      <c r="A37" s="104" t="inlineStr">
        <is>
          <t>PanelSatir12</t>
        </is>
      </c>
      <c r="B37" s="158" t="n">
        <v>12</v>
      </c>
      <c r="C37" s="105" t="inlineStr">
        <is>
          <t>Satır</t>
        </is>
      </c>
      <c r="F37" s="110" t="inlineStr">
        <is>
          <t>PANO'daki aylık grafik serisinin tablodaki veri satırı (12. ay).</t>
        </is>
      </c>
      <c r="G37" s="105" t="inlineStr">
        <is>
          <t>Kullanıcı</t>
        </is>
      </c>
      <c r="H37" s="153" t="n">
        <v>46023</v>
      </c>
      <c r="I37" s="153" t="n">
        <v>46244</v>
      </c>
    </row>
    <row r="38"/>
    <row r="39"/>
    <row r="40"/>
    <row r="41"/>
    <row r="42"/>
    <row r="43"/>
    <row r="44"/>
    <row r="45" ht="15" customHeight="1" s="72">
      <c r="B45" s="159" t="inlineStr">
        <is>
          <t>VARSAYIM AÇIKLAMALARI</t>
        </is>
      </c>
    </row>
    <row r="46" ht="15" customHeight="1" s="72">
      <c r="B46" s="110" t="inlineStr">
        <is>
          <t>Tüm eşikler ve çarpanlar kullanıcı tarafından değiştirilebilir varsayımlardır. Kaynak değeri 'Varsayım' olan parametreler KILAVUZ sayfasında toplu listelenir.</t>
        </is>
      </c>
    </row>
    <row r="47" ht="15" customHeight="1" s="72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B46:I47"/>
    <mergeCell ref="A3:I3"/>
    <mergeCell ref="B45:I45"/>
  </mergeCells>
  <dataValidations count="19">
    <dataValidation sqref="B7" showDropDown="0" showInputMessage="1" showErrorMessage="1" allowBlank="0" error="Değer geçersiz; alan açıklamasına uygun bir değer girin." promptTitle="FirmaUnvan" prompt="Rapor ve kapakta görünen firma adı." type="textLength" errorStyle="stop" operator="between">
      <formula1>1</formula1>
      <formula2>200</formula2>
    </dataValidation>
    <dataValidation sqref="B8" showDropDown="0" showInputMessage="1" showErrorMessage="1" allowBlank="0" error="Değer geçersiz; alan açıklamasına uygun bir değer girin." promptTitle="RaporTarihi" prompt="Tüm hesapların ve kararın alındığı tarih." type="date" errorStyle="stop" operator="greaterThanOrEqual">
      <formula1>2020-1-1</formula1>
      <formula2>0</formula2>
    </dataValidation>
    <dataValidation sqref="B9" showDropDown="0" showInputMessage="1" showErrorMessage="1" allowBlank="0" error="Değer geçersiz; alan açıklamasına uygun bir değer girin." promptTitle="RaporHazirlayan" prompt="Raporu hazırlayan kişi/rol." type="textLength" errorStyle="stop" operator="between">
      <formula1>1</formula1>
      <formula2>200</formula2>
    </dataValidation>
    <dataValidation sqref="B10" showDropDown="0" showInputMessage="1" showErrorMessage="1" allowBlank="0" error="Değer geçersiz; alan açıklamasına uygun bir değer girin." promptTitle="DosyaSurumu" prompt="Ürün sürüm bilgisi; rapor alt bilgisinde görünür." type="textLength" errorStyle="stop" operator="between">
      <formula1>1</formula1>
      <formula2>200</formula2>
    </dataValidation>
    <dataValidation sqref="B11" showDropDown="0" showInputMessage="1" showErrorMessage="1" allowBlank="0" error="Değer geçersiz; alan açıklamasına uygun bir değer girin." promptTitle="PosNetHedefOran" prompt="Hedef net tahsilat oranı; bu değerin altındaki oran İNCELE kararı üretir." type="decimal" errorStyle="stop" operator="between">
      <formula1>0.5</formula1>
      <formula2>1</formula2>
    </dataValidation>
    <dataValidation sqref="B12" showDropDown="0" showInputMessage="1" showErrorMessage="1" allowBlank="0" error="Değer geçersiz; alan açıklamasına uygun bir değer girin." promptTitle="PosIadeRiskEsik" prompt="İade oranı bu eşiği aşarsa kanal riskli işaretlenir." type="decimal" errorStyle="stop" operator="between">
      <formula1>0</formula1>
      <formula2>1</formula2>
    </dataValidation>
    <dataValidation sqref="B13" showDropDown="0" showInputMessage="1" showErrorMessage="1" allowBlank="0" error="Değer geçersiz; alan açıklamasına uygun bir değer girin." promptTitle="PosKomisyonRiskEsik" prompt="Komisyon oranı bu eşiği aşarsa karar DURDUR olur." type="decimal" errorStyle="stop" operator="between">
      <formula1>0</formula1>
      <formula2>0.5</formula2>
    </dataValidation>
    <dataValidation sqref="B14" showDropDown="0" showInputMessage="1" showErrorMessage="1" allowBlank="0" error="Değer geçersiz; alan açıklamasına uygun bir değer girin." promptTitle="PosIyiSenaryo" prompt="İyimser senaryoda net tahsilat bu çarpanla hesaplanır." type="decimal" errorStyle="stop" operator="between">
      <formula1>0.5</formula1>
      <formula2>1.5</formula2>
    </dataValidation>
    <dataValidation sqref="B15" showDropDown="0" showInputMessage="1" showErrorMessage="1" allowBlank="0" error="Değer geçersiz; alan açıklamasına uygun bir değer girin." promptTitle="PosBazSenaryo" prompt="Baz senaryoda net tahsilat bu çarpanla hesaplanır." type="decimal" errorStyle="stop" operator="between">
      <formula1>0.5</formula1>
      <formula2>1.5</formula2>
    </dataValidation>
    <dataValidation sqref="B16" showDropDown="0" showInputMessage="1" showErrorMessage="1" allowBlank="0" error="Değer geçersiz; alan açıklamasına uygun bir değer girin." promptTitle="PosKotuSenaryo" prompt="Kötümser senaryoda net tahsilat bu çarpanla hesaplanır." type="decimal" errorStyle="stop" operator="between">
      <formula1>0.5</formula1>
      <formula2>1.5</formula2>
    </dataValidation>
    <dataValidation sqref="B17" showDropDown="0" showInputMessage="1" showErrorMessage="1" allowBlank="0" error="Değer geçersiz; alan açıklamasına uygun bir değer girin." promptTitle="PosTornadoKomisyon" prompt="Komisyon oranının %1 puan artışının net tahsilata etkisi." type="decimal" errorStyle="stop" operator="between">
      <formula1>0</formula1>
      <formula2>0.2</formula2>
    </dataValidation>
    <dataValidation sqref="B18" showDropDown="0" showInputMessage="1" showErrorMessage="1" allowBlank="0" error="Değer geçersiz; alan açıklamasına uygun bir değer girin." promptTitle="PosTornadoIade" prompt="İade oranının %1 puan artışının net tahsilata etkisi." type="decimal" errorStyle="stop" operator="between">
      <formula1>0</formula1>
      <formula2>0.2</formula2>
    </dataValidation>
    <dataValidation sqref="B19" showDropDown="0" showInputMessage="1" showErrorMessage="1" allowBlank="0" error="Değer geçersiz; alan açıklamasına uygun bir değer girin." promptTitle="PosTahminCarpan" prompt="Tahmin bandı genişliği (standart sapma katı)." type="decimal" errorStyle="stop" operator="between">
      <formula1>0</formula1>
      <formula2>3</formula2>
    </dataValidation>
    <dataValidation sqref="B20" showDropDown="0" showInputMessage="1" showErrorMessage="1" allowBlank="0" error="Değer geçersiz; alan açıklamasına uygun bir değer girin." promptTitle="PosKaliteIyi" prompt="Kalite skoru bu eşiğin üzerindeyse YÜKSEK kalite." type="decimal" errorStyle="stop" operator="between">
      <formula1>0</formula1>
      <formula2>100</formula2>
    </dataValidation>
    <dataValidation sqref="B21" showDropDown="0" showInputMessage="1" showErrorMessage="1" allowBlank="0" error="Değer geçersiz; alan açıklamasına uygun bir değer girin." promptTitle="PosKaliteOrta" prompt="Kalite skoru bu eşiğin üzerindeyse ORTA kalite." type="decimal" errorStyle="stop" operator="between">
      <formula1>0</formula1>
      <formula2>100</formula2>
    </dataValidation>
    <dataValidation sqref="B22" showDropDown="0" showInputMessage="1" showErrorMessage="1" allowBlank="0" error="Değer geçersiz; alan açıklamasına uygun bir değer girin." promptTitle="PosAksiyon1_ACIKLAMA" prompt="DURDUR kararında gösterilen ilk öneri." type="textLength" errorStyle="stop" operator="between">
      <formula1>1</formula1>
      <formula2>200</formula2>
    </dataValidation>
    <dataValidation sqref="B23" showDropDown="0" showInputMessage="1" showErrorMessage="1" allowBlank="0" error="Değer geçersiz; alan açıklamasına uygun bir değer girin." promptTitle="PosAksiyon2_ACIKLAMA" prompt="İNCELE kararında gösterilen ikinci öneri." type="textLength" errorStyle="stop" operator="between">
      <formula1>1</formula1>
      <formula2>200</formula2>
    </dataValidation>
    <dataValidation sqref="B24" showDropDown="0" showInputMessage="1" showErrorMessage="1" allowBlank="0" error="Değer geçersiz; alan açıklamasına uygun bir değer girin." promptTitle="PosAksiyon3_ACIKLAMA" prompt="İNCELE kararında gösterilen üçüncü öneri." type="textLength" errorStyle="stop" operator="between">
      <formula1>1</formula1>
      <formula2>200</formula2>
    </dataValidation>
    <dataValidation sqref="B25" showDropDown="0" showInputMessage="1" showErrorMessage="1" allowBlank="0" error="Değer geçersiz; alan açıklamasına uygun bir değer girin." promptTitle="PosP90Oran" prompt="Net tahsilat dağılımında üst yüzdelik dilimin oranı." type="decimal" errorStyle="stop" operator="between">
      <formula1>0.5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T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9.5" customWidth="1" style="98" min="1" max="1"/>
    <col width="165.5" customWidth="1" style="98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  <col width="13" customWidth="1" style="72" min="8" max="8"/>
    <col width="13" customWidth="1" style="72" min="9" max="9"/>
    <col width="13" customWidth="1" style="72" min="10" max="10"/>
  </cols>
  <sheetData>
    <row r="1" ht="32" customHeight="1" s="72">
      <c r="A1" s="272" t="inlineStr">
        <is>
          <t>KILAVUZ — POS, Komisyon ve Net Tahsilat Kontrol Sistemi</t>
        </is>
      </c>
    </row>
    <row r="2"/>
    <row r="3" ht="22" customHeight="1" s="72">
      <c r="A3" s="292" t="inlineStr">
        <is>
          <t>Kullanım Kılavuzu</t>
        </is>
      </c>
    </row>
    <row r="4"/>
    <row r="5" ht="15" customHeight="1" s="72">
      <c r="A5" s="107" t="inlineStr">
        <is>
          <t>Veri girişi</t>
        </is>
      </c>
      <c r="B5" s="103" t="inlineStr">
        <is>
          <t>POS_HAREKETLER sayfasında sarı hücrelere işlem girin. Kanalı listeden seçin, tarihi GG.AA.YYYY biçiminde yazın, komisyonu katsayı olarak girin (örnek %3 = 0,03).</t>
        </is>
      </c>
    </row>
    <row r="6" ht="15" customHeight="1" s="72">
      <c r="A6" s="107" t="inlineStr">
        <is>
          <t>Hesap katmanı</t>
        </is>
      </c>
      <c r="B6" s="103" t="inlineStr">
        <is>
          <t>HESAP sayfası kanal bazlı brüt, iade, komisyon ve net tahsilatı otomatik özetler.</t>
        </is>
      </c>
    </row>
    <row r="7" ht="15" customHeight="1" s="72">
      <c r="A7" s="107" t="inlineStr">
        <is>
          <t>Karar ve rapor</t>
        </is>
      </c>
      <c r="B7" s="103" t="inlineStr">
        <is>
          <t>KARAR sayfası UYGUN/İNCELE/DURDUR kararını üretir; RAPOR yöneticiye sunulabilir.</t>
        </is>
      </c>
    </row>
    <row r="8" ht="15" customHeight="1" s="72">
      <c r="A8" s="107" t="inlineStr">
        <is>
          <t>Ayarlar</t>
        </is>
      </c>
      <c r="B8" s="103" t="inlineStr">
        <is>
          <t>AYARLAR sayfasındaki eşikleri ve çarpanları mali müşavir veya kendi tecrübenize göre güncelleyin.</t>
        </is>
      </c>
    </row>
    <row r="9" ht="15" customHeight="1" s="72">
      <c r="A9" s="107" t="inlineStr">
        <is>
          <t>Koruma</t>
        </is>
      </c>
      <c r="B9" s="103" t="inlineStr">
        <is>
          <t>Tüm sayfalar 1234 şifresiyle korunur; sarı hücreler serbesttir, formül hücreleri kilitlidir.</t>
        </is>
      </c>
    </row>
    <row r="10"/>
    <row r="11" ht="24.75" customHeight="1" s="72">
      <c r="A11" s="110" t="inlineStr">
        <is>
          <t>Bu dosya karar destek aracıdır; muhasebe kaydı ve vergi beyanı niteliği taşımaz.</t>
        </is>
      </c>
    </row>
    <row r="12"/>
    <row r="13" ht="15" customHeight="1" s="72">
      <c r="A13" s="102" t="inlineStr">
        <is>
          <t>Varsayım İşaretli Parametreler</t>
        </is>
      </c>
    </row>
    <row r="14" ht="41.25" customHeight="1" s="72">
      <c r="A14" s="103" t="inlineStr">
        <is>
          <t>Aşağıdaki eşik ve çarpanlar AYARLAR sayfasında kaynak=Varsayım olarak işaretlidir; mevzuat zorunluluğu yoktur ve işletmeye göre güncellenmelidir.</t>
        </is>
      </c>
      <c r="B14" s="98" t="n"/>
    </row>
    <row r="15" ht="15" customHeight="1" s="72">
      <c r="A15" s="160" t="inlineStr">
        <is>
          <t>• Hedef Net Tahsilat Oranı</t>
        </is>
      </c>
    </row>
    <row r="16" ht="15" customHeight="1" s="72">
      <c r="A16" s="160" t="inlineStr">
        <is>
          <t>• İade Oranı Risk Eşiği</t>
        </is>
      </c>
    </row>
    <row r="17" ht="15" customHeight="1" s="72">
      <c r="A17" s="160" t="inlineStr">
        <is>
          <t>• Komisyon Oranı Risk Eşiği</t>
        </is>
      </c>
    </row>
    <row r="18" ht="15" customHeight="1" s="72">
      <c r="A18" s="160" t="inlineStr">
        <is>
          <t>• İyimser, Baz ve Kötümser Senaryo Çarpanları</t>
        </is>
      </c>
    </row>
    <row r="19" ht="15" customHeight="1" s="72">
      <c r="A19" s="160" t="inlineStr">
        <is>
          <t>• Tornado Komisyon ve İade Etkisi Oranları</t>
        </is>
      </c>
    </row>
    <row r="20" ht="15" customHeight="1" s="72">
      <c r="A20" s="160" t="inlineStr">
        <is>
          <t>• Tahmin Çarpanı (standart sapma katı)</t>
        </is>
      </c>
    </row>
    <row r="21" ht="15" customHeight="1" s="72">
      <c r="A21" s="160" t="inlineStr">
        <is>
          <t>• Kalite Skoru İyi ve Orta Eşikleri</t>
        </is>
      </c>
    </row>
    <row r="22" ht="15" customHeight="1" s="72">
      <c r="A22" s="160" t="inlineStr">
        <is>
          <t>• P90 Yüzdelik Oranı</t>
        </is>
      </c>
    </row>
    <row r="23" ht="15" customHeight="1" s="72">
      <c r="A23" s="160" t="inlineStr">
        <is>
          <t>• Aksiyon Önerisi Açıklamaları</t>
        </is>
      </c>
    </row>
    <row r="24"/>
    <row r="25" ht="24.75" customHeight="1" s="72">
      <c r="A25" s="110" t="inlineStr">
        <is>
          <t>Bu dosya tamamen çevrimdışı çalışır; verileriniz cihazınızdan çıkmaz. Makro ve dış bağlantı yoktur.</t>
        </is>
      </c>
      <c r="B25" s="98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B25:T25"/>
    <mergeCell ref="B5:T5"/>
    <mergeCell ref="B14:T14"/>
    <mergeCell ref="B8:T8"/>
    <mergeCell ref="B9:T9"/>
    <mergeCell ref="A1:I1"/>
    <mergeCell ref="A3:I3"/>
    <mergeCell ref="B6:T6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2026-08-10T09:59:49Z</dcterms:created>
  <dcterms:modified xmlns:dcterms="http://purl.org/dc/terms/" xmlns:xsi="http://www.w3.org/2001/XMLSchema-instance" xsi:type="dcterms:W3CDTF">2026-09-25T21:23:14Z</dcterms:modified>
  <cp:revision>0</cp:revision>
</cp:coreProperties>
</file>