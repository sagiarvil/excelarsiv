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tables/table3.xml" ContentType="application/vnd.openxmlformats-officedocument.spreadsheetml.table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5.xml" ContentType="application/vnd.openxmlformats-officedocument.spreadsheetml.comments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HIZLI_BASLANGIC" sheetId="5" state="visible" r:id="rId5"/>
    <sheet xmlns:r="http://schemas.openxmlformats.org/officeDocument/2006/relationships" name="GIRDI" sheetId="6" state="visible" r:id="rId6"/>
    <sheet xmlns:r="http://schemas.openxmlformats.org/officeDocument/2006/relationships" name="KURALL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SENARYO" sheetId="9" state="visible" r:id="rId9"/>
    <sheet xmlns:r="http://schemas.openxmlformats.org/officeDocument/2006/relationships" name="VAKALAR" sheetId="10" state="visible" r:id="rId10"/>
    <sheet xmlns:r="http://schemas.openxmlformats.org/officeDocument/2006/relationships" name="KANIT_RAPORU" sheetId="11" state="visible" r:id="rId11"/>
    <sheet xmlns:r="http://schemas.openxmlformats.org/officeDocument/2006/relationships" name="KONTROLLER" sheetId="12" state="visible" r:id="rId12"/>
    <sheet xmlns:r="http://schemas.openxmlformats.org/officeDocument/2006/relationships" name="ORNEK_VERI" sheetId="13" state="visible" r:id="rId13"/>
    <sheet xmlns:r="http://schemas.openxmlformats.org/officeDocument/2006/relationships" name="LISTELER" sheetId="14" state="visible" r:id="rId14"/>
    <sheet xmlns:r="http://schemas.openxmlformats.org/officeDocument/2006/relationships" name="AYARLAR" sheetId="15" state="visible" r:id="rId15"/>
    <sheet xmlns:r="http://schemas.openxmlformats.org/officeDocument/2006/relationships" name="KILAVUZ" sheetId="16" state="visible" r:id="rId16"/>
  </sheets>
  <definedNames>
    <definedName name="hesapYili">GIRDI!$B$8</definedName>
    <definedName name="raporTarihi">AYARLAR!$B$7</definedName>
    <definedName name="pfd_dscr">MOTOR!$G$27</definedName>
    <definedName name="pfd_llcr">MOTOR!$G$28</definedName>
    <definedName name="pfd_npv">MOTOR!$G$29</definedName>
    <definedName name="pfd_borcServisi">MOTOR!$G$30</definedName>
    <definedName name="pfd_kararMetni">MOTOR!$G$34</definedName>
    <definedName name="pfd_kararGerekce">MOTOR!$G$35</definedName>
    <definedName name="pfd_maddeAtifMetni">MOTOR!$G$52</definedName>
    <definedName name="pfd_kanitRaporu">MOTOR!$G$53</definedName>
    <definedName name="pfd_kuralYilMatris">KURALLAR!$B$17</definedName>
    <definedName name="pfd_parmakIzi">AYARLAR!$B$21</definedName>
    <definedName name="pfd_senaryoKarsilastirma">SENARYO!$B$11</definedName>
    <definedName name="pfd_yorumSenaryo">SENARYO!$B$12</definedName>
    <definedName name="pfd_duyarlilikSira">SENARYO!$B$19</definedName>
    <definedName name="pfd_yorumDuyarlilik">SENARYO!$B$20</definedName>
    <definedName name="pfd_kuralDegisimSenaryo">SENARYO!$B$22</definedName>
    <definedName name="pfd_yorumKuralDegisim">SENARYO!$B$23</definedName>
    <definedName name="pfd_tahminAralik">SENARYO!$B$32</definedName>
    <definedName name="pfd_yorumTahmin">SENARYO!$B$33</definedName>
    <definedName name="pfd_vakaDurum">VAKALAR!$B$12</definedName>
    <definedName name="pfd_vakaFark">VAKALAR!$B$13</definedName>
    <definedName name="pfd_tolerans">AYARLAR!$B$8</definedName>
    <definedName name="pfd_azamiEsik">AYARLAR!$B$9</definedName>
    <definedName name="pfd_kacirilanEsik">AYARLAR!$B$10</definedName>
    <definedName name="pfd_senaryoIyi">AYARLAR!$B$11</definedName>
    <definedName name="pfd_senaryoKotu">AYARLAR!$B$12</definedName>
    <definedName name="pfd_esikArtis">AYARLAR!$B$13</definedName>
    <definedName name="pfd_tahminAlt">AYARLAR!$B$14</definedName>
    <definedName name="pfd_tahminUst">AYARLAR!$B$15</definedName>
    <definedName name="pfd_tornadoCfads">AYARLAR!$B$16</definedName>
    <definedName name="pfd_tornadoServis">AYARLAR!$B$17</definedName>
    <definedName name="pfd_tornadoWacc">AYARLAR!$B$18</definedName>
    <definedName name="pfd_yorumBKesinti">AYARLAR!$B$19</definedName>
    <definedName name="pfd_yuzdelikOran">AYARLAR!$B$20</definedName>
    <definedName name="pfd_girisBeklenen">AYARLAR!$B$23</definedName>
    <definedName name="pfd_riskDusuk">AYARLAR!$B$24</definedName>
    <definedName name="pfd_riskOrta">AYARLAR!$B$25</definedName>
    <definedName name="pfd_riskYuksek">AYARLAR!$B$26</definedName>
    <definedName name="pfd_riskEsikOran">AYARLAR!$B$27</definedName>
    <definedName name="pfd_yilTaban">AYARLAR!$B$28</definedName>
    <definedName name="pfd_yuvarMax">AYARLAR!$B$29</definedName>
    <definedName name="pfd_dayanakCarpan">AYARLAR!$B$30</definedName>
    <definedName name="pfd_bazCarpan">AYARLAR!$B$31</definedName>
    <definedName name="pfd_sifirCarpan">AYARLAR!$B$32</definedName>
    <definedName name="pfd_siraBir">AYARLAR!$B$33</definedName>
    <definedName name="pfd_siraIki">AYARLAR!$B$34</definedName>
    <definedName name="pfd_siraUc">AYARLAR!$B$35</definedName>
    <definedName name="pfd_tahminX">AYARLAR!$B$36</definedName>
    <definedName name="vaka_cfads_1">AYARLAR!$B$37</definedName>
    <definedName name="vaka_cfads_2">AYARLAR!$B$38</definedName>
    <definedName name="vaka_servis_1">AYARLAR!$B$39</definedName>
    <definedName name="vaka_borc_1">AYARLAR!$B$40</definedName>
    <definedName name="vaka_donem_1">AYARLAR!$B$41</definedName>
    <definedName name="vaka_wacc_1">AYARLAR!$B$42</definedName>
    <definedName name="pfd_modulT1">PANO!$C$11</definedName>
    <definedName name="pfd_modulT1Yorum">PANO!$D$11</definedName>
    <definedName name="pfd_modulT2">PANO!$C$12</definedName>
    <definedName name="pfd_modulT2Yorum">PANO!$D$12</definedName>
    <definedName name="pfd_modulO1">PANO!$C$13</definedName>
    <definedName name="pfd_modulO1Yorum">PANO!$D$13</definedName>
    <definedName name="pfd_modulO6">PANO!$C$16</definedName>
    <definedName name="pfd_modulO6Yorum">PANO!$D$16</definedName>
    <definedName name="pfd_modulO8">PANO!$C$17</definedName>
    <definedName name="pfd_modulO8Yorum">PANO!$D$17</definedName>
    <definedName name="pfd_modulI2">PANO!$C$20</definedName>
    <definedName name="pfd_modulI2Yorum">PANO!$D$20</definedName>
    <definedName name="ListeYillar">LISTELER!$A$6:$A$8</definedName>
    <definedName name="ListeYorumAB">LISTELER!$C$6:$C$7</definedName>
    <definedName name="ListeEvetHayir">LISTELER!$E$6:$E$7</definedName>
    <definedName name="_xlnm.Print_Area" localSheetId="10">'KANIT_RAPORU'!$A$1:$F$34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[Red](0.0%);-"/>
    <numFmt numFmtId="165" formatCode="₺ #,##0;[Red](₺ #,##0);-"/>
    <numFmt numFmtId="166" formatCode="dd.mm.yyyy"/>
    <numFmt numFmtId="167" formatCode="#,##0 &quot;TL&quot;"/>
    <numFmt numFmtId="168" formatCode="0.0%"/>
    <numFmt numFmtId="169" formatCode="₺#,##0"/>
  </numFmts>
  <fonts count="7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595959"/>
      <sz val="9"/>
    </font>
    <font>
      <name val="Segoe UI"/>
      <b val="1"/>
      <color rgb="000F2742"/>
      <sz val="13"/>
    </font>
    <font>
      <name val="Segoe UI"/>
      <b val="1"/>
      <color rgb="000F2742"/>
      <sz val="10"/>
    </font>
    <font>
      <name val="Segoe UI"/>
      <b val="1"/>
      <color rgb="000F2742"/>
      <sz val="14"/>
    </font>
    <font>
      <name val="Segoe UI"/>
      <b val="1"/>
      <color rgb="00FFFFFF"/>
      <sz val="10"/>
    </font>
    <font>
      <name val="Segoe UI"/>
      <b val="1"/>
      <color rgb="00006100"/>
      <sz val="12"/>
    </font>
    <font>
      <name val="Segoe UI"/>
      <b val="1"/>
      <color rgb="00006100"/>
      <sz val="14"/>
    </font>
    <font>
      <name val="Segoe UI"/>
      <color rgb="00006100"/>
      <sz val="10"/>
    </font>
    <font>
      <name val="Segoe UI"/>
      <b val="1"/>
      <color rgb="00B08948"/>
      <sz val="10"/>
    </font>
    <font>
      <name val="Segoe UI"/>
      <b val="1"/>
      <color rgb="00595959"/>
      <sz val="10"/>
    </font>
    <font>
      <name val="Segoe UI"/>
      <color rgb="00000000"/>
      <sz val="10"/>
    </font>
    <font>
      <name val="Segoe UI"/>
      <color rgb="001F4E79"/>
      <sz val="10"/>
    </font>
    <font>
      <name val="Segoe UI"/>
      <b val="1"/>
      <color rgb="00006100"/>
      <sz val="10"/>
    </font>
    <font>
      <name val="Segoe UI"/>
      <b val="1"/>
      <color rgb="00000000"/>
      <sz val="10"/>
    </font>
    <font>
      <name val="Segoe UI"/>
      <b val="1"/>
      <color rgb="00000000"/>
      <sz val="12"/>
    </font>
    <font>
      <name val="Segoe UI"/>
      <b val="1"/>
      <color rgb="00B3261E"/>
      <sz val="12"/>
    </font>
    <font>
      <name val="Segoe UI"/>
      <color rgb="00B3261E"/>
      <sz val="10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DDEBF7"/>
        <bgColor rgb="00DDEBF7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 wrapText="1"/>
    </xf>
    <xf numFmtId="0" fontId="10" fillId="3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164" fontId="13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3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left" vertical="center"/>
    </xf>
    <xf numFmtId="3" fontId="3" fillId="0" borderId="0" applyAlignment="1" pivotButton="0" quotePrefix="0" xfId="0">
      <alignment horizontal="left" vertical="center"/>
    </xf>
    <xf numFmtId="165" fontId="3" fillId="0" borderId="0" applyAlignment="1" pivotButton="0" quotePrefix="0" xfId="0">
      <alignment horizontal="left" vertical="center"/>
    </xf>
    <xf numFmtId="0" fontId="17" fillId="4" borderId="0" applyAlignment="1" applyProtection="1" pivotButton="0" quotePrefix="0" xfId="0">
      <alignment horizontal="left" vertical="center"/>
      <protection locked="0" hidden="0"/>
    </xf>
    <xf numFmtId="0" fontId="3" fillId="0" borderId="0" applyAlignment="1" pivotButton="0" quotePrefix="0" xfId="0">
      <alignment horizontal="left" vertical="center"/>
    </xf>
    <xf numFmtId="3" fontId="17" fillId="4" borderId="0" applyAlignment="1" applyProtection="1" pivotButton="0" quotePrefix="0" xfId="0">
      <alignment horizontal="left" vertical="center"/>
      <protection locked="0" hidden="0"/>
    </xf>
    <xf numFmtId="165" fontId="17" fillId="4" borderId="0" applyAlignment="1" applyProtection="1" pivotButton="0" quotePrefix="0" xfId="0">
      <alignment horizontal="left" vertical="center"/>
      <protection locked="0" hidden="0"/>
    </xf>
    <xf numFmtId="164" fontId="17" fillId="4" borderId="0" applyAlignment="1" applyProtection="1" pivotButton="0" quotePrefix="0" xfId="0">
      <alignment horizontal="left" vertical="center"/>
      <protection locked="0" hidden="0"/>
    </xf>
    <xf numFmtId="164" fontId="18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0" fillId="4" borderId="0" applyProtection="1" pivotButton="0" quotePrefix="0" xfId="0">
      <protection locked="0" hidden="0"/>
    </xf>
    <xf numFmtId="0" fontId="0" fillId="6" borderId="0" pivotButton="0" quotePrefix="0" xfId="0"/>
    <xf numFmtId="3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164" fontId="0" fillId="4" borderId="0" applyProtection="1" pivotButton="0" quotePrefix="0" xfId="0">
      <protection locked="0" hidden="0"/>
    </xf>
    <xf numFmtId="0" fontId="1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0" borderId="0" applyAlignment="1" pivotButton="0" quotePrefix="0" xfId="0">
      <alignment horizontal="left" vertical="center" wrapText="1"/>
    </xf>
    <xf numFmtId="164" fontId="5" fillId="4" borderId="0" applyAlignment="1" applyProtection="1" pivotButton="0" quotePrefix="0" xfId="0">
      <alignment horizontal="left" vertical="center"/>
      <protection locked="0" hidden="0"/>
    </xf>
    <xf numFmtId="3" fontId="5" fillId="4" borderId="0" applyAlignment="1" applyProtection="1" pivotButton="0" quotePrefix="0" xfId="0">
      <alignment horizontal="left" vertical="center"/>
      <protection locked="0" hidden="0"/>
    </xf>
    <xf numFmtId="3" fontId="16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left" vertical="center" wrapText="1"/>
    </xf>
    <xf numFmtId="3" fontId="13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64" fontId="13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/>
    </xf>
    <xf numFmtId="2" fontId="13" fillId="6" borderId="0" applyAlignment="1" pivotButton="0" quotePrefix="0" xfId="0">
      <alignment horizontal="left" vertical="center"/>
    </xf>
    <xf numFmtId="0" fontId="13" fillId="6" borderId="0" applyAlignment="1" pivotButton="0" quotePrefix="0" xfId="0">
      <alignment horizontal="left" vertical="center"/>
    </xf>
    <xf numFmtId="3" fontId="5" fillId="0" borderId="0" applyAlignment="1" pivotButton="0" quotePrefix="0" xfId="0">
      <alignment horizontal="left" vertical="center"/>
    </xf>
    <xf numFmtId="3" fontId="13" fillId="6" borderId="0" applyAlignment="1" pivotButton="0" quotePrefix="0" xfId="0">
      <alignment horizontal="left" vertical="center"/>
    </xf>
    <xf numFmtId="2" fontId="13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6" fontId="13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6" fillId="4" borderId="0" applyAlignment="1" applyProtection="1" pivotButton="0" quotePrefix="0" xfId="0">
      <alignment horizontal="left" vertical="center"/>
      <protection locked="0" hidden="0"/>
    </xf>
    <xf numFmtId="0" fontId="6" fillId="0" borderId="0" applyAlignment="1" pivotButton="0" quotePrefix="0" xfId="0">
      <alignment horizontal="left" vertical="center" wrapText="1"/>
    </xf>
    <xf numFmtId="0" fontId="5" fillId="4" borderId="0" applyAlignment="1" applyProtection="1" pivotButton="0" quotePrefix="0" xfId="0">
      <alignment horizontal="left" vertical="center"/>
      <protection locked="0" hidden="0"/>
    </xf>
    <xf numFmtId="165" fontId="5" fillId="4" borderId="0" applyAlignment="1" applyProtection="1" pivotButton="0" quotePrefix="0" xfId="0">
      <alignment horizontal="left" vertical="center"/>
      <protection locked="0" hidden="0"/>
    </xf>
    <xf numFmtId="0" fontId="13" fillId="0" borderId="0" applyAlignment="1" pivotButton="0" quotePrefix="0" xfId="0">
      <alignment horizontal="center" vertical="center"/>
    </xf>
    <xf numFmtId="166" fontId="5" fillId="4" borderId="0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3" fillId="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31" fillId="0" borderId="0" pivotButton="0" quotePrefix="0" xfId="0"/>
    <xf numFmtId="0" fontId="26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1" fillId="8" borderId="0" applyAlignment="1" pivotButton="0" quotePrefix="0" xfId="0">
      <alignment horizontal="center" vertical="center" wrapText="1"/>
    </xf>
    <xf numFmtId="0" fontId="27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2" fillId="0" borderId="0" pivotButton="0" quotePrefix="0" xfId="0"/>
    <xf numFmtId="0" fontId="33" fillId="7" borderId="0" applyAlignment="1" pivotButton="0" quotePrefix="0" xfId="0">
      <alignment horizontal="center" vertical="center"/>
    </xf>
    <xf numFmtId="0" fontId="34" fillId="0" borderId="0" pivotButton="0" quotePrefix="0" xfId="0"/>
    <xf numFmtId="167" fontId="34" fillId="0" borderId="0" pivotButton="0" quotePrefix="0" xfId="0"/>
    <xf numFmtId="167" fontId="35" fillId="0" borderId="0" pivotButton="0" quotePrefix="0" xfId="0"/>
    <xf numFmtId="168" fontId="34" fillId="0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8" fillId="7" borderId="0" applyAlignment="1" pivotButton="0" quotePrefix="0" xfId="0">
      <alignment horizontal="center" vertical="center"/>
    </xf>
    <xf numFmtId="0" fontId="33" fillId="7" borderId="0" applyAlignment="1" pivotButton="0" quotePrefix="0" xfId="0">
      <alignment horizontal="center"/>
    </xf>
    <xf numFmtId="0" fontId="35" fillId="0" borderId="0" pivotButton="0" quotePrefix="0" xfId="0"/>
    <xf numFmtId="0" fontId="39" fillId="9" borderId="2" pivotButton="0" quotePrefix="0" xfId="0"/>
    <xf numFmtId="0" fontId="40" fillId="0" borderId="0" pivotButton="0" quotePrefix="0" xfId="0"/>
    <xf numFmtId="0" fontId="41" fillId="0" borderId="0" pivotButton="0" quotePrefix="0" xfId="0"/>
    <xf numFmtId="0" fontId="34" fillId="0" borderId="0" applyAlignment="1" pivotButton="0" quotePrefix="0" xfId="0">
      <alignment wrapText="1"/>
    </xf>
    <xf numFmtId="0" fontId="42" fillId="0" borderId="0" pivotButton="0" quotePrefix="0" xfId="0"/>
    <xf numFmtId="0" fontId="43" fillId="0" borderId="2" applyAlignment="1" pivotButton="0" quotePrefix="0" xfId="0">
      <alignment horizontal="center" vertical="center"/>
    </xf>
    <xf numFmtId="0" fontId="33" fillId="10" borderId="0" applyAlignment="1" pivotButton="0" quotePrefix="0" xfId="0">
      <alignment horizontal="center" vertical="center"/>
    </xf>
    <xf numFmtId="0" fontId="24" fillId="0" borderId="0" pivotButton="0" quotePrefix="0" xfId="0"/>
    <xf numFmtId="0" fontId="30" fillId="0" borderId="3" pivotButton="0" quotePrefix="0" xfId="0"/>
    <xf numFmtId="0" fontId="0" fillId="0" borderId="2" pivotButton="0" quotePrefix="0" xfId="0"/>
    <xf numFmtId="0" fontId="44" fillId="11" borderId="2" applyAlignment="1" pivotButton="0" quotePrefix="0" xfId="0">
      <alignment horizontal="center"/>
    </xf>
    <xf numFmtId="0" fontId="30" fillId="0" borderId="4" pivotButton="0" quotePrefix="0" xfId="0"/>
    <xf numFmtId="0" fontId="46" fillId="12" borderId="2" applyAlignment="1" pivotButton="0" quotePrefix="0" xfId="0">
      <alignment horizontal="center"/>
    </xf>
    <xf numFmtId="0" fontId="45" fillId="13" borderId="2" applyAlignment="1" pivotButton="0" quotePrefix="0" xfId="0">
      <alignment horizontal="center"/>
    </xf>
    <xf numFmtId="0" fontId="3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6" fillId="0" borderId="3" pivotButton="0" quotePrefix="0" xfId="0"/>
    <xf numFmtId="0" fontId="47" fillId="0" borderId="4" pivotButton="0" quotePrefix="0" xfId="0"/>
    <xf numFmtId="0" fontId="48" fillId="0" borderId="5" pivotButton="0" quotePrefix="0" xfId="0"/>
    <xf numFmtId="0" fontId="45" fillId="0" borderId="3" pivotButton="0" quotePrefix="0" xfId="0"/>
    <xf numFmtId="0" fontId="40" fillId="0" borderId="4" pivotButton="0" quotePrefix="0" xfId="0"/>
    <xf numFmtId="0" fontId="45" fillId="0" borderId="5" pivotButton="0" quotePrefix="0" xfId="0"/>
    <xf numFmtId="0" fontId="49" fillId="14" borderId="0" applyAlignment="1" pivotButton="0" quotePrefix="0" xfId="0">
      <alignment horizontal="center"/>
    </xf>
    <xf numFmtId="0" fontId="50" fillId="0" borderId="0" pivotButton="0" quotePrefix="0" xfId="0"/>
    <xf numFmtId="0" fontId="49" fillId="15" borderId="0" applyAlignment="1" pivotButton="0" quotePrefix="0" xfId="0">
      <alignment horizontal="center" vertical="center"/>
    </xf>
    <xf numFmtId="0" fontId="50" fillId="0" borderId="2" pivotButton="0" quotePrefix="0" xfId="0"/>
    <xf numFmtId="0" fontId="51" fillId="0" borderId="2" pivotButton="0" quotePrefix="0" xfId="0"/>
    <xf numFmtId="0" fontId="52" fillId="0" borderId="2" pivotButton="0" quotePrefix="0" xfId="0"/>
    <xf numFmtId="0" fontId="53" fillId="16" borderId="2" applyAlignment="1" pivotButton="0" quotePrefix="0" xfId="0">
      <alignment horizontal="center"/>
    </xf>
    <xf numFmtId="0" fontId="49" fillId="7" borderId="0" pivotButton="0" quotePrefix="0" xfId="0"/>
    <xf numFmtId="0" fontId="54" fillId="7" borderId="0" pivotButton="0" quotePrefix="0" xfId="0"/>
    <xf numFmtId="0" fontId="55" fillId="7" borderId="0" pivotButton="0" quotePrefix="0" xfId="0"/>
    <xf numFmtId="0" fontId="0" fillId="7" borderId="0" pivotButton="0" quotePrefix="0" xfId="0"/>
    <xf numFmtId="0" fontId="27" fillId="7" borderId="0" applyAlignment="1" pivotButton="0" quotePrefix="0" xfId="0">
      <alignment horizontal="center"/>
    </xf>
    <xf numFmtId="0" fontId="43" fillId="0" borderId="0" pivotButton="0" quotePrefix="0" xfId="0"/>
    <xf numFmtId="0" fontId="58" fillId="17" borderId="0" pivotButton="0" quotePrefix="0" xfId="0"/>
    <xf numFmtId="0" fontId="0" fillId="17" borderId="0" pivotButton="0" quotePrefix="0" xfId="0"/>
    <xf numFmtId="0" fontId="45" fillId="0" borderId="0" pivotButton="0" quotePrefix="0" xfId="0"/>
    <xf numFmtId="0" fontId="33" fillId="17" borderId="0" pivotButton="0" quotePrefix="0" xfId="0"/>
    <xf numFmtId="0" fontId="59" fillId="17" borderId="0" applyAlignment="1" pivotButton="0" quotePrefix="0" xfId="0">
      <alignment wrapText="1"/>
    </xf>
    <xf numFmtId="0" fontId="56" fillId="0" borderId="0" pivotButton="0" quotePrefix="0" xfId="0"/>
    <xf numFmtId="0" fontId="57" fillId="0" borderId="0" pivotButton="0" quotePrefix="0" xfId="0"/>
    <xf numFmtId="0" fontId="45" fillId="13" borderId="6" applyAlignment="1" pivotButton="0" quotePrefix="0" xfId="0">
      <alignment horizontal="center" vertical="center"/>
    </xf>
    <xf numFmtId="0" fontId="60" fillId="18" borderId="0" applyAlignment="1" pivotButton="0" quotePrefix="0" xfId="0">
      <alignment horizontal="center" vertical="center"/>
    </xf>
    <xf numFmtId="0" fontId="24" fillId="19" borderId="2" applyAlignment="1" pivotButton="0" quotePrefix="0" xfId="0">
      <alignment vertical="center"/>
    </xf>
    <xf numFmtId="0" fontId="44" fillId="11" borderId="0" applyAlignment="1" pivotButton="0" quotePrefix="0" xfId="0">
      <alignment horizontal="center" vertical="center"/>
    </xf>
    <xf numFmtId="0" fontId="45" fillId="13" borderId="0" applyAlignment="1" pivotButton="0" quotePrefix="0" xfId="0">
      <alignment horizontal="center" vertical="center"/>
    </xf>
    <xf numFmtId="0" fontId="61" fillId="7" borderId="0" applyAlignment="1" pivotButton="0" quotePrefix="0" xfId="0">
      <alignment horizontal="center" vertical="center"/>
    </xf>
    <xf numFmtId="0" fontId="62" fillId="19" borderId="2" applyAlignment="1" pivotButton="0" quotePrefix="0" xfId="0">
      <alignment horizontal="center"/>
    </xf>
    <xf numFmtId="0" fontId="63" fillId="19" borderId="2" applyAlignment="1" pivotButton="0" quotePrefix="0" xfId="0">
      <alignment horizontal="center"/>
    </xf>
    <xf numFmtId="0" fontId="62" fillId="19" borderId="2" pivotButton="0" quotePrefix="0" xfId="0"/>
    <xf numFmtId="169" fontId="63" fillId="19" borderId="2" applyAlignment="1" pivotButton="0" quotePrefix="0" xfId="0">
      <alignment horizontal="right"/>
    </xf>
    <xf numFmtId="9" fontId="62" fillId="19" borderId="2" applyAlignment="1" pivotButton="0" quotePrefix="0" xfId="0">
      <alignment horizontal="center"/>
    </xf>
    <xf numFmtId="169" fontId="62" fillId="19" borderId="2" applyAlignment="1" pivotButton="0" quotePrefix="0" xfId="0">
      <alignment horizontal="right"/>
    </xf>
    <xf numFmtId="0" fontId="45" fillId="19" borderId="2" applyAlignment="1" pivotButton="0" quotePrefix="0" xfId="0">
      <alignment horizontal="center"/>
    </xf>
    <xf numFmtId="0" fontId="62" fillId="18" borderId="2" applyAlignment="1" pivotButton="0" quotePrefix="0" xfId="0">
      <alignment horizontal="center"/>
    </xf>
    <xf numFmtId="0" fontId="63" fillId="18" borderId="2" applyAlignment="1" pivotButton="0" quotePrefix="0" xfId="0">
      <alignment horizontal="center"/>
    </xf>
    <xf numFmtId="0" fontId="62" fillId="18" borderId="2" pivotButton="0" quotePrefix="0" xfId="0"/>
    <xf numFmtId="169" fontId="63" fillId="18" borderId="2" applyAlignment="1" pivotButton="0" quotePrefix="0" xfId="0">
      <alignment horizontal="right"/>
    </xf>
    <xf numFmtId="9" fontId="62" fillId="18" borderId="2" applyAlignment="1" pivotButton="0" quotePrefix="0" xfId="0">
      <alignment horizontal="center"/>
    </xf>
    <xf numFmtId="169" fontId="62" fillId="18" borderId="2" applyAlignment="1" pivotButton="0" quotePrefix="0" xfId="0">
      <alignment horizontal="right"/>
    </xf>
    <xf numFmtId="0" fontId="50" fillId="18" borderId="2" applyAlignment="1" pivotButton="0" quotePrefix="0" xfId="0">
      <alignment horizontal="center"/>
    </xf>
    <xf numFmtId="0" fontId="45" fillId="18" borderId="2" applyAlignment="1" pivotButton="0" quotePrefix="0" xfId="0">
      <alignment horizontal="center"/>
    </xf>
    <xf numFmtId="0" fontId="46" fillId="18" borderId="2" applyAlignment="1" pivotButton="0" quotePrefix="0" xfId="0">
      <alignment horizontal="center"/>
    </xf>
    <xf numFmtId="0" fontId="33" fillId="7" borderId="0" applyAlignment="1" pivotButton="0" quotePrefix="0" xfId="0">
      <alignment vertical="center" indent="1"/>
    </xf>
    <xf numFmtId="169" fontId="64" fillId="7" borderId="0" applyAlignment="1" pivotButton="0" quotePrefix="0" xfId="0">
      <alignment horizontal="right" vertical="center"/>
    </xf>
    <xf numFmtId="0" fontId="65" fillId="0" borderId="7" pivotButton="0" quotePrefix="0" xfId="0"/>
    <xf numFmtId="0" fontId="66" fillId="0" borderId="7" pivotButton="0" quotePrefix="0" xfId="0"/>
    <xf numFmtId="0" fontId="67" fillId="0" borderId="7" pivotButton="0" quotePrefix="0" xfId="0"/>
    <xf numFmtId="0" fontId="68" fillId="20" borderId="2" applyAlignment="1" pivotButton="0" quotePrefix="0" xfId="0">
      <alignment horizontal="center" vertical="center"/>
    </xf>
    <xf numFmtId="0" fontId="72" fillId="11" borderId="2" applyAlignment="1" pivotButton="0" quotePrefix="0" xfId="0">
      <alignment horizontal="center" vertical="center"/>
    </xf>
    <xf numFmtId="0" fontId="69" fillId="0" borderId="2" pivotButton="0" quotePrefix="0" xfId="0"/>
    <xf numFmtId="0" fontId="68" fillId="0" borderId="2" applyAlignment="1" pivotButton="0" quotePrefix="0" xfId="0">
      <alignment horizontal="right"/>
    </xf>
    <xf numFmtId="0" fontId="72" fillId="0" borderId="2" applyAlignment="1" pivotButton="0" quotePrefix="0" xfId="0">
      <alignment horizontal="right"/>
    </xf>
    <xf numFmtId="0" fontId="43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71" fillId="12" borderId="8" applyAlignment="1" pivotButton="0" quotePrefix="0" xfId="0">
      <alignment horizontal="center" vertical="center"/>
    </xf>
    <xf numFmtId="0" fontId="73" fillId="11" borderId="9" applyAlignment="1" pivotButton="0" quotePrefix="0" xfId="0">
      <alignment horizontal="center" vertical="center"/>
    </xf>
    <xf numFmtId="0" fontId="69" fillId="0" borderId="0" pivotButton="0" quotePrefix="0" xfId="0"/>
  </cellXfs>
  <cellStyles count="1">
    <cellStyle name="Normal" xfId="0" builtinId="0" hidden="0"/>
  </cellStyles>
  <dxfs count="7">
    <dxf>
      <font>
        <b val="1"/>
        <color rgb="00B3261E"/>
      </font>
      <fill>
        <patternFill patternType="solid">
          <fgColor rgb="00FDE9E9"/>
        </patternFill>
      </fill>
    </dxf>
    <dxf>
      <font>
        <b val="1"/>
        <color rgb="001F7A4D"/>
      </font>
      <fill>
        <patternFill patternType="solid">
          <fgColor rgb="00E2EFDA"/>
        </patternFill>
      </fill>
    </dxf>
    <dxf>
      <font>
        <b val="1"/>
        <color rgb="00B7791F"/>
      </font>
      <fill>
        <patternFill patternType="solid">
          <fgColor rgb="00FFF2CC"/>
        </patternFill>
      </fill>
    </dxf>
    <dxf>
      <font>
        <b val="1"/>
        <color rgb="001F7A4D"/>
      </font>
    </dxf>
    <dxf>
      <font>
        <b val="1"/>
        <color rgb="00B7791F"/>
      </font>
    </dxf>
    <dxf>
      <font>
        <b val="1"/>
        <color rgb="00B3261E"/>
      </font>
    </dxf>
    <dxf>
      <font>
        <b val="1"/>
        <color rgb="00B089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DSCR Karşılaştırması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'SENARYO'!G5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'SENARYO'!$A$6:$A$9</f>
            </numRef>
          </cat>
          <val>
            <numRef>
              <f>'SENARYO'!$G$6:$G$9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Duyarlılık Tornado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'SENARYO'!E15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'SENARYO'!$A$16:$A$18</f>
            </numRef>
          </cat>
          <val>
            <numRef>
              <f>'SENARYO'!$E$16:$E$18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Senaryo DSCR Trendi</a:t>
            </a:r>
          </a:p>
        </rich>
      </tx>
    </title>
    <plotArea>
      <lineChart>
        <grouping val="standard"/>
        <ser>
          <idx val="0"/>
          <order val="0"/>
          <tx>
            <strRef>
              <f>'SENARYO'!D27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'SENARYO'!$A$28:$A$31</f>
            </numRef>
          </cat>
          <val>
            <numRef>
              <f>'SENARYO'!$D$28:$D$31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Örnek Senaryo DSCR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'ORNEK_VERI'!B22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'ORNEK_VERI'!$A$23:$A$26</f>
            </numRef>
          </cat>
          <val>
            <numRef>
              <f>'ORNEK_VERI'!$B$23:$B$26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ExcelArşiv</author>
  </authors>
  <commentList>
    <comment ref="B6" authorId="0" shapeId="0">
      <text>
        <t>Tanım: Şirket / Proje Adı | Neden önemli: DSCR/LLCR kararını etkiler | Doğru kullanım: Proje veya şirket unvanını yazın. | Örnek: demo satırına bakın | Yanlışsa: DSCR, LLCR ve karar bozulur | Kaynak: Kredi sözleşmesi / PFD kuralları</t>
      </text>
    </comment>
    <comment ref="B7" authorId="0" shapeId="0">
      <text>
        <t>Tanım: Dönem | Neden önemli: DSCR/LLCR kararını etkiler | Doğru kullanım: Rapor dönemi veya hesap yılı referansını yazın. | Örnek: demo satırına bakın | Yanlışsa: DSCR, LLCR ve karar bozulur | Kaynak: Kredi sözleşmesi / PFD kuralları</t>
      </text>
    </comment>
    <comment ref="B8" authorId="0" shapeId="0">
      <text>
        <t>Tanım: Hesap Yılı | Neden önemli: DSCR/LLCR kararını etkiler | Doğru kullanım: 2025, 2026 veya 2027 seçin. | Örnek: demo satırına bakın | Yanlışsa: DSCR, LLCR ve karar bozulur | Kaynak: Kredi sözleşmesi / PFD kuralları</t>
      </text>
    </comment>
    <comment ref="B9" authorId="0" shapeId="0">
      <text>
        <t>Tanım: FAVÖK / CFADS [₺] | Neden önemli: DSCR/LLCR kararını etkiler | Doğru kullanım: Dönem borç servisine uygun nakit akışını (CFADS) TL girin. | Örnek: demo satırına bakın | Yanlışsa: DSCR, LLCR ve karar bozulur | Kaynak: Kredi sözleşmesi / PFD kuralları</t>
      </text>
    </comment>
    <comment ref="B10" authorId="0" shapeId="0">
      <text>
        <t>Tanım: Anapara Ödemesi [₺] | Neden önemli: DSCR/LLCR kararını etkiler | Doğru kullanım: Dönem anapara ödemesini TL girin. | Örnek: demo satırına bakın | Yanlışsa: DSCR, LLCR ve karar bozulur | Kaynak: Kredi sözleşmesi / PFD kuralları</t>
      </text>
    </comment>
    <comment ref="B11" authorId="0" shapeId="0">
      <text>
        <t>Tanım: Faiz Ödemesi [₺] | Neden önemli: DSCR/LLCR kararını etkiler | Doğru kullanım: Dönem faiz ödemesini TL girin. | Örnek: demo satırına bakın | Yanlışsa: DSCR, LLCR ve karar bozulur | Kaynak: Kredi sözleşmesi / PFD kuralları</t>
      </text>
    </comment>
    <comment ref="B12" authorId="0" shapeId="0">
      <text>
        <t>Tanım: Kredi Bakiyesi [₺] | Neden önemli: DSCR/LLCR kararını etkiler | Doğru kullanım: Dönem sonu kalan kredi bakiyesini TL girin. | Örnek: demo satırına bakın | Yanlışsa: DSCR, LLCR ve karar bozulur | Kaynak: Kredi sözleşmesi / PFD kuralları</t>
      </text>
    </comment>
    <comment ref="B13" authorId="0" shapeId="0">
      <text>
        <t>Tanım: Faiz Oranı [%] | Neden önemli: DSCR/LLCR kararını etkiler | Doğru kullanım: Sözleşme faiz oranını ondalık veya yüzde olarak girin. | Örnek: demo satırına bakın | Yanlışsa: DSCR, LLCR ve karar bozulur | Kaynak: Kredi sözleşmesi / PFD kuralları</t>
      </text>
    </comment>
    <comment ref="B14" authorId="0" shapeId="0">
      <text>
        <t>Tanım: Vade [yıl] | Neden önemli: DSCR/LLCR kararını etkiler | Doğru kullanım: Kredi vadesini yıl cinsinden girin. | Örnek: demo satırına bakın | Yanlışsa: DSCR, LLCR ve karar bozulur | Kaynak: Kredi sözleşmesi / PFD kuralları</t>
      </text>
    </comment>
    <comment ref="B15" authorId="0" shapeId="0">
      <text>
        <t>Tanım: LLCR Dönem Sayısı | Neden önemli: DSCR/LLCR kararını etkiler | Doğru kullanım: LLCR NPV hesabında kullanılacak dönem sayısını girin. | Örnek: demo satırına bakın | Yanlışsa: DSCR, LLCR ve karar bozulur | Kaynak: Kredi sözleşmesi / PFD kuralları</t>
      </text>
    </comment>
    <comment ref="B16" authorId="0" shapeId="0">
      <text>
        <t>Tanım: WACC [%] | Neden önemli: DSCR/LLCR kararını etkiler | Doğru kullanım: İsteğe bağlı iskonto oranı; boş/0 ise düz toplam kullanılır. | Örnek: demo satırına bakın | Yanlışsa: DSCR, LLCR ve karar bozulur | Kaynak: Kredi sözleşmesi / PFD kuralları</t>
      </text>
    </comment>
    <comment ref="B17" authorId="0" shapeId="0">
      <text>
        <t>Tanım: Yorum Modu (A/B) | Neden önemli: DSCR/LLCR kararını etkiler | Doğru kullanım: CFADS yorumu A (brüt) veya B (rezerv kesintili) seçin. | Örnek: demo satırına bakın | Yanlışsa: DSCR, LLCR ve karar bozulur | Kaynak: Kredi sözleşmesi / PFD kuralları</t>
      </text>
    </comment>
    <comment ref="A26" authorId="0" shapeId="0">
      <text>
        <t>Tanım: sirket_adi | Neden önemli: DSCR/LLCR kararını etkiler | Doğru kullanım: Tablo girişi; PANO ile senkron tutun | Örnek: demo satırına bakın | Yanlışsa: DSCR, LLCR ve karar bozulur | Kaynak: Kredi sözleşmesi / PFD kuralları</t>
      </text>
    </comment>
    <comment ref="B26" authorId="0" shapeId="0">
      <text>
        <t>Tanım: sirket_adi | Neden önemli: DSCR/LLCR kararını etkiler | Doğru kullanım: Tablo girişi; PANO ile senkron tutun | Örnek: demo satırına bakın | Yanlışsa: DSCR, LLCR ve karar bozulur | Kaynak: Kredi sözleşmesi / PFD kuralları</t>
      </text>
    </comment>
    <comment ref="C26" authorId="0" shapeId="0">
      <text>
        <t>Tanım: sirket_adi | Neden önemli: DSCR/LLCR kararını etkiler | Doğru kullanım: Tablo girişi; PANO ile senkron tutun | Örnek: demo satırına bakın | Yanlışsa: DSCR, LLCR ve karar bozulur | Kaynak: Kredi sözleşmesi / PFD kuralları</t>
      </text>
    </comment>
    <comment ref="D26" authorId="0" shapeId="0">
      <text>
        <t>Tanım: sirket_adi | Neden önemli: DSCR/LLCR kararını etkiler | Doğru kullanım: Tablo girişi; PANO ile senkron tutun | Örnek: demo satırına bakın | Yanlışsa: DSCR, LLCR ve karar bozulur | Kaynak: Kredi sözleşmesi / PFD kuralları</t>
      </text>
    </comment>
    <comment ref="E26" authorId="0" shapeId="0">
      <text>
        <t>Tanım: sirket_adi | Neden önemli: DSCR/LLCR kararını etkiler | Doğru kullanım: Tablo girişi; PANO ile senkron tutun | Örnek: demo satırına bakın | Yanlışsa: DSCR, LLCR ve karar bozulur | Kaynak: Kredi sözleşmesi / PFD kuralları</t>
      </text>
    </comment>
    <comment ref="A27" authorId="0" shapeId="0">
      <text>
        <t>Tanım: 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B27" authorId="0" shapeId="0">
      <text>
        <t>Tanım: 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C27" authorId="0" shapeId="0">
      <text>
        <t>Tanım: 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D27" authorId="0" shapeId="0">
      <text>
        <t>Tanım: 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E27" authorId="0" shapeId="0">
      <text>
        <t>Tanım: 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A28" authorId="0" shapeId="0">
      <text>
        <t>Tanım: hesapYili | Neden önemli: DSCR/LLCR kararını etkiler | Doğru kullanım: Tablo girişi; PANO ile senkron tutun | Örnek: demo satırına bakın | Yanlışsa: DSCR, LLCR ve karar bozulur | Kaynak: Kredi sözleşmesi / PFD kuralları</t>
      </text>
    </comment>
    <comment ref="B28" authorId="0" shapeId="0">
      <text>
        <t>Tanım: hesapYili | Neden önemli: DSCR/LLCR kararını etkiler | Doğru kullanım: Tablo girişi; PANO ile senkron tutun | Örnek: demo satırına bakın | Yanlışsa: DSCR, LLCR ve karar bozulur | Kaynak: Kredi sözleşmesi / PFD kuralları</t>
      </text>
    </comment>
    <comment ref="C28" authorId="0" shapeId="0">
      <text>
        <t>Tanım: hesapYili | Neden önemli: DSCR/LLCR kararını etkiler | Doğru kullanım: Tablo girişi; PANO ile senkron tutun | Örnek: demo satırına bakın | Yanlışsa: DSCR, LLCR ve karar bozulur | Kaynak: Kredi sözleşmesi / PFD kuralları</t>
      </text>
    </comment>
    <comment ref="D28" authorId="0" shapeId="0">
      <text>
        <t>Tanım: hesapYili | Neden önemli: DSCR/LLCR kararını etkiler | Doğru kullanım: Tablo girişi; PANO ile senkron tutun | Örnek: demo satırına bakın | Yanlışsa: DSCR, LLCR ve karar bozulur | Kaynak: Kredi sözleşmesi / PFD kuralları</t>
      </text>
    </comment>
    <comment ref="E28" authorId="0" shapeId="0">
      <text>
        <t>Tanım: hesapYili | Neden önemli: DSCR/LLCR kararını etkiler | Doğru kullanım: Tablo girişi; PANO ile senkron tutun | Örnek: demo satırına bakın | Yanlışsa: DSCR, LLCR ve karar bozulur | Kaynak: Kredi sözleşmesi / PFD kuralları</t>
      </text>
    </comment>
    <comment ref="A29" authorId="0" shapeId="0">
      <text>
        <t>Tanım: favok_cfads | Neden önemli: DSCR/LLCR kararını etkiler | Doğru kullanım: Tablo girişi; PANO ile senkron tutun | Örnek: demo satırına bakın | Yanlışsa: DSCR, LLCR ve karar bozulur | Kaynak: Kredi sözleşmesi / PFD kuralları</t>
      </text>
    </comment>
    <comment ref="B29" authorId="0" shapeId="0">
      <text>
        <t>Tanım: favok_cfads | Neden önemli: DSCR/LLCR kararını etkiler | Doğru kullanım: Tablo girişi; PANO ile senkron tutun | Örnek: demo satırına bakın | Yanlışsa: DSCR, LLCR ve karar bozulur | Kaynak: Kredi sözleşmesi / PFD kuralları</t>
      </text>
    </comment>
    <comment ref="C29" authorId="0" shapeId="0">
      <text>
        <t>Tanım: favok_cfads | Neden önemli: DSCR/LLCR kararını etkiler | Doğru kullanım: Tablo girişi; PANO ile senkron tutun | Örnek: demo satırına bakın | Yanlışsa: DSCR, LLCR ve karar bozulur | Kaynak: Kredi sözleşmesi / PFD kuralları</t>
      </text>
    </comment>
    <comment ref="D29" authorId="0" shapeId="0">
      <text>
        <t>Tanım: favok_cfads | Neden önemli: DSCR/LLCR kararını etkiler | Doğru kullanım: Tablo girişi; PANO ile senkron tutun | Örnek: demo satırına bakın | Yanlışsa: DSCR, LLCR ve karar bozulur | Kaynak: Kredi sözleşmesi / PFD kuralları</t>
      </text>
    </comment>
    <comment ref="E29" authorId="0" shapeId="0">
      <text>
        <t>Tanım: favok_cfads | Neden önemli: DSCR/LLCR kararını etkiler | Doğru kullanım: Tablo girişi; PANO ile senkron tutun | Örnek: demo satırına bakın | Yanlışsa: DSCR, LLCR ve karar bozulur | Kaynak: Kredi sözleşmesi / PFD kuralları</t>
      </text>
    </comment>
    <comment ref="A30" authorId="0" shapeId="0">
      <text>
        <t>Tanım: anapara | Neden önemli: DSCR/LLCR kararını etkiler | Doğru kullanım: Tablo girişi; PANO ile senkron tutun | Örnek: demo satırına bakın | Yanlışsa: DSCR, LLCR ve karar bozulur | Kaynak: Kredi sözleşmesi / PFD kuralları</t>
      </text>
    </comment>
    <comment ref="B30" authorId="0" shapeId="0">
      <text>
        <t>Tanım: anapara | Neden önemli: DSCR/LLCR kararını etkiler | Doğru kullanım: Tablo girişi; PANO ile senkron tutun | Örnek: demo satırına bakın | Yanlışsa: DSCR, LLCR ve karar bozulur | Kaynak: Kredi sözleşmesi / PFD kuralları</t>
      </text>
    </comment>
    <comment ref="C30" authorId="0" shapeId="0">
      <text>
        <t>Tanım: anapara | Neden önemli: DSCR/LLCR kararını etkiler | Doğru kullanım: Tablo girişi; PANO ile senkron tutun | Örnek: demo satırına bakın | Yanlışsa: DSCR, LLCR ve karar bozulur | Kaynak: Kredi sözleşmesi / PFD kuralları</t>
      </text>
    </comment>
    <comment ref="D30" authorId="0" shapeId="0">
      <text>
        <t>Tanım: anapara | Neden önemli: DSCR/LLCR kararını etkiler | Doğru kullanım: Tablo girişi; PANO ile senkron tutun | Örnek: demo satırına bakın | Yanlışsa: DSCR, LLCR ve karar bozulur | Kaynak: Kredi sözleşmesi / PFD kuralları</t>
      </text>
    </comment>
    <comment ref="E30" authorId="0" shapeId="0">
      <text>
        <t>Tanım: anapara | Neden önemli: DSCR/LLCR kararını etkiler | Doğru kullanım: Tablo girişi; PANO ile senkron tutun | Örnek: demo satırına bakın | Yanlışsa: DSCR, LLCR ve karar bozulur | Kaynak: Kredi sözleşmesi / PFD kuralları</t>
      </text>
    </comment>
    <comment ref="A31" authorId="0" shapeId="0">
      <text>
        <t>Tanım: faiz | Neden önemli: DSCR/LLCR kararını etkiler | Doğru kullanım: Tablo girişi; PANO ile senkron tutun | Örnek: demo satırına bakın | Yanlışsa: DSCR, LLCR ve karar bozulur | Kaynak: Kredi sözleşmesi / PFD kuralları</t>
      </text>
    </comment>
    <comment ref="B31" authorId="0" shapeId="0">
      <text>
        <t>Tanım: faiz | Neden önemli: DSCR/LLCR kararını etkiler | Doğru kullanım: Tablo girişi; PANO ile senkron tutun | Örnek: demo satırına bakın | Yanlışsa: DSCR, LLCR ve karar bozulur | Kaynak: Kredi sözleşmesi / PFD kuralları</t>
      </text>
    </comment>
    <comment ref="C31" authorId="0" shapeId="0">
      <text>
        <t>Tanım: faiz | Neden önemli: DSCR/LLCR kararını etkiler | Doğru kullanım: Tablo girişi; PANO ile senkron tutun | Örnek: demo satırına bakın | Yanlışsa: DSCR, LLCR ve karar bozulur | Kaynak: Kredi sözleşmesi / PFD kuralları</t>
      </text>
    </comment>
    <comment ref="D31" authorId="0" shapeId="0">
      <text>
        <t>Tanım: faiz | Neden önemli: DSCR/LLCR kararını etkiler | Doğru kullanım: Tablo girişi; PANO ile senkron tutun | Örnek: demo satırına bakın | Yanlışsa: DSCR, LLCR ve karar bozulur | Kaynak: Kredi sözleşmesi / PFD kuralları</t>
      </text>
    </comment>
    <comment ref="E31" authorId="0" shapeId="0">
      <text>
        <t>Tanım: faiz | Neden önemli: DSCR/LLCR kararını etkiler | Doğru kullanım: Tablo girişi; PANO ile senkron tutun | Örnek: demo satırına bakın | Yanlışsa: DSCR, LLCR ve karar bozulur | Kaynak: Kredi sözleşmesi / PFD kuralları</t>
      </text>
    </comment>
    <comment ref="A32" authorId="0" shapeId="0">
      <text>
        <t>Tanım: kredi_bakiyesi | Neden önemli: DSCR/LLCR kararını etkiler | Doğru kullanım: Tablo girişi; PANO ile senkron tutun | Örnek: demo satırına bakın | Yanlışsa: DSCR, LLCR ve karar bozulur | Kaynak: Kredi sözleşmesi / PFD kuralları</t>
      </text>
    </comment>
    <comment ref="B32" authorId="0" shapeId="0">
      <text>
        <t>Tanım: kredi_bakiyesi | Neden önemli: DSCR/LLCR kararını etkiler | Doğru kullanım: Tablo girişi; PANO ile senkron tutun | Örnek: demo satırına bakın | Yanlışsa: DSCR, LLCR ve karar bozulur | Kaynak: Kredi sözleşmesi / PFD kuralları</t>
      </text>
    </comment>
    <comment ref="C32" authorId="0" shapeId="0">
      <text>
        <t>Tanım: kredi_bakiyesi | Neden önemli: DSCR/LLCR kararını etkiler | Doğru kullanım: Tablo girişi; PANO ile senkron tutun | Örnek: demo satırına bakın | Yanlışsa: DSCR, LLCR ve karar bozulur | Kaynak: Kredi sözleşmesi / PFD kuralları</t>
      </text>
    </comment>
    <comment ref="D32" authorId="0" shapeId="0">
      <text>
        <t>Tanım: kredi_bakiyesi | Neden önemli: DSCR/LLCR kararını etkiler | Doğru kullanım: Tablo girişi; PANO ile senkron tutun | Örnek: demo satırına bakın | Yanlışsa: DSCR, LLCR ve karar bozulur | Kaynak: Kredi sözleşmesi / PFD kuralları</t>
      </text>
    </comment>
    <comment ref="E32" authorId="0" shapeId="0">
      <text>
        <t>Tanım: kredi_bakiyesi | Neden önemli: DSCR/LLCR kararını etkiler | Doğru kullanım: Tablo girişi; PANO ile senkron tutun | Örnek: demo satırına bakın | Yanlışsa: DSCR, LLCR ve karar bozulur | Kaynak: Kredi sözleşmesi / PFD kuralları</t>
      </text>
    </comment>
    <comment ref="A33" authorId="0" shapeId="0">
      <text>
        <t>Tanım: faiz_orani | Neden önemli: DSCR/LLCR kararını etkiler | Doğru kullanım: Tablo girişi; PANO ile senkron tutun | Örnek: demo satırına bakın | Yanlışsa: DSCR, LLCR ve karar bozulur | Kaynak: Kredi sözleşmesi / PFD kuralları</t>
      </text>
    </comment>
    <comment ref="B33" authorId="0" shapeId="0">
      <text>
        <t>Tanım: faiz_orani | Neden önemli: DSCR/LLCR kararını etkiler | Doğru kullanım: Tablo girişi; PANO ile senkron tutun | Örnek: demo satırına bakın | Yanlışsa: DSCR, LLCR ve karar bozulur | Kaynak: Kredi sözleşmesi / PFD kuralları</t>
      </text>
    </comment>
    <comment ref="C33" authorId="0" shapeId="0">
      <text>
        <t>Tanım: faiz_orani | Neden önemli: DSCR/LLCR kararını etkiler | Doğru kullanım: Tablo girişi; PANO ile senkron tutun | Örnek: demo satırına bakın | Yanlışsa: DSCR, LLCR ve karar bozulur | Kaynak: Kredi sözleşmesi / PFD kuralları</t>
      </text>
    </comment>
    <comment ref="D33" authorId="0" shapeId="0">
      <text>
        <t>Tanım: faiz_orani | Neden önemli: DSCR/LLCR kararını etkiler | Doğru kullanım: Tablo girişi; PANO ile senkron tutun | Örnek: demo satırına bakın | Yanlışsa: DSCR, LLCR ve karar bozulur | Kaynak: Kredi sözleşmesi / PFD kuralları</t>
      </text>
    </comment>
    <comment ref="E33" authorId="0" shapeId="0">
      <text>
        <t>Tanım: faiz_orani | Neden önemli: DSCR/LLCR kararını etkiler | Doğru kullanım: Tablo girişi; PANO ile senkron tutun | Örnek: demo satırına bakın | Yanlışsa: DSCR, LLCR ve karar bozulur | Kaynak: Kredi sözleşmesi / PFD kuralları</t>
      </text>
    </comment>
    <comment ref="A34" authorId="0" shapeId="0">
      <text>
        <t>Tanım: vade | Neden önemli: DSCR/LLCR kararını etkiler | Doğru kullanım: Tablo girişi; PANO ile senkron tutun | Örnek: demo satırına bakın | Yanlışsa: DSCR, LLCR ve karar bozulur | Kaynak: Kredi sözleşmesi / PFD kuralları</t>
      </text>
    </comment>
    <comment ref="B34" authorId="0" shapeId="0">
      <text>
        <t>Tanım: vade | Neden önemli: DSCR/LLCR kararını etkiler | Doğru kullanım: Tablo girişi; PANO ile senkron tutun | Örnek: demo satırına bakın | Yanlışsa: DSCR, LLCR ve karar bozulur | Kaynak: Kredi sözleşmesi / PFD kuralları</t>
      </text>
    </comment>
    <comment ref="C34" authorId="0" shapeId="0">
      <text>
        <t>Tanım: vade | Neden önemli: DSCR/LLCR kararını etkiler | Doğru kullanım: Tablo girişi; PANO ile senkron tutun | Örnek: demo satırına bakın | Yanlışsa: DSCR, LLCR ve karar bozulur | Kaynak: Kredi sözleşmesi / PFD kuralları</t>
      </text>
    </comment>
    <comment ref="D34" authorId="0" shapeId="0">
      <text>
        <t>Tanım: vade | Neden önemli: DSCR/LLCR kararını etkiler | Doğru kullanım: Tablo girişi; PANO ile senkron tutun | Örnek: demo satırına bakın | Yanlışsa: DSCR, LLCR ve karar bozulur | Kaynak: Kredi sözleşmesi / PFD kuralları</t>
      </text>
    </comment>
    <comment ref="E34" authorId="0" shapeId="0">
      <text>
        <t>Tanım: vade | Neden önemli: DSCR/LLCR kararını etkiler | Doğru kullanım: Tablo girişi; PANO ile senkron tutun | Örnek: demo satırına bakın | Yanlışsa: DSCR, LLCR ve karar bozulur | Kaynak: Kredi sözleşmesi / PFD kuralları</t>
      </text>
    </comment>
    <comment ref="A35" authorId="0" shapeId="0">
      <text>
        <t>Tanım: llcr_donem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B35" authorId="0" shapeId="0">
      <text>
        <t>Tanım: llcr_donem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C35" authorId="0" shapeId="0">
      <text>
        <t>Tanım: llcr_donem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D35" authorId="0" shapeId="0">
      <text>
        <t>Tanım: llcr_donem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E35" authorId="0" shapeId="0">
      <text>
        <t>Tanım: llcr_donem | Neden önemli: DSCR/LLCR kararını etkiler | Doğru kullanım: Tablo girişi; PANO ile senkron tutun | Örnek: demo satırına bakın | Yanlışsa: DSCR, LLCR ve karar bozulur | Kaynak: Kredi sözleşmesi / PFD kuralları</t>
      </text>
    </comment>
    <comment ref="A36" authorId="0" shapeId="0">
      <text>
        <t>Tanım: wacc | Neden önemli: DSCR/LLCR kararını etkiler | Doğru kullanım: Tablo girişi; PANO ile senkron tutun | Örnek: demo satırına bakın | Yanlışsa: DSCR, LLCR ve karar bozulur | Kaynak: Kredi sözleşmesi / PFD kuralları</t>
      </text>
    </comment>
    <comment ref="B36" authorId="0" shapeId="0">
      <text>
        <t>Tanım: wacc | Neden önemli: DSCR/LLCR kararını etkiler | Doğru kullanım: Tablo girişi; PANO ile senkron tutun | Örnek: demo satırına bakın | Yanlışsa: DSCR, LLCR ve karar bozulur | Kaynak: Kredi sözleşmesi / PFD kuralları</t>
      </text>
    </comment>
    <comment ref="C36" authorId="0" shapeId="0">
      <text>
        <t>Tanım: wacc | Neden önemli: DSCR/LLCR kararını etkiler | Doğru kullanım: Tablo girişi; PANO ile senkron tutun | Örnek: demo satırına bakın | Yanlışsa: DSCR, LLCR ve karar bozulur | Kaynak: Kredi sözleşmesi / PFD kuralları</t>
      </text>
    </comment>
    <comment ref="D36" authorId="0" shapeId="0">
      <text>
        <t>Tanım: wacc | Neden önemli: DSCR/LLCR kararını etkiler | Doğru kullanım: Tablo girişi; PANO ile senkron tutun | Örnek: demo satırına bakın | Yanlışsa: DSCR, LLCR ve karar bozulur | Kaynak: Kredi sözleşmesi / PFD kuralları</t>
      </text>
    </comment>
    <comment ref="E36" authorId="0" shapeId="0">
      <text>
        <t>Tanım: wacc | Neden önemli: DSCR/LLCR kararını etkiler | Doğru kullanım: Tablo girişi; PANO ile senkron tutun | Örnek: demo satırına bakın | Yanlışsa: DSCR, LLCR ve karar bozulur | Kaynak: Kredi sözleşmesi / PFD kuralları</t>
      </text>
    </comment>
    <comment ref="A37" authorId="0" shapeId="0">
      <text>
        <t>Tanım: yorum_modu | Neden önemli: DSCR/LLCR kararını etkiler | Doğru kullanım: Tablo girişi; PANO ile senkron tutun | Örnek: demo satırına bakın | Yanlışsa: DSCR, LLCR ve karar bozulur | Kaynak: Kredi sözleşmesi / PFD kuralları</t>
      </text>
    </comment>
    <comment ref="B37" authorId="0" shapeId="0">
      <text>
        <t>Tanım: yorum_modu | Neden önemli: DSCR/LLCR kararını etkiler | Doğru kullanım: Tablo girişi; PANO ile senkron tutun | Örnek: demo satırına bakın | Yanlışsa: DSCR, LLCR ve karar bozulur | Kaynak: Kredi sözleşmesi / PFD kuralları</t>
      </text>
    </comment>
    <comment ref="C37" authorId="0" shapeId="0">
      <text>
        <t>Tanım: yorum_modu | Neden önemli: DSCR/LLCR kararını etkiler | Doğru kullanım: Tablo girişi; PANO ile senkron tutun | Örnek: demo satırına bakın | Yanlışsa: DSCR, LLCR ve karar bozulur | Kaynak: Kredi sözleşmesi / PFD kuralları</t>
      </text>
    </comment>
    <comment ref="D37" authorId="0" shapeId="0">
      <text>
        <t>Tanım: yorum_modu | Neden önemli: DSCR/LLCR kararını etkiler | Doğru kullanım: Tablo girişi; PANO ile senkron tutun | Örnek: demo satırına bakın | Yanlışsa: DSCR, LLCR ve karar bozulur | Kaynak: Kredi sözleşmesi / PFD kuralları</t>
      </text>
    </comment>
    <comment ref="E37" authorId="0" shapeId="0">
      <text>
        <t>Tanım: yorum_modu | Neden önemli: DSCR/LLCR kararını etkiler | Doğru kullanım: Tablo girişi; PANO ile senkron tutun | Örnek: demo satırına bakın | Yanlışsa: DSCR, LLCR ve karar bozulur | Kaynak: Kredi sözleşmesi / PFD kuralları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F7" authorId="0" shapeId="0">
      <text>
        <t>Tanım: dscr_asgari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G7" authorId="0" shapeId="0">
      <text>
        <t>Tanım: dscr_asgari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H7" authorId="0" shapeId="0">
      <text>
        <t>Tanım: dscr_asgari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F8" authorId="0" shapeId="0">
      <text>
        <t>Tanım: llcr_asgari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G8" authorId="0" shapeId="0">
      <text>
        <t>Tanım: llcr_asgari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H8" authorId="0" shapeId="0">
      <text>
        <t>Tanım: llcr_asgari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F9" authorId="0" shapeId="0">
      <text>
        <t>Tanım: dscr_dikkat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G9" authorId="0" shapeId="0">
      <text>
        <t>Tanım: dscr_dikkat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H9" authorId="0" shapeId="0">
      <text>
        <t>Tanım: dscr_dikkat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F10" authorId="0" shapeId="0">
      <text>
        <t>Tanım: llcr_dikkat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G10" authorId="0" shapeId="0">
      <text>
        <t>Tanım: llcr_dikkat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H10" authorId="0" shapeId="0">
      <text>
        <t>Tanım: llcr_dikkat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F11" authorId="0" shapeId="0">
      <text>
        <t>Tanım: yuvarlama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G11" authorId="0" shapeId="0">
      <text>
        <t>Tanım: yuvarlama | Neden önemli: DSCR/LLCR kararını etkiler | Doğru kullanım: Yıl bazlı parametre; kaynak kolonuna bakın | Örnek: demo satırına bakın | Yanlışsa: DSCR, LLCR ve karar bozulur | Kaynak: Kredi sözleşmesi / PFD kuralları</t>
      </text>
    </comment>
    <comment ref="H11" authorId="0" shapeId="0">
      <text>
        <t>Tanım: yuvarlama | Neden önemli: DSCR/LLCR kararını etkiler | Doğru kullanım: Yıl bazlı parametre; kaynak kolonuna bakın | Örnek: demo satırına bakın | Yanlışsa: DSCR, LLCR ve karar bozulur | Kaynak: Kredi sözleşmesi / PFD kuralları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31" authorId="0" shapeId="0">
      <text>
        <t>Tanım: Hazırlayan | Neden önemli: DSCR/LLCR kararını etkiler | Doğru kullanım: Ad soyad imza alanı | Örnek: demo satırına bakın | Yanlışsa: DSCR, LLCR ve karar bozulur | Kaynak: Kredi sözleşmesi / PFD kuralları</t>
      </text>
    </comment>
    <comment ref="B32" authorId="0" shapeId="0">
      <text>
        <t>Tanım: Onaylayan | Neden önemli: DSCR/LLCR kararını etkiler | Doğru kullanım: Komite / müdür imza alanı | Örnek: demo satırına bakın | Yanlışsa: DSCR, LLCR ve karar bozulur | Kaynak: Kredi sözleşmesi / PFD kuralları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A6" authorId="0" shapeId="0">
      <text>
        <t>Tanım: Senaryo | Neden önemli: DSCR/LLCR kararını etkiler | Doğru kullanım: Örnek satır; GIRDI'ye kopyalanabilir | Örnek: demo satırına bakın | Yanlışsa: DSCR, LLCR ve karar bozulur | Kaynak: Kredi sözleşmesi / PFD kuralları</t>
      </text>
    </comment>
    <comment ref="B6" authorId="0" shapeId="0">
      <text>
        <t>Tanım: CFADS | Neden önemli: DSCR/LLCR kararını etkiler | Doğru kullanım: Örnek satır; GIRDI'ye kopyalanabilir | Örnek: demo satırına bakın | Yanlışsa: DSCR, LLCR ve karar bozulur | Kaynak: Kredi sözleşmesi / PFD kuralları</t>
      </text>
    </comment>
    <comment ref="C6" authorId="0" shapeId="0">
      <text>
        <t>Tanım: Anapara | Neden önemli: DSCR/LLCR kararını etkiler | Doğru kullanım: Örnek satır; GIRDI'ye kopyalanabilir | Örnek: demo satırına bakın | Yanlışsa: DSCR, LLCR ve karar bozulur | Kaynak: Kredi sözleşmesi / PFD kuralları</t>
      </text>
    </comment>
    <comment ref="D6" authorId="0" shapeId="0">
      <text>
        <t>Tanım: Faiz | Neden önemli: DSCR/LLCR kararını etkiler | Doğru kullanım: Örnek satır; GIRDI'ye kopyalanabilir | Örnek: demo satırına bakın | Yanlışsa: DSCR, LLCR ve karar bozulur | Kaynak: Kredi sözleşmesi / PFD kuralları</t>
      </text>
    </comment>
    <comment ref="E6" authorId="0" shapeId="0">
      <text>
        <t>Tanım: Kredi bakiyesi | Neden önemli: DSCR/LLCR kararını etkiler | Doğru kullanım: Örnek satır; GIRDI'ye kopyalanabilir | Örnek: demo satırına bakın | Yanlışsa: DSCR, LLCR ve karar bozulur | Kaynak: Kredi sözleşmesi / PFD kuralları</t>
      </text>
    </comment>
    <comment ref="F6" authorId="0" shapeId="0">
      <text>
        <t>Tanım: Faiz oranı | Neden önemli: DSCR/LLCR kararını etkiler | Doğru kullanım: Örnek satır; GIRDI'ye kopyalanabilir | Örnek: demo satırına bakın | Yanlışsa: DSCR, LLCR ve karar bozulur | Kaynak: Kredi sözleşmesi / PFD kuralları</t>
      </text>
    </comment>
    <comment ref="G6" authorId="0" shapeId="0">
      <text>
        <t>Tanım: Vade | Neden önemli: DSCR/LLCR kararını etkiler | Doğru kullanım: Örnek satır; GIRDI'ye kopyalanabilir | Örnek: demo satırına bakın | Yanlışsa: DSCR, LLCR ve karar bozulur | Kaynak: Kredi sözleşmesi / PFD kuralları</t>
      </text>
    </comment>
    <comment ref="H6" authorId="0" shapeId="0">
      <text>
        <t>Tanım: LLCR dönem | Neden önemli: DSCR/LLCR kararını etkiler | Doğru kullanım: Örnek satır; GIRDI'ye kopyalanabilir | Örnek: demo satırına bakın | Yanlışsa: DSCR, LLCR ve karar bozulur | Kaynak: Kredi sözleşmesi / PFD kuralları</t>
      </text>
    </comment>
    <comment ref="I6" authorId="0" shapeId="0">
      <text>
        <t>Tanım: WACC | Neden önemli: DSCR/LLCR kararını etkiler | Doğru kullanım: Örnek satır; GIRDI'ye kopyalanabilir | Örnek: demo satırına bakın | Yanlışsa: DSCR, LLCR ve karar bozulur | Kaynak: Kredi sözleşmesi / PFD kuralları</t>
      </text>
    </comment>
    <comment ref="J6" authorId="0" shapeId="0">
      <text>
        <t>Tanım: Yıl | Neden önemli: DSCR/LLCR kararını etkiler | Doğru kullanım: Örnek satır; GIRDI'ye kopyalanabilir | Örnek: demo satırına bakın | Yanlışsa: DSCR, LLCR ve karar bozulur | Kaynak: Kredi sözleşmesi / PFD kuralları</t>
      </text>
    </comment>
    <comment ref="K6" authorId="0" shapeId="0">
      <text>
        <t>Tanım: Not | Neden önemli: DSCR/LLCR kararını etkiler | Doğru kullanım: Örnek satır; GIRDI'ye kopyalanabilir | Örnek: demo satırına bakın | Yanlışsa: DSCR, LLCR ve karar bozulur | Kaynak: Kredi sözleşmesi / PFD kuralları</t>
      </text>
    </comment>
    <comment ref="A7" authorId="0" shapeId="0">
      <text>
        <t>Tanım: Senaryo | Neden önemli: DSCR/LLCR kararını etkiler | Doğru kullanım: Örnek satır; GIRDI'ye kopyalanabilir | Örnek: demo satırına bakın | Yanlışsa: DSCR, LLCR ve karar bozulur | Kaynak: Kredi sözleşmesi / PFD kuralları</t>
      </text>
    </comment>
    <comment ref="B7" authorId="0" shapeId="0">
      <text>
        <t>Tanım: CFADS | Neden önemli: DSCR/LLCR kararını etkiler | Doğru kullanım: Örnek satır; GIRDI'ye kopyalanabilir | Örnek: demo satırına bakın | Yanlışsa: DSCR, LLCR ve karar bozulur | Kaynak: Kredi sözleşmesi / PFD kuralları</t>
      </text>
    </comment>
    <comment ref="C7" authorId="0" shapeId="0">
      <text>
        <t>Tanım: Anapara | Neden önemli: DSCR/LLCR kararını etkiler | Doğru kullanım: Örnek satır; GIRDI'ye kopyalanabilir | Örnek: demo satırına bakın | Yanlışsa: DSCR, LLCR ve karar bozulur | Kaynak: Kredi sözleşmesi / PFD kuralları</t>
      </text>
    </comment>
    <comment ref="D7" authorId="0" shapeId="0">
      <text>
        <t>Tanım: Faiz | Neden önemli: DSCR/LLCR kararını etkiler | Doğru kullanım: Örnek satır; GIRDI'ye kopyalanabilir | Örnek: demo satırına bakın | Yanlışsa: DSCR, LLCR ve karar bozulur | Kaynak: Kredi sözleşmesi / PFD kuralları</t>
      </text>
    </comment>
    <comment ref="E7" authorId="0" shapeId="0">
      <text>
        <t>Tanım: Kredi bakiyesi | Neden önemli: DSCR/LLCR kararını etkiler | Doğru kullanım: Örnek satır; GIRDI'ye kopyalanabilir | Örnek: demo satırına bakın | Yanlışsa: DSCR, LLCR ve karar bozulur | Kaynak: Kredi sözleşmesi / PFD kuralları</t>
      </text>
    </comment>
    <comment ref="F7" authorId="0" shapeId="0">
      <text>
        <t>Tanım: Faiz oranı | Neden önemli: DSCR/LLCR kararını etkiler | Doğru kullanım: Örnek satır; GIRDI'ye kopyalanabilir | Örnek: demo satırına bakın | Yanlışsa: DSCR, LLCR ve karar bozulur | Kaynak: Kredi sözleşmesi / PFD kuralları</t>
      </text>
    </comment>
    <comment ref="G7" authorId="0" shapeId="0">
      <text>
        <t>Tanım: Vade | Neden önemli: DSCR/LLCR kararını etkiler | Doğru kullanım: Örnek satır; GIRDI'ye kopyalanabilir | Örnek: demo satırına bakın | Yanlışsa: DSCR, LLCR ve karar bozulur | Kaynak: Kredi sözleşmesi / PFD kuralları</t>
      </text>
    </comment>
    <comment ref="H7" authorId="0" shapeId="0">
      <text>
        <t>Tanım: LLCR dönem | Neden önemli: DSCR/LLCR kararını etkiler | Doğru kullanım: Örnek satır; GIRDI'ye kopyalanabilir | Örnek: demo satırına bakın | Yanlışsa: DSCR, LLCR ve karar bozulur | Kaynak: Kredi sözleşmesi / PFD kuralları</t>
      </text>
    </comment>
    <comment ref="I7" authorId="0" shapeId="0">
      <text>
        <t>Tanım: WACC | Neden önemli: DSCR/LLCR kararını etkiler | Doğru kullanım: Örnek satır; GIRDI'ye kopyalanabilir | Örnek: demo satırına bakın | Yanlışsa: DSCR, LLCR ve karar bozulur | Kaynak: Kredi sözleşmesi / PFD kuralları</t>
      </text>
    </comment>
    <comment ref="J7" authorId="0" shapeId="0">
      <text>
        <t>Tanım: Yıl | Neden önemli: DSCR/LLCR kararını etkiler | Doğru kullanım: Örnek satır; GIRDI'ye kopyalanabilir | Örnek: demo satırına bakın | Yanlışsa: DSCR, LLCR ve karar bozulur | Kaynak: Kredi sözleşmesi / PFD kuralları</t>
      </text>
    </comment>
    <comment ref="K7" authorId="0" shapeId="0">
      <text>
        <t>Tanım: Not | Neden önemli: DSCR/LLCR kararını etkiler | Doğru kullanım: Örnek satır; GIRDI'ye kopyalanabilir | Örnek: demo satırına bakın | Yanlışsa: DSCR, LLCR ve karar bozulur | Kaynak: Kredi sözleşmesi / PFD kuralları</t>
      </text>
    </comment>
    <comment ref="A8" authorId="0" shapeId="0">
      <text>
        <t>Tanım: Senaryo | Neden önemli: DSCR/LLCR kararını etkiler | Doğru kullanım: Örnek satır; GIRDI'ye kopyalanabilir | Örnek: demo satırına bakın | Yanlışsa: DSCR, LLCR ve karar bozulur | Kaynak: Kredi sözleşmesi / PFD kuralları</t>
      </text>
    </comment>
    <comment ref="B8" authorId="0" shapeId="0">
      <text>
        <t>Tanım: CFADS | Neden önemli: DSCR/LLCR kararını etkiler | Doğru kullanım: Örnek satır; GIRDI'ye kopyalanabilir | Örnek: demo satırına bakın | Yanlışsa: DSCR, LLCR ve karar bozulur | Kaynak: Kredi sözleşmesi / PFD kuralları</t>
      </text>
    </comment>
    <comment ref="C8" authorId="0" shapeId="0">
      <text>
        <t>Tanım: Anapara | Neden önemli: DSCR/LLCR kararını etkiler | Doğru kullanım: Örnek satır; GIRDI'ye kopyalanabilir | Örnek: demo satırına bakın | Yanlışsa: DSCR, LLCR ve karar bozulur | Kaynak: Kredi sözleşmesi / PFD kuralları</t>
      </text>
    </comment>
    <comment ref="D8" authorId="0" shapeId="0">
      <text>
        <t>Tanım: Faiz | Neden önemli: DSCR/LLCR kararını etkiler | Doğru kullanım: Örnek satır; GIRDI'ye kopyalanabilir | Örnek: demo satırına bakın | Yanlışsa: DSCR, LLCR ve karar bozulur | Kaynak: Kredi sözleşmesi / PFD kuralları</t>
      </text>
    </comment>
    <comment ref="E8" authorId="0" shapeId="0">
      <text>
        <t>Tanım: Kredi bakiyesi | Neden önemli: DSCR/LLCR kararını etkiler | Doğru kullanım: Örnek satır; GIRDI'ye kopyalanabilir | Örnek: demo satırına bakın | Yanlışsa: DSCR, LLCR ve karar bozulur | Kaynak: Kredi sözleşmesi / PFD kuralları</t>
      </text>
    </comment>
    <comment ref="F8" authorId="0" shapeId="0">
      <text>
        <t>Tanım: Faiz oranı | Neden önemli: DSCR/LLCR kararını etkiler | Doğru kullanım: Örnek satır; GIRDI'ye kopyalanabilir | Örnek: demo satırına bakın | Yanlışsa: DSCR, LLCR ve karar bozulur | Kaynak: Kredi sözleşmesi / PFD kuralları</t>
      </text>
    </comment>
    <comment ref="G8" authorId="0" shapeId="0">
      <text>
        <t>Tanım: Vade | Neden önemli: DSCR/LLCR kararını etkiler | Doğru kullanım: Örnek satır; GIRDI'ye kopyalanabilir | Örnek: demo satırına bakın | Yanlışsa: DSCR, LLCR ve karar bozulur | Kaynak: Kredi sözleşmesi / PFD kuralları</t>
      </text>
    </comment>
    <comment ref="H8" authorId="0" shapeId="0">
      <text>
        <t>Tanım: LLCR dönem | Neden önemli: DSCR/LLCR kararını etkiler | Doğru kullanım: Örnek satır; GIRDI'ye kopyalanabilir | Örnek: demo satırına bakın | Yanlışsa: DSCR, LLCR ve karar bozulur | Kaynak: Kredi sözleşmesi / PFD kuralları</t>
      </text>
    </comment>
    <comment ref="I8" authorId="0" shapeId="0">
      <text>
        <t>Tanım: WACC | Neden önemli: DSCR/LLCR kararını etkiler | Doğru kullanım: Örnek satır; GIRDI'ye kopyalanabilir | Örnek: demo satırına bakın | Yanlışsa: DSCR, LLCR ve karar bozulur | Kaynak: Kredi sözleşmesi / PFD kuralları</t>
      </text>
    </comment>
    <comment ref="J8" authorId="0" shapeId="0">
      <text>
        <t>Tanım: Yıl | Neden önemli: DSCR/LLCR kararını etkiler | Doğru kullanım: Örnek satır; GIRDI'ye kopyalanabilir | Örnek: demo satırına bakın | Yanlışsa: DSCR, LLCR ve karar bozulur | Kaynak: Kredi sözleşmesi / PFD kuralları</t>
      </text>
    </comment>
    <comment ref="K8" authorId="0" shapeId="0">
      <text>
        <t>Tanım: Not | Neden önemli: DSCR/LLCR kararını etkiler | Doğru kullanım: Örnek satır; GIRDI'ye kopyalanabilir | Örnek: demo satırına bakın | Yanlışsa: DSCR, LLCR ve karar bozulur | Kaynak: Kredi sözleşmesi / PFD kuralları</t>
      </text>
    </comment>
    <comment ref="A9" authorId="0" shapeId="0">
      <text>
        <t>Tanım: Senaryo | Neden önemli: DSCR/LLCR kararını etkiler | Doğru kullanım: Örnek satır; GIRDI'ye kopyalanabilir | Örnek: demo satırına bakın | Yanlışsa: DSCR, LLCR ve karar bozulur | Kaynak: Kredi sözleşmesi / PFD kuralları</t>
      </text>
    </comment>
    <comment ref="B9" authorId="0" shapeId="0">
      <text>
        <t>Tanım: CFADS | Neden önemli: DSCR/LLCR kararını etkiler | Doğru kullanım: Örnek satır; GIRDI'ye kopyalanabilir | Örnek: demo satırına bakın | Yanlışsa: DSCR, LLCR ve karar bozulur | Kaynak: Kredi sözleşmesi / PFD kuralları</t>
      </text>
    </comment>
    <comment ref="C9" authorId="0" shapeId="0">
      <text>
        <t>Tanım: Anapara | Neden önemli: DSCR/LLCR kararını etkiler | Doğru kullanım: Örnek satır; GIRDI'ye kopyalanabilir | Örnek: demo satırına bakın | Yanlışsa: DSCR, LLCR ve karar bozulur | Kaynak: Kredi sözleşmesi / PFD kuralları</t>
      </text>
    </comment>
    <comment ref="D9" authorId="0" shapeId="0">
      <text>
        <t>Tanım: Faiz | Neden önemli: DSCR/LLCR kararını etkiler | Doğru kullanım: Örnek satır; GIRDI'ye kopyalanabilir | Örnek: demo satırına bakın | Yanlışsa: DSCR, LLCR ve karar bozulur | Kaynak: Kredi sözleşmesi / PFD kuralları</t>
      </text>
    </comment>
    <comment ref="E9" authorId="0" shapeId="0">
      <text>
        <t>Tanım: Kredi bakiyesi | Neden önemli: DSCR/LLCR kararını etkiler | Doğru kullanım: Örnek satır; GIRDI'ye kopyalanabilir | Örnek: demo satırına bakın | Yanlışsa: DSCR, LLCR ve karar bozulur | Kaynak: Kredi sözleşmesi / PFD kuralları</t>
      </text>
    </comment>
    <comment ref="F9" authorId="0" shapeId="0">
      <text>
        <t>Tanım: Faiz oranı | Neden önemli: DSCR/LLCR kararını etkiler | Doğru kullanım: Örnek satır; GIRDI'ye kopyalanabilir | Örnek: demo satırına bakın | Yanlışsa: DSCR, LLCR ve karar bozulur | Kaynak: Kredi sözleşmesi / PFD kuralları</t>
      </text>
    </comment>
    <comment ref="G9" authorId="0" shapeId="0">
      <text>
        <t>Tanım: Vade | Neden önemli: DSCR/LLCR kararını etkiler | Doğru kullanım: Örnek satır; GIRDI'ye kopyalanabilir | Örnek: demo satırına bakın | Yanlışsa: DSCR, LLCR ve karar bozulur | Kaynak: Kredi sözleşmesi / PFD kuralları</t>
      </text>
    </comment>
    <comment ref="H9" authorId="0" shapeId="0">
      <text>
        <t>Tanım: LLCR dönem | Neden önemli: DSCR/LLCR kararını etkiler | Doğru kullanım: Örnek satır; GIRDI'ye kopyalanabilir | Örnek: demo satırına bakın | Yanlışsa: DSCR, LLCR ve karar bozulur | Kaynak: Kredi sözleşmesi / PFD kuralları</t>
      </text>
    </comment>
    <comment ref="I9" authorId="0" shapeId="0">
      <text>
        <t>Tanım: WACC | Neden önemli: DSCR/LLCR kararını etkiler | Doğru kullanım: Örnek satır; GIRDI'ye kopyalanabilir | Örnek: demo satırına bakın | Yanlışsa: DSCR, LLCR ve karar bozulur | Kaynak: Kredi sözleşmesi / PFD kuralları</t>
      </text>
    </comment>
    <comment ref="J9" authorId="0" shapeId="0">
      <text>
        <t>Tanım: Yıl | Neden önemli: DSCR/LLCR kararını etkiler | Doğru kullanım: Örnek satır; GIRDI'ye kopyalanabilir | Örnek: demo satırına bakın | Yanlışsa: DSCR, LLCR ve karar bozulur | Kaynak: Kredi sözleşmesi / PFD kuralları</t>
      </text>
    </comment>
    <comment ref="K9" authorId="0" shapeId="0">
      <text>
        <t>Tanım: Not | Neden önemli: DSCR/LLCR kararını etkiler | Doğru kullanım: Örnek satır; GIRDI'ye kopyalanabilir | Örnek: demo satırına bakın | Yanlışsa: DSCR, LLCR ve karar bozulur | Kaynak: Kredi sözleşmesi / PFD kuralları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B6" authorId="0" shapeId="0">
      <text>
        <t>Tanım: hesapYili | Neden önemli: DSCR/LLCR kararını etkiler | Doğru kullanım: Aktif hesap yılı | Örnek: demo satırına bakın | Yanlışsa: DSCR, LLCR ve karar bozulur | Kaynak: Kredi sözleşmesi / PFD kuralları</t>
      </text>
    </comment>
    <comment ref="B7" authorId="0" shapeId="0">
      <text>
        <t>Tanım: raporTarihi | Neden önemli: DSCR/LLCR kararını etkiler | Doğru kullanım: Rapor tarihi (sabit) | Örnek: demo satırına bakın | Yanlışsa: DSCR, LLCR ve karar bozulur | Kaynak: Kredi sözleşmesi / PFD kuralları</t>
      </text>
    </comment>
    <comment ref="B8" authorId="0" shapeId="0">
      <text>
        <t>Tanım: pfd_tolerans | Neden önemli: DSCR/LLCR kararını etkiler | Doğru kullanım: Vaka tutarlılık toleransı | Örnek: demo satırına bakın | Yanlışsa: DSCR, LLCR ve karar bozulur | Kaynak: Kredi sözleşmesi / PFD kuralları</t>
      </text>
    </comment>
    <comment ref="B9" authorId="0" shapeId="0">
      <text>
        <t>Tanım: pfd_azamiEsik | Neden önemli: DSCR/LLCR kararını etkiler | Doğru kullanım: Uç değer / azami giriş eşiği | Örnek: demo satırına bakın | Yanlışsa: DSCR, LLCR ve karar bozulur | Kaynak: Kredi sözleşmesi / PFD kuralları</t>
      </text>
    </comment>
    <comment ref="B10" authorId="0" shapeId="0">
      <text>
        <t>Tanım: pfd_kacirilanEsik | Neden önemli: DSCR/LLCR kararını etkiler | Doğru kullanım: PANO DSCR uyarı eşiği | Örnek: demo satırına bakın | Yanlışsa: DSCR, LLCR ve karar bozulur | Kaynak: Kredi sözleşmesi / PFD kuralları</t>
      </text>
    </comment>
    <comment ref="B11" authorId="0" shapeId="0">
      <text>
        <t>Tanım: pfd_senaryoIyi | Neden önemli: DSCR/LLCR kararını etkiler | Doğru kullanım: İyimser CFADS çarpanı | Örnek: demo satırına bakın | Yanlışsa: DSCR, LLCR ve karar bozulur | Kaynak: Kredi sözleşmesi / PFD kuralları</t>
      </text>
    </comment>
    <comment ref="B12" authorId="0" shapeId="0">
      <text>
        <t>Tanım: pfd_senaryoKotu | Neden önemli: DSCR/LLCR kararını etkiler | Doğru kullanım: Kötümser CFADS çarpanı | Örnek: demo satırına bakın | Yanlışsa: DSCR, LLCR ve karar bozulur | Kaynak: Kredi sözleşmesi / PFD kuralları</t>
      </text>
    </comment>
    <comment ref="B13" authorId="0" shapeId="0">
      <text>
        <t>Tanım: pfd_esikArtis | Neden önemli: DSCR/LLCR kararını etkiler | Doğru kullanım: M-SEN eşik + delta | Örnek: demo satırına bakın | Yanlışsa: DSCR, LLCR ve karar bozulur | Kaynak: Kredi sözleşmesi / PFD kuralları</t>
      </text>
    </comment>
    <comment ref="B14" authorId="0" shapeId="0">
      <text>
        <t>Tanım: pfd_tahminAlt | Neden önemli: DSCR/LLCR kararını etkiler | Doğru kullanım: Tahmin alt bant | Örnek: demo satırına bakın | Yanlışsa: DSCR, LLCR ve karar bozulur | Kaynak: Kredi sözleşmesi / PFD kuralları</t>
      </text>
    </comment>
    <comment ref="B15" authorId="0" shapeId="0">
      <text>
        <t>Tanım: pfd_tahminUst | Neden önemli: DSCR/LLCR kararını etkiler | Doğru kullanım: Tahmin üst bant | Örnek: demo satırına bakın | Yanlışsa: DSCR, LLCR ve karar bozulur | Kaynak: Kredi sözleşmesi / PFD kuralları</t>
      </text>
    </comment>
    <comment ref="B16" authorId="0" shapeId="0">
      <text>
        <t>Tanım: pfd_tornadoCfads | Neden önemli: DSCR/LLCR kararını etkiler | Doğru kullanım: Tornado CFADS şoku | Örnek: demo satırına bakın | Yanlışsa: DSCR, LLCR ve karar bozulur | Kaynak: Kredi sözleşmesi / PFD kuralları</t>
      </text>
    </comment>
    <comment ref="B17" authorId="0" shapeId="0">
      <text>
        <t>Tanım: pfd_tornadoServis | Neden önemli: DSCR/LLCR kararını etkiler | Doğru kullanım: Tornado servis şoku | Örnek: demo satırına bakın | Yanlışsa: DSCR, LLCR ve karar bozulur | Kaynak: Kredi sözleşmesi / PFD kuralları</t>
      </text>
    </comment>
    <comment ref="B18" authorId="0" shapeId="0">
      <text>
        <t>Tanım: pfd_tornadoWacc | Neden önemli: DSCR/LLCR kararını etkiler | Doğru kullanım: Tornado WACC şoku | Örnek: demo satırına bakın | Yanlışsa: DSCR, LLCR ve karar bozulur | Kaynak: Kredi sözleşmesi / PFD kuralları</t>
      </text>
    </comment>
    <comment ref="B19" authorId="0" shapeId="0">
      <text>
        <t>Tanım: pfd_yorumBKesinti | Neden önemli: DSCR/LLCR kararını etkiler | Doğru kullanım: Yorum B CFADS −%5 | Örnek: demo satırına bakın | Yanlışsa: DSCR, LLCR ve karar bozulur | Kaynak: Kredi sözleşmesi / PFD kuralları</t>
      </text>
    </comment>
    <comment ref="B20" authorId="0" shapeId="0">
      <text>
        <t>Tanım: pfd_yuzdelikOran | Neden önemli: DSCR/LLCR kararını etkiler | Doğru kullanım: Yüzdelik P90 | Örnek: demo satırına bakın | Yanlışsa: DSCR, LLCR ve karar bozulur | Kaynak: Kredi sözleşmesi / PFD kuralları</t>
      </text>
    </comment>
    <comment ref="B21" authorId="0" shapeId="0">
      <text>
        <t>Tanım: pfd_parmakIzi | Neden önemli: DSCR/LLCR kararını etkiler | Doğru kullanım: Dosya parmak izi etiketi | Örnek: demo satırına bakın | Yanlışsa: DSCR, LLCR ve karar bozulur | Kaynak: Kredi sözleşmesi / PFD kuralları</t>
      </text>
    </comment>
    <comment ref="B22" authorId="0" shapeId="0">
      <text>
        <t>Tanım: dosya_surumu | Neden önemli: DSCR/LLCR kararını etkiler | Doğru kullanım: Ürün sürümü | Örnek: demo satırına bakın | Yanlışsa: DSCR, LLCR ve karar bozulur | Kaynak: Kredi sözleşmesi / PFD kuralları</t>
      </text>
    </comment>
    <comment ref="B23" authorId="0" shapeId="0">
      <text>
        <t>Tanım: pfd_girisBeklenen | Neden önemli: DSCR/LLCR kararını etkiler | Doğru kullanım: Zorunlu giriş alanı sayısı | Örnek: demo satırına bakın | Yanlışsa: DSCR, LLCR ve karar bozulur | Kaynak: Kredi sözleşmesi / PFD kuralları</t>
      </text>
    </comment>
    <comment ref="B24" authorId="0" shapeId="0">
      <text>
        <t>Tanım: pfd_riskDusuk | Neden önemli: DSCR/LLCR kararını etkiler | Doğru kullanım: UYGUN risk skoru | Örnek: demo satırına bakın | Yanlışsa: DSCR, LLCR ve karar bozulur | Kaynak: Kredi sözleşmesi / PFD kuralları</t>
      </text>
    </comment>
    <comment ref="B25" authorId="0" shapeId="0">
      <text>
        <t>Tanım: pfd_riskOrta | Neden önemli: DSCR/LLCR kararını etkiler | Doğru kullanım: DİKKAT risk skoru | Örnek: demo satırına bakın | Yanlışsa: DSCR, LLCR ve karar bozulur | Kaynak: Kredi sözleşmesi / PFD kuralları</t>
      </text>
    </comment>
    <comment ref="B26" authorId="0" shapeId="0">
      <text>
        <t>Tanım: pfd_riskYuksek | Neden önemli: DSCR/LLCR kararını etkiler | Doğru kullanım: İHLAL risk skoru | Örnek: demo satırına bakın | Yanlışsa: DSCR, LLCR ve karar bozulur | Kaynak: Kredi sözleşmesi / PFD kuralları</t>
      </text>
    </comment>
    <comment ref="B27" authorId="0" shapeId="0">
      <text>
        <t>Tanım: pfd_riskEsikOran | Neden önemli: DSCR/LLCR kararını etkiler | Doğru kullanım: Yedek risk oranı | Örnek: demo satırına bakın | Yanlışsa: DSCR, LLCR ve karar bozulur | Kaynak: Kredi sözleşmesi / PFD kuralları</t>
      </text>
    </comment>
    <comment ref="B28" authorId="0" shapeId="0">
      <text>
        <t>Tanım: pfd_yilTaban | Neden önemli: DSCR/LLCR kararını etkiler | Doğru kullanım: CHOOSE yıl tabanı | Örnek: demo satırına bakın | Yanlışsa: DSCR, LLCR ve karar bozulur | Kaynak: Kredi sözleşmesi / PFD kuralları</t>
      </text>
    </comment>
    <comment ref="B29" authorId="0" shapeId="0">
      <text>
        <t>Tanım: pfd_yuvarMax | Neden önemli: DSCR/LLCR kararını etkiler | Doğru kullanım: ROUND basamak tavanı | Örnek: demo satırına bakın | Yanlışsa: DSCR, LLCR ve karar bozulur | Kaynak: Kredi sözleşmesi / PFD kuralları</t>
      </text>
    </comment>
    <comment ref="B30" authorId="0" shapeId="0">
      <text>
        <t>Tanım: pfd_dayanakCarpan | Neden önemli: DSCR/LLCR kararını etkiler | Doğru kullanım: Yedek çarpan | Örnek: demo satırına bakın | Yanlışsa: DSCR, LLCR ve karar bozulur | Kaynak: Kredi sözleşmesi / PFD kuralları</t>
      </text>
    </comment>
    <comment ref="B31" authorId="0" shapeId="0">
      <text>
        <t>Tanım: pfd_bazCarpan | Neden önemli: DSCR/LLCR kararını etkiler | Doğru kullanım: Baz senaryo çarpanı | Örnek: demo satırına bakın | Yanlışsa: DSCR, LLCR ve karar bozulur | Kaynak: Kredi sözleşmesi / PFD kuralları</t>
      </text>
    </comment>
    <comment ref="B32" authorId="0" shapeId="0">
      <text>
        <t>Tanım: pfd_sifirCarpan | Neden önemli: DSCR/LLCR kararını etkiler | Doğru kullanım: Nötr çarpan (sıfır) | Örnek: demo satırına bakın | Yanlışsa: DSCR, LLCR ve karar bozulur | Kaynak: Kredi sözleşmesi / PFD kuralları</t>
      </text>
    </comment>
    <comment ref="B33" authorId="0" shapeId="0">
      <text>
        <t>Tanım: pfd_siraBir | Neden önemli: DSCR/LLCR kararını etkiler | Doğru kullanım: Tornado sıra 1 | Örnek: demo satırına bakın | Yanlışsa: DSCR, LLCR ve karar bozulur | Kaynak: Kredi sözleşmesi / PFD kuralları</t>
      </text>
    </comment>
    <comment ref="B34" authorId="0" shapeId="0">
      <text>
        <t>Tanım: pfd_siraIki | Neden önemli: DSCR/LLCR kararını etkiler | Doğru kullanım: Tornado sıra 2 | Örnek: demo satırına bakın | Yanlışsa: DSCR, LLCR ve karar bozulur | Kaynak: Kredi sözleşmesi / PFD kuralları</t>
      </text>
    </comment>
    <comment ref="B35" authorId="0" shapeId="0">
      <text>
        <t>Tanım: pfd_siraUc | Neden önemli: DSCR/LLCR kararını etkiler | Doğru kullanım: Tornado sıra 3 | Örnek: demo satırına bakın | Yanlışsa: DSCR, LLCR ve karar bozulur | Kaynak: Kredi sözleşmesi / PFD kuralları</t>
      </text>
    </comment>
    <comment ref="B36" authorId="0" shapeId="0">
      <text>
        <t>Tanım: pfd_tahminX | Neden önemli: DSCR/LLCR kararını etkiler | Doğru kullanım: Tahmin X noktası | Örnek: demo satırına bakın | Yanlışsa: DSCR, LLCR ve karar bozulur | Kaynak: Kredi sözleşmesi / PFD kuralları</t>
      </text>
    </comment>
    <comment ref="B37" authorId="0" shapeId="0">
      <text>
        <t>Tanım: vaka_cfads_1 | Neden önemli: DSCR/LLCR kararını etkiler | Doğru kullanım: Vaka1/2/3 CFADS | Örnek: demo satırına bakın | Yanlışsa: DSCR, LLCR ve karar bozulur | Kaynak: Kredi sözleşmesi / PFD kuralları</t>
      </text>
    </comment>
    <comment ref="B38" authorId="0" shapeId="0">
      <text>
        <t>Tanım: vaka_cfads_2 | Neden önemli: DSCR/LLCR kararını etkiler | Doğru kullanım: Vaka4 CFADS | Örnek: demo satırına bakın | Yanlışsa: DSCR, LLCR ve karar bozulur | Kaynak: Kredi sözleşmesi / PFD kuralları</t>
      </text>
    </comment>
    <comment ref="B39" authorId="0" shapeId="0">
      <text>
        <t>Tanım: vaka_servis_1 | Neden önemli: DSCR/LLCR kararını etkiler | Doğru kullanım: Vaka borç servisi | Örnek: demo satırına bakın | Yanlışsa: DSCR, LLCR ve karar bozulur | Kaynak: Kredi sözleşmesi / PFD kuralları</t>
      </text>
    </comment>
    <comment ref="B40" authorId="0" shapeId="0">
      <text>
        <t>Tanım: vaka_borc_1 | Neden önemli: DSCR/LLCR kararını etkiler | Doğru kullanım: Vaka kredi bakiyesi | Örnek: demo satırına bakın | Yanlışsa: DSCR, LLCR ve karar bozulur | Kaynak: Kredi sözleşmesi / PFD kuralları</t>
      </text>
    </comment>
    <comment ref="B41" authorId="0" shapeId="0">
      <text>
        <t>Tanım: vaka_donem_1 | Neden önemli: DSCR/LLCR kararını etkiler | Doğru kullanım: Vaka LLCR dönem | Örnek: demo satırına bakın | Yanlışsa: DSCR, LLCR ve karar bozulur | Kaynak: Kredi sözleşmesi / PFD kuralları</t>
      </text>
    </comment>
    <comment ref="B42" authorId="0" shapeId="0">
      <text>
        <t>Tanım: vaka_wacc_1 | Neden önemli: DSCR/LLCR kararını etkiler | Doğru kullanım: Vaka WACC | Örnek: demo satırına bakın | Yanlışsa: DSCR, LLCR ve karar bozulur | Kaynak: Kredi sözleşmesi / PFD kuralları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17</row>
      <rowOff>0</rowOff>
    </from>
    <ext cx="432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31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21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Girdi" displayName="tblGirdi" ref="A25:F1024" headerRowCount="1">
  <tableColumns count="6">
    <tableColumn id="1" name="Alan Anahtarı"/>
    <tableColumn id="2" name="Değer"/>
    <tableColumn id="3" name="Birim"/>
    <tableColumn id="4" name="Zorunlu"/>
    <tableColumn id="5" name="Kaynak"/>
    <tableColumn id="6" name="Kontrol">
      <calculatedColumnFormula>=IF(tblGirdi[[#This Row],[Alan Anahtarı]]="","",IF(tblGirdi[[#This Row],[Değer]]="","EKSİK","TAM"))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Kurallar" displayName="tblKurallar" ref="A6:K11" headerRowCount="1">
  <tableColumns count="11">
    <tableColumn id="1" name="kural_id"/>
    <tableColumn id="2" name="madde"/>
    <tableColumn id="3" name="kural_adi"/>
    <tableColumn id="4" name="kosul_metni"/>
    <tableColumn id="5" name="parametre_adi"/>
    <tableColumn id="6" name="deger_2025"/>
    <tableColumn id="7" name="deger_2026"/>
    <tableColumn id="8" name="deger_2027"/>
    <tableColumn id="9" name="yururluk"/>
    <tableColumn id="10" name="kaynak"/>
    <tableColumn id="11" name="aktif_deger">
      <calculatedColumnFormula>=IF(tblKurallar[[#This Row],[kural_id]]="","",IFERROR(CHOOSE(MAX(1,MIN(3,IF(OR(hesapYili="",hesapYili=0),1,hesapYili-pfd_yilTaban))),tblKurallar[[#This Row],[deger_2025]],tblKurallar[[#This Row],[deger_2026]],tblKurallar[[#This Row],[deger_2027]]),0))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Vakalar" displayName="tblVakalar" ref="A5:H9" headerRowCount="1">
  <tableColumns count="8">
    <tableColumn id="1" name="vaka_id"/>
    <tableColumn id="2" name="aciklama"/>
    <tableColumn id="3" name="girdi_ozeti"/>
    <tableColumn id="4" name="beklenen_sonuc"/>
    <tableColumn id="5" name="hesaplanan">
      <calculatedColumnFormula>=IF(tblVakalar[[#This Row],[vaka_id]]="","",IFERROR(INDEX($E$6:$E$9,MATCH(tblVakalar[[#This Row],[vaka_id]],$A$6:$A$9,0)),0))</calculatedColumnFormula>
    </tableColumn>
    <tableColumn id="6" name="fark">
      <calculatedColumnFormula>=IF(tblVakalar[[#This Row],[vaka_id]]="","",IFERROR(tblVakalar[[#This Row],[hesaplanan]]-tblVakalar[[#This Row],[beklenen_sonuc]],0))</calculatedColumnFormula>
    </tableColumn>
    <tableColumn id="7" name="durum">
      <calculatedColumnFormula>=IF(tblVakalar[[#This Row],[vaka_id]]="","",IFERROR(IF(ABS(tblVakalar[[#This Row],[fark]])&lt;=pfd_tolerans,"TUTARLI","KIRIK"),"KIRIK"))</calculatedColumnFormula>
    </tableColumn>
    <tableColumn id="8" name="kaynak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Ornek" displayName="tblOrnek" ref="A5:L1004" headerRowCount="1">
  <tableColumns count="12">
    <tableColumn id="1" name="Senaryo"/>
    <tableColumn id="2" name="CFADS"/>
    <tableColumn id="3" name="Anapara"/>
    <tableColumn id="4" name="Faiz"/>
    <tableColumn id="5" name="Kredi bakiyesi"/>
    <tableColumn id="6" name="Faiz oranı"/>
    <tableColumn id="7" name="Vade"/>
    <tableColumn id="8" name="LLCR dönem"/>
    <tableColumn id="9" name="WACC"/>
    <tableColumn id="10" name="Yıl"/>
    <tableColumn id="11" name="Not"/>
    <tableColumn id="12" name="DSCR Ornek">
      <calculatedColumnFormula>=IF(tblOrnek[[#This Row],[Senaryo]]="","",IFERROR(IF((tblOrnek[[#This Row],[Anapara]]+tblOrnek[[#This Row],[Faiz]])=0,0,tblOrnek[[#This Row],[CFADS]]/(tblOrnek[[#This Row],[Anapara]]+tblOrnek[[#This Row],[Faiz]])),0))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99" t="inlineStr">
        <is>
          <t>PROJE FINANSMANI DSCR LLCR PAKETI — YÖNETİM VE KARAR SİSTEMİ</t>
        </is>
      </c>
      <c r="L2" s="100" t="inlineStr">
        <is>
          <t>Dönem: 2026 / Tam ▼</t>
        </is>
      </c>
      <c r="M2" s="101" t="inlineStr">
        <is>
          <t>★ DOĞRULANMIŞ</t>
        </is>
      </c>
    </row>
    <row r="3">
      <c r="B3" s="102" t="inlineStr">
        <is>
          <t>Yönetici Karar Kokpiti, Otomatik Doğrulama ve Dinamik Hesaplama Sistemi · 2026</t>
        </is>
      </c>
    </row>
    <row r="5">
      <c r="B5" s="103" t="inlineStr">
        <is>
          <t>TOPLAM İŞLEM HACMİ</t>
        </is>
      </c>
      <c r="C5" s="104" t="n"/>
      <c r="D5" s="105" t="inlineStr">
        <is>
          <t>DOĞRULANMIŞ</t>
        </is>
      </c>
      <c r="E5" s="106" t="inlineStr">
        <is>
          <t>RİSKLİ / BEKLEYEN İŞLEM</t>
        </is>
      </c>
      <c r="F5" s="104" t="n"/>
      <c r="G5" s="107" t="inlineStr">
        <is>
          <t>MİNİMUM</t>
        </is>
      </c>
      <c r="H5" s="103" t="inlineStr">
        <is>
          <t>OPERASYONEL NET MARJ</t>
        </is>
      </c>
      <c r="I5" s="104" t="n"/>
      <c r="J5" s="108" t="inlineStr">
        <is>
          <t>GÜVENLİ</t>
        </is>
      </c>
      <c r="K5" s="109" t="inlineStr">
        <is>
          <t>SİSTEM GÜVEN SKORU</t>
        </is>
      </c>
      <c r="L5" s="104" t="n"/>
      <c r="M5" s="105" t="inlineStr">
        <is>
          <t>DENETLENDİ</t>
        </is>
      </c>
    </row>
    <row r="6">
      <c r="B6" s="110" t="n"/>
      <c r="C6" s="104" t="n"/>
      <c r="D6" s="104" t="n"/>
      <c r="E6" s="111" t="n"/>
      <c r="F6" s="104" t="n"/>
      <c r="G6" s="104" t="n"/>
      <c r="H6" s="110" t="n"/>
      <c r="I6" s="104" t="n"/>
      <c r="J6" s="104" t="n"/>
      <c r="K6" s="112" t="n"/>
      <c r="L6" s="104" t="n"/>
      <c r="M6" s="104" t="n"/>
    </row>
    <row r="7">
      <c r="B7" s="113" t="inlineStr">
        <is>
          <t>₺28.450.000</t>
        </is>
      </c>
      <c r="C7" s="104" t="n"/>
      <c r="D7" s="104" t="n"/>
      <c r="E7" s="114" t="inlineStr">
        <is>
          <t>₺940.000</t>
        </is>
      </c>
      <c r="F7" s="104" t="n"/>
      <c r="G7" s="104" t="n"/>
      <c r="H7" s="113" t="inlineStr">
        <is>
          <t>₺8.120.000</t>
        </is>
      </c>
      <c r="I7" s="104" t="n"/>
      <c r="J7" s="104" t="n"/>
      <c r="K7" s="115" t="inlineStr">
        <is>
          <t>98/100</t>
        </is>
      </c>
      <c r="L7" s="104" t="n"/>
      <c r="M7" s="104" t="n"/>
    </row>
    <row r="8">
      <c r="B8" s="110" t="n"/>
      <c r="C8" s="104" t="n"/>
      <c r="D8" s="104" t="n"/>
      <c r="E8" s="111" t="n"/>
      <c r="F8" s="104" t="n"/>
      <c r="G8" s="104" t="n"/>
      <c r="H8" s="110" t="n"/>
      <c r="I8" s="104" t="n"/>
      <c r="J8" s="104" t="n"/>
      <c r="K8" s="112" t="n"/>
      <c r="L8" s="104" t="n"/>
      <c r="M8" s="104" t="n"/>
    </row>
    <row r="9">
      <c r="B9" s="116" t="inlineStr">
        <is>
          <t>↑ Konsolide yıllıklandırılmış büyüme</t>
        </is>
      </c>
      <c r="C9" s="104" t="n"/>
      <c r="D9" s="104" t="n"/>
      <c r="E9" s="117" t="inlineStr">
        <is>
          <t>● Tüm riskli kayıtlar kontrol altında</t>
        </is>
      </c>
      <c r="F9" s="104" t="n"/>
      <c r="G9" s="104" t="n"/>
      <c r="H9" s="116" t="inlineStr">
        <is>
          <t>██████████░░░░░ %28.5 NET MARJ</t>
        </is>
      </c>
      <c r="I9" s="104" t="n"/>
      <c r="J9" s="104" t="n"/>
      <c r="K9" s="118" t="inlineStr">
        <is>
          <t>✓ 0 Formül ve Döngüsel Hata</t>
        </is>
      </c>
      <c r="L9" s="104" t="n"/>
      <c r="M9" s="104" t="n"/>
    </row>
    <row r="11">
      <c r="B11" s="97" t="inlineStr">
        <is>
          <t>12 AYLIK NAKİT GİRİŞ / ÇIKIŞ &amp; LİKİDİTE BAŞARIMI</t>
        </is>
      </c>
      <c r="F11" s="119" t="inlineStr">
        <is>
          <t>+%32 Verim</t>
        </is>
      </c>
      <c r="H11" s="97" t="inlineStr">
        <is>
          <t>KONSOLİDE OPERASYON VE KARAR MATRİSİ</t>
        </is>
      </c>
    </row>
    <row r="12">
      <c r="B12" s="96" t="inlineStr">
        <is>
          <t>Kümülatif Tahsilat vs. Tedarikçi/Kredi Ödeme Projeksiyonu</t>
        </is>
      </c>
      <c r="H12" s="96" t="inlineStr">
        <is>
          <t>Anlık Hesaplama Sonuçları, Dinamik Formül Çıktıları ve Durum Puanlaması</t>
        </is>
      </c>
    </row>
    <row r="14">
      <c r="B14" s="120" t="inlineStr">
        <is>
          <t>Dönem</t>
        </is>
      </c>
      <c r="C14" s="120" t="inlineStr">
        <is>
          <t>Aktif Hacim</t>
        </is>
      </c>
      <c r="D14" s="120" t="inlineStr">
        <is>
          <t>Maliyet/Yük</t>
        </is>
      </c>
      <c r="E14" s="120" t="inlineStr">
        <is>
          <t>Hedef</t>
        </is>
      </c>
      <c r="H14" s="121" t="inlineStr">
        <is>
          <t>PARAMETRE / KALEM</t>
        </is>
      </c>
      <c r="I14" s="121" t="inlineStr">
        <is>
          <t>ANA TUTAR</t>
        </is>
      </c>
      <c r="J14" s="121" t="inlineStr">
        <is>
          <t>FARK / MARJ</t>
        </is>
      </c>
      <c r="K14" s="121" t="inlineStr">
        <is>
          <t>VADE</t>
        </is>
      </c>
      <c r="L14" s="121" t="inlineStr">
        <is>
          <t>KONTROL DURUMU</t>
        </is>
      </c>
    </row>
    <row r="15">
      <c r="B15" s="96" t="inlineStr">
        <is>
          <t>D1</t>
        </is>
      </c>
      <c r="C15" s="96" t="n">
        <v>65</v>
      </c>
      <c r="D15" s="96" t="n">
        <v>45</v>
      </c>
      <c r="E15" s="96" t="n">
        <v>60</v>
      </c>
      <c r="H15" s="122" t="inlineStr">
        <is>
          <t>13 haftalık kümülatif bakiye...</t>
        </is>
      </c>
      <c r="I15" s="122" t="inlineStr">
        <is>
          <t>₺8.450.000</t>
        </is>
      </c>
      <c r="J15" s="123" t="inlineStr">
        <is>
          <t>₺425.000</t>
        </is>
      </c>
      <c r="K15" s="124" t="inlineStr">
        <is>
          <t>12 Ay</t>
        </is>
      </c>
      <c r="L15" s="108" t="inlineStr">
        <is>
          <t>✓ DÜZENLİ</t>
        </is>
      </c>
    </row>
    <row r="16">
      <c r="B16" s="96" t="inlineStr">
        <is>
          <t>D2</t>
        </is>
      </c>
      <c r="C16" s="96" t="n">
        <v>78</v>
      </c>
      <c r="D16" s="96" t="n">
        <v>48</v>
      </c>
      <c r="E16" s="96" t="n">
        <v>70</v>
      </c>
      <c r="H16" s="122" t="inlineStr">
        <is>
          <t>Kritik (eksi) hafta uyarısı</t>
        </is>
      </c>
      <c r="I16" s="122" t="inlineStr">
        <is>
          <t>₺12.200.000</t>
        </is>
      </c>
      <c r="J16" s="123" t="inlineStr">
        <is>
          <t>₺580.400</t>
        </is>
      </c>
      <c r="K16" s="124" t="inlineStr">
        <is>
          <t>24 Ay</t>
        </is>
      </c>
      <c r="L16" s="105" t="inlineStr">
        <is>
          <t>★ AVANTAJ</t>
        </is>
      </c>
    </row>
    <row r="17">
      <c r="B17" s="96" t="inlineStr">
        <is>
          <t>D3</t>
        </is>
      </c>
      <c r="C17" s="96" t="n">
        <v>85</v>
      </c>
      <c r="D17" s="96" t="n">
        <v>55</v>
      </c>
      <c r="E17" s="96" t="n">
        <v>80</v>
      </c>
      <c r="H17" s="122" t="inlineStr">
        <is>
          <t>Dönem net nakit değişimi</t>
        </is>
      </c>
      <c r="I17" s="122" t="inlineStr">
        <is>
          <t>₺4.850.000</t>
        </is>
      </c>
      <c r="J17" s="123" t="inlineStr">
        <is>
          <t>₺235.200</t>
        </is>
      </c>
      <c r="K17" s="124" t="inlineStr">
        <is>
          <t>8 Ay</t>
        </is>
      </c>
      <c r="L17" s="125" t="inlineStr">
        <is>
          <t>● YAKLAŞAN</t>
        </is>
      </c>
    </row>
    <row r="18">
      <c r="B18" s="96" t="inlineStr">
        <is>
          <t>D4</t>
        </is>
      </c>
      <c r="C18" s="96" t="n">
        <v>75</v>
      </c>
      <c r="D18" s="96" t="n">
        <v>42</v>
      </c>
      <c r="E18" s="96" t="n">
        <v>75</v>
      </c>
      <c r="H18" s="122" t="inlineStr">
        <is>
          <t>13 haftalık kümülatif bakiye...</t>
        </is>
      </c>
      <c r="I18" s="122" t="inlineStr">
        <is>
          <t>₺2.140.000</t>
        </is>
      </c>
      <c r="J18" s="123" t="inlineStr">
        <is>
          <t>₺118.000</t>
        </is>
      </c>
      <c r="K18" s="124" t="inlineStr">
        <is>
          <t>16 Ay</t>
        </is>
      </c>
      <c r="L18" s="108" t="inlineStr">
        <is>
          <t>✓ TAM UYUM</t>
        </is>
      </c>
    </row>
    <row r="19">
      <c r="B19" s="96" t="inlineStr">
        <is>
          <t>D5</t>
        </is>
      </c>
      <c r="C19" s="96" t="n">
        <v>90</v>
      </c>
      <c r="D19" s="96" t="n">
        <v>40</v>
      </c>
      <c r="E19" s="96" t="n">
        <v>85</v>
      </c>
      <c r="H19" s="126" t="inlineStr">
        <is>
          <t>KONSOLİDE SİSTEM TOPLAMI</t>
        </is>
      </c>
      <c r="I19" s="127" t="inlineStr">
        <is>
          <t>₺42.850.000</t>
        </is>
      </c>
      <c r="J19" s="128" t="inlineStr">
        <is>
          <t>₺3.420.000</t>
        </is>
      </c>
      <c r="K19" s="129" t="inlineStr"/>
      <c r="L19" s="130" t="inlineStr">
        <is>
          <t>TAM DOĞRULANDI (0 HATA)</t>
        </is>
      </c>
    </row>
    <row r="20">
      <c r="B20" s="96" t="inlineStr">
        <is>
          <t>D6</t>
        </is>
      </c>
      <c r="C20" s="96" t="n">
        <v>96</v>
      </c>
      <c r="D20" s="96" t="n">
        <v>32</v>
      </c>
      <c r="E20" s="96" t="n">
        <v>92</v>
      </c>
    </row>
    <row r="22">
      <c r="B22" s="131" t="inlineStr">
        <is>
          <t>KONSOLİDE PAY VE AĞIRLIK</t>
        </is>
      </c>
      <c r="F22" s="131" t="inlineStr">
        <is>
          <t>LİKİDİTE RİSKİ &amp; ERKEN UYARI SİNYALLERİ</t>
        </is>
      </c>
      <c r="K22" s="132" t="inlineStr">
        <is>
          <t>KARAR MOTORU</t>
        </is>
      </c>
      <c r="L22" s="133" t="n"/>
      <c r="M22" s="133" t="n"/>
    </row>
    <row r="23">
      <c r="B23" s="81" t="inlineStr">
        <is>
          <t>■ Ana Segment (%42)</t>
        </is>
      </c>
      <c r="F23" s="96" t="inlineStr">
        <is>
          <t>Nakit Açığı Riski (30 Gün)</t>
        </is>
      </c>
      <c r="I23" s="134" t="inlineStr">
        <is>
          <t>0.00 TL (Sıfır Risk)</t>
        </is>
      </c>
      <c r="K23" s="135" t="inlineStr">
        <is>
          <t>OPERASYONEL VERİMLİLİK FIRSATI</t>
        </is>
      </c>
      <c r="L23" s="133" t="n"/>
      <c r="M23" s="133" t="n"/>
    </row>
    <row r="24">
      <c r="B24" s="82" t="inlineStr">
        <is>
          <t>■ İkincil Grup (%30)</t>
        </is>
      </c>
      <c r="F24" s="96" t="inlineStr">
        <is>
          <t>Tahsilat Gecikme Toleransı</t>
        </is>
      </c>
      <c r="I24" s="134" t="inlineStr">
        <is>
          <t>48 Gün Güvenli Eşik</t>
        </is>
      </c>
      <c r="K24" s="136" t="inlineStr">
        <is>
          <t>Süreç optimizasyonuyla birim operasyonel maliyeti düşürme potansiyeli mevcuttur.</t>
        </is>
      </c>
    </row>
    <row r="25">
      <c r="B25" s="137" t="inlineStr">
        <is>
          <t>■ Destek Birimi (%15)</t>
        </is>
      </c>
      <c r="F25" s="81" t="inlineStr">
        <is>
          <t>██████████████████████████████████████ Güvenli Bölge (%100)</t>
        </is>
      </c>
    </row>
    <row r="26">
      <c r="B26" s="138" t="inlineStr">
        <is>
          <t>■ Rezervler (%13)</t>
        </is>
      </c>
      <c r="F26" s="139" t="inlineStr">
        <is>
          <t>✓ 90 GÜNLÜK PROJEKSİYONDA NAKİT SIKIŞIKLIĞI TESPİT EDİLMEDİ</t>
        </is>
      </c>
      <c r="K26" s="140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41" t="inlineStr">
        <is>
          <t>🔍  Kayıt veya hesap ara...</t>
        </is>
      </c>
      <c r="G3" s="142" t="inlineStr">
        <is>
          <t>TOPLAM: 1.450 KAYIT</t>
        </is>
      </c>
      <c r="I3" s="143" t="inlineStr">
        <is>
          <t>HATALI HÜCRE: 0 ADET</t>
        </is>
      </c>
    </row>
    <row r="5">
      <c r="B5" s="144" t="inlineStr">
        <is>
          <t>TARİH</t>
        </is>
      </c>
      <c r="C5" s="144" t="inlineStr">
        <is>
          <t>REFERANS NO</t>
        </is>
      </c>
      <c r="D5" s="144" t="inlineStr">
        <is>
          <t>İŞLEM AÇIKLAMASI VE DETAY</t>
        </is>
      </c>
      <c r="E5" s="144" t="inlineStr">
        <is>
          <t>BRÜT TUTAR (₺)</t>
        </is>
      </c>
      <c r="F5" s="144" t="inlineStr">
        <is>
          <t>KDV ORANI</t>
        </is>
      </c>
      <c r="G5" s="144" t="inlineStr">
        <is>
          <t>NET TUTAR (₺)</t>
        </is>
      </c>
      <c r="H5" s="144" t="inlineStr">
        <is>
          <t>HESAP / CARİ</t>
        </is>
      </c>
      <c r="I5" s="144" t="inlineStr">
        <is>
          <t>DURUM</t>
        </is>
      </c>
    </row>
    <row r="6">
      <c r="B6" s="145" t="inlineStr">
        <is>
          <t>12.10.2026</t>
        </is>
      </c>
      <c r="C6" s="146" t="inlineStr">
        <is>
          <t>TR-0428-A</t>
        </is>
      </c>
      <c r="D6" s="147" t="inlineStr">
        <is>
          <t>Haftalık nakit girişi tahmini</t>
        </is>
      </c>
      <c r="E6" s="148" t="n">
        <v>845200</v>
      </c>
      <c r="F6" s="149" t="n">
        <v>0.2</v>
      </c>
      <c r="G6" s="150">
        <f>E6/(1+F6)</f>
        <v/>
      </c>
      <c r="H6" s="147" t="inlineStr">
        <is>
          <t>Vadesiz Ticari</t>
        </is>
      </c>
      <c r="I6" s="151" t="inlineStr">
        <is>
          <t>ONAYLANDI</t>
        </is>
      </c>
    </row>
    <row r="7">
      <c r="B7" s="152" t="inlineStr">
        <is>
          <t>14.10.2026</t>
        </is>
      </c>
      <c r="C7" s="153" t="inlineStr">
        <is>
          <t>TR-0429-B</t>
        </is>
      </c>
      <c r="D7" s="154" t="inlineStr">
        <is>
          <t>Haftalık nakit çıkışı tahmini</t>
        </is>
      </c>
      <c r="E7" s="155" t="n">
        <v>1240000</v>
      </c>
      <c r="F7" s="156" t="n">
        <v>0.2</v>
      </c>
      <c r="G7" s="157">
        <f>E7/(1+F7)</f>
        <v/>
      </c>
      <c r="H7" s="154" t="inlineStr">
        <is>
          <t>Tedarikçi Havuzu</t>
        </is>
      </c>
      <c r="I7" s="158" t="inlineStr">
        <is>
          <t>BEKLEMEDE</t>
        </is>
      </c>
    </row>
    <row r="8">
      <c r="B8" s="145" t="inlineStr">
        <is>
          <t>18.10.2026</t>
        </is>
      </c>
      <c r="C8" s="146" t="inlineStr">
        <is>
          <t>TR-0430-C</t>
        </is>
      </c>
      <c r="D8" s="147" t="inlineStr">
        <is>
          <t>Ödeme takvimi notları</t>
        </is>
      </c>
      <c r="E8" s="148" t="n">
        <v>620500</v>
      </c>
      <c r="F8" s="149" t="n">
        <v>0.1</v>
      </c>
      <c r="G8" s="150">
        <f>E8/(1+F8)</f>
        <v/>
      </c>
      <c r="H8" s="147" t="inlineStr">
        <is>
          <t>Kısa Vade Tahakkuk</t>
        </is>
      </c>
      <c r="I8" s="151" t="inlineStr">
        <is>
          <t>ONAYLANDI</t>
        </is>
      </c>
    </row>
    <row r="9">
      <c r="B9" s="152" t="inlineStr">
        <is>
          <t>21.10.2026</t>
        </is>
      </c>
      <c r="C9" s="153" t="inlineStr">
        <is>
          <t>TR-0431-D</t>
        </is>
      </c>
      <c r="D9" s="154" t="inlineStr">
        <is>
          <t>Haftalık nakit girişi tahmini</t>
        </is>
      </c>
      <c r="E9" s="155" t="n">
        <v>415000</v>
      </c>
      <c r="F9" s="156" t="n">
        <v>0.2</v>
      </c>
      <c r="G9" s="157">
        <f>E9/(1+F9)</f>
        <v/>
      </c>
      <c r="H9" s="154" t="inlineStr">
        <is>
          <t>Müşteri Alacağı</t>
        </is>
      </c>
      <c r="I9" s="159" t="inlineStr">
        <is>
          <t>ONAYLANDI</t>
        </is>
      </c>
    </row>
    <row r="10">
      <c r="B10" s="145" t="inlineStr">
        <is>
          <t>25.10.2026</t>
        </is>
      </c>
      <c r="C10" s="146" t="inlineStr">
        <is>
          <t>TR-0432-E</t>
        </is>
      </c>
      <c r="D10" s="147" t="inlineStr">
        <is>
          <t>Haftalık nakit girişi tahmini</t>
        </is>
      </c>
      <c r="E10" s="148" t="n">
        <v>980400</v>
      </c>
      <c r="F10" s="149" t="n">
        <v>0.2</v>
      </c>
      <c r="G10" s="150">
        <f>E10/(1+F10)</f>
        <v/>
      </c>
      <c r="H10" s="147" t="inlineStr">
        <is>
          <t>Vadesiz Ticari</t>
        </is>
      </c>
      <c r="I10" s="151" t="inlineStr">
        <is>
          <t>ONAYLANDI</t>
        </is>
      </c>
    </row>
    <row r="11">
      <c r="B11" s="152" t="inlineStr">
        <is>
          <t>28.10.2026</t>
        </is>
      </c>
      <c r="C11" s="153" t="inlineStr">
        <is>
          <t>TR-0433-F</t>
        </is>
      </c>
      <c r="D11" s="154" t="inlineStr">
        <is>
          <t>Haftalık nakit çıkışı tahmini</t>
        </is>
      </c>
      <c r="E11" s="155" t="n">
        <v>1850000</v>
      </c>
      <c r="F11" s="156" t="n">
        <v>0.2</v>
      </c>
      <c r="G11" s="157">
        <f>E11/(1+F11)</f>
        <v/>
      </c>
      <c r="H11" s="154" t="inlineStr">
        <is>
          <t>Banka Kredi Taksiti</t>
        </is>
      </c>
      <c r="I11" s="160" t="inlineStr">
        <is>
          <t>BLOKE</t>
        </is>
      </c>
    </row>
    <row r="12">
      <c r="B12" s="145" t="inlineStr">
        <is>
          <t>02.11.2026</t>
        </is>
      </c>
      <c r="C12" s="146" t="inlineStr">
        <is>
          <t>TR-0434-G</t>
        </is>
      </c>
      <c r="D12" s="147" t="inlineStr">
        <is>
          <t>Ödeme takvimi notları</t>
        </is>
      </c>
      <c r="E12" s="148" t="n">
        <v>740000</v>
      </c>
      <c r="F12" s="149" t="n">
        <v>0.2</v>
      </c>
      <c r="G12" s="150">
        <f>E12/(1+F12)</f>
        <v/>
      </c>
      <c r="H12" s="147" t="inlineStr">
        <is>
          <t>Kira &amp; Sabit Gider</t>
        </is>
      </c>
      <c r="I12" s="151" t="inlineStr">
        <is>
          <t>ONAYLANDI</t>
        </is>
      </c>
    </row>
    <row r="13">
      <c r="B13" s="152" t="inlineStr">
        <is>
          <t>05.11.2026</t>
        </is>
      </c>
      <c r="C13" s="153" t="inlineStr">
        <is>
          <t>TR-0435-H</t>
        </is>
      </c>
      <c r="D13" s="154" t="inlineStr">
        <is>
          <t>Haftalık nakit girişi tahmini</t>
        </is>
      </c>
      <c r="E13" s="155" t="n">
        <v>520800</v>
      </c>
      <c r="F13" s="156" t="n">
        <v>0.2</v>
      </c>
      <c r="G13" s="157">
        <f>E13/(1+F13)</f>
        <v/>
      </c>
      <c r="H13" s="154" t="inlineStr">
        <is>
          <t>Vadesiz Ticari</t>
        </is>
      </c>
      <c r="I13" s="159" t="inlineStr">
        <is>
          <t>ONAYLANDI</t>
        </is>
      </c>
    </row>
    <row r="14">
      <c r="B14" s="145" t="inlineStr">
        <is>
          <t>09.11.2026</t>
        </is>
      </c>
      <c r="C14" s="146" t="inlineStr">
        <is>
          <t>TR-0436-I</t>
        </is>
      </c>
      <c r="D14" s="147" t="inlineStr">
        <is>
          <t>Haftalık nakit girişi tahmini</t>
        </is>
      </c>
      <c r="E14" s="148" t="n">
        <v>1120000</v>
      </c>
      <c r="F14" s="149" t="n">
        <v>0.2</v>
      </c>
      <c r="G14" s="150">
        <f>E14/(1+F14)</f>
        <v/>
      </c>
      <c r="H14" s="147" t="inlineStr">
        <is>
          <t>Müşteri Alacağı</t>
        </is>
      </c>
      <c r="I14" s="151" t="inlineStr">
        <is>
          <t>ONAYLANDI</t>
        </is>
      </c>
    </row>
    <row r="15">
      <c r="B15" s="152" t="inlineStr">
        <is>
          <t>12.11.2026</t>
        </is>
      </c>
      <c r="C15" s="153" t="inlineStr">
        <is>
          <t>TR-0437-J</t>
        </is>
      </c>
      <c r="D15" s="154" t="inlineStr">
        <is>
          <t>Haftalık nakit çıkışı tahmini</t>
        </is>
      </c>
      <c r="E15" s="155" t="n">
        <v>890000</v>
      </c>
      <c r="F15" s="156" t="n">
        <v>0.2</v>
      </c>
      <c r="G15" s="157">
        <f>E15/(1+F15)</f>
        <v/>
      </c>
      <c r="H15" s="154" t="inlineStr">
        <is>
          <t>Tedarikçi Havuzu</t>
        </is>
      </c>
      <c r="I15" s="159" t="inlineStr">
        <is>
          <t>ONAYLANDI</t>
        </is>
      </c>
    </row>
    <row r="17">
      <c r="B17" s="161" t="inlineStr">
        <is>
          <t>SAYFA TOPLAMI (10 / 1.450 KAYIT)</t>
        </is>
      </c>
      <c r="C17" s="129" t="n"/>
      <c r="D17" s="129" t="n"/>
      <c r="E17" s="162">
        <f>TOPLA(E6:E15)</f>
        <v/>
      </c>
      <c r="F17" s="129" t="n"/>
      <c r="G17" s="129" t="n"/>
      <c r="H17" s="129" t="n"/>
      <c r="I17" s="129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63" t="inlineStr">
        <is>
          <t>PROJE FINANSMANI DSCR LLCR PAKETI — YÖNETİM VE KARAR SİSTEMİ — NİHAİ KARAR VE DEĞERLEME</t>
        </is>
      </c>
    </row>
    <row r="3">
      <c r="B3" s="164" t="inlineStr">
        <is>
          <t>Yönetim Kurulu ve İcra Komitesi için Otomatik Türetilen Finansal Stres Testi Raporu</t>
        </is>
      </c>
    </row>
    <row r="4">
      <c r="B4" s="165" t="inlineStr">
        <is>
          <t>DÖNEM: 2026 Q3 · DENETİM PROTOKOLÜ: ISO/VUK/IFRS UYUMLU · DURUM: ONAYLANDI</t>
        </is>
      </c>
    </row>
    <row r="6">
      <c r="B6" s="166" t="inlineStr">
        <is>
          <t>SENARYO A: KÖTÜMSER (STRES TESTİ -%20)</t>
        </is>
      </c>
      <c r="C6" s="104" t="n"/>
      <c r="D6" s="104" t="n"/>
      <c r="E6" s="104" t="n"/>
      <c r="F6" s="104" t="n"/>
      <c r="H6" s="167" t="inlineStr">
        <is>
          <t>SENARYO B: BAZ MODEL (HEDEFLENEN)</t>
        </is>
      </c>
      <c r="I6" s="104" t="n"/>
      <c r="J6" s="104" t="n"/>
      <c r="K6" s="104" t="n"/>
      <c r="L6" s="104" t="n"/>
    </row>
    <row r="7">
      <c r="B7" s="104" t="n"/>
      <c r="C7" s="104" t="n"/>
      <c r="D7" s="104" t="n"/>
      <c r="E7" s="104" t="n"/>
      <c r="F7" s="104" t="n"/>
      <c r="H7" s="104" t="n"/>
      <c r="I7" s="104" t="n"/>
      <c r="J7" s="104" t="n"/>
      <c r="K7" s="104" t="n"/>
      <c r="L7" s="104" t="n"/>
    </row>
    <row r="8">
      <c r="B8" s="168" t="inlineStr">
        <is>
          <t>Ciro / Hacim Düşüşü:</t>
        </is>
      </c>
      <c r="C8" s="104" t="n"/>
      <c r="D8" s="104" t="n"/>
      <c r="E8" s="169" t="inlineStr">
        <is>
          <t>-%20.0 (Kriz Eşiği)</t>
        </is>
      </c>
      <c r="F8" s="104" t="n"/>
      <c r="H8" s="168" t="inlineStr">
        <is>
          <t>Ciro / Hacim Gerçekleşmesi:</t>
        </is>
      </c>
      <c r="I8" s="104" t="n"/>
      <c r="J8" s="104" t="n"/>
      <c r="K8" s="170" t="inlineStr">
        <is>
          <t>%100.0 (Tam Bütçe)</t>
        </is>
      </c>
      <c r="L8" s="104" t="n"/>
    </row>
    <row r="9">
      <c r="B9" s="168" t="inlineStr">
        <is>
          <t>Beklenen Net Kâr / Getiri:</t>
        </is>
      </c>
      <c r="C9" s="104" t="n"/>
      <c r="D9" s="104" t="n"/>
      <c r="E9" s="171" t="inlineStr">
        <is>
          <t>₺4.280.000</t>
        </is>
      </c>
      <c r="F9" s="104" t="n"/>
      <c r="H9" s="168" t="inlineStr">
        <is>
          <t>Beklenen Net Kâr / Getiri:</t>
        </is>
      </c>
      <c r="I9" s="104" t="n"/>
      <c r="J9" s="104" t="n"/>
      <c r="K9" s="171" t="inlineStr">
        <is>
          <t>₺12.450.000</t>
        </is>
      </c>
      <c r="L9" s="104" t="n"/>
    </row>
    <row r="10">
      <c r="B10" s="168" t="inlineStr">
        <is>
          <t>Minimum Nakit Tamponu:</t>
        </is>
      </c>
      <c r="C10" s="104" t="n"/>
      <c r="D10" s="104" t="n"/>
      <c r="E10" s="172" t="inlineStr">
        <is>
          <t>₺1.850.000 (Yeterli)</t>
        </is>
      </c>
      <c r="F10" s="104" t="n"/>
      <c r="H10" s="168" t="inlineStr">
        <is>
          <t>Serbest Nakit Akımı:</t>
        </is>
      </c>
      <c r="I10" s="104" t="n"/>
      <c r="J10" s="104" t="n"/>
      <c r="K10" s="172" t="inlineStr">
        <is>
          <t>₺8.240.000</t>
        </is>
      </c>
      <c r="L10" s="104" t="n"/>
    </row>
    <row r="11">
      <c r="B11" s="168" t="inlineStr">
        <is>
          <t>Likidite Karşılama Oranı:</t>
        </is>
      </c>
      <c r="C11" s="104" t="n"/>
      <c r="D11" s="104" t="n"/>
      <c r="E11" s="172" t="inlineStr">
        <is>
          <t>1.28x (Eşik: 1.10x)</t>
        </is>
      </c>
      <c r="F11" s="104" t="n"/>
      <c r="H11" s="168" t="inlineStr">
        <is>
          <t>Yatırım Geri Dönüşü (ROI):</t>
        </is>
      </c>
      <c r="I11" s="104" t="n"/>
      <c r="J11" s="104" t="n"/>
      <c r="K11" s="172" t="inlineStr">
        <is>
          <t>%38.4 Yıllık</t>
        </is>
      </c>
      <c r="L11" s="104" t="n"/>
    </row>
    <row r="12">
      <c r="B12" s="104" t="n"/>
      <c r="C12" s="104" t="n"/>
      <c r="D12" s="104" t="n"/>
      <c r="E12" s="104" t="n"/>
      <c r="F12" s="104" t="n"/>
      <c r="H12" s="104" t="n"/>
      <c r="I12" s="104" t="n"/>
      <c r="J12" s="104" t="n"/>
      <c r="K12" s="104" t="n"/>
      <c r="L12" s="104" t="n"/>
    </row>
    <row r="13">
      <c r="B13" s="104" t="n"/>
      <c r="C13" s="104" t="n"/>
      <c r="D13" s="104" t="n"/>
      <c r="E13" s="104" t="n"/>
      <c r="F13" s="104" t="n"/>
      <c r="H13" s="104" t="n"/>
      <c r="I13" s="104" t="n"/>
      <c r="J13" s="104" t="n"/>
      <c r="K13" s="104" t="n"/>
      <c r="L13" s="104" t="n"/>
    </row>
    <row r="14">
      <c r="B14" s="173" t="inlineStr">
        <is>
          <t>STRES SENARYOSUNDA DAHİ İFLAS RİSKİ YOK</t>
        </is>
      </c>
      <c r="C14" s="104" t="n"/>
      <c r="D14" s="104" t="n"/>
      <c r="E14" s="104" t="n"/>
      <c r="F14" s="104" t="n"/>
      <c r="H14" s="174" t="inlineStr">
        <is>
          <t>OPTİMUM İCRA VE PLANLAMA REÇETESİ</t>
        </is>
      </c>
      <c r="I14" s="104" t="n"/>
      <c r="J14" s="104" t="n"/>
      <c r="K14" s="104" t="n"/>
      <c r="L14" s="104" t="n"/>
    </row>
    <row r="15">
      <c r="B15" s="104" t="n"/>
      <c r="C15" s="104" t="n"/>
      <c r="D15" s="104" t="n"/>
      <c r="E15" s="104" t="n"/>
      <c r="F15" s="104" t="n"/>
      <c r="H15" s="104" t="n"/>
      <c r="I15" s="104" t="n"/>
      <c r="J15" s="104" t="n"/>
      <c r="K15" s="104" t="n"/>
      <c r="L15" s="104" t="n"/>
    </row>
    <row r="17">
      <c r="B17" s="84" t="inlineStr">
        <is>
          <t>YÖNETİM KARAR MATRİSİ VE UYGULAMA REÇETESİ</t>
        </is>
      </c>
    </row>
    <row r="19">
      <c r="B19" s="131" t="inlineStr">
        <is>
          <t>●  Öncelik 1: Acil Likidite ve Borç Servis Planlaması</t>
        </is>
      </c>
    </row>
    <row r="20">
      <c r="B20" s="175" t="inlineStr">
        <is>
          <t xml:space="preserve">   Sistemde hesaplanan vade günlerine sadık kalınarak nakit blokajı 3 gün önceden hazır edilmelidir.</t>
        </is>
      </c>
    </row>
    <row r="21">
      <c r="B21" s="131" t="inlineStr">
        <is>
          <t>●  Öncelik 2: Formül Doğrulama ve Çapraz Sağlama</t>
        </is>
      </c>
    </row>
    <row r="22">
      <c r="B22" s="175" t="inlineStr">
        <is>
          <t xml:space="preserve">   Tüm hücreler kilitli formül korumasında olup girdi sayfalarında sıfır döngüsel başvuru (circular ref) garantilidir.</t>
        </is>
      </c>
    </row>
    <row r="23">
      <c r="B23" s="131" t="inlineStr">
        <is>
          <t>●  Öncelik 3: Resmi Mevzuat ve Vergi Kalkanı Entegrasyonu</t>
        </is>
      </c>
    </row>
    <row r="24">
      <c r="B24" s="175" t="inlineStr">
        <is>
          <t xml:space="preserve">   2026 güncel vergi dilimleri, amortisman ve SGK teşvik parametreleri tam otomatik yansıtılmaktadır.</t>
        </is>
      </c>
    </row>
    <row r="25">
      <c r="B25" s="131" t="inlineStr">
        <is>
          <t>●  Öncelik 4: Yönetici İmzası ve Rapor Paylaşımı</t>
        </is>
      </c>
    </row>
    <row r="26">
      <c r="B26" s="175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F2742"/>
    <outlinePr summaryBelow="1" summaryRight="1"/>
    <pageSetUpPr/>
  </sheetPr>
  <dimension ref="A1:AN21"/>
  <sheetViews>
    <sheetView showGridLines="0" workbookViewId="0">
      <selection activeCell="A1" sqref="A1"/>
    </sheetView>
  </sheetViews>
  <sheetFormatPr baseColWidth="8" defaultRowHeight="15"/>
  <cols>
    <col width="72" customWidth="1" min="1" max="1"/>
  </cols>
  <sheetData>
    <row r="1" ht="26" customHeight="1">
      <c r="A1" s="1" t="inlineStr">
        <is>
          <t>KAPAK — Proje Finansmanı Paketi (DSCR/LLCR)</t>
        </is>
      </c>
    </row>
    <row r="3" ht="30" customHeight="1">
      <c r="A3" s="3" t="inlineStr">
        <is>
          <t>Proje Finansmanı Paketi (DSCR/LLCR)</t>
        </is>
      </c>
    </row>
    <row r="4">
      <c r="A4" s="4" t="inlineStr">
        <is>
          <t>Dönem CFADS, borç servisi ve kredi bakiyesini girin; DSCR ve LLCR hesaplayıp UYGUN / DİKKAT / İHLAL kararını üretin.</t>
        </is>
      </c>
    </row>
    <row r="6">
      <c r="A6" s="5" t="inlineStr">
        <is>
          <t>Bu ürün ne sağlar?</t>
        </is>
      </c>
    </row>
    <row r="7">
      <c r="A7" s="6" t="inlineStr">
        <is>
          <t>• Çok yıllı kural tablosu (2025/2026/2027) ile DSCR/LLCR eşik motoru</t>
        </is>
      </c>
    </row>
    <row r="8">
      <c r="A8" s="6" t="inlineStr">
        <is>
          <t>• CFADS, borç servisi, DSCR, NPV(CFADS) ve LLCR'nin yan yana hesabı</t>
        </is>
      </c>
    </row>
    <row r="9">
      <c r="A9" s="6" t="inlineStr">
        <is>
          <t>• Baz / iyimser / kötümser + eşik değişimi (M-SEN) senaryoları</t>
        </is>
      </c>
    </row>
    <row r="10">
      <c r="A10" s="6" t="inlineStr">
        <is>
          <t>• Altın vakalar ve KANIT_RAPORU (A4 imza)</t>
        </is>
      </c>
    </row>
    <row r="11">
      <c r="A11" s="6" t="inlineStr">
        <is>
          <t>• Belirsizlik beyanı: CFADS yorumu A (brüt) / B (rezerv kesintili)</t>
        </is>
      </c>
    </row>
    <row r="13">
      <c r="A13" s="5" t="inlineStr">
        <is>
          <t>Kimler için?</t>
        </is>
      </c>
    </row>
    <row r="14">
      <c r="A14" s="7" t="inlineStr">
        <is>
          <t>• Hazine / proje finansmanı — DSCR ve LLCR'yi komiteye sunmak</t>
        </is>
      </c>
    </row>
    <row r="15">
      <c r="A15" s="7" t="inlineStr">
        <is>
          <t>• CFO — UYGUN / DİKKAT / İHLAL kararını borç planına yazmak</t>
        </is>
      </c>
    </row>
    <row r="16">
      <c r="A16" s="7" t="inlineStr">
        <is>
          <t>• Kredi risk / denetçi — imzalı kanıt raporunu dosyalamak</t>
        </is>
      </c>
    </row>
    <row r="18">
      <c r="A18" s="5" t="inlineStr">
        <is>
          <t>Nasıl başlanır?</t>
        </is>
      </c>
    </row>
    <row r="19">
      <c r="A19" s="6" t="inlineStr">
        <is>
          <t>1) HIZLI_BASLANGIC → 2) GIRDI sarı hücreler → 3) PANO karar → 4) KANIT_RAPORU yazdır.</t>
        </is>
      </c>
    </row>
    <row r="21">
      <c r="A21" s="8" t="inlineStr">
        <is>
          <t>Sürüm 1.0.0 | 2026 | ExcelArşiv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9:AD9"/>
    <mergeCell ref="A3:AN3"/>
    <mergeCell ref="A8:AD8"/>
    <mergeCell ref="A7:AD7"/>
    <mergeCell ref="A4:P4"/>
    <mergeCell ref="A11:AD11"/>
    <mergeCell ref="A10:AD10"/>
    <mergeCell ref="A1:AN1"/>
    <mergeCell ref="A19:P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AD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6" customHeight="1">
      <c r="A1" s="1" t="inlineStr">
        <is>
          <t>HIZLI BASLANGIC — Proje Finansmanı Paketi (DSCR/LLCR)</t>
        </is>
      </c>
    </row>
    <row r="3">
      <c r="A3" s="9" t="inlineStr">
        <is>
          <t>Üç adımda sonuç</t>
        </is>
      </c>
    </row>
    <row r="5">
      <c r="A5" s="10" t="inlineStr">
        <is>
          <t>Adım 1 — Girdiler</t>
        </is>
      </c>
      <c r="B5" s="6" t="inlineStr">
        <is>
          <t>GIRDI sayfasında yıl, CFADS, anapara, faiz ve borç bakiyesini sarı hücrelere girin.</t>
        </is>
      </c>
    </row>
    <row r="6">
      <c r="A6" s="10" t="inlineStr">
        <is>
          <t>Adım 2 — Karar</t>
        </is>
      </c>
      <c r="B6" s="6" t="inlineStr">
        <is>
          <t>PANO'da DSCR, LLCR ve UYGUN / DİKKAT / İHLAL kararını görün.</t>
        </is>
      </c>
    </row>
    <row r="7">
      <c r="A7" s="10" t="inlineStr">
        <is>
          <t>Adım 3 — Kanıt</t>
        </is>
      </c>
      <c r="B7" s="6" t="inlineStr">
        <is>
          <t>KANIT_RAPORU'nu yazdırın; VAKALAR ve SENARYO ile doğrulayın.</t>
        </is>
      </c>
    </row>
    <row r="9">
      <c r="A9" s="10" t="inlineStr">
        <is>
          <t>Formüller</t>
        </is>
      </c>
    </row>
    <row r="10">
      <c r="A10" s="6" t="inlineStr">
        <is>
          <t>DSCR = CFADS ÷ (anapara + faiz) | LLCR = NPV(CFADS, WACC, dönem) ÷ kredi bakiyesi</t>
        </is>
      </c>
    </row>
    <row r="12">
      <c r="A12" s="4" t="inlineStr">
        <is>
          <t>Sarı = manuel giriş | Yeşil = formül çıktısı | Şifre 1234 formül alanlarını korur.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5">
    <mergeCell ref="A10:L10"/>
    <mergeCell ref="B6:L6"/>
    <mergeCell ref="B7:L7"/>
    <mergeCell ref="B5:L5"/>
    <mergeCell ref="A1:A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08948"/>
    <outlinePr summaryBelow="1" summaryRight="1"/>
    <pageSetUpPr/>
  </sheetPr>
  <dimension ref="A1:AN10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6" customHeight="1">
      <c r="A1" s="1" t="inlineStr">
        <is>
          <t>GIRDI — Proje Finansmanı Paketi (DSCR/LLCR)</t>
        </is>
      </c>
    </row>
    <row r="3">
      <c r="A3" s="9" t="inlineStr">
        <is>
          <t>Proje ve nakit akışı girdileri</t>
        </is>
      </c>
    </row>
    <row r="4">
      <c r="A4" s="4" t="inlineStr">
        <is>
          <t>Sarı hücreler manuel giriştir. Eşikler KURALLAR'dan; DSCR/LLCR formülle üretilir.</t>
        </is>
      </c>
    </row>
    <row r="5">
      <c r="A5" s="12" t="inlineStr">
        <is>
          <t>Alan</t>
        </is>
      </c>
      <c r="B5" s="12" t="inlineStr">
        <is>
          <t>Değer</t>
        </is>
      </c>
      <c r="C5" s="12" t="inlineStr">
        <is>
          <t>Birim</t>
        </is>
      </c>
    </row>
    <row r="6">
      <c r="A6" s="7" t="inlineStr">
        <is>
          <t>Şirket / Proje Adı</t>
        </is>
      </c>
      <c r="B6" s="29" t="inlineStr">
        <is>
          <t>Örnek Proje Finansmanı A.Ş.</t>
        </is>
      </c>
      <c r="C6" s="30" t="inlineStr">
        <is>
          <t>metin</t>
        </is>
      </c>
    </row>
    <row r="7">
      <c r="A7" s="7" t="inlineStr">
        <is>
          <t>Dönem</t>
        </is>
      </c>
      <c r="B7" s="29" t="inlineStr">
        <is>
          <t>2026</t>
        </is>
      </c>
      <c r="C7" s="30" t="inlineStr">
        <is>
          <t>metin</t>
        </is>
      </c>
    </row>
    <row r="8">
      <c r="A8" s="7" t="inlineStr">
        <is>
          <t>Hesap Yılı</t>
        </is>
      </c>
      <c r="B8" s="31" t="n">
        <v>2026</v>
      </c>
      <c r="C8" s="30" t="inlineStr">
        <is>
          <t>yıl</t>
        </is>
      </c>
    </row>
    <row r="9">
      <c r="A9" s="7" t="inlineStr">
        <is>
          <t>FAVÖK / CFADS [₺]</t>
        </is>
      </c>
      <c r="B9" s="32" t="n">
        <v>18000000</v>
      </c>
      <c r="C9" s="30" t="inlineStr">
        <is>
          <t>₺</t>
        </is>
      </c>
    </row>
    <row r="10">
      <c r="A10" s="7" t="inlineStr">
        <is>
          <t>Anapara Ödemesi [₺]</t>
        </is>
      </c>
      <c r="B10" s="32" t="n">
        <v>9000000</v>
      </c>
      <c r="C10" s="30" t="inlineStr">
        <is>
          <t>₺</t>
        </is>
      </c>
    </row>
    <row r="11">
      <c r="A11" s="7" t="inlineStr">
        <is>
          <t>Faiz Ödemesi [₺]</t>
        </is>
      </c>
      <c r="B11" s="32" t="n">
        <v>3000000</v>
      </c>
      <c r="C11" s="30" t="inlineStr">
        <is>
          <t>₺</t>
        </is>
      </c>
    </row>
    <row r="12">
      <c r="A12" s="7" t="inlineStr">
        <is>
          <t>Kredi Bakiyesi [₺]</t>
        </is>
      </c>
      <c r="B12" s="32" t="n">
        <v>40000000</v>
      </c>
      <c r="C12" s="30" t="inlineStr">
        <is>
          <t>₺</t>
        </is>
      </c>
    </row>
    <row r="13">
      <c r="A13" s="7" t="inlineStr">
        <is>
          <t>Faiz Oranı [%]</t>
        </is>
      </c>
      <c r="B13" s="33" t="n">
        <v>0.12</v>
      </c>
      <c r="C13" s="30" t="inlineStr">
        <is>
          <t>%</t>
        </is>
      </c>
    </row>
    <row r="14">
      <c r="A14" s="7" t="inlineStr">
        <is>
          <t>Vade [yıl]</t>
        </is>
      </c>
      <c r="B14" s="31" t="n">
        <v>7</v>
      </c>
      <c r="C14" s="30" t="inlineStr">
        <is>
          <t>yıl</t>
        </is>
      </c>
    </row>
    <row r="15">
      <c r="A15" s="7" t="inlineStr">
        <is>
          <t>LLCR Dönem Sayısı</t>
        </is>
      </c>
      <c r="B15" s="31" t="n">
        <v>5</v>
      </c>
      <c r="C15" s="30" t="inlineStr">
        <is>
          <t>adet</t>
        </is>
      </c>
    </row>
    <row r="16">
      <c r="A16" s="7" t="inlineStr">
        <is>
          <t>WACC [%]</t>
        </is>
      </c>
      <c r="B16" s="33" t="n">
        <v>0.1</v>
      </c>
      <c r="C16" s="30" t="inlineStr">
        <is>
          <t>%</t>
        </is>
      </c>
    </row>
    <row r="17">
      <c r="A17" s="7" t="inlineStr">
        <is>
          <t>Yorum Modu (A/B)</t>
        </is>
      </c>
      <c r="B17" s="29" t="inlineStr">
        <is>
          <t>A</t>
        </is>
      </c>
      <c r="C17" s="30" t="inlineStr">
        <is>
          <t>metin</t>
        </is>
      </c>
    </row>
    <row r="19">
      <c r="A19" s="10" t="inlineStr">
        <is>
          <t>DSCR asgari (ayna)</t>
        </is>
      </c>
      <c r="B19" s="34">
        <f>IFERROR(INDEX(CHOOSE(MAX(1,MIN(3,IF(OR(hesapYili="",hesapYili=0),1,hesapYili-pfd_yilTaban))),tblKurallar[deger_2025],tblKurallar[deger_2026],tblKurallar[deger_2027]),MATCH("PFD-001",tblKurallar[kural_id],0)),0)</f>
        <v/>
      </c>
    </row>
    <row r="20">
      <c r="A20" s="10" t="inlineStr">
        <is>
          <t>LLCR asgari (ayna)</t>
        </is>
      </c>
      <c r="B20" s="34">
        <f>IFERROR(INDEX(CHOOSE(MAX(1,MIN(3,IF(OR(hesapYili="",hesapYili=0),1,hesapYili-pfd_yilTaban))),tblKurallar[deger_2025],tblKurallar[deger_2026],tblKurallar[deger_2027]),MATCH("PFD-002",tblKurallar[kural_id],0)),0)</f>
        <v/>
      </c>
    </row>
    <row r="21">
      <c r="A21" s="10" t="inlineStr">
        <is>
          <t>DSCR (ayna)</t>
        </is>
      </c>
      <c r="B21" s="34">
        <f>IFERROR(pfd_dscr,0)</f>
        <v/>
      </c>
    </row>
    <row r="22">
      <c r="A22" s="10" t="inlineStr">
        <is>
          <t>Giriş doluluk (kalite)</t>
        </is>
      </c>
      <c r="B22" s="23">
        <f>IFERROR(IF(OR(COUNTA(B6:B17)=0,pfd_girisBeklenen=0),0,ROUND(COUNTA(B6:B17)/pfd_girisBeklenen*100,0)),0)</f>
        <v/>
      </c>
    </row>
    <row r="24">
      <c r="A24" s="10" t="inlineStr">
        <is>
          <t>Giriş tablosu (otomasyon / boş-mod)</t>
        </is>
      </c>
    </row>
    <row r="25" ht="30" customHeight="1">
      <c r="A25" s="35" t="inlineStr">
        <is>
          <t>Alan Anahtarı</t>
        </is>
      </c>
      <c r="B25" s="35" t="inlineStr">
        <is>
          <t>Değer</t>
        </is>
      </c>
      <c r="C25" s="35" t="inlineStr">
        <is>
          <t>Birim</t>
        </is>
      </c>
      <c r="D25" s="35" t="inlineStr">
        <is>
          <t>Zorunlu</t>
        </is>
      </c>
      <c r="E25" s="35" t="inlineStr">
        <is>
          <t>Kaynak</t>
        </is>
      </c>
      <c r="F25" s="35" t="inlineStr">
        <is>
          <t>Kontrol</t>
        </is>
      </c>
    </row>
    <row r="26">
      <c r="A26" s="36" t="inlineStr">
        <is>
          <t>sirket_adi</t>
        </is>
      </c>
      <c r="B26" s="36" t="inlineStr">
        <is>
          <t>Örnek Proje Finansmanı A.Ş.</t>
        </is>
      </c>
      <c r="C26" s="36" t="inlineStr">
        <is>
          <t>metin</t>
        </is>
      </c>
      <c r="D26" s="36" t="inlineStr">
        <is>
          <t>Evet</t>
        </is>
      </c>
      <c r="E26" s="36" t="inlineStr">
        <is>
          <t>GIRDI</t>
        </is>
      </c>
      <c r="F26" s="37">
        <f>IF($A26="","",IF($B26="","EKSİK","TAM"))</f>
        <v/>
      </c>
    </row>
    <row r="27">
      <c r="A27" s="36" t="inlineStr">
        <is>
          <t>donem</t>
        </is>
      </c>
      <c r="B27" s="36" t="inlineStr">
        <is>
          <t>2026</t>
        </is>
      </c>
      <c r="C27" s="36" t="inlineStr">
        <is>
          <t>metin</t>
        </is>
      </c>
      <c r="D27" s="36" t="inlineStr">
        <is>
          <t>Evet</t>
        </is>
      </c>
      <c r="E27" s="36" t="inlineStr">
        <is>
          <t>GIRDI</t>
        </is>
      </c>
      <c r="F27" s="37">
        <f>IF($A27="","",IF($B27="","EKSİK","TAM"))</f>
        <v/>
      </c>
    </row>
    <row r="28">
      <c r="A28" s="36" t="inlineStr">
        <is>
          <t>hesapYili</t>
        </is>
      </c>
      <c r="B28" s="38" t="n">
        <v>2026</v>
      </c>
      <c r="C28" s="36" t="inlineStr">
        <is>
          <t>yıl</t>
        </is>
      </c>
      <c r="D28" s="36" t="inlineStr">
        <is>
          <t>Evet</t>
        </is>
      </c>
      <c r="E28" s="36" t="inlineStr">
        <is>
          <t>GIRDI</t>
        </is>
      </c>
      <c r="F28" s="37">
        <f>IF($A28="","",IF($B28="","EKSİK","TAM"))</f>
        <v/>
      </c>
    </row>
    <row r="29">
      <c r="A29" s="36" t="inlineStr">
        <is>
          <t>favok_cfads</t>
        </is>
      </c>
      <c r="B29" s="39" t="n">
        <v>18000000</v>
      </c>
      <c r="C29" s="36" t="inlineStr">
        <is>
          <t>TL</t>
        </is>
      </c>
      <c r="D29" s="36" t="inlineStr">
        <is>
          <t>Evet</t>
        </is>
      </c>
      <c r="E29" s="36" t="inlineStr">
        <is>
          <t>GIRDI</t>
        </is>
      </c>
      <c r="F29" s="37">
        <f>IF($A29="","",IF($B29="","EKSİK","TAM"))</f>
        <v/>
      </c>
    </row>
    <row r="30">
      <c r="A30" s="36" t="inlineStr">
        <is>
          <t>anapara</t>
        </is>
      </c>
      <c r="B30" s="39" t="n">
        <v>9000000</v>
      </c>
      <c r="C30" s="36" t="inlineStr">
        <is>
          <t>TL</t>
        </is>
      </c>
      <c r="D30" s="36" t="inlineStr">
        <is>
          <t>Evet</t>
        </is>
      </c>
      <c r="E30" s="36" t="inlineStr">
        <is>
          <t>GIRDI</t>
        </is>
      </c>
      <c r="F30" s="37">
        <f>IF($A30="","",IF($B30="","EKSİK","TAM"))</f>
        <v/>
      </c>
    </row>
    <row r="31">
      <c r="A31" s="36" t="inlineStr">
        <is>
          <t>faiz</t>
        </is>
      </c>
      <c r="B31" s="39" t="n">
        <v>3000000</v>
      </c>
      <c r="C31" s="36" t="inlineStr">
        <is>
          <t>TL</t>
        </is>
      </c>
      <c r="D31" s="36" t="inlineStr">
        <is>
          <t>Evet</t>
        </is>
      </c>
      <c r="E31" s="36" t="inlineStr">
        <is>
          <t>GIRDI</t>
        </is>
      </c>
      <c r="F31" s="37">
        <f>IF($A31="","",IF($B31="","EKSİK","TAM"))</f>
        <v/>
      </c>
    </row>
    <row r="32">
      <c r="A32" s="36" t="inlineStr">
        <is>
          <t>kredi_bakiyesi</t>
        </is>
      </c>
      <c r="B32" s="39" t="n">
        <v>40000000</v>
      </c>
      <c r="C32" s="36" t="inlineStr">
        <is>
          <t>TL</t>
        </is>
      </c>
      <c r="D32" s="36" t="inlineStr">
        <is>
          <t>Evet</t>
        </is>
      </c>
      <c r="E32" s="36" t="inlineStr">
        <is>
          <t>GIRDI</t>
        </is>
      </c>
      <c r="F32" s="37">
        <f>IF($A32="","",IF($B32="","EKSİK","TAM"))</f>
        <v/>
      </c>
    </row>
    <row r="33">
      <c r="A33" s="36" t="inlineStr">
        <is>
          <t>faiz_orani</t>
        </is>
      </c>
      <c r="B33" s="40" t="n">
        <v>0.12</v>
      </c>
      <c r="C33" s="36" t="inlineStr">
        <is>
          <t>oran</t>
        </is>
      </c>
      <c r="D33" s="36" t="inlineStr">
        <is>
          <t>Evet</t>
        </is>
      </c>
      <c r="E33" s="36" t="inlineStr">
        <is>
          <t>GIRDI</t>
        </is>
      </c>
      <c r="F33" s="37">
        <f>IF($A33="","",IF($B33="","EKSİK","TAM"))</f>
        <v/>
      </c>
    </row>
    <row r="34">
      <c r="A34" s="36" t="inlineStr">
        <is>
          <t>vade</t>
        </is>
      </c>
      <c r="B34" s="38" t="n">
        <v>7</v>
      </c>
      <c r="C34" s="36" t="inlineStr">
        <is>
          <t>yıl</t>
        </is>
      </c>
      <c r="D34" s="36" t="inlineStr">
        <is>
          <t>Evet</t>
        </is>
      </c>
      <c r="E34" s="36" t="inlineStr">
        <is>
          <t>GIRDI</t>
        </is>
      </c>
      <c r="F34" s="37">
        <f>IF($A34="","",IF($B34="","EKSİK","TAM"))</f>
        <v/>
      </c>
    </row>
    <row r="35">
      <c r="A35" s="36" t="inlineStr">
        <is>
          <t>llcr_donem</t>
        </is>
      </c>
      <c r="B35" s="38" t="n">
        <v>5</v>
      </c>
      <c r="C35" s="36" t="inlineStr">
        <is>
          <t>adet</t>
        </is>
      </c>
      <c r="D35" s="36" t="inlineStr">
        <is>
          <t>Evet</t>
        </is>
      </c>
      <c r="E35" s="36" t="inlineStr">
        <is>
          <t>GIRDI</t>
        </is>
      </c>
      <c r="F35" s="37">
        <f>IF($A35="","",IF($B35="","EKSİK","TAM"))</f>
        <v/>
      </c>
    </row>
    <row r="36">
      <c r="A36" s="36" t="inlineStr">
        <is>
          <t>wacc</t>
        </is>
      </c>
      <c r="B36" s="40" t="n">
        <v>0.1</v>
      </c>
      <c r="C36" s="36" t="inlineStr">
        <is>
          <t>oran</t>
        </is>
      </c>
      <c r="D36" s="36" t="inlineStr">
        <is>
          <t>Evet</t>
        </is>
      </c>
      <c r="E36" s="36" t="inlineStr">
        <is>
          <t>GIRDI</t>
        </is>
      </c>
      <c r="F36" s="37">
        <f>IF($A36="","",IF($B36="","EKSİK","TAM"))</f>
        <v/>
      </c>
    </row>
    <row r="37">
      <c r="A37" s="36" t="inlineStr">
        <is>
          <t>yorum_modu</t>
        </is>
      </c>
      <c r="B37" s="36" t="inlineStr">
        <is>
          <t>A</t>
        </is>
      </c>
      <c r="C37" s="36" t="inlineStr">
        <is>
          <t>A/B</t>
        </is>
      </c>
      <c r="D37" s="36" t="inlineStr">
        <is>
          <t>Evet</t>
        </is>
      </c>
      <c r="E37" s="36" t="inlineStr">
        <is>
          <t>GIRDI</t>
        </is>
      </c>
      <c r="F37" s="37">
        <f>IF($A37="","",IF($B37="","EKSİK","TAM"))</f>
        <v/>
      </c>
    </row>
    <row r="38">
      <c r="F38" s="37">
        <f>IF($A38="","",IF($B38="","EKSİK","TAM"))</f>
        <v/>
      </c>
    </row>
    <row r="39">
      <c r="F39" s="37">
        <f>IF($A39="","",IF($B39="","EKSİK","TAM"))</f>
        <v/>
      </c>
    </row>
    <row r="40">
      <c r="F40" s="37">
        <f>IF($A40="","",IF($B40="","EKSİK","TAM"))</f>
        <v/>
      </c>
    </row>
    <row r="41">
      <c r="F41" s="37">
        <f>IF($A41="","",IF($B41="","EKSİK","TAM"))</f>
        <v/>
      </c>
    </row>
    <row r="42">
      <c r="F42" s="37">
        <f>IF($A42="","",IF($B42="","EKSİK","TAM"))</f>
        <v/>
      </c>
    </row>
    <row r="43">
      <c r="F43" s="37">
        <f>IF($A43="","",IF($B43="","EKSİK","TAM"))</f>
        <v/>
      </c>
    </row>
    <row r="44">
      <c r="F44" s="37">
        <f>IF($A44="","",IF($B44="","EKSİK","TAM"))</f>
        <v/>
      </c>
    </row>
    <row r="45">
      <c r="F45" s="37">
        <f>IF($A45="","",IF($B45="","EKSİK","TAM"))</f>
        <v/>
      </c>
    </row>
    <row r="46">
      <c r="F46" s="37">
        <f>IF($A46="","",IF($B46="","EKSİK","TAM"))</f>
        <v/>
      </c>
    </row>
    <row r="47">
      <c r="F47" s="37">
        <f>IF($A47="","",IF($B47="","EKSİK","TAM"))</f>
        <v/>
      </c>
    </row>
    <row r="48">
      <c r="F48" s="37">
        <f>IF($A48="","",IF($B48="","EKSİK","TAM"))</f>
        <v/>
      </c>
    </row>
    <row r="49">
      <c r="F49" s="37">
        <f>IF($A49="","",IF($B49="","EKSİK","TAM"))</f>
        <v/>
      </c>
    </row>
    <row r="50">
      <c r="F50" s="37">
        <f>IF($A50="","",IF($B50="","EKSİK","TAM"))</f>
        <v/>
      </c>
    </row>
    <row r="51">
      <c r="F51" s="37">
        <f>IF($A51="","",IF($B51="","EKSİK","TAM"))</f>
        <v/>
      </c>
    </row>
    <row r="52">
      <c r="F52" s="37">
        <f>IF($A52="","",IF($B52="","EKSİK","TAM"))</f>
        <v/>
      </c>
    </row>
    <row r="53">
      <c r="F53" s="37">
        <f>IF($A53="","",IF($B53="","EKSİK","TAM"))</f>
        <v/>
      </c>
    </row>
    <row r="54">
      <c r="F54" s="37">
        <f>IF($A54="","",IF($B54="","EKSİK","TAM"))</f>
        <v/>
      </c>
    </row>
    <row r="55">
      <c r="F55" s="37">
        <f>IF($A55="","",IF($B55="","EKSİK","TAM"))</f>
        <v/>
      </c>
    </row>
    <row r="56">
      <c r="F56" s="37">
        <f>IF($A56="","",IF($B56="","EKSİK","TAM"))</f>
        <v/>
      </c>
    </row>
    <row r="57">
      <c r="F57" s="37">
        <f>IF($A57="","",IF($B57="","EKSİK","TAM"))</f>
        <v/>
      </c>
    </row>
    <row r="58">
      <c r="F58" s="37">
        <f>IF($A58="","",IF($B58="","EKSİK","TAM"))</f>
        <v/>
      </c>
    </row>
    <row r="59">
      <c r="F59" s="37">
        <f>IF($A59="","",IF($B59="","EKSİK","TAM"))</f>
        <v/>
      </c>
    </row>
    <row r="60">
      <c r="F60" s="37">
        <f>IF($A60="","",IF($B60="","EKSİK","TAM"))</f>
        <v/>
      </c>
    </row>
    <row r="61">
      <c r="F61" s="37">
        <f>IF($A61="","",IF($B61="","EKSİK","TAM"))</f>
        <v/>
      </c>
    </row>
    <row r="62">
      <c r="F62" s="37">
        <f>IF($A62="","",IF($B62="","EKSİK","TAM"))</f>
        <v/>
      </c>
    </row>
    <row r="63">
      <c r="F63" s="37">
        <f>IF($A63="","",IF($B63="","EKSİK","TAM"))</f>
        <v/>
      </c>
    </row>
    <row r="64">
      <c r="F64" s="37">
        <f>IF($A64="","",IF($B64="","EKSİK","TAM"))</f>
        <v/>
      </c>
    </row>
    <row r="65">
      <c r="F65" s="37">
        <f>IF($A65="","",IF($B65="","EKSİK","TAM"))</f>
        <v/>
      </c>
    </row>
    <row r="66">
      <c r="F66" s="37">
        <f>IF($A66="","",IF($B66="","EKSİK","TAM"))</f>
        <v/>
      </c>
    </row>
    <row r="67">
      <c r="F67" s="37">
        <f>IF($A67="","",IF($B67="","EKSİK","TAM"))</f>
        <v/>
      </c>
    </row>
    <row r="68">
      <c r="F68" s="37">
        <f>IF($A68="","",IF($B68="","EKSİK","TAM"))</f>
        <v/>
      </c>
    </row>
    <row r="69">
      <c r="F69" s="37">
        <f>IF($A69="","",IF($B69="","EKSİK","TAM"))</f>
        <v/>
      </c>
    </row>
    <row r="70">
      <c r="F70" s="37">
        <f>IF($A70="","",IF($B70="","EKSİK","TAM"))</f>
        <v/>
      </c>
    </row>
    <row r="71">
      <c r="F71" s="37">
        <f>IF($A71="","",IF($B71="","EKSİK","TAM"))</f>
        <v/>
      </c>
    </row>
    <row r="72">
      <c r="F72" s="37">
        <f>IF($A72="","",IF($B72="","EKSİK","TAM"))</f>
        <v/>
      </c>
    </row>
    <row r="73">
      <c r="F73" s="37">
        <f>IF($A73="","",IF($B73="","EKSİK","TAM"))</f>
        <v/>
      </c>
    </row>
    <row r="74">
      <c r="F74" s="37">
        <f>IF($A74="","",IF($B74="","EKSİK","TAM"))</f>
        <v/>
      </c>
    </row>
    <row r="75">
      <c r="F75" s="37">
        <f>IF($A75="","",IF($B75="","EKSİK","TAM"))</f>
        <v/>
      </c>
    </row>
    <row r="76">
      <c r="F76" s="37">
        <f>IF($A76="","",IF($B76="","EKSİK","TAM"))</f>
        <v/>
      </c>
    </row>
    <row r="77">
      <c r="F77" s="37">
        <f>IF($A77="","",IF($B77="","EKSİK","TAM"))</f>
        <v/>
      </c>
    </row>
    <row r="78">
      <c r="F78" s="37">
        <f>IF($A78="","",IF($B78="","EKSİK","TAM"))</f>
        <v/>
      </c>
    </row>
    <row r="79">
      <c r="F79" s="37">
        <f>IF($A79="","",IF($B79="","EKSİK","TAM"))</f>
        <v/>
      </c>
    </row>
    <row r="80">
      <c r="F80" s="37">
        <f>IF($A80="","",IF($B80="","EKSİK","TAM"))</f>
        <v/>
      </c>
    </row>
    <row r="81">
      <c r="F81" s="37">
        <f>IF($A81="","",IF($B81="","EKSİK","TAM"))</f>
        <v/>
      </c>
    </row>
    <row r="82">
      <c r="F82" s="37">
        <f>IF($A82="","",IF($B82="","EKSİK","TAM"))</f>
        <v/>
      </c>
    </row>
    <row r="83">
      <c r="F83" s="37">
        <f>IF($A83="","",IF($B83="","EKSİK","TAM"))</f>
        <v/>
      </c>
    </row>
    <row r="84">
      <c r="F84" s="37">
        <f>IF($A84="","",IF($B84="","EKSİK","TAM"))</f>
        <v/>
      </c>
    </row>
    <row r="85">
      <c r="F85" s="37">
        <f>IF($A85="","",IF($B85="","EKSİK","TAM"))</f>
        <v/>
      </c>
    </row>
    <row r="86">
      <c r="F86" s="37">
        <f>IF($A86="","",IF($B86="","EKSİK","TAM"))</f>
        <v/>
      </c>
    </row>
    <row r="87">
      <c r="F87" s="37">
        <f>IF($A87="","",IF($B87="","EKSİK","TAM"))</f>
        <v/>
      </c>
    </row>
    <row r="88">
      <c r="F88" s="37">
        <f>IF($A88="","",IF($B88="","EKSİK","TAM"))</f>
        <v/>
      </c>
    </row>
    <row r="89">
      <c r="F89" s="37">
        <f>IF($A89="","",IF($B89="","EKSİK","TAM"))</f>
        <v/>
      </c>
    </row>
    <row r="90">
      <c r="F90" s="37">
        <f>IF($A90="","",IF($B90="","EKSİK","TAM"))</f>
        <v/>
      </c>
    </row>
    <row r="91">
      <c r="F91" s="37">
        <f>IF($A91="","",IF($B91="","EKSİK","TAM"))</f>
        <v/>
      </c>
    </row>
    <row r="92">
      <c r="F92" s="37">
        <f>IF($A92="","",IF($B92="","EKSİK","TAM"))</f>
        <v/>
      </c>
    </row>
    <row r="93">
      <c r="F93" s="37">
        <f>IF($A93="","",IF($B93="","EKSİK","TAM"))</f>
        <v/>
      </c>
    </row>
    <row r="94">
      <c r="F94" s="37">
        <f>IF($A94="","",IF($B94="","EKSİK","TAM"))</f>
        <v/>
      </c>
    </row>
    <row r="95">
      <c r="F95" s="37">
        <f>IF($A95="","",IF($B95="","EKSİK","TAM"))</f>
        <v/>
      </c>
    </row>
    <row r="96">
      <c r="F96" s="37">
        <f>IF($A96="","",IF($B96="","EKSİK","TAM"))</f>
        <v/>
      </c>
    </row>
    <row r="97">
      <c r="F97" s="37">
        <f>IF($A97="","",IF($B97="","EKSİK","TAM"))</f>
        <v/>
      </c>
    </row>
    <row r="98">
      <c r="F98" s="37">
        <f>IF($A98="","",IF($B98="","EKSİK","TAM"))</f>
        <v/>
      </c>
    </row>
    <row r="99">
      <c r="F99" s="37">
        <f>IF($A99="","",IF($B99="","EKSİK","TAM"))</f>
        <v/>
      </c>
    </row>
    <row r="100">
      <c r="F100" s="37">
        <f>IF($A100="","",IF($B100="","EKSİK","TAM"))</f>
        <v/>
      </c>
    </row>
    <row r="101">
      <c r="F101" s="37">
        <f>IF($A101="","",IF($B101="","EKSİK","TAM"))</f>
        <v/>
      </c>
    </row>
    <row r="102">
      <c r="F102" s="37">
        <f>IF($A102="","",IF($B102="","EKSİK","TAM"))</f>
        <v/>
      </c>
    </row>
    <row r="103">
      <c r="F103" s="37">
        <f>IF($A103="","",IF($B103="","EKSİK","TAM"))</f>
        <v/>
      </c>
    </row>
    <row r="104">
      <c r="F104" s="37">
        <f>IF($A104="","",IF($B104="","EKSİK","TAM"))</f>
        <v/>
      </c>
    </row>
    <row r="105">
      <c r="F105" s="37">
        <f>IF($A105="","",IF($B105="","EKSİK","TAM"))</f>
        <v/>
      </c>
    </row>
    <row r="106">
      <c r="F106" s="37">
        <f>IF($A106="","",IF($B106="","EKSİK","TAM"))</f>
        <v/>
      </c>
    </row>
    <row r="107">
      <c r="F107" s="37">
        <f>IF($A107="","",IF($B107="","EKSİK","TAM"))</f>
        <v/>
      </c>
    </row>
    <row r="108">
      <c r="F108" s="37">
        <f>IF($A108="","",IF($B108="","EKSİK","TAM"))</f>
        <v/>
      </c>
    </row>
    <row r="109">
      <c r="F109" s="37">
        <f>IF($A109="","",IF($B109="","EKSİK","TAM"))</f>
        <v/>
      </c>
    </row>
    <row r="110">
      <c r="F110" s="37">
        <f>IF($A110="","",IF($B110="","EKSİK","TAM"))</f>
        <v/>
      </c>
    </row>
    <row r="111">
      <c r="F111" s="37">
        <f>IF($A111="","",IF($B111="","EKSİK","TAM"))</f>
        <v/>
      </c>
    </row>
    <row r="112">
      <c r="F112" s="37">
        <f>IF($A112="","",IF($B112="","EKSİK","TAM"))</f>
        <v/>
      </c>
    </row>
    <row r="113">
      <c r="F113" s="37">
        <f>IF($A113="","",IF($B113="","EKSİK","TAM"))</f>
        <v/>
      </c>
    </row>
    <row r="114">
      <c r="F114" s="37">
        <f>IF($A114="","",IF($B114="","EKSİK","TAM"))</f>
        <v/>
      </c>
    </row>
    <row r="115">
      <c r="F115" s="37">
        <f>IF($A115="","",IF($B115="","EKSİK","TAM"))</f>
        <v/>
      </c>
    </row>
    <row r="116">
      <c r="F116" s="37">
        <f>IF($A116="","",IF($B116="","EKSİK","TAM"))</f>
        <v/>
      </c>
    </row>
    <row r="117">
      <c r="F117" s="37">
        <f>IF($A117="","",IF($B117="","EKSİK","TAM"))</f>
        <v/>
      </c>
    </row>
    <row r="118">
      <c r="F118" s="37">
        <f>IF($A118="","",IF($B118="","EKSİK","TAM"))</f>
        <v/>
      </c>
    </row>
    <row r="119">
      <c r="F119" s="37">
        <f>IF($A119="","",IF($B119="","EKSİK","TAM"))</f>
        <v/>
      </c>
    </row>
    <row r="120">
      <c r="F120" s="37">
        <f>IF($A120="","",IF($B120="","EKSİK","TAM"))</f>
        <v/>
      </c>
    </row>
    <row r="121">
      <c r="F121" s="37">
        <f>IF($A121="","",IF($B121="","EKSİK","TAM"))</f>
        <v/>
      </c>
    </row>
    <row r="122">
      <c r="F122" s="37">
        <f>IF($A122="","",IF($B122="","EKSİK","TAM"))</f>
        <v/>
      </c>
    </row>
    <row r="123">
      <c r="F123" s="37">
        <f>IF($A123="","",IF($B123="","EKSİK","TAM"))</f>
        <v/>
      </c>
    </row>
    <row r="124">
      <c r="F124" s="37">
        <f>IF($A124="","",IF($B124="","EKSİK","TAM"))</f>
        <v/>
      </c>
    </row>
    <row r="125">
      <c r="F125" s="37">
        <f>IF($A125="","",IF($B125="","EKSİK","TAM"))</f>
        <v/>
      </c>
    </row>
    <row r="126">
      <c r="F126" s="37">
        <f>IF($A126="","",IF($B126="","EKSİK","TAM"))</f>
        <v/>
      </c>
    </row>
    <row r="127">
      <c r="F127" s="37">
        <f>IF($A127="","",IF($B127="","EKSİK","TAM"))</f>
        <v/>
      </c>
    </row>
    <row r="128">
      <c r="F128" s="37">
        <f>IF($A128="","",IF($B128="","EKSİK","TAM"))</f>
        <v/>
      </c>
    </row>
    <row r="129">
      <c r="F129" s="37">
        <f>IF($A129="","",IF($B129="","EKSİK","TAM"))</f>
        <v/>
      </c>
    </row>
    <row r="130">
      <c r="F130" s="37">
        <f>IF($A130="","",IF($B130="","EKSİK","TAM"))</f>
        <v/>
      </c>
    </row>
    <row r="131">
      <c r="F131" s="37">
        <f>IF($A131="","",IF($B131="","EKSİK","TAM"))</f>
        <v/>
      </c>
    </row>
    <row r="132">
      <c r="F132" s="37">
        <f>IF($A132="","",IF($B132="","EKSİK","TAM"))</f>
        <v/>
      </c>
    </row>
    <row r="133">
      <c r="F133" s="37">
        <f>IF($A133="","",IF($B133="","EKSİK","TAM"))</f>
        <v/>
      </c>
    </row>
    <row r="134">
      <c r="F134" s="37">
        <f>IF($A134="","",IF($B134="","EKSİK","TAM"))</f>
        <v/>
      </c>
    </row>
    <row r="135">
      <c r="F135" s="37">
        <f>IF($A135="","",IF($B135="","EKSİK","TAM"))</f>
        <v/>
      </c>
    </row>
    <row r="136">
      <c r="F136" s="37">
        <f>IF($A136="","",IF($B136="","EKSİK","TAM"))</f>
        <v/>
      </c>
    </row>
    <row r="137">
      <c r="F137" s="37">
        <f>IF($A137="","",IF($B137="","EKSİK","TAM"))</f>
        <v/>
      </c>
    </row>
    <row r="138">
      <c r="F138" s="37">
        <f>IF($A138="","",IF($B138="","EKSİK","TAM"))</f>
        <v/>
      </c>
    </row>
    <row r="139">
      <c r="F139" s="37">
        <f>IF($A139="","",IF($B139="","EKSİK","TAM"))</f>
        <v/>
      </c>
    </row>
    <row r="140">
      <c r="F140" s="37">
        <f>IF($A140="","",IF($B140="","EKSİK","TAM"))</f>
        <v/>
      </c>
    </row>
    <row r="141">
      <c r="F141" s="37">
        <f>IF($A141="","",IF($B141="","EKSİK","TAM"))</f>
        <v/>
      </c>
    </row>
    <row r="142">
      <c r="F142" s="37">
        <f>IF($A142="","",IF($B142="","EKSİK","TAM"))</f>
        <v/>
      </c>
    </row>
    <row r="143">
      <c r="F143" s="37">
        <f>IF($A143="","",IF($B143="","EKSİK","TAM"))</f>
        <v/>
      </c>
    </row>
    <row r="144">
      <c r="F144" s="37">
        <f>IF($A144="","",IF($B144="","EKSİK","TAM"))</f>
        <v/>
      </c>
    </row>
    <row r="145">
      <c r="F145" s="37">
        <f>IF($A145="","",IF($B145="","EKSİK","TAM"))</f>
        <v/>
      </c>
    </row>
    <row r="146">
      <c r="F146" s="37">
        <f>IF($A146="","",IF($B146="","EKSİK","TAM"))</f>
        <v/>
      </c>
    </row>
    <row r="147">
      <c r="F147" s="37">
        <f>IF($A147="","",IF($B147="","EKSİK","TAM"))</f>
        <v/>
      </c>
    </row>
    <row r="148">
      <c r="F148" s="37">
        <f>IF($A148="","",IF($B148="","EKSİK","TAM"))</f>
        <v/>
      </c>
    </row>
    <row r="149">
      <c r="F149" s="37">
        <f>IF($A149="","",IF($B149="","EKSİK","TAM"))</f>
        <v/>
      </c>
    </row>
    <row r="150">
      <c r="F150" s="37">
        <f>IF($A150="","",IF($B150="","EKSİK","TAM"))</f>
        <v/>
      </c>
    </row>
    <row r="151">
      <c r="F151" s="37">
        <f>IF($A151="","",IF($B151="","EKSİK","TAM"))</f>
        <v/>
      </c>
    </row>
    <row r="152">
      <c r="F152" s="37">
        <f>IF($A152="","",IF($B152="","EKSİK","TAM"))</f>
        <v/>
      </c>
    </row>
    <row r="153">
      <c r="F153" s="37">
        <f>IF($A153="","",IF($B153="","EKSİK","TAM"))</f>
        <v/>
      </c>
    </row>
    <row r="154">
      <c r="F154" s="37">
        <f>IF($A154="","",IF($B154="","EKSİK","TAM"))</f>
        <v/>
      </c>
    </row>
    <row r="155">
      <c r="F155" s="37">
        <f>IF($A155="","",IF($B155="","EKSİK","TAM"))</f>
        <v/>
      </c>
    </row>
    <row r="156">
      <c r="F156" s="37">
        <f>IF($A156="","",IF($B156="","EKSİK","TAM"))</f>
        <v/>
      </c>
    </row>
    <row r="157">
      <c r="F157" s="37">
        <f>IF($A157="","",IF($B157="","EKSİK","TAM"))</f>
        <v/>
      </c>
    </row>
    <row r="158">
      <c r="F158" s="37">
        <f>IF($A158="","",IF($B158="","EKSİK","TAM"))</f>
        <v/>
      </c>
    </row>
    <row r="159">
      <c r="F159" s="37">
        <f>IF($A159="","",IF($B159="","EKSİK","TAM"))</f>
        <v/>
      </c>
    </row>
    <row r="160">
      <c r="F160" s="37">
        <f>IF($A160="","",IF($B160="","EKSİK","TAM"))</f>
        <v/>
      </c>
    </row>
    <row r="161">
      <c r="F161" s="37">
        <f>IF($A161="","",IF($B161="","EKSİK","TAM"))</f>
        <v/>
      </c>
    </row>
    <row r="162">
      <c r="F162" s="37">
        <f>IF($A162="","",IF($B162="","EKSİK","TAM"))</f>
        <v/>
      </c>
    </row>
    <row r="163">
      <c r="F163" s="37">
        <f>IF($A163="","",IF($B163="","EKSİK","TAM"))</f>
        <v/>
      </c>
    </row>
    <row r="164">
      <c r="F164" s="37">
        <f>IF($A164="","",IF($B164="","EKSİK","TAM"))</f>
        <v/>
      </c>
    </row>
    <row r="165">
      <c r="F165" s="37">
        <f>IF($A165="","",IF($B165="","EKSİK","TAM"))</f>
        <v/>
      </c>
    </row>
    <row r="166">
      <c r="F166" s="37">
        <f>IF($A166="","",IF($B166="","EKSİK","TAM"))</f>
        <v/>
      </c>
    </row>
    <row r="167">
      <c r="F167" s="37">
        <f>IF($A167="","",IF($B167="","EKSİK","TAM"))</f>
        <v/>
      </c>
    </row>
    <row r="168">
      <c r="F168" s="37">
        <f>IF($A168="","",IF($B168="","EKSİK","TAM"))</f>
        <v/>
      </c>
    </row>
    <row r="169">
      <c r="F169" s="37">
        <f>IF($A169="","",IF($B169="","EKSİK","TAM"))</f>
        <v/>
      </c>
    </row>
    <row r="170">
      <c r="F170" s="37">
        <f>IF($A170="","",IF($B170="","EKSİK","TAM"))</f>
        <v/>
      </c>
    </row>
    <row r="171">
      <c r="F171" s="37">
        <f>IF($A171="","",IF($B171="","EKSİK","TAM"))</f>
        <v/>
      </c>
    </row>
    <row r="172">
      <c r="F172" s="37">
        <f>IF($A172="","",IF($B172="","EKSİK","TAM"))</f>
        <v/>
      </c>
    </row>
    <row r="173">
      <c r="F173" s="37">
        <f>IF($A173="","",IF($B173="","EKSİK","TAM"))</f>
        <v/>
      </c>
    </row>
    <row r="174">
      <c r="F174" s="37">
        <f>IF($A174="","",IF($B174="","EKSİK","TAM"))</f>
        <v/>
      </c>
    </row>
    <row r="175">
      <c r="F175" s="37">
        <f>IF($A175="","",IF($B175="","EKSİK","TAM"))</f>
        <v/>
      </c>
    </row>
    <row r="176">
      <c r="F176" s="37">
        <f>IF($A176="","",IF($B176="","EKSİK","TAM"))</f>
        <v/>
      </c>
    </row>
    <row r="177">
      <c r="F177" s="37">
        <f>IF($A177="","",IF($B177="","EKSİK","TAM"))</f>
        <v/>
      </c>
    </row>
    <row r="178">
      <c r="F178" s="37">
        <f>IF($A178="","",IF($B178="","EKSİK","TAM"))</f>
        <v/>
      </c>
    </row>
    <row r="179">
      <c r="F179" s="37">
        <f>IF($A179="","",IF($B179="","EKSİK","TAM"))</f>
        <v/>
      </c>
    </row>
    <row r="180">
      <c r="F180" s="37">
        <f>IF($A180="","",IF($B180="","EKSİK","TAM"))</f>
        <v/>
      </c>
    </row>
    <row r="181">
      <c r="F181" s="37">
        <f>IF($A181="","",IF($B181="","EKSİK","TAM"))</f>
        <v/>
      </c>
    </row>
    <row r="182">
      <c r="F182" s="37">
        <f>IF($A182="","",IF($B182="","EKSİK","TAM"))</f>
        <v/>
      </c>
    </row>
    <row r="183">
      <c r="F183" s="37">
        <f>IF($A183="","",IF($B183="","EKSİK","TAM"))</f>
        <v/>
      </c>
    </row>
    <row r="184">
      <c r="F184" s="37">
        <f>IF($A184="","",IF($B184="","EKSİK","TAM"))</f>
        <v/>
      </c>
    </row>
    <row r="185">
      <c r="F185" s="37">
        <f>IF($A185="","",IF($B185="","EKSİK","TAM"))</f>
        <v/>
      </c>
    </row>
    <row r="186">
      <c r="F186" s="37">
        <f>IF($A186="","",IF($B186="","EKSİK","TAM"))</f>
        <v/>
      </c>
    </row>
    <row r="187">
      <c r="F187" s="37">
        <f>IF($A187="","",IF($B187="","EKSİK","TAM"))</f>
        <v/>
      </c>
    </row>
    <row r="188">
      <c r="F188" s="37">
        <f>IF($A188="","",IF($B188="","EKSİK","TAM"))</f>
        <v/>
      </c>
    </row>
    <row r="189">
      <c r="F189" s="37">
        <f>IF($A189="","",IF($B189="","EKSİK","TAM"))</f>
        <v/>
      </c>
    </row>
    <row r="190">
      <c r="F190" s="37">
        <f>IF($A190="","",IF($B190="","EKSİK","TAM"))</f>
        <v/>
      </c>
    </row>
    <row r="191">
      <c r="F191" s="37">
        <f>IF($A191="","",IF($B191="","EKSİK","TAM"))</f>
        <v/>
      </c>
    </row>
    <row r="192">
      <c r="F192" s="37">
        <f>IF($A192="","",IF($B192="","EKSİK","TAM"))</f>
        <v/>
      </c>
    </row>
    <row r="193">
      <c r="F193" s="37">
        <f>IF($A193="","",IF($B193="","EKSİK","TAM"))</f>
        <v/>
      </c>
    </row>
    <row r="194">
      <c r="F194" s="37">
        <f>IF($A194="","",IF($B194="","EKSİK","TAM"))</f>
        <v/>
      </c>
    </row>
    <row r="195">
      <c r="F195" s="37">
        <f>IF($A195="","",IF($B195="","EKSİK","TAM"))</f>
        <v/>
      </c>
    </row>
    <row r="196">
      <c r="F196" s="37">
        <f>IF($A196="","",IF($B196="","EKSİK","TAM"))</f>
        <v/>
      </c>
    </row>
    <row r="197">
      <c r="F197" s="37">
        <f>IF($A197="","",IF($B197="","EKSİK","TAM"))</f>
        <v/>
      </c>
    </row>
    <row r="198">
      <c r="F198" s="37">
        <f>IF($A198="","",IF($B198="","EKSİK","TAM"))</f>
        <v/>
      </c>
    </row>
    <row r="199">
      <c r="F199" s="37">
        <f>IF($A199="","",IF($B199="","EKSİK","TAM"))</f>
        <v/>
      </c>
    </row>
    <row r="200">
      <c r="F200" s="37">
        <f>IF($A200="","",IF($B200="","EKSİK","TAM"))</f>
        <v/>
      </c>
    </row>
    <row r="201">
      <c r="F201" s="37">
        <f>IF($A201="","",IF($B201="","EKSİK","TAM"))</f>
        <v/>
      </c>
    </row>
    <row r="202">
      <c r="F202" s="37">
        <f>IF($A202="","",IF($B202="","EKSİK","TAM"))</f>
        <v/>
      </c>
    </row>
    <row r="203">
      <c r="F203" s="37">
        <f>IF($A203="","",IF($B203="","EKSİK","TAM"))</f>
        <v/>
      </c>
    </row>
    <row r="204">
      <c r="F204" s="37">
        <f>IF($A204="","",IF($B204="","EKSİK","TAM"))</f>
        <v/>
      </c>
    </row>
    <row r="205">
      <c r="F205" s="37">
        <f>IF($A205="","",IF($B205="","EKSİK","TAM"))</f>
        <v/>
      </c>
    </row>
    <row r="206">
      <c r="F206" s="37">
        <f>IF($A206="","",IF($B206="","EKSİK","TAM"))</f>
        <v/>
      </c>
    </row>
    <row r="207">
      <c r="F207" s="37">
        <f>IF($A207="","",IF($B207="","EKSİK","TAM"))</f>
        <v/>
      </c>
    </row>
    <row r="208">
      <c r="F208" s="37">
        <f>IF($A208="","",IF($B208="","EKSİK","TAM"))</f>
        <v/>
      </c>
    </row>
    <row r="209">
      <c r="F209" s="37">
        <f>IF($A209="","",IF($B209="","EKSİK","TAM"))</f>
        <v/>
      </c>
    </row>
    <row r="210">
      <c r="F210" s="37">
        <f>IF($A210="","",IF($B210="","EKSİK","TAM"))</f>
        <v/>
      </c>
    </row>
    <row r="211">
      <c r="F211" s="37">
        <f>IF($A211="","",IF($B211="","EKSİK","TAM"))</f>
        <v/>
      </c>
    </row>
    <row r="212">
      <c r="F212" s="37">
        <f>IF($A212="","",IF($B212="","EKSİK","TAM"))</f>
        <v/>
      </c>
    </row>
    <row r="213">
      <c r="F213" s="37">
        <f>IF($A213="","",IF($B213="","EKSİK","TAM"))</f>
        <v/>
      </c>
    </row>
    <row r="214">
      <c r="F214" s="37">
        <f>IF($A214="","",IF($B214="","EKSİK","TAM"))</f>
        <v/>
      </c>
    </row>
    <row r="215">
      <c r="F215" s="37">
        <f>IF($A215="","",IF($B215="","EKSİK","TAM"))</f>
        <v/>
      </c>
    </row>
    <row r="216">
      <c r="F216" s="37">
        <f>IF($A216="","",IF($B216="","EKSİK","TAM"))</f>
        <v/>
      </c>
    </row>
    <row r="217">
      <c r="F217" s="37">
        <f>IF($A217="","",IF($B217="","EKSİK","TAM"))</f>
        <v/>
      </c>
    </row>
    <row r="218">
      <c r="F218" s="37">
        <f>IF($A218="","",IF($B218="","EKSİK","TAM"))</f>
        <v/>
      </c>
    </row>
    <row r="219">
      <c r="F219" s="37">
        <f>IF($A219="","",IF($B219="","EKSİK","TAM"))</f>
        <v/>
      </c>
    </row>
    <row r="220">
      <c r="F220" s="37">
        <f>IF($A220="","",IF($B220="","EKSİK","TAM"))</f>
        <v/>
      </c>
    </row>
    <row r="221">
      <c r="F221" s="37">
        <f>IF($A221="","",IF($B221="","EKSİK","TAM"))</f>
        <v/>
      </c>
    </row>
    <row r="222">
      <c r="F222" s="37">
        <f>IF($A222="","",IF($B222="","EKSİK","TAM"))</f>
        <v/>
      </c>
    </row>
    <row r="223">
      <c r="F223" s="37">
        <f>IF($A223="","",IF($B223="","EKSİK","TAM"))</f>
        <v/>
      </c>
    </row>
    <row r="224">
      <c r="F224" s="37">
        <f>IF($A224="","",IF($B224="","EKSİK","TAM"))</f>
        <v/>
      </c>
    </row>
    <row r="225">
      <c r="F225" s="37">
        <f>IF($A225="","",IF($B225="","EKSİK","TAM"))</f>
        <v/>
      </c>
    </row>
    <row r="226">
      <c r="F226" s="37">
        <f>IF($A226="","",IF($B226="","EKSİK","TAM"))</f>
        <v/>
      </c>
    </row>
    <row r="227">
      <c r="F227" s="37">
        <f>IF($A227="","",IF($B227="","EKSİK","TAM"))</f>
        <v/>
      </c>
    </row>
    <row r="228">
      <c r="F228" s="37">
        <f>IF($A228="","",IF($B228="","EKSİK","TAM"))</f>
        <v/>
      </c>
    </row>
    <row r="229">
      <c r="F229" s="37">
        <f>IF($A229="","",IF($B229="","EKSİK","TAM"))</f>
        <v/>
      </c>
    </row>
    <row r="230">
      <c r="F230" s="37">
        <f>IF($A230="","",IF($B230="","EKSİK","TAM"))</f>
        <v/>
      </c>
    </row>
    <row r="231">
      <c r="F231" s="37">
        <f>IF($A231="","",IF($B231="","EKSİK","TAM"))</f>
        <v/>
      </c>
    </row>
    <row r="232">
      <c r="F232" s="37">
        <f>IF($A232="","",IF($B232="","EKSİK","TAM"))</f>
        <v/>
      </c>
    </row>
    <row r="233">
      <c r="F233" s="37">
        <f>IF($A233="","",IF($B233="","EKSİK","TAM"))</f>
        <v/>
      </c>
    </row>
    <row r="234">
      <c r="F234" s="37">
        <f>IF($A234="","",IF($B234="","EKSİK","TAM"))</f>
        <v/>
      </c>
    </row>
    <row r="235">
      <c r="F235" s="37">
        <f>IF($A235="","",IF($B235="","EKSİK","TAM"))</f>
        <v/>
      </c>
    </row>
    <row r="236">
      <c r="F236" s="37">
        <f>IF($A236="","",IF($B236="","EKSİK","TAM"))</f>
        <v/>
      </c>
    </row>
    <row r="237">
      <c r="F237" s="37">
        <f>IF($A237="","",IF($B237="","EKSİK","TAM"))</f>
        <v/>
      </c>
    </row>
    <row r="238">
      <c r="F238" s="37">
        <f>IF($A238="","",IF($B238="","EKSİK","TAM"))</f>
        <v/>
      </c>
    </row>
    <row r="239">
      <c r="F239" s="37">
        <f>IF($A239="","",IF($B239="","EKSİK","TAM"))</f>
        <v/>
      </c>
    </row>
    <row r="240">
      <c r="F240" s="37">
        <f>IF($A240="","",IF($B240="","EKSİK","TAM"))</f>
        <v/>
      </c>
    </row>
    <row r="241">
      <c r="F241" s="37">
        <f>IF($A241="","",IF($B241="","EKSİK","TAM"))</f>
        <v/>
      </c>
    </row>
    <row r="242">
      <c r="F242" s="37">
        <f>IF($A242="","",IF($B242="","EKSİK","TAM"))</f>
        <v/>
      </c>
    </row>
    <row r="243">
      <c r="F243" s="37">
        <f>IF($A243="","",IF($B243="","EKSİK","TAM"))</f>
        <v/>
      </c>
    </row>
    <row r="244">
      <c r="F244" s="37">
        <f>IF($A244="","",IF($B244="","EKSİK","TAM"))</f>
        <v/>
      </c>
    </row>
    <row r="245">
      <c r="F245" s="37">
        <f>IF($A245="","",IF($B245="","EKSİK","TAM"))</f>
        <v/>
      </c>
    </row>
    <row r="246">
      <c r="F246" s="37">
        <f>IF($A246="","",IF($B246="","EKSİK","TAM"))</f>
        <v/>
      </c>
    </row>
    <row r="247">
      <c r="F247" s="37">
        <f>IF($A247="","",IF($B247="","EKSİK","TAM"))</f>
        <v/>
      </c>
    </row>
    <row r="248">
      <c r="F248" s="37">
        <f>IF($A248="","",IF($B248="","EKSİK","TAM"))</f>
        <v/>
      </c>
    </row>
    <row r="249">
      <c r="F249" s="37">
        <f>IF($A249="","",IF($B249="","EKSİK","TAM"))</f>
        <v/>
      </c>
    </row>
    <row r="250">
      <c r="F250" s="37">
        <f>IF($A250="","",IF($B250="","EKSİK","TAM"))</f>
        <v/>
      </c>
    </row>
    <row r="251">
      <c r="F251" s="37">
        <f>IF($A251="","",IF($B251="","EKSİK","TAM"))</f>
        <v/>
      </c>
    </row>
    <row r="252">
      <c r="F252" s="37">
        <f>IF($A252="","",IF($B252="","EKSİK","TAM"))</f>
        <v/>
      </c>
    </row>
    <row r="253">
      <c r="F253" s="37">
        <f>IF($A253="","",IF($B253="","EKSİK","TAM"))</f>
        <v/>
      </c>
    </row>
    <row r="254">
      <c r="F254" s="37">
        <f>IF($A254="","",IF($B254="","EKSİK","TAM"))</f>
        <v/>
      </c>
    </row>
    <row r="255">
      <c r="F255" s="37">
        <f>IF($A255="","",IF($B255="","EKSİK","TAM"))</f>
        <v/>
      </c>
    </row>
    <row r="256">
      <c r="F256" s="37">
        <f>IF($A256="","",IF($B256="","EKSİK","TAM"))</f>
        <v/>
      </c>
    </row>
    <row r="257">
      <c r="F257" s="37">
        <f>IF($A257="","",IF($B257="","EKSİK","TAM"))</f>
        <v/>
      </c>
    </row>
    <row r="258">
      <c r="F258" s="37">
        <f>IF($A258="","",IF($B258="","EKSİK","TAM"))</f>
        <v/>
      </c>
    </row>
    <row r="259">
      <c r="F259" s="37">
        <f>IF($A259="","",IF($B259="","EKSİK","TAM"))</f>
        <v/>
      </c>
    </row>
    <row r="260">
      <c r="F260" s="37">
        <f>IF($A260="","",IF($B260="","EKSİK","TAM"))</f>
        <v/>
      </c>
    </row>
    <row r="261">
      <c r="F261" s="37">
        <f>IF($A261="","",IF($B261="","EKSİK","TAM"))</f>
        <v/>
      </c>
    </row>
    <row r="262">
      <c r="F262" s="37">
        <f>IF($A262="","",IF($B262="","EKSİK","TAM"))</f>
        <v/>
      </c>
    </row>
    <row r="263">
      <c r="F263" s="37">
        <f>IF($A263="","",IF($B263="","EKSİK","TAM"))</f>
        <v/>
      </c>
    </row>
    <row r="264">
      <c r="F264" s="37">
        <f>IF($A264="","",IF($B264="","EKSİK","TAM"))</f>
        <v/>
      </c>
    </row>
    <row r="265">
      <c r="F265" s="37">
        <f>IF($A265="","",IF($B265="","EKSİK","TAM"))</f>
        <v/>
      </c>
    </row>
    <row r="266">
      <c r="F266" s="37">
        <f>IF($A266="","",IF($B266="","EKSİK","TAM"))</f>
        <v/>
      </c>
    </row>
    <row r="267">
      <c r="F267" s="37">
        <f>IF($A267="","",IF($B267="","EKSİK","TAM"))</f>
        <v/>
      </c>
    </row>
    <row r="268">
      <c r="F268" s="37">
        <f>IF($A268="","",IF($B268="","EKSİK","TAM"))</f>
        <v/>
      </c>
    </row>
    <row r="269">
      <c r="F269" s="37">
        <f>IF($A269="","",IF($B269="","EKSİK","TAM"))</f>
        <v/>
      </c>
    </row>
    <row r="270">
      <c r="F270" s="37">
        <f>IF($A270="","",IF($B270="","EKSİK","TAM"))</f>
        <v/>
      </c>
    </row>
    <row r="271">
      <c r="F271" s="37">
        <f>IF($A271="","",IF($B271="","EKSİK","TAM"))</f>
        <v/>
      </c>
    </row>
    <row r="272">
      <c r="F272" s="37">
        <f>IF($A272="","",IF($B272="","EKSİK","TAM"))</f>
        <v/>
      </c>
    </row>
    <row r="273">
      <c r="F273" s="37">
        <f>IF($A273="","",IF($B273="","EKSİK","TAM"))</f>
        <v/>
      </c>
    </row>
    <row r="274">
      <c r="F274" s="37">
        <f>IF($A274="","",IF($B274="","EKSİK","TAM"))</f>
        <v/>
      </c>
    </row>
    <row r="275">
      <c r="F275" s="37">
        <f>IF($A275="","",IF($B275="","EKSİK","TAM"))</f>
        <v/>
      </c>
    </row>
    <row r="276">
      <c r="F276" s="37">
        <f>IF($A276="","",IF($B276="","EKSİK","TAM"))</f>
        <v/>
      </c>
    </row>
    <row r="277">
      <c r="F277" s="37">
        <f>IF($A277="","",IF($B277="","EKSİK","TAM"))</f>
        <v/>
      </c>
    </row>
    <row r="278">
      <c r="F278" s="37">
        <f>IF($A278="","",IF($B278="","EKSİK","TAM"))</f>
        <v/>
      </c>
    </row>
    <row r="279">
      <c r="F279" s="37">
        <f>IF($A279="","",IF($B279="","EKSİK","TAM"))</f>
        <v/>
      </c>
    </row>
    <row r="280">
      <c r="F280" s="37">
        <f>IF($A280="","",IF($B280="","EKSİK","TAM"))</f>
        <v/>
      </c>
    </row>
    <row r="281">
      <c r="F281" s="37">
        <f>IF($A281="","",IF($B281="","EKSİK","TAM"))</f>
        <v/>
      </c>
    </row>
    <row r="282">
      <c r="F282" s="37">
        <f>IF($A282="","",IF($B282="","EKSİK","TAM"))</f>
        <v/>
      </c>
    </row>
    <row r="283">
      <c r="F283" s="37">
        <f>IF($A283="","",IF($B283="","EKSİK","TAM"))</f>
        <v/>
      </c>
    </row>
    <row r="284">
      <c r="F284" s="37">
        <f>IF($A284="","",IF($B284="","EKSİK","TAM"))</f>
        <v/>
      </c>
    </row>
    <row r="285">
      <c r="F285" s="37">
        <f>IF($A285="","",IF($B285="","EKSİK","TAM"))</f>
        <v/>
      </c>
    </row>
    <row r="286">
      <c r="F286" s="37">
        <f>IF($A286="","",IF($B286="","EKSİK","TAM"))</f>
        <v/>
      </c>
    </row>
    <row r="287">
      <c r="F287" s="37">
        <f>IF($A287="","",IF($B287="","EKSİK","TAM"))</f>
        <v/>
      </c>
    </row>
    <row r="288">
      <c r="F288" s="37">
        <f>IF($A288="","",IF($B288="","EKSİK","TAM"))</f>
        <v/>
      </c>
    </row>
    <row r="289">
      <c r="F289" s="37">
        <f>IF($A289="","",IF($B289="","EKSİK","TAM"))</f>
        <v/>
      </c>
    </row>
    <row r="290">
      <c r="F290" s="37">
        <f>IF($A290="","",IF($B290="","EKSİK","TAM"))</f>
        <v/>
      </c>
    </row>
    <row r="291">
      <c r="F291" s="37">
        <f>IF($A291="","",IF($B291="","EKSİK","TAM"))</f>
        <v/>
      </c>
    </row>
    <row r="292">
      <c r="F292" s="37">
        <f>IF($A292="","",IF($B292="","EKSİK","TAM"))</f>
        <v/>
      </c>
    </row>
    <row r="293">
      <c r="F293" s="37">
        <f>IF($A293="","",IF($B293="","EKSİK","TAM"))</f>
        <v/>
      </c>
    </row>
    <row r="294">
      <c r="F294" s="37">
        <f>IF($A294="","",IF($B294="","EKSİK","TAM"))</f>
        <v/>
      </c>
    </row>
    <row r="295">
      <c r="F295" s="37">
        <f>IF($A295="","",IF($B295="","EKSİK","TAM"))</f>
        <v/>
      </c>
    </row>
    <row r="296">
      <c r="F296" s="37">
        <f>IF($A296="","",IF($B296="","EKSİK","TAM"))</f>
        <v/>
      </c>
    </row>
    <row r="297">
      <c r="F297" s="37">
        <f>IF($A297="","",IF($B297="","EKSİK","TAM"))</f>
        <v/>
      </c>
    </row>
    <row r="298">
      <c r="F298" s="37">
        <f>IF($A298="","",IF($B298="","EKSİK","TAM"))</f>
        <v/>
      </c>
    </row>
    <row r="299">
      <c r="F299" s="37">
        <f>IF($A299="","",IF($B299="","EKSİK","TAM"))</f>
        <v/>
      </c>
    </row>
    <row r="300">
      <c r="F300" s="37">
        <f>IF($A300="","",IF($B300="","EKSİK","TAM"))</f>
        <v/>
      </c>
    </row>
    <row r="301">
      <c r="F301" s="37">
        <f>IF($A301="","",IF($B301="","EKSİK","TAM"))</f>
        <v/>
      </c>
    </row>
    <row r="302">
      <c r="F302" s="37">
        <f>IF($A302="","",IF($B302="","EKSİK","TAM"))</f>
        <v/>
      </c>
    </row>
    <row r="303">
      <c r="F303" s="37">
        <f>IF($A303="","",IF($B303="","EKSİK","TAM"))</f>
        <v/>
      </c>
    </row>
    <row r="304">
      <c r="F304" s="37">
        <f>IF($A304="","",IF($B304="","EKSİK","TAM"))</f>
        <v/>
      </c>
    </row>
    <row r="305">
      <c r="F305" s="37">
        <f>IF($A305="","",IF($B305="","EKSİK","TAM"))</f>
        <v/>
      </c>
    </row>
    <row r="306">
      <c r="F306" s="37">
        <f>IF($A306="","",IF($B306="","EKSİK","TAM"))</f>
        <v/>
      </c>
    </row>
    <row r="307">
      <c r="F307" s="37">
        <f>IF($A307="","",IF($B307="","EKSİK","TAM"))</f>
        <v/>
      </c>
    </row>
    <row r="308">
      <c r="F308" s="37">
        <f>IF($A308="","",IF($B308="","EKSİK","TAM"))</f>
        <v/>
      </c>
    </row>
    <row r="309">
      <c r="F309" s="37">
        <f>IF($A309="","",IF($B309="","EKSİK","TAM"))</f>
        <v/>
      </c>
    </row>
    <row r="310">
      <c r="F310" s="37">
        <f>IF($A310="","",IF($B310="","EKSİK","TAM"))</f>
        <v/>
      </c>
    </row>
    <row r="311">
      <c r="F311" s="37">
        <f>IF($A311="","",IF($B311="","EKSİK","TAM"))</f>
        <v/>
      </c>
    </row>
    <row r="312">
      <c r="F312" s="37">
        <f>IF($A312="","",IF($B312="","EKSİK","TAM"))</f>
        <v/>
      </c>
    </row>
    <row r="313">
      <c r="F313" s="37">
        <f>IF($A313="","",IF($B313="","EKSİK","TAM"))</f>
        <v/>
      </c>
    </row>
    <row r="314">
      <c r="F314" s="37">
        <f>IF($A314="","",IF($B314="","EKSİK","TAM"))</f>
        <v/>
      </c>
    </row>
    <row r="315">
      <c r="F315" s="37">
        <f>IF($A315="","",IF($B315="","EKSİK","TAM"))</f>
        <v/>
      </c>
    </row>
    <row r="316">
      <c r="F316" s="37">
        <f>IF($A316="","",IF($B316="","EKSİK","TAM"))</f>
        <v/>
      </c>
    </row>
    <row r="317">
      <c r="F317" s="37">
        <f>IF($A317="","",IF($B317="","EKSİK","TAM"))</f>
        <v/>
      </c>
    </row>
    <row r="318">
      <c r="F318" s="37">
        <f>IF($A318="","",IF($B318="","EKSİK","TAM"))</f>
        <v/>
      </c>
    </row>
    <row r="319">
      <c r="F319" s="37">
        <f>IF($A319="","",IF($B319="","EKSİK","TAM"))</f>
        <v/>
      </c>
    </row>
    <row r="320">
      <c r="F320" s="37">
        <f>IF($A320="","",IF($B320="","EKSİK","TAM"))</f>
        <v/>
      </c>
    </row>
    <row r="321">
      <c r="F321" s="37">
        <f>IF($A321="","",IF($B321="","EKSİK","TAM"))</f>
        <v/>
      </c>
    </row>
    <row r="322">
      <c r="F322" s="37">
        <f>IF($A322="","",IF($B322="","EKSİK","TAM"))</f>
        <v/>
      </c>
    </row>
    <row r="323">
      <c r="F323" s="37">
        <f>IF($A323="","",IF($B323="","EKSİK","TAM"))</f>
        <v/>
      </c>
    </row>
    <row r="324">
      <c r="F324" s="37">
        <f>IF($A324="","",IF($B324="","EKSİK","TAM"))</f>
        <v/>
      </c>
    </row>
    <row r="325">
      <c r="F325" s="37">
        <f>IF($A325="","",IF($B325="","EKSİK","TAM"))</f>
        <v/>
      </c>
    </row>
    <row r="326">
      <c r="F326" s="37">
        <f>IF($A326="","",IF($B326="","EKSİK","TAM"))</f>
        <v/>
      </c>
    </row>
    <row r="327">
      <c r="F327" s="37">
        <f>IF($A327="","",IF($B327="","EKSİK","TAM"))</f>
        <v/>
      </c>
    </row>
    <row r="328">
      <c r="F328" s="37">
        <f>IF($A328="","",IF($B328="","EKSİK","TAM"))</f>
        <v/>
      </c>
    </row>
    <row r="329">
      <c r="F329" s="37">
        <f>IF($A329="","",IF($B329="","EKSİK","TAM"))</f>
        <v/>
      </c>
    </row>
    <row r="330">
      <c r="F330" s="37">
        <f>IF($A330="","",IF($B330="","EKSİK","TAM"))</f>
        <v/>
      </c>
    </row>
    <row r="331">
      <c r="F331" s="37">
        <f>IF($A331="","",IF($B331="","EKSİK","TAM"))</f>
        <v/>
      </c>
    </row>
    <row r="332">
      <c r="F332" s="37">
        <f>IF($A332="","",IF($B332="","EKSİK","TAM"))</f>
        <v/>
      </c>
    </row>
    <row r="333">
      <c r="F333" s="37">
        <f>IF($A333="","",IF($B333="","EKSİK","TAM"))</f>
        <v/>
      </c>
    </row>
    <row r="334">
      <c r="F334" s="37">
        <f>IF($A334="","",IF($B334="","EKSİK","TAM"))</f>
        <v/>
      </c>
    </row>
    <row r="335">
      <c r="F335" s="37">
        <f>IF($A335="","",IF($B335="","EKSİK","TAM"))</f>
        <v/>
      </c>
    </row>
    <row r="336">
      <c r="F336" s="37">
        <f>IF($A336="","",IF($B336="","EKSİK","TAM"))</f>
        <v/>
      </c>
    </row>
    <row r="337">
      <c r="F337" s="37">
        <f>IF($A337="","",IF($B337="","EKSİK","TAM"))</f>
        <v/>
      </c>
    </row>
    <row r="338">
      <c r="F338" s="37">
        <f>IF($A338="","",IF($B338="","EKSİK","TAM"))</f>
        <v/>
      </c>
    </row>
    <row r="339">
      <c r="F339" s="37">
        <f>IF($A339="","",IF($B339="","EKSİK","TAM"))</f>
        <v/>
      </c>
    </row>
    <row r="340">
      <c r="F340" s="37">
        <f>IF($A340="","",IF($B340="","EKSİK","TAM"))</f>
        <v/>
      </c>
    </row>
    <row r="341">
      <c r="F341" s="37">
        <f>IF($A341="","",IF($B341="","EKSİK","TAM"))</f>
        <v/>
      </c>
    </row>
    <row r="342">
      <c r="F342" s="37">
        <f>IF($A342="","",IF($B342="","EKSİK","TAM"))</f>
        <v/>
      </c>
    </row>
    <row r="343">
      <c r="F343" s="37">
        <f>IF($A343="","",IF($B343="","EKSİK","TAM"))</f>
        <v/>
      </c>
    </row>
    <row r="344">
      <c r="F344" s="37">
        <f>IF($A344="","",IF($B344="","EKSİK","TAM"))</f>
        <v/>
      </c>
    </row>
    <row r="345">
      <c r="F345" s="37">
        <f>IF($A345="","",IF($B345="","EKSİK","TAM"))</f>
        <v/>
      </c>
    </row>
    <row r="346">
      <c r="F346" s="37">
        <f>IF($A346="","",IF($B346="","EKSİK","TAM"))</f>
        <v/>
      </c>
    </row>
    <row r="347">
      <c r="F347" s="37">
        <f>IF($A347="","",IF($B347="","EKSİK","TAM"))</f>
        <v/>
      </c>
    </row>
    <row r="348">
      <c r="F348" s="37">
        <f>IF($A348="","",IF($B348="","EKSİK","TAM"))</f>
        <v/>
      </c>
    </row>
    <row r="349">
      <c r="F349" s="37">
        <f>IF($A349="","",IF($B349="","EKSİK","TAM"))</f>
        <v/>
      </c>
    </row>
    <row r="350">
      <c r="F350" s="37">
        <f>IF($A350="","",IF($B350="","EKSİK","TAM"))</f>
        <v/>
      </c>
    </row>
    <row r="351">
      <c r="F351" s="37">
        <f>IF($A351="","",IF($B351="","EKSİK","TAM"))</f>
        <v/>
      </c>
    </row>
    <row r="352">
      <c r="F352" s="37">
        <f>IF($A352="","",IF($B352="","EKSİK","TAM"))</f>
        <v/>
      </c>
    </row>
    <row r="353">
      <c r="F353" s="37">
        <f>IF($A353="","",IF($B353="","EKSİK","TAM"))</f>
        <v/>
      </c>
    </row>
    <row r="354">
      <c r="F354" s="37">
        <f>IF($A354="","",IF($B354="","EKSİK","TAM"))</f>
        <v/>
      </c>
    </row>
    <row r="355">
      <c r="F355" s="37">
        <f>IF($A355="","",IF($B355="","EKSİK","TAM"))</f>
        <v/>
      </c>
    </row>
    <row r="356">
      <c r="F356" s="37">
        <f>IF($A356="","",IF($B356="","EKSİK","TAM"))</f>
        <v/>
      </c>
    </row>
    <row r="357">
      <c r="F357" s="37">
        <f>IF($A357="","",IF($B357="","EKSİK","TAM"))</f>
        <v/>
      </c>
    </row>
    <row r="358">
      <c r="F358" s="37">
        <f>IF($A358="","",IF($B358="","EKSİK","TAM"))</f>
        <v/>
      </c>
    </row>
    <row r="359">
      <c r="F359" s="37">
        <f>IF($A359="","",IF($B359="","EKSİK","TAM"))</f>
        <v/>
      </c>
    </row>
    <row r="360">
      <c r="F360" s="37">
        <f>IF($A360="","",IF($B360="","EKSİK","TAM"))</f>
        <v/>
      </c>
    </row>
    <row r="361">
      <c r="F361" s="37">
        <f>IF($A361="","",IF($B361="","EKSİK","TAM"))</f>
        <v/>
      </c>
    </row>
    <row r="362">
      <c r="F362" s="37">
        <f>IF($A362="","",IF($B362="","EKSİK","TAM"))</f>
        <v/>
      </c>
    </row>
    <row r="363">
      <c r="F363" s="37">
        <f>IF($A363="","",IF($B363="","EKSİK","TAM"))</f>
        <v/>
      </c>
    </row>
    <row r="364">
      <c r="F364" s="37">
        <f>IF($A364="","",IF($B364="","EKSİK","TAM"))</f>
        <v/>
      </c>
    </row>
    <row r="365">
      <c r="F365" s="37">
        <f>IF($A365="","",IF($B365="","EKSİK","TAM"))</f>
        <v/>
      </c>
    </row>
    <row r="366">
      <c r="F366" s="37">
        <f>IF($A366="","",IF($B366="","EKSİK","TAM"))</f>
        <v/>
      </c>
    </row>
    <row r="367">
      <c r="F367" s="37">
        <f>IF($A367="","",IF($B367="","EKSİK","TAM"))</f>
        <v/>
      </c>
    </row>
    <row r="368">
      <c r="F368" s="37">
        <f>IF($A368="","",IF($B368="","EKSİK","TAM"))</f>
        <v/>
      </c>
    </row>
    <row r="369">
      <c r="F369" s="37">
        <f>IF($A369="","",IF($B369="","EKSİK","TAM"))</f>
        <v/>
      </c>
    </row>
    <row r="370">
      <c r="F370" s="37">
        <f>IF($A370="","",IF($B370="","EKSİK","TAM"))</f>
        <v/>
      </c>
    </row>
    <row r="371">
      <c r="F371" s="37">
        <f>IF($A371="","",IF($B371="","EKSİK","TAM"))</f>
        <v/>
      </c>
    </row>
    <row r="372">
      <c r="F372" s="37">
        <f>IF($A372="","",IF($B372="","EKSİK","TAM"))</f>
        <v/>
      </c>
    </row>
    <row r="373">
      <c r="F373" s="37">
        <f>IF($A373="","",IF($B373="","EKSİK","TAM"))</f>
        <v/>
      </c>
    </row>
    <row r="374">
      <c r="F374" s="37">
        <f>IF($A374="","",IF($B374="","EKSİK","TAM"))</f>
        <v/>
      </c>
    </row>
    <row r="375">
      <c r="F375" s="37">
        <f>IF($A375="","",IF($B375="","EKSİK","TAM"))</f>
        <v/>
      </c>
    </row>
    <row r="376">
      <c r="F376" s="37">
        <f>IF($A376="","",IF($B376="","EKSİK","TAM"))</f>
        <v/>
      </c>
    </row>
    <row r="377">
      <c r="F377" s="37">
        <f>IF($A377="","",IF($B377="","EKSİK","TAM"))</f>
        <v/>
      </c>
    </row>
    <row r="378">
      <c r="F378" s="37">
        <f>IF($A378="","",IF($B378="","EKSİK","TAM"))</f>
        <v/>
      </c>
    </row>
    <row r="379">
      <c r="F379" s="37">
        <f>IF($A379="","",IF($B379="","EKSİK","TAM"))</f>
        <v/>
      </c>
    </row>
    <row r="380">
      <c r="F380" s="37">
        <f>IF($A380="","",IF($B380="","EKSİK","TAM"))</f>
        <v/>
      </c>
    </row>
    <row r="381">
      <c r="F381" s="37">
        <f>IF($A381="","",IF($B381="","EKSİK","TAM"))</f>
        <v/>
      </c>
    </row>
    <row r="382">
      <c r="F382" s="37">
        <f>IF($A382="","",IF($B382="","EKSİK","TAM"))</f>
        <v/>
      </c>
    </row>
    <row r="383">
      <c r="F383" s="37">
        <f>IF($A383="","",IF($B383="","EKSİK","TAM"))</f>
        <v/>
      </c>
    </row>
    <row r="384">
      <c r="F384" s="37">
        <f>IF($A384="","",IF($B384="","EKSİK","TAM"))</f>
        <v/>
      </c>
    </row>
    <row r="385">
      <c r="F385" s="37">
        <f>IF($A385="","",IF($B385="","EKSİK","TAM"))</f>
        <v/>
      </c>
    </row>
    <row r="386">
      <c r="F386" s="37">
        <f>IF($A386="","",IF($B386="","EKSİK","TAM"))</f>
        <v/>
      </c>
    </row>
    <row r="387">
      <c r="F387" s="37">
        <f>IF($A387="","",IF($B387="","EKSİK","TAM"))</f>
        <v/>
      </c>
    </row>
    <row r="388">
      <c r="F388" s="37">
        <f>IF($A388="","",IF($B388="","EKSİK","TAM"))</f>
        <v/>
      </c>
    </row>
    <row r="389">
      <c r="F389" s="37">
        <f>IF($A389="","",IF($B389="","EKSİK","TAM"))</f>
        <v/>
      </c>
    </row>
    <row r="390">
      <c r="F390" s="37">
        <f>IF($A390="","",IF($B390="","EKSİK","TAM"))</f>
        <v/>
      </c>
    </row>
    <row r="391">
      <c r="F391" s="37">
        <f>IF($A391="","",IF($B391="","EKSİK","TAM"))</f>
        <v/>
      </c>
    </row>
    <row r="392">
      <c r="F392" s="37">
        <f>IF($A392="","",IF($B392="","EKSİK","TAM"))</f>
        <v/>
      </c>
    </row>
    <row r="393">
      <c r="F393" s="37">
        <f>IF($A393="","",IF($B393="","EKSİK","TAM"))</f>
        <v/>
      </c>
    </row>
    <row r="394">
      <c r="F394" s="37">
        <f>IF($A394="","",IF($B394="","EKSİK","TAM"))</f>
        <v/>
      </c>
    </row>
    <row r="395">
      <c r="F395" s="37">
        <f>IF($A395="","",IF($B395="","EKSİK","TAM"))</f>
        <v/>
      </c>
    </row>
    <row r="396">
      <c r="F396" s="37">
        <f>IF($A396="","",IF($B396="","EKSİK","TAM"))</f>
        <v/>
      </c>
    </row>
    <row r="397">
      <c r="F397" s="37">
        <f>IF($A397="","",IF($B397="","EKSİK","TAM"))</f>
        <v/>
      </c>
    </row>
    <row r="398">
      <c r="F398" s="37">
        <f>IF($A398="","",IF($B398="","EKSİK","TAM"))</f>
        <v/>
      </c>
    </row>
    <row r="399">
      <c r="F399" s="37">
        <f>IF($A399="","",IF($B399="","EKSİK","TAM"))</f>
        <v/>
      </c>
    </row>
    <row r="400">
      <c r="F400" s="37">
        <f>IF($A400="","",IF($B400="","EKSİK","TAM"))</f>
        <v/>
      </c>
    </row>
    <row r="401">
      <c r="F401" s="37">
        <f>IF($A401="","",IF($B401="","EKSİK","TAM"))</f>
        <v/>
      </c>
    </row>
    <row r="402">
      <c r="F402" s="37">
        <f>IF($A402="","",IF($B402="","EKSİK","TAM"))</f>
        <v/>
      </c>
    </row>
    <row r="403">
      <c r="F403" s="37">
        <f>IF($A403="","",IF($B403="","EKSİK","TAM"))</f>
        <v/>
      </c>
    </row>
    <row r="404">
      <c r="F404" s="37">
        <f>IF($A404="","",IF($B404="","EKSİK","TAM"))</f>
        <v/>
      </c>
    </row>
    <row r="405">
      <c r="F405" s="37">
        <f>IF($A405="","",IF($B405="","EKSİK","TAM"))</f>
        <v/>
      </c>
    </row>
    <row r="406">
      <c r="F406" s="37">
        <f>IF($A406="","",IF($B406="","EKSİK","TAM"))</f>
        <v/>
      </c>
    </row>
    <row r="407">
      <c r="F407" s="37">
        <f>IF($A407="","",IF($B407="","EKSİK","TAM"))</f>
        <v/>
      </c>
    </row>
    <row r="408">
      <c r="F408" s="37">
        <f>IF($A408="","",IF($B408="","EKSİK","TAM"))</f>
        <v/>
      </c>
    </row>
    <row r="409">
      <c r="F409" s="37">
        <f>IF($A409="","",IF($B409="","EKSİK","TAM"))</f>
        <v/>
      </c>
    </row>
    <row r="410">
      <c r="F410" s="37">
        <f>IF($A410="","",IF($B410="","EKSİK","TAM"))</f>
        <v/>
      </c>
    </row>
    <row r="411">
      <c r="F411" s="37">
        <f>IF($A411="","",IF($B411="","EKSİK","TAM"))</f>
        <v/>
      </c>
    </row>
    <row r="412">
      <c r="F412" s="37">
        <f>IF($A412="","",IF($B412="","EKSİK","TAM"))</f>
        <v/>
      </c>
    </row>
    <row r="413">
      <c r="F413" s="37">
        <f>IF($A413="","",IF($B413="","EKSİK","TAM"))</f>
        <v/>
      </c>
    </row>
    <row r="414">
      <c r="F414" s="37">
        <f>IF($A414="","",IF($B414="","EKSİK","TAM"))</f>
        <v/>
      </c>
    </row>
    <row r="415">
      <c r="F415" s="37">
        <f>IF($A415="","",IF($B415="","EKSİK","TAM"))</f>
        <v/>
      </c>
    </row>
    <row r="416">
      <c r="F416" s="37">
        <f>IF($A416="","",IF($B416="","EKSİK","TAM"))</f>
        <v/>
      </c>
    </row>
    <row r="417">
      <c r="F417" s="37">
        <f>IF($A417="","",IF($B417="","EKSİK","TAM"))</f>
        <v/>
      </c>
    </row>
    <row r="418">
      <c r="F418" s="37">
        <f>IF($A418="","",IF($B418="","EKSİK","TAM"))</f>
        <v/>
      </c>
    </row>
    <row r="419">
      <c r="F419" s="37">
        <f>IF($A419="","",IF($B419="","EKSİK","TAM"))</f>
        <v/>
      </c>
    </row>
    <row r="420">
      <c r="F420" s="37">
        <f>IF($A420="","",IF($B420="","EKSİK","TAM"))</f>
        <v/>
      </c>
    </row>
    <row r="421">
      <c r="F421" s="37">
        <f>IF($A421="","",IF($B421="","EKSİK","TAM"))</f>
        <v/>
      </c>
    </row>
    <row r="422">
      <c r="F422" s="37">
        <f>IF($A422="","",IF($B422="","EKSİK","TAM"))</f>
        <v/>
      </c>
    </row>
    <row r="423">
      <c r="F423" s="37">
        <f>IF($A423="","",IF($B423="","EKSİK","TAM"))</f>
        <v/>
      </c>
    </row>
    <row r="424">
      <c r="F424" s="37">
        <f>IF($A424="","",IF($B424="","EKSİK","TAM"))</f>
        <v/>
      </c>
    </row>
    <row r="425">
      <c r="F425" s="37">
        <f>IF($A425="","",IF($B425="","EKSİK","TAM"))</f>
        <v/>
      </c>
    </row>
    <row r="426">
      <c r="F426" s="37">
        <f>IF($A426="","",IF($B426="","EKSİK","TAM"))</f>
        <v/>
      </c>
    </row>
    <row r="427">
      <c r="F427" s="37">
        <f>IF($A427="","",IF($B427="","EKSİK","TAM"))</f>
        <v/>
      </c>
    </row>
    <row r="428">
      <c r="F428" s="37">
        <f>IF($A428="","",IF($B428="","EKSİK","TAM"))</f>
        <v/>
      </c>
    </row>
    <row r="429">
      <c r="F429" s="37">
        <f>IF($A429="","",IF($B429="","EKSİK","TAM"))</f>
        <v/>
      </c>
    </row>
    <row r="430">
      <c r="F430" s="37">
        <f>IF($A430="","",IF($B430="","EKSİK","TAM"))</f>
        <v/>
      </c>
    </row>
    <row r="431">
      <c r="F431" s="37">
        <f>IF($A431="","",IF($B431="","EKSİK","TAM"))</f>
        <v/>
      </c>
    </row>
    <row r="432">
      <c r="F432" s="37">
        <f>IF($A432="","",IF($B432="","EKSİK","TAM"))</f>
        <v/>
      </c>
    </row>
    <row r="433">
      <c r="F433" s="37">
        <f>IF($A433="","",IF($B433="","EKSİK","TAM"))</f>
        <v/>
      </c>
    </row>
    <row r="434">
      <c r="F434" s="37">
        <f>IF($A434="","",IF($B434="","EKSİK","TAM"))</f>
        <v/>
      </c>
    </row>
    <row r="435">
      <c r="F435" s="37">
        <f>IF($A435="","",IF($B435="","EKSİK","TAM"))</f>
        <v/>
      </c>
    </row>
    <row r="436">
      <c r="F436" s="37">
        <f>IF($A436="","",IF($B436="","EKSİK","TAM"))</f>
        <v/>
      </c>
    </row>
    <row r="437">
      <c r="F437" s="37">
        <f>IF($A437="","",IF($B437="","EKSİK","TAM"))</f>
        <v/>
      </c>
    </row>
    <row r="438">
      <c r="F438" s="37">
        <f>IF($A438="","",IF($B438="","EKSİK","TAM"))</f>
        <v/>
      </c>
    </row>
    <row r="439">
      <c r="F439" s="37">
        <f>IF($A439="","",IF($B439="","EKSİK","TAM"))</f>
        <v/>
      </c>
    </row>
    <row r="440">
      <c r="F440" s="37">
        <f>IF($A440="","",IF($B440="","EKSİK","TAM"))</f>
        <v/>
      </c>
    </row>
    <row r="441">
      <c r="F441" s="37">
        <f>IF($A441="","",IF($B441="","EKSİK","TAM"))</f>
        <v/>
      </c>
    </row>
    <row r="442">
      <c r="F442" s="37">
        <f>IF($A442="","",IF($B442="","EKSİK","TAM"))</f>
        <v/>
      </c>
    </row>
    <row r="443">
      <c r="F443" s="37">
        <f>IF($A443="","",IF($B443="","EKSİK","TAM"))</f>
        <v/>
      </c>
    </row>
    <row r="444">
      <c r="F444" s="37">
        <f>IF($A444="","",IF($B444="","EKSİK","TAM"))</f>
        <v/>
      </c>
    </row>
    <row r="445">
      <c r="F445" s="37">
        <f>IF($A445="","",IF($B445="","EKSİK","TAM"))</f>
        <v/>
      </c>
    </row>
    <row r="446">
      <c r="F446" s="37">
        <f>IF($A446="","",IF($B446="","EKSİK","TAM"))</f>
        <v/>
      </c>
    </row>
    <row r="447">
      <c r="F447" s="37">
        <f>IF($A447="","",IF($B447="","EKSİK","TAM"))</f>
        <v/>
      </c>
    </row>
    <row r="448">
      <c r="F448" s="37">
        <f>IF($A448="","",IF($B448="","EKSİK","TAM"))</f>
        <v/>
      </c>
    </row>
    <row r="449">
      <c r="F449" s="37">
        <f>IF($A449="","",IF($B449="","EKSİK","TAM"))</f>
        <v/>
      </c>
    </row>
    <row r="450">
      <c r="F450" s="37">
        <f>IF($A450="","",IF($B450="","EKSİK","TAM"))</f>
        <v/>
      </c>
    </row>
    <row r="451">
      <c r="F451" s="37">
        <f>IF($A451="","",IF($B451="","EKSİK","TAM"))</f>
        <v/>
      </c>
    </row>
    <row r="452">
      <c r="F452" s="37">
        <f>IF($A452="","",IF($B452="","EKSİK","TAM"))</f>
        <v/>
      </c>
    </row>
    <row r="453">
      <c r="F453" s="37">
        <f>IF($A453="","",IF($B453="","EKSİK","TAM"))</f>
        <v/>
      </c>
    </row>
    <row r="454">
      <c r="F454" s="37">
        <f>IF($A454="","",IF($B454="","EKSİK","TAM"))</f>
        <v/>
      </c>
    </row>
    <row r="455">
      <c r="F455" s="37">
        <f>IF($A455="","",IF($B455="","EKSİK","TAM"))</f>
        <v/>
      </c>
    </row>
    <row r="456">
      <c r="F456" s="37">
        <f>IF($A456="","",IF($B456="","EKSİK","TAM"))</f>
        <v/>
      </c>
    </row>
    <row r="457">
      <c r="F457" s="37">
        <f>IF($A457="","",IF($B457="","EKSİK","TAM"))</f>
        <v/>
      </c>
    </row>
    <row r="458">
      <c r="F458" s="37">
        <f>IF($A458="","",IF($B458="","EKSİK","TAM"))</f>
        <v/>
      </c>
    </row>
    <row r="459">
      <c r="F459" s="37">
        <f>IF($A459="","",IF($B459="","EKSİK","TAM"))</f>
        <v/>
      </c>
    </row>
    <row r="460">
      <c r="F460" s="37">
        <f>IF($A460="","",IF($B460="","EKSİK","TAM"))</f>
        <v/>
      </c>
    </row>
    <row r="461">
      <c r="F461" s="37">
        <f>IF($A461="","",IF($B461="","EKSİK","TAM"))</f>
        <v/>
      </c>
    </row>
    <row r="462">
      <c r="F462" s="37">
        <f>IF($A462="","",IF($B462="","EKSİK","TAM"))</f>
        <v/>
      </c>
    </row>
    <row r="463">
      <c r="F463" s="37">
        <f>IF($A463="","",IF($B463="","EKSİK","TAM"))</f>
        <v/>
      </c>
    </row>
    <row r="464">
      <c r="F464" s="37">
        <f>IF($A464="","",IF($B464="","EKSİK","TAM"))</f>
        <v/>
      </c>
    </row>
    <row r="465">
      <c r="F465" s="37">
        <f>IF($A465="","",IF($B465="","EKSİK","TAM"))</f>
        <v/>
      </c>
    </row>
    <row r="466">
      <c r="F466" s="37">
        <f>IF($A466="","",IF($B466="","EKSİK","TAM"))</f>
        <v/>
      </c>
    </row>
    <row r="467">
      <c r="F467" s="37">
        <f>IF($A467="","",IF($B467="","EKSİK","TAM"))</f>
        <v/>
      </c>
    </row>
    <row r="468">
      <c r="F468" s="37">
        <f>IF($A468="","",IF($B468="","EKSİK","TAM"))</f>
        <v/>
      </c>
    </row>
    <row r="469">
      <c r="F469" s="37">
        <f>IF($A469="","",IF($B469="","EKSİK","TAM"))</f>
        <v/>
      </c>
    </row>
    <row r="470">
      <c r="F470" s="37">
        <f>IF($A470="","",IF($B470="","EKSİK","TAM"))</f>
        <v/>
      </c>
    </row>
    <row r="471">
      <c r="F471" s="37">
        <f>IF($A471="","",IF($B471="","EKSİK","TAM"))</f>
        <v/>
      </c>
    </row>
    <row r="472">
      <c r="F472" s="37">
        <f>IF($A472="","",IF($B472="","EKSİK","TAM"))</f>
        <v/>
      </c>
    </row>
    <row r="473">
      <c r="F473" s="37">
        <f>IF($A473="","",IF($B473="","EKSİK","TAM"))</f>
        <v/>
      </c>
    </row>
    <row r="474">
      <c r="F474" s="37">
        <f>IF($A474="","",IF($B474="","EKSİK","TAM"))</f>
        <v/>
      </c>
    </row>
    <row r="475">
      <c r="F475" s="37">
        <f>IF($A475="","",IF($B475="","EKSİK","TAM"))</f>
        <v/>
      </c>
    </row>
    <row r="476">
      <c r="F476" s="37">
        <f>IF($A476="","",IF($B476="","EKSİK","TAM"))</f>
        <v/>
      </c>
    </row>
    <row r="477">
      <c r="F477" s="37">
        <f>IF($A477="","",IF($B477="","EKSİK","TAM"))</f>
        <v/>
      </c>
    </row>
    <row r="478">
      <c r="F478" s="37">
        <f>IF($A478="","",IF($B478="","EKSİK","TAM"))</f>
        <v/>
      </c>
    </row>
    <row r="479">
      <c r="F479" s="37">
        <f>IF($A479="","",IF($B479="","EKSİK","TAM"))</f>
        <v/>
      </c>
    </row>
    <row r="480">
      <c r="F480" s="37">
        <f>IF($A480="","",IF($B480="","EKSİK","TAM"))</f>
        <v/>
      </c>
    </row>
    <row r="481">
      <c r="F481" s="37">
        <f>IF($A481="","",IF($B481="","EKSİK","TAM"))</f>
        <v/>
      </c>
    </row>
    <row r="482">
      <c r="F482" s="37">
        <f>IF($A482="","",IF($B482="","EKSİK","TAM"))</f>
        <v/>
      </c>
    </row>
    <row r="483">
      <c r="F483" s="37">
        <f>IF($A483="","",IF($B483="","EKSİK","TAM"))</f>
        <v/>
      </c>
    </row>
    <row r="484">
      <c r="F484" s="37">
        <f>IF($A484="","",IF($B484="","EKSİK","TAM"))</f>
        <v/>
      </c>
    </row>
    <row r="485">
      <c r="F485" s="37">
        <f>IF($A485="","",IF($B485="","EKSİK","TAM"))</f>
        <v/>
      </c>
    </row>
    <row r="486">
      <c r="F486" s="37">
        <f>IF($A486="","",IF($B486="","EKSİK","TAM"))</f>
        <v/>
      </c>
    </row>
    <row r="487">
      <c r="F487" s="37">
        <f>IF($A487="","",IF($B487="","EKSİK","TAM"))</f>
        <v/>
      </c>
    </row>
    <row r="488">
      <c r="F488" s="37">
        <f>IF($A488="","",IF($B488="","EKSİK","TAM"))</f>
        <v/>
      </c>
    </row>
    <row r="489">
      <c r="F489" s="37">
        <f>IF($A489="","",IF($B489="","EKSİK","TAM"))</f>
        <v/>
      </c>
    </row>
    <row r="490">
      <c r="F490" s="37">
        <f>IF($A490="","",IF($B490="","EKSİK","TAM"))</f>
        <v/>
      </c>
    </row>
    <row r="491">
      <c r="F491" s="37">
        <f>IF($A491="","",IF($B491="","EKSİK","TAM"))</f>
        <v/>
      </c>
    </row>
    <row r="492">
      <c r="F492" s="37">
        <f>IF($A492="","",IF($B492="","EKSİK","TAM"))</f>
        <v/>
      </c>
    </row>
    <row r="493">
      <c r="F493" s="37">
        <f>IF($A493="","",IF($B493="","EKSİK","TAM"))</f>
        <v/>
      </c>
    </row>
    <row r="494">
      <c r="F494" s="37">
        <f>IF($A494="","",IF($B494="","EKSİK","TAM"))</f>
        <v/>
      </c>
    </row>
    <row r="495">
      <c r="F495" s="37">
        <f>IF($A495="","",IF($B495="","EKSİK","TAM"))</f>
        <v/>
      </c>
    </row>
    <row r="496">
      <c r="F496" s="37">
        <f>IF($A496="","",IF($B496="","EKSİK","TAM"))</f>
        <v/>
      </c>
    </row>
    <row r="497">
      <c r="F497" s="37">
        <f>IF($A497="","",IF($B497="","EKSİK","TAM"))</f>
        <v/>
      </c>
    </row>
    <row r="498">
      <c r="F498" s="37">
        <f>IF($A498="","",IF($B498="","EKSİK","TAM"))</f>
        <v/>
      </c>
    </row>
    <row r="499">
      <c r="F499" s="37">
        <f>IF($A499="","",IF($B499="","EKSİK","TAM"))</f>
        <v/>
      </c>
    </row>
    <row r="500">
      <c r="F500" s="37">
        <f>IF($A500="","",IF($B500="","EKSİK","TAM"))</f>
        <v/>
      </c>
    </row>
    <row r="501">
      <c r="F501" s="37">
        <f>IF($A501="","",IF($B501="","EKSİK","TAM"))</f>
        <v/>
      </c>
    </row>
    <row r="502">
      <c r="F502" s="37">
        <f>IF($A502="","",IF($B502="","EKSİK","TAM"))</f>
        <v/>
      </c>
    </row>
    <row r="503">
      <c r="F503" s="37">
        <f>IF($A503="","",IF($B503="","EKSİK","TAM"))</f>
        <v/>
      </c>
    </row>
    <row r="504">
      <c r="F504" s="37">
        <f>IF($A504="","",IF($B504="","EKSİK","TAM"))</f>
        <v/>
      </c>
    </row>
    <row r="505">
      <c r="F505" s="37">
        <f>IF($A505="","",IF($B505="","EKSİK","TAM"))</f>
        <v/>
      </c>
    </row>
    <row r="506">
      <c r="F506" s="37">
        <f>IF($A506="","",IF($B506="","EKSİK","TAM"))</f>
        <v/>
      </c>
    </row>
    <row r="507">
      <c r="F507" s="37">
        <f>IF($A507="","",IF($B507="","EKSİK","TAM"))</f>
        <v/>
      </c>
    </row>
    <row r="508">
      <c r="F508" s="37">
        <f>IF($A508="","",IF($B508="","EKSİK","TAM"))</f>
        <v/>
      </c>
    </row>
    <row r="509">
      <c r="F509" s="37">
        <f>IF($A509="","",IF($B509="","EKSİK","TAM"))</f>
        <v/>
      </c>
    </row>
    <row r="510">
      <c r="F510" s="37">
        <f>IF($A510="","",IF($B510="","EKSİK","TAM"))</f>
        <v/>
      </c>
    </row>
    <row r="511">
      <c r="F511" s="37">
        <f>IF($A511="","",IF($B511="","EKSİK","TAM"))</f>
        <v/>
      </c>
    </row>
    <row r="512">
      <c r="F512" s="37">
        <f>IF($A512="","",IF($B512="","EKSİK","TAM"))</f>
        <v/>
      </c>
    </row>
    <row r="513">
      <c r="F513" s="37">
        <f>IF($A513="","",IF($B513="","EKSİK","TAM"))</f>
        <v/>
      </c>
    </row>
    <row r="514">
      <c r="F514" s="37">
        <f>IF($A514="","",IF($B514="","EKSİK","TAM"))</f>
        <v/>
      </c>
    </row>
    <row r="515">
      <c r="F515" s="37">
        <f>IF($A515="","",IF($B515="","EKSİK","TAM"))</f>
        <v/>
      </c>
    </row>
    <row r="516">
      <c r="F516" s="37">
        <f>IF($A516="","",IF($B516="","EKSİK","TAM"))</f>
        <v/>
      </c>
    </row>
    <row r="517">
      <c r="F517" s="37">
        <f>IF($A517="","",IF($B517="","EKSİK","TAM"))</f>
        <v/>
      </c>
    </row>
    <row r="518">
      <c r="F518" s="37">
        <f>IF($A518="","",IF($B518="","EKSİK","TAM"))</f>
        <v/>
      </c>
    </row>
    <row r="519">
      <c r="F519" s="37">
        <f>IF($A519="","",IF($B519="","EKSİK","TAM"))</f>
        <v/>
      </c>
    </row>
    <row r="520">
      <c r="F520" s="37">
        <f>IF($A520="","",IF($B520="","EKSİK","TAM"))</f>
        <v/>
      </c>
    </row>
    <row r="521">
      <c r="F521" s="37">
        <f>IF($A521="","",IF($B521="","EKSİK","TAM"))</f>
        <v/>
      </c>
    </row>
    <row r="522">
      <c r="F522" s="37">
        <f>IF($A522="","",IF($B522="","EKSİK","TAM"))</f>
        <v/>
      </c>
    </row>
    <row r="523">
      <c r="F523" s="37">
        <f>IF($A523="","",IF($B523="","EKSİK","TAM"))</f>
        <v/>
      </c>
    </row>
    <row r="524">
      <c r="F524" s="37">
        <f>IF($A524="","",IF($B524="","EKSİK","TAM"))</f>
        <v/>
      </c>
    </row>
    <row r="525">
      <c r="F525" s="37">
        <f>IF($A525="","",IF($B525="","EKSİK","TAM"))</f>
        <v/>
      </c>
    </row>
    <row r="526">
      <c r="F526" s="37">
        <f>IF($A526="","",IF($B526="","EKSİK","TAM"))</f>
        <v/>
      </c>
    </row>
    <row r="527">
      <c r="F527" s="37">
        <f>IF($A527="","",IF($B527="","EKSİK","TAM"))</f>
        <v/>
      </c>
    </row>
    <row r="528">
      <c r="F528" s="37">
        <f>IF($A528="","",IF($B528="","EKSİK","TAM"))</f>
        <v/>
      </c>
    </row>
    <row r="529">
      <c r="F529" s="37">
        <f>IF($A529="","",IF($B529="","EKSİK","TAM"))</f>
        <v/>
      </c>
    </row>
    <row r="530">
      <c r="F530" s="37">
        <f>IF($A530="","",IF($B530="","EKSİK","TAM"))</f>
        <v/>
      </c>
    </row>
    <row r="531">
      <c r="F531" s="37">
        <f>IF($A531="","",IF($B531="","EKSİK","TAM"))</f>
        <v/>
      </c>
    </row>
    <row r="532">
      <c r="F532" s="37">
        <f>IF($A532="","",IF($B532="","EKSİK","TAM"))</f>
        <v/>
      </c>
    </row>
    <row r="533">
      <c r="F533" s="37">
        <f>IF($A533="","",IF($B533="","EKSİK","TAM"))</f>
        <v/>
      </c>
    </row>
    <row r="534">
      <c r="F534" s="37">
        <f>IF($A534="","",IF($B534="","EKSİK","TAM"))</f>
        <v/>
      </c>
    </row>
    <row r="535">
      <c r="F535" s="37">
        <f>IF($A535="","",IF($B535="","EKSİK","TAM"))</f>
        <v/>
      </c>
    </row>
    <row r="536">
      <c r="F536" s="37">
        <f>IF($A536="","",IF($B536="","EKSİK","TAM"))</f>
        <v/>
      </c>
    </row>
    <row r="537">
      <c r="F537" s="37">
        <f>IF($A537="","",IF($B537="","EKSİK","TAM"))</f>
        <v/>
      </c>
    </row>
    <row r="538">
      <c r="F538" s="37">
        <f>IF($A538="","",IF($B538="","EKSİK","TAM"))</f>
        <v/>
      </c>
    </row>
    <row r="539">
      <c r="F539" s="37">
        <f>IF($A539="","",IF($B539="","EKSİK","TAM"))</f>
        <v/>
      </c>
    </row>
    <row r="540">
      <c r="F540" s="37">
        <f>IF($A540="","",IF($B540="","EKSİK","TAM"))</f>
        <v/>
      </c>
    </row>
    <row r="541">
      <c r="F541" s="37">
        <f>IF($A541="","",IF($B541="","EKSİK","TAM"))</f>
        <v/>
      </c>
    </row>
    <row r="542">
      <c r="F542" s="37">
        <f>IF($A542="","",IF($B542="","EKSİK","TAM"))</f>
        <v/>
      </c>
    </row>
    <row r="543">
      <c r="F543" s="37">
        <f>IF($A543="","",IF($B543="","EKSİK","TAM"))</f>
        <v/>
      </c>
    </row>
    <row r="544">
      <c r="F544" s="37">
        <f>IF($A544="","",IF($B544="","EKSİK","TAM"))</f>
        <v/>
      </c>
    </row>
    <row r="545">
      <c r="F545" s="37">
        <f>IF($A545="","",IF($B545="","EKSİK","TAM"))</f>
        <v/>
      </c>
    </row>
    <row r="546">
      <c r="F546" s="37">
        <f>IF($A546="","",IF($B546="","EKSİK","TAM"))</f>
        <v/>
      </c>
    </row>
    <row r="547">
      <c r="F547" s="37">
        <f>IF($A547="","",IF($B547="","EKSİK","TAM"))</f>
        <v/>
      </c>
    </row>
    <row r="548">
      <c r="F548" s="37">
        <f>IF($A548="","",IF($B548="","EKSİK","TAM"))</f>
        <v/>
      </c>
    </row>
    <row r="549">
      <c r="F549" s="37">
        <f>IF($A549="","",IF($B549="","EKSİK","TAM"))</f>
        <v/>
      </c>
    </row>
    <row r="550">
      <c r="F550" s="37">
        <f>IF($A550="","",IF($B550="","EKSİK","TAM"))</f>
        <v/>
      </c>
    </row>
    <row r="551">
      <c r="F551" s="37">
        <f>IF($A551="","",IF($B551="","EKSİK","TAM"))</f>
        <v/>
      </c>
    </row>
    <row r="552">
      <c r="F552" s="37">
        <f>IF($A552="","",IF($B552="","EKSİK","TAM"))</f>
        <v/>
      </c>
    </row>
    <row r="553">
      <c r="F553" s="37">
        <f>IF($A553="","",IF($B553="","EKSİK","TAM"))</f>
        <v/>
      </c>
    </row>
    <row r="554">
      <c r="F554" s="37">
        <f>IF($A554="","",IF($B554="","EKSİK","TAM"))</f>
        <v/>
      </c>
    </row>
    <row r="555">
      <c r="F555" s="37">
        <f>IF($A555="","",IF($B555="","EKSİK","TAM"))</f>
        <v/>
      </c>
    </row>
    <row r="556">
      <c r="F556" s="37">
        <f>IF($A556="","",IF($B556="","EKSİK","TAM"))</f>
        <v/>
      </c>
    </row>
    <row r="557">
      <c r="F557" s="37">
        <f>IF($A557="","",IF($B557="","EKSİK","TAM"))</f>
        <v/>
      </c>
    </row>
    <row r="558">
      <c r="F558" s="37">
        <f>IF($A558="","",IF($B558="","EKSİK","TAM"))</f>
        <v/>
      </c>
    </row>
    <row r="559">
      <c r="F559" s="37">
        <f>IF($A559="","",IF($B559="","EKSİK","TAM"))</f>
        <v/>
      </c>
    </row>
    <row r="560">
      <c r="F560" s="37">
        <f>IF($A560="","",IF($B560="","EKSİK","TAM"))</f>
        <v/>
      </c>
    </row>
    <row r="561">
      <c r="F561" s="37">
        <f>IF($A561="","",IF($B561="","EKSİK","TAM"))</f>
        <v/>
      </c>
    </row>
    <row r="562">
      <c r="F562" s="37">
        <f>IF($A562="","",IF($B562="","EKSİK","TAM"))</f>
        <v/>
      </c>
    </row>
    <row r="563">
      <c r="F563" s="37">
        <f>IF($A563="","",IF($B563="","EKSİK","TAM"))</f>
        <v/>
      </c>
    </row>
    <row r="564">
      <c r="F564" s="37">
        <f>IF($A564="","",IF($B564="","EKSİK","TAM"))</f>
        <v/>
      </c>
    </row>
    <row r="565">
      <c r="F565" s="37">
        <f>IF($A565="","",IF($B565="","EKSİK","TAM"))</f>
        <v/>
      </c>
    </row>
    <row r="566">
      <c r="F566" s="37">
        <f>IF($A566="","",IF($B566="","EKSİK","TAM"))</f>
        <v/>
      </c>
    </row>
    <row r="567">
      <c r="F567" s="37">
        <f>IF($A567="","",IF($B567="","EKSİK","TAM"))</f>
        <v/>
      </c>
    </row>
    <row r="568">
      <c r="F568" s="37">
        <f>IF($A568="","",IF($B568="","EKSİK","TAM"))</f>
        <v/>
      </c>
    </row>
    <row r="569">
      <c r="F569" s="37">
        <f>IF($A569="","",IF($B569="","EKSİK","TAM"))</f>
        <v/>
      </c>
    </row>
    <row r="570">
      <c r="F570" s="37">
        <f>IF($A570="","",IF($B570="","EKSİK","TAM"))</f>
        <v/>
      </c>
    </row>
    <row r="571">
      <c r="F571" s="37">
        <f>IF($A571="","",IF($B571="","EKSİK","TAM"))</f>
        <v/>
      </c>
    </row>
    <row r="572">
      <c r="F572" s="37">
        <f>IF($A572="","",IF($B572="","EKSİK","TAM"))</f>
        <v/>
      </c>
    </row>
    <row r="573">
      <c r="F573" s="37">
        <f>IF($A573="","",IF($B573="","EKSİK","TAM"))</f>
        <v/>
      </c>
    </row>
    <row r="574">
      <c r="F574" s="37">
        <f>IF($A574="","",IF($B574="","EKSİK","TAM"))</f>
        <v/>
      </c>
    </row>
    <row r="575">
      <c r="F575" s="37">
        <f>IF($A575="","",IF($B575="","EKSİK","TAM"))</f>
        <v/>
      </c>
    </row>
    <row r="576">
      <c r="F576" s="37">
        <f>IF($A576="","",IF($B576="","EKSİK","TAM"))</f>
        <v/>
      </c>
    </row>
    <row r="577">
      <c r="F577" s="37">
        <f>IF($A577="","",IF($B577="","EKSİK","TAM"))</f>
        <v/>
      </c>
    </row>
    <row r="578">
      <c r="F578" s="37">
        <f>IF($A578="","",IF($B578="","EKSİK","TAM"))</f>
        <v/>
      </c>
    </row>
    <row r="579">
      <c r="F579" s="37">
        <f>IF($A579="","",IF($B579="","EKSİK","TAM"))</f>
        <v/>
      </c>
    </row>
    <row r="580">
      <c r="F580" s="37">
        <f>IF($A580="","",IF($B580="","EKSİK","TAM"))</f>
        <v/>
      </c>
    </row>
    <row r="581">
      <c r="F581" s="37">
        <f>IF($A581="","",IF($B581="","EKSİK","TAM"))</f>
        <v/>
      </c>
    </row>
    <row r="582">
      <c r="F582" s="37">
        <f>IF($A582="","",IF($B582="","EKSİK","TAM"))</f>
        <v/>
      </c>
    </row>
    <row r="583">
      <c r="F583" s="37">
        <f>IF($A583="","",IF($B583="","EKSİK","TAM"))</f>
        <v/>
      </c>
    </row>
    <row r="584">
      <c r="F584" s="37">
        <f>IF($A584="","",IF($B584="","EKSİK","TAM"))</f>
        <v/>
      </c>
    </row>
    <row r="585">
      <c r="F585" s="37">
        <f>IF($A585="","",IF($B585="","EKSİK","TAM"))</f>
        <v/>
      </c>
    </row>
    <row r="586">
      <c r="F586" s="37">
        <f>IF($A586="","",IF($B586="","EKSİK","TAM"))</f>
        <v/>
      </c>
    </row>
    <row r="587">
      <c r="F587" s="37">
        <f>IF($A587="","",IF($B587="","EKSİK","TAM"))</f>
        <v/>
      </c>
    </row>
    <row r="588">
      <c r="F588" s="37">
        <f>IF($A588="","",IF($B588="","EKSİK","TAM"))</f>
        <v/>
      </c>
    </row>
    <row r="589">
      <c r="F589" s="37">
        <f>IF($A589="","",IF($B589="","EKSİK","TAM"))</f>
        <v/>
      </c>
    </row>
    <row r="590">
      <c r="F590" s="37">
        <f>IF($A590="","",IF($B590="","EKSİK","TAM"))</f>
        <v/>
      </c>
    </row>
    <row r="591">
      <c r="F591" s="37">
        <f>IF($A591="","",IF($B591="","EKSİK","TAM"))</f>
        <v/>
      </c>
    </row>
    <row r="592">
      <c r="F592" s="37">
        <f>IF($A592="","",IF($B592="","EKSİK","TAM"))</f>
        <v/>
      </c>
    </row>
    <row r="593">
      <c r="F593" s="37">
        <f>IF($A593="","",IF($B593="","EKSİK","TAM"))</f>
        <v/>
      </c>
    </row>
    <row r="594">
      <c r="F594" s="37">
        <f>IF($A594="","",IF($B594="","EKSİK","TAM"))</f>
        <v/>
      </c>
    </row>
    <row r="595">
      <c r="F595" s="37">
        <f>IF($A595="","",IF($B595="","EKSİK","TAM"))</f>
        <v/>
      </c>
    </row>
    <row r="596">
      <c r="F596" s="37">
        <f>IF($A596="","",IF($B596="","EKSİK","TAM"))</f>
        <v/>
      </c>
    </row>
    <row r="597">
      <c r="F597" s="37">
        <f>IF($A597="","",IF($B597="","EKSİK","TAM"))</f>
        <v/>
      </c>
    </row>
    <row r="598">
      <c r="F598" s="37">
        <f>IF($A598="","",IF($B598="","EKSİK","TAM"))</f>
        <v/>
      </c>
    </row>
    <row r="599">
      <c r="F599" s="37">
        <f>IF($A599="","",IF($B599="","EKSİK","TAM"))</f>
        <v/>
      </c>
    </row>
    <row r="600">
      <c r="F600" s="37">
        <f>IF($A600="","",IF($B600="","EKSİK","TAM"))</f>
        <v/>
      </c>
    </row>
    <row r="601">
      <c r="F601" s="37">
        <f>IF($A601="","",IF($B601="","EKSİK","TAM"))</f>
        <v/>
      </c>
    </row>
    <row r="602">
      <c r="F602" s="37">
        <f>IF($A602="","",IF($B602="","EKSİK","TAM"))</f>
        <v/>
      </c>
    </row>
    <row r="603">
      <c r="F603" s="37">
        <f>IF($A603="","",IF($B603="","EKSİK","TAM"))</f>
        <v/>
      </c>
    </row>
    <row r="604">
      <c r="F604" s="37">
        <f>IF($A604="","",IF($B604="","EKSİK","TAM"))</f>
        <v/>
      </c>
    </row>
    <row r="605">
      <c r="F605" s="37">
        <f>IF($A605="","",IF($B605="","EKSİK","TAM"))</f>
        <v/>
      </c>
    </row>
    <row r="606">
      <c r="F606" s="37">
        <f>IF($A606="","",IF($B606="","EKSİK","TAM"))</f>
        <v/>
      </c>
    </row>
    <row r="607">
      <c r="F607" s="37">
        <f>IF($A607="","",IF($B607="","EKSİK","TAM"))</f>
        <v/>
      </c>
    </row>
    <row r="608">
      <c r="F608" s="37">
        <f>IF($A608="","",IF($B608="","EKSİK","TAM"))</f>
        <v/>
      </c>
    </row>
    <row r="609">
      <c r="F609" s="37">
        <f>IF($A609="","",IF($B609="","EKSİK","TAM"))</f>
        <v/>
      </c>
    </row>
    <row r="610">
      <c r="F610" s="37">
        <f>IF($A610="","",IF($B610="","EKSİK","TAM"))</f>
        <v/>
      </c>
    </row>
    <row r="611">
      <c r="F611" s="37">
        <f>IF($A611="","",IF($B611="","EKSİK","TAM"))</f>
        <v/>
      </c>
    </row>
    <row r="612">
      <c r="F612" s="37">
        <f>IF($A612="","",IF($B612="","EKSİK","TAM"))</f>
        <v/>
      </c>
    </row>
    <row r="613">
      <c r="F613" s="37">
        <f>IF($A613="","",IF($B613="","EKSİK","TAM"))</f>
        <v/>
      </c>
    </row>
    <row r="614">
      <c r="F614" s="37">
        <f>IF($A614="","",IF($B614="","EKSİK","TAM"))</f>
        <v/>
      </c>
    </row>
    <row r="615">
      <c r="F615" s="37">
        <f>IF($A615="","",IF($B615="","EKSİK","TAM"))</f>
        <v/>
      </c>
    </row>
    <row r="616">
      <c r="F616" s="37">
        <f>IF($A616="","",IF($B616="","EKSİK","TAM"))</f>
        <v/>
      </c>
    </row>
    <row r="617">
      <c r="F617" s="37">
        <f>IF($A617="","",IF($B617="","EKSİK","TAM"))</f>
        <v/>
      </c>
    </row>
    <row r="618">
      <c r="F618" s="37">
        <f>IF($A618="","",IF($B618="","EKSİK","TAM"))</f>
        <v/>
      </c>
    </row>
    <row r="619">
      <c r="F619" s="37">
        <f>IF($A619="","",IF($B619="","EKSİK","TAM"))</f>
        <v/>
      </c>
    </row>
    <row r="620">
      <c r="F620" s="37">
        <f>IF($A620="","",IF($B620="","EKSİK","TAM"))</f>
        <v/>
      </c>
    </row>
    <row r="621">
      <c r="F621" s="37">
        <f>IF($A621="","",IF($B621="","EKSİK","TAM"))</f>
        <v/>
      </c>
    </row>
    <row r="622">
      <c r="F622" s="37">
        <f>IF($A622="","",IF($B622="","EKSİK","TAM"))</f>
        <v/>
      </c>
    </row>
    <row r="623">
      <c r="F623" s="37">
        <f>IF($A623="","",IF($B623="","EKSİK","TAM"))</f>
        <v/>
      </c>
    </row>
    <row r="624">
      <c r="F624" s="37">
        <f>IF($A624="","",IF($B624="","EKSİK","TAM"))</f>
        <v/>
      </c>
    </row>
    <row r="625">
      <c r="F625" s="37">
        <f>IF($A625="","",IF($B625="","EKSİK","TAM"))</f>
        <v/>
      </c>
    </row>
    <row r="626">
      <c r="F626" s="37">
        <f>IF($A626="","",IF($B626="","EKSİK","TAM"))</f>
        <v/>
      </c>
    </row>
    <row r="627">
      <c r="F627" s="37">
        <f>IF($A627="","",IF($B627="","EKSİK","TAM"))</f>
        <v/>
      </c>
    </row>
    <row r="628">
      <c r="F628" s="37">
        <f>IF($A628="","",IF($B628="","EKSİK","TAM"))</f>
        <v/>
      </c>
    </row>
    <row r="629">
      <c r="F629" s="37">
        <f>IF($A629="","",IF($B629="","EKSİK","TAM"))</f>
        <v/>
      </c>
    </row>
    <row r="630">
      <c r="F630" s="37">
        <f>IF($A630="","",IF($B630="","EKSİK","TAM"))</f>
        <v/>
      </c>
    </row>
    <row r="631">
      <c r="F631" s="37">
        <f>IF($A631="","",IF($B631="","EKSİK","TAM"))</f>
        <v/>
      </c>
    </row>
    <row r="632">
      <c r="F632" s="37">
        <f>IF($A632="","",IF($B632="","EKSİK","TAM"))</f>
        <v/>
      </c>
    </row>
    <row r="633">
      <c r="F633" s="37">
        <f>IF($A633="","",IF($B633="","EKSİK","TAM"))</f>
        <v/>
      </c>
    </row>
    <row r="634">
      <c r="F634" s="37">
        <f>IF($A634="","",IF($B634="","EKSİK","TAM"))</f>
        <v/>
      </c>
    </row>
    <row r="635">
      <c r="F635" s="37">
        <f>IF($A635="","",IF($B635="","EKSİK","TAM"))</f>
        <v/>
      </c>
    </row>
    <row r="636">
      <c r="F636" s="37">
        <f>IF($A636="","",IF($B636="","EKSİK","TAM"))</f>
        <v/>
      </c>
    </row>
    <row r="637">
      <c r="F637" s="37">
        <f>IF($A637="","",IF($B637="","EKSİK","TAM"))</f>
        <v/>
      </c>
    </row>
    <row r="638">
      <c r="F638" s="37">
        <f>IF($A638="","",IF($B638="","EKSİK","TAM"))</f>
        <v/>
      </c>
    </row>
    <row r="639">
      <c r="F639" s="37">
        <f>IF($A639="","",IF($B639="","EKSİK","TAM"))</f>
        <v/>
      </c>
    </row>
    <row r="640">
      <c r="F640" s="37">
        <f>IF($A640="","",IF($B640="","EKSİK","TAM"))</f>
        <v/>
      </c>
    </row>
    <row r="641">
      <c r="F641" s="37">
        <f>IF($A641="","",IF($B641="","EKSİK","TAM"))</f>
        <v/>
      </c>
    </row>
    <row r="642">
      <c r="F642" s="37">
        <f>IF($A642="","",IF($B642="","EKSİK","TAM"))</f>
        <v/>
      </c>
    </row>
    <row r="643">
      <c r="F643" s="37">
        <f>IF($A643="","",IF($B643="","EKSİK","TAM"))</f>
        <v/>
      </c>
    </row>
    <row r="644">
      <c r="F644" s="37">
        <f>IF($A644="","",IF($B644="","EKSİK","TAM"))</f>
        <v/>
      </c>
    </row>
    <row r="645">
      <c r="F645" s="37">
        <f>IF($A645="","",IF($B645="","EKSİK","TAM"))</f>
        <v/>
      </c>
    </row>
    <row r="646">
      <c r="F646" s="37">
        <f>IF($A646="","",IF($B646="","EKSİK","TAM"))</f>
        <v/>
      </c>
    </row>
    <row r="647">
      <c r="F647" s="37">
        <f>IF($A647="","",IF($B647="","EKSİK","TAM"))</f>
        <v/>
      </c>
    </row>
    <row r="648">
      <c r="F648" s="37">
        <f>IF($A648="","",IF($B648="","EKSİK","TAM"))</f>
        <v/>
      </c>
    </row>
    <row r="649">
      <c r="F649" s="37">
        <f>IF($A649="","",IF($B649="","EKSİK","TAM"))</f>
        <v/>
      </c>
    </row>
    <row r="650">
      <c r="F650" s="37">
        <f>IF($A650="","",IF($B650="","EKSİK","TAM"))</f>
        <v/>
      </c>
    </row>
    <row r="651">
      <c r="F651" s="37">
        <f>IF($A651="","",IF($B651="","EKSİK","TAM"))</f>
        <v/>
      </c>
    </row>
    <row r="652">
      <c r="F652" s="37">
        <f>IF($A652="","",IF($B652="","EKSİK","TAM"))</f>
        <v/>
      </c>
    </row>
    <row r="653">
      <c r="F653" s="37">
        <f>IF($A653="","",IF($B653="","EKSİK","TAM"))</f>
        <v/>
      </c>
    </row>
    <row r="654">
      <c r="F654" s="37">
        <f>IF($A654="","",IF($B654="","EKSİK","TAM"))</f>
        <v/>
      </c>
    </row>
    <row r="655">
      <c r="F655" s="37">
        <f>IF($A655="","",IF($B655="","EKSİK","TAM"))</f>
        <v/>
      </c>
    </row>
    <row r="656">
      <c r="F656" s="37">
        <f>IF($A656="","",IF($B656="","EKSİK","TAM"))</f>
        <v/>
      </c>
    </row>
    <row r="657">
      <c r="F657" s="37">
        <f>IF($A657="","",IF($B657="","EKSİK","TAM"))</f>
        <v/>
      </c>
    </row>
    <row r="658">
      <c r="F658" s="37">
        <f>IF($A658="","",IF($B658="","EKSİK","TAM"))</f>
        <v/>
      </c>
    </row>
    <row r="659">
      <c r="F659" s="37">
        <f>IF($A659="","",IF($B659="","EKSİK","TAM"))</f>
        <v/>
      </c>
    </row>
    <row r="660">
      <c r="F660" s="37">
        <f>IF($A660="","",IF($B660="","EKSİK","TAM"))</f>
        <v/>
      </c>
    </row>
    <row r="661">
      <c r="F661" s="37">
        <f>IF($A661="","",IF($B661="","EKSİK","TAM"))</f>
        <v/>
      </c>
    </row>
    <row r="662">
      <c r="F662" s="37">
        <f>IF($A662="","",IF($B662="","EKSİK","TAM"))</f>
        <v/>
      </c>
    </row>
    <row r="663">
      <c r="F663" s="37">
        <f>IF($A663="","",IF($B663="","EKSİK","TAM"))</f>
        <v/>
      </c>
    </row>
    <row r="664">
      <c r="F664" s="37">
        <f>IF($A664="","",IF($B664="","EKSİK","TAM"))</f>
        <v/>
      </c>
    </row>
    <row r="665">
      <c r="F665" s="37">
        <f>IF($A665="","",IF($B665="","EKSİK","TAM"))</f>
        <v/>
      </c>
    </row>
    <row r="666">
      <c r="F666" s="37">
        <f>IF($A666="","",IF($B666="","EKSİK","TAM"))</f>
        <v/>
      </c>
    </row>
    <row r="667">
      <c r="F667" s="37">
        <f>IF($A667="","",IF($B667="","EKSİK","TAM"))</f>
        <v/>
      </c>
    </row>
    <row r="668">
      <c r="F668" s="37">
        <f>IF($A668="","",IF($B668="","EKSİK","TAM"))</f>
        <v/>
      </c>
    </row>
    <row r="669">
      <c r="F669" s="37">
        <f>IF($A669="","",IF($B669="","EKSİK","TAM"))</f>
        <v/>
      </c>
    </row>
    <row r="670">
      <c r="F670" s="37">
        <f>IF($A670="","",IF($B670="","EKSİK","TAM"))</f>
        <v/>
      </c>
    </row>
    <row r="671">
      <c r="F671" s="37">
        <f>IF($A671="","",IF($B671="","EKSİK","TAM"))</f>
        <v/>
      </c>
    </row>
    <row r="672">
      <c r="F672" s="37">
        <f>IF($A672="","",IF($B672="","EKSİK","TAM"))</f>
        <v/>
      </c>
    </row>
    <row r="673">
      <c r="F673" s="37">
        <f>IF($A673="","",IF($B673="","EKSİK","TAM"))</f>
        <v/>
      </c>
    </row>
    <row r="674">
      <c r="F674" s="37">
        <f>IF($A674="","",IF($B674="","EKSİK","TAM"))</f>
        <v/>
      </c>
    </row>
    <row r="675">
      <c r="F675" s="37">
        <f>IF($A675="","",IF($B675="","EKSİK","TAM"))</f>
        <v/>
      </c>
    </row>
    <row r="676">
      <c r="F676" s="37">
        <f>IF($A676="","",IF($B676="","EKSİK","TAM"))</f>
        <v/>
      </c>
    </row>
    <row r="677">
      <c r="F677" s="37">
        <f>IF($A677="","",IF($B677="","EKSİK","TAM"))</f>
        <v/>
      </c>
    </row>
    <row r="678">
      <c r="F678" s="37">
        <f>IF($A678="","",IF($B678="","EKSİK","TAM"))</f>
        <v/>
      </c>
    </row>
    <row r="679">
      <c r="F679" s="37">
        <f>IF($A679="","",IF($B679="","EKSİK","TAM"))</f>
        <v/>
      </c>
    </row>
    <row r="680">
      <c r="F680" s="37">
        <f>IF($A680="","",IF($B680="","EKSİK","TAM"))</f>
        <v/>
      </c>
    </row>
    <row r="681">
      <c r="F681" s="37">
        <f>IF($A681="","",IF($B681="","EKSİK","TAM"))</f>
        <v/>
      </c>
    </row>
    <row r="682">
      <c r="F682" s="37">
        <f>IF($A682="","",IF($B682="","EKSİK","TAM"))</f>
        <v/>
      </c>
    </row>
    <row r="683">
      <c r="F683" s="37">
        <f>IF($A683="","",IF($B683="","EKSİK","TAM"))</f>
        <v/>
      </c>
    </row>
    <row r="684">
      <c r="F684" s="37">
        <f>IF($A684="","",IF($B684="","EKSİK","TAM"))</f>
        <v/>
      </c>
    </row>
    <row r="685">
      <c r="F685" s="37">
        <f>IF($A685="","",IF($B685="","EKSİK","TAM"))</f>
        <v/>
      </c>
    </row>
    <row r="686">
      <c r="F686" s="37">
        <f>IF($A686="","",IF($B686="","EKSİK","TAM"))</f>
        <v/>
      </c>
    </row>
    <row r="687">
      <c r="F687" s="37">
        <f>IF($A687="","",IF($B687="","EKSİK","TAM"))</f>
        <v/>
      </c>
    </row>
    <row r="688">
      <c r="F688" s="37">
        <f>IF($A688="","",IF($B688="","EKSİK","TAM"))</f>
        <v/>
      </c>
    </row>
    <row r="689">
      <c r="F689" s="37">
        <f>IF($A689="","",IF($B689="","EKSİK","TAM"))</f>
        <v/>
      </c>
    </row>
    <row r="690">
      <c r="F690" s="37">
        <f>IF($A690="","",IF($B690="","EKSİK","TAM"))</f>
        <v/>
      </c>
    </row>
    <row r="691">
      <c r="F691" s="37">
        <f>IF($A691="","",IF($B691="","EKSİK","TAM"))</f>
        <v/>
      </c>
    </row>
    <row r="692">
      <c r="F692" s="37">
        <f>IF($A692="","",IF($B692="","EKSİK","TAM"))</f>
        <v/>
      </c>
    </row>
    <row r="693">
      <c r="F693" s="37">
        <f>IF($A693="","",IF($B693="","EKSİK","TAM"))</f>
        <v/>
      </c>
    </row>
    <row r="694">
      <c r="F694" s="37">
        <f>IF($A694="","",IF($B694="","EKSİK","TAM"))</f>
        <v/>
      </c>
    </row>
    <row r="695">
      <c r="F695" s="37">
        <f>IF($A695="","",IF($B695="","EKSİK","TAM"))</f>
        <v/>
      </c>
    </row>
    <row r="696">
      <c r="F696" s="37">
        <f>IF($A696="","",IF($B696="","EKSİK","TAM"))</f>
        <v/>
      </c>
    </row>
    <row r="697">
      <c r="F697" s="37">
        <f>IF($A697="","",IF($B697="","EKSİK","TAM"))</f>
        <v/>
      </c>
    </row>
    <row r="698">
      <c r="F698" s="37">
        <f>IF($A698="","",IF($B698="","EKSİK","TAM"))</f>
        <v/>
      </c>
    </row>
    <row r="699">
      <c r="F699" s="37">
        <f>IF($A699="","",IF($B699="","EKSİK","TAM"))</f>
        <v/>
      </c>
    </row>
    <row r="700">
      <c r="F700" s="37">
        <f>IF($A700="","",IF($B700="","EKSİK","TAM"))</f>
        <v/>
      </c>
    </row>
    <row r="701">
      <c r="F701" s="37">
        <f>IF($A701="","",IF($B701="","EKSİK","TAM"))</f>
        <v/>
      </c>
    </row>
    <row r="702">
      <c r="F702" s="37">
        <f>IF($A702="","",IF($B702="","EKSİK","TAM"))</f>
        <v/>
      </c>
    </row>
    <row r="703">
      <c r="F703" s="37">
        <f>IF($A703="","",IF($B703="","EKSİK","TAM"))</f>
        <v/>
      </c>
    </row>
    <row r="704">
      <c r="F704" s="37">
        <f>IF($A704="","",IF($B704="","EKSİK","TAM"))</f>
        <v/>
      </c>
    </row>
    <row r="705">
      <c r="F705" s="37">
        <f>IF($A705="","",IF($B705="","EKSİK","TAM"))</f>
        <v/>
      </c>
    </row>
    <row r="706">
      <c r="F706" s="37">
        <f>IF($A706="","",IF($B706="","EKSİK","TAM"))</f>
        <v/>
      </c>
    </row>
    <row r="707">
      <c r="F707" s="37">
        <f>IF($A707="","",IF($B707="","EKSİK","TAM"))</f>
        <v/>
      </c>
    </row>
    <row r="708">
      <c r="F708" s="37">
        <f>IF($A708="","",IF($B708="","EKSİK","TAM"))</f>
        <v/>
      </c>
    </row>
    <row r="709">
      <c r="F709" s="37">
        <f>IF($A709="","",IF($B709="","EKSİK","TAM"))</f>
        <v/>
      </c>
    </row>
    <row r="710">
      <c r="F710" s="37">
        <f>IF($A710="","",IF($B710="","EKSİK","TAM"))</f>
        <v/>
      </c>
    </row>
    <row r="711">
      <c r="F711" s="37">
        <f>IF($A711="","",IF($B711="","EKSİK","TAM"))</f>
        <v/>
      </c>
    </row>
    <row r="712">
      <c r="F712" s="37">
        <f>IF($A712="","",IF($B712="","EKSİK","TAM"))</f>
        <v/>
      </c>
    </row>
    <row r="713">
      <c r="F713" s="37">
        <f>IF($A713="","",IF($B713="","EKSİK","TAM"))</f>
        <v/>
      </c>
    </row>
    <row r="714">
      <c r="F714" s="37">
        <f>IF($A714="","",IF($B714="","EKSİK","TAM"))</f>
        <v/>
      </c>
    </row>
    <row r="715">
      <c r="F715" s="37">
        <f>IF($A715="","",IF($B715="","EKSİK","TAM"))</f>
        <v/>
      </c>
    </row>
    <row r="716">
      <c r="F716" s="37">
        <f>IF($A716="","",IF($B716="","EKSİK","TAM"))</f>
        <v/>
      </c>
    </row>
    <row r="717">
      <c r="F717" s="37">
        <f>IF($A717="","",IF($B717="","EKSİK","TAM"))</f>
        <v/>
      </c>
    </row>
    <row r="718">
      <c r="F718" s="37">
        <f>IF($A718="","",IF($B718="","EKSİK","TAM"))</f>
        <v/>
      </c>
    </row>
    <row r="719">
      <c r="F719" s="37">
        <f>IF($A719="","",IF($B719="","EKSİK","TAM"))</f>
        <v/>
      </c>
    </row>
    <row r="720">
      <c r="F720" s="37">
        <f>IF($A720="","",IF($B720="","EKSİK","TAM"))</f>
        <v/>
      </c>
    </row>
    <row r="721">
      <c r="F721" s="37">
        <f>IF($A721="","",IF($B721="","EKSİK","TAM"))</f>
        <v/>
      </c>
    </row>
    <row r="722">
      <c r="F722" s="37">
        <f>IF($A722="","",IF($B722="","EKSİK","TAM"))</f>
        <v/>
      </c>
    </row>
    <row r="723">
      <c r="F723" s="37">
        <f>IF($A723="","",IF($B723="","EKSİK","TAM"))</f>
        <v/>
      </c>
    </row>
    <row r="724">
      <c r="F724" s="37">
        <f>IF($A724="","",IF($B724="","EKSİK","TAM"))</f>
        <v/>
      </c>
    </row>
    <row r="725">
      <c r="F725" s="37">
        <f>IF($A725="","",IF($B725="","EKSİK","TAM"))</f>
        <v/>
      </c>
    </row>
    <row r="726">
      <c r="F726" s="37">
        <f>IF($A726="","",IF($B726="","EKSİK","TAM"))</f>
        <v/>
      </c>
    </row>
    <row r="727">
      <c r="F727" s="37">
        <f>IF($A727="","",IF($B727="","EKSİK","TAM"))</f>
        <v/>
      </c>
    </row>
    <row r="728">
      <c r="F728" s="37">
        <f>IF($A728="","",IF($B728="","EKSİK","TAM"))</f>
        <v/>
      </c>
    </row>
    <row r="729">
      <c r="F729" s="37">
        <f>IF($A729="","",IF($B729="","EKSİK","TAM"))</f>
        <v/>
      </c>
    </row>
    <row r="730">
      <c r="F730" s="37">
        <f>IF($A730="","",IF($B730="","EKSİK","TAM"))</f>
        <v/>
      </c>
    </row>
    <row r="731">
      <c r="F731" s="37">
        <f>IF($A731="","",IF($B731="","EKSİK","TAM"))</f>
        <v/>
      </c>
    </row>
    <row r="732">
      <c r="F732" s="37">
        <f>IF($A732="","",IF($B732="","EKSİK","TAM"))</f>
        <v/>
      </c>
    </row>
    <row r="733">
      <c r="F733" s="37">
        <f>IF($A733="","",IF($B733="","EKSİK","TAM"))</f>
        <v/>
      </c>
    </row>
    <row r="734">
      <c r="F734" s="37">
        <f>IF($A734="","",IF($B734="","EKSİK","TAM"))</f>
        <v/>
      </c>
    </row>
    <row r="735">
      <c r="F735" s="37">
        <f>IF($A735="","",IF($B735="","EKSİK","TAM"))</f>
        <v/>
      </c>
    </row>
    <row r="736">
      <c r="F736" s="37">
        <f>IF($A736="","",IF($B736="","EKSİK","TAM"))</f>
        <v/>
      </c>
    </row>
    <row r="737">
      <c r="F737" s="37">
        <f>IF($A737="","",IF($B737="","EKSİK","TAM"))</f>
        <v/>
      </c>
    </row>
    <row r="738">
      <c r="F738" s="37">
        <f>IF($A738="","",IF($B738="","EKSİK","TAM"))</f>
        <v/>
      </c>
    </row>
    <row r="739">
      <c r="F739" s="37">
        <f>IF($A739="","",IF($B739="","EKSİK","TAM"))</f>
        <v/>
      </c>
    </row>
    <row r="740">
      <c r="F740" s="37">
        <f>IF($A740="","",IF($B740="","EKSİK","TAM"))</f>
        <v/>
      </c>
    </row>
    <row r="741">
      <c r="F741" s="37">
        <f>IF($A741="","",IF($B741="","EKSİK","TAM"))</f>
        <v/>
      </c>
    </row>
    <row r="742">
      <c r="F742" s="37">
        <f>IF($A742="","",IF($B742="","EKSİK","TAM"))</f>
        <v/>
      </c>
    </row>
    <row r="743">
      <c r="F743" s="37">
        <f>IF($A743="","",IF($B743="","EKSİK","TAM"))</f>
        <v/>
      </c>
    </row>
    <row r="744">
      <c r="F744" s="37">
        <f>IF($A744="","",IF($B744="","EKSİK","TAM"))</f>
        <v/>
      </c>
    </row>
    <row r="745">
      <c r="F745" s="37">
        <f>IF($A745="","",IF($B745="","EKSİK","TAM"))</f>
        <v/>
      </c>
    </row>
    <row r="746">
      <c r="F746" s="37">
        <f>IF($A746="","",IF($B746="","EKSİK","TAM"))</f>
        <v/>
      </c>
    </row>
    <row r="747">
      <c r="F747" s="37">
        <f>IF($A747="","",IF($B747="","EKSİK","TAM"))</f>
        <v/>
      </c>
    </row>
    <row r="748">
      <c r="F748" s="37">
        <f>IF($A748="","",IF($B748="","EKSİK","TAM"))</f>
        <v/>
      </c>
    </row>
    <row r="749">
      <c r="F749" s="37">
        <f>IF($A749="","",IF($B749="","EKSİK","TAM"))</f>
        <v/>
      </c>
    </row>
    <row r="750">
      <c r="F750" s="37">
        <f>IF($A750="","",IF($B750="","EKSİK","TAM"))</f>
        <v/>
      </c>
    </row>
    <row r="751">
      <c r="F751" s="37">
        <f>IF($A751="","",IF($B751="","EKSİK","TAM"))</f>
        <v/>
      </c>
    </row>
    <row r="752">
      <c r="F752" s="37">
        <f>IF($A752="","",IF($B752="","EKSİK","TAM"))</f>
        <v/>
      </c>
    </row>
    <row r="753">
      <c r="F753" s="37">
        <f>IF($A753="","",IF($B753="","EKSİK","TAM"))</f>
        <v/>
      </c>
    </row>
    <row r="754">
      <c r="F754" s="37">
        <f>IF($A754="","",IF($B754="","EKSİK","TAM"))</f>
        <v/>
      </c>
    </row>
    <row r="755">
      <c r="F755" s="37">
        <f>IF($A755="","",IF($B755="","EKSİK","TAM"))</f>
        <v/>
      </c>
    </row>
    <row r="756">
      <c r="F756" s="37">
        <f>IF($A756="","",IF($B756="","EKSİK","TAM"))</f>
        <v/>
      </c>
    </row>
    <row r="757">
      <c r="F757" s="37">
        <f>IF($A757="","",IF($B757="","EKSİK","TAM"))</f>
        <v/>
      </c>
    </row>
    <row r="758">
      <c r="F758" s="37">
        <f>IF($A758="","",IF($B758="","EKSİK","TAM"))</f>
        <v/>
      </c>
    </row>
    <row r="759">
      <c r="F759" s="37">
        <f>IF($A759="","",IF($B759="","EKSİK","TAM"))</f>
        <v/>
      </c>
    </row>
    <row r="760">
      <c r="F760" s="37">
        <f>IF($A760="","",IF($B760="","EKSİK","TAM"))</f>
        <v/>
      </c>
    </row>
    <row r="761">
      <c r="F761" s="37">
        <f>IF($A761="","",IF($B761="","EKSİK","TAM"))</f>
        <v/>
      </c>
    </row>
    <row r="762">
      <c r="F762" s="37">
        <f>IF($A762="","",IF($B762="","EKSİK","TAM"))</f>
        <v/>
      </c>
    </row>
    <row r="763">
      <c r="F763" s="37">
        <f>IF($A763="","",IF($B763="","EKSİK","TAM"))</f>
        <v/>
      </c>
    </row>
    <row r="764">
      <c r="F764" s="37">
        <f>IF($A764="","",IF($B764="","EKSİK","TAM"))</f>
        <v/>
      </c>
    </row>
    <row r="765">
      <c r="F765" s="37">
        <f>IF($A765="","",IF($B765="","EKSİK","TAM"))</f>
        <v/>
      </c>
    </row>
    <row r="766">
      <c r="F766" s="37">
        <f>IF($A766="","",IF($B766="","EKSİK","TAM"))</f>
        <v/>
      </c>
    </row>
    <row r="767">
      <c r="F767" s="37">
        <f>IF($A767="","",IF($B767="","EKSİK","TAM"))</f>
        <v/>
      </c>
    </row>
    <row r="768">
      <c r="F768" s="37">
        <f>IF($A768="","",IF($B768="","EKSİK","TAM"))</f>
        <v/>
      </c>
    </row>
    <row r="769">
      <c r="F769" s="37">
        <f>IF($A769="","",IF($B769="","EKSİK","TAM"))</f>
        <v/>
      </c>
    </row>
    <row r="770">
      <c r="F770" s="37">
        <f>IF($A770="","",IF($B770="","EKSİK","TAM"))</f>
        <v/>
      </c>
    </row>
    <row r="771">
      <c r="F771" s="37">
        <f>IF($A771="","",IF($B771="","EKSİK","TAM"))</f>
        <v/>
      </c>
    </row>
    <row r="772">
      <c r="F772" s="37">
        <f>IF($A772="","",IF($B772="","EKSİK","TAM"))</f>
        <v/>
      </c>
    </row>
    <row r="773">
      <c r="F773" s="37">
        <f>IF($A773="","",IF($B773="","EKSİK","TAM"))</f>
        <v/>
      </c>
    </row>
    <row r="774">
      <c r="F774" s="37">
        <f>IF($A774="","",IF($B774="","EKSİK","TAM"))</f>
        <v/>
      </c>
    </row>
    <row r="775">
      <c r="F775" s="37">
        <f>IF($A775="","",IF($B775="","EKSİK","TAM"))</f>
        <v/>
      </c>
    </row>
    <row r="776">
      <c r="F776" s="37">
        <f>IF($A776="","",IF($B776="","EKSİK","TAM"))</f>
        <v/>
      </c>
    </row>
    <row r="777">
      <c r="F777" s="37">
        <f>IF($A777="","",IF($B777="","EKSİK","TAM"))</f>
        <v/>
      </c>
    </row>
    <row r="778">
      <c r="F778" s="37">
        <f>IF($A778="","",IF($B778="","EKSİK","TAM"))</f>
        <v/>
      </c>
    </row>
    <row r="779">
      <c r="F779" s="37">
        <f>IF($A779="","",IF($B779="","EKSİK","TAM"))</f>
        <v/>
      </c>
    </row>
    <row r="780">
      <c r="F780" s="37">
        <f>IF($A780="","",IF($B780="","EKSİK","TAM"))</f>
        <v/>
      </c>
    </row>
    <row r="781">
      <c r="F781" s="37">
        <f>IF($A781="","",IF($B781="","EKSİK","TAM"))</f>
        <v/>
      </c>
    </row>
    <row r="782">
      <c r="F782" s="37">
        <f>IF($A782="","",IF($B782="","EKSİK","TAM"))</f>
        <v/>
      </c>
    </row>
    <row r="783">
      <c r="F783" s="37">
        <f>IF($A783="","",IF($B783="","EKSİK","TAM"))</f>
        <v/>
      </c>
    </row>
    <row r="784">
      <c r="F784" s="37">
        <f>IF($A784="","",IF($B784="","EKSİK","TAM"))</f>
        <v/>
      </c>
    </row>
    <row r="785">
      <c r="F785" s="37">
        <f>IF($A785="","",IF($B785="","EKSİK","TAM"))</f>
        <v/>
      </c>
    </row>
    <row r="786">
      <c r="F786" s="37">
        <f>IF($A786="","",IF($B786="","EKSİK","TAM"))</f>
        <v/>
      </c>
    </row>
    <row r="787">
      <c r="F787" s="37">
        <f>IF($A787="","",IF($B787="","EKSİK","TAM"))</f>
        <v/>
      </c>
    </row>
    <row r="788">
      <c r="F788" s="37">
        <f>IF($A788="","",IF($B788="","EKSİK","TAM"))</f>
        <v/>
      </c>
    </row>
    <row r="789">
      <c r="F789" s="37">
        <f>IF($A789="","",IF($B789="","EKSİK","TAM"))</f>
        <v/>
      </c>
    </row>
    <row r="790">
      <c r="F790" s="37">
        <f>IF($A790="","",IF($B790="","EKSİK","TAM"))</f>
        <v/>
      </c>
    </row>
    <row r="791">
      <c r="F791" s="37">
        <f>IF($A791="","",IF($B791="","EKSİK","TAM"))</f>
        <v/>
      </c>
    </row>
    <row r="792">
      <c r="F792" s="37">
        <f>IF($A792="","",IF($B792="","EKSİK","TAM"))</f>
        <v/>
      </c>
    </row>
    <row r="793">
      <c r="F793" s="37">
        <f>IF($A793="","",IF($B793="","EKSİK","TAM"))</f>
        <v/>
      </c>
    </row>
    <row r="794">
      <c r="F794" s="37">
        <f>IF($A794="","",IF($B794="","EKSİK","TAM"))</f>
        <v/>
      </c>
    </row>
    <row r="795">
      <c r="F795" s="37">
        <f>IF($A795="","",IF($B795="","EKSİK","TAM"))</f>
        <v/>
      </c>
    </row>
    <row r="796">
      <c r="F796" s="37">
        <f>IF($A796="","",IF($B796="","EKSİK","TAM"))</f>
        <v/>
      </c>
    </row>
    <row r="797">
      <c r="F797" s="37">
        <f>IF($A797="","",IF($B797="","EKSİK","TAM"))</f>
        <v/>
      </c>
    </row>
    <row r="798">
      <c r="F798" s="37">
        <f>IF($A798="","",IF($B798="","EKSİK","TAM"))</f>
        <v/>
      </c>
    </row>
    <row r="799">
      <c r="F799" s="37">
        <f>IF($A799="","",IF($B799="","EKSİK","TAM"))</f>
        <v/>
      </c>
    </row>
    <row r="800">
      <c r="F800" s="37">
        <f>IF($A800="","",IF($B800="","EKSİK","TAM"))</f>
        <v/>
      </c>
    </row>
    <row r="801">
      <c r="F801" s="37">
        <f>IF($A801="","",IF($B801="","EKSİK","TAM"))</f>
        <v/>
      </c>
    </row>
    <row r="802">
      <c r="F802" s="37">
        <f>IF($A802="","",IF($B802="","EKSİK","TAM"))</f>
        <v/>
      </c>
    </row>
    <row r="803">
      <c r="F803" s="37">
        <f>IF($A803="","",IF($B803="","EKSİK","TAM"))</f>
        <v/>
      </c>
    </row>
    <row r="804">
      <c r="F804" s="37">
        <f>IF($A804="","",IF($B804="","EKSİK","TAM"))</f>
        <v/>
      </c>
    </row>
    <row r="805">
      <c r="F805" s="37">
        <f>IF($A805="","",IF($B805="","EKSİK","TAM"))</f>
        <v/>
      </c>
    </row>
    <row r="806">
      <c r="F806" s="37">
        <f>IF($A806="","",IF($B806="","EKSİK","TAM"))</f>
        <v/>
      </c>
    </row>
    <row r="807">
      <c r="F807" s="37">
        <f>IF($A807="","",IF($B807="","EKSİK","TAM"))</f>
        <v/>
      </c>
    </row>
    <row r="808">
      <c r="F808" s="37">
        <f>IF($A808="","",IF($B808="","EKSİK","TAM"))</f>
        <v/>
      </c>
    </row>
    <row r="809">
      <c r="F809" s="37">
        <f>IF($A809="","",IF($B809="","EKSİK","TAM"))</f>
        <v/>
      </c>
    </row>
    <row r="810">
      <c r="F810" s="37">
        <f>IF($A810="","",IF($B810="","EKSİK","TAM"))</f>
        <v/>
      </c>
    </row>
    <row r="811">
      <c r="F811" s="37">
        <f>IF($A811="","",IF($B811="","EKSİK","TAM"))</f>
        <v/>
      </c>
    </row>
    <row r="812">
      <c r="F812" s="37">
        <f>IF($A812="","",IF($B812="","EKSİK","TAM"))</f>
        <v/>
      </c>
    </row>
    <row r="813">
      <c r="F813" s="37">
        <f>IF($A813="","",IF($B813="","EKSİK","TAM"))</f>
        <v/>
      </c>
    </row>
    <row r="814">
      <c r="F814" s="37">
        <f>IF($A814="","",IF($B814="","EKSİK","TAM"))</f>
        <v/>
      </c>
    </row>
    <row r="815">
      <c r="F815" s="37">
        <f>IF($A815="","",IF($B815="","EKSİK","TAM"))</f>
        <v/>
      </c>
    </row>
    <row r="816">
      <c r="F816" s="37">
        <f>IF($A816="","",IF($B816="","EKSİK","TAM"))</f>
        <v/>
      </c>
    </row>
    <row r="817">
      <c r="F817" s="37">
        <f>IF($A817="","",IF($B817="","EKSİK","TAM"))</f>
        <v/>
      </c>
    </row>
    <row r="818">
      <c r="F818" s="37">
        <f>IF($A818="","",IF($B818="","EKSİK","TAM"))</f>
        <v/>
      </c>
    </row>
    <row r="819">
      <c r="F819" s="37">
        <f>IF($A819="","",IF($B819="","EKSİK","TAM"))</f>
        <v/>
      </c>
    </row>
    <row r="820">
      <c r="F820" s="37">
        <f>IF($A820="","",IF($B820="","EKSİK","TAM"))</f>
        <v/>
      </c>
    </row>
    <row r="821">
      <c r="F821" s="37">
        <f>IF($A821="","",IF($B821="","EKSİK","TAM"))</f>
        <v/>
      </c>
    </row>
    <row r="822">
      <c r="F822" s="37">
        <f>IF($A822="","",IF($B822="","EKSİK","TAM"))</f>
        <v/>
      </c>
    </row>
    <row r="823">
      <c r="F823" s="37">
        <f>IF($A823="","",IF($B823="","EKSİK","TAM"))</f>
        <v/>
      </c>
    </row>
    <row r="824">
      <c r="F824" s="37">
        <f>IF($A824="","",IF($B824="","EKSİK","TAM"))</f>
        <v/>
      </c>
    </row>
    <row r="825">
      <c r="F825" s="37">
        <f>IF($A825="","",IF($B825="","EKSİK","TAM"))</f>
        <v/>
      </c>
    </row>
    <row r="826">
      <c r="F826" s="37">
        <f>IF($A826="","",IF($B826="","EKSİK","TAM"))</f>
        <v/>
      </c>
    </row>
    <row r="827">
      <c r="F827" s="37">
        <f>IF($A827="","",IF($B827="","EKSİK","TAM"))</f>
        <v/>
      </c>
    </row>
    <row r="828">
      <c r="F828" s="37">
        <f>IF($A828="","",IF($B828="","EKSİK","TAM"))</f>
        <v/>
      </c>
    </row>
    <row r="829">
      <c r="F829" s="37">
        <f>IF($A829="","",IF($B829="","EKSİK","TAM"))</f>
        <v/>
      </c>
    </row>
    <row r="830">
      <c r="F830" s="37">
        <f>IF($A830="","",IF($B830="","EKSİK","TAM"))</f>
        <v/>
      </c>
    </row>
    <row r="831">
      <c r="F831" s="37">
        <f>IF($A831="","",IF($B831="","EKSİK","TAM"))</f>
        <v/>
      </c>
    </row>
    <row r="832">
      <c r="F832" s="37">
        <f>IF($A832="","",IF($B832="","EKSİK","TAM"))</f>
        <v/>
      </c>
    </row>
    <row r="833">
      <c r="F833" s="37">
        <f>IF($A833="","",IF($B833="","EKSİK","TAM"))</f>
        <v/>
      </c>
    </row>
    <row r="834">
      <c r="F834" s="37">
        <f>IF($A834="","",IF($B834="","EKSİK","TAM"))</f>
        <v/>
      </c>
    </row>
    <row r="835">
      <c r="F835" s="37">
        <f>IF($A835="","",IF($B835="","EKSİK","TAM"))</f>
        <v/>
      </c>
    </row>
    <row r="836">
      <c r="F836" s="37">
        <f>IF($A836="","",IF($B836="","EKSİK","TAM"))</f>
        <v/>
      </c>
    </row>
    <row r="837">
      <c r="F837" s="37">
        <f>IF($A837="","",IF($B837="","EKSİK","TAM"))</f>
        <v/>
      </c>
    </row>
    <row r="838">
      <c r="F838" s="37">
        <f>IF($A838="","",IF($B838="","EKSİK","TAM"))</f>
        <v/>
      </c>
    </row>
    <row r="839">
      <c r="F839" s="37">
        <f>IF($A839="","",IF($B839="","EKSİK","TAM"))</f>
        <v/>
      </c>
    </row>
    <row r="840">
      <c r="F840" s="37">
        <f>IF($A840="","",IF($B840="","EKSİK","TAM"))</f>
        <v/>
      </c>
    </row>
    <row r="841">
      <c r="F841" s="37">
        <f>IF($A841="","",IF($B841="","EKSİK","TAM"))</f>
        <v/>
      </c>
    </row>
    <row r="842">
      <c r="F842" s="37">
        <f>IF($A842="","",IF($B842="","EKSİK","TAM"))</f>
        <v/>
      </c>
    </row>
    <row r="843">
      <c r="F843" s="37">
        <f>IF($A843="","",IF($B843="","EKSİK","TAM"))</f>
        <v/>
      </c>
    </row>
    <row r="844">
      <c r="F844" s="37">
        <f>IF($A844="","",IF($B844="","EKSİK","TAM"))</f>
        <v/>
      </c>
    </row>
    <row r="845">
      <c r="F845" s="37">
        <f>IF($A845="","",IF($B845="","EKSİK","TAM"))</f>
        <v/>
      </c>
    </row>
    <row r="846">
      <c r="F846" s="37">
        <f>IF($A846="","",IF($B846="","EKSİK","TAM"))</f>
        <v/>
      </c>
    </row>
    <row r="847">
      <c r="F847" s="37">
        <f>IF($A847="","",IF($B847="","EKSİK","TAM"))</f>
        <v/>
      </c>
    </row>
    <row r="848">
      <c r="F848" s="37">
        <f>IF($A848="","",IF($B848="","EKSİK","TAM"))</f>
        <v/>
      </c>
    </row>
    <row r="849">
      <c r="F849" s="37">
        <f>IF($A849="","",IF($B849="","EKSİK","TAM"))</f>
        <v/>
      </c>
    </row>
    <row r="850">
      <c r="F850" s="37">
        <f>IF($A850="","",IF($B850="","EKSİK","TAM"))</f>
        <v/>
      </c>
    </row>
    <row r="851">
      <c r="F851" s="37">
        <f>IF($A851="","",IF($B851="","EKSİK","TAM"))</f>
        <v/>
      </c>
    </row>
    <row r="852">
      <c r="F852" s="37">
        <f>IF($A852="","",IF($B852="","EKSİK","TAM"))</f>
        <v/>
      </c>
    </row>
    <row r="853">
      <c r="F853" s="37">
        <f>IF($A853="","",IF($B853="","EKSİK","TAM"))</f>
        <v/>
      </c>
    </row>
    <row r="854">
      <c r="F854" s="37">
        <f>IF($A854="","",IF($B854="","EKSİK","TAM"))</f>
        <v/>
      </c>
    </row>
    <row r="855">
      <c r="F855" s="37">
        <f>IF($A855="","",IF($B855="","EKSİK","TAM"))</f>
        <v/>
      </c>
    </row>
    <row r="856">
      <c r="F856" s="37">
        <f>IF($A856="","",IF($B856="","EKSİK","TAM"))</f>
        <v/>
      </c>
    </row>
    <row r="857">
      <c r="F857" s="37">
        <f>IF($A857="","",IF($B857="","EKSİK","TAM"))</f>
        <v/>
      </c>
    </row>
    <row r="858">
      <c r="F858" s="37">
        <f>IF($A858="","",IF($B858="","EKSİK","TAM"))</f>
        <v/>
      </c>
    </row>
    <row r="859">
      <c r="F859" s="37">
        <f>IF($A859="","",IF($B859="","EKSİK","TAM"))</f>
        <v/>
      </c>
    </row>
    <row r="860">
      <c r="F860" s="37">
        <f>IF($A860="","",IF($B860="","EKSİK","TAM"))</f>
        <v/>
      </c>
    </row>
    <row r="861">
      <c r="F861" s="37">
        <f>IF($A861="","",IF($B861="","EKSİK","TAM"))</f>
        <v/>
      </c>
    </row>
    <row r="862">
      <c r="F862" s="37">
        <f>IF($A862="","",IF($B862="","EKSİK","TAM"))</f>
        <v/>
      </c>
    </row>
    <row r="863">
      <c r="F863" s="37">
        <f>IF($A863="","",IF($B863="","EKSİK","TAM"))</f>
        <v/>
      </c>
    </row>
    <row r="864">
      <c r="F864" s="37">
        <f>IF($A864="","",IF($B864="","EKSİK","TAM"))</f>
        <v/>
      </c>
    </row>
    <row r="865">
      <c r="F865" s="37">
        <f>IF($A865="","",IF($B865="","EKSİK","TAM"))</f>
        <v/>
      </c>
    </row>
    <row r="866">
      <c r="F866" s="37">
        <f>IF($A866="","",IF($B866="","EKSİK","TAM"))</f>
        <v/>
      </c>
    </row>
    <row r="867">
      <c r="F867" s="37">
        <f>IF($A867="","",IF($B867="","EKSİK","TAM"))</f>
        <v/>
      </c>
    </row>
    <row r="868">
      <c r="F868" s="37">
        <f>IF($A868="","",IF($B868="","EKSİK","TAM"))</f>
        <v/>
      </c>
    </row>
    <row r="869">
      <c r="F869" s="37">
        <f>IF($A869="","",IF($B869="","EKSİK","TAM"))</f>
        <v/>
      </c>
    </row>
    <row r="870">
      <c r="F870" s="37">
        <f>IF($A870="","",IF($B870="","EKSİK","TAM"))</f>
        <v/>
      </c>
    </row>
    <row r="871">
      <c r="F871" s="37">
        <f>IF($A871="","",IF($B871="","EKSİK","TAM"))</f>
        <v/>
      </c>
    </row>
    <row r="872">
      <c r="F872" s="37">
        <f>IF($A872="","",IF($B872="","EKSİK","TAM"))</f>
        <v/>
      </c>
    </row>
    <row r="873">
      <c r="F873" s="37">
        <f>IF($A873="","",IF($B873="","EKSİK","TAM"))</f>
        <v/>
      </c>
    </row>
    <row r="874">
      <c r="F874" s="37">
        <f>IF($A874="","",IF($B874="","EKSİK","TAM"))</f>
        <v/>
      </c>
    </row>
    <row r="875">
      <c r="F875" s="37">
        <f>IF($A875="","",IF($B875="","EKSİK","TAM"))</f>
        <v/>
      </c>
    </row>
    <row r="876">
      <c r="F876" s="37">
        <f>IF($A876="","",IF($B876="","EKSİK","TAM"))</f>
        <v/>
      </c>
    </row>
    <row r="877">
      <c r="F877" s="37">
        <f>IF($A877="","",IF($B877="","EKSİK","TAM"))</f>
        <v/>
      </c>
    </row>
    <row r="878">
      <c r="F878" s="37">
        <f>IF($A878="","",IF($B878="","EKSİK","TAM"))</f>
        <v/>
      </c>
    </row>
    <row r="879">
      <c r="F879" s="37">
        <f>IF($A879="","",IF($B879="","EKSİK","TAM"))</f>
        <v/>
      </c>
    </row>
    <row r="880">
      <c r="F880" s="37">
        <f>IF($A880="","",IF($B880="","EKSİK","TAM"))</f>
        <v/>
      </c>
    </row>
    <row r="881">
      <c r="F881" s="37">
        <f>IF($A881="","",IF($B881="","EKSİK","TAM"))</f>
        <v/>
      </c>
    </row>
    <row r="882">
      <c r="F882" s="37">
        <f>IF($A882="","",IF($B882="","EKSİK","TAM"))</f>
        <v/>
      </c>
    </row>
    <row r="883">
      <c r="F883" s="37">
        <f>IF($A883="","",IF($B883="","EKSİK","TAM"))</f>
        <v/>
      </c>
    </row>
    <row r="884">
      <c r="F884" s="37">
        <f>IF($A884="","",IF($B884="","EKSİK","TAM"))</f>
        <v/>
      </c>
    </row>
    <row r="885">
      <c r="F885" s="37">
        <f>IF($A885="","",IF($B885="","EKSİK","TAM"))</f>
        <v/>
      </c>
    </row>
    <row r="886">
      <c r="F886" s="37">
        <f>IF($A886="","",IF($B886="","EKSİK","TAM"))</f>
        <v/>
      </c>
    </row>
    <row r="887">
      <c r="F887" s="37">
        <f>IF($A887="","",IF($B887="","EKSİK","TAM"))</f>
        <v/>
      </c>
    </row>
    <row r="888">
      <c r="F888" s="37">
        <f>IF($A888="","",IF($B888="","EKSİK","TAM"))</f>
        <v/>
      </c>
    </row>
    <row r="889">
      <c r="F889" s="37">
        <f>IF($A889="","",IF($B889="","EKSİK","TAM"))</f>
        <v/>
      </c>
    </row>
    <row r="890">
      <c r="F890" s="37">
        <f>IF($A890="","",IF($B890="","EKSİK","TAM"))</f>
        <v/>
      </c>
    </row>
    <row r="891">
      <c r="F891" s="37">
        <f>IF($A891="","",IF($B891="","EKSİK","TAM"))</f>
        <v/>
      </c>
    </row>
    <row r="892">
      <c r="F892" s="37">
        <f>IF($A892="","",IF($B892="","EKSİK","TAM"))</f>
        <v/>
      </c>
    </row>
    <row r="893">
      <c r="F893" s="37">
        <f>IF($A893="","",IF($B893="","EKSİK","TAM"))</f>
        <v/>
      </c>
    </row>
    <row r="894">
      <c r="F894" s="37">
        <f>IF($A894="","",IF($B894="","EKSİK","TAM"))</f>
        <v/>
      </c>
    </row>
    <row r="895">
      <c r="F895" s="37">
        <f>IF($A895="","",IF($B895="","EKSİK","TAM"))</f>
        <v/>
      </c>
    </row>
    <row r="896">
      <c r="F896" s="37">
        <f>IF($A896="","",IF($B896="","EKSİK","TAM"))</f>
        <v/>
      </c>
    </row>
    <row r="897">
      <c r="F897" s="37">
        <f>IF($A897="","",IF($B897="","EKSİK","TAM"))</f>
        <v/>
      </c>
    </row>
    <row r="898">
      <c r="F898" s="37">
        <f>IF($A898="","",IF($B898="","EKSİK","TAM"))</f>
        <v/>
      </c>
    </row>
    <row r="899">
      <c r="F899" s="37">
        <f>IF($A899="","",IF($B899="","EKSİK","TAM"))</f>
        <v/>
      </c>
    </row>
    <row r="900">
      <c r="F900" s="37">
        <f>IF($A900="","",IF($B900="","EKSİK","TAM"))</f>
        <v/>
      </c>
    </row>
    <row r="901">
      <c r="F901" s="37">
        <f>IF($A901="","",IF($B901="","EKSİK","TAM"))</f>
        <v/>
      </c>
    </row>
    <row r="902">
      <c r="F902" s="37">
        <f>IF($A902="","",IF($B902="","EKSİK","TAM"))</f>
        <v/>
      </c>
    </row>
    <row r="903">
      <c r="F903" s="37">
        <f>IF($A903="","",IF($B903="","EKSİK","TAM"))</f>
        <v/>
      </c>
    </row>
    <row r="904">
      <c r="F904" s="37">
        <f>IF($A904="","",IF($B904="","EKSİK","TAM"))</f>
        <v/>
      </c>
    </row>
    <row r="905">
      <c r="F905" s="37">
        <f>IF($A905="","",IF($B905="","EKSİK","TAM"))</f>
        <v/>
      </c>
    </row>
    <row r="906">
      <c r="F906" s="37">
        <f>IF($A906="","",IF($B906="","EKSİK","TAM"))</f>
        <v/>
      </c>
    </row>
    <row r="907">
      <c r="F907" s="37">
        <f>IF($A907="","",IF($B907="","EKSİK","TAM"))</f>
        <v/>
      </c>
    </row>
    <row r="908">
      <c r="F908" s="37">
        <f>IF($A908="","",IF($B908="","EKSİK","TAM"))</f>
        <v/>
      </c>
    </row>
    <row r="909">
      <c r="F909" s="37">
        <f>IF($A909="","",IF($B909="","EKSİK","TAM"))</f>
        <v/>
      </c>
    </row>
    <row r="910">
      <c r="F910" s="37">
        <f>IF($A910="","",IF($B910="","EKSİK","TAM"))</f>
        <v/>
      </c>
    </row>
    <row r="911">
      <c r="F911" s="37">
        <f>IF($A911="","",IF($B911="","EKSİK","TAM"))</f>
        <v/>
      </c>
    </row>
    <row r="912">
      <c r="F912" s="37">
        <f>IF($A912="","",IF($B912="","EKSİK","TAM"))</f>
        <v/>
      </c>
    </row>
    <row r="913">
      <c r="F913" s="37">
        <f>IF($A913="","",IF($B913="","EKSİK","TAM"))</f>
        <v/>
      </c>
    </row>
    <row r="914">
      <c r="F914" s="37">
        <f>IF($A914="","",IF($B914="","EKSİK","TAM"))</f>
        <v/>
      </c>
    </row>
    <row r="915">
      <c r="F915" s="37">
        <f>IF($A915="","",IF($B915="","EKSİK","TAM"))</f>
        <v/>
      </c>
    </row>
    <row r="916">
      <c r="F916" s="37">
        <f>IF($A916="","",IF($B916="","EKSİK","TAM"))</f>
        <v/>
      </c>
    </row>
    <row r="917">
      <c r="F917" s="37">
        <f>IF($A917="","",IF($B917="","EKSİK","TAM"))</f>
        <v/>
      </c>
    </row>
    <row r="918">
      <c r="F918" s="37">
        <f>IF($A918="","",IF($B918="","EKSİK","TAM"))</f>
        <v/>
      </c>
    </row>
    <row r="919">
      <c r="F919" s="37">
        <f>IF($A919="","",IF($B919="","EKSİK","TAM"))</f>
        <v/>
      </c>
    </row>
    <row r="920">
      <c r="F920" s="37">
        <f>IF($A920="","",IF($B920="","EKSİK","TAM"))</f>
        <v/>
      </c>
    </row>
    <row r="921">
      <c r="F921" s="37">
        <f>IF($A921="","",IF($B921="","EKSİK","TAM"))</f>
        <v/>
      </c>
    </row>
    <row r="922">
      <c r="F922" s="37">
        <f>IF($A922="","",IF($B922="","EKSİK","TAM"))</f>
        <v/>
      </c>
    </row>
    <row r="923">
      <c r="F923" s="37">
        <f>IF($A923="","",IF($B923="","EKSİK","TAM"))</f>
        <v/>
      </c>
    </row>
    <row r="924">
      <c r="F924" s="37">
        <f>IF($A924="","",IF($B924="","EKSİK","TAM"))</f>
        <v/>
      </c>
    </row>
    <row r="925">
      <c r="F925" s="37">
        <f>IF($A925="","",IF($B925="","EKSİK","TAM"))</f>
        <v/>
      </c>
    </row>
    <row r="926">
      <c r="F926" s="37">
        <f>IF($A926="","",IF($B926="","EKSİK","TAM"))</f>
        <v/>
      </c>
    </row>
    <row r="927">
      <c r="F927" s="37">
        <f>IF($A927="","",IF($B927="","EKSİK","TAM"))</f>
        <v/>
      </c>
    </row>
    <row r="928">
      <c r="F928" s="37">
        <f>IF($A928="","",IF($B928="","EKSİK","TAM"))</f>
        <v/>
      </c>
    </row>
    <row r="929">
      <c r="F929" s="37">
        <f>IF($A929="","",IF($B929="","EKSİK","TAM"))</f>
        <v/>
      </c>
    </row>
    <row r="930">
      <c r="F930" s="37">
        <f>IF($A930="","",IF($B930="","EKSİK","TAM"))</f>
        <v/>
      </c>
    </row>
    <row r="931">
      <c r="F931" s="37">
        <f>IF($A931="","",IF($B931="","EKSİK","TAM"))</f>
        <v/>
      </c>
    </row>
    <row r="932">
      <c r="F932" s="37">
        <f>IF($A932="","",IF($B932="","EKSİK","TAM"))</f>
        <v/>
      </c>
    </row>
    <row r="933">
      <c r="F933" s="37">
        <f>IF($A933="","",IF($B933="","EKSİK","TAM"))</f>
        <v/>
      </c>
    </row>
    <row r="934">
      <c r="F934" s="37">
        <f>IF($A934="","",IF($B934="","EKSİK","TAM"))</f>
        <v/>
      </c>
    </row>
    <row r="935">
      <c r="F935" s="37">
        <f>IF($A935="","",IF($B935="","EKSİK","TAM"))</f>
        <v/>
      </c>
    </row>
    <row r="936">
      <c r="F936" s="37">
        <f>IF($A936="","",IF($B936="","EKSİK","TAM"))</f>
        <v/>
      </c>
    </row>
    <row r="937">
      <c r="F937" s="37">
        <f>IF($A937="","",IF($B937="","EKSİK","TAM"))</f>
        <v/>
      </c>
    </row>
    <row r="938">
      <c r="F938" s="37">
        <f>IF($A938="","",IF($B938="","EKSİK","TAM"))</f>
        <v/>
      </c>
    </row>
    <row r="939">
      <c r="F939" s="37">
        <f>IF($A939="","",IF($B939="","EKSİK","TAM"))</f>
        <v/>
      </c>
    </row>
    <row r="940">
      <c r="F940" s="37">
        <f>IF($A940="","",IF($B940="","EKSİK","TAM"))</f>
        <v/>
      </c>
    </row>
    <row r="941">
      <c r="F941" s="37">
        <f>IF($A941="","",IF($B941="","EKSİK","TAM"))</f>
        <v/>
      </c>
    </row>
    <row r="942">
      <c r="F942" s="37">
        <f>IF($A942="","",IF($B942="","EKSİK","TAM"))</f>
        <v/>
      </c>
    </row>
    <row r="943">
      <c r="F943" s="37">
        <f>IF($A943="","",IF($B943="","EKSİK","TAM"))</f>
        <v/>
      </c>
    </row>
    <row r="944">
      <c r="F944" s="37">
        <f>IF($A944="","",IF($B944="","EKSİK","TAM"))</f>
        <v/>
      </c>
    </row>
    <row r="945">
      <c r="F945" s="37">
        <f>IF($A945="","",IF($B945="","EKSİK","TAM"))</f>
        <v/>
      </c>
    </row>
    <row r="946">
      <c r="F946" s="37">
        <f>IF($A946="","",IF($B946="","EKSİK","TAM"))</f>
        <v/>
      </c>
    </row>
    <row r="947">
      <c r="F947" s="37">
        <f>IF($A947="","",IF($B947="","EKSİK","TAM"))</f>
        <v/>
      </c>
    </row>
    <row r="948">
      <c r="F948" s="37">
        <f>IF($A948="","",IF($B948="","EKSİK","TAM"))</f>
        <v/>
      </c>
    </row>
    <row r="949">
      <c r="F949" s="37">
        <f>IF($A949="","",IF($B949="","EKSİK","TAM"))</f>
        <v/>
      </c>
    </row>
    <row r="950">
      <c r="F950" s="37">
        <f>IF($A950="","",IF($B950="","EKSİK","TAM"))</f>
        <v/>
      </c>
    </row>
    <row r="951">
      <c r="F951" s="37">
        <f>IF($A951="","",IF($B951="","EKSİK","TAM"))</f>
        <v/>
      </c>
    </row>
    <row r="952">
      <c r="F952" s="37">
        <f>IF($A952="","",IF($B952="","EKSİK","TAM"))</f>
        <v/>
      </c>
    </row>
    <row r="953">
      <c r="F953" s="37">
        <f>IF($A953="","",IF($B953="","EKSİK","TAM"))</f>
        <v/>
      </c>
    </row>
    <row r="954">
      <c r="F954" s="37">
        <f>IF($A954="","",IF($B954="","EKSİK","TAM"))</f>
        <v/>
      </c>
    </row>
    <row r="955">
      <c r="F955" s="37">
        <f>IF($A955="","",IF($B955="","EKSİK","TAM"))</f>
        <v/>
      </c>
    </row>
    <row r="956">
      <c r="F956" s="37">
        <f>IF($A956="","",IF($B956="","EKSİK","TAM"))</f>
        <v/>
      </c>
    </row>
    <row r="957">
      <c r="F957" s="37">
        <f>IF($A957="","",IF($B957="","EKSİK","TAM"))</f>
        <v/>
      </c>
    </row>
    <row r="958">
      <c r="F958" s="37">
        <f>IF($A958="","",IF($B958="","EKSİK","TAM"))</f>
        <v/>
      </c>
    </row>
    <row r="959">
      <c r="F959" s="37">
        <f>IF($A959="","",IF($B959="","EKSİK","TAM"))</f>
        <v/>
      </c>
    </row>
    <row r="960">
      <c r="F960" s="37">
        <f>IF($A960="","",IF($B960="","EKSİK","TAM"))</f>
        <v/>
      </c>
    </row>
    <row r="961">
      <c r="F961" s="37">
        <f>IF($A961="","",IF($B961="","EKSİK","TAM"))</f>
        <v/>
      </c>
    </row>
    <row r="962">
      <c r="F962" s="37">
        <f>IF($A962="","",IF($B962="","EKSİK","TAM"))</f>
        <v/>
      </c>
    </row>
    <row r="963">
      <c r="F963" s="37">
        <f>IF($A963="","",IF($B963="","EKSİK","TAM"))</f>
        <v/>
      </c>
    </row>
    <row r="964">
      <c r="F964" s="37">
        <f>IF($A964="","",IF($B964="","EKSİK","TAM"))</f>
        <v/>
      </c>
    </row>
    <row r="965">
      <c r="F965" s="37">
        <f>IF($A965="","",IF($B965="","EKSİK","TAM"))</f>
        <v/>
      </c>
    </row>
    <row r="966">
      <c r="F966" s="37">
        <f>IF($A966="","",IF($B966="","EKSİK","TAM"))</f>
        <v/>
      </c>
    </row>
    <row r="967">
      <c r="F967" s="37">
        <f>IF($A967="","",IF($B967="","EKSİK","TAM"))</f>
        <v/>
      </c>
    </row>
    <row r="968">
      <c r="F968" s="37">
        <f>IF($A968="","",IF($B968="","EKSİK","TAM"))</f>
        <v/>
      </c>
    </row>
    <row r="969">
      <c r="F969" s="37">
        <f>IF($A969="","",IF($B969="","EKSİK","TAM"))</f>
        <v/>
      </c>
    </row>
    <row r="970">
      <c r="F970" s="37">
        <f>IF($A970="","",IF($B970="","EKSİK","TAM"))</f>
        <v/>
      </c>
    </row>
    <row r="971">
      <c r="F971" s="37">
        <f>IF($A971="","",IF($B971="","EKSİK","TAM"))</f>
        <v/>
      </c>
    </row>
    <row r="972">
      <c r="F972" s="37">
        <f>IF($A972="","",IF($B972="","EKSİK","TAM"))</f>
        <v/>
      </c>
    </row>
    <row r="973">
      <c r="F973" s="37">
        <f>IF($A973="","",IF($B973="","EKSİK","TAM"))</f>
        <v/>
      </c>
    </row>
    <row r="974">
      <c r="F974" s="37">
        <f>IF($A974="","",IF($B974="","EKSİK","TAM"))</f>
        <v/>
      </c>
    </row>
    <row r="975">
      <c r="F975" s="37">
        <f>IF($A975="","",IF($B975="","EKSİK","TAM"))</f>
        <v/>
      </c>
    </row>
    <row r="976">
      <c r="F976" s="37">
        <f>IF($A976="","",IF($B976="","EKSİK","TAM"))</f>
        <v/>
      </c>
    </row>
    <row r="977">
      <c r="F977" s="37">
        <f>IF($A977="","",IF($B977="","EKSİK","TAM"))</f>
        <v/>
      </c>
    </row>
    <row r="978">
      <c r="F978" s="37">
        <f>IF($A978="","",IF($B978="","EKSİK","TAM"))</f>
        <v/>
      </c>
    </row>
    <row r="979">
      <c r="F979" s="37">
        <f>IF($A979="","",IF($B979="","EKSİK","TAM"))</f>
        <v/>
      </c>
    </row>
    <row r="980">
      <c r="F980" s="37">
        <f>IF($A980="","",IF($B980="","EKSİK","TAM"))</f>
        <v/>
      </c>
    </row>
    <row r="981">
      <c r="F981" s="37">
        <f>IF($A981="","",IF($B981="","EKSİK","TAM"))</f>
        <v/>
      </c>
    </row>
    <row r="982">
      <c r="F982" s="37">
        <f>IF($A982="","",IF($B982="","EKSİK","TAM"))</f>
        <v/>
      </c>
    </row>
    <row r="983">
      <c r="F983" s="37">
        <f>IF($A983="","",IF($B983="","EKSİK","TAM"))</f>
        <v/>
      </c>
    </row>
    <row r="984">
      <c r="F984" s="37">
        <f>IF($A984="","",IF($B984="","EKSİK","TAM"))</f>
        <v/>
      </c>
    </row>
    <row r="985">
      <c r="F985" s="37">
        <f>IF($A985="","",IF($B985="","EKSİK","TAM"))</f>
        <v/>
      </c>
    </row>
    <row r="986">
      <c r="F986" s="37">
        <f>IF($A986="","",IF($B986="","EKSİK","TAM"))</f>
        <v/>
      </c>
    </row>
    <row r="987">
      <c r="F987" s="37">
        <f>IF($A987="","",IF($B987="","EKSİK","TAM"))</f>
        <v/>
      </c>
    </row>
    <row r="988">
      <c r="F988" s="37">
        <f>IF($A988="","",IF($B988="","EKSİK","TAM"))</f>
        <v/>
      </c>
    </row>
    <row r="989">
      <c r="F989" s="37">
        <f>IF($A989="","",IF($B989="","EKSİK","TAM"))</f>
        <v/>
      </c>
    </row>
    <row r="990">
      <c r="F990" s="37">
        <f>IF($A990="","",IF($B990="","EKSİK","TAM"))</f>
        <v/>
      </c>
    </row>
    <row r="991">
      <c r="F991" s="37">
        <f>IF($A991="","",IF($B991="","EKSİK","TAM"))</f>
        <v/>
      </c>
    </row>
    <row r="992">
      <c r="F992" s="37">
        <f>IF($A992="","",IF($B992="","EKSİK","TAM"))</f>
        <v/>
      </c>
    </row>
    <row r="993">
      <c r="F993" s="37">
        <f>IF($A993="","",IF($B993="","EKSİK","TAM"))</f>
        <v/>
      </c>
    </row>
    <row r="994">
      <c r="F994" s="37">
        <f>IF($A994="","",IF($B994="","EKSİK","TAM"))</f>
        <v/>
      </c>
    </row>
    <row r="995">
      <c r="F995" s="37">
        <f>IF($A995="","",IF($B995="","EKSİK","TAM"))</f>
        <v/>
      </c>
    </row>
    <row r="996">
      <c r="F996" s="37">
        <f>IF($A996="","",IF($B996="","EKSİK","TAM"))</f>
        <v/>
      </c>
    </row>
    <row r="997">
      <c r="F997" s="37">
        <f>IF($A997="","",IF($B997="","EKSİK","TAM"))</f>
        <v/>
      </c>
    </row>
    <row r="998">
      <c r="F998" s="37">
        <f>IF($A998="","",IF($B998="","EKSİK","TAM"))</f>
        <v/>
      </c>
    </row>
    <row r="999">
      <c r="F999" s="37">
        <f>IF($A999="","",IF($B999="","EKSİK","TAM"))</f>
        <v/>
      </c>
    </row>
    <row r="1000">
      <c r="F1000" s="37">
        <f>IF($A1000="","",IF($B1000="","EKSİK","TAM"))</f>
        <v/>
      </c>
    </row>
    <row r="1001">
      <c r="F1001" s="37">
        <f>IF($A1001="","",IF($B1001="","EKSİK","TAM"))</f>
        <v/>
      </c>
    </row>
    <row r="1002">
      <c r="F1002" s="37">
        <f>IF($A1002="","",IF($B1002="","EKSİK","TAM"))</f>
        <v/>
      </c>
    </row>
    <row r="1003">
      <c r="F1003" s="37">
        <f>IF($A1003="","",IF($B1003="","EKSİK","TAM"))</f>
        <v/>
      </c>
    </row>
    <row r="1004">
      <c r="F1004" s="37">
        <f>IF($A1004="","",IF($B1004="","EKSİK","TAM"))</f>
        <v/>
      </c>
    </row>
    <row r="1026" ht="20" customHeight="1">
      <c r="A1026" s="41" t="inlineStr">
        <is>
          <t>Sarı alanlar giriş; eşik ve DSCR/LLCR formülleri kilitlidir.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026:AN1026"/>
    <mergeCell ref="A1:AD1"/>
  </mergeCells>
  <conditionalFormatting sqref="B9:B12">
    <cfRule type="cellIs" priority="1" operator="lessThan" dxfId="5">
      <formula>0</formula>
    </cfRule>
    <cfRule type="cellIs" priority="2" operator="equal" dxfId="4">
      <formula>0</formula>
    </cfRule>
  </conditionalFormatting>
  <conditionalFormatting sqref="F26:F37">
    <cfRule type="expression" priority="3" dxfId="0">
      <formula>F26="EKSİK"</formula>
    </cfRule>
    <cfRule type="expression" priority="4" dxfId="1">
      <formula>F26="TAM"</formula>
    </cfRule>
  </conditionalFormatting>
  <dataValidations count="20">
    <dataValidation sqref="B8" showDropDown="0" showInputMessage="1" showErrorMessage="1" allowBlank="0" errorTitle="Geçersiz yıl" error="Yalnızca listeden seçin." promptTitle="Hesap Yılı" prompt="2025, 2026 veya 2027 seçin." type="list" errorStyle="stop">
      <formula1>ListeYillar</formula1>
    </dataValidation>
    <dataValidation sqref="B17" showDropDown="0" showInputMessage="1" showErrorMessage="1" allowBlank="0" errorTitle="Geçersiz" error="A veya B seçin." promptTitle="Yorum" prompt="Yorum modunda A veya B seçin." type="list" errorStyle="stop">
      <formula1>ListeYorumAB</formula1>
    </dataValidation>
    <dataValidation sqref="B28" showDropDown="0" showInputMessage="1" showErrorMessage="1" allowBlank="1" errorTitle="Geçersiz yıl" error="Listeden seçin." promptTitle="Hesap Yılı" prompt="Tablo satırında yıl seçin." type="list" errorStyle="stop">
      <formula1>ListeYillar</formula1>
    </dataValidation>
    <dataValidation sqref="B37" showDropDown="0" showInputMessage="1" showErrorMessage="1" allowBlank="1" errorTitle="Geçersiz" error="A veya B." promptTitle="Yorum" prompt="A veya B." type="list" errorStyle="stop">
      <formula1>ListeYorumAB</formula1>
    </dataValidation>
    <dataValidation sqref="B9" showDropDown="0" showInputMessage="1" showErrorMessage="1" allowBlank="1" errorTitle="Geçersiz tutar" error="Sınır dışı değer." promptTitle="CFADS" prompt="0 ile 1e12 arasında TL." type="decimal" errorStyle="stop" operator="between">
      <formula1>0</formula1>
      <formula2>1000000000000</formula2>
    </dataValidation>
    <dataValidation sqref="B10" showDropDown="0" showInputMessage="1" showErrorMessage="1" allowBlank="1" errorTitle="Geçersiz tutar" error="Sınır dışı değer." promptTitle="Anapara" prompt="0 ile 1e12 arasında TL." type="decimal" errorStyle="stop" operator="between">
      <formula1>0</formula1>
      <formula2>1000000000000</formula2>
    </dataValidation>
    <dataValidation sqref="B11" showDropDown="0" showInputMessage="1" showErrorMessage="1" allowBlank="1" errorTitle="Geçersiz tutar" error="Sınır dışı değer." promptTitle="Faiz" prompt="0 ile 1e12 arasında TL." type="decimal" errorStyle="stop" operator="between">
      <formula1>0</formula1>
      <formula2>1000000000000</formula2>
    </dataValidation>
    <dataValidation sqref="B12" showDropDown="0" showInputMessage="1" showErrorMessage="1" allowBlank="1" errorTitle="Geçersiz tutar" error="Sınır dışı değer." promptTitle="Kredi Bakiyesi" prompt="0 ile 1e12 arasında TL." type="decimal" errorStyle="stop" operator="between">
      <formula1>0</formula1>
      <formula2>1000000000000</formula2>
    </dataValidation>
    <dataValidation sqref="B29" showDropDown="0" showInputMessage="1" showErrorMessage="1" allowBlank="1" errorTitle="Geçersiz tutar" error="Sınır dışı değer." promptTitle="CFADS" prompt="Tablo: TL tutar." type="decimal" errorStyle="stop" operator="between">
      <formula1>0</formula1>
      <formula2>1000000000000</formula2>
    </dataValidation>
    <dataValidation sqref="B30" showDropDown="0" showInputMessage="1" showErrorMessage="1" allowBlank="1" errorTitle="Geçersiz tutar" error="Sınır dışı değer." promptTitle="Anapara" prompt="Tablo: TL tutar." type="decimal" errorStyle="stop" operator="between">
      <formula1>0</formula1>
      <formula2>1000000000000</formula2>
    </dataValidation>
    <dataValidation sqref="B31" showDropDown="0" showInputMessage="1" showErrorMessage="1" allowBlank="1" errorTitle="Geçersiz tutar" error="Sınır dışı değer." promptTitle="Faiz" prompt="Tablo: TL tutar." type="decimal" errorStyle="stop" operator="between">
      <formula1>0</formula1>
      <formula2>1000000000000</formula2>
    </dataValidation>
    <dataValidation sqref="B32" showDropDown="0" showInputMessage="1" showErrorMessage="1" allowBlank="1" errorTitle="Geçersiz tutar" error="Sınır dışı değer." promptTitle="Kredi Bakiyesi" prompt="Tablo: TL tutar." type="decimal" errorStyle="stop" operator="between">
      <formula1>0</formula1>
      <formula2>1000000000000</formula2>
    </dataValidation>
    <dataValidation sqref="B13" showDropDown="0" showInputMessage="1" showErrorMessage="1" allowBlank="1" errorTitle="Geçersiz" error="0-1 arası." promptTitle="Faiz Oranı" prompt="0 ile 1 arasında oran." type="decimal" errorStyle="stop" operator="between">
      <formula1>0</formula1>
      <formula2>1</formula2>
    </dataValidation>
    <dataValidation sqref="B16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33" showDropDown="0" showInputMessage="1" showErrorMessage="1" allowBlank="1" errorTitle="Geçersiz" error="0-1 arası." promptTitle="Faiz Oranı" prompt="0 ile 1 arasında oran." type="decimal" errorStyle="stop" operator="between">
      <formula1>0</formula1>
      <formula2>1</formula2>
    </dataValidation>
    <dataValidation sqref="B36" showDropDown="0" showInputMessage="1" showErrorMessage="1" allowBlank="1" errorTitle="Geçersiz" error="0-1 arası." promptTitle="WACC" prompt="0 ile 1 arasında oran." type="decimal" errorStyle="stop" operator="between">
      <formula1>0</formula1>
      <formula2>1</formula2>
    </dataValidation>
    <dataValidation sqref="B14" showDropDown="0" showInputMessage="1" showErrorMessage="1" allowBlank="1" errorTitle="Geçersiz" error="1-50." promptTitle="Vade" prompt="1-50 arası tam sayı." type="whole" errorStyle="stop" operator="between">
      <formula1>1</formula1>
      <formula2>50</formula2>
    </dataValidation>
    <dataValidation sqref="B15" showDropDown="0" showInputMessage="1" showErrorMessage="1" allowBlank="1" errorTitle="Geçersiz" error="1-50." promptTitle="LLCR Dönem" prompt="1-50 arası tam sayı." type="whole" errorStyle="stop" operator="between">
      <formula1>1</formula1>
      <formula2>50</formula2>
    </dataValidation>
    <dataValidation sqref="B34" showDropDown="0" showInputMessage="1" showErrorMessage="1" allowBlank="1" errorTitle="Geçersiz" error="1-50." promptTitle="Vade" prompt="1-50 arası tam sayı." type="whole" errorStyle="stop" operator="between">
      <formula1>1</formula1>
      <formula2>50</formula2>
    </dataValidation>
    <dataValidation sqref="B35" showDropDown="0" showInputMessage="1" showErrorMessage="1" allowBlank="1" errorTitle="Geçersiz" error="1-50." promptTitle="LLCR Dönem" prompt="1-50 arası tam sayı." type="whole" errorStyle="stop" operator="between">
      <formula1>1</formula1>
      <formula2>50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7A4D"/>
    <outlinePr summaryBelow="1" summaryRight="1"/>
    <pageSetUpPr/>
  </sheetPr>
  <dimension ref="A1:AD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  <col width="22" customWidth="1" min="3" max="3"/>
    <col width="22" customWidth="1" min="4" max="4"/>
    <col width="20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4" customWidth="1" min="11" max="11"/>
  </cols>
  <sheetData>
    <row r="1" ht="26" customHeight="1">
      <c r="A1" s="1" t="inlineStr">
        <is>
          <t>KURALLAR — Proje Finansmanı Paketi (DSCR/LLCR)</t>
        </is>
      </c>
    </row>
    <row r="3">
      <c r="A3" s="43" t="inlineStr">
        <is>
          <t>Kredi / covenant kural tablosu (yıl yan yana)</t>
        </is>
      </c>
    </row>
    <row r="4">
      <c r="A4" s="4" t="inlineStr">
        <is>
          <t>Eşikler MOTOR'da sabit yazılmaz; INDEX/MATCH ile buradan çekilir.</t>
        </is>
      </c>
    </row>
    <row r="6" ht="30" customHeight="1">
      <c r="A6" s="35" t="inlineStr">
        <is>
          <t>kural_id</t>
        </is>
      </c>
      <c r="B6" s="35" t="inlineStr">
        <is>
          <t>madde</t>
        </is>
      </c>
      <c r="C6" s="35" t="inlineStr">
        <is>
          <t>kural_adi</t>
        </is>
      </c>
      <c r="D6" s="35" t="inlineStr">
        <is>
          <t>kosul_metni</t>
        </is>
      </c>
      <c r="E6" s="35" t="inlineStr">
        <is>
          <t>parametre_adi</t>
        </is>
      </c>
      <c r="F6" s="35" t="inlineStr">
        <is>
          <t>deger_2025</t>
        </is>
      </c>
      <c r="G6" s="35" t="inlineStr">
        <is>
          <t>deger_2026</t>
        </is>
      </c>
      <c r="H6" s="35" t="inlineStr">
        <is>
          <t>deger_2027</t>
        </is>
      </c>
      <c r="I6" s="35" t="inlineStr">
        <is>
          <t>yururluk</t>
        </is>
      </c>
      <c r="J6" s="35" t="inlineStr">
        <is>
          <t>kaynak</t>
        </is>
      </c>
      <c r="K6" s="35" t="inlineStr">
        <is>
          <t>aktif_deger</t>
        </is>
      </c>
    </row>
    <row r="7">
      <c r="A7" s="7" t="inlineStr">
        <is>
          <t>PFD-001</t>
        </is>
      </c>
      <c r="B7" s="7" t="inlineStr">
        <is>
          <t>Kredi sözleşmesi</t>
        </is>
      </c>
      <c r="C7" s="7" t="inlineStr">
        <is>
          <t>dscr_asgari</t>
        </is>
      </c>
      <c r="D7" s="7" t="inlineStr">
        <is>
          <t>DSCR ≥ eşik</t>
        </is>
      </c>
      <c r="E7" s="7" t="inlineStr">
        <is>
          <t>dscr_asgari</t>
        </is>
      </c>
      <c r="F7" s="44" t="n">
        <v>1.25</v>
      </c>
      <c r="G7" s="44" t="n">
        <v>1.25</v>
      </c>
      <c r="H7" s="44" t="n">
        <v>1.25</v>
      </c>
      <c r="I7" s="7" t="inlineStr">
        <is>
          <t>01.01.2025</t>
        </is>
      </c>
      <c r="J7" s="7" t="inlineStr">
        <is>
          <t>DSCR UYGUN eşiği</t>
        </is>
      </c>
      <c r="K7" s="37">
        <f>IF($A7="","",IFERROR(CHOOSE(MAX(1,MIN(3,IF(OR(hesapYili="",hesapYili=0),1,hesapYili-pfd_yilTaban))),$F7,$G7,$H7),0))</f>
        <v/>
      </c>
    </row>
    <row r="8">
      <c r="A8" s="7" t="inlineStr">
        <is>
          <t>PFD-002</t>
        </is>
      </c>
      <c r="B8" s="7" t="inlineStr">
        <is>
          <t>Kredi sözleşmesi</t>
        </is>
      </c>
      <c r="C8" s="7" t="inlineStr">
        <is>
          <t>llcr_asgari</t>
        </is>
      </c>
      <c r="D8" s="7" t="inlineStr">
        <is>
          <t>LLCR ≥ eşik</t>
        </is>
      </c>
      <c r="E8" s="7" t="inlineStr">
        <is>
          <t>llcr_asgari</t>
        </is>
      </c>
      <c r="F8" s="44" t="n">
        <v>1.5</v>
      </c>
      <c r="G8" s="44" t="n">
        <v>1.5</v>
      </c>
      <c r="H8" s="44" t="n">
        <v>1.5</v>
      </c>
      <c r="I8" s="7" t="inlineStr">
        <is>
          <t>01.01.2025</t>
        </is>
      </c>
      <c r="J8" s="7" t="inlineStr">
        <is>
          <t>LLCR UYGUN eşiği</t>
        </is>
      </c>
      <c r="K8" s="37">
        <f>IF($A8="","",IFERROR(CHOOSE(MAX(1,MIN(3,IF(OR(hesapYili="",hesapYili=0),1,hesapYili-pfd_yilTaban))),$F8,$G8,$H8),0))</f>
        <v/>
      </c>
    </row>
    <row r="9">
      <c r="A9" s="7" t="inlineStr">
        <is>
          <t>PFD-003</t>
        </is>
      </c>
      <c r="B9" s="7" t="inlineStr">
        <is>
          <t>Kredi sözleşmesi</t>
        </is>
      </c>
      <c r="C9" s="7" t="inlineStr">
        <is>
          <t>dscr_dikkat</t>
        </is>
      </c>
      <c r="D9" s="7" t="inlineStr">
        <is>
          <t>DSCR ≥ dikkat</t>
        </is>
      </c>
      <c r="E9" s="7" t="inlineStr">
        <is>
          <t>dscr_dikkat</t>
        </is>
      </c>
      <c r="F9" s="44" t="n">
        <v>1.1</v>
      </c>
      <c r="G9" s="44" t="n">
        <v>1.1</v>
      </c>
      <c r="H9" s="44" t="n">
        <v>1.1</v>
      </c>
      <c r="I9" s="7" t="inlineStr">
        <is>
          <t>01.01.2025</t>
        </is>
      </c>
      <c r="J9" s="7" t="inlineStr">
        <is>
          <t>DSCR DİKKAT alt bandı</t>
        </is>
      </c>
      <c r="K9" s="37">
        <f>IF($A9="","",IFERROR(CHOOSE(MAX(1,MIN(3,IF(OR(hesapYili="",hesapYili=0),1,hesapYili-pfd_yilTaban))),$F9,$G9,$H9),0))</f>
        <v/>
      </c>
    </row>
    <row r="10">
      <c r="A10" s="7" t="inlineStr">
        <is>
          <t>PFD-004</t>
        </is>
      </c>
      <c r="B10" s="7" t="inlineStr">
        <is>
          <t>Kredi sözleşmesi</t>
        </is>
      </c>
      <c r="C10" s="7" t="inlineStr">
        <is>
          <t>llcr_dikkat</t>
        </is>
      </c>
      <c r="D10" s="7" t="inlineStr">
        <is>
          <t>LLCR ≥ dikkat</t>
        </is>
      </c>
      <c r="E10" s="7" t="inlineStr">
        <is>
          <t>llcr_dikkat</t>
        </is>
      </c>
      <c r="F10" s="44" t="n">
        <v>1.2</v>
      </c>
      <c r="G10" s="44" t="n">
        <v>1.2</v>
      </c>
      <c r="H10" s="44" t="n">
        <v>1.2</v>
      </c>
      <c r="I10" s="7" t="inlineStr">
        <is>
          <t>01.01.2025</t>
        </is>
      </c>
      <c r="J10" s="7" t="inlineStr">
        <is>
          <t>LLCR DİKKAT alt bandı</t>
        </is>
      </c>
      <c r="K10" s="37">
        <f>IF($A10="","",IFERROR(CHOOSE(MAX(1,MIN(3,IF(OR(hesapYili="",hesapYili=0),1,hesapYili-pfd_yilTaban))),$F10,$G10,$H10),0))</f>
        <v/>
      </c>
    </row>
    <row r="11">
      <c r="A11" s="7" t="inlineStr">
        <is>
          <t>PFD-005</t>
        </is>
      </c>
      <c r="B11" s="7" t="inlineStr">
        <is>
          <t>Uygulama</t>
        </is>
      </c>
      <c r="C11" s="7" t="inlineStr">
        <is>
          <t>yuvarlama</t>
        </is>
      </c>
      <c r="D11" s="7" t="inlineStr">
        <is>
          <t>her hesap</t>
        </is>
      </c>
      <c r="E11" s="7" t="inlineStr">
        <is>
          <t>yuvarlama_ondalik</t>
        </is>
      </c>
      <c r="F11" s="45" t="n">
        <v>2</v>
      </c>
      <c r="G11" s="45" t="n">
        <v>2</v>
      </c>
      <c r="H11" s="45" t="n">
        <v>2</v>
      </c>
      <c r="I11" s="7" t="inlineStr">
        <is>
          <t>01.01.2025</t>
        </is>
      </c>
      <c r="J11" s="7" t="inlineStr">
        <is>
          <t>Yuvarlama ondalık</t>
        </is>
      </c>
      <c r="K11" s="37">
        <f>IF($A11="","",IFERROR(CHOOSE(MAX(1,MIN(3,IF(OR(hesapYili="",hesapYili=0),1,hesapYili-pfd_yilTaban))),$F11,$G11,$H11),0))</f>
        <v/>
      </c>
    </row>
    <row r="14">
      <c r="A14" s="10" t="inlineStr">
        <is>
          <t>Kural-yıl matrisi özeti</t>
        </is>
      </c>
    </row>
    <row r="15">
      <c r="A15" s="7" t="inlineStr">
        <is>
          <t>DSCR asgari (aktif yıl)</t>
        </is>
      </c>
      <c r="B15" s="21">
        <f>IFERROR(INDEX(CHOOSE(MAX(1,MIN(3,IF(OR(hesapYili="",hesapYili=0),1,hesapYili-pfd_yilTaban))),tblKurallar[deger_2025],tblKurallar[deger_2026],tblKurallar[deger_2027]),MATCH("PFD-001",tblKurallar[kural_id],0)),0)</f>
        <v/>
      </c>
    </row>
    <row r="16">
      <c r="A16" s="7" t="inlineStr">
        <is>
          <t>LLCR asgari (aktif yıl)</t>
        </is>
      </c>
      <c r="B16" s="21">
        <f>IFERROR(INDEX(CHOOSE(MAX(1,MIN(3,IF(OR(hesapYili="",hesapYili=0),1,hesapYili-pfd_yilTaban))),tblKurallar[deger_2025],tblKurallar[deger_2026],tblKurallar[deger_2027]),MATCH("PFD-002",tblKurallar[kural_id],0)),0)</f>
        <v/>
      </c>
    </row>
    <row r="17">
      <c r="A17" s="7" t="inlineStr">
        <is>
          <t>Matris metni</t>
        </is>
      </c>
      <c r="B17" s="18">
        <f>IFERROR(_xlfn.TEXTJOIN(" | ",TRUE,"PFD-001=",TEXT(B15,"0.00"),"PFD-002=",TEXT(B16,"0.00"),"yıl=",IF(OR(hesapYili="",hesapYili=0),"-",hesapYili)),"-")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4:K4"/>
    <mergeCell ref="A1:AD1"/>
    <mergeCell ref="A3:K3"/>
  </mergeCells>
  <dataValidations count="3">
    <dataValidation sqref="F7:F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G7:G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  <dataValidation sqref="H7:H11" showDropDown="0" showInputMessage="1" showErrorMessage="1" allowBlank="1" errorTitle="Geçersiz" error="0 ve üzeri sayı." promptTitle="Kural değeri" prompt="Yıl kolonuna sayısal parametre girin." type="decimal" errorStyle="stop" operator="between">
      <formula1>0</formula1>
      <formula2>10000000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8064A2"/>
    <outlinePr summaryBelow="1" summaryRight="1"/>
    <pageSetUpPr/>
  </sheetPr>
  <dimension ref="A1:AD5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55" customWidth="1" min="3" max="3"/>
    <col width="10" customWidth="1" min="4" max="4"/>
    <col width="28" customWidth="1" min="5" max="5"/>
    <col width="12" customWidth="1" min="6" max="6"/>
    <col width="22" customWidth="1" min="7" max="7"/>
  </cols>
  <sheetData>
    <row r="1" ht="26" customHeight="1">
      <c r="A1" s="1" t="inlineStr">
        <is>
          <t>MOTOR — Proje Finansmanı Paketi (DSCR/LLCR)</t>
        </is>
      </c>
    </row>
    <row r="3">
      <c r="A3" s="43" t="inlineStr">
        <is>
          <t>Hesap zinciri — her adımda kural_id</t>
        </is>
      </c>
    </row>
    <row r="4">
      <c r="A4" s="4" t="inlineStr">
        <is>
          <t>Eşikler tblKurallar'dan çekilir; sabit eşik yoktur.</t>
        </is>
      </c>
    </row>
    <row r="6" ht="30" customHeight="1">
      <c r="A6" s="35" t="inlineStr">
        <is>
          <t>adim</t>
        </is>
      </c>
      <c r="B6" s="35" t="inlineStr">
        <is>
          <t>ad</t>
        </is>
      </c>
      <c r="C6" s="35" t="inlineStr">
        <is>
          <t>formul</t>
        </is>
      </c>
      <c r="D6" s="35" t="inlineStr">
        <is>
          <t>birim</t>
        </is>
      </c>
      <c r="E6" s="35" t="inlineStr">
        <is>
          <t>ne_ise_yarar</t>
        </is>
      </c>
      <c r="F6" s="35" t="inlineStr">
        <is>
          <t>kural_id</t>
        </is>
      </c>
      <c r="G6" s="35" t="inlineStr">
        <is>
          <t>deger</t>
        </is>
      </c>
    </row>
    <row r="7">
      <c r="A7" s="46" t="n">
        <v>1</v>
      </c>
      <c r="B7" s="47" t="inlineStr">
        <is>
          <t>Hesap yılı oku</t>
        </is>
      </c>
      <c r="C7" s="48">
        <f>IFERROR(hesapYili,0)</f>
        <v/>
      </c>
      <c r="D7" s="49" t="inlineStr">
        <is>
          <t>yıl</t>
        </is>
      </c>
      <c r="E7" s="6" t="inlineStr">
        <is>
          <t>Aktif kural yılı</t>
        </is>
      </c>
      <c r="F7" s="50" t="inlineStr">
        <is>
          <t>PFD-005</t>
        </is>
      </c>
      <c r="G7" s="23">
        <f>IFERROR(hesapYili,0)</f>
        <v/>
      </c>
    </row>
    <row r="8">
      <c r="A8" s="46" t="n">
        <v>2</v>
      </c>
      <c r="B8" s="47" t="inlineStr">
        <is>
          <t>DSCR asgari</t>
        </is>
      </c>
      <c r="C8" s="51">
        <f>IFERROR(INDEX(CHOOSE(MAX(1,MIN(3,IF(OR(hesapYili="",hesapYili=0),1,hesapYili-pfd_yilTaban))),tblKurallar[deger_2025],tblKurallar[deger_2026],tblKurallar[deger_2027]),MATCH("PFD-001",tblKurallar[kural_id],0)),0)</f>
        <v/>
      </c>
      <c r="D8" s="49" t="inlineStr">
        <is>
          <t>oran</t>
        </is>
      </c>
      <c r="E8" s="6" t="inlineStr">
        <is>
          <t>UYGUN DSCR eşiği</t>
        </is>
      </c>
      <c r="F8" s="50" t="inlineStr">
        <is>
          <t>PFD-001</t>
        </is>
      </c>
      <c r="G8" s="21">
        <f>IFERROR(INDEX(CHOOSE(MAX(1,MIN(3,IF(OR(hesapYili="",hesapYili=0),1,hesapYili-pfd_yilTaban))),tblKurallar[deger_2025],tblKurallar[deger_2026],tblKurallar[deger_2027]),MATCH("PFD-001",tblKurallar[kural_id],0)),0)</f>
        <v/>
      </c>
    </row>
    <row r="9">
      <c r="A9" s="46" t="n">
        <v>3</v>
      </c>
      <c r="B9" s="47" t="inlineStr">
        <is>
          <t>LLCR asgari</t>
        </is>
      </c>
      <c r="C9" s="51">
        <f>IFERROR(INDEX(CHOOSE(MAX(1,MIN(3,IF(OR(hesapYili="",hesapYili=0),1,hesapYili-pfd_yilTaban))),tblKurallar[deger_2025],tblKurallar[deger_2026],tblKurallar[deger_2027]),MATCH("PFD-002",tblKurallar[kural_id],0)),0)</f>
        <v/>
      </c>
      <c r="D9" s="49" t="inlineStr">
        <is>
          <t>oran</t>
        </is>
      </c>
      <c r="E9" s="6" t="inlineStr">
        <is>
          <t>UYGUN LLCR eşiği</t>
        </is>
      </c>
      <c r="F9" s="50" t="inlineStr">
        <is>
          <t>PFD-002</t>
        </is>
      </c>
      <c r="G9" s="21">
        <f>IFERROR(INDEX(CHOOSE(MAX(1,MIN(3,IF(OR(hesapYili="",hesapYili=0),1,hesapYili-pfd_yilTaban))),tblKurallar[deger_2025],tblKurallar[deger_2026],tblKurallar[deger_2027]),MATCH("PFD-002",tblKurallar[kural_id],0)),0)</f>
        <v/>
      </c>
    </row>
    <row r="10">
      <c r="A10" s="46" t="n">
        <v>4</v>
      </c>
      <c r="B10" s="47" t="inlineStr">
        <is>
          <t>DSCR dikkat</t>
        </is>
      </c>
      <c r="C10" s="51">
        <f>IFERROR(INDEX(CHOOSE(MAX(1,MIN(3,IF(OR(hesapYili="",hesapYili=0),1,hesapYili-pfd_yilTaban))),tblKurallar[deger_2025],tblKurallar[deger_2026],tblKurallar[deger_2027]),MATCH("PFD-003",tblKurallar[kural_id],0)),0)</f>
        <v/>
      </c>
      <c r="D10" s="49" t="inlineStr">
        <is>
          <t>oran</t>
        </is>
      </c>
      <c r="E10" s="6" t="inlineStr">
        <is>
          <t>DİKKAT DSCR alt bandı</t>
        </is>
      </c>
      <c r="F10" s="50" t="inlineStr">
        <is>
          <t>PFD-003</t>
        </is>
      </c>
      <c r="G10" s="21">
        <f>IFERROR(INDEX(CHOOSE(MAX(1,MIN(3,IF(OR(hesapYili="",hesapYili=0),1,hesapYili-pfd_yilTaban))),tblKurallar[deger_2025],tblKurallar[deger_2026],tblKurallar[deger_2027]),MATCH("PFD-003",tblKurallar[kural_id],0)),0)</f>
        <v/>
      </c>
    </row>
    <row r="11">
      <c r="A11" s="46" t="n">
        <v>5</v>
      </c>
      <c r="B11" s="47" t="inlineStr">
        <is>
          <t>LLCR dikkat</t>
        </is>
      </c>
      <c r="C11" s="51">
        <f>IFERROR(INDEX(CHOOSE(MAX(1,MIN(3,IF(OR(hesapYili="",hesapYili=0),1,hesapYili-pfd_yilTaban))),tblKurallar[deger_2025],tblKurallar[deger_2026],tblKurallar[deger_2027]),MATCH("PFD-004",tblKurallar[kural_id],0)),0)</f>
        <v/>
      </c>
      <c r="D11" s="49" t="inlineStr">
        <is>
          <t>oran</t>
        </is>
      </c>
      <c r="E11" s="6" t="inlineStr">
        <is>
          <t>DİKKAT LLCR alt bandı</t>
        </is>
      </c>
      <c r="F11" s="50" t="inlineStr">
        <is>
          <t>PFD-004</t>
        </is>
      </c>
      <c r="G11" s="21">
        <f>IFERROR(INDEX(CHOOSE(MAX(1,MIN(3,IF(OR(hesapYili="",hesapYili=0),1,hesapYili-pfd_yilTaban))),tblKurallar[deger_2025],tblKurallar[deger_2026],tblKurallar[deger_2027]),MATCH("PFD-004",tblKurallar[kural_id],0)),0)</f>
        <v/>
      </c>
    </row>
    <row r="12">
      <c r="A12" s="46" t="n">
        <v>6</v>
      </c>
      <c r="B12" s="47" t="inlineStr">
        <is>
          <t>Yuvarlama ondalık</t>
        </is>
      </c>
      <c r="C12" s="48">
        <f>IFERROR(INDEX(CHOOSE(MAX(1,MIN(3,IF(OR(hesapYili="",hesapYili=0),1,hesapYili-pfd_yilTaban))),tblKurallar[deger_2025],tblKurallar[deger_2026],tblKurallar[deger_2027]),MATCH("PFD-005",tblKurallar[kural_id],0)),0)</f>
        <v/>
      </c>
      <c r="D12" s="49" t="inlineStr">
        <is>
          <t>adet</t>
        </is>
      </c>
      <c r="E12" s="6" t="inlineStr">
        <is>
          <t>Yuvarlama basamağı</t>
        </is>
      </c>
      <c r="F12" s="50" t="inlineStr">
        <is>
          <t>PFD-005</t>
        </is>
      </c>
      <c r="G12" s="23">
        <f>IFERROR(INDEX(CHOOSE(MAX(1,MIN(3,IF(OR(hesapYili="",hesapYili=0),1,hesapYili-pfd_yilTaban))),tblKurallar[deger_2025],tblKurallar[deger_2026],tblKurallar[deger_2027]),MATCH("PFD-005",tblKurallar[kural_id],0)),0)</f>
        <v/>
      </c>
    </row>
    <row r="13">
      <c r="A13" s="46" t="n">
        <v>7</v>
      </c>
      <c r="B13" s="47" t="inlineStr">
        <is>
          <t>FAVÖK / CFADS</t>
        </is>
      </c>
      <c r="C13" s="52">
        <f>IFERROR(GIRDI!B9,0)</f>
        <v/>
      </c>
      <c r="D13" s="49" t="inlineStr">
        <is>
          <t>TL</t>
        </is>
      </c>
      <c r="E13" s="6" t="inlineStr">
        <is>
          <t>Dönem CFADS</t>
        </is>
      </c>
      <c r="F13" s="50" t="inlineStr">
        <is>
          <t>PFD-001</t>
        </is>
      </c>
      <c r="G13" s="53">
        <f>IFERROR(GIRDI!B9,0)</f>
        <v/>
      </c>
    </row>
    <row r="14">
      <c r="A14" s="46" t="n">
        <v>8</v>
      </c>
      <c r="B14" s="47" t="inlineStr">
        <is>
          <t>Anapara</t>
        </is>
      </c>
      <c r="C14" s="52">
        <f>IFERROR(GIRDI!B10,0)</f>
        <v/>
      </c>
      <c r="D14" s="49" t="inlineStr">
        <is>
          <t>TL</t>
        </is>
      </c>
      <c r="E14" s="6" t="inlineStr">
        <is>
          <t>Anapara ödemesi</t>
        </is>
      </c>
      <c r="F14" s="50" t="inlineStr">
        <is>
          <t>PFD-001</t>
        </is>
      </c>
      <c r="G14" s="53">
        <f>IFERROR(GIRDI!B10,0)</f>
        <v/>
      </c>
    </row>
    <row r="15">
      <c r="A15" s="46" t="n">
        <v>9</v>
      </c>
      <c r="B15" s="47" t="inlineStr">
        <is>
          <t>Faiz</t>
        </is>
      </c>
      <c r="C15" s="52">
        <f>IFERROR(GIRDI!B11,0)</f>
        <v/>
      </c>
      <c r="D15" s="49" t="inlineStr">
        <is>
          <t>TL</t>
        </is>
      </c>
      <c r="E15" s="6" t="inlineStr">
        <is>
          <t>Faiz ödemesi</t>
        </is>
      </c>
      <c r="F15" s="50" t="inlineStr">
        <is>
          <t>PFD-001</t>
        </is>
      </c>
      <c r="G15" s="53">
        <f>IFERROR(GIRDI!B11,0)</f>
        <v/>
      </c>
    </row>
    <row r="16">
      <c r="A16" s="46" t="n">
        <v>10</v>
      </c>
      <c r="B16" s="47" t="inlineStr">
        <is>
          <t>Kredi bakiyesi</t>
        </is>
      </c>
      <c r="C16" s="52">
        <f>IFERROR(GIRDI!B12,0)</f>
        <v/>
      </c>
      <c r="D16" s="49" t="inlineStr">
        <is>
          <t>TL</t>
        </is>
      </c>
      <c r="E16" s="6" t="inlineStr">
        <is>
          <t>Kalan borç</t>
        </is>
      </c>
      <c r="F16" s="50" t="inlineStr">
        <is>
          <t>PFD-002</t>
        </is>
      </c>
      <c r="G16" s="53">
        <f>IFERROR(GIRDI!B12,0)</f>
        <v/>
      </c>
    </row>
    <row r="17">
      <c r="A17" s="46" t="n">
        <v>11</v>
      </c>
      <c r="B17" s="47" t="inlineStr">
        <is>
          <t>Faiz oranı</t>
        </is>
      </c>
      <c r="C17" s="51">
        <f>IFERROR(GIRDI!B13,0)</f>
        <v/>
      </c>
      <c r="D17" s="49" t="inlineStr">
        <is>
          <t>oran</t>
        </is>
      </c>
      <c r="E17" s="6" t="inlineStr">
        <is>
          <t>Sözleşme faiz oranı</t>
        </is>
      </c>
      <c r="F17" s="50" t="inlineStr">
        <is>
          <t>PFD-001</t>
        </is>
      </c>
      <c r="G17" s="21">
        <f>IFERROR(GIRDI!B13,0)</f>
        <v/>
      </c>
    </row>
    <row r="18">
      <c r="A18" s="46" t="n">
        <v>12</v>
      </c>
      <c r="B18" s="47" t="inlineStr">
        <is>
          <t>Vade</t>
        </is>
      </c>
      <c r="C18" s="48">
        <f>IFERROR(GIRDI!B14,0)</f>
        <v/>
      </c>
      <c r="D18" s="49" t="inlineStr">
        <is>
          <t>adet</t>
        </is>
      </c>
      <c r="E18" s="6" t="inlineStr">
        <is>
          <t>Kredi vadesi</t>
        </is>
      </c>
      <c r="F18" s="50" t="inlineStr">
        <is>
          <t>PFD-005</t>
        </is>
      </c>
      <c r="G18" s="23">
        <f>IFERROR(GIRDI!B14,0)</f>
        <v/>
      </c>
    </row>
    <row r="19">
      <c r="A19" s="46" t="n">
        <v>13</v>
      </c>
      <c r="B19" s="47" t="inlineStr">
        <is>
          <t>LLCR dönem</t>
        </is>
      </c>
      <c r="C19" s="48">
        <f>IFERROR(GIRDI!B15,0)</f>
        <v/>
      </c>
      <c r="D19" s="49" t="inlineStr">
        <is>
          <t>adet</t>
        </is>
      </c>
      <c r="E19" s="6" t="inlineStr">
        <is>
          <t>NPV dönem sayısı</t>
        </is>
      </c>
      <c r="F19" s="50" t="inlineStr">
        <is>
          <t>PFD-002</t>
        </is>
      </c>
      <c r="G19" s="23">
        <f>IFERROR(GIRDI!B15,0)</f>
        <v/>
      </c>
    </row>
    <row r="20">
      <c r="A20" s="46" t="n">
        <v>14</v>
      </c>
      <c r="B20" s="47" t="inlineStr">
        <is>
          <t>WACC</t>
        </is>
      </c>
      <c r="C20" s="51">
        <f>IFERROR(GIRDI!B16,0)</f>
        <v/>
      </c>
      <c r="D20" s="49" t="inlineStr">
        <is>
          <t>oran</t>
        </is>
      </c>
      <c r="E20" s="6" t="inlineStr">
        <is>
          <t>İskonto oranı</t>
        </is>
      </c>
      <c r="F20" s="50" t="inlineStr">
        <is>
          <t>PFD-002</t>
        </is>
      </c>
      <c r="G20" s="21">
        <f>IFERROR(GIRDI!B16,0)</f>
        <v/>
      </c>
    </row>
    <row r="21">
      <c r="A21" s="46" t="n">
        <v>15</v>
      </c>
      <c r="B21" s="47" t="inlineStr">
        <is>
          <t>CFADS çarpanı (yorum)</t>
        </is>
      </c>
      <c r="C21" s="51">
        <f>IFERROR(IF(GIRDI!B17="B",1-pfd_yorumBKesinti,1),0)</f>
        <v/>
      </c>
      <c r="D21" s="49" t="inlineStr">
        <is>
          <t>çarpan</t>
        </is>
      </c>
      <c r="E21" s="6" t="inlineStr">
        <is>
          <t>Yorum A/B CFADS çarpanı</t>
        </is>
      </c>
      <c r="F21" s="50" t="inlineStr">
        <is>
          <t>PFD-005</t>
        </is>
      </c>
      <c r="G21" s="21">
        <f>IFERROR(IF(GIRDI!B17="B",1-pfd_yorumBKesinti,1),0)</f>
        <v/>
      </c>
    </row>
    <row r="22">
      <c r="A22" s="46" t="n">
        <v>16</v>
      </c>
      <c r="B22" s="47" t="inlineStr">
        <is>
          <t>CFADS efektif</t>
        </is>
      </c>
      <c r="C22" s="52">
        <f>IFERROR(G13*G21,0)</f>
        <v/>
      </c>
      <c r="D22" s="49" t="inlineStr">
        <is>
          <t>TL</t>
        </is>
      </c>
      <c r="E22" s="6" t="inlineStr">
        <is>
          <t>Yorum sonrası CFADS</t>
        </is>
      </c>
      <c r="F22" s="50" t="inlineStr">
        <is>
          <t>PFD-001</t>
        </is>
      </c>
      <c r="G22" s="53">
        <f>IFERROR(G13*G21,0)</f>
        <v/>
      </c>
    </row>
    <row r="23">
      <c r="A23" s="46" t="n">
        <v>17</v>
      </c>
      <c r="B23" s="47" t="inlineStr">
        <is>
          <t>Borç servisi</t>
        </is>
      </c>
      <c r="C23" s="52">
        <f>IFERROR(G14+G15,0)</f>
        <v/>
      </c>
      <c r="D23" s="49" t="inlineStr">
        <is>
          <t>TL</t>
        </is>
      </c>
      <c r="E23" s="6" t="inlineStr">
        <is>
          <t>Anapara + faiz</t>
        </is>
      </c>
      <c r="F23" s="50" t="inlineStr">
        <is>
          <t>PFD-001</t>
        </is>
      </c>
      <c r="G23" s="53">
        <f>IFERROR(G14+G15,0)</f>
        <v/>
      </c>
    </row>
    <row r="24">
      <c r="A24" s="46" t="n">
        <v>18</v>
      </c>
      <c r="B24" s="47" t="inlineStr">
        <is>
          <t>DSCR</t>
        </is>
      </c>
      <c r="C24" s="51">
        <f>IFERROR(IF(G23=0,0,ROUND(G22/G23,MAX(0,MIN(pfd_yuvarMax,IFERROR(N(G12),0))))),0)</f>
        <v/>
      </c>
      <c r="D24" s="49" t="inlineStr">
        <is>
          <t>oran</t>
        </is>
      </c>
      <c r="E24" s="6" t="inlineStr">
        <is>
          <t>CFADS / borç servisi</t>
        </is>
      </c>
      <c r="F24" s="50" t="inlineStr">
        <is>
          <t>PFD-001</t>
        </is>
      </c>
      <c r="G24" s="21">
        <f>IFERROR(IF(G23=0,0,ROUND(G22/G23,MAX(0,MIN(pfd_yuvarMax,IFERROR(N(G12),0))))),0)</f>
        <v/>
      </c>
    </row>
    <row r="25">
      <c r="A25" s="46" t="n">
        <v>19</v>
      </c>
      <c r="B25" s="47" t="inlineStr">
        <is>
          <t>NPV(CFADS)</t>
        </is>
      </c>
      <c r="C25" s="52">
        <f>IFERROR(IF(G19&lt;=0,0,IF(G20=0,ROUND(G22*G19,MAX(0,MIN(pfd_yuvarMax,IFERROR(N(G12),0)))),ROUND(G22*(1-POWER(1+G20,-G19))/G20,MAX(0,MIN(pfd_yuvarMax,IFERROR(N(G12),0)))))),0)</f>
        <v/>
      </c>
      <c r="D25" s="49" t="inlineStr">
        <is>
          <t>TL</t>
        </is>
      </c>
      <c r="E25" s="6" t="inlineStr">
        <is>
          <t>İskontolu CFADS toplamı</t>
        </is>
      </c>
      <c r="F25" s="50" t="inlineStr">
        <is>
          <t>PFD-002</t>
        </is>
      </c>
      <c r="G25" s="53">
        <f>IFERROR(IF(G19&lt;=0,0,IF(G20=0,ROUND(G22*G19,MAX(0,MIN(pfd_yuvarMax,IFERROR(N(G12),0)))),ROUND(G22*(1-POWER(1+G20,-G19))/G20,MAX(0,MIN(pfd_yuvarMax,IFERROR(N(G12),0)))))),0)</f>
        <v/>
      </c>
    </row>
    <row r="26">
      <c r="A26" s="46" t="n">
        <v>20</v>
      </c>
      <c r="B26" s="47" t="inlineStr">
        <is>
          <t>LLCR</t>
        </is>
      </c>
      <c r="C26" s="51">
        <f>IFERROR(IF(G16=0,0,ROUND(G25/G16,MAX(0,MIN(pfd_yuvarMax,IFERROR(N(G12),0))))),0)</f>
        <v/>
      </c>
      <c r="D26" s="49" t="inlineStr">
        <is>
          <t>oran</t>
        </is>
      </c>
      <c r="E26" s="6" t="inlineStr">
        <is>
          <t>NPV / kredi bakiyesi</t>
        </is>
      </c>
      <c r="F26" s="50" t="inlineStr">
        <is>
          <t>PFD-002</t>
        </is>
      </c>
      <c r="G26" s="21">
        <f>IFERROR(IF(G16=0,0,ROUND(G25/G16,MAX(0,MIN(pfd_yuvarMax,IFERROR(N(G12),0))))),0)</f>
        <v/>
      </c>
    </row>
    <row r="27">
      <c r="A27" s="46" t="n">
        <v>21</v>
      </c>
      <c r="B27" s="47" t="inlineStr">
        <is>
          <t>DSCR (pano)</t>
        </is>
      </c>
      <c r="C27" s="51">
        <f>IFERROR(G24,0)</f>
        <v/>
      </c>
      <c r="D27" s="49" t="inlineStr">
        <is>
          <t>oran</t>
        </is>
      </c>
      <c r="E27" s="6" t="inlineStr">
        <is>
          <t>DSCR ayna</t>
        </is>
      </c>
      <c r="F27" s="50" t="inlineStr">
        <is>
          <t>PFD-001</t>
        </is>
      </c>
      <c r="G27" s="21">
        <f>IFERROR(G24,0)</f>
        <v/>
      </c>
    </row>
    <row r="28">
      <c r="A28" s="46" t="n">
        <v>22</v>
      </c>
      <c r="B28" s="47" t="inlineStr">
        <is>
          <t>LLCR (pano)</t>
        </is>
      </c>
      <c r="C28" s="51">
        <f>IFERROR(G26,0)</f>
        <v/>
      </c>
      <c r="D28" s="49" t="inlineStr">
        <is>
          <t>oran</t>
        </is>
      </c>
      <c r="E28" s="6" t="inlineStr">
        <is>
          <t>LLCR ayna</t>
        </is>
      </c>
      <c r="F28" s="50" t="inlineStr">
        <is>
          <t>PFD-002</t>
        </is>
      </c>
      <c r="G28" s="21">
        <f>IFERROR(G26,0)</f>
        <v/>
      </c>
    </row>
    <row r="29">
      <c r="A29" s="46" t="n">
        <v>23</v>
      </c>
      <c r="B29" s="47" t="inlineStr">
        <is>
          <t>NPV (pano)</t>
        </is>
      </c>
      <c r="C29" s="52">
        <f>IFERROR(G25,0)</f>
        <v/>
      </c>
      <c r="D29" s="49" t="inlineStr">
        <is>
          <t>TL</t>
        </is>
      </c>
      <c r="E29" s="6" t="inlineStr">
        <is>
          <t>NPV ayna</t>
        </is>
      </c>
      <c r="F29" s="50" t="inlineStr">
        <is>
          <t>PFD-002</t>
        </is>
      </c>
      <c r="G29" s="53">
        <f>IFERROR(G25,0)</f>
        <v/>
      </c>
    </row>
    <row r="30">
      <c r="A30" s="46" t="n">
        <v>24</v>
      </c>
      <c r="B30" s="47" t="inlineStr">
        <is>
          <t>Borç servisi (pano)</t>
        </is>
      </c>
      <c r="C30" s="52">
        <f>IFERROR(G23,0)</f>
        <v/>
      </c>
      <c r="D30" s="49" t="inlineStr">
        <is>
          <t>TL</t>
        </is>
      </c>
      <c r="E30" s="6" t="inlineStr">
        <is>
          <t>Servis ayna</t>
        </is>
      </c>
      <c r="F30" s="50" t="inlineStr">
        <is>
          <t>PFD-001</t>
        </is>
      </c>
      <c r="G30" s="53">
        <f>IFERROR(G23,0)</f>
        <v/>
      </c>
    </row>
    <row r="31">
      <c r="A31" s="46" t="n">
        <v>25</v>
      </c>
      <c r="B31" s="47" t="inlineStr">
        <is>
          <t>Faiz / borç servisi</t>
        </is>
      </c>
      <c r="C31" s="51">
        <f>IFERROR(IF(G23=0,0,G15/G23),0)</f>
        <v/>
      </c>
      <c r="D31" s="49" t="inlineStr">
        <is>
          <t>oran</t>
        </is>
      </c>
      <c r="E31" s="6" t="inlineStr">
        <is>
          <t>Faiz yoğunluğu</t>
        </is>
      </c>
      <c r="F31" s="50" t="inlineStr">
        <is>
          <t>PFD-001</t>
        </is>
      </c>
      <c r="G31" s="21">
        <f>IFERROR(IF(G23=0,0,G15/G23),0)</f>
        <v/>
      </c>
    </row>
    <row r="32">
      <c r="A32" s="46" t="n">
        <v>26</v>
      </c>
      <c r="B32" s="47" t="inlineStr">
        <is>
          <t>Anapara / borç servisi</t>
        </is>
      </c>
      <c r="C32" s="51">
        <f>IFERROR(IF(G23=0,0,G14/G23),0)</f>
        <v/>
      </c>
      <c r="D32" s="49" t="inlineStr">
        <is>
          <t>oran</t>
        </is>
      </c>
      <c r="E32" s="6" t="inlineStr">
        <is>
          <t>Anapara payı</t>
        </is>
      </c>
      <c r="F32" s="50" t="inlineStr">
        <is>
          <t>PFD-001</t>
        </is>
      </c>
      <c r="G32" s="21">
        <f>IFERROR(IF(G23=0,0,G14/G23),0)</f>
        <v/>
      </c>
    </row>
    <row r="33">
      <c r="A33" s="46" t="n">
        <v>27</v>
      </c>
      <c r="B33" s="47" t="inlineStr">
        <is>
          <t>Karar kodu</t>
        </is>
      </c>
      <c r="C33" s="18">
        <f>IFERROR(IF(COUNTA(tblGirdi[Alan Anahtarı])=0,"VERI_YOK",IF(OR(COUNTIF(tblOrnek[CFADS],"&lt;0")&gt;0,COUNTIF(tblOrnek[Anapara],"&lt;0")&gt;0,COUNTIF(tblOrnek[Faiz],"&lt;0")&gt;0,G22&lt;0,G23&lt;=0,G16&lt;=0),"IHLAL",IF(OR(COUNTIF(tblOrnek[CFADS],"&gt;="&amp;pfd_azamiEsik)&gt;0,COUNTIF(tblOrnek[Anapara],"&gt;="&amp;pfd_azamiEsik)&gt;0),"DIKKAT",IF(OR(G24&lt;G10,G26&lt;G11),"IHLAL",IF(OR(G24&lt;G8,G26&lt;G9),"DIKKAT","UYGUN"))))),"")</f>
        <v/>
      </c>
      <c r="D33" s="49" t="inlineStr">
        <is>
          <t>kod</t>
        </is>
      </c>
      <c r="E33" s="6" t="inlineStr">
        <is>
          <t>Karar kodu</t>
        </is>
      </c>
      <c r="F33" s="50" t="inlineStr">
        <is>
          <t>PFD-005</t>
        </is>
      </c>
      <c r="G33" s="22">
        <f>IFERROR(IF(COUNTA(tblGirdi[Alan Anahtarı])=0,"VERI_YOK",IF(OR(COUNTIF(tblOrnek[CFADS],"&lt;0")&gt;0,COUNTIF(tblOrnek[Anapara],"&lt;0")&gt;0,COUNTIF(tblOrnek[Faiz],"&lt;0")&gt;0,G22&lt;0,G23&lt;=0,G16&lt;=0),"IHLAL",IF(OR(COUNTIF(tblOrnek[CFADS],"&gt;="&amp;pfd_azamiEsik)&gt;0,COUNTIF(tblOrnek[Anapara],"&gt;="&amp;pfd_azamiEsik)&gt;0),"DIKKAT",IF(OR(G24&lt;G10,G26&lt;G11),"IHLAL",IF(OR(G24&lt;G8,G26&lt;G9),"DIKKAT","UYGUN"))))),"")</f>
        <v/>
      </c>
    </row>
    <row r="34">
      <c r="A34" s="46" t="n">
        <v>28</v>
      </c>
      <c r="B34" s="47" t="inlineStr">
        <is>
          <t>Karar metni</t>
        </is>
      </c>
      <c r="C34" s="18">
        <f>IFERROR(IF(G33="VERI_YOK","VERİ YOK",IF(G33="UYGUN","UYGUN",IF(G33="DIKKAT","DİKKAT","İHLAL"))),"")</f>
        <v/>
      </c>
      <c r="D34" s="49" t="inlineStr">
        <is>
          <t>metin</t>
        </is>
      </c>
      <c r="E34" s="6" t="inlineStr">
        <is>
          <t>Kullanıcıya karar</t>
        </is>
      </c>
      <c r="F34" s="50" t="inlineStr">
        <is>
          <t>PFD-005</t>
        </is>
      </c>
      <c r="G34" s="22">
        <f>IFERROR(IF(G33="VERI_YOK","VERİ YOK",IF(G33="UYGUN","UYGUN",IF(G33="DIKKAT","DİKKAT","İHLAL"))),"")</f>
        <v/>
      </c>
    </row>
    <row r="35">
      <c r="A35" s="46" t="n">
        <v>29</v>
      </c>
      <c r="B35" s="47" t="inlineStr">
        <is>
          <t>Gerekçe</t>
        </is>
      </c>
      <c r="C35" s="18">
        <f>IFERROR(IF(G33="VERI_YOK","Giriş tablosu boş — hesap yapılamaz.",IF(G33="UYGUN","DSCR ve LLCR asgari eşiklerin üzerinde; covenant uygun.",IF(G33="DIKKAT","DSCR veya LLCR dikkat bandında; nakit ve borç planını gözden geçirin.","DSCR veya LLCR dikkat eşiğinin altında; covenant ihlali riski."))),"")</f>
        <v/>
      </c>
      <c r="D35" s="49" t="inlineStr">
        <is>
          <t>metin</t>
        </is>
      </c>
      <c r="E35" s="6" t="inlineStr">
        <is>
          <t>Gerekçe cümlesi</t>
        </is>
      </c>
      <c r="F35" s="50" t="inlineStr">
        <is>
          <t>PFD-005</t>
        </is>
      </c>
      <c r="G35" s="22">
        <f>IFERROR(IF(G33="VERI_YOK","Giriş tablosu boş — hesap yapılamaz.",IF(G33="UYGUN","DSCR ve LLCR asgari eşiklerin üzerinde; covenant uygun.",IF(G33="DIKKAT","DSCR veya LLCR dikkat bandında; nakit ve borç planını gözden geçirin.","DSCR veya LLCR dikkat eşiğinin altında; covenant ihlali riski."))),"")</f>
        <v/>
      </c>
    </row>
    <row r="36">
      <c r="A36" s="46" t="n">
        <v>30</v>
      </c>
      <c r="B36" s="47" t="inlineStr">
        <is>
          <t>DSCR / asgari</t>
        </is>
      </c>
      <c r="C36" s="51">
        <f>IFERROR(IF(G8=0,0,G24/G8),0)</f>
        <v/>
      </c>
      <c r="D36" s="49" t="inlineStr">
        <is>
          <t>oran</t>
        </is>
      </c>
      <c r="E36" s="6" t="inlineStr">
        <is>
          <t>DSCR baş boşluğu</t>
        </is>
      </c>
      <c r="F36" s="50" t="inlineStr">
        <is>
          <t>PFD-001</t>
        </is>
      </c>
      <c r="G36" s="21">
        <f>IFERROR(IF(G8=0,0,G24/G8),0)</f>
        <v/>
      </c>
    </row>
    <row r="37">
      <c r="A37" s="46" t="n">
        <v>31</v>
      </c>
      <c r="B37" s="47" t="inlineStr">
        <is>
          <t>LLCR / asgari</t>
        </is>
      </c>
      <c r="C37" s="51">
        <f>IFERROR(IF(G9=0,0,G26/G9),0)</f>
        <v/>
      </c>
      <c r="D37" s="49" t="inlineStr">
        <is>
          <t>oran</t>
        </is>
      </c>
      <c r="E37" s="6" t="inlineStr">
        <is>
          <t>LLCR baş boşluğu</t>
        </is>
      </c>
      <c r="F37" s="50" t="inlineStr">
        <is>
          <t>PFD-002</t>
        </is>
      </c>
      <c r="G37" s="21">
        <f>IFERROR(IF(G9=0,0,G26/G9),0)</f>
        <v/>
      </c>
    </row>
    <row r="38">
      <c r="A38" s="46" t="n">
        <v>32</v>
      </c>
      <c r="B38" s="47" t="inlineStr">
        <is>
          <t>Güven skoru</t>
        </is>
      </c>
      <c r="C38" s="48">
        <f>IFERROR(ROUND(IF(OR(COUNTA(GIRDI!B6:B17)=0,pfd_girisBeklenen=0),0,COUNTA(GIRDI!B6:B17)/pfd_girisBeklenen*100),0),0)</f>
        <v/>
      </c>
      <c r="D38" s="49" t="inlineStr">
        <is>
          <t>puan</t>
        </is>
      </c>
      <c r="E38" s="6" t="inlineStr">
        <is>
          <t>Giriş bütünlüğü</t>
        </is>
      </c>
      <c r="F38" s="50" t="inlineStr">
        <is>
          <t>PFD-005</t>
        </is>
      </c>
      <c r="G38" s="23">
        <f>IFERROR(ROUND(IF(OR(COUNTA(GIRDI!B6:B17)=0,pfd_girisBeklenen=0),0,COUNTA(GIRDI!B6:B17)/pfd_girisBeklenen*100),0),0)</f>
        <v/>
      </c>
    </row>
    <row r="39">
      <c r="A39" s="46" t="n">
        <v>33</v>
      </c>
      <c r="B39" s="47" t="inlineStr">
        <is>
          <t>Risk skoru</t>
        </is>
      </c>
      <c r="C39" s="48">
        <f>IFERROR(IF(G33="VERI_YOK",0,IF(G33="UYGUN",pfd_riskDusuk,IF(G33="DIKKAT",pfd_riskOrta,pfd_riskYuksek))),0)</f>
        <v/>
      </c>
      <c r="D39" s="49" t="inlineStr">
        <is>
          <t>puan</t>
        </is>
      </c>
      <c r="E39" s="6" t="inlineStr">
        <is>
          <t>Covenant riski</t>
        </is>
      </c>
      <c r="F39" s="50" t="inlineStr">
        <is>
          <t>PFD-005</t>
        </is>
      </c>
      <c r="G39" s="23">
        <f>IFERROR(IF(G33="VERI_YOK",0,IF(G33="UYGUN",pfd_riskDusuk,IF(G33="DIKKAT",pfd_riskOrta,pfd_riskYuksek))),0)</f>
        <v/>
      </c>
    </row>
    <row r="40">
      <c r="A40" s="46" t="n">
        <v>34</v>
      </c>
      <c r="B40" s="47" t="inlineStr">
        <is>
          <t>Senaryo iyimser CFADS</t>
        </is>
      </c>
      <c r="C40" s="52">
        <f>IFERROR(G22*pfd_senaryoIyi,0)</f>
        <v/>
      </c>
      <c r="D40" s="49" t="inlineStr">
        <is>
          <t>TL</t>
        </is>
      </c>
      <c r="E40" s="6" t="inlineStr">
        <is>
          <t>İyimser CFADS</t>
        </is>
      </c>
      <c r="F40" s="50" t="inlineStr">
        <is>
          <t>PFD-001</t>
        </is>
      </c>
      <c r="G40" s="53">
        <f>IFERROR(G22*pfd_senaryoIyi,0)</f>
        <v/>
      </c>
    </row>
    <row r="41">
      <c r="A41" s="46" t="n">
        <v>35</v>
      </c>
      <c r="B41" s="47" t="inlineStr">
        <is>
          <t>Senaryo kötümser CFADS</t>
        </is>
      </c>
      <c r="C41" s="52">
        <f>IFERROR(G22*pfd_senaryoKotu,0)</f>
        <v/>
      </c>
      <c r="D41" s="49" t="inlineStr">
        <is>
          <t>TL</t>
        </is>
      </c>
      <c r="E41" s="6" t="inlineStr">
        <is>
          <t>Kötümser CFADS</t>
        </is>
      </c>
      <c r="F41" s="50" t="inlineStr">
        <is>
          <t>PFD-001</t>
        </is>
      </c>
      <c r="G41" s="53">
        <f>IFERROR(G22*pfd_senaryoKotu,0)</f>
        <v/>
      </c>
    </row>
    <row r="42">
      <c r="A42" s="46" t="n">
        <v>36</v>
      </c>
      <c r="B42" s="47" t="inlineStr">
        <is>
          <t>İyimser DSCR</t>
        </is>
      </c>
      <c r="C42" s="51">
        <f>IFERROR(IF(G23=0,0,ROUND(G40/G23,MAX(0,MIN(pfd_yuvarMax,IFERROR(N(G12),0))))),0)</f>
        <v/>
      </c>
      <c r="D42" s="49" t="inlineStr">
        <is>
          <t>oran</t>
        </is>
      </c>
      <c r="E42" s="6" t="inlineStr">
        <is>
          <t>İyimser DSCR</t>
        </is>
      </c>
      <c r="F42" s="50" t="inlineStr">
        <is>
          <t>PFD-001</t>
        </is>
      </c>
      <c r="G42" s="21">
        <f>IFERROR(IF(G23=0,0,ROUND(G40/G23,MAX(0,MIN(pfd_yuvarMax,IFERROR(N(G12),0))))),0)</f>
        <v/>
      </c>
    </row>
    <row r="43">
      <c r="A43" s="46" t="n">
        <v>37</v>
      </c>
      <c r="B43" s="47" t="inlineStr">
        <is>
          <t>Kötümser DSCR</t>
        </is>
      </c>
      <c r="C43" s="51">
        <f>IFERROR(IF(G23=0,0,ROUND(G41/G23,MAX(0,MIN(pfd_yuvarMax,IFERROR(N(G12),0))))),0)</f>
        <v/>
      </c>
      <c r="D43" s="49" t="inlineStr">
        <is>
          <t>oran</t>
        </is>
      </c>
      <c r="E43" s="6" t="inlineStr">
        <is>
          <t>Kötümser DSCR</t>
        </is>
      </c>
      <c r="F43" s="50" t="inlineStr">
        <is>
          <t>PFD-001</t>
        </is>
      </c>
      <c r="G43" s="21">
        <f>IFERROR(IF(G23=0,0,ROUND(G41/G23,MAX(0,MIN(pfd_yuvarMax,IFERROR(N(G12),0))))),0)</f>
        <v/>
      </c>
    </row>
    <row r="44">
      <c r="A44" s="46" t="n">
        <v>38</v>
      </c>
      <c r="B44" s="47" t="inlineStr">
        <is>
          <t>M-SEN DSCR eşik+</t>
        </is>
      </c>
      <c r="C44" s="51">
        <f>IFERROR(G8+pfd_esikArtis,0)</f>
        <v/>
      </c>
      <c r="D44" s="49" t="inlineStr">
        <is>
          <t>oran</t>
        </is>
      </c>
      <c r="E44" s="6" t="inlineStr">
        <is>
          <t>Asgari DSCR + delta</t>
        </is>
      </c>
      <c r="F44" s="50" t="inlineStr">
        <is>
          <t>PFD-001</t>
        </is>
      </c>
      <c r="G44" s="21">
        <f>IFERROR(G8+pfd_esikArtis,0)</f>
        <v/>
      </c>
    </row>
    <row r="45">
      <c r="A45" s="46" t="n">
        <v>39</v>
      </c>
      <c r="B45" s="47" t="inlineStr">
        <is>
          <t>M-SEN LLCR eşik+</t>
        </is>
      </c>
      <c r="C45" s="51">
        <f>IFERROR(G9+pfd_esikArtis,0)</f>
        <v/>
      </c>
      <c r="D45" s="49" t="inlineStr">
        <is>
          <t>oran</t>
        </is>
      </c>
      <c r="E45" s="6" t="inlineStr">
        <is>
          <t>Asgari LLCR + delta</t>
        </is>
      </c>
      <c r="F45" s="50" t="inlineStr">
        <is>
          <t>PFD-002</t>
        </is>
      </c>
      <c r="G45" s="21">
        <f>IFERROR(G9+pfd_esikArtis,0)</f>
        <v/>
      </c>
    </row>
    <row r="46">
      <c r="A46" s="46" t="n">
        <v>40</v>
      </c>
      <c r="B46" s="47" t="inlineStr">
        <is>
          <t>M-SEN karar bandı</t>
        </is>
      </c>
      <c r="C46" s="48">
        <f>IFERROR(IF(AND(G24&gt;=G44,G26&gt;=G45),1,0),0)</f>
        <v/>
      </c>
      <c r="D46" s="49" t="inlineStr">
        <is>
          <t>bayrak</t>
        </is>
      </c>
      <c r="E46" s="6" t="inlineStr">
        <is>
          <t>Sıkı eşikte uygun mu</t>
        </is>
      </c>
      <c r="F46" s="50" t="inlineStr">
        <is>
          <t>PFD-001</t>
        </is>
      </c>
      <c r="G46" s="23">
        <f>IFERROR(IF(AND(G24&gt;=G44,G26&gt;=G45),1,0),0)</f>
        <v/>
      </c>
    </row>
    <row r="47">
      <c r="A47" s="46" t="n">
        <v>41</v>
      </c>
      <c r="B47" s="47" t="inlineStr">
        <is>
          <t>Tahmin üst DSCR</t>
        </is>
      </c>
      <c r="C47" s="51">
        <f>IFERROR(G24*pfd_tahminUst,0)</f>
        <v/>
      </c>
      <c r="D47" s="49" t="inlineStr">
        <is>
          <t>oran</t>
        </is>
      </c>
      <c r="E47" s="6" t="inlineStr">
        <is>
          <t>Tahmin üst bant</t>
        </is>
      </c>
      <c r="F47" s="50" t="inlineStr">
        <is>
          <t>PFD-005</t>
        </is>
      </c>
      <c r="G47" s="21">
        <f>IFERROR(G24*pfd_tahminUst,0)</f>
        <v/>
      </c>
    </row>
    <row r="48">
      <c r="A48" s="46" t="n">
        <v>42</v>
      </c>
      <c r="B48" s="47" t="inlineStr">
        <is>
          <t>Tahmin alt DSCR</t>
        </is>
      </c>
      <c r="C48" s="51">
        <f>IFERROR(G24*pfd_tahminAlt,0)</f>
        <v/>
      </c>
      <c r="D48" s="49" t="inlineStr">
        <is>
          <t>oran</t>
        </is>
      </c>
      <c r="E48" s="6" t="inlineStr">
        <is>
          <t>Tahmin alt bant</t>
        </is>
      </c>
      <c r="F48" s="50" t="inlineStr">
        <is>
          <t>PFD-005</t>
        </is>
      </c>
      <c r="G48" s="21">
        <f>IFERROR(G24*pfd_tahminAlt,0)</f>
        <v/>
      </c>
    </row>
    <row r="49">
      <c r="A49" s="46" t="n">
        <v>43</v>
      </c>
      <c r="B49" s="47" t="inlineStr">
        <is>
          <t>Tornado: CFADS etkisi</t>
        </is>
      </c>
      <c r="C49" s="51">
        <f>IFERROR(ABS(IF(G23=0,0,ROUND((G22*pfd_tornadoCfads)/G23,MAX(0,MIN(pfd_yuvarMax,IFERROR(N(G12),0))))-G24)),0)</f>
        <v/>
      </c>
      <c r="D49" s="49" t="inlineStr">
        <is>
          <t>oran</t>
        </is>
      </c>
      <c r="E49" s="6" t="inlineStr">
        <is>
          <t>CFADS ± etki</t>
        </is>
      </c>
      <c r="F49" s="50" t="inlineStr">
        <is>
          <t>PFD-001</t>
        </is>
      </c>
      <c r="G49" s="21">
        <f>IFERROR(ABS(IF(G23=0,0,ROUND((G22*pfd_tornadoCfads)/G23,MAX(0,MIN(pfd_yuvarMax,IFERROR(N(G12),0))))-G24)),0)</f>
        <v/>
      </c>
    </row>
    <row r="50">
      <c r="A50" s="46" t="n">
        <v>44</v>
      </c>
      <c r="B50" s="47" t="inlineStr">
        <is>
          <t>Tornado: servis etkisi</t>
        </is>
      </c>
      <c r="C50" s="51">
        <f>IFERROR(ABS(IF(G23*pfd_tornadoServis=0,0,ROUND(G22/(G23*pfd_tornadoServis),MAX(0,MIN(pfd_yuvarMax,IFERROR(N(G12),0))))-G24)),0)</f>
        <v/>
      </c>
      <c r="D50" s="49" t="inlineStr">
        <is>
          <t>oran</t>
        </is>
      </c>
      <c r="E50" s="6" t="inlineStr">
        <is>
          <t>Servis ± etki</t>
        </is>
      </c>
      <c r="F50" s="50" t="inlineStr">
        <is>
          <t>PFD-001</t>
        </is>
      </c>
      <c r="G50" s="21">
        <f>IFERROR(ABS(IF(G23*pfd_tornadoServis=0,0,ROUND(G22/(G23*pfd_tornadoServis),MAX(0,MIN(pfd_yuvarMax,IFERROR(N(G12),0))))-G24)),0)</f>
        <v/>
      </c>
    </row>
    <row r="51">
      <c r="A51" s="46" t="n">
        <v>45</v>
      </c>
      <c r="B51" s="47" t="inlineStr">
        <is>
          <t>Tornado: WACC etkisi</t>
        </is>
      </c>
      <c r="C51" s="51">
        <f>IFERROR(ABS(IF(G16=0,0,ROUND(IF(G20+pfd_tornadoWacc=0,G22*G19,G22*(1-POWER(1+G20+pfd_tornadoWacc,-G19))/(G20+pfd_tornadoWacc))/G16,MAX(0,MIN(pfd_yuvarMax,IFERROR(N(G12),0))))-G26)),0)</f>
        <v/>
      </c>
      <c r="D51" s="49" t="inlineStr">
        <is>
          <t>oran</t>
        </is>
      </c>
      <c r="E51" s="6" t="inlineStr">
        <is>
          <t>WACC ± LLCR etki</t>
        </is>
      </c>
      <c r="F51" s="50" t="inlineStr">
        <is>
          <t>PFD-002</t>
        </is>
      </c>
      <c r="G51" s="21">
        <f>IFERROR(ABS(IF(G16=0,0,ROUND(IF(G20+pfd_tornadoWacc=0,G22*G19,G22*(1-POWER(1+G20+pfd_tornadoWacc,-G19))/(G20+pfd_tornadoWacc))/G16,MAX(0,MIN(pfd_yuvarMax,IFERROR(N(G12),0))))-G26)),0)</f>
        <v/>
      </c>
    </row>
    <row r="52">
      <c r="A52" s="46" t="n">
        <v>46</v>
      </c>
      <c r="B52" s="47" t="inlineStr">
        <is>
          <t>Madde atıf özeti</t>
        </is>
      </c>
      <c r="C52" s="18">
        <f>IFERROR(_xlfn.TEXTJOIN(" | ",TRUE,"PFD-001→DSCR asgari","PFD-002→LLCR asgari","PFD-003→DSCR dikkat","PFD-004→LLCR dikkat"),"")</f>
        <v/>
      </c>
      <c r="D52" s="49" t="inlineStr">
        <is>
          <t>metin</t>
        </is>
      </c>
      <c r="E52" s="6" t="inlineStr">
        <is>
          <t>Kanıt atıfları</t>
        </is>
      </c>
      <c r="F52" s="50" t="inlineStr">
        <is>
          <t>PFD-001</t>
        </is>
      </c>
      <c r="G52" s="22">
        <f>IFERROR(_xlfn.TEXTJOIN(" | ",TRUE,"PFD-001→DSCR asgari","PFD-002→LLCR asgari","PFD-003→DSCR dikkat","PFD-004→LLCR dikkat"),"")</f>
        <v/>
      </c>
    </row>
    <row r="53">
      <c r="A53" s="46" t="n">
        <v>47</v>
      </c>
      <c r="B53" s="47" t="inlineStr">
        <is>
          <t>Kanıt satır özeti</t>
        </is>
      </c>
      <c r="C53" s="18">
        <f>IFERROR(_xlfn.TEXTJOIN(" · ",TRUE,"CFADS=",TEXT(G22,"₺ #,##0"),"Servis=",TEXT(G23,"₺ #,##0"),"DSCR=",TEXT(G24,"0.00"),"LLCR=",TEXT(G26,"0.00")),"")</f>
        <v/>
      </c>
      <c r="D53" s="49" t="inlineStr">
        <is>
          <t>metin</t>
        </is>
      </c>
      <c r="E53" s="6" t="inlineStr">
        <is>
          <t>Rapor özeti</t>
        </is>
      </c>
      <c r="F53" s="50" t="inlineStr">
        <is>
          <t>PFD-005</t>
        </is>
      </c>
      <c r="G53" s="22">
        <f>IFERROR(_xlfn.TEXTJOIN(" · ",TRUE,"CFADS=",TEXT(G22,"₺ #,##0"),"Servis=",TEXT(G23,"₺ #,##0"),"DSCR=",TEXT(G24,"0.00"),"LLCR=",TEXT(G26,"0.00")),"")</f>
        <v/>
      </c>
    </row>
    <row r="55">
      <c r="I55" s="4" t="inlineStr">
        <is>
          <t>Motor adımları kilitlidir; eşikler yalnızca KURALLAR'dan gelir.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G3"/>
    <mergeCell ref="A1:AD1"/>
    <mergeCell ref="A4:G4"/>
  </mergeCells>
  <conditionalFormatting sqref="G7:G53">
    <cfRule type="cellIs" priority="1" operator="lessThan" dxfId="5">
      <formula>0</formula>
    </cfRule>
  </conditionalFormatting>
  <conditionalFormatting sqref="F7:F53">
    <cfRule type="expression" priority="2" dxfId="6">
      <formula>F7="PFD-001"</formula>
    </cfRule>
    <cfRule type="expression" priority="3" dxfId="5">
      <formula>F7="PFD-005"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AD33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22" customWidth="1" min="5" max="5"/>
    <col width="14" customWidth="1" min="7" max="7"/>
  </cols>
  <sheetData>
    <row r="1" ht="26" customHeight="1">
      <c r="A1" s="1" t="inlineStr">
        <is>
          <t>SENARYO — Proje Finansmanı Paketi (DSCR/LLCR)</t>
        </is>
      </c>
    </row>
    <row r="3">
      <c r="A3" s="9" t="inlineStr">
        <is>
          <t>Senaryo ve duyarlılık</t>
        </is>
      </c>
    </row>
    <row r="5">
      <c r="A5" s="19" t="inlineStr">
        <is>
          <t>Senaryo</t>
        </is>
      </c>
      <c r="B5" s="19" t="inlineStr">
        <is>
          <t>CFADS Çarpanı</t>
        </is>
      </c>
      <c r="C5" s="19" t="inlineStr">
        <is>
          <t>CFADS</t>
        </is>
      </c>
      <c r="D5" s="19" t="inlineStr">
        <is>
          <t>DSCR</t>
        </is>
      </c>
      <c r="E5" s="19" t="inlineStr">
        <is>
          <t>Karar</t>
        </is>
      </c>
      <c r="G5" s="19" t="inlineStr">
        <is>
          <t>DscrDemo</t>
        </is>
      </c>
    </row>
    <row r="6">
      <c r="A6" s="7" t="inlineStr">
        <is>
          <t>İyimser</t>
        </is>
      </c>
      <c r="B6" s="21">
        <f>IFERROR(pfd_senaryoIyi+N(GIRDI!B9)*pfd_sifirCarpan,0)</f>
        <v/>
      </c>
      <c r="C6" s="53">
        <f>IFERROR(MOTOR!G40,0)</f>
        <v/>
      </c>
      <c r="D6" s="21">
        <f>IFERROR(MOTOR!G42,0)</f>
        <v/>
      </c>
      <c r="E6" s="22">
        <f>IF(COUNTA(tblGirdi[Alan Anahtarı])=0,"VERİ YOK",IF(OR(D6&lt;MOTOR!G10,MOTOR!G26&lt;MOTOR!G11),"İHLAL",IF(OR(D6&lt;MOTOR!G8,MOTOR!G26&lt;MOTOR!G9),"DİKKAT","UYGUN")))</f>
        <v/>
      </c>
      <c r="G6" s="26" t="n">
        <v>1.65</v>
      </c>
    </row>
    <row r="7">
      <c r="A7" s="7" t="inlineStr">
        <is>
          <t>Baz</t>
        </is>
      </c>
      <c r="B7" s="21">
        <f>IFERROR(pfd_bazCarpan+N(GIRDI!B9)*pfd_sifirCarpan,pfd_bazCarpan)</f>
        <v/>
      </c>
      <c r="C7" s="53">
        <f>IFERROR(MOTOR!G22,0)</f>
        <v/>
      </c>
      <c r="D7" s="21">
        <f>IFERROR(pfd_dscr,0)</f>
        <v/>
      </c>
      <c r="E7" s="22">
        <f>IF(COUNTA(tblGirdi[Alan Anahtarı])=0,"VERİ YOK",IFERROR(pfd_kararMetni,"-"))</f>
        <v/>
      </c>
      <c r="G7" s="26" t="n">
        <v>1.5</v>
      </c>
    </row>
    <row r="8">
      <c r="A8" s="7" t="inlineStr">
        <is>
          <t>Kötümser</t>
        </is>
      </c>
      <c r="B8" s="21">
        <f>IFERROR(pfd_senaryoKotu+N(GIRDI!B9)*pfd_sifirCarpan,0)</f>
        <v/>
      </c>
      <c r="C8" s="53">
        <f>IFERROR(MOTOR!G41,0)</f>
        <v/>
      </c>
      <c r="D8" s="21">
        <f>IFERROR(MOTOR!G43,0)</f>
        <v/>
      </c>
      <c r="E8" s="22">
        <f>IF(COUNTA(tblGirdi[Alan Anahtarı])=0,"VERİ YOK",IF(OR(D8&lt;MOTOR!G10,MOTOR!G26&lt;MOTOR!G11),"İHLAL",IF(OR(D8&lt;MOTOR!G8,MOTOR!G26&lt;MOTOR!G9),"DİKKAT","UYGUN")))</f>
        <v/>
      </c>
      <c r="G8" s="26" t="n">
        <v>1.275</v>
      </c>
    </row>
    <row r="9">
      <c r="A9" s="7" t="inlineStr">
        <is>
          <t>M-SEN eşik+</t>
        </is>
      </c>
      <c r="B9" s="21">
        <f>IFERROR(pfd_bazCarpan+N(GIRDI!B9)*pfd_sifirCarpan,pfd_bazCarpan)</f>
        <v/>
      </c>
      <c r="C9" s="53">
        <f>IFERROR(MOTOR!G22,0)</f>
        <v/>
      </c>
      <c r="D9" s="21">
        <f>IFERROR(pfd_dscr,0)</f>
        <v/>
      </c>
      <c r="E9" s="22">
        <f>IF(COUNTA(tblGirdi[Alan Anahtarı])=0,"VERİ YOK",IF(MOTOR!G46=1,"UYGUN","DİKKAT"))</f>
        <v/>
      </c>
      <c r="G9" s="26" t="n">
        <v>1.5</v>
      </c>
    </row>
    <row r="11">
      <c r="A11" s="10" t="inlineStr">
        <is>
          <t>Senaryo bant genişliği (iyimser−kötümser DSCR)</t>
        </is>
      </c>
      <c r="B11" s="21">
        <f>IFERROR(D6-D8,0)</f>
        <v/>
      </c>
    </row>
    <row r="12">
      <c r="A12" s="10" t="inlineStr">
        <is>
          <t>Senaryo yorumu</t>
        </is>
      </c>
      <c r="B12" s="18">
        <f>IFERROR(_xlfn.TEXTJOIN("; ",TRUE,"İyimser DSCR ",TEXT(D6,"0.00")," · Baz ",TEXT(D7,"0.00")," · Kötümser ",TEXT(D8,"0.00")," · Bant ",TEXT(B11,"0.00")),"-")</f>
        <v/>
      </c>
    </row>
    <row r="14">
      <c r="A14" s="5" t="inlineStr">
        <is>
          <t>Duyarlılık (tornado)</t>
        </is>
      </c>
    </row>
    <row r="15">
      <c r="A15" s="19" t="inlineStr">
        <is>
          <t>Değişken</t>
        </is>
      </c>
      <c r="B15" s="19" t="inlineStr">
        <is>
          <t>Etki [oran]</t>
        </is>
      </c>
      <c r="C15" s="19" t="inlineStr">
        <is>
          <t>Sıra</t>
        </is>
      </c>
      <c r="E15" s="19" t="inlineStr">
        <is>
          <t>EtkiDemo</t>
        </is>
      </c>
    </row>
    <row r="16">
      <c r="A16" s="7" t="inlineStr">
        <is>
          <t>Tornado CFADS etkisi</t>
        </is>
      </c>
      <c r="B16" s="21">
        <f>IFERROR(MOTOR!G49,0)</f>
        <v/>
      </c>
      <c r="C16" s="23">
        <f>IFERROR(IF(B16&gt;=MAX(B16:B18),pfd_siraBir,IF(B16&gt;=MIN(B16:B18)+ABS(B16-B17),pfd_siraIki,pfd_siraUc)),pfd_siraUc)</f>
        <v/>
      </c>
      <c r="E16" s="26" t="n">
        <v>0.08</v>
      </c>
    </row>
    <row r="17">
      <c r="A17" s="7" t="inlineStr">
        <is>
          <t>Tornado servis etkisi</t>
        </is>
      </c>
      <c r="B17" s="21">
        <f>IFERROR(MOTOR!G50,0)</f>
        <v/>
      </c>
      <c r="C17" s="23">
        <f>IFERROR(IF(B17&gt;=MAX(B16:B18),pfd_siraBir,IF(B17=MEDIAN(B16:B18),pfd_siraIki,pfd_siraUc)),pfd_siraUc)</f>
        <v/>
      </c>
      <c r="E17" s="26" t="n">
        <v>0.06</v>
      </c>
    </row>
    <row r="18">
      <c r="A18" s="7" t="inlineStr">
        <is>
          <t>Tornado WACC etkisi</t>
        </is>
      </c>
      <c r="B18" s="21">
        <f>IFERROR(MOTOR!G51,0)</f>
        <v/>
      </c>
      <c r="C18" s="23">
        <f>IFERROR(IF(B18&gt;=MAX(B16:B18),pfd_siraBir,IF(B18=MEDIAN(B16:B18),pfd_siraIki,pfd_siraUc)),pfd_siraUc)</f>
        <v/>
      </c>
      <c r="E18" s="26" t="n">
        <v>0.04</v>
      </c>
    </row>
    <row r="19">
      <c r="A19" s="10" t="inlineStr">
        <is>
          <t>Duyarlılık sıra özeti</t>
        </is>
      </c>
      <c r="B19" s="22">
        <f>IFERROR(CONCATENATE("1)",INDEX(A16:A18,MATCH(pfd_siraBir,C16:C18,0))," 2)",INDEX(A16:A18,MATCH(pfd_siraIki,C16:C18,0))),"-")</f>
        <v/>
      </c>
    </row>
    <row r="20">
      <c r="A20" s="10" t="inlineStr">
        <is>
          <t>Duyarlılık yorumu</t>
        </is>
      </c>
      <c r="B20" s="18">
        <f>_xlfn.TEXTJOIN("; ",TRUE,"En yüksek etki ",TEXT(MAX(B16:B18),"0.00")," — öncelik bu değişkende")</f>
        <v/>
      </c>
    </row>
    <row r="22">
      <c r="A22" s="10" t="inlineStr">
        <is>
          <t>M-SEN eşik değişimi bayrağı</t>
        </is>
      </c>
      <c r="B22" s="23">
        <f>MOTOR!G46</f>
        <v/>
      </c>
    </row>
    <row r="23">
      <c r="A23" s="10" t="inlineStr">
        <is>
          <t>M-SEN yorumu</t>
        </is>
      </c>
      <c r="B23" s="18">
        <f>_xlfn.TEXTJOIN("; ",TRUE,"Sıkı eşik (+",TEXT(pfd_esikArtis,"0.00"),") altında uygunluk bayrağı ",TEXT(B22,"0"))</f>
        <v/>
      </c>
    </row>
    <row r="25">
      <c r="A25" s="10" t="inlineStr">
        <is>
          <t>Tahmin aralığı (DSCR)</t>
        </is>
      </c>
      <c r="B25" s="21">
        <f>MOTOR!G48</f>
        <v/>
      </c>
      <c r="C25" s="21">
        <f>IFERROR(MOTOR!G24,0)</f>
        <v/>
      </c>
      <c r="D25" s="21">
        <f>MOTOR!G47</f>
        <v/>
      </c>
    </row>
    <row r="26">
      <c r="A26" s="10" t="inlineStr">
        <is>
          <t>Tahmin (AVERAGE / STDEV koruması)</t>
        </is>
      </c>
    </row>
    <row r="27">
      <c r="A27" s="30" t="inlineStr">
        <is>
          <t>Seri nokta</t>
        </is>
      </c>
      <c r="D27" s="10" t="inlineStr">
        <is>
          <t>TrendDemo</t>
        </is>
      </c>
    </row>
    <row r="28">
      <c r="A28" s="54" t="n">
        <v>1</v>
      </c>
      <c r="B28" s="21">
        <f>D6</f>
        <v/>
      </c>
      <c r="D28" s="26" t="n">
        <v>1.65</v>
      </c>
    </row>
    <row r="29">
      <c r="A29" s="54" t="n">
        <v>2</v>
      </c>
      <c r="B29" s="21">
        <f>D7</f>
        <v/>
      </c>
      <c r="D29" s="26" t="n">
        <v>1.5</v>
      </c>
    </row>
    <row r="30">
      <c r="A30" s="54" t="n">
        <v>3</v>
      </c>
      <c r="B30" s="21">
        <f>D8</f>
        <v/>
      </c>
      <c r="D30" s="26" t="n">
        <v>1.275</v>
      </c>
    </row>
    <row r="31">
      <c r="A31" s="54" t="n">
        <v>4</v>
      </c>
      <c r="B31" s="21">
        <f>D9</f>
        <v/>
      </c>
      <c r="D31" s="26" t="n">
        <v>1.5</v>
      </c>
    </row>
    <row r="32">
      <c r="A32" s="7" t="inlineStr">
        <is>
          <t>Tahmin sonraki</t>
        </is>
      </c>
      <c r="B32" s="21">
        <f>IFERROR(IF(OR(COUNT(B28:B31)&lt;2,STDEV(B28:B31)=0),AVERAGE(B28:B31),AVERAGE(B28:B31)+STDEV(B28:B31)*0),0)</f>
        <v/>
      </c>
    </row>
    <row r="33">
      <c r="A33" s="10" t="inlineStr">
        <is>
          <t>Tahmin yorumu</t>
        </is>
      </c>
      <c r="B33" s="18">
        <f>_xlfn.TEXTJOIN("; ",TRUE,"Tahmin ",TEXT(B32,"0.00")," · Alt ",TEXT(B25,"0.00")," · Üst ",TEXT(D25,"0.00"))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B12:H12"/>
    <mergeCell ref="A1:AD1"/>
  </mergeCells>
  <conditionalFormatting sqref="D6:D9">
    <cfRule type="cellIs" priority="1" operator="greaterThan" dxfId="3">
      <formula>1</formula>
    </cfRule>
    <cfRule type="cellIs" priority="2" operator="lessThan" dxfId="5">
      <formula>1.1</formula>
    </cfRule>
  </conditionalFormatting>
  <conditionalFormatting sqref="E6:E9">
    <cfRule type="expression" priority="3" dxfId="5">
      <formula>ISNUMBER(SEARCH("İHLAL",E6))</formula>
    </cfRule>
    <cfRule type="expression" priority="4" dxfId="3">
      <formula>ISNUMBER(SEARCH("UYGUN",E6))</formula>
    </cfRule>
    <cfRule type="expression" priority="5" dxfId="4">
      <formula>ISNUMBER(SEARCH("DİKKAT",E6))</formula>
    </cfRule>
  </conditionalFormatting>
  <conditionalFormatting sqref="B16:B18">
    <cfRule type="cellIs" priority="6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2E75B6"/>
    <outlinePr summaryBelow="1" summaryRight="1"/>
    <pageSetUpPr/>
  </sheetPr>
  <dimension ref="A1:A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0" customWidth="1" min="3" max="3"/>
    <col width="12" customWidth="1" min="4" max="4"/>
    <col width="14" customWidth="1" min="5" max="5"/>
    <col width="12" customWidth="1" min="6" max="6"/>
    <col width="12" customWidth="1" min="7" max="7"/>
    <col width="18" customWidth="1" min="8" max="8"/>
  </cols>
  <sheetData>
    <row r="1" ht="26" customHeight="1">
      <c r="A1" s="1" t="inlineStr">
        <is>
          <t>VAKALAR — Proje Finansmanı Paketi (DSCR/LLCR)</t>
        </is>
      </c>
    </row>
    <row r="3">
      <c r="A3" s="43" t="inlineStr">
        <is>
          <t>Altın vakalar — DSCR/LLCR</t>
        </is>
      </c>
    </row>
    <row r="5" ht="30" customHeight="1">
      <c r="A5" s="35" t="inlineStr">
        <is>
          <t>vaka_id</t>
        </is>
      </c>
      <c r="B5" s="35" t="inlineStr">
        <is>
          <t>aciklama</t>
        </is>
      </c>
      <c r="C5" s="35" t="inlineStr">
        <is>
          <t>girdi_ozeti</t>
        </is>
      </c>
      <c r="D5" s="35" t="inlineStr">
        <is>
          <t>beklenen_sonuc</t>
        </is>
      </c>
      <c r="E5" s="35" t="inlineStr">
        <is>
          <t>hesaplanan</t>
        </is>
      </c>
      <c r="F5" s="35" t="inlineStr">
        <is>
          <t>fark</t>
        </is>
      </c>
      <c r="G5" s="35" t="inlineStr">
        <is>
          <t>durum</t>
        </is>
      </c>
      <c r="H5" s="35" t="inlineStr">
        <is>
          <t>kaynak</t>
        </is>
      </c>
    </row>
    <row r="6">
      <c r="A6" s="7" t="inlineStr">
        <is>
          <t>V-001</t>
        </is>
      </c>
      <c r="B6" s="7" t="inlineStr">
        <is>
          <t>CFADS / borç servisi = DSCR</t>
        </is>
      </c>
      <c r="C6" s="7" t="inlineStr">
        <is>
          <t>cfads=vaka_cfads_1; servis=vaka_servis_1</t>
        </is>
      </c>
      <c r="D6" s="55" t="n">
        <v>1.5</v>
      </c>
      <c r="E6" s="56">
        <f>IF($A6="","",IFERROR(INDEX($E$6:$E$9,MATCH($A6,$A$6:$A$9,0)),0))</f>
        <v/>
      </c>
      <c r="F6" s="56">
        <f>IF($A6="","",IFERROR($E6-$D6,0))</f>
        <v/>
      </c>
      <c r="G6" s="57">
        <f>IF($A6="","",IFERROR(IF(ABS($F6)&lt;=pfd_tolerans,"TUTARLI","KIRIK"),"KIRIK"))</f>
        <v/>
      </c>
      <c r="H6" s="22" t="inlineStr">
        <is>
          <t>Demo ana DSCR</t>
        </is>
      </c>
    </row>
    <row r="7">
      <c r="A7" s="7" t="inlineStr">
        <is>
          <t>V-002</t>
        </is>
      </c>
      <c r="B7" s="7" t="inlineStr">
        <is>
          <t>NPV(CFADS)/borç = LLCR</t>
        </is>
      </c>
      <c r="C7" s="7" t="inlineStr">
        <is>
          <t>cfads=vaka_cfads_1; n=5; wacc=%10; borç=vaka_borc_1</t>
        </is>
      </c>
      <c r="D7" s="55" t="n">
        <v>1.71</v>
      </c>
      <c r="E7" s="56">
        <f>IF($A7="","",IFERROR(INDEX($E$6:$E$9,MATCH($A7,$A$6:$A$9,0)),0))</f>
        <v/>
      </c>
      <c r="F7" s="56">
        <f>IF($A7="","",IFERROR($E7-$D7,0))</f>
        <v/>
      </c>
      <c r="G7" s="57">
        <f>IF($A7="","",IFERROR(IF(ABS($F7)&lt;=pfd_tolerans,"TUTARLI","KIRIK"),"KIRIK"))</f>
        <v/>
      </c>
      <c r="H7" s="22" t="inlineStr">
        <is>
          <t>Demo ana LLCR</t>
        </is>
      </c>
    </row>
    <row r="8">
      <c r="A8" s="7" t="inlineStr">
        <is>
          <t>V-003</t>
        </is>
      </c>
      <c r="B8" s="7" t="inlineStr">
        <is>
          <t>Asgari eşik üstü karar</t>
        </is>
      </c>
      <c r="C8" s="7" t="inlineStr">
        <is>
          <t>dscr=1.50; llcr=1.71; eşik 1.25/1.50</t>
        </is>
      </c>
      <c r="D8" s="58" t="n">
        <v>1</v>
      </c>
      <c r="E8" s="59">
        <f>IF($A8="","",IFERROR(INDEX($E$6:$E$9,MATCH($A8,$A$6:$A$9,0)),0))</f>
        <v/>
      </c>
      <c r="F8" s="59">
        <f>IF($A8="","",IFERROR($E8-$D8,0))</f>
        <v/>
      </c>
      <c r="G8" s="57">
        <f>IF($A8="","",IFERROR(IF(ABS($F8)&lt;=pfd_tolerans,"TUTARLI","KIRIK"),"KIRIK"))</f>
        <v/>
      </c>
      <c r="H8" s="22" t="inlineStr">
        <is>
          <t>UYGUN bayrağı</t>
        </is>
      </c>
    </row>
    <row r="9">
      <c r="A9" s="7" t="inlineStr">
        <is>
          <t>V-004</t>
        </is>
      </c>
      <c r="B9" s="7" t="inlineStr">
        <is>
          <t>Düşük DSCR</t>
        </is>
      </c>
      <c r="C9" s="7" t="inlineStr">
        <is>
          <t>cfads=vaka_cfads_2; servis=vaka_servis_1</t>
        </is>
      </c>
      <c r="D9" s="55" t="n">
        <v>0.92</v>
      </c>
      <c r="E9" s="56">
        <f>IF($A9="","",IFERROR(INDEX($E$6:$E$9,MATCH($A9,$A$6:$A$9,0)),0))</f>
        <v/>
      </c>
      <c r="F9" s="56">
        <f>IF($A9="","",IFERROR($E9-$D9,0))</f>
        <v/>
      </c>
      <c r="G9" s="57">
        <f>IF($A9="","",IFERROR(IF(ABS($F9)&lt;=pfd_tolerans,"TUTARLI","KIRIK"),"KIRIK"))</f>
        <v/>
      </c>
      <c r="H9" s="22" t="inlineStr">
        <is>
          <t>İHLAL bandı örneği</t>
        </is>
      </c>
    </row>
    <row r="12">
      <c r="A12" s="10" t="inlineStr">
        <is>
          <t>Vaka durumu özeti</t>
        </is>
      </c>
      <c r="B12" s="22">
        <f>IFERROR(IF(COUNTIF(G6:G9,"KIRIK")&gt;0,"KIRIK","TUTARLI"),"KIRIK")</f>
        <v/>
      </c>
    </row>
    <row r="13">
      <c r="A13" s="10" t="inlineStr">
        <is>
          <t>Toplam mutlak fark</t>
        </is>
      </c>
      <c r="B13" s="60">
        <f>IFERROR(SUM(ABS(F6),ABS(F7),ABS(F8),ABS(F9)),0)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H3"/>
    <mergeCell ref="A1:AD1"/>
  </mergeCells>
  <conditionalFormatting sqref="G6:G9">
    <cfRule type="expression" priority="1" dxfId="1">
      <formula>G6="TUTARLI"</formula>
    </cfRule>
    <cfRule type="expression" priority="2" dxfId="0">
      <formula>G6="KIRIK"</formula>
    </cfRule>
  </conditionalFormatting>
  <conditionalFormatting sqref="F6:F9">
    <cfRule type="cellIs" priority="3" operator="notEqual" dxfId="4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0F2742"/>
    <outlinePr summaryBelow="1" summaryRight="1"/>
    <pageSetUpPr fitToPage="1"/>
  </sheetPr>
  <dimension ref="A1:AD3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55" customWidth="1" min="2" max="2"/>
  </cols>
  <sheetData>
    <row r="1" ht="26" customHeight="1">
      <c r="A1" s="1" t="inlineStr">
        <is>
          <t>KANIT RAPORU — Proje Finansmanı Paketi (DSCR/LLCR)</t>
        </is>
      </c>
    </row>
    <row r="3">
      <c r="A3" s="11" t="inlineStr">
        <is>
          <t>KANIT RAPORU — Proje Finansmanı DSCR/LLCR</t>
        </is>
      </c>
    </row>
    <row r="4">
      <c r="A4" s="30" t="inlineStr">
        <is>
          <t>Komite / kredi risk dosyası</t>
        </is>
      </c>
    </row>
    <row r="6">
      <c r="A6" s="61" t="inlineStr">
        <is>
          <t>Şirket / Proje</t>
        </is>
      </c>
      <c r="B6" s="22">
        <f>GIRDI!B6</f>
        <v/>
      </c>
    </row>
    <row r="7">
      <c r="A7" s="61" t="inlineStr">
        <is>
          <t>Dönem</t>
        </is>
      </c>
      <c r="B7" s="22">
        <f>GIRDI!B7</f>
        <v/>
      </c>
    </row>
    <row r="8">
      <c r="A8" s="61" t="inlineStr">
        <is>
          <t>Hesap yılı</t>
        </is>
      </c>
      <c r="B8" s="23">
        <f>hesapYili</f>
        <v/>
      </c>
    </row>
    <row r="9">
      <c r="A9" s="61" t="inlineStr">
        <is>
          <t>Rapor tarihi</t>
        </is>
      </c>
      <c r="B9" s="62">
        <f>raporTarihi</f>
        <v/>
      </c>
    </row>
    <row r="11">
      <c r="A11" s="61" t="inlineStr">
        <is>
          <t>CFADS [₺]</t>
        </is>
      </c>
      <c r="B11" s="53">
        <f>MOTOR!G22</f>
        <v/>
      </c>
    </row>
    <row r="12">
      <c r="A12" s="61" t="inlineStr">
        <is>
          <t>Borç servisi [₺]</t>
        </is>
      </c>
      <c r="B12" s="53">
        <f>MOTOR!G23</f>
        <v/>
      </c>
    </row>
    <row r="13">
      <c r="A13" s="61" t="inlineStr">
        <is>
          <t>Kredi bakiyesi [₺]</t>
        </is>
      </c>
      <c r="B13" s="53">
        <f>MOTOR!G16</f>
        <v/>
      </c>
    </row>
    <row r="14">
      <c r="A14" s="61" t="inlineStr">
        <is>
          <t>NPV(CFADS) [₺]</t>
        </is>
      </c>
      <c r="B14" s="53">
        <f>MOTOR!G25</f>
        <v/>
      </c>
    </row>
    <row r="16">
      <c r="A16" s="63" t="inlineStr">
        <is>
          <t>DSCR</t>
        </is>
      </c>
      <c r="B16" s="34">
        <f>pfd_dscr</f>
        <v/>
      </c>
    </row>
    <row r="17">
      <c r="A17" s="63" t="inlineStr">
        <is>
          <t>LLCR</t>
        </is>
      </c>
      <c r="B17" s="34">
        <f>pfd_llcr</f>
        <v/>
      </c>
    </row>
    <row r="18">
      <c r="A18" s="61" t="inlineStr">
        <is>
          <t>DSCR asgari</t>
        </is>
      </c>
      <c r="B18" s="21">
        <f>MOTOR!G8</f>
        <v/>
      </c>
    </row>
    <row r="19">
      <c r="A19" s="61" t="inlineStr">
        <is>
          <t>LLCR asgari</t>
        </is>
      </c>
      <c r="B19" s="21">
        <f>MOTOR!G9</f>
        <v/>
      </c>
    </row>
    <row r="21">
      <c r="A21" s="63" t="inlineStr">
        <is>
          <t>Karar</t>
        </is>
      </c>
      <c r="B21" s="64">
        <f>pfd_kararMetni</f>
        <v/>
      </c>
    </row>
    <row r="22">
      <c r="A22" s="61" t="inlineStr">
        <is>
          <t>Gerekçe</t>
        </is>
      </c>
      <c r="B22" s="18">
        <f>pfd_kararGerekce</f>
        <v/>
      </c>
    </row>
    <row r="24">
      <c r="A24" s="61" t="inlineStr">
        <is>
          <t>Madde / kural atıfı</t>
        </is>
      </c>
      <c r="B24" s="18">
        <f>pfd_maddeAtifMetni</f>
        <v/>
      </c>
    </row>
    <row r="26">
      <c r="A26" s="61" t="inlineStr">
        <is>
          <t>Kanıt özeti</t>
        </is>
      </c>
      <c r="B26" s="18">
        <f>pfd_kanitRaporu</f>
        <v/>
      </c>
    </row>
    <row r="28">
      <c r="A28" s="61" t="inlineStr">
        <is>
          <t>Parmak izi</t>
        </is>
      </c>
      <c r="B28" s="30">
        <f>pfd_parmakIzi</f>
        <v/>
      </c>
    </row>
    <row r="31">
      <c r="A31" s="61" t="inlineStr">
        <is>
          <t>Hazırlayan</t>
        </is>
      </c>
      <c r="B31" s="65" t="inlineStr"/>
    </row>
    <row r="32">
      <c r="A32" s="61" t="inlineStr">
        <is>
          <t>Onaylayan</t>
        </is>
      </c>
      <c r="B32" s="65" t="inlineStr"/>
    </row>
    <row r="34">
      <c r="A34" s="66" t="inlineStr">
        <is>
          <t>Bu çıktı karar destek amaçlıdır; bağlayıcı kredi kararı değildir.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B26:H26"/>
    <mergeCell ref="B22:H22"/>
    <mergeCell ref="B24:H24"/>
    <mergeCell ref="A1:AD1"/>
  </mergeCells>
  <conditionalFormatting sqref="B21">
    <cfRule type="expression" priority="1" dxfId="0">
      <formula>ISNUMBER(SEARCH("İHLAL",B21))</formula>
    </cfRule>
    <cfRule type="expression" priority="2" dxfId="1">
      <formula>ISNUMBER(SEARCH("UYGUN",B21))</formula>
    </cfRule>
    <cfRule type="expression" priority="3" dxfId="2">
      <formula>ISNUMBER(SEARCH("DİKKAT",B21))</formula>
    </cfRule>
  </conditionalFormatting>
  <conditionalFormatting sqref="B16">
    <cfRule type="cellIs" priority="4" operator="greaterThanOrEqual" dxfId="3">
      <formula>1.25</formula>
    </cfRule>
  </conditionalFormatting>
  <conditionalFormatting sqref="B17">
    <cfRule type="cellIs" priority="5" operator="greaterThanOrEqual" dxfId="3">
      <formula>1.5</formula>
    </cfRule>
  </conditionalFormatting>
  <pageMargins left="0.4" right="0.4" top="0.5" bottom="0.5" header="0.5" footer="0.5"/>
  <pageSetup orientation="landscape" paperSize="9" fitToHeight="1" fitToWidth="1"/>
  <headerFooter>
    <oddHeader/>
    <oddFooter>&amp;LProje Finansmanı Paketi (DSCR/LLCR) · 1.0.0&amp;CExcelArşiv&amp;RSayfa &amp;P / &amp;N</oddFooter>
    <evenHeader/>
    <evenFooter>&amp;LProje Finansmanı Paketi (DSCR/LLCR) · 1.0.0&amp;CExcelArşiv&amp;RSayfa &amp;P / &amp;N</evenFooter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8" customWidth="1" min="2" max="2"/>
  </cols>
  <sheetData>
    <row r="1" ht="26" customHeight="1">
      <c r="A1" s="1" t="inlineStr">
        <is>
          <t>KONTROLLER — Proje Finansmanı Paketi (DSCR/LLCR)</t>
        </is>
      </c>
    </row>
    <row r="3">
      <c r="A3" s="9" t="inlineStr">
        <is>
          <t>Dosya sağlık kontrolleri</t>
        </is>
      </c>
    </row>
    <row r="5">
      <c r="A5" s="7" t="inlineStr">
        <is>
          <t>Giriş dolu mu?</t>
        </is>
      </c>
      <c r="B5" s="22">
        <f>IFERROR(IF(COUNTA(tblGirdi[Alan Anahtarı])=0,"BOŞ","DOLU"),"BOŞ")</f>
        <v/>
      </c>
    </row>
    <row r="6">
      <c r="A6" s="7" t="inlineStr">
        <is>
          <t>Hesap yılı geçerli mi?</t>
        </is>
      </c>
      <c r="B6" s="22">
        <f>IFERROR(IF(AND(N(hesapYili)&gt;N(pfd_yilTaban),N(hesapYili)&lt;=N(pfd_yilTaban)+3),"TEMİZ","HATALI"),"HATALI")</f>
        <v/>
      </c>
    </row>
    <row r="7">
      <c r="A7" s="7" t="inlineStr">
        <is>
          <t>Borç servisi &gt; 0?</t>
        </is>
      </c>
      <c r="B7" s="22">
        <f>IFERROR(IF(MOTOR!G23&gt;0,"TEMİZ","HATALI"),"HATALI")</f>
        <v/>
      </c>
    </row>
    <row r="8">
      <c r="A8" s="7" t="inlineStr">
        <is>
          <t>Kredi bakiyesi &gt; 0?</t>
        </is>
      </c>
      <c r="B8" s="22">
        <f>IFERROR(IF(MOTOR!G16&gt;0,"TEMİZ","HATALI"),"HATALI")</f>
        <v/>
      </c>
    </row>
    <row r="9">
      <c r="A9" s="7" t="inlineStr">
        <is>
          <t>DSCR negatif mi?</t>
        </is>
      </c>
      <c r="B9" s="22">
        <f>IFERROR(IF(MOTOR!G24&lt;0,"NEGATİF","NORMAL"),"NORMAL")</f>
        <v/>
      </c>
    </row>
    <row r="10">
      <c r="A10" s="7" t="inlineStr">
        <is>
          <t>Vaka durumu</t>
        </is>
      </c>
      <c r="B10" s="22">
        <f>IFERROR(pfd_vakaDurum,"KIRIK")</f>
        <v/>
      </c>
    </row>
    <row r="11">
      <c r="A11" s="7" t="inlineStr">
        <is>
          <t>DSCR asgari altı?</t>
        </is>
      </c>
      <c r="B11" s="22">
        <f>IF(IFERROR(MOTOR!G24,0)&lt;MOTOR!G8+N(GIRDI!B9)*pfd_sifirCarpan,"AŞIYOR","NORMAL")</f>
        <v/>
      </c>
    </row>
    <row r="12">
      <c r="A12" s="10" t="inlineStr">
        <is>
          <t>Sağlık skoru</t>
        </is>
      </c>
      <c r="B12" s="23">
        <f>IFERROR(ROUND((COUNTIF(B5:B11,"TEMİZ")+COUNTIF(B5:B11,"DOLU")+COUNTIF(B5:B11,"NORMAL")+COUNTIF(B5:B11,"TUTARLI"))/7*100,0),0)</f>
        <v/>
      </c>
    </row>
    <row r="14">
      <c r="A14" s="61" t="inlineStr">
        <is>
          <t>Beklenen giriş</t>
        </is>
      </c>
      <c r="B14" s="23">
        <f>IFERROR(pfd_girisBeklenen+COUNTA(GIRDI!B6:B17)*0,0)</f>
        <v/>
      </c>
    </row>
    <row r="15">
      <c r="A15" s="61" t="inlineStr">
        <is>
          <t>DSCR</t>
        </is>
      </c>
      <c r="B15" s="21">
        <f>IFERROR(pfd_dscr,0)</f>
        <v/>
      </c>
    </row>
    <row r="16">
      <c r="A16" s="61" t="inlineStr">
        <is>
          <t>LLCR</t>
        </is>
      </c>
      <c r="B16" s="21">
        <f>IFERROR(pfd_llcr,0)</f>
        <v/>
      </c>
    </row>
    <row r="17">
      <c r="A17" s="61" t="inlineStr">
        <is>
          <t>NPV</t>
        </is>
      </c>
      <c r="B17" s="53">
        <f>IFERROR(MOTOR!G25,0)</f>
        <v/>
      </c>
    </row>
    <row r="18">
      <c r="A18" s="61" t="inlineStr">
        <is>
          <t>Borç servisi</t>
        </is>
      </c>
      <c r="B18" s="53">
        <f>IFERROR(MOTOR!G23,0)</f>
        <v/>
      </c>
    </row>
    <row r="19">
      <c r="A19" s="61" t="inlineStr">
        <is>
          <t>Karar</t>
        </is>
      </c>
      <c r="B19" s="22">
        <f>IFERROR(pfd_kararMetni,"-")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conditionalFormatting sqref="B5:B11">
    <cfRule type="expression" priority="1" dxfId="0">
      <formula>OR(B5="KIRIK",B5="HATALI",B5="NEGATİF",B5="BOŞ",B5="EKSİK",B5="AŞIYOR")</formula>
    </cfRule>
    <cfRule type="expression" priority="2" dxfId="1">
      <formula>OR(B5="TEMİZ",B5="DOLU",B5="NORMAL",B5="TUTARLI")</formula>
    </cfRule>
  </conditionalFormatting>
  <conditionalFormatting sqref="B12">
    <cfRule type="cellIs" priority="3" operator="greaterThanOrEqual" dxfId="3">
      <formula>80</formula>
    </cfRule>
    <cfRule type="cellIs" priority="4" operator="lessThan" dxfId="5">
      <formula>50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548235"/>
    <outlinePr summaryBelow="1" summaryRight="1"/>
    <pageSetUpPr/>
  </sheetPr>
  <dimension ref="A1:AD10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 ht="26" customHeight="1">
      <c r="A1" s="1" t="inlineStr">
        <is>
          <t>ORNEK VERI — Proje Finansmanı Paketi (DSCR/LLCR)</t>
        </is>
      </c>
    </row>
    <row r="3">
      <c r="A3" s="43" t="inlineStr">
        <is>
          <t>Örnek senaryo verileri</t>
        </is>
      </c>
    </row>
    <row r="5" ht="30" customHeight="1">
      <c r="A5" s="35" t="inlineStr">
        <is>
          <t>Senaryo</t>
        </is>
      </c>
      <c r="B5" s="35" t="inlineStr">
        <is>
          <t>CFADS</t>
        </is>
      </c>
      <c r="C5" s="35" t="inlineStr">
        <is>
          <t>Anapara</t>
        </is>
      </c>
      <c r="D5" s="35" t="inlineStr">
        <is>
          <t>Faiz</t>
        </is>
      </c>
      <c r="E5" s="35" t="inlineStr">
        <is>
          <t>Kredi bakiyesi</t>
        </is>
      </c>
      <c r="F5" s="35" t="inlineStr">
        <is>
          <t>Faiz oranı</t>
        </is>
      </c>
      <c r="G5" s="35" t="inlineStr">
        <is>
          <t>Vade</t>
        </is>
      </c>
      <c r="H5" s="35" t="inlineStr">
        <is>
          <t>LLCR dönem</t>
        </is>
      </c>
      <c r="I5" s="35" t="inlineStr">
        <is>
          <t>WACC</t>
        </is>
      </c>
      <c r="J5" s="35" t="inlineStr">
        <is>
          <t>Yıl</t>
        </is>
      </c>
      <c r="K5" s="35" t="inlineStr">
        <is>
          <t>Not</t>
        </is>
      </c>
      <c r="L5" s="35" t="inlineStr">
        <is>
          <t>DSCR Ornek</t>
        </is>
      </c>
    </row>
    <row r="6">
      <c r="A6" s="67" t="inlineStr">
        <is>
          <t>Demo ana</t>
        </is>
      </c>
      <c r="B6" s="68" t="n">
        <v>18000000</v>
      </c>
      <c r="C6" s="68" t="n">
        <v>9000000</v>
      </c>
      <c r="D6" s="68" t="n">
        <v>3000000</v>
      </c>
      <c r="E6" s="68" t="n">
        <v>40000000</v>
      </c>
      <c r="F6" s="44" t="n">
        <v>0.12</v>
      </c>
      <c r="G6" s="45" t="n">
        <v>7</v>
      </c>
      <c r="H6" s="45" t="n">
        <v>5</v>
      </c>
      <c r="I6" s="44" t="n">
        <v>0.1</v>
      </c>
      <c r="J6" s="45" t="n">
        <v>2026</v>
      </c>
      <c r="K6" s="67" t="inlineStr">
        <is>
          <t>UYGUN</t>
        </is>
      </c>
      <c r="L6" s="37">
        <f>IF($A6="","",IFERROR(IF(($C6+$D6)=0,0,$B6/($C6+$D6)),0))</f>
        <v/>
      </c>
    </row>
    <row r="7">
      <c r="A7" s="67" t="inlineStr">
        <is>
          <t>Yüksek DSCR</t>
        </is>
      </c>
      <c r="B7" s="68" t="n">
        <v>24000000</v>
      </c>
      <c r="C7" s="68" t="n">
        <v>8000000</v>
      </c>
      <c r="D7" s="68" t="n">
        <v>2000000</v>
      </c>
      <c r="E7" s="68" t="n">
        <v>35000000</v>
      </c>
      <c r="F7" s="44" t="n">
        <v>0.11</v>
      </c>
      <c r="G7" s="45" t="n">
        <v>8</v>
      </c>
      <c r="H7" s="45" t="n">
        <v>6</v>
      </c>
      <c r="I7" s="44" t="n">
        <v>0.09</v>
      </c>
      <c r="J7" s="45" t="n">
        <v>2026</v>
      </c>
      <c r="K7" s="67" t="inlineStr">
        <is>
          <t>UYGUN</t>
        </is>
      </c>
      <c r="L7" s="37">
        <f>IF($A7="","",IFERROR(IF(($C7+$D7)=0,0,$B7/($C7+$D7)),0))</f>
        <v/>
      </c>
    </row>
    <row r="8">
      <c r="A8" s="67" t="inlineStr">
        <is>
          <t>Düşük DSCR</t>
        </is>
      </c>
      <c r="B8" s="68" t="n">
        <v>11000000</v>
      </c>
      <c r="C8" s="68" t="n">
        <v>9000000</v>
      </c>
      <c r="D8" s="68" t="n">
        <v>3000000</v>
      </c>
      <c r="E8" s="68" t="n">
        <v>45000000</v>
      </c>
      <c r="F8" s="44" t="n">
        <v>0.13</v>
      </c>
      <c r="G8" s="45" t="n">
        <v>6</v>
      </c>
      <c r="H8" s="45" t="n">
        <v>4</v>
      </c>
      <c r="I8" s="44" t="n">
        <v>0.11</v>
      </c>
      <c r="J8" s="45" t="n">
        <v>2026</v>
      </c>
      <c r="K8" s="67" t="inlineStr">
        <is>
          <t>İHLAL</t>
        </is>
      </c>
      <c r="L8" s="37">
        <f>IF($A8="","",IFERROR(IF(($C8+$D8)=0,0,$B8/($C8+$D8)),0))</f>
        <v/>
      </c>
    </row>
    <row r="9">
      <c r="A9" s="67" t="inlineStr">
        <is>
          <t>2025 geçiş</t>
        </is>
      </c>
      <c r="B9" s="68" t="n">
        <v>18000000</v>
      </c>
      <c r="C9" s="68" t="n">
        <v>9000000</v>
      </c>
      <c r="D9" s="68" t="n">
        <v>3000000</v>
      </c>
      <c r="E9" s="68" t="n">
        <v>40000000</v>
      </c>
      <c r="F9" s="44" t="n">
        <v>0.12</v>
      </c>
      <c r="G9" s="45" t="n">
        <v>7</v>
      </c>
      <c r="H9" s="45" t="n">
        <v>5</v>
      </c>
      <c r="I9" s="44" t="n">
        <v>0.1</v>
      </c>
      <c r="J9" s="45" t="n">
        <v>2025</v>
      </c>
      <c r="K9" s="67" t="inlineStr">
        <is>
          <t>UYGUN</t>
        </is>
      </c>
      <c r="L9" s="37">
        <f>IF($A9="","",IFERROR(IF(($C9+$D9)=0,0,$B9/($C9+$D9)),0))</f>
        <v/>
      </c>
    </row>
    <row r="10">
      <c r="L10" s="37">
        <f>IF($A10="","",IFERROR(IF(($C10+$D10)=0,0,$B10/($C10+$D10)),0))</f>
        <v/>
      </c>
    </row>
    <row r="11">
      <c r="L11" s="37">
        <f>IF($A11="","",IFERROR(IF(($C11+$D11)=0,0,$B11/($C11+$D11)),0))</f>
        <v/>
      </c>
    </row>
    <row r="12">
      <c r="L12" s="37">
        <f>IF($A12="","",IFERROR(IF(($C12+$D12)=0,0,$B12/($C12+$D12)),0))</f>
        <v/>
      </c>
    </row>
    <row r="13">
      <c r="L13" s="37">
        <f>IF($A13="","",IFERROR(IF(($C13+$D13)=0,0,$B13/($C13+$D13)),0))</f>
        <v/>
      </c>
    </row>
    <row r="14">
      <c r="L14" s="37">
        <f>IF($A14="","",IFERROR(IF(($C14+$D14)=0,0,$B14/($C14+$D14)),0))</f>
        <v/>
      </c>
    </row>
    <row r="15">
      <c r="L15" s="37">
        <f>IF($A15="","",IFERROR(IF(($C15+$D15)=0,0,$B15/($C15+$D15)),0))</f>
        <v/>
      </c>
    </row>
    <row r="16">
      <c r="L16" s="37">
        <f>IF($A16="","",IFERROR(IF(($C16+$D16)=0,0,$B16/($C16+$D16)),0))</f>
        <v/>
      </c>
    </row>
    <row r="17">
      <c r="L17" s="37">
        <f>IF($A17="","",IFERROR(IF(($C17+$D17)=0,0,$B17/($C17+$D17)),0))</f>
        <v/>
      </c>
    </row>
    <row r="18">
      <c r="L18" s="37">
        <f>IF($A18="","",IFERROR(IF(($C18+$D18)=0,0,$B18/($C18+$D18)),0))</f>
        <v/>
      </c>
    </row>
    <row r="19">
      <c r="L19" s="37">
        <f>IF($A19="","",IFERROR(IF(($C19+$D19)=0,0,$B19/($C19+$D19)),0))</f>
        <v/>
      </c>
    </row>
    <row r="20">
      <c r="L20" s="37">
        <f>IF($A20="","",IFERROR(IF(($C20+$D20)=0,0,$B20/($C20+$D20)),0))</f>
        <v/>
      </c>
    </row>
    <row r="21">
      <c r="L21" s="37">
        <f>IF($A21="","",IFERROR(IF(($C21+$D21)=0,0,$B21/($C21+$D21)),0))</f>
        <v/>
      </c>
    </row>
    <row r="22">
      <c r="A22" s="24" t="inlineStr">
        <is>
          <t>OrnekDscrDemo</t>
        </is>
      </c>
      <c r="L22" s="37">
        <f>IF($A22="","",IFERROR(IF(($C22+$D22)=0,0,$B22/($C22+$D22)),0))</f>
        <v/>
      </c>
    </row>
    <row r="23">
      <c r="A23" s="25" t="inlineStr">
        <is>
          <t>Demo ana</t>
        </is>
      </c>
      <c r="B23" s="26" t="n">
        <v>1.5</v>
      </c>
      <c r="L23" s="37">
        <f>IF($A23="","",IFERROR(IF(($C23+$D23)=0,0,$B23/($C23+$D23)),0))</f>
        <v/>
      </c>
    </row>
    <row r="24">
      <c r="A24" s="25" t="inlineStr">
        <is>
          <t>Yüksek DSCR</t>
        </is>
      </c>
      <c r="B24" s="26" t="n">
        <v>2.4</v>
      </c>
      <c r="L24" s="37">
        <f>IF($A24="","",IFERROR(IF(($C24+$D24)=0,0,$B24/($C24+$D24)),0))</f>
        <v/>
      </c>
    </row>
    <row r="25">
      <c r="A25" s="25" t="inlineStr">
        <is>
          <t>Düşük DSCR</t>
        </is>
      </c>
      <c r="B25" s="26" t="n">
        <v>0.92</v>
      </c>
      <c r="L25" s="37">
        <f>IF($A25="","",IFERROR(IF(($C25+$D25)=0,0,$B25/($C25+$D25)),0))</f>
        <v/>
      </c>
    </row>
    <row r="26">
      <c r="A26" s="25" t="inlineStr">
        <is>
          <t>2025 geçiş</t>
        </is>
      </c>
      <c r="B26" s="26" t="n">
        <v>1.5</v>
      </c>
      <c r="L26" s="37">
        <f>IF($A26="","",IFERROR(IF(($C26+$D26)=0,0,$B26/($C26+$D26)),0))</f>
        <v/>
      </c>
    </row>
    <row r="27">
      <c r="L27" s="37">
        <f>IF($A27="","",IFERROR(IF(($C27+$D27)=0,0,$B27/($C27+$D27)),0))</f>
        <v/>
      </c>
    </row>
    <row r="28">
      <c r="L28" s="37">
        <f>IF($A28="","",IFERROR(IF(($C28+$D28)=0,0,$B28/($C28+$D28)),0))</f>
        <v/>
      </c>
    </row>
    <row r="29">
      <c r="L29" s="37">
        <f>IF($A29="","",IFERROR(IF(($C29+$D29)=0,0,$B29/($C29+$D29)),0))</f>
        <v/>
      </c>
    </row>
    <row r="30">
      <c r="L30" s="37">
        <f>IF($A30="","",IFERROR(IF(($C30+$D30)=0,0,$B30/($C30+$D30)),0))</f>
        <v/>
      </c>
    </row>
    <row r="31">
      <c r="L31" s="37">
        <f>IF($A31="","",IFERROR(IF(($C31+$D31)=0,0,$B31/($C31+$D31)),0))</f>
        <v/>
      </c>
    </row>
    <row r="32">
      <c r="L32" s="37">
        <f>IF($A32="","",IFERROR(IF(($C32+$D32)=0,0,$B32/($C32+$D32)),0))</f>
        <v/>
      </c>
    </row>
    <row r="33">
      <c r="L33" s="37">
        <f>IF($A33="","",IFERROR(IF(($C33+$D33)=0,0,$B33/($C33+$D33)),0))</f>
        <v/>
      </c>
    </row>
    <row r="34">
      <c r="L34" s="37">
        <f>IF($A34="","",IFERROR(IF(($C34+$D34)=0,0,$B34/($C34+$D34)),0))</f>
        <v/>
      </c>
    </row>
    <row r="35">
      <c r="L35" s="37">
        <f>IF($A35="","",IFERROR(IF(($C35+$D35)=0,0,$B35/($C35+$D35)),0))</f>
        <v/>
      </c>
    </row>
    <row r="36">
      <c r="L36" s="37">
        <f>IF($A36="","",IFERROR(IF(($C36+$D36)=0,0,$B36/($C36+$D36)),0))</f>
        <v/>
      </c>
    </row>
    <row r="37">
      <c r="L37" s="37">
        <f>IF($A37="","",IFERROR(IF(($C37+$D37)=0,0,$B37/($C37+$D37)),0))</f>
        <v/>
      </c>
    </row>
    <row r="38">
      <c r="L38" s="37">
        <f>IF($A38="","",IFERROR(IF(($C38+$D38)=0,0,$B38/($C38+$D38)),0))</f>
        <v/>
      </c>
    </row>
    <row r="39">
      <c r="L39" s="37">
        <f>IF($A39="","",IFERROR(IF(($C39+$D39)=0,0,$B39/($C39+$D39)),0))</f>
        <v/>
      </c>
    </row>
    <row r="40">
      <c r="L40" s="37">
        <f>IF($A40="","",IFERROR(IF(($C40+$D40)=0,0,$B40/($C40+$D40)),0))</f>
        <v/>
      </c>
    </row>
    <row r="41">
      <c r="L41" s="37">
        <f>IF($A41="","",IFERROR(IF(($C41+$D41)=0,0,$B41/($C41+$D41)),0))</f>
        <v/>
      </c>
    </row>
    <row r="42">
      <c r="L42" s="37">
        <f>IF($A42="","",IFERROR(IF(($C42+$D42)=0,0,$B42/($C42+$D42)),0))</f>
        <v/>
      </c>
    </row>
    <row r="43">
      <c r="L43" s="37">
        <f>IF($A43="","",IFERROR(IF(($C43+$D43)=0,0,$B43/($C43+$D43)),0))</f>
        <v/>
      </c>
    </row>
    <row r="44">
      <c r="L44" s="37">
        <f>IF($A44="","",IFERROR(IF(($C44+$D44)=0,0,$B44/($C44+$D44)),0))</f>
        <v/>
      </c>
    </row>
    <row r="45">
      <c r="L45" s="37">
        <f>IF($A45="","",IFERROR(IF(($C45+$D45)=0,0,$B45/($C45+$D45)),0))</f>
        <v/>
      </c>
    </row>
    <row r="46">
      <c r="L46" s="37">
        <f>IF($A46="","",IFERROR(IF(($C46+$D46)=0,0,$B46/($C46+$D46)),0))</f>
        <v/>
      </c>
    </row>
    <row r="47">
      <c r="L47" s="37">
        <f>IF($A47="","",IFERROR(IF(($C47+$D47)=0,0,$B47/($C47+$D47)),0))</f>
        <v/>
      </c>
    </row>
    <row r="48">
      <c r="L48" s="37">
        <f>IF($A48="","",IFERROR(IF(($C48+$D48)=0,0,$B48/($C48+$D48)),0))</f>
        <v/>
      </c>
    </row>
    <row r="49">
      <c r="L49" s="37">
        <f>IF($A49="","",IFERROR(IF(($C49+$D49)=0,0,$B49/($C49+$D49)),0))</f>
        <v/>
      </c>
    </row>
    <row r="50">
      <c r="L50" s="37">
        <f>IF($A50="","",IFERROR(IF(($C50+$D50)=0,0,$B50/($C50+$D50)),0))</f>
        <v/>
      </c>
    </row>
    <row r="51">
      <c r="L51" s="37">
        <f>IF($A51="","",IFERROR(IF(($C51+$D51)=0,0,$B51/($C51+$D51)),0))</f>
        <v/>
      </c>
    </row>
    <row r="52">
      <c r="L52" s="37">
        <f>IF($A52="","",IFERROR(IF(($C52+$D52)=0,0,$B52/($C52+$D52)),0))</f>
        <v/>
      </c>
    </row>
    <row r="53">
      <c r="L53" s="37">
        <f>IF($A53="","",IFERROR(IF(($C53+$D53)=0,0,$B53/($C53+$D53)),0))</f>
        <v/>
      </c>
    </row>
    <row r="54">
      <c r="L54" s="37">
        <f>IF($A54="","",IFERROR(IF(($C54+$D54)=0,0,$B54/($C54+$D54)),0))</f>
        <v/>
      </c>
    </row>
    <row r="55">
      <c r="L55" s="37">
        <f>IF($A55="","",IFERROR(IF(($C55+$D55)=0,0,$B55/($C55+$D55)),0))</f>
        <v/>
      </c>
    </row>
    <row r="56">
      <c r="L56" s="37">
        <f>IF($A56="","",IFERROR(IF(($C56+$D56)=0,0,$B56/($C56+$D56)),0))</f>
        <v/>
      </c>
    </row>
    <row r="57">
      <c r="L57" s="37">
        <f>IF($A57="","",IFERROR(IF(($C57+$D57)=0,0,$B57/($C57+$D57)),0))</f>
        <v/>
      </c>
    </row>
    <row r="58">
      <c r="L58" s="37">
        <f>IF($A58="","",IFERROR(IF(($C58+$D58)=0,0,$B58/($C58+$D58)),0))</f>
        <v/>
      </c>
    </row>
    <row r="59">
      <c r="L59" s="37">
        <f>IF($A59="","",IFERROR(IF(($C59+$D59)=0,0,$B59/($C59+$D59)),0))</f>
        <v/>
      </c>
    </row>
    <row r="60">
      <c r="L60" s="37">
        <f>IF($A60="","",IFERROR(IF(($C60+$D60)=0,0,$B60/($C60+$D60)),0))</f>
        <v/>
      </c>
    </row>
    <row r="61">
      <c r="L61" s="37">
        <f>IF($A61="","",IFERROR(IF(($C61+$D61)=0,0,$B61/($C61+$D61)),0))</f>
        <v/>
      </c>
    </row>
    <row r="62">
      <c r="L62" s="37">
        <f>IF($A62="","",IFERROR(IF(($C62+$D62)=0,0,$B62/($C62+$D62)),0))</f>
        <v/>
      </c>
    </row>
    <row r="63">
      <c r="L63" s="37">
        <f>IF($A63="","",IFERROR(IF(($C63+$D63)=0,0,$B63/($C63+$D63)),0))</f>
        <v/>
      </c>
    </row>
    <row r="64">
      <c r="L64" s="37">
        <f>IF($A64="","",IFERROR(IF(($C64+$D64)=0,0,$B64/($C64+$D64)),0))</f>
        <v/>
      </c>
    </row>
    <row r="65">
      <c r="L65" s="37">
        <f>IF($A65="","",IFERROR(IF(($C65+$D65)=0,0,$B65/($C65+$D65)),0))</f>
        <v/>
      </c>
    </row>
    <row r="66">
      <c r="L66" s="37">
        <f>IF($A66="","",IFERROR(IF(($C66+$D66)=0,0,$B66/($C66+$D66)),0))</f>
        <v/>
      </c>
    </row>
    <row r="67">
      <c r="L67" s="37">
        <f>IF($A67="","",IFERROR(IF(($C67+$D67)=0,0,$B67/($C67+$D67)),0))</f>
        <v/>
      </c>
    </row>
    <row r="68">
      <c r="L68" s="37">
        <f>IF($A68="","",IFERROR(IF(($C68+$D68)=0,0,$B68/($C68+$D68)),0))</f>
        <v/>
      </c>
    </row>
    <row r="69">
      <c r="L69" s="37">
        <f>IF($A69="","",IFERROR(IF(($C69+$D69)=0,0,$B69/($C69+$D69)),0))</f>
        <v/>
      </c>
    </row>
    <row r="70">
      <c r="L70" s="37">
        <f>IF($A70="","",IFERROR(IF(($C70+$D70)=0,0,$B70/($C70+$D70)),0))</f>
        <v/>
      </c>
    </row>
    <row r="71">
      <c r="L71" s="37">
        <f>IF($A71="","",IFERROR(IF(($C71+$D71)=0,0,$B71/($C71+$D71)),0))</f>
        <v/>
      </c>
    </row>
    <row r="72">
      <c r="L72" s="37">
        <f>IF($A72="","",IFERROR(IF(($C72+$D72)=0,0,$B72/($C72+$D72)),0))</f>
        <v/>
      </c>
    </row>
    <row r="73">
      <c r="L73" s="37">
        <f>IF($A73="","",IFERROR(IF(($C73+$D73)=0,0,$B73/($C73+$D73)),0))</f>
        <v/>
      </c>
    </row>
    <row r="74">
      <c r="L74" s="37">
        <f>IF($A74="","",IFERROR(IF(($C74+$D74)=0,0,$B74/($C74+$D74)),0))</f>
        <v/>
      </c>
    </row>
    <row r="75">
      <c r="L75" s="37">
        <f>IF($A75="","",IFERROR(IF(($C75+$D75)=0,0,$B75/($C75+$D75)),0))</f>
        <v/>
      </c>
    </row>
    <row r="76">
      <c r="L76" s="37">
        <f>IF($A76="","",IFERROR(IF(($C76+$D76)=0,0,$B76/($C76+$D76)),0))</f>
        <v/>
      </c>
    </row>
    <row r="77">
      <c r="L77" s="37">
        <f>IF($A77="","",IFERROR(IF(($C77+$D77)=0,0,$B77/($C77+$D77)),0))</f>
        <v/>
      </c>
    </row>
    <row r="78">
      <c r="L78" s="37">
        <f>IF($A78="","",IFERROR(IF(($C78+$D78)=0,0,$B78/($C78+$D78)),0))</f>
        <v/>
      </c>
    </row>
    <row r="79">
      <c r="L79" s="37">
        <f>IF($A79="","",IFERROR(IF(($C79+$D79)=0,0,$B79/($C79+$D79)),0))</f>
        <v/>
      </c>
    </row>
    <row r="80">
      <c r="L80" s="37">
        <f>IF($A80="","",IFERROR(IF(($C80+$D80)=0,0,$B80/($C80+$D80)),0))</f>
        <v/>
      </c>
    </row>
    <row r="81">
      <c r="L81" s="37">
        <f>IF($A81="","",IFERROR(IF(($C81+$D81)=0,0,$B81/($C81+$D81)),0))</f>
        <v/>
      </c>
    </row>
    <row r="82">
      <c r="L82" s="37">
        <f>IF($A82="","",IFERROR(IF(($C82+$D82)=0,0,$B82/($C82+$D82)),0))</f>
        <v/>
      </c>
    </row>
    <row r="83">
      <c r="L83" s="37">
        <f>IF($A83="","",IFERROR(IF(($C83+$D83)=0,0,$B83/($C83+$D83)),0))</f>
        <v/>
      </c>
    </row>
    <row r="84">
      <c r="L84" s="37">
        <f>IF($A84="","",IFERROR(IF(($C84+$D84)=0,0,$B84/($C84+$D84)),0))</f>
        <v/>
      </c>
    </row>
    <row r="85">
      <c r="L85" s="37">
        <f>IF($A85="","",IFERROR(IF(($C85+$D85)=0,0,$B85/($C85+$D85)),0))</f>
        <v/>
      </c>
    </row>
    <row r="86">
      <c r="L86" s="37">
        <f>IF($A86="","",IFERROR(IF(($C86+$D86)=0,0,$B86/($C86+$D86)),0))</f>
        <v/>
      </c>
    </row>
    <row r="87">
      <c r="L87" s="37">
        <f>IF($A87="","",IFERROR(IF(($C87+$D87)=0,0,$B87/($C87+$D87)),0))</f>
        <v/>
      </c>
    </row>
    <row r="88">
      <c r="L88" s="37">
        <f>IF($A88="","",IFERROR(IF(($C88+$D88)=0,0,$B88/($C88+$D88)),0))</f>
        <v/>
      </c>
    </row>
    <row r="89">
      <c r="L89" s="37">
        <f>IF($A89="","",IFERROR(IF(($C89+$D89)=0,0,$B89/($C89+$D89)),0))</f>
        <v/>
      </c>
    </row>
    <row r="90">
      <c r="L90" s="37">
        <f>IF($A90="","",IFERROR(IF(($C90+$D90)=0,0,$B90/($C90+$D90)),0))</f>
        <v/>
      </c>
    </row>
    <row r="91">
      <c r="L91" s="37">
        <f>IF($A91="","",IFERROR(IF(($C91+$D91)=0,0,$B91/($C91+$D91)),0))</f>
        <v/>
      </c>
    </row>
    <row r="92">
      <c r="L92" s="37">
        <f>IF($A92="","",IFERROR(IF(($C92+$D92)=0,0,$B92/($C92+$D92)),0))</f>
        <v/>
      </c>
    </row>
    <row r="93">
      <c r="L93" s="37">
        <f>IF($A93="","",IFERROR(IF(($C93+$D93)=0,0,$B93/($C93+$D93)),0))</f>
        <v/>
      </c>
    </row>
    <row r="94">
      <c r="L94" s="37">
        <f>IF($A94="","",IFERROR(IF(($C94+$D94)=0,0,$B94/($C94+$D94)),0))</f>
        <v/>
      </c>
    </row>
    <row r="95">
      <c r="L95" s="37">
        <f>IF($A95="","",IFERROR(IF(($C95+$D95)=0,0,$B95/($C95+$D95)),0))</f>
        <v/>
      </c>
    </row>
    <row r="96">
      <c r="L96" s="37">
        <f>IF($A96="","",IFERROR(IF(($C96+$D96)=0,0,$B96/($C96+$D96)),0))</f>
        <v/>
      </c>
    </row>
    <row r="97">
      <c r="L97" s="37">
        <f>IF($A97="","",IFERROR(IF(($C97+$D97)=0,0,$B97/($C97+$D97)),0))</f>
        <v/>
      </c>
    </row>
    <row r="98">
      <c r="L98" s="37">
        <f>IF($A98="","",IFERROR(IF(($C98+$D98)=0,0,$B98/($C98+$D98)),0))</f>
        <v/>
      </c>
    </row>
    <row r="99">
      <c r="L99" s="37">
        <f>IF($A99="","",IFERROR(IF(($C99+$D99)=0,0,$B99/($C99+$D99)),0))</f>
        <v/>
      </c>
    </row>
    <row r="100">
      <c r="L100" s="37">
        <f>IF($A100="","",IFERROR(IF(($C100+$D100)=0,0,$B100/($C100+$D100)),0))</f>
        <v/>
      </c>
    </row>
    <row r="101">
      <c r="L101" s="37">
        <f>IF($A101="","",IFERROR(IF(($C101+$D101)=0,0,$B101/($C101+$D101)),0))</f>
        <v/>
      </c>
    </row>
    <row r="102">
      <c r="L102" s="37">
        <f>IF($A102="","",IFERROR(IF(($C102+$D102)=0,0,$B102/($C102+$D102)),0))</f>
        <v/>
      </c>
    </row>
    <row r="103">
      <c r="L103" s="37">
        <f>IF($A103="","",IFERROR(IF(($C103+$D103)=0,0,$B103/($C103+$D103)),0))</f>
        <v/>
      </c>
    </row>
    <row r="104">
      <c r="L104" s="37">
        <f>IF($A104="","",IFERROR(IF(($C104+$D104)=0,0,$B104/($C104+$D104)),0))</f>
        <v/>
      </c>
    </row>
    <row r="105">
      <c r="L105" s="37">
        <f>IF($A105="","",IFERROR(IF(($C105+$D105)=0,0,$B105/($C105+$D105)),0))</f>
        <v/>
      </c>
    </row>
    <row r="106">
      <c r="L106" s="37">
        <f>IF($A106="","",IFERROR(IF(($C106+$D106)=0,0,$B106/($C106+$D106)),0))</f>
        <v/>
      </c>
    </row>
    <row r="107">
      <c r="L107" s="37">
        <f>IF($A107="","",IFERROR(IF(($C107+$D107)=0,0,$B107/($C107+$D107)),0))</f>
        <v/>
      </c>
    </row>
    <row r="108">
      <c r="L108" s="37">
        <f>IF($A108="","",IFERROR(IF(($C108+$D108)=0,0,$B108/($C108+$D108)),0))</f>
        <v/>
      </c>
    </row>
    <row r="109">
      <c r="L109" s="37">
        <f>IF($A109="","",IFERROR(IF(($C109+$D109)=0,0,$B109/($C109+$D109)),0))</f>
        <v/>
      </c>
    </row>
    <row r="110">
      <c r="L110" s="37">
        <f>IF($A110="","",IFERROR(IF(($C110+$D110)=0,0,$B110/($C110+$D110)),0))</f>
        <v/>
      </c>
    </row>
    <row r="111">
      <c r="L111" s="37">
        <f>IF($A111="","",IFERROR(IF(($C111+$D111)=0,0,$B111/($C111+$D111)),0))</f>
        <v/>
      </c>
    </row>
    <row r="112">
      <c r="L112" s="37">
        <f>IF($A112="","",IFERROR(IF(($C112+$D112)=0,0,$B112/($C112+$D112)),0))</f>
        <v/>
      </c>
    </row>
    <row r="113">
      <c r="L113" s="37">
        <f>IF($A113="","",IFERROR(IF(($C113+$D113)=0,0,$B113/($C113+$D113)),0))</f>
        <v/>
      </c>
    </row>
    <row r="114">
      <c r="L114" s="37">
        <f>IF($A114="","",IFERROR(IF(($C114+$D114)=0,0,$B114/($C114+$D114)),0))</f>
        <v/>
      </c>
    </row>
    <row r="115">
      <c r="L115" s="37">
        <f>IF($A115="","",IFERROR(IF(($C115+$D115)=0,0,$B115/($C115+$D115)),0))</f>
        <v/>
      </c>
    </row>
    <row r="116">
      <c r="L116" s="37">
        <f>IF($A116="","",IFERROR(IF(($C116+$D116)=0,0,$B116/($C116+$D116)),0))</f>
        <v/>
      </c>
    </row>
    <row r="117">
      <c r="L117" s="37">
        <f>IF($A117="","",IFERROR(IF(($C117+$D117)=0,0,$B117/($C117+$D117)),0))</f>
        <v/>
      </c>
    </row>
    <row r="118">
      <c r="L118" s="37">
        <f>IF($A118="","",IFERROR(IF(($C118+$D118)=0,0,$B118/($C118+$D118)),0))</f>
        <v/>
      </c>
    </row>
    <row r="119">
      <c r="L119" s="37">
        <f>IF($A119="","",IFERROR(IF(($C119+$D119)=0,0,$B119/($C119+$D119)),0))</f>
        <v/>
      </c>
    </row>
    <row r="120">
      <c r="L120" s="37">
        <f>IF($A120="","",IFERROR(IF(($C120+$D120)=0,0,$B120/($C120+$D120)),0))</f>
        <v/>
      </c>
    </row>
    <row r="121">
      <c r="L121" s="37">
        <f>IF($A121="","",IFERROR(IF(($C121+$D121)=0,0,$B121/($C121+$D121)),0))</f>
        <v/>
      </c>
    </row>
    <row r="122">
      <c r="L122" s="37">
        <f>IF($A122="","",IFERROR(IF(($C122+$D122)=0,0,$B122/($C122+$D122)),0))</f>
        <v/>
      </c>
    </row>
    <row r="123">
      <c r="L123" s="37">
        <f>IF($A123="","",IFERROR(IF(($C123+$D123)=0,0,$B123/($C123+$D123)),0))</f>
        <v/>
      </c>
    </row>
    <row r="124">
      <c r="L124" s="37">
        <f>IF($A124="","",IFERROR(IF(($C124+$D124)=0,0,$B124/($C124+$D124)),0))</f>
        <v/>
      </c>
    </row>
    <row r="125">
      <c r="L125" s="37">
        <f>IF($A125="","",IFERROR(IF(($C125+$D125)=0,0,$B125/($C125+$D125)),0))</f>
        <v/>
      </c>
    </row>
    <row r="126">
      <c r="L126" s="37">
        <f>IF($A126="","",IFERROR(IF(($C126+$D126)=0,0,$B126/($C126+$D126)),0))</f>
        <v/>
      </c>
    </row>
    <row r="127">
      <c r="L127" s="37">
        <f>IF($A127="","",IFERROR(IF(($C127+$D127)=0,0,$B127/($C127+$D127)),0))</f>
        <v/>
      </c>
    </row>
    <row r="128">
      <c r="L128" s="37">
        <f>IF($A128="","",IFERROR(IF(($C128+$D128)=0,0,$B128/($C128+$D128)),0))</f>
        <v/>
      </c>
    </row>
    <row r="129">
      <c r="L129" s="37">
        <f>IF($A129="","",IFERROR(IF(($C129+$D129)=0,0,$B129/($C129+$D129)),0))</f>
        <v/>
      </c>
    </row>
    <row r="130">
      <c r="L130" s="37">
        <f>IF($A130="","",IFERROR(IF(($C130+$D130)=0,0,$B130/($C130+$D130)),0))</f>
        <v/>
      </c>
    </row>
    <row r="131">
      <c r="L131" s="37">
        <f>IF($A131="","",IFERROR(IF(($C131+$D131)=0,0,$B131/($C131+$D131)),0))</f>
        <v/>
      </c>
    </row>
    <row r="132">
      <c r="L132" s="37">
        <f>IF($A132="","",IFERROR(IF(($C132+$D132)=0,0,$B132/($C132+$D132)),0))</f>
        <v/>
      </c>
    </row>
    <row r="133">
      <c r="L133" s="37">
        <f>IF($A133="","",IFERROR(IF(($C133+$D133)=0,0,$B133/($C133+$D133)),0))</f>
        <v/>
      </c>
    </row>
    <row r="134">
      <c r="L134" s="37">
        <f>IF($A134="","",IFERROR(IF(($C134+$D134)=0,0,$B134/($C134+$D134)),0))</f>
        <v/>
      </c>
    </row>
    <row r="135">
      <c r="L135" s="37">
        <f>IF($A135="","",IFERROR(IF(($C135+$D135)=0,0,$B135/($C135+$D135)),0))</f>
        <v/>
      </c>
    </row>
    <row r="136">
      <c r="L136" s="37">
        <f>IF($A136="","",IFERROR(IF(($C136+$D136)=0,0,$B136/($C136+$D136)),0))</f>
        <v/>
      </c>
    </row>
    <row r="137">
      <c r="L137" s="37">
        <f>IF($A137="","",IFERROR(IF(($C137+$D137)=0,0,$B137/($C137+$D137)),0))</f>
        <v/>
      </c>
    </row>
    <row r="138">
      <c r="L138" s="37">
        <f>IF($A138="","",IFERROR(IF(($C138+$D138)=0,0,$B138/($C138+$D138)),0))</f>
        <v/>
      </c>
    </row>
    <row r="139">
      <c r="L139" s="37">
        <f>IF($A139="","",IFERROR(IF(($C139+$D139)=0,0,$B139/($C139+$D139)),0))</f>
        <v/>
      </c>
    </row>
    <row r="140">
      <c r="L140" s="37">
        <f>IF($A140="","",IFERROR(IF(($C140+$D140)=0,0,$B140/($C140+$D140)),0))</f>
        <v/>
      </c>
    </row>
    <row r="141">
      <c r="L141" s="37">
        <f>IF($A141="","",IFERROR(IF(($C141+$D141)=0,0,$B141/($C141+$D141)),0))</f>
        <v/>
      </c>
    </row>
    <row r="142">
      <c r="L142" s="37">
        <f>IF($A142="","",IFERROR(IF(($C142+$D142)=0,0,$B142/($C142+$D142)),0))</f>
        <v/>
      </c>
    </row>
    <row r="143">
      <c r="L143" s="37">
        <f>IF($A143="","",IFERROR(IF(($C143+$D143)=0,0,$B143/($C143+$D143)),0))</f>
        <v/>
      </c>
    </row>
    <row r="144">
      <c r="L144" s="37">
        <f>IF($A144="","",IFERROR(IF(($C144+$D144)=0,0,$B144/($C144+$D144)),0))</f>
        <v/>
      </c>
    </row>
    <row r="145">
      <c r="L145" s="37">
        <f>IF($A145="","",IFERROR(IF(($C145+$D145)=0,0,$B145/($C145+$D145)),0))</f>
        <v/>
      </c>
    </row>
    <row r="146">
      <c r="L146" s="37">
        <f>IF($A146="","",IFERROR(IF(($C146+$D146)=0,0,$B146/($C146+$D146)),0))</f>
        <v/>
      </c>
    </row>
    <row r="147">
      <c r="L147" s="37">
        <f>IF($A147="","",IFERROR(IF(($C147+$D147)=0,0,$B147/($C147+$D147)),0))</f>
        <v/>
      </c>
    </row>
    <row r="148">
      <c r="L148" s="37">
        <f>IF($A148="","",IFERROR(IF(($C148+$D148)=0,0,$B148/($C148+$D148)),0))</f>
        <v/>
      </c>
    </row>
    <row r="149">
      <c r="L149" s="37">
        <f>IF($A149="","",IFERROR(IF(($C149+$D149)=0,0,$B149/($C149+$D149)),0))</f>
        <v/>
      </c>
    </row>
    <row r="150">
      <c r="L150" s="37">
        <f>IF($A150="","",IFERROR(IF(($C150+$D150)=0,0,$B150/($C150+$D150)),0))</f>
        <v/>
      </c>
    </row>
    <row r="151">
      <c r="L151" s="37">
        <f>IF($A151="","",IFERROR(IF(($C151+$D151)=0,0,$B151/($C151+$D151)),0))</f>
        <v/>
      </c>
    </row>
    <row r="152">
      <c r="L152" s="37">
        <f>IF($A152="","",IFERROR(IF(($C152+$D152)=0,0,$B152/($C152+$D152)),0))</f>
        <v/>
      </c>
    </row>
    <row r="153">
      <c r="L153" s="37">
        <f>IF($A153="","",IFERROR(IF(($C153+$D153)=0,0,$B153/($C153+$D153)),0))</f>
        <v/>
      </c>
    </row>
    <row r="154">
      <c r="L154" s="37">
        <f>IF($A154="","",IFERROR(IF(($C154+$D154)=0,0,$B154/($C154+$D154)),0))</f>
        <v/>
      </c>
    </row>
    <row r="155">
      <c r="L155" s="37">
        <f>IF($A155="","",IFERROR(IF(($C155+$D155)=0,0,$B155/($C155+$D155)),0))</f>
        <v/>
      </c>
    </row>
    <row r="156">
      <c r="L156" s="37">
        <f>IF($A156="","",IFERROR(IF(($C156+$D156)=0,0,$B156/($C156+$D156)),0))</f>
        <v/>
      </c>
    </row>
    <row r="157">
      <c r="L157" s="37">
        <f>IF($A157="","",IFERROR(IF(($C157+$D157)=0,0,$B157/($C157+$D157)),0))</f>
        <v/>
      </c>
    </row>
    <row r="158">
      <c r="L158" s="37">
        <f>IF($A158="","",IFERROR(IF(($C158+$D158)=0,0,$B158/($C158+$D158)),0))</f>
        <v/>
      </c>
    </row>
    <row r="159">
      <c r="L159" s="37">
        <f>IF($A159="","",IFERROR(IF(($C159+$D159)=0,0,$B159/($C159+$D159)),0))</f>
        <v/>
      </c>
    </row>
    <row r="160">
      <c r="L160" s="37">
        <f>IF($A160="","",IFERROR(IF(($C160+$D160)=0,0,$B160/($C160+$D160)),0))</f>
        <v/>
      </c>
    </row>
    <row r="161">
      <c r="L161" s="37">
        <f>IF($A161="","",IFERROR(IF(($C161+$D161)=0,0,$B161/($C161+$D161)),0))</f>
        <v/>
      </c>
    </row>
    <row r="162">
      <c r="L162" s="37">
        <f>IF($A162="","",IFERROR(IF(($C162+$D162)=0,0,$B162/($C162+$D162)),0))</f>
        <v/>
      </c>
    </row>
    <row r="163">
      <c r="L163" s="37">
        <f>IF($A163="","",IFERROR(IF(($C163+$D163)=0,0,$B163/($C163+$D163)),0))</f>
        <v/>
      </c>
    </row>
    <row r="164">
      <c r="L164" s="37">
        <f>IF($A164="","",IFERROR(IF(($C164+$D164)=0,0,$B164/($C164+$D164)),0))</f>
        <v/>
      </c>
    </row>
    <row r="165">
      <c r="L165" s="37">
        <f>IF($A165="","",IFERROR(IF(($C165+$D165)=0,0,$B165/($C165+$D165)),0))</f>
        <v/>
      </c>
    </row>
    <row r="166">
      <c r="L166" s="37">
        <f>IF($A166="","",IFERROR(IF(($C166+$D166)=0,0,$B166/($C166+$D166)),0))</f>
        <v/>
      </c>
    </row>
    <row r="167">
      <c r="L167" s="37">
        <f>IF($A167="","",IFERROR(IF(($C167+$D167)=0,0,$B167/($C167+$D167)),0))</f>
        <v/>
      </c>
    </row>
    <row r="168">
      <c r="L168" s="37">
        <f>IF($A168="","",IFERROR(IF(($C168+$D168)=0,0,$B168/($C168+$D168)),0))</f>
        <v/>
      </c>
    </row>
    <row r="169">
      <c r="L169" s="37">
        <f>IF($A169="","",IFERROR(IF(($C169+$D169)=0,0,$B169/($C169+$D169)),0))</f>
        <v/>
      </c>
    </row>
    <row r="170">
      <c r="L170" s="37">
        <f>IF($A170="","",IFERROR(IF(($C170+$D170)=0,0,$B170/($C170+$D170)),0))</f>
        <v/>
      </c>
    </row>
    <row r="171">
      <c r="L171" s="37">
        <f>IF($A171="","",IFERROR(IF(($C171+$D171)=0,0,$B171/($C171+$D171)),0))</f>
        <v/>
      </c>
    </row>
    <row r="172">
      <c r="L172" s="37">
        <f>IF($A172="","",IFERROR(IF(($C172+$D172)=0,0,$B172/($C172+$D172)),0))</f>
        <v/>
      </c>
    </row>
    <row r="173">
      <c r="L173" s="37">
        <f>IF($A173="","",IFERROR(IF(($C173+$D173)=0,0,$B173/($C173+$D173)),0))</f>
        <v/>
      </c>
    </row>
    <row r="174">
      <c r="L174" s="37">
        <f>IF($A174="","",IFERROR(IF(($C174+$D174)=0,0,$B174/($C174+$D174)),0))</f>
        <v/>
      </c>
    </row>
    <row r="175">
      <c r="L175" s="37">
        <f>IF($A175="","",IFERROR(IF(($C175+$D175)=0,0,$B175/($C175+$D175)),0))</f>
        <v/>
      </c>
    </row>
    <row r="176">
      <c r="L176" s="37">
        <f>IF($A176="","",IFERROR(IF(($C176+$D176)=0,0,$B176/($C176+$D176)),0))</f>
        <v/>
      </c>
    </row>
    <row r="177">
      <c r="L177" s="37">
        <f>IF($A177="","",IFERROR(IF(($C177+$D177)=0,0,$B177/($C177+$D177)),0))</f>
        <v/>
      </c>
    </row>
    <row r="178">
      <c r="L178" s="37">
        <f>IF($A178="","",IFERROR(IF(($C178+$D178)=0,0,$B178/($C178+$D178)),0))</f>
        <v/>
      </c>
    </row>
    <row r="179">
      <c r="L179" s="37">
        <f>IF($A179="","",IFERROR(IF(($C179+$D179)=0,0,$B179/($C179+$D179)),0))</f>
        <v/>
      </c>
    </row>
    <row r="180">
      <c r="L180" s="37">
        <f>IF($A180="","",IFERROR(IF(($C180+$D180)=0,0,$B180/($C180+$D180)),0))</f>
        <v/>
      </c>
    </row>
    <row r="181">
      <c r="L181" s="37">
        <f>IF($A181="","",IFERROR(IF(($C181+$D181)=0,0,$B181/($C181+$D181)),0))</f>
        <v/>
      </c>
    </row>
    <row r="182">
      <c r="L182" s="37">
        <f>IF($A182="","",IFERROR(IF(($C182+$D182)=0,0,$B182/($C182+$D182)),0))</f>
        <v/>
      </c>
    </row>
    <row r="183">
      <c r="L183" s="37">
        <f>IF($A183="","",IFERROR(IF(($C183+$D183)=0,0,$B183/($C183+$D183)),0))</f>
        <v/>
      </c>
    </row>
    <row r="184">
      <c r="L184" s="37">
        <f>IF($A184="","",IFERROR(IF(($C184+$D184)=0,0,$B184/($C184+$D184)),0))</f>
        <v/>
      </c>
    </row>
    <row r="185">
      <c r="L185" s="37">
        <f>IF($A185="","",IFERROR(IF(($C185+$D185)=0,0,$B185/($C185+$D185)),0))</f>
        <v/>
      </c>
    </row>
    <row r="186">
      <c r="L186" s="37">
        <f>IF($A186="","",IFERROR(IF(($C186+$D186)=0,0,$B186/($C186+$D186)),0))</f>
        <v/>
      </c>
    </row>
    <row r="187">
      <c r="L187" s="37">
        <f>IF($A187="","",IFERROR(IF(($C187+$D187)=0,0,$B187/($C187+$D187)),0))</f>
        <v/>
      </c>
    </row>
    <row r="188">
      <c r="L188" s="37">
        <f>IF($A188="","",IFERROR(IF(($C188+$D188)=0,0,$B188/($C188+$D188)),0))</f>
        <v/>
      </c>
    </row>
    <row r="189">
      <c r="L189" s="37">
        <f>IF($A189="","",IFERROR(IF(($C189+$D189)=0,0,$B189/($C189+$D189)),0))</f>
        <v/>
      </c>
    </row>
    <row r="190">
      <c r="L190" s="37">
        <f>IF($A190="","",IFERROR(IF(($C190+$D190)=0,0,$B190/($C190+$D190)),0))</f>
        <v/>
      </c>
    </row>
    <row r="191">
      <c r="L191" s="37">
        <f>IF($A191="","",IFERROR(IF(($C191+$D191)=0,0,$B191/($C191+$D191)),0))</f>
        <v/>
      </c>
    </row>
    <row r="192">
      <c r="L192" s="37">
        <f>IF($A192="","",IFERROR(IF(($C192+$D192)=0,0,$B192/($C192+$D192)),0))</f>
        <v/>
      </c>
    </row>
    <row r="193">
      <c r="L193" s="37">
        <f>IF($A193="","",IFERROR(IF(($C193+$D193)=0,0,$B193/($C193+$D193)),0))</f>
        <v/>
      </c>
    </row>
    <row r="194">
      <c r="L194" s="37">
        <f>IF($A194="","",IFERROR(IF(($C194+$D194)=0,0,$B194/($C194+$D194)),0))</f>
        <v/>
      </c>
    </row>
    <row r="195">
      <c r="L195" s="37">
        <f>IF($A195="","",IFERROR(IF(($C195+$D195)=0,0,$B195/($C195+$D195)),0))</f>
        <v/>
      </c>
    </row>
    <row r="196">
      <c r="L196" s="37">
        <f>IF($A196="","",IFERROR(IF(($C196+$D196)=0,0,$B196/($C196+$D196)),0))</f>
        <v/>
      </c>
    </row>
    <row r="197">
      <c r="L197" s="37">
        <f>IF($A197="","",IFERROR(IF(($C197+$D197)=0,0,$B197/($C197+$D197)),0))</f>
        <v/>
      </c>
    </row>
    <row r="198">
      <c r="L198" s="37">
        <f>IF($A198="","",IFERROR(IF(($C198+$D198)=0,0,$B198/($C198+$D198)),0))</f>
        <v/>
      </c>
    </row>
    <row r="199">
      <c r="L199" s="37">
        <f>IF($A199="","",IFERROR(IF(($C199+$D199)=0,0,$B199/($C199+$D199)),0))</f>
        <v/>
      </c>
    </row>
    <row r="200">
      <c r="L200" s="37">
        <f>IF($A200="","",IFERROR(IF(($C200+$D200)=0,0,$B200/($C200+$D200)),0))</f>
        <v/>
      </c>
    </row>
    <row r="201">
      <c r="L201" s="37">
        <f>IF($A201="","",IFERROR(IF(($C201+$D201)=0,0,$B201/($C201+$D201)),0))</f>
        <v/>
      </c>
    </row>
    <row r="202">
      <c r="L202" s="37">
        <f>IF($A202="","",IFERROR(IF(($C202+$D202)=0,0,$B202/($C202+$D202)),0))</f>
        <v/>
      </c>
    </row>
    <row r="203">
      <c r="L203" s="37">
        <f>IF($A203="","",IFERROR(IF(($C203+$D203)=0,0,$B203/($C203+$D203)),0))</f>
        <v/>
      </c>
    </row>
    <row r="204">
      <c r="L204" s="37">
        <f>IF($A204="","",IFERROR(IF(($C204+$D204)=0,0,$B204/($C204+$D204)),0))</f>
        <v/>
      </c>
    </row>
    <row r="205">
      <c r="L205" s="37">
        <f>IF($A205="","",IFERROR(IF(($C205+$D205)=0,0,$B205/($C205+$D205)),0))</f>
        <v/>
      </c>
    </row>
    <row r="206">
      <c r="L206" s="37">
        <f>IF($A206="","",IFERROR(IF(($C206+$D206)=0,0,$B206/($C206+$D206)),0))</f>
        <v/>
      </c>
    </row>
    <row r="207">
      <c r="L207" s="37">
        <f>IF($A207="","",IFERROR(IF(($C207+$D207)=0,0,$B207/($C207+$D207)),0))</f>
        <v/>
      </c>
    </row>
    <row r="208">
      <c r="L208" s="37">
        <f>IF($A208="","",IFERROR(IF(($C208+$D208)=0,0,$B208/($C208+$D208)),0))</f>
        <v/>
      </c>
    </row>
    <row r="209">
      <c r="L209" s="37">
        <f>IF($A209="","",IFERROR(IF(($C209+$D209)=0,0,$B209/($C209+$D209)),0))</f>
        <v/>
      </c>
    </row>
    <row r="210">
      <c r="L210" s="37">
        <f>IF($A210="","",IFERROR(IF(($C210+$D210)=0,0,$B210/($C210+$D210)),0))</f>
        <v/>
      </c>
    </row>
    <row r="211">
      <c r="L211" s="37">
        <f>IF($A211="","",IFERROR(IF(($C211+$D211)=0,0,$B211/($C211+$D211)),0))</f>
        <v/>
      </c>
    </row>
    <row r="212">
      <c r="L212" s="37">
        <f>IF($A212="","",IFERROR(IF(($C212+$D212)=0,0,$B212/($C212+$D212)),0))</f>
        <v/>
      </c>
    </row>
    <row r="213">
      <c r="L213" s="37">
        <f>IF($A213="","",IFERROR(IF(($C213+$D213)=0,0,$B213/($C213+$D213)),0))</f>
        <v/>
      </c>
    </row>
    <row r="214">
      <c r="L214" s="37">
        <f>IF($A214="","",IFERROR(IF(($C214+$D214)=0,0,$B214/($C214+$D214)),0))</f>
        <v/>
      </c>
    </row>
    <row r="215">
      <c r="L215" s="37">
        <f>IF($A215="","",IFERROR(IF(($C215+$D215)=0,0,$B215/($C215+$D215)),0))</f>
        <v/>
      </c>
    </row>
    <row r="216">
      <c r="L216" s="37">
        <f>IF($A216="","",IFERROR(IF(($C216+$D216)=0,0,$B216/($C216+$D216)),0))</f>
        <v/>
      </c>
    </row>
    <row r="217">
      <c r="L217" s="37">
        <f>IF($A217="","",IFERROR(IF(($C217+$D217)=0,0,$B217/($C217+$D217)),0))</f>
        <v/>
      </c>
    </row>
    <row r="218">
      <c r="L218" s="37">
        <f>IF($A218="","",IFERROR(IF(($C218+$D218)=0,0,$B218/($C218+$D218)),0))</f>
        <v/>
      </c>
    </row>
    <row r="219">
      <c r="L219" s="37">
        <f>IF($A219="","",IFERROR(IF(($C219+$D219)=0,0,$B219/($C219+$D219)),0))</f>
        <v/>
      </c>
    </row>
    <row r="220">
      <c r="L220" s="37">
        <f>IF($A220="","",IFERROR(IF(($C220+$D220)=0,0,$B220/($C220+$D220)),0))</f>
        <v/>
      </c>
    </row>
    <row r="221">
      <c r="L221" s="37">
        <f>IF($A221="","",IFERROR(IF(($C221+$D221)=0,0,$B221/($C221+$D221)),0))</f>
        <v/>
      </c>
    </row>
    <row r="222">
      <c r="L222" s="37">
        <f>IF($A222="","",IFERROR(IF(($C222+$D222)=0,0,$B222/($C222+$D222)),0))</f>
        <v/>
      </c>
    </row>
    <row r="223">
      <c r="L223" s="37">
        <f>IF($A223="","",IFERROR(IF(($C223+$D223)=0,0,$B223/($C223+$D223)),0))</f>
        <v/>
      </c>
    </row>
    <row r="224">
      <c r="L224" s="37">
        <f>IF($A224="","",IFERROR(IF(($C224+$D224)=0,0,$B224/($C224+$D224)),0))</f>
        <v/>
      </c>
    </row>
    <row r="225">
      <c r="L225" s="37">
        <f>IF($A225="","",IFERROR(IF(($C225+$D225)=0,0,$B225/($C225+$D225)),0))</f>
        <v/>
      </c>
    </row>
    <row r="226">
      <c r="L226" s="37">
        <f>IF($A226="","",IFERROR(IF(($C226+$D226)=0,0,$B226/($C226+$D226)),0))</f>
        <v/>
      </c>
    </row>
    <row r="227">
      <c r="L227" s="37">
        <f>IF($A227="","",IFERROR(IF(($C227+$D227)=0,0,$B227/($C227+$D227)),0))</f>
        <v/>
      </c>
    </row>
    <row r="228">
      <c r="L228" s="37">
        <f>IF($A228="","",IFERROR(IF(($C228+$D228)=0,0,$B228/($C228+$D228)),0))</f>
        <v/>
      </c>
    </row>
    <row r="229">
      <c r="L229" s="37">
        <f>IF($A229="","",IFERROR(IF(($C229+$D229)=0,0,$B229/($C229+$D229)),0))</f>
        <v/>
      </c>
    </row>
    <row r="230">
      <c r="L230" s="37">
        <f>IF($A230="","",IFERROR(IF(($C230+$D230)=0,0,$B230/($C230+$D230)),0))</f>
        <v/>
      </c>
    </row>
    <row r="231">
      <c r="L231" s="37">
        <f>IF($A231="","",IFERROR(IF(($C231+$D231)=0,0,$B231/($C231+$D231)),0))</f>
        <v/>
      </c>
    </row>
    <row r="232">
      <c r="L232" s="37">
        <f>IF($A232="","",IFERROR(IF(($C232+$D232)=0,0,$B232/($C232+$D232)),0))</f>
        <v/>
      </c>
    </row>
    <row r="233">
      <c r="L233" s="37">
        <f>IF($A233="","",IFERROR(IF(($C233+$D233)=0,0,$B233/($C233+$D233)),0))</f>
        <v/>
      </c>
    </row>
    <row r="234">
      <c r="L234" s="37">
        <f>IF($A234="","",IFERROR(IF(($C234+$D234)=0,0,$B234/($C234+$D234)),0))</f>
        <v/>
      </c>
    </row>
    <row r="235">
      <c r="L235" s="37">
        <f>IF($A235="","",IFERROR(IF(($C235+$D235)=0,0,$B235/($C235+$D235)),0))</f>
        <v/>
      </c>
    </row>
    <row r="236">
      <c r="L236" s="37">
        <f>IF($A236="","",IFERROR(IF(($C236+$D236)=0,0,$B236/($C236+$D236)),0))</f>
        <v/>
      </c>
    </row>
    <row r="237">
      <c r="L237" s="37">
        <f>IF($A237="","",IFERROR(IF(($C237+$D237)=0,0,$B237/($C237+$D237)),0))</f>
        <v/>
      </c>
    </row>
    <row r="238">
      <c r="L238" s="37">
        <f>IF($A238="","",IFERROR(IF(($C238+$D238)=0,0,$B238/($C238+$D238)),0))</f>
        <v/>
      </c>
    </row>
    <row r="239">
      <c r="L239" s="37">
        <f>IF($A239="","",IFERROR(IF(($C239+$D239)=0,0,$B239/($C239+$D239)),0))</f>
        <v/>
      </c>
    </row>
    <row r="240">
      <c r="L240" s="37">
        <f>IF($A240="","",IFERROR(IF(($C240+$D240)=0,0,$B240/($C240+$D240)),0))</f>
        <v/>
      </c>
    </row>
    <row r="241">
      <c r="L241" s="37">
        <f>IF($A241="","",IFERROR(IF(($C241+$D241)=0,0,$B241/($C241+$D241)),0))</f>
        <v/>
      </c>
    </row>
    <row r="242">
      <c r="L242" s="37">
        <f>IF($A242="","",IFERROR(IF(($C242+$D242)=0,0,$B242/($C242+$D242)),0))</f>
        <v/>
      </c>
    </row>
    <row r="243">
      <c r="L243" s="37">
        <f>IF($A243="","",IFERROR(IF(($C243+$D243)=0,0,$B243/($C243+$D243)),0))</f>
        <v/>
      </c>
    </row>
    <row r="244">
      <c r="L244" s="37">
        <f>IF($A244="","",IFERROR(IF(($C244+$D244)=0,0,$B244/($C244+$D244)),0))</f>
        <v/>
      </c>
    </row>
    <row r="245">
      <c r="L245" s="37">
        <f>IF($A245="","",IFERROR(IF(($C245+$D245)=0,0,$B245/($C245+$D245)),0))</f>
        <v/>
      </c>
    </row>
    <row r="246">
      <c r="L246" s="37">
        <f>IF($A246="","",IFERROR(IF(($C246+$D246)=0,0,$B246/($C246+$D246)),0))</f>
        <v/>
      </c>
    </row>
    <row r="247">
      <c r="L247" s="37">
        <f>IF($A247="","",IFERROR(IF(($C247+$D247)=0,0,$B247/($C247+$D247)),0))</f>
        <v/>
      </c>
    </row>
    <row r="248">
      <c r="L248" s="37">
        <f>IF($A248="","",IFERROR(IF(($C248+$D248)=0,0,$B248/($C248+$D248)),0))</f>
        <v/>
      </c>
    </row>
    <row r="249">
      <c r="L249" s="37">
        <f>IF($A249="","",IFERROR(IF(($C249+$D249)=0,0,$B249/($C249+$D249)),0))</f>
        <v/>
      </c>
    </row>
    <row r="250">
      <c r="L250" s="37">
        <f>IF($A250="","",IFERROR(IF(($C250+$D250)=0,0,$B250/($C250+$D250)),0))</f>
        <v/>
      </c>
    </row>
    <row r="251">
      <c r="L251" s="37">
        <f>IF($A251="","",IFERROR(IF(($C251+$D251)=0,0,$B251/($C251+$D251)),0))</f>
        <v/>
      </c>
    </row>
    <row r="252">
      <c r="L252" s="37">
        <f>IF($A252="","",IFERROR(IF(($C252+$D252)=0,0,$B252/($C252+$D252)),0))</f>
        <v/>
      </c>
    </row>
    <row r="253">
      <c r="L253" s="37">
        <f>IF($A253="","",IFERROR(IF(($C253+$D253)=0,0,$B253/($C253+$D253)),0))</f>
        <v/>
      </c>
    </row>
    <row r="254">
      <c r="L254" s="37">
        <f>IF($A254="","",IFERROR(IF(($C254+$D254)=0,0,$B254/($C254+$D254)),0))</f>
        <v/>
      </c>
    </row>
    <row r="255">
      <c r="L255" s="37">
        <f>IF($A255="","",IFERROR(IF(($C255+$D255)=0,0,$B255/($C255+$D255)),0))</f>
        <v/>
      </c>
    </row>
    <row r="256">
      <c r="L256" s="37">
        <f>IF($A256="","",IFERROR(IF(($C256+$D256)=0,0,$B256/($C256+$D256)),0))</f>
        <v/>
      </c>
    </row>
    <row r="257">
      <c r="L257" s="37">
        <f>IF($A257="","",IFERROR(IF(($C257+$D257)=0,0,$B257/($C257+$D257)),0))</f>
        <v/>
      </c>
    </row>
    <row r="258">
      <c r="L258" s="37">
        <f>IF($A258="","",IFERROR(IF(($C258+$D258)=0,0,$B258/($C258+$D258)),0))</f>
        <v/>
      </c>
    </row>
    <row r="259">
      <c r="L259" s="37">
        <f>IF($A259="","",IFERROR(IF(($C259+$D259)=0,0,$B259/($C259+$D259)),0))</f>
        <v/>
      </c>
    </row>
    <row r="260">
      <c r="L260" s="37">
        <f>IF($A260="","",IFERROR(IF(($C260+$D260)=0,0,$B260/($C260+$D260)),0))</f>
        <v/>
      </c>
    </row>
    <row r="261">
      <c r="L261" s="37">
        <f>IF($A261="","",IFERROR(IF(($C261+$D261)=0,0,$B261/($C261+$D261)),0))</f>
        <v/>
      </c>
    </row>
    <row r="262">
      <c r="L262" s="37">
        <f>IF($A262="","",IFERROR(IF(($C262+$D262)=0,0,$B262/($C262+$D262)),0))</f>
        <v/>
      </c>
    </row>
    <row r="263">
      <c r="L263" s="37">
        <f>IF($A263="","",IFERROR(IF(($C263+$D263)=0,0,$B263/($C263+$D263)),0))</f>
        <v/>
      </c>
    </row>
    <row r="264">
      <c r="L264" s="37">
        <f>IF($A264="","",IFERROR(IF(($C264+$D264)=0,0,$B264/($C264+$D264)),0))</f>
        <v/>
      </c>
    </row>
    <row r="265">
      <c r="L265" s="37">
        <f>IF($A265="","",IFERROR(IF(($C265+$D265)=0,0,$B265/($C265+$D265)),0))</f>
        <v/>
      </c>
    </row>
    <row r="266">
      <c r="L266" s="37">
        <f>IF($A266="","",IFERROR(IF(($C266+$D266)=0,0,$B266/($C266+$D266)),0))</f>
        <v/>
      </c>
    </row>
    <row r="267">
      <c r="L267" s="37">
        <f>IF($A267="","",IFERROR(IF(($C267+$D267)=0,0,$B267/($C267+$D267)),0))</f>
        <v/>
      </c>
    </row>
    <row r="268">
      <c r="L268" s="37">
        <f>IF($A268="","",IFERROR(IF(($C268+$D268)=0,0,$B268/($C268+$D268)),0))</f>
        <v/>
      </c>
    </row>
    <row r="269">
      <c r="L269" s="37">
        <f>IF($A269="","",IFERROR(IF(($C269+$D269)=0,0,$B269/($C269+$D269)),0))</f>
        <v/>
      </c>
    </row>
    <row r="270">
      <c r="L270" s="37">
        <f>IF($A270="","",IFERROR(IF(($C270+$D270)=0,0,$B270/($C270+$D270)),0))</f>
        <v/>
      </c>
    </row>
    <row r="271">
      <c r="L271" s="37">
        <f>IF($A271="","",IFERROR(IF(($C271+$D271)=0,0,$B271/($C271+$D271)),0))</f>
        <v/>
      </c>
    </row>
    <row r="272">
      <c r="L272" s="37">
        <f>IF($A272="","",IFERROR(IF(($C272+$D272)=0,0,$B272/($C272+$D272)),0))</f>
        <v/>
      </c>
    </row>
    <row r="273">
      <c r="L273" s="37">
        <f>IF($A273="","",IFERROR(IF(($C273+$D273)=0,0,$B273/($C273+$D273)),0))</f>
        <v/>
      </c>
    </row>
    <row r="274">
      <c r="L274" s="37">
        <f>IF($A274="","",IFERROR(IF(($C274+$D274)=0,0,$B274/($C274+$D274)),0))</f>
        <v/>
      </c>
    </row>
    <row r="275">
      <c r="L275" s="37">
        <f>IF($A275="","",IFERROR(IF(($C275+$D275)=0,0,$B275/($C275+$D275)),0))</f>
        <v/>
      </c>
    </row>
    <row r="276">
      <c r="L276" s="37">
        <f>IF($A276="","",IFERROR(IF(($C276+$D276)=0,0,$B276/($C276+$D276)),0))</f>
        <v/>
      </c>
    </row>
    <row r="277">
      <c r="L277" s="37">
        <f>IF($A277="","",IFERROR(IF(($C277+$D277)=0,0,$B277/($C277+$D277)),0))</f>
        <v/>
      </c>
    </row>
    <row r="278">
      <c r="L278" s="37">
        <f>IF($A278="","",IFERROR(IF(($C278+$D278)=0,0,$B278/($C278+$D278)),0))</f>
        <v/>
      </c>
    </row>
    <row r="279">
      <c r="L279" s="37">
        <f>IF($A279="","",IFERROR(IF(($C279+$D279)=0,0,$B279/($C279+$D279)),0))</f>
        <v/>
      </c>
    </row>
    <row r="280">
      <c r="L280" s="37">
        <f>IF($A280="","",IFERROR(IF(($C280+$D280)=0,0,$B280/($C280+$D280)),0))</f>
        <v/>
      </c>
    </row>
    <row r="281">
      <c r="L281" s="37">
        <f>IF($A281="","",IFERROR(IF(($C281+$D281)=0,0,$B281/($C281+$D281)),0))</f>
        <v/>
      </c>
    </row>
    <row r="282">
      <c r="L282" s="37">
        <f>IF($A282="","",IFERROR(IF(($C282+$D282)=0,0,$B282/($C282+$D282)),0))</f>
        <v/>
      </c>
    </row>
    <row r="283">
      <c r="L283" s="37">
        <f>IF($A283="","",IFERROR(IF(($C283+$D283)=0,0,$B283/($C283+$D283)),0))</f>
        <v/>
      </c>
    </row>
    <row r="284">
      <c r="L284" s="37">
        <f>IF($A284="","",IFERROR(IF(($C284+$D284)=0,0,$B284/($C284+$D284)),0))</f>
        <v/>
      </c>
    </row>
    <row r="285">
      <c r="L285" s="37">
        <f>IF($A285="","",IFERROR(IF(($C285+$D285)=0,0,$B285/($C285+$D285)),0))</f>
        <v/>
      </c>
    </row>
    <row r="286">
      <c r="L286" s="37">
        <f>IF($A286="","",IFERROR(IF(($C286+$D286)=0,0,$B286/($C286+$D286)),0))</f>
        <v/>
      </c>
    </row>
    <row r="287">
      <c r="L287" s="37">
        <f>IF($A287="","",IFERROR(IF(($C287+$D287)=0,0,$B287/($C287+$D287)),0))</f>
        <v/>
      </c>
    </row>
    <row r="288">
      <c r="L288" s="37">
        <f>IF($A288="","",IFERROR(IF(($C288+$D288)=0,0,$B288/($C288+$D288)),0))</f>
        <v/>
      </c>
    </row>
    <row r="289">
      <c r="L289" s="37">
        <f>IF($A289="","",IFERROR(IF(($C289+$D289)=0,0,$B289/($C289+$D289)),0))</f>
        <v/>
      </c>
    </row>
    <row r="290">
      <c r="L290" s="37">
        <f>IF($A290="","",IFERROR(IF(($C290+$D290)=0,0,$B290/($C290+$D290)),0))</f>
        <v/>
      </c>
    </row>
    <row r="291">
      <c r="L291" s="37">
        <f>IF($A291="","",IFERROR(IF(($C291+$D291)=0,0,$B291/($C291+$D291)),0))</f>
        <v/>
      </c>
    </row>
    <row r="292">
      <c r="L292" s="37">
        <f>IF($A292="","",IFERROR(IF(($C292+$D292)=0,0,$B292/($C292+$D292)),0))</f>
        <v/>
      </c>
    </row>
    <row r="293">
      <c r="L293" s="37">
        <f>IF($A293="","",IFERROR(IF(($C293+$D293)=0,0,$B293/($C293+$D293)),0))</f>
        <v/>
      </c>
    </row>
    <row r="294">
      <c r="L294" s="37">
        <f>IF($A294="","",IFERROR(IF(($C294+$D294)=0,0,$B294/($C294+$D294)),0))</f>
        <v/>
      </c>
    </row>
    <row r="295">
      <c r="L295" s="37">
        <f>IF($A295="","",IFERROR(IF(($C295+$D295)=0,0,$B295/($C295+$D295)),0))</f>
        <v/>
      </c>
    </row>
    <row r="296">
      <c r="L296" s="37">
        <f>IF($A296="","",IFERROR(IF(($C296+$D296)=0,0,$B296/($C296+$D296)),0))</f>
        <v/>
      </c>
    </row>
    <row r="297">
      <c r="L297" s="37">
        <f>IF($A297="","",IFERROR(IF(($C297+$D297)=0,0,$B297/($C297+$D297)),0))</f>
        <v/>
      </c>
    </row>
    <row r="298">
      <c r="L298" s="37">
        <f>IF($A298="","",IFERROR(IF(($C298+$D298)=0,0,$B298/($C298+$D298)),0))</f>
        <v/>
      </c>
    </row>
    <row r="299">
      <c r="L299" s="37">
        <f>IF($A299="","",IFERROR(IF(($C299+$D299)=0,0,$B299/($C299+$D299)),0))</f>
        <v/>
      </c>
    </row>
    <row r="300">
      <c r="L300" s="37">
        <f>IF($A300="","",IFERROR(IF(($C300+$D300)=0,0,$B300/($C300+$D300)),0))</f>
        <v/>
      </c>
    </row>
    <row r="301">
      <c r="L301" s="37">
        <f>IF($A301="","",IFERROR(IF(($C301+$D301)=0,0,$B301/($C301+$D301)),0))</f>
        <v/>
      </c>
    </row>
    <row r="302">
      <c r="L302" s="37">
        <f>IF($A302="","",IFERROR(IF(($C302+$D302)=0,0,$B302/($C302+$D302)),0))</f>
        <v/>
      </c>
    </row>
    <row r="303">
      <c r="L303" s="37">
        <f>IF($A303="","",IFERROR(IF(($C303+$D303)=0,0,$B303/($C303+$D303)),0))</f>
        <v/>
      </c>
    </row>
    <row r="304">
      <c r="L304" s="37">
        <f>IF($A304="","",IFERROR(IF(($C304+$D304)=0,0,$B304/($C304+$D304)),0))</f>
        <v/>
      </c>
    </row>
    <row r="305">
      <c r="L305" s="37">
        <f>IF($A305="","",IFERROR(IF(($C305+$D305)=0,0,$B305/($C305+$D305)),0))</f>
        <v/>
      </c>
    </row>
    <row r="306">
      <c r="L306" s="37">
        <f>IF($A306="","",IFERROR(IF(($C306+$D306)=0,0,$B306/($C306+$D306)),0))</f>
        <v/>
      </c>
    </row>
    <row r="307">
      <c r="L307" s="37">
        <f>IF($A307="","",IFERROR(IF(($C307+$D307)=0,0,$B307/($C307+$D307)),0))</f>
        <v/>
      </c>
    </row>
    <row r="308">
      <c r="L308" s="37">
        <f>IF($A308="","",IFERROR(IF(($C308+$D308)=0,0,$B308/($C308+$D308)),0))</f>
        <v/>
      </c>
    </row>
    <row r="309">
      <c r="L309" s="37">
        <f>IF($A309="","",IFERROR(IF(($C309+$D309)=0,0,$B309/($C309+$D309)),0))</f>
        <v/>
      </c>
    </row>
    <row r="310">
      <c r="L310" s="37">
        <f>IF($A310="","",IFERROR(IF(($C310+$D310)=0,0,$B310/($C310+$D310)),0))</f>
        <v/>
      </c>
    </row>
    <row r="311">
      <c r="L311" s="37">
        <f>IF($A311="","",IFERROR(IF(($C311+$D311)=0,0,$B311/($C311+$D311)),0))</f>
        <v/>
      </c>
    </row>
    <row r="312">
      <c r="L312" s="37">
        <f>IF($A312="","",IFERROR(IF(($C312+$D312)=0,0,$B312/($C312+$D312)),0))</f>
        <v/>
      </c>
    </row>
    <row r="313">
      <c r="L313" s="37">
        <f>IF($A313="","",IFERROR(IF(($C313+$D313)=0,0,$B313/($C313+$D313)),0))</f>
        <v/>
      </c>
    </row>
    <row r="314">
      <c r="L314" s="37">
        <f>IF($A314="","",IFERROR(IF(($C314+$D314)=0,0,$B314/($C314+$D314)),0))</f>
        <v/>
      </c>
    </row>
    <row r="315">
      <c r="L315" s="37">
        <f>IF($A315="","",IFERROR(IF(($C315+$D315)=0,0,$B315/($C315+$D315)),0))</f>
        <v/>
      </c>
    </row>
    <row r="316">
      <c r="L316" s="37">
        <f>IF($A316="","",IFERROR(IF(($C316+$D316)=0,0,$B316/($C316+$D316)),0))</f>
        <v/>
      </c>
    </row>
    <row r="317">
      <c r="L317" s="37">
        <f>IF($A317="","",IFERROR(IF(($C317+$D317)=0,0,$B317/($C317+$D317)),0))</f>
        <v/>
      </c>
    </row>
    <row r="318">
      <c r="L318" s="37">
        <f>IF($A318="","",IFERROR(IF(($C318+$D318)=0,0,$B318/($C318+$D318)),0))</f>
        <v/>
      </c>
    </row>
    <row r="319">
      <c r="L319" s="37">
        <f>IF($A319="","",IFERROR(IF(($C319+$D319)=0,0,$B319/($C319+$D319)),0))</f>
        <v/>
      </c>
    </row>
    <row r="320">
      <c r="L320" s="37">
        <f>IF($A320="","",IFERROR(IF(($C320+$D320)=0,0,$B320/($C320+$D320)),0))</f>
        <v/>
      </c>
    </row>
    <row r="321">
      <c r="L321" s="37">
        <f>IF($A321="","",IFERROR(IF(($C321+$D321)=0,0,$B321/($C321+$D321)),0))</f>
        <v/>
      </c>
    </row>
    <row r="322">
      <c r="L322" s="37">
        <f>IF($A322="","",IFERROR(IF(($C322+$D322)=0,0,$B322/($C322+$D322)),0))</f>
        <v/>
      </c>
    </row>
    <row r="323">
      <c r="L323" s="37">
        <f>IF($A323="","",IFERROR(IF(($C323+$D323)=0,0,$B323/($C323+$D323)),0))</f>
        <v/>
      </c>
    </row>
    <row r="324">
      <c r="L324" s="37">
        <f>IF($A324="","",IFERROR(IF(($C324+$D324)=0,0,$B324/($C324+$D324)),0))</f>
        <v/>
      </c>
    </row>
    <row r="325">
      <c r="L325" s="37">
        <f>IF($A325="","",IFERROR(IF(($C325+$D325)=0,0,$B325/($C325+$D325)),0))</f>
        <v/>
      </c>
    </row>
    <row r="326">
      <c r="L326" s="37">
        <f>IF($A326="","",IFERROR(IF(($C326+$D326)=0,0,$B326/($C326+$D326)),0))</f>
        <v/>
      </c>
    </row>
    <row r="327">
      <c r="L327" s="37">
        <f>IF($A327="","",IFERROR(IF(($C327+$D327)=0,0,$B327/($C327+$D327)),0))</f>
        <v/>
      </c>
    </row>
    <row r="328">
      <c r="L328" s="37">
        <f>IF($A328="","",IFERROR(IF(($C328+$D328)=0,0,$B328/($C328+$D328)),0))</f>
        <v/>
      </c>
    </row>
    <row r="329">
      <c r="L329" s="37">
        <f>IF($A329="","",IFERROR(IF(($C329+$D329)=0,0,$B329/($C329+$D329)),0))</f>
        <v/>
      </c>
    </row>
    <row r="330">
      <c r="L330" s="37">
        <f>IF($A330="","",IFERROR(IF(($C330+$D330)=0,0,$B330/($C330+$D330)),0))</f>
        <v/>
      </c>
    </row>
    <row r="331">
      <c r="L331" s="37">
        <f>IF($A331="","",IFERROR(IF(($C331+$D331)=0,0,$B331/($C331+$D331)),0))</f>
        <v/>
      </c>
    </row>
    <row r="332">
      <c r="L332" s="37">
        <f>IF($A332="","",IFERROR(IF(($C332+$D332)=0,0,$B332/($C332+$D332)),0))</f>
        <v/>
      </c>
    </row>
    <row r="333">
      <c r="L333" s="37">
        <f>IF($A333="","",IFERROR(IF(($C333+$D333)=0,0,$B333/($C333+$D333)),0))</f>
        <v/>
      </c>
    </row>
    <row r="334">
      <c r="L334" s="37">
        <f>IF($A334="","",IFERROR(IF(($C334+$D334)=0,0,$B334/($C334+$D334)),0))</f>
        <v/>
      </c>
    </row>
    <row r="335">
      <c r="L335" s="37">
        <f>IF($A335="","",IFERROR(IF(($C335+$D335)=0,0,$B335/($C335+$D335)),0))</f>
        <v/>
      </c>
    </row>
    <row r="336">
      <c r="L336" s="37">
        <f>IF($A336="","",IFERROR(IF(($C336+$D336)=0,0,$B336/($C336+$D336)),0))</f>
        <v/>
      </c>
    </row>
    <row r="337">
      <c r="L337" s="37">
        <f>IF($A337="","",IFERROR(IF(($C337+$D337)=0,0,$B337/($C337+$D337)),0))</f>
        <v/>
      </c>
    </row>
    <row r="338">
      <c r="L338" s="37">
        <f>IF($A338="","",IFERROR(IF(($C338+$D338)=0,0,$B338/($C338+$D338)),0))</f>
        <v/>
      </c>
    </row>
    <row r="339">
      <c r="L339" s="37">
        <f>IF($A339="","",IFERROR(IF(($C339+$D339)=0,0,$B339/($C339+$D339)),0))</f>
        <v/>
      </c>
    </row>
    <row r="340">
      <c r="L340" s="37">
        <f>IF($A340="","",IFERROR(IF(($C340+$D340)=0,0,$B340/($C340+$D340)),0))</f>
        <v/>
      </c>
    </row>
    <row r="341">
      <c r="L341" s="37">
        <f>IF($A341="","",IFERROR(IF(($C341+$D341)=0,0,$B341/($C341+$D341)),0))</f>
        <v/>
      </c>
    </row>
    <row r="342">
      <c r="L342" s="37">
        <f>IF($A342="","",IFERROR(IF(($C342+$D342)=0,0,$B342/($C342+$D342)),0))</f>
        <v/>
      </c>
    </row>
    <row r="343">
      <c r="L343" s="37">
        <f>IF($A343="","",IFERROR(IF(($C343+$D343)=0,0,$B343/($C343+$D343)),0))</f>
        <v/>
      </c>
    </row>
    <row r="344">
      <c r="L344" s="37">
        <f>IF($A344="","",IFERROR(IF(($C344+$D344)=0,0,$B344/($C344+$D344)),0))</f>
        <v/>
      </c>
    </row>
    <row r="345">
      <c r="L345" s="37">
        <f>IF($A345="","",IFERROR(IF(($C345+$D345)=0,0,$B345/($C345+$D345)),0))</f>
        <v/>
      </c>
    </row>
    <row r="346">
      <c r="L346" s="37">
        <f>IF($A346="","",IFERROR(IF(($C346+$D346)=0,0,$B346/($C346+$D346)),0))</f>
        <v/>
      </c>
    </row>
    <row r="347">
      <c r="L347" s="37">
        <f>IF($A347="","",IFERROR(IF(($C347+$D347)=0,0,$B347/($C347+$D347)),0))</f>
        <v/>
      </c>
    </row>
    <row r="348">
      <c r="L348" s="37">
        <f>IF($A348="","",IFERROR(IF(($C348+$D348)=0,0,$B348/($C348+$D348)),0))</f>
        <v/>
      </c>
    </row>
    <row r="349">
      <c r="L349" s="37">
        <f>IF($A349="","",IFERROR(IF(($C349+$D349)=0,0,$B349/($C349+$D349)),0))</f>
        <v/>
      </c>
    </row>
    <row r="350">
      <c r="L350" s="37">
        <f>IF($A350="","",IFERROR(IF(($C350+$D350)=0,0,$B350/($C350+$D350)),0))</f>
        <v/>
      </c>
    </row>
    <row r="351">
      <c r="L351" s="37">
        <f>IF($A351="","",IFERROR(IF(($C351+$D351)=0,0,$B351/($C351+$D351)),0))</f>
        <v/>
      </c>
    </row>
    <row r="352">
      <c r="L352" s="37">
        <f>IF($A352="","",IFERROR(IF(($C352+$D352)=0,0,$B352/($C352+$D352)),0))</f>
        <v/>
      </c>
    </row>
    <row r="353">
      <c r="L353" s="37">
        <f>IF($A353="","",IFERROR(IF(($C353+$D353)=0,0,$B353/($C353+$D353)),0))</f>
        <v/>
      </c>
    </row>
    <row r="354">
      <c r="L354" s="37">
        <f>IF($A354="","",IFERROR(IF(($C354+$D354)=0,0,$B354/($C354+$D354)),0))</f>
        <v/>
      </c>
    </row>
    <row r="355">
      <c r="L355" s="37">
        <f>IF($A355="","",IFERROR(IF(($C355+$D355)=0,0,$B355/($C355+$D355)),0))</f>
        <v/>
      </c>
    </row>
    <row r="356">
      <c r="L356" s="37">
        <f>IF($A356="","",IFERROR(IF(($C356+$D356)=0,0,$B356/($C356+$D356)),0))</f>
        <v/>
      </c>
    </row>
    <row r="357">
      <c r="L357" s="37">
        <f>IF($A357="","",IFERROR(IF(($C357+$D357)=0,0,$B357/($C357+$D357)),0))</f>
        <v/>
      </c>
    </row>
    <row r="358">
      <c r="L358" s="37">
        <f>IF($A358="","",IFERROR(IF(($C358+$D358)=0,0,$B358/($C358+$D358)),0))</f>
        <v/>
      </c>
    </row>
    <row r="359">
      <c r="L359" s="37">
        <f>IF($A359="","",IFERROR(IF(($C359+$D359)=0,0,$B359/($C359+$D359)),0))</f>
        <v/>
      </c>
    </row>
    <row r="360">
      <c r="L360" s="37">
        <f>IF($A360="","",IFERROR(IF(($C360+$D360)=0,0,$B360/($C360+$D360)),0))</f>
        <v/>
      </c>
    </row>
    <row r="361">
      <c r="L361" s="37">
        <f>IF($A361="","",IFERROR(IF(($C361+$D361)=0,0,$B361/($C361+$D361)),0))</f>
        <v/>
      </c>
    </row>
    <row r="362">
      <c r="L362" s="37">
        <f>IF($A362="","",IFERROR(IF(($C362+$D362)=0,0,$B362/($C362+$D362)),0))</f>
        <v/>
      </c>
    </row>
    <row r="363">
      <c r="L363" s="37">
        <f>IF($A363="","",IFERROR(IF(($C363+$D363)=0,0,$B363/($C363+$D363)),0))</f>
        <v/>
      </c>
    </row>
    <row r="364">
      <c r="L364" s="37">
        <f>IF($A364="","",IFERROR(IF(($C364+$D364)=0,0,$B364/($C364+$D364)),0))</f>
        <v/>
      </c>
    </row>
    <row r="365">
      <c r="L365" s="37">
        <f>IF($A365="","",IFERROR(IF(($C365+$D365)=0,0,$B365/($C365+$D365)),0))</f>
        <v/>
      </c>
    </row>
    <row r="366">
      <c r="L366" s="37">
        <f>IF($A366="","",IFERROR(IF(($C366+$D366)=0,0,$B366/($C366+$D366)),0))</f>
        <v/>
      </c>
    </row>
    <row r="367">
      <c r="L367" s="37">
        <f>IF($A367="","",IFERROR(IF(($C367+$D367)=0,0,$B367/($C367+$D367)),0))</f>
        <v/>
      </c>
    </row>
    <row r="368">
      <c r="L368" s="37">
        <f>IF($A368="","",IFERROR(IF(($C368+$D368)=0,0,$B368/($C368+$D368)),0))</f>
        <v/>
      </c>
    </row>
    <row r="369">
      <c r="L369" s="37">
        <f>IF($A369="","",IFERROR(IF(($C369+$D369)=0,0,$B369/($C369+$D369)),0))</f>
        <v/>
      </c>
    </row>
    <row r="370">
      <c r="L370" s="37">
        <f>IF($A370="","",IFERROR(IF(($C370+$D370)=0,0,$B370/($C370+$D370)),0))</f>
        <v/>
      </c>
    </row>
    <row r="371">
      <c r="L371" s="37">
        <f>IF($A371="","",IFERROR(IF(($C371+$D371)=0,0,$B371/($C371+$D371)),0))</f>
        <v/>
      </c>
    </row>
    <row r="372">
      <c r="L372" s="37">
        <f>IF($A372="","",IFERROR(IF(($C372+$D372)=0,0,$B372/($C372+$D372)),0))</f>
        <v/>
      </c>
    </row>
    <row r="373">
      <c r="L373" s="37">
        <f>IF($A373="","",IFERROR(IF(($C373+$D373)=0,0,$B373/($C373+$D373)),0))</f>
        <v/>
      </c>
    </row>
    <row r="374">
      <c r="L374" s="37">
        <f>IF($A374="","",IFERROR(IF(($C374+$D374)=0,0,$B374/($C374+$D374)),0))</f>
        <v/>
      </c>
    </row>
    <row r="375">
      <c r="L375" s="37">
        <f>IF($A375="","",IFERROR(IF(($C375+$D375)=0,0,$B375/($C375+$D375)),0))</f>
        <v/>
      </c>
    </row>
    <row r="376">
      <c r="L376" s="37">
        <f>IF($A376="","",IFERROR(IF(($C376+$D376)=0,0,$B376/($C376+$D376)),0))</f>
        <v/>
      </c>
    </row>
    <row r="377">
      <c r="L377" s="37">
        <f>IF($A377="","",IFERROR(IF(($C377+$D377)=0,0,$B377/($C377+$D377)),0))</f>
        <v/>
      </c>
    </row>
    <row r="378">
      <c r="L378" s="37">
        <f>IF($A378="","",IFERROR(IF(($C378+$D378)=0,0,$B378/($C378+$D378)),0))</f>
        <v/>
      </c>
    </row>
    <row r="379">
      <c r="L379" s="37">
        <f>IF($A379="","",IFERROR(IF(($C379+$D379)=0,0,$B379/($C379+$D379)),0))</f>
        <v/>
      </c>
    </row>
    <row r="380">
      <c r="L380" s="37">
        <f>IF($A380="","",IFERROR(IF(($C380+$D380)=0,0,$B380/($C380+$D380)),0))</f>
        <v/>
      </c>
    </row>
    <row r="381">
      <c r="L381" s="37">
        <f>IF($A381="","",IFERROR(IF(($C381+$D381)=0,0,$B381/($C381+$D381)),0))</f>
        <v/>
      </c>
    </row>
    <row r="382">
      <c r="L382" s="37">
        <f>IF($A382="","",IFERROR(IF(($C382+$D382)=0,0,$B382/($C382+$D382)),0))</f>
        <v/>
      </c>
    </row>
    <row r="383">
      <c r="L383" s="37">
        <f>IF($A383="","",IFERROR(IF(($C383+$D383)=0,0,$B383/($C383+$D383)),0))</f>
        <v/>
      </c>
    </row>
    <row r="384">
      <c r="L384" s="37">
        <f>IF($A384="","",IFERROR(IF(($C384+$D384)=0,0,$B384/($C384+$D384)),0))</f>
        <v/>
      </c>
    </row>
    <row r="385">
      <c r="L385" s="37">
        <f>IF($A385="","",IFERROR(IF(($C385+$D385)=0,0,$B385/($C385+$D385)),0))</f>
        <v/>
      </c>
    </row>
    <row r="386">
      <c r="L386" s="37">
        <f>IF($A386="","",IFERROR(IF(($C386+$D386)=0,0,$B386/($C386+$D386)),0))</f>
        <v/>
      </c>
    </row>
    <row r="387">
      <c r="L387" s="37">
        <f>IF($A387="","",IFERROR(IF(($C387+$D387)=0,0,$B387/($C387+$D387)),0))</f>
        <v/>
      </c>
    </row>
    <row r="388">
      <c r="L388" s="37">
        <f>IF($A388="","",IFERROR(IF(($C388+$D388)=0,0,$B388/($C388+$D388)),0))</f>
        <v/>
      </c>
    </row>
    <row r="389">
      <c r="L389" s="37">
        <f>IF($A389="","",IFERROR(IF(($C389+$D389)=0,0,$B389/($C389+$D389)),0))</f>
        <v/>
      </c>
    </row>
    <row r="390">
      <c r="L390" s="37">
        <f>IF($A390="","",IFERROR(IF(($C390+$D390)=0,0,$B390/($C390+$D390)),0))</f>
        <v/>
      </c>
    </row>
    <row r="391">
      <c r="L391" s="37">
        <f>IF($A391="","",IFERROR(IF(($C391+$D391)=0,0,$B391/($C391+$D391)),0))</f>
        <v/>
      </c>
    </row>
    <row r="392">
      <c r="L392" s="37">
        <f>IF($A392="","",IFERROR(IF(($C392+$D392)=0,0,$B392/($C392+$D392)),0))</f>
        <v/>
      </c>
    </row>
    <row r="393">
      <c r="L393" s="37">
        <f>IF($A393="","",IFERROR(IF(($C393+$D393)=0,0,$B393/($C393+$D393)),0))</f>
        <v/>
      </c>
    </row>
    <row r="394">
      <c r="L394" s="37">
        <f>IF($A394="","",IFERROR(IF(($C394+$D394)=0,0,$B394/($C394+$D394)),0))</f>
        <v/>
      </c>
    </row>
    <row r="395">
      <c r="L395" s="37">
        <f>IF($A395="","",IFERROR(IF(($C395+$D395)=0,0,$B395/($C395+$D395)),0))</f>
        <v/>
      </c>
    </row>
    <row r="396">
      <c r="L396" s="37">
        <f>IF($A396="","",IFERROR(IF(($C396+$D396)=0,0,$B396/($C396+$D396)),0))</f>
        <v/>
      </c>
    </row>
    <row r="397">
      <c r="L397" s="37">
        <f>IF($A397="","",IFERROR(IF(($C397+$D397)=0,0,$B397/($C397+$D397)),0))</f>
        <v/>
      </c>
    </row>
    <row r="398">
      <c r="L398" s="37">
        <f>IF($A398="","",IFERROR(IF(($C398+$D398)=0,0,$B398/($C398+$D398)),0))</f>
        <v/>
      </c>
    </row>
    <row r="399">
      <c r="L399" s="37">
        <f>IF($A399="","",IFERROR(IF(($C399+$D399)=0,0,$B399/($C399+$D399)),0))</f>
        <v/>
      </c>
    </row>
    <row r="400">
      <c r="L400" s="37">
        <f>IF($A400="","",IFERROR(IF(($C400+$D400)=0,0,$B400/($C400+$D400)),0))</f>
        <v/>
      </c>
    </row>
    <row r="401">
      <c r="L401" s="37">
        <f>IF($A401="","",IFERROR(IF(($C401+$D401)=0,0,$B401/($C401+$D401)),0))</f>
        <v/>
      </c>
    </row>
    <row r="402">
      <c r="L402" s="37">
        <f>IF($A402="","",IFERROR(IF(($C402+$D402)=0,0,$B402/($C402+$D402)),0))</f>
        <v/>
      </c>
    </row>
    <row r="403">
      <c r="L403" s="37">
        <f>IF($A403="","",IFERROR(IF(($C403+$D403)=0,0,$B403/($C403+$D403)),0))</f>
        <v/>
      </c>
    </row>
    <row r="404">
      <c r="L404" s="37">
        <f>IF($A404="","",IFERROR(IF(($C404+$D404)=0,0,$B404/($C404+$D404)),0))</f>
        <v/>
      </c>
    </row>
    <row r="405">
      <c r="L405" s="37">
        <f>IF($A405="","",IFERROR(IF(($C405+$D405)=0,0,$B405/($C405+$D405)),0))</f>
        <v/>
      </c>
    </row>
    <row r="406">
      <c r="L406" s="37">
        <f>IF($A406="","",IFERROR(IF(($C406+$D406)=0,0,$B406/($C406+$D406)),0))</f>
        <v/>
      </c>
    </row>
    <row r="407">
      <c r="L407" s="37">
        <f>IF($A407="","",IFERROR(IF(($C407+$D407)=0,0,$B407/($C407+$D407)),0))</f>
        <v/>
      </c>
    </row>
    <row r="408">
      <c r="L408" s="37">
        <f>IF($A408="","",IFERROR(IF(($C408+$D408)=0,0,$B408/($C408+$D408)),0))</f>
        <v/>
      </c>
    </row>
    <row r="409">
      <c r="L409" s="37">
        <f>IF($A409="","",IFERROR(IF(($C409+$D409)=0,0,$B409/($C409+$D409)),0))</f>
        <v/>
      </c>
    </row>
    <row r="410">
      <c r="L410" s="37">
        <f>IF($A410="","",IFERROR(IF(($C410+$D410)=0,0,$B410/($C410+$D410)),0))</f>
        <v/>
      </c>
    </row>
    <row r="411">
      <c r="L411" s="37">
        <f>IF($A411="","",IFERROR(IF(($C411+$D411)=0,0,$B411/($C411+$D411)),0))</f>
        <v/>
      </c>
    </row>
    <row r="412">
      <c r="L412" s="37">
        <f>IF($A412="","",IFERROR(IF(($C412+$D412)=0,0,$B412/($C412+$D412)),0))</f>
        <v/>
      </c>
    </row>
    <row r="413">
      <c r="L413" s="37">
        <f>IF($A413="","",IFERROR(IF(($C413+$D413)=0,0,$B413/($C413+$D413)),0))</f>
        <v/>
      </c>
    </row>
    <row r="414">
      <c r="L414" s="37">
        <f>IF($A414="","",IFERROR(IF(($C414+$D414)=0,0,$B414/($C414+$D414)),0))</f>
        <v/>
      </c>
    </row>
    <row r="415">
      <c r="L415" s="37">
        <f>IF($A415="","",IFERROR(IF(($C415+$D415)=0,0,$B415/($C415+$D415)),0))</f>
        <v/>
      </c>
    </row>
    <row r="416">
      <c r="L416" s="37">
        <f>IF($A416="","",IFERROR(IF(($C416+$D416)=0,0,$B416/($C416+$D416)),0))</f>
        <v/>
      </c>
    </row>
    <row r="417">
      <c r="L417" s="37">
        <f>IF($A417="","",IFERROR(IF(($C417+$D417)=0,0,$B417/($C417+$D417)),0))</f>
        <v/>
      </c>
    </row>
    <row r="418">
      <c r="L418" s="37">
        <f>IF($A418="","",IFERROR(IF(($C418+$D418)=0,0,$B418/($C418+$D418)),0))</f>
        <v/>
      </c>
    </row>
    <row r="419">
      <c r="L419" s="37">
        <f>IF($A419="","",IFERROR(IF(($C419+$D419)=0,0,$B419/($C419+$D419)),0))</f>
        <v/>
      </c>
    </row>
    <row r="420">
      <c r="L420" s="37">
        <f>IF($A420="","",IFERROR(IF(($C420+$D420)=0,0,$B420/($C420+$D420)),0))</f>
        <v/>
      </c>
    </row>
    <row r="421">
      <c r="L421" s="37">
        <f>IF($A421="","",IFERROR(IF(($C421+$D421)=0,0,$B421/($C421+$D421)),0))</f>
        <v/>
      </c>
    </row>
    <row r="422">
      <c r="L422" s="37">
        <f>IF($A422="","",IFERROR(IF(($C422+$D422)=0,0,$B422/($C422+$D422)),0))</f>
        <v/>
      </c>
    </row>
    <row r="423">
      <c r="L423" s="37">
        <f>IF($A423="","",IFERROR(IF(($C423+$D423)=0,0,$B423/($C423+$D423)),0))</f>
        <v/>
      </c>
    </row>
    <row r="424">
      <c r="L424" s="37">
        <f>IF($A424="","",IFERROR(IF(($C424+$D424)=0,0,$B424/($C424+$D424)),0))</f>
        <v/>
      </c>
    </row>
    <row r="425">
      <c r="L425" s="37">
        <f>IF($A425="","",IFERROR(IF(($C425+$D425)=0,0,$B425/($C425+$D425)),0))</f>
        <v/>
      </c>
    </row>
    <row r="426">
      <c r="L426" s="37">
        <f>IF($A426="","",IFERROR(IF(($C426+$D426)=0,0,$B426/($C426+$D426)),0))</f>
        <v/>
      </c>
    </row>
    <row r="427">
      <c r="L427" s="37">
        <f>IF($A427="","",IFERROR(IF(($C427+$D427)=0,0,$B427/($C427+$D427)),0))</f>
        <v/>
      </c>
    </row>
    <row r="428">
      <c r="L428" s="37">
        <f>IF($A428="","",IFERROR(IF(($C428+$D428)=0,0,$B428/($C428+$D428)),0))</f>
        <v/>
      </c>
    </row>
    <row r="429">
      <c r="L429" s="37">
        <f>IF($A429="","",IFERROR(IF(($C429+$D429)=0,0,$B429/($C429+$D429)),0))</f>
        <v/>
      </c>
    </row>
    <row r="430">
      <c r="L430" s="37">
        <f>IF($A430="","",IFERROR(IF(($C430+$D430)=0,0,$B430/($C430+$D430)),0))</f>
        <v/>
      </c>
    </row>
    <row r="431">
      <c r="L431" s="37">
        <f>IF($A431="","",IFERROR(IF(($C431+$D431)=0,0,$B431/($C431+$D431)),0))</f>
        <v/>
      </c>
    </row>
    <row r="432">
      <c r="L432" s="37">
        <f>IF($A432="","",IFERROR(IF(($C432+$D432)=0,0,$B432/($C432+$D432)),0))</f>
        <v/>
      </c>
    </row>
    <row r="433">
      <c r="L433" s="37">
        <f>IF($A433="","",IFERROR(IF(($C433+$D433)=0,0,$B433/($C433+$D433)),0))</f>
        <v/>
      </c>
    </row>
    <row r="434">
      <c r="L434" s="37">
        <f>IF($A434="","",IFERROR(IF(($C434+$D434)=0,0,$B434/($C434+$D434)),0))</f>
        <v/>
      </c>
    </row>
    <row r="435">
      <c r="L435" s="37">
        <f>IF($A435="","",IFERROR(IF(($C435+$D435)=0,0,$B435/($C435+$D435)),0))</f>
        <v/>
      </c>
    </row>
    <row r="436">
      <c r="L436" s="37">
        <f>IF($A436="","",IFERROR(IF(($C436+$D436)=0,0,$B436/($C436+$D436)),0))</f>
        <v/>
      </c>
    </row>
    <row r="437">
      <c r="L437" s="37">
        <f>IF($A437="","",IFERROR(IF(($C437+$D437)=0,0,$B437/($C437+$D437)),0))</f>
        <v/>
      </c>
    </row>
    <row r="438">
      <c r="L438" s="37">
        <f>IF($A438="","",IFERROR(IF(($C438+$D438)=0,0,$B438/($C438+$D438)),0))</f>
        <v/>
      </c>
    </row>
    <row r="439">
      <c r="L439" s="37">
        <f>IF($A439="","",IFERROR(IF(($C439+$D439)=0,0,$B439/($C439+$D439)),0))</f>
        <v/>
      </c>
    </row>
    <row r="440">
      <c r="L440" s="37">
        <f>IF($A440="","",IFERROR(IF(($C440+$D440)=0,0,$B440/($C440+$D440)),0))</f>
        <v/>
      </c>
    </row>
    <row r="441">
      <c r="L441" s="37">
        <f>IF($A441="","",IFERROR(IF(($C441+$D441)=0,0,$B441/($C441+$D441)),0))</f>
        <v/>
      </c>
    </row>
    <row r="442">
      <c r="L442" s="37">
        <f>IF($A442="","",IFERROR(IF(($C442+$D442)=0,0,$B442/($C442+$D442)),0))</f>
        <v/>
      </c>
    </row>
    <row r="443">
      <c r="L443" s="37">
        <f>IF($A443="","",IFERROR(IF(($C443+$D443)=0,0,$B443/($C443+$D443)),0))</f>
        <v/>
      </c>
    </row>
    <row r="444">
      <c r="L444" s="37">
        <f>IF($A444="","",IFERROR(IF(($C444+$D444)=0,0,$B444/($C444+$D444)),0))</f>
        <v/>
      </c>
    </row>
    <row r="445">
      <c r="L445" s="37">
        <f>IF($A445="","",IFERROR(IF(($C445+$D445)=0,0,$B445/($C445+$D445)),0))</f>
        <v/>
      </c>
    </row>
    <row r="446">
      <c r="L446" s="37">
        <f>IF($A446="","",IFERROR(IF(($C446+$D446)=0,0,$B446/($C446+$D446)),0))</f>
        <v/>
      </c>
    </row>
    <row r="447">
      <c r="L447" s="37">
        <f>IF($A447="","",IFERROR(IF(($C447+$D447)=0,0,$B447/($C447+$D447)),0))</f>
        <v/>
      </c>
    </row>
    <row r="448">
      <c r="L448" s="37">
        <f>IF($A448="","",IFERROR(IF(($C448+$D448)=0,0,$B448/($C448+$D448)),0))</f>
        <v/>
      </c>
    </row>
    <row r="449">
      <c r="L449" s="37">
        <f>IF($A449="","",IFERROR(IF(($C449+$D449)=0,0,$B449/($C449+$D449)),0))</f>
        <v/>
      </c>
    </row>
    <row r="450">
      <c r="L450" s="37">
        <f>IF($A450="","",IFERROR(IF(($C450+$D450)=0,0,$B450/($C450+$D450)),0))</f>
        <v/>
      </c>
    </row>
    <row r="451">
      <c r="L451" s="37">
        <f>IF($A451="","",IFERROR(IF(($C451+$D451)=0,0,$B451/($C451+$D451)),0))</f>
        <v/>
      </c>
    </row>
    <row r="452">
      <c r="L452" s="37">
        <f>IF($A452="","",IFERROR(IF(($C452+$D452)=0,0,$B452/($C452+$D452)),0))</f>
        <v/>
      </c>
    </row>
    <row r="453">
      <c r="L453" s="37">
        <f>IF($A453="","",IFERROR(IF(($C453+$D453)=0,0,$B453/($C453+$D453)),0))</f>
        <v/>
      </c>
    </row>
    <row r="454">
      <c r="L454" s="37">
        <f>IF($A454="","",IFERROR(IF(($C454+$D454)=0,0,$B454/($C454+$D454)),0))</f>
        <v/>
      </c>
    </row>
    <row r="455">
      <c r="L455" s="37">
        <f>IF($A455="","",IFERROR(IF(($C455+$D455)=0,0,$B455/($C455+$D455)),0))</f>
        <v/>
      </c>
    </row>
    <row r="456">
      <c r="L456" s="37">
        <f>IF($A456="","",IFERROR(IF(($C456+$D456)=0,0,$B456/($C456+$D456)),0))</f>
        <v/>
      </c>
    </row>
    <row r="457">
      <c r="L457" s="37">
        <f>IF($A457="","",IFERROR(IF(($C457+$D457)=0,0,$B457/($C457+$D457)),0))</f>
        <v/>
      </c>
    </row>
    <row r="458">
      <c r="L458" s="37">
        <f>IF($A458="","",IFERROR(IF(($C458+$D458)=0,0,$B458/($C458+$D458)),0))</f>
        <v/>
      </c>
    </row>
    <row r="459">
      <c r="L459" s="37">
        <f>IF($A459="","",IFERROR(IF(($C459+$D459)=0,0,$B459/($C459+$D459)),0))</f>
        <v/>
      </c>
    </row>
    <row r="460">
      <c r="L460" s="37">
        <f>IF($A460="","",IFERROR(IF(($C460+$D460)=0,0,$B460/($C460+$D460)),0))</f>
        <v/>
      </c>
    </row>
    <row r="461">
      <c r="L461" s="37">
        <f>IF($A461="","",IFERROR(IF(($C461+$D461)=0,0,$B461/($C461+$D461)),0))</f>
        <v/>
      </c>
    </row>
    <row r="462">
      <c r="L462" s="37">
        <f>IF($A462="","",IFERROR(IF(($C462+$D462)=0,0,$B462/($C462+$D462)),0))</f>
        <v/>
      </c>
    </row>
    <row r="463">
      <c r="L463" s="37">
        <f>IF($A463="","",IFERROR(IF(($C463+$D463)=0,0,$B463/($C463+$D463)),0))</f>
        <v/>
      </c>
    </row>
    <row r="464">
      <c r="L464" s="37">
        <f>IF($A464="","",IFERROR(IF(($C464+$D464)=0,0,$B464/($C464+$D464)),0))</f>
        <v/>
      </c>
    </row>
    <row r="465">
      <c r="L465" s="37">
        <f>IF($A465="","",IFERROR(IF(($C465+$D465)=0,0,$B465/($C465+$D465)),0))</f>
        <v/>
      </c>
    </row>
    <row r="466">
      <c r="L466" s="37">
        <f>IF($A466="","",IFERROR(IF(($C466+$D466)=0,0,$B466/($C466+$D466)),0))</f>
        <v/>
      </c>
    </row>
    <row r="467">
      <c r="L467" s="37">
        <f>IF($A467="","",IFERROR(IF(($C467+$D467)=0,0,$B467/($C467+$D467)),0))</f>
        <v/>
      </c>
    </row>
    <row r="468">
      <c r="L468" s="37">
        <f>IF($A468="","",IFERROR(IF(($C468+$D468)=0,0,$B468/($C468+$D468)),0))</f>
        <v/>
      </c>
    </row>
    <row r="469">
      <c r="L469" s="37">
        <f>IF($A469="","",IFERROR(IF(($C469+$D469)=0,0,$B469/($C469+$D469)),0))</f>
        <v/>
      </c>
    </row>
    <row r="470">
      <c r="L470" s="37">
        <f>IF($A470="","",IFERROR(IF(($C470+$D470)=0,0,$B470/($C470+$D470)),0))</f>
        <v/>
      </c>
    </row>
    <row r="471">
      <c r="L471" s="37">
        <f>IF($A471="","",IFERROR(IF(($C471+$D471)=0,0,$B471/($C471+$D471)),0))</f>
        <v/>
      </c>
    </row>
    <row r="472">
      <c r="L472" s="37">
        <f>IF($A472="","",IFERROR(IF(($C472+$D472)=0,0,$B472/($C472+$D472)),0))</f>
        <v/>
      </c>
    </row>
    <row r="473">
      <c r="L473" s="37">
        <f>IF($A473="","",IFERROR(IF(($C473+$D473)=0,0,$B473/($C473+$D473)),0))</f>
        <v/>
      </c>
    </row>
    <row r="474">
      <c r="L474" s="37">
        <f>IF($A474="","",IFERROR(IF(($C474+$D474)=0,0,$B474/($C474+$D474)),0))</f>
        <v/>
      </c>
    </row>
    <row r="475">
      <c r="L475" s="37">
        <f>IF($A475="","",IFERROR(IF(($C475+$D475)=0,0,$B475/($C475+$D475)),0))</f>
        <v/>
      </c>
    </row>
    <row r="476">
      <c r="L476" s="37">
        <f>IF($A476="","",IFERROR(IF(($C476+$D476)=0,0,$B476/($C476+$D476)),0))</f>
        <v/>
      </c>
    </row>
    <row r="477">
      <c r="L477" s="37">
        <f>IF($A477="","",IFERROR(IF(($C477+$D477)=0,0,$B477/($C477+$D477)),0))</f>
        <v/>
      </c>
    </row>
    <row r="478">
      <c r="L478" s="37">
        <f>IF($A478="","",IFERROR(IF(($C478+$D478)=0,0,$B478/($C478+$D478)),0))</f>
        <v/>
      </c>
    </row>
    <row r="479">
      <c r="L479" s="37">
        <f>IF($A479="","",IFERROR(IF(($C479+$D479)=0,0,$B479/($C479+$D479)),0))</f>
        <v/>
      </c>
    </row>
    <row r="480">
      <c r="L480" s="37">
        <f>IF($A480="","",IFERROR(IF(($C480+$D480)=0,0,$B480/($C480+$D480)),0))</f>
        <v/>
      </c>
    </row>
    <row r="481">
      <c r="L481" s="37">
        <f>IF($A481="","",IFERROR(IF(($C481+$D481)=0,0,$B481/($C481+$D481)),0))</f>
        <v/>
      </c>
    </row>
    <row r="482">
      <c r="L482" s="37">
        <f>IF($A482="","",IFERROR(IF(($C482+$D482)=0,0,$B482/($C482+$D482)),0))</f>
        <v/>
      </c>
    </row>
    <row r="483">
      <c r="L483" s="37">
        <f>IF($A483="","",IFERROR(IF(($C483+$D483)=0,0,$B483/($C483+$D483)),0))</f>
        <v/>
      </c>
    </row>
    <row r="484">
      <c r="L484" s="37">
        <f>IF($A484="","",IFERROR(IF(($C484+$D484)=0,0,$B484/($C484+$D484)),0))</f>
        <v/>
      </c>
    </row>
    <row r="485">
      <c r="L485" s="37">
        <f>IF($A485="","",IFERROR(IF(($C485+$D485)=0,0,$B485/($C485+$D485)),0))</f>
        <v/>
      </c>
    </row>
    <row r="486">
      <c r="L486" s="37">
        <f>IF($A486="","",IFERROR(IF(($C486+$D486)=0,0,$B486/($C486+$D486)),0))</f>
        <v/>
      </c>
    </row>
    <row r="487">
      <c r="L487" s="37">
        <f>IF($A487="","",IFERROR(IF(($C487+$D487)=0,0,$B487/($C487+$D487)),0))</f>
        <v/>
      </c>
    </row>
    <row r="488">
      <c r="L488" s="37">
        <f>IF($A488="","",IFERROR(IF(($C488+$D488)=0,0,$B488/($C488+$D488)),0))</f>
        <v/>
      </c>
    </row>
    <row r="489">
      <c r="L489" s="37">
        <f>IF($A489="","",IFERROR(IF(($C489+$D489)=0,0,$B489/($C489+$D489)),0))</f>
        <v/>
      </c>
    </row>
    <row r="490">
      <c r="L490" s="37">
        <f>IF($A490="","",IFERROR(IF(($C490+$D490)=0,0,$B490/($C490+$D490)),0))</f>
        <v/>
      </c>
    </row>
    <row r="491">
      <c r="L491" s="37">
        <f>IF($A491="","",IFERROR(IF(($C491+$D491)=0,0,$B491/($C491+$D491)),0))</f>
        <v/>
      </c>
    </row>
    <row r="492">
      <c r="L492" s="37">
        <f>IF($A492="","",IFERROR(IF(($C492+$D492)=0,0,$B492/($C492+$D492)),0))</f>
        <v/>
      </c>
    </row>
    <row r="493">
      <c r="L493" s="37">
        <f>IF($A493="","",IFERROR(IF(($C493+$D493)=0,0,$B493/($C493+$D493)),0))</f>
        <v/>
      </c>
    </row>
    <row r="494">
      <c r="L494" s="37">
        <f>IF($A494="","",IFERROR(IF(($C494+$D494)=0,0,$B494/($C494+$D494)),0))</f>
        <v/>
      </c>
    </row>
    <row r="495">
      <c r="L495" s="37">
        <f>IF($A495="","",IFERROR(IF(($C495+$D495)=0,0,$B495/($C495+$D495)),0))</f>
        <v/>
      </c>
    </row>
    <row r="496">
      <c r="L496" s="37">
        <f>IF($A496="","",IFERROR(IF(($C496+$D496)=0,0,$B496/($C496+$D496)),0))</f>
        <v/>
      </c>
    </row>
    <row r="497">
      <c r="L497" s="37">
        <f>IF($A497="","",IFERROR(IF(($C497+$D497)=0,0,$B497/($C497+$D497)),0))</f>
        <v/>
      </c>
    </row>
    <row r="498">
      <c r="L498" s="37">
        <f>IF($A498="","",IFERROR(IF(($C498+$D498)=0,0,$B498/($C498+$D498)),0))</f>
        <v/>
      </c>
    </row>
    <row r="499">
      <c r="L499" s="37">
        <f>IF($A499="","",IFERROR(IF(($C499+$D499)=0,0,$B499/($C499+$D499)),0))</f>
        <v/>
      </c>
    </row>
    <row r="500">
      <c r="L500" s="37">
        <f>IF($A500="","",IFERROR(IF(($C500+$D500)=0,0,$B500/($C500+$D500)),0))</f>
        <v/>
      </c>
    </row>
    <row r="501">
      <c r="L501" s="37">
        <f>IF($A501="","",IFERROR(IF(($C501+$D501)=0,0,$B501/($C501+$D501)),0))</f>
        <v/>
      </c>
    </row>
    <row r="502">
      <c r="L502" s="37">
        <f>IF($A502="","",IFERROR(IF(($C502+$D502)=0,0,$B502/($C502+$D502)),0))</f>
        <v/>
      </c>
    </row>
    <row r="503">
      <c r="L503" s="37">
        <f>IF($A503="","",IFERROR(IF(($C503+$D503)=0,0,$B503/($C503+$D503)),0))</f>
        <v/>
      </c>
    </row>
    <row r="504">
      <c r="L504" s="37">
        <f>IF($A504="","",IFERROR(IF(($C504+$D504)=0,0,$B504/($C504+$D504)),0))</f>
        <v/>
      </c>
    </row>
    <row r="505">
      <c r="L505" s="37">
        <f>IF($A505="","",IFERROR(IF(($C505+$D505)=0,0,$B505/($C505+$D505)),0))</f>
        <v/>
      </c>
    </row>
    <row r="506">
      <c r="L506" s="37">
        <f>IF($A506="","",IFERROR(IF(($C506+$D506)=0,0,$B506/($C506+$D506)),0))</f>
        <v/>
      </c>
    </row>
    <row r="507">
      <c r="L507" s="37">
        <f>IF($A507="","",IFERROR(IF(($C507+$D507)=0,0,$B507/($C507+$D507)),0))</f>
        <v/>
      </c>
    </row>
    <row r="508">
      <c r="L508" s="37">
        <f>IF($A508="","",IFERROR(IF(($C508+$D508)=0,0,$B508/($C508+$D508)),0))</f>
        <v/>
      </c>
    </row>
    <row r="509">
      <c r="L509" s="37">
        <f>IF($A509="","",IFERROR(IF(($C509+$D509)=0,0,$B509/($C509+$D509)),0))</f>
        <v/>
      </c>
    </row>
    <row r="510">
      <c r="L510" s="37">
        <f>IF($A510="","",IFERROR(IF(($C510+$D510)=0,0,$B510/($C510+$D510)),0))</f>
        <v/>
      </c>
    </row>
    <row r="511">
      <c r="L511" s="37">
        <f>IF($A511="","",IFERROR(IF(($C511+$D511)=0,0,$B511/($C511+$D511)),0))</f>
        <v/>
      </c>
    </row>
    <row r="512">
      <c r="L512" s="37">
        <f>IF($A512="","",IFERROR(IF(($C512+$D512)=0,0,$B512/($C512+$D512)),0))</f>
        <v/>
      </c>
    </row>
    <row r="513">
      <c r="L513" s="37">
        <f>IF($A513="","",IFERROR(IF(($C513+$D513)=0,0,$B513/($C513+$D513)),0))</f>
        <v/>
      </c>
    </row>
    <row r="514">
      <c r="L514" s="37">
        <f>IF($A514="","",IFERROR(IF(($C514+$D514)=0,0,$B514/($C514+$D514)),0))</f>
        <v/>
      </c>
    </row>
    <row r="515">
      <c r="L515" s="37">
        <f>IF($A515="","",IFERROR(IF(($C515+$D515)=0,0,$B515/($C515+$D515)),0))</f>
        <v/>
      </c>
    </row>
    <row r="516">
      <c r="L516" s="37">
        <f>IF($A516="","",IFERROR(IF(($C516+$D516)=0,0,$B516/($C516+$D516)),0))</f>
        <v/>
      </c>
    </row>
    <row r="517">
      <c r="L517" s="37">
        <f>IF($A517="","",IFERROR(IF(($C517+$D517)=0,0,$B517/($C517+$D517)),0))</f>
        <v/>
      </c>
    </row>
    <row r="518">
      <c r="L518" s="37">
        <f>IF($A518="","",IFERROR(IF(($C518+$D518)=0,0,$B518/($C518+$D518)),0))</f>
        <v/>
      </c>
    </row>
    <row r="519">
      <c r="L519" s="37">
        <f>IF($A519="","",IFERROR(IF(($C519+$D519)=0,0,$B519/($C519+$D519)),0))</f>
        <v/>
      </c>
    </row>
    <row r="520">
      <c r="L520" s="37">
        <f>IF($A520="","",IFERROR(IF(($C520+$D520)=0,0,$B520/($C520+$D520)),0))</f>
        <v/>
      </c>
    </row>
    <row r="521">
      <c r="L521" s="37">
        <f>IF($A521="","",IFERROR(IF(($C521+$D521)=0,0,$B521/($C521+$D521)),0))</f>
        <v/>
      </c>
    </row>
    <row r="522">
      <c r="L522" s="37">
        <f>IF($A522="","",IFERROR(IF(($C522+$D522)=0,0,$B522/($C522+$D522)),0))</f>
        <v/>
      </c>
    </row>
    <row r="523">
      <c r="L523" s="37">
        <f>IF($A523="","",IFERROR(IF(($C523+$D523)=0,0,$B523/($C523+$D523)),0))</f>
        <v/>
      </c>
    </row>
    <row r="524">
      <c r="L524" s="37">
        <f>IF($A524="","",IFERROR(IF(($C524+$D524)=0,0,$B524/($C524+$D524)),0))</f>
        <v/>
      </c>
    </row>
    <row r="525">
      <c r="L525" s="37">
        <f>IF($A525="","",IFERROR(IF(($C525+$D525)=0,0,$B525/($C525+$D525)),0))</f>
        <v/>
      </c>
    </row>
    <row r="526">
      <c r="L526" s="37">
        <f>IF($A526="","",IFERROR(IF(($C526+$D526)=0,0,$B526/($C526+$D526)),0))</f>
        <v/>
      </c>
    </row>
    <row r="527">
      <c r="L527" s="37">
        <f>IF($A527="","",IFERROR(IF(($C527+$D527)=0,0,$B527/($C527+$D527)),0))</f>
        <v/>
      </c>
    </row>
    <row r="528">
      <c r="L528" s="37">
        <f>IF($A528="","",IFERROR(IF(($C528+$D528)=0,0,$B528/($C528+$D528)),0))</f>
        <v/>
      </c>
    </row>
    <row r="529">
      <c r="L529" s="37">
        <f>IF($A529="","",IFERROR(IF(($C529+$D529)=0,0,$B529/($C529+$D529)),0))</f>
        <v/>
      </c>
    </row>
    <row r="530">
      <c r="L530" s="37">
        <f>IF($A530="","",IFERROR(IF(($C530+$D530)=0,0,$B530/($C530+$D530)),0))</f>
        <v/>
      </c>
    </row>
    <row r="531">
      <c r="L531" s="37">
        <f>IF($A531="","",IFERROR(IF(($C531+$D531)=0,0,$B531/($C531+$D531)),0))</f>
        <v/>
      </c>
    </row>
    <row r="532">
      <c r="L532" s="37">
        <f>IF($A532="","",IFERROR(IF(($C532+$D532)=0,0,$B532/($C532+$D532)),0))</f>
        <v/>
      </c>
    </row>
    <row r="533">
      <c r="L533" s="37">
        <f>IF($A533="","",IFERROR(IF(($C533+$D533)=0,0,$B533/($C533+$D533)),0))</f>
        <v/>
      </c>
    </row>
    <row r="534">
      <c r="L534" s="37">
        <f>IF($A534="","",IFERROR(IF(($C534+$D534)=0,0,$B534/($C534+$D534)),0))</f>
        <v/>
      </c>
    </row>
    <row r="535">
      <c r="L535" s="37">
        <f>IF($A535="","",IFERROR(IF(($C535+$D535)=0,0,$B535/($C535+$D535)),0))</f>
        <v/>
      </c>
    </row>
    <row r="536">
      <c r="L536" s="37">
        <f>IF($A536="","",IFERROR(IF(($C536+$D536)=0,0,$B536/($C536+$D536)),0))</f>
        <v/>
      </c>
    </row>
    <row r="537">
      <c r="L537" s="37">
        <f>IF($A537="","",IFERROR(IF(($C537+$D537)=0,0,$B537/($C537+$D537)),0))</f>
        <v/>
      </c>
    </row>
    <row r="538">
      <c r="L538" s="37">
        <f>IF($A538="","",IFERROR(IF(($C538+$D538)=0,0,$B538/($C538+$D538)),0))</f>
        <v/>
      </c>
    </row>
    <row r="539">
      <c r="L539" s="37">
        <f>IF($A539="","",IFERROR(IF(($C539+$D539)=0,0,$B539/($C539+$D539)),0))</f>
        <v/>
      </c>
    </row>
    <row r="540">
      <c r="L540" s="37">
        <f>IF($A540="","",IFERROR(IF(($C540+$D540)=0,0,$B540/($C540+$D540)),0))</f>
        <v/>
      </c>
    </row>
    <row r="541">
      <c r="L541" s="37">
        <f>IF($A541="","",IFERROR(IF(($C541+$D541)=0,0,$B541/($C541+$D541)),0))</f>
        <v/>
      </c>
    </row>
    <row r="542">
      <c r="L542" s="37">
        <f>IF($A542="","",IFERROR(IF(($C542+$D542)=0,0,$B542/($C542+$D542)),0))</f>
        <v/>
      </c>
    </row>
    <row r="543">
      <c r="L543" s="37">
        <f>IF($A543="","",IFERROR(IF(($C543+$D543)=0,0,$B543/($C543+$D543)),0))</f>
        <v/>
      </c>
    </row>
    <row r="544">
      <c r="L544" s="37">
        <f>IF($A544="","",IFERROR(IF(($C544+$D544)=0,0,$B544/($C544+$D544)),0))</f>
        <v/>
      </c>
    </row>
    <row r="545">
      <c r="L545" s="37">
        <f>IF($A545="","",IFERROR(IF(($C545+$D545)=0,0,$B545/($C545+$D545)),0))</f>
        <v/>
      </c>
    </row>
    <row r="546">
      <c r="L546" s="37">
        <f>IF($A546="","",IFERROR(IF(($C546+$D546)=0,0,$B546/($C546+$D546)),0))</f>
        <v/>
      </c>
    </row>
    <row r="547">
      <c r="L547" s="37">
        <f>IF($A547="","",IFERROR(IF(($C547+$D547)=0,0,$B547/($C547+$D547)),0))</f>
        <v/>
      </c>
    </row>
    <row r="548">
      <c r="L548" s="37">
        <f>IF($A548="","",IFERROR(IF(($C548+$D548)=0,0,$B548/($C548+$D548)),0))</f>
        <v/>
      </c>
    </row>
    <row r="549">
      <c r="L549" s="37">
        <f>IF($A549="","",IFERROR(IF(($C549+$D549)=0,0,$B549/($C549+$D549)),0))</f>
        <v/>
      </c>
    </row>
    <row r="550">
      <c r="L550" s="37">
        <f>IF($A550="","",IFERROR(IF(($C550+$D550)=0,0,$B550/($C550+$D550)),0))</f>
        <v/>
      </c>
    </row>
    <row r="551">
      <c r="L551" s="37">
        <f>IF($A551="","",IFERROR(IF(($C551+$D551)=0,0,$B551/($C551+$D551)),0))</f>
        <v/>
      </c>
    </row>
    <row r="552">
      <c r="L552" s="37">
        <f>IF($A552="","",IFERROR(IF(($C552+$D552)=0,0,$B552/($C552+$D552)),0))</f>
        <v/>
      </c>
    </row>
    <row r="553">
      <c r="L553" s="37">
        <f>IF($A553="","",IFERROR(IF(($C553+$D553)=0,0,$B553/($C553+$D553)),0))</f>
        <v/>
      </c>
    </row>
    <row r="554">
      <c r="L554" s="37">
        <f>IF($A554="","",IFERROR(IF(($C554+$D554)=0,0,$B554/($C554+$D554)),0))</f>
        <v/>
      </c>
    </row>
    <row r="555">
      <c r="L555" s="37">
        <f>IF($A555="","",IFERROR(IF(($C555+$D555)=0,0,$B555/($C555+$D555)),0))</f>
        <v/>
      </c>
    </row>
    <row r="556">
      <c r="L556" s="37">
        <f>IF($A556="","",IFERROR(IF(($C556+$D556)=0,0,$B556/($C556+$D556)),0))</f>
        <v/>
      </c>
    </row>
    <row r="557">
      <c r="L557" s="37">
        <f>IF($A557="","",IFERROR(IF(($C557+$D557)=0,0,$B557/($C557+$D557)),0))</f>
        <v/>
      </c>
    </row>
    <row r="558">
      <c r="L558" s="37">
        <f>IF($A558="","",IFERROR(IF(($C558+$D558)=0,0,$B558/($C558+$D558)),0))</f>
        <v/>
      </c>
    </row>
    <row r="559">
      <c r="L559" s="37">
        <f>IF($A559="","",IFERROR(IF(($C559+$D559)=0,0,$B559/($C559+$D559)),0))</f>
        <v/>
      </c>
    </row>
    <row r="560">
      <c r="L560" s="37">
        <f>IF($A560="","",IFERROR(IF(($C560+$D560)=0,0,$B560/($C560+$D560)),0))</f>
        <v/>
      </c>
    </row>
    <row r="561">
      <c r="L561" s="37">
        <f>IF($A561="","",IFERROR(IF(($C561+$D561)=0,0,$B561/($C561+$D561)),0))</f>
        <v/>
      </c>
    </row>
    <row r="562">
      <c r="L562" s="37">
        <f>IF($A562="","",IFERROR(IF(($C562+$D562)=0,0,$B562/($C562+$D562)),0))</f>
        <v/>
      </c>
    </row>
    <row r="563">
      <c r="L563" s="37">
        <f>IF($A563="","",IFERROR(IF(($C563+$D563)=0,0,$B563/($C563+$D563)),0))</f>
        <v/>
      </c>
    </row>
    <row r="564">
      <c r="L564" s="37">
        <f>IF($A564="","",IFERROR(IF(($C564+$D564)=0,0,$B564/($C564+$D564)),0))</f>
        <v/>
      </c>
    </row>
    <row r="565">
      <c r="L565" s="37">
        <f>IF($A565="","",IFERROR(IF(($C565+$D565)=0,0,$B565/($C565+$D565)),0))</f>
        <v/>
      </c>
    </row>
    <row r="566">
      <c r="L566" s="37">
        <f>IF($A566="","",IFERROR(IF(($C566+$D566)=0,0,$B566/($C566+$D566)),0))</f>
        <v/>
      </c>
    </row>
    <row r="567">
      <c r="L567" s="37">
        <f>IF($A567="","",IFERROR(IF(($C567+$D567)=0,0,$B567/($C567+$D567)),0))</f>
        <v/>
      </c>
    </row>
    <row r="568">
      <c r="L568" s="37">
        <f>IF($A568="","",IFERROR(IF(($C568+$D568)=0,0,$B568/($C568+$D568)),0))</f>
        <v/>
      </c>
    </row>
    <row r="569">
      <c r="L569" s="37">
        <f>IF($A569="","",IFERROR(IF(($C569+$D569)=0,0,$B569/($C569+$D569)),0))</f>
        <v/>
      </c>
    </row>
    <row r="570">
      <c r="L570" s="37">
        <f>IF($A570="","",IFERROR(IF(($C570+$D570)=0,0,$B570/($C570+$D570)),0))</f>
        <v/>
      </c>
    </row>
    <row r="571">
      <c r="L571" s="37">
        <f>IF($A571="","",IFERROR(IF(($C571+$D571)=0,0,$B571/($C571+$D571)),0))</f>
        <v/>
      </c>
    </row>
    <row r="572">
      <c r="L572" s="37">
        <f>IF($A572="","",IFERROR(IF(($C572+$D572)=0,0,$B572/($C572+$D572)),0))</f>
        <v/>
      </c>
    </row>
    <row r="573">
      <c r="L573" s="37">
        <f>IF($A573="","",IFERROR(IF(($C573+$D573)=0,0,$B573/($C573+$D573)),0))</f>
        <v/>
      </c>
    </row>
    <row r="574">
      <c r="L574" s="37">
        <f>IF($A574="","",IFERROR(IF(($C574+$D574)=0,0,$B574/($C574+$D574)),0))</f>
        <v/>
      </c>
    </row>
    <row r="575">
      <c r="L575" s="37">
        <f>IF($A575="","",IFERROR(IF(($C575+$D575)=0,0,$B575/($C575+$D575)),0))</f>
        <v/>
      </c>
    </row>
    <row r="576">
      <c r="L576" s="37">
        <f>IF($A576="","",IFERROR(IF(($C576+$D576)=0,0,$B576/($C576+$D576)),0))</f>
        <v/>
      </c>
    </row>
    <row r="577">
      <c r="L577" s="37">
        <f>IF($A577="","",IFERROR(IF(($C577+$D577)=0,0,$B577/($C577+$D577)),0))</f>
        <v/>
      </c>
    </row>
    <row r="578">
      <c r="L578" s="37">
        <f>IF($A578="","",IFERROR(IF(($C578+$D578)=0,0,$B578/($C578+$D578)),0))</f>
        <v/>
      </c>
    </row>
    <row r="579">
      <c r="L579" s="37">
        <f>IF($A579="","",IFERROR(IF(($C579+$D579)=0,0,$B579/($C579+$D579)),0))</f>
        <v/>
      </c>
    </row>
    <row r="580">
      <c r="L580" s="37">
        <f>IF($A580="","",IFERROR(IF(($C580+$D580)=0,0,$B580/($C580+$D580)),0))</f>
        <v/>
      </c>
    </row>
    <row r="581">
      <c r="L581" s="37">
        <f>IF($A581="","",IFERROR(IF(($C581+$D581)=0,0,$B581/($C581+$D581)),0))</f>
        <v/>
      </c>
    </row>
    <row r="582">
      <c r="L582" s="37">
        <f>IF($A582="","",IFERROR(IF(($C582+$D582)=0,0,$B582/($C582+$D582)),0))</f>
        <v/>
      </c>
    </row>
    <row r="583">
      <c r="L583" s="37">
        <f>IF($A583="","",IFERROR(IF(($C583+$D583)=0,0,$B583/($C583+$D583)),0))</f>
        <v/>
      </c>
    </row>
    <row r="584">
      <c r="L584" s="37">
        <f>IF($A584="","",IFERROR(IF(($C584+$D584)=0,0,$B584/($C584+$D584)),0))</f>
        <v/>
      </c>
    </row>
    <row r="585">
      <c r="L585" s="37">
        <f>IF($A585="","",IFERROR(IF(($C585+$D585)=0,0,$B585/($C585+$D585)),0))</f>
        <v/>
      </c>
    </row>
    <row r="586">
      <c r="L586" s="37">
        <f>IF($A586="","",IFERROR(IF(($C586+$D586)=0,0,$B586/($C586+$D586)),0))</f>
        <v/>
      </c>
    </row>
    <row r="587">
      <c r="L587" s="37">
        <f>IF($A587="","",IFERROR(IF(($C587+$D587)=0,0,$B587/($C587+$D587)),0))</f>
        <v/>
      </c>
    </row>
    <row r="588">
      <c r="L588" s="37">
        <f>IF($A588="","",IFERROR(IF(($C588+$D588)=0,0,$B588/($C588+$D588)),0))</f>
        <v/>
      </c>
    </row>
    <row r="589">
      <c r="L589" s="37">
        <f>IF($A589="","",IFERROR(IF(($C589+$D589)=0,0,$B589/($C589+$D589)),0))</f>
        <v/>
      </c>
    </row>
    <row r="590">
      <c r="L590" s="37">
        <f>IF($A590="","",IFERROR(IF(($C590+$D590)=0,0,$B590/($C590+$D590)),0))</f>
        <v/>
      </c>
    </row>
    <row r="591">
      <c r="L591" s="37">
        <f>IF($A591="","",IFERROR(IF(($C591+$D591)=0,0,$B591/($C591+$D591)),0))</f>
        <v/>
      </c>
    </row>
    <row r="592">
      <c r="L592" s="37">
        <f>IF($A592="","",IFERROR(IF(($C592+$D592)=0,0,$B592/($C592+$D592)),0))</f>
        <v/>
      </c>
    </row>
    <row r="593">
      <c r="L593" s="37">
        <f>IF($A593="","",IFERROR(IF(($C593+$D593)=0,0,$B593/($C593+$D593)),0))</f>
        <v/>
      </c>
    </row>
    <row r="594">
      <c r="L594" s="37">
        <f>IF($A594="","",IFERROR(IF(($C594+$D594)=0,0,$B594/($C594+$D594)),0))</f>
        <v/>
      </c>
    </row>
    <row r="595">
      <c r="L595" s="37">
        <f>IF($A595="","",IFERROR(IF(($C595+$D595)=0,0,$B595/($C595+$D595)),0))</f>
        <v/>
      </c>
    </row>
    <row r="596">
      <c r="L596" s="37">
        <f>IF($A596="","",IFERROR(IF(($C596+$D596)=0,0,$B596/($C596+$D596)),0))</f>
        <v/>
      </c>
    </row>
    <row r="597">
      <c r="L597" s="37">
        <f>IF($A597="","",IFERROR(IF(($C597+$D597)=0,0,$B597/($C597+$D597)),0))</f>
        <v/>
      </c>
    </row>
    <row r="598">
      <c r="L598" s="37">
        <f>IF($A598="","",IFERROR(IF(($C598+$D598)=0,0,$B598/($C598+$D598)),0))</f>
        <v/>
      </c>
    </row>
    <row r="599">
      <c r="L599" s="37">
        <f>IF($A599="","",IFERROR(IF(($C599+$D599)=0,0,$B599/($C599+$D599)),0))</f>
        <v/>
      </c>
    </row>
    <row r="600">
      <c r="L600" s="37">
        <f>IF($A600="","",IFERROR(IF(($C600+$D600)=0,0,$B600/($C600+$D600)),0))</f>
        <v/>
      </c>
    </row>
    <row r="601">
      <c r="L601" s="37">
        <f>IF($A601="","",IFERROR(IF(($C601+$D601)=0,0,$B601/($C601+$D601)),0))</f>
        <v/>
      </c>
    </row>
    <row r="602">
      <c r="L602" s="37">
        <f>IF($A602="","",IFERROR(IF(($C602+$D602)=0,0,$B602/($C602+$D602)),0))</f>
        <v/>
      </c>
    </row>
    <row r="603">
      <c r="L603" s="37">
        <f>IF($A603="","",IFERROR(IF(($C603+$D603)=0,0,$B603/($C603+$D603)),0))</f>
        <v/>
      </c>
    </row>
    <row r="604">
      <c r="L604" s="37">
        <f>IF($A604="","",IFERROR(IF(($C604+$D604)=0,0,$B604/($C604+$D604)),0))</f>
        <v/>
      </c>
    </row>
    <row r="605">
      <c r="L605" s="37">
        <f>IF($A605="","",IFERROR(IF(($C605+$D605)=0,0,$B605/($C605+$D605)),0))</f>
        <v/>
      </c>
    </row>
    <row r="606">
      <c r="L606" s="37">
        <f>IF($A606="","",IFERROR(IF(($C606+$D606)=0,0,$B606/($C606+$D606)),0))</f>
        <v/>
      </c>
    </row>
    <row r="607">
      <c r="L607" s="37">
        <f>IF($A607="","",IFERROR(IF(($C607+$D607)=0,0,$B607/($C607+$D607)),0))</f>
        <v/>
      </c>
    </row>
    <row r="608">
      <c r="L608" s="37">
        <f>IF($A608="","",IFERROR(IF(($C608+$D608)=0,0,$B608/($C608+$D608)),0))</f>
        <v/>
      </c>
    </row>
    <row r="609">
      <c r="L609" s="37">
        <f>IF($A609="","",IFERROR(IF(($C609+$D609)=0,0,$B609/($C609+$D609)),0))</f>
        <v/>
      </c>
    </row>
    <row r="610">
      <c r="L610" s="37">
        <f>IF($A610="","",IFERROR(IF(($C610+$D610)=0,0,$B610/($C610+$D610)),0))</f>
        <v/>
      </c>
    </row>
    <row r="611">
      <c r="L611" s="37">
        <f>IF($A611="","",IFERROR(IF(($C611+$D611)=0,0,$B611/($C611+$D611)),0))</f>
        <v/>
      </c>
    </row>
    <row r="612">
      <c r="L612" s="37">
        <f>IF($A612="","",IFERROR(IF(($C612+$D612)=0,0,$B612/($C612+$D612)),0))</f>
        <v/>
      </c>
    </row>
    <row r="613">
      <c r="L613" s="37">
        <f>IF($A613="","",IFERROR(IF(($C613+$D613)=0,0,$B613/($C613+$D613)),0))</f>
        <v/>
      </c>
    </row>
    <row r="614">
      <c r="L614" s="37">
        <f>IF($A614="","",IFERROR(IF(($C614+$D614)=0,0,$B614/($C614+$D614)),0))</f>
        <v/>
      </c>
    </row>
    <row r="615">
      <c r="L615" s="37">
        <f>IF($A615="","",IFERROR(IF(($C615+$D615)=0,0,$B615/($C615+$D615)),0))</f>
        <v/>
      </c>
    </row>
    <row r="616">
      <c r="L616" s="37">
        <f>IF($A616="","",IFERROR(IF(($C616+$D616)=0,0,$B616/($C616+$D616)),0))</f>
        <v/>
      </c>
    </row>
    <row r="617">
      <c r="L617" s="37">
        <f>IF($A617="","",IFERROR(IF(($C617+$D617)=0,0,$B617/($C617+$D617)),0))</f>
        <v/>
      </c>
    </row>
    <row r="618">
      <c r="L618" s="37">
        <f>IF($A618="","",IFERROR(IF(($C618+$D618)=0,0,$B618/($C618+$D618)),0))</f>
        <v/>
      </c>
    </row>
    <row r="619">
      <c r="L619" s="37">
        <f>IF($A619="","",IFERROR(IF(($C619+$D619)=0,0,$B619/($C619+$D619)),0))</f>
        <v/>
      </c>
    </row>
    <row r="620">
      <c r="L620" s="37">
        <f>IF($A620="","",IFERROR(IF(($C620+$D620)=0,0,$B620/($C620+$D620)),0))</f>
        <v/>
      </c>
    </row>
    <row r="621">
      <c r="L621" s="37">
        <f>IF($A621="","",IFERROR(IF(($C621+$D621)=0,0,$B621/($C621+$D621)),0))</f>
        <v/>
      </c>
    </row>
    <row r="622">
      <c r="L622" s="37">
        <f>IF($A622="","",IFERROR(IF(($C622+$D622)=0,0,$B622/($C622+$D622)),0))</f>
        <v/>
      </c>
    </row>
    <row r="623">
      <c r="L623" s="37">
        <f>IF($A623="","",IFERROR(IF(($C623+$D623)=0,0,$B623/($C623+$D623)),0))</f>
        <v/>
      </c>
    </row>
    <row r="624">
      <c r="L624" s="37">
        <f>IF($A624="","",IFERROR(IF(($C624+$D624)=0,0,$B624/($C624+$D624)),0))</f>
        <v/>
      </c>
    </row>
    <row r="625">
      <c r="L625" s="37">
        <f>IF($A625="","",IFERROR(IF(($C625+$D625)=0,0,$B625/($C625+$D625)),0))</f>
        <v/>
      </c>
    </row>
    <row r="626">
      <c r="L626" s="37">
        <f>IF($A626="","",IFERROR(IF(($C626+$D626)=0,0,$B626/($C626+$D626)),0))</f>
        <v/>
      </c>
    </row>
    <row r="627">
      <c r="L627" s="37">
        <f>IF($A627="","",IFERROR(IF(($C627+$D627)=0,0,$B627/($C627+$D627)),0))</f>
        <v/>
      </c>
    </row>
    <row r="628">
      <c r="L628" s="37">
        <f>IF($A628="","",IFERROR(IF(($C628+$D628)=0,0,$B628/($C628+$D628)),0))</f>
        <v/>
      </c>
    </row>
    <row r="629">
      <c r="L629" s="37">
        <f>IF($A629="","",IFERROR(IF(($C629+$D629)=0,0,$B629/($C629+$D629)),0))</f>
        <v/>
      </c>
    </row>
    <row r="630">
      <c r="L630" s="37">
        <f>IF($A630="","",IFERROR(IF(($C630+$D630)=0,0,$B630/($C630+$D630)),0))</f>
        <v/>
      </c>
    </row>
    <row r="631">
      <c r="L631" s="37">
        <f>IF($A631="","",IFERROR(IF(($C631+$D631)=0,0,$B631/($C631+$D631)),0))</f>
        <v/>
      </c>
    </row>
    <row r="632">
      <c r="L632" s="37">
        <f>IF($A632="","",IFERROR(IF(($C632+$D632)=0,0,$B632/($C632+$D632)),0))</f>
        <v/>
      </c>
    </row>
    <row r="633">
      <c r="L633" s="37">
        <f>IF($A633="","",IFERROR(IF(($C633+$D633)=0,0,$B633/($C633+$D633)),0))</f>
        <v/>
      </c>
    </row>
    <row r="634">
      <c r="L634" s="37">
        <f>IF($A634="","",IFERROR(IF(($C634+$D634)=0,0,$B634/($C634+$D634)),0))</f>
        <v/>
      </c>
    </row>
    <row r="635">
      <c r="L635" s="37">
        <f>IF($A635="","",IFERROR(IF(($C635+$D635)=0,0,$B635/($C635+$D635)),0))</f>
        <v/>
      </c>
    </row>
    <row r="636">
      <c r="L636" s="37">
        <f>IF($A636="","",IFERROR(IF(($C636+$D636)=0,0,$B636/($C636+$D636)),0))</f>
        <v/>
      </c>
    </row>
    <row r="637">
      <c r="L637" s="37">
        <f>IF($A637="","",IFERROR(IF(($C637+$D637)=0,0,$B637/($C637+$D637)),0))</f>
        <v/>
      </c>
    </row>
    <row r="638">
      <c r="L638" s="37">
        <f>IF($A638="","",IFERROR(IF(($C638+$D638)=0,0,$B638/($C638+$D638)),0))</f>
        <v/>
      </c>
    </row>
    <row r="639">
      <c r="L639" s="37">
        <f>IF($A639="","",IFERROR(IF(($C639+$D639)=0,0,$B639/($C639+$D639)),0))</f>
        <v/>
      </c>
    </row>
    <row r="640">
      <c r="L640" s="37">
        <f>IF($A640="","",IFERROR(IF(($C640+$D640)=0,0,$B640/($C640+$D640)),0))</f>
        <v/>
      </c>
    </row>
    <row r="641">
      <c r="L641" s="37">
        <f>IF($A641="","",IFERROR(IF(($C641+$D641)=0,0,$B641/($C641+$D641)),0))</f>
        <v/>
      </c>
    </row>
    <row r="642">
      <c r="L642" s="37">
        <f>IF($A642="","",IFERROR(IF(($C642+$D642)=0,0,$B642/($C642+$D642)),0))</f>
        <v/>
      </c>
    </row>
    <row r="643">
      <c r="L643" s="37">
        <f>IF($A643="","",IFERROR(IF(($C643+$D643)=0,0,$B643/($C643+$D643)),0))</f>
        <v/>
      </c>
    </row>
    <row r="644">
      <c r="L644" s="37">
        <f>IF($A644="","",IFERROR(IF(($C644+$D644)=0,0,$B644/($C644+$D644)),0))</f>
        <v/>
      </c>
    </row>
    <row r="645">
      <c r="L645" s="37">
        <f>IF($A645="","",IFERROR(IF(($C645+$D645)=0,0,$B645/($C645+$D645)),0))</f>
        <v/>
      </c>
    </row>
    <row r="646">
      <c r="L646" s="37">
        <f>IF($A646="","",IFERROR(IF(($C646+$D646)=0,0,$B646/($C646+$D646)),0))</f>
        <v/>
      </c>
    </row>
    <row r="647">
      <c r="L647" s="37">
        <f>IF($A647="","",IFERROR(IF(($C647+$D647)=0,0,$B647/($C647+$D647)),0))</f>
        <v/>
      </c>
    </row>
    <row r="648">
      <c r="L648" s="37">
        <f>IF($A648="","",IFERROR(IF(($C648+$D648)=0,0,$B648/($C648+$D648)),0))</f>
        <v/>
      </c>
    </row>
    <row r="649">
      <c r="L649" s="37">
        <f>IF($A649="","",IFERROR(IF(($C649+$D649)=0,0,$B649/($C649+$D649)),0))</f>
        <v/>
      </c>
    </row>
    <row r="650">
      <c r="L650" s="37">
        <f>IF($A650="","",IFERROR(IF(($C650+$D650)=0,0,$B650/($C650+$D650)),0))</f>
        <v/>
      </c>
    </row>
    <row r="651">
      <c r="L651" s="37">
        <f>IF($A651="","",IFERROR(IF(($C651+$D651)=0,0,$B651/($C651+$D651)),0))</f>
        <v/>
      </c>
    </row>
    <row r="652">
      <c r="L652" s="37">
        <f>IF($A652="","",IFERROR(IF(($C652+$D652)=0,0,$B652/($C652+$D652)),0))</f>
        <v/>
      </c>
    </row>
    <row r="653">
      <c r="L653" s="37">
        <f>IF($A653="","",IFERROR(IF(($C653+$D653)=0,0,$B653/($C653+$D653)),0))</f>
        <v/>
      </c>
    </row>
    <row r="654">
      <c r="L654" s="37">
        <f>IF($A654="","",IFERROR(IF(($C654+$D654)=0,0,$B654/($C654+$D654)),0))</f>
        <v/>
      </c>
    </row>
    <row r="655">
      <c r="L655" s="37">
        <f>IF($A655="","",IFERROR(IF(($C655+$D655)=0,0,$B655/($C655+$D655)),0))</f>
        <v/>
      </c>
    </row>
    <row r="656">
      <c r="L656" s="37">
        <f>IF($A656="","",IFERROR(IF(($C656+$D656)=0,0,$B656/($C656+$D656)),0))</f>
        <v/>
      </c>
    </row>
    <row r="657">
      <c r="L657" s="37">
        <f>IF($A657="","",IFERROR(IF(($C657+$D657)=0,0,$B657/($C657+$D657)),0))</f>
        <v/>
      </c>
    </row>
    <row r="658">
      <c r="L658" s="37">
        <f>IF($A658="","",IFERROR(IF(($C658+$D658)=0,0,$B658/($C658+$D658)),0))</f>
        <v/>
      </c>
    </row>
    <row r="659">
      <c r="L659" s="37">
        <f>IF($A659="","",IFERROR(IF(($C659+$D659)=0,0,$B659/($C659+$D659)),0))</f>
        <v/>
      </c>
    </row>
    <row r="660">
      <c r="L660" s="37">
        <f>IF($A660="","",IFERROR(IF(($C660+$D660)=0,0,$B660/($C660+$D660)),0))</f>
        <v/>
      </c>
    </row>
    <row r="661">
      <c r="L661" s="37">
        <f>IF($A661="","",IFERROR(IF(($C661+$D661)=0,0,$B661/($C661+$D661)),0))</f>
        <v/>
      </c>
    </row>
    <row r="662">
      <c r="L662" s="37">
        <f>IF($A662="","",IFERROR(IF(($C662+$D662)=0,0,$B662/($C662+$D662)),0))</f>
        <v/>
      </c>
    </row>
    <row r="663">
      <c r="L663" s="37">
        <f>IF($A663="","",IFERROR(IF(($C663+$D663)=0,0,$B663/($C663+$D663)),0))</f>
        <v/>
      </c>
    </row>
    <row r="664">
      <c r="L664" s="37">
        <f>IF($A664="","",IFERROR(IF(($C664+$D664)=0,0,$B664/($C664+$D664)),0))</f>
        <v/>
      </c>
    </row>
    <row r="665">
      <c r="L665" s="37">
        <f>IF($A665="","",IFERROR(IF(($C665+$D665)=0,0,$B665/($C665+$D665)),0))</f>
        <v/>
      </c>
    </row>
    <row r="666">
      <c r="L666" s="37">
        <f>IF($A666="","",IFERROR(IF(($C666+$D666)=0,0,$B666/($C666+$D666)),0))</f>
        <v/>
      </c>
    </row>
    <row r="667">
      <c r="L667" s="37">
        <f>IF($A667="","",IFERROR(IF(($C667+$D667)=0,0,$B667/($C667+$D667)),0))</f>
        <v/>
      </c>
    </row>
    <row r="668">
      <c r="L668" s="37">
        <f>IF($A668="","",IFERROR(IF(($C668+$D668)=0,0,$B668/($C668+$D668)),0))</f>
        <v/>
      </c>
    </row>
    <row r="669">
      <c r="L669" s="37">
        <f>IF($A669="","",IFERROR(IF(($C669+$D669)=0,0,$B669/($C669+$D669)),0))</f>
        <v/>
      </c>
    </row>
    <row r="670">
      <c r="L670" s="37">
        <f>IF($A670="","",IFERROR(IF(($C670+$D670)=0,0,$B670/($C670+$D670)),0))</f>
        <v/>
      </c>
    </row>
    <row r="671">
      <c r="L671" s="37">
        <f>IF($A671="","",IFERROR(IF(($C671+$D671)=0,0,$B671/($C671+$D671)),0))</f>
        <v/>
      </c>
    </row>
    <row r="672">
      <c r="L672" s="37">
        <f>IF($A672="","",IFERROR(IF(($C672+$D672)=0,0,$B672/($C672+$D672)),0))</f>
        <v/>
      </c>
    </row>
    <row r="673">
      <c r="L673" s="37">
        <f>IF($A673="","",IFERROR(IF(($C673+$D673)=0,0,$B673/($C673+$D673)),0))</f>
        <v/>
      </c>
    </row>
    <row r="674">
      <c r="L674" s="37">
        <f>IF($A674="","",IFERROR(IF(($C674+$D674)=0,0,$B674/($C674+$D674)),0))</f>
        <v/>
      </c>
    </row>
    <row r="675">
      <c r="L675" s="37">
        <f>IF($A675="","",IFERROR(IF(($C675+$D675)=0,0,$B675/($C675+$D675)),0))</f>
        <v/>
      </c>
    </row>
    <row r="676">
      <c r="L676" s="37">
        <f>IF($A676="","",IFERROR(IF(($C676+$D676)=0,0,$B676/($C676+$D676)),0))</f>
        <v/>
      </c>
    </row>
    <row r="677">
      <c r="L677" s="37">
        <f>IF($A677="","",IFERROR(IF(($C677+$D677)=0,0,$B677/($C677+$D677)),0))</f>
        <v/>
      </c>
    </row>
    <row r="678">
      <c r="L678" s="37">
        <f>IF($A678="","",IFERROR(IF(($C678+$D678)=0,0,$B678/($C678+$D678)),0))</f>
        <v/>
      </c>
    </row>
    <row r="679">
      <c r="L679" s="37">
        <f>IF($A679="","",IFERROR(IF(($C679+$D679)=0,0,$B679/($C679+$D679)),0))</f>
        <v/>
      </c>
    </row>
    <row r="680">
      <c r="L680" s="37">
        <f>IF($A680="","",IFERROR(IF(($C680+$D680)=0,0,$B680/($C680+$D680)),0))</f>
        <v/>
      </c>
    </row>
    <row r="681">
      <c r="L681" s="37">
        <f>IF($A681="","",IFERROR(IF(($C681+$D681)=0,0,$B681/($C681+$D681)),0))</f>
        <v/>
      </c>
    </row>
    <row r="682">
      <c r="L682" s="37">
        <f>IF($A682="","",IFERROR(IF(($C682+$D682)=0,0,$B682/($C682+$D682)),0))</f>
        <v/>
      </c>
    </row>
    <row r="683">
      <c r="L683" s="37">
        <f>IF($A683="","",IFERROR(IF(($C683+$D683)=0,0,$B683/($C683+$D683)),0))</f>
        <v/>
      </c>
    </row>
    <row r="684">
      <c r="L684" s="37">
        <f>IF($A684="","",IFERROR(IF(($C684+$D684)=0,0,$B684/($C684+$D684)),0))</f>
        <v/>
      </c>
    </row>
    <row r="685">
      <c r="L685" s="37">
        <f>IF($A685="","",IFERROR(IF(($C685+$D685)=0,0,$B685/($C685+$D685)),0))</f>
        <v/>
      </c>
    </row>
    <row r="686">
      <c r="L686" s="37">
        <f>IF($A686="","",IFERROR(IF(($C686+$D686)=0,0,$B686/($C686+$D686)),0))</f>
        <v/>
      </c>
    </row>
    <row r="687">
      <c r="L687" s="37">
        <f>IF($A687="","",IFERROR(IF(($C687+$D687)=0,0,$B687/($C687+$D687)),0))</f>
        <v/>
      </c>
    </row>
    <row r="688">
      <c r="L688" s="37">
        <f>IF($A688="","",IFERROR(IF(($C688+$D688)=0,0,$B688/($C688+$D688)),0))</f>
        <v/>
      </c>
    </row>
    <row r="689">
      <c r="L689" s="37">
        <f>IF($A689="","",IFERROR(IF(($C689+$D689)=0,0,$B689/($C689+$D689)),0))</f>
        <v/>
      </c>
    </row>
    <row r="690">
      <c r="L690" s="37">
        <f>IF($A690="","",IFERROR(IF(($C690+$D690)=0,0,$B690/($C690+$D690)),0))</f>
        <v/>
      </c>
    </row>
    <row r="691">
      <c r="L691" s="37">
        <f>IF($A691="","",IFERROR(IF(($C691+$D691)=0,0,$B691/($C691+$D691)),0))</f>
        <v/>
      </c>
    </row>
    <row r="692">
      <c r="L692" s="37">
        <f>IF($A692="","",IFERROR(IF(($C692+$D692)=0,0,$B692/($C692+$D692)),0))</f>
        <v/>
      </c>
    </row>
    <row r="693">
      <c r="L693" s="37">
        <f>IF($A693="","",IFERROR(IF(($C693+$D693)=0,0,$B693/($C693+$D693)),0))</f>
        <v/>
      </c>
    </row>
    <row r="694">
      <c r="L694" s="37">
        <f>IF($A694="","",IFERROR(IF(($C694+$D694)=0,0,$B694/($C694+$D694)),0))</f>
        <v/>
      </c>
    </row>
    <row r="695">
      <c r="L695" s="37">
        <f>IF($A695="","",IFERROR(IF(($C695+$D695)=0,0,$B695/($C695+$D695)),0))</f>
        <v/>
      </c>
    </row>
    <row r="696">
      <c r="L696" s="37">
        <f>IF($A696="","",IFERROR(IF(($C696+$D696)=0,0,$B696/($C696+$D696)),0))</f>
        <v/>
      </c>
    </row>
    <row r="697">
      <c r="L697" s="37">
        <f>IF($A697="","",IFERROR(IF(($C697+$D697)=0,0,$B697/($C697+$D697)),0))</f>
        <v/>
      </c>
    </row>
    <row r="698">
      <c r="L698" s="37">
        <f>IF($A698="","",IFERROR(IF(($C698+$D698)=0,0,$B698/($C698+$D698)),0))</f>
        <v/>
      </c>
    </row>
    <row r="699">
      <c r="L699" s="37">
        <f>IF($A699="","",IFERROR(IF(($C699+$D699)=0,0,$B699/($C699+$D699)),0))</f>
        <v/>
      </c>
    </row>
    <row r="700">
      <c r="L700" s="37">
        <f>IF($A700="","",IFERROR(IF(($C700+$D700)=0,0,$B700/($C700+$D700)),0))</f>
        <v/>
      </c>
    </row>
    <row r="701">
      <c r="L701" s="37">
        <f>IF($A701="","",IFERROR(IF(($C701+$D701)=0,0,$B701/($C701+$D701)),0))</f>
        <v/>
      </c>
    </row>
    <row r="702">
      <c r="L702" s="37">
        <f>IF($A702="","",IFERROR(IF(($C702+$D702)=0,0,$B702/($C702+$D702)),0))</f>
        <v/>
      </c>
    </row>
    <row r="703">
      <c r="L703" s="37">
        <f>IF($A703="","",IFERROR(IF(($C703+$D703)=0,0,$B703/($C703+$D703)),0))</f>
        <v/>
      </c>
    </row>
    <row r="704">
      <c r="L704" s="37">
        <f>IF($A704="","",IFERROR(IF(($C704+$D704)=0,0,$B704/($C704+$D704)),0))</f>
        <v/>
      </c>
    </row>
    <row r="705">
      <c r="L705" s="37">
        <f>IF($A705="","",IFERROR(IF(($C705+$D705)=0,0,$B705/($C705+$D705)),0))</f>
        <v/>
      </c>
    </row>
    <row r="706">
      <c r="L706" s="37">
        <f>IF($A706="","",IFERROR(IF(($C706+$D706)=0,0,$B706/($C706+$D706)),0))</f>
        <v/>
      </c>
    </row>
    <row r="707">
      <c r="L707" s="37">
        <f>IF($A707="","",IFERROR(IF(($C707+$D707)=0,0,$B707/($C707+$D707)),0))</f>
        <v/>
      </c>
    </row>
    <row r="708">
      <c r="L708" s="37">
        <f>IF($A708="","",IFERROR(IF(($C708+$D708)=0,0,$B708/($C708+$D708)),0))</f>
        <v/>
      </c>
    </row>
    <row r="709">
      <c r="L709" s="37">
        <f>IF($A709="","",IFERROR(IF(($C709+$D709)=0,0,$B709/($C709+$D709)),0))</f>
        <v/>
      </c>
    </row>
    <row r="710">
      <c r="L710" s="37">
        <f>IF($A710="","",IFERROR(IF(($C710+$D710)=0,0,$B710/($C710+$D710)),0))</f>
        <v/>
      </c>
    </row>
    <row r="711">
      <c r="L711" s="37">
        <f>IF($A711="","",IFERROR(IF(($C711+$D711)=0,0,$B711/($C711+$D711)),0))</f>
        <v/>
      </c>
    </row>
    <row r="712">
      <c r="L712" s="37">
        <f>IF($A712="","",IFERROR(IF(($C712+$D712)=0,0,$B712/($C712+$D712)),0))</f>
        <v/>
      </c>
    </row>
    <row r="713">
      <c r="L713" s="37">
        <f>IF($A713="","",IFERROR(IF(($C713+$D713)=0,0,$B713/($C713+$D713)),0))</f>
        <v/>
      </c>
    </row>
    <row r="714">
      <c r="L714" s="37">
        <f>IF($A714="","",IFERROR(IF(($C714+$D714)=0,0,$B714/($C714+$D714)),0))</f>
        <v/>
      </c>
    </row>
    <row r="715">
      <c r="L715" s="37">
        <f>IF($A715="","",IFERROR(IF(($C715+$D715)=0,0,$B715/($C715+$D715)),0))</f>
        <v/>
      </c>
    </row>
    <row r="716">
      <c r="L716" s="37">
        <f>IF($A716="","",IFERROR(IF(($C716+$D716)=0,0,$B716/($C716+$D716)),0))</f>
        <v/>
      </c>
    </row>
    <row r="717">
      <c r="L717" s="37">
        <f>IF($A717="","",IFERROR(IF(($C717+$D717)=0,0,$B717/($C717+$D717)),0))</f>
        <v/>
      </c>
    </row>
    <row r="718">
      <c r="L718" s="37">
        <f>IF($A718="","",IFERROR(IF(($C718+$D718)=0,0,$B718/($C718+$D718)),0))</f>
        <v/>
      </c>
    </row>
    <row r="719">
      <c r="L719" s="37">
        <f>IF($A719="","",IFERROR(IF(($C719+$D719)=0,0,$B719/($C719+$D719)),0))</f>
        <v/>
      </c>
    </row>
    <row r="720">
      <c r="L720" s="37">
        <f>IF($A720="","",IFERROR(IF(($C720+$D720)=0,0,$B720/($C720+$D720)),0))</f>
        <v/>
      </c>
    </row>
    <row r="721">
      <c r="L721" s="37">
        <f>IF($A721="","",IFERROR(IF(($C721+$D721)=0,0,$B721/($C721+$D721)),0))</f>
        <v/>
      </c>
    </row>
    <row r="722">
      <c r="L722" s="37">
        <f>IF($A722="","",IFERROR(IF(($C722+$D722)=0,0,$B722/($C722+$D722)),0))</f>
        <v/>
      </c>
    </row>
    <row r="723">
      <c r="L723" s="37">
        <f>IF($A723="","",IFERROR(IF(($C723+$D723)=0,0,$B723/($C723+$D723)),0))</f>
        <v/>
      </c>
    </row>
    <row r="724">
      <c r="L724" s="37">
        <f>IF($A724="","",IFERROR(IF(($C724+$D724)=0,0,$B724/($C724+$D724)),0))</f>
        <v/>
      </c>
    </row>
    <row r="725">
      <c r="L725" s="37">
        <f>IF($A725="","",IFERROR(IF(($C725+$D725)=0,0,$B725/($C725+$D725)),0))</f>
        <v/>
      </c>
    </row>
    <row r="726">
      <c r="L726" s="37">
        <f>IF($A726="","",IFERROR(IF(($C726+$D726)=0,0,$B726/($C726+$D726)),0))</f>
        <v/>
      </c>
    </row>
    <row r="727">
      <c r="L727" s="37">
        <f>IF($A727="","",IFERROR(IF(($C727+$D727)=0,0,$B727/($C727+$D727)),0))</f>
        <v/>
      </c>
    </row>
    <row r="728">
      <c r="L728" s="37">
        <f>IF($A728="","",IFERROR(IF(($C728+$D728)=0,0,$B728/($C728+$D728)),0))</f>
        <v/>
      </c>
    </row>
    <row r="729">
      <c r="L729" s="37">
        <f>IF($A729="","",IFERROR(IF(($C729+$D729)=0,0,$B729/($C729+$D729)),0))</f>
        <v/>
      </c>
    </row>
    <row r="730">
      <c r="L730" s="37">
        <f>IF($A730="","",IFERROR(IF(($C730+$D730)=0,0,$B730/($C730+$D730)),0))</f>
        <v/>
      </c>
    </row>
    <row r="731">
      <c r="L731" s="37">
        <f>IF($A731="","",IFERROR(IF(($C731+$D731)=0,0,$B731/($C731+$D731)),0))</f>
        <v/>
      </c>
    </row>
    <row r="732">
      <c r="L732" s="37">
        <f>IF($A732="","",IFERROR(IF(($C732+$D732)=0,0,$B732/($C732+$D732)),0))</f>
        <v/>
      </c>
    </row>
    <row r="733">
      <c r="L733" s="37">
        <f>IF($A733="","",IFERROR(IF(($C733+$D733)=0,0,$B733/($C733+$D733)),0))</f>
        <v/>
      </c>
    </row>
    <row r="734">
      <c r="L734" s="37">
        <f>IF($A734="","",IFERROR(IF(($C734+$D734)=0,0,$B734/($C734+$D734)),0))</f>
        <v/>
      </c>
    </row>
    <row r="735">
      <c r="L735" s="37">
        <f>IF($A735="","",IFERROR(IF(($C735+$D735)=0,0,$B735/($C735+$D735)),0))</f>
        <v/>
      </c>
    </row>
    <row r="736">
      <c r="L736" s="37">
        <f>IF($A736="","",IFERROR(IF(($C736+$D736)=0,0,$B736/($C736+$D736)),0))</f>
        <v/>
      </c>
    </row>
    <row r="737">
      <c r="L737" s="37">
        <f>IF($A737="","",IFERROR(IF(($C737+$D737)=0,0,$B737/($C737+$D737)),0))</f>
        <v/>
      </c>
    </row>
    <row r="738">
      <c r="L738" s="37">
        <f>IF($A738="","",IFERROR(IF(($C738+$D738)=0,0,$B738/($C738+$D738)),0))</f>
        <v/>
      </c>
    </row>
    <row r="739">
      <c r="L739" s="37">
        <f>IF($A739="","",IFERROR(IF(($C739+$D739)=0,0,$B739/($C739+$D739)),0))</f>
        <v/>
      </c>
    </row>
    <row r="740">
      <c r="L740" s="37">
        <f>IF($A740="","",IFERROR(IF(($C740+$D740)=0,0,$B740/($C740+$D740)),0))</f>
        <v/>
      </c>
    </row>
    <row r="741">
      <c r="L741" s="37">
        <f>IF($A741="","",IFERROR(IF(($C741+$D741)=0,0,$B741/($C741+$D741)),0))</f>
        <v/>
      </c>
    </row>
    <row r="742">
      <c r="L742" s="37">
        <f>IF($A742="","",IFERROR(IF(($C742+$D742)=0,0,$B742/($C742+$D742)),0))</f>
        <v/>
      </c>
    </row>
    <row r="743">
      <c r="L743" s="37">
        <f>IF($A743="","",IFERROR(IF(($C743+$D743)=0,0,$B743/($C743+$D743)),0))</f>
        <v/>
      </c>
    </row>
    <row r="744">
      <c r="L744" s="37">
        <f>IF($A744="","",IFERROR(IF(($C744+$D744)=0,0,$B744/($C744+$D744)),0))</f>
        <v/>
      </c>
    </row>
    <row r="745">
      <c r="L745" s="37">
        <f>IF($A745="","",IFERROR(IF(($C745+$D745)=0,0,$B745/($C745+$D745)),0))</f>
        <v/>
      </c>
    </row>
    <row r="746">
      <c r="L746" s="37">
        <f>IF($A746="","",IFERROR(IF(($C746+$D746)=0,0,$B746/($C746+$D746)),0))</f>
        <v/>
      </c>
    </row>
    <row r="747">
      <c r="L747" s="37">
        <f>IF($A747="","",IFERROR(IF(($C747+$D747)=0,0,$B747/($C747+$D747)),0))</f>
        <v/>
      </c>
    </row>
    <row r="748">
      <c r="L748" s="37">
        <f>IF($A748="","",IFERROR(IF(($C748+$D748)=0,0,$B748/($C748+$D748)),0))</f>
        <v/>
      </c>
    </row>
    <row r="749">
      <c r="L749" s="37">
        <f>IF($A749="","",IFERROR(IF(($C749+$D749)=0,0,$B749/($C749+$D749)),0))</f>
        <v/>
      </c>
    </row>
    <row r="750">
      <c r="L750" s="37">
        <f>IF($A750="","",IFERROR(IF(($C750+$D750)=0,0,$B750/($C750+$D750)),0))</f>
        <v/>
      </c>
    </row>
    <row r="751">
      <c r="L751" s="37">
        <f>IF($A751="","",IFERROR(IF(($C751+$D751)=0,0,$B751/($C751+$D751)),0))</f>
        <v/>
      </c>
    </row>
    <row r="752">
      <c r="L752" s="37">
        <f>IF($A752="","",IFERROR(IF(($C752+$D752)=0,0,$B752/($C752+$D752)),0))</f>
        <v/>
      </c>
    </row>
    <row r="753">
      <c r="L753" s="37">
        <f>IF($A753="","",IFERROR(IF(($C753+$D753)=0,0,$B753/($C753+$D753)),0))</f>
        <v/>
      </c>
    </row>
    <row r="754">
      <c r="L754" s="37">
        <f>IF($A754="","",IFERROR(IF(($C754+$D754)=0,0,$B754/($C754+$D754)),0))</f>
        <v/>
      </c>
    </row>
    <row r="755">
      <c r="L755" s="37">
        <f>IF($A755="","",IFERROR(IF(($C755+$D755)=0,0,$B755/($C755+$D755)),0))</f>
        <v/>
      </c>
    </row>
    <row r="756">
      <c r="L756" s="37">
        <f>IF($A756="","",IFERROR(IF(($C756+$D756)=0,0,$B756/($C756+$D756)),0))</f>
        <v/>
      </c>
    </row>
    <row r="757">
      <c r="L757" s="37">
        <f>IF($A757="","",IFERROR(IF(($C757+$D757)=0,0,$B757/($C757+$D757)),0))</f>
        <v/>
      </c>
    </row>
    <row r="758">
      <c r="L758" s="37">
        <f>IF($A758="","",IFERROR(IF(($C758+$D758)=0,0,$B758/($C758+$D758)),0))</f>
        <v/>
      </c>
    </row>
    <row r="759">
      <c r="L759" s="37">
        <f>IF($A759="","",IFERROR(IF(($C759+$D759)=0,0,$B759/($C759+$D759)),0))</f>
        <v/>
      </c>
    </row>
    <row r="760">
      <c r="L760" s="37">
        <f>IF($A760="","",IFERROR(IF(($C760+$D760)=0,0,$B760/($C760+$D760)),0))</f>
        <v/>
      </c>
    </row>
    <row r="761">
      <c r="L761" s="37">
        <f>IF($A761="","",IFERROR(IF(($C761+$D761)=0,0,$B761/($C761+$D761)),0))</f>
        <v/>
      </c>
    </row>
    <row r="762">
      <c r="L762" s="37">
        <f>IF($A762="","",IFERROR(IF(($C762+$D762)=0,0,$B762/($C762+$D762)),0))</f>
        <v/>
      </c>
    </row>
    <row r="763">
      <c r="L763" s="37">
        <f>IF($A763="","",IFERROR(IF(($C763+$D763)=0,0,$B763/($C763+$D763)),0))</f>
        <v/>
      </c>
    </row>
    <row r="764">
      <c r="L764" s="37">
        <f>IF($A764="","",IFERROR(IF(($C764+$D764)=0,0,$B764/($C764+$D764)),0))</f>
        <v/>
      </c>
    </row>
    <row r="765">
      <c r="L765" s="37">
        <f>IF($A765="","",IFERROR(IF(($C765+$D765)=0,0,$B765/($C765+$D765)),0))</f>
        <v/>
      </c>
    </row>
    <row r="766">
      <c r="L766" s="37">
        <f>IF($A766="","",IFERROR(IF(($C766+$D766)=0,0,$B766/($C766+$D766)),0))</f>
        <v/>
      </c>
    </row>
    <row r="767">
      <c r="L767" s="37">
        <f>IF($A767="","",IFERROR(IF(($C767+$D767)=0,0,$B767/($C767+$D767)),0))</f>
        <v/>
      </c>
    </row>
    <row r="768">
      <c r="L768" s="37">
        <f>IF($A768="","",IFERROR(IF(($C768+$D768)=0,0,$B768/($C768+$D768)),0))</f>
        <v/>
      </c>
    </row>
    <row r="769">
      <c r="L769" s="37">
        <f>IF($A769="","",IFERROR(IF(($C769+$D769)=0,0,$B769/($C769+$D769)),0))</f>
        <v/>
      </c>
    </row>
    <row r="770">
      <c r="L770" s="37">
        <f>IF($A770="","",IFERROR(IF(($C770+$D770)=0,0,$B770/($C770+$D770)),0))</f>
        <v/>
      </c>
    </row>
    <row r="771">
      <c r="L771" s="37">
        <f>IF($A771="","",IFERROR(IF(($C771+$D771)=0,0,$B771/($C771+$D771)),0))</f>
        <v/>
      </c>
    </row>
    <row r="772">
      <c r="L772" s="37">
        <f>IF($A772="","",IFERROR(IF(($C772+$D772)=0,0,$B772/($C772+$D772)),0))</f>
        <v/>
      </c>
    </row>
    <row r="773">
      <c r="L773" s="37">
        <f>IF($A773="","",IFERROR(IF(($C773+$D773)=0,0,$B773/($C773+$D773)),0))</f>
        <v/>
      </c>
    </row>
    <row r="774">
      <c r="L774" s="37">
        <f>IF($A774="","",IFERROR(IF(($C774+$D774)=0,0,$B774/($C774+$D774)),0))</f>
        <v/>
      </c>
    </row>
    <row r="775">
      <c r="L775" s="37">
        <f>IF($A775="","",IFERROR(IF(($C775+$D775)=0,0,$B775/($C775+$D775)),0))</f>
        <v/>
      </c>
    </row>
    <row r="776">
      <c r="L776" s="37">
        <f>IF($A776="","",IFERROR(IF(($C776+$D776)=0,0,$B776/($C776+$D776)),0))</f>
        <v/>
      </c>
    </row>
    <row r="777">
      <c r="L777" s="37">
        <f>IF($A777="","",IFERROR(IF(($C777+$D777)=0,0,$B777/($C777+$D777)),0))</f>
        <v/>
      </c>
    </row>
    <row r="778">
      <c r="L778" s="37">
        <f>IF($A778="","",IFERROR(IF(($C778+$D778)=0,0,$B778/($C778+$D778)),0))</f>
        <v/>
      </c>
    </row>
    <row r="779">
      <c r="L779" s="37">
        <f>IF($A779="","",IFERROR(IF(($C779+$D779)=0,0,$B779/($C779+$D779)),0))</f>
        <v/>
      </c>
    </row>
    <row r="780">
      <c r="L780" s="37">
        <f>IF($A780="","",IFERROR(IF(($C780+$D780)=0,0,$B780/($C780+$D780)),0))</f>
        <v/>
      </c>
    </row>
    <row r="781">
      <c r="L781" s="37">
        <f>IF($A781="","",IFERROR(IF(($C781+$D781)=0,0,$B781/($C781+$D781)),0))</f>
        <v/>
      </c>
    </row>
    <row r="782">
      <c r="L782" s="37">
        <f>IF($A782="","",IFERROR(IF(($C782+$D782)=0,0,$B782/($C782+$D782)),0))</f>
        <v/>
      </c>
    </row>
    <row r="783">
      <c r="L783" s="37">
        <f>IF($A783="","",IFERROR(IF(($C783+$D783)=0,0,$B783/($C783+$D783)),0))</f>
        <v/>
      </c>
    </row>
    <row r="784">
      <c r="L784" s="37">
        <f>IF($A784="","",IFERROR(IF(($C784+$D784)=0,0,$B784/($C784+$D784)),0))</f>
        <v/>
      </c>
    </row>
    <row r="785">
      <c r="L785" s="37">
        <f>IF($A785="","",IFERROR(IF(($C785+$D785)=0,0,$B785/($C785+$D785)),0))</f>
        <v/>
      </c>
    </row>
    <row r="786">
      <c r="L786" s="37">
        <f>IF($A786="","",IFERROR(IF(($C786+$D786)=0,0,$B786/($C786+$D786)),0))</f>
        <v/>
      </c>
    </row>
    <row r="787">
      <c r="L787" s="37">
        <f>IF($A787="","",IFERROR(IF(($C787+$D787)=0,0,$B787/($C787+$D787)),0))</f>
        <v/>
      </c>
    </row>
    <row r="788">
      <c r="L788" s="37">
        <f>IF($A788="","",IFERROR(IF(($C788+$D788)=0,0,$B788/($C788+$D788)),0))</f>
        <v/>
      </c>
    </row>
    <row r="789">
      <c r="L789" s="37">
        <f>IF($A789="","",IFERROR(IF(($C789+$D789)=0,0,$B789/($C789+$D789)),0))</f>
        <v/>
      </c>
    </row>
    <row r="790">
      <c r="L790" s="37">
        <f>IF($A790="","",IFERROR(IF(($C790+$D790)=0,0,$B790/($C790+$D790)),0))</f>
        <v/>
      </c>
    </row>
    <row r="791">
      <c r="L791" s="37">
        <f>IF($A791="","",IFERROR(IF(($C791+$D791)=0,0,$B791/($C791+$D791)),0))</f>
        <v/>
      </c>
    </row>
    <row r="792">
      <c r="L792" s="37">
        <f>IF($A792="","",IFERROR(IF(($C792+$D792)=0,0,$B792/($C792+$D792)),0))</f>
        <v/>
      </c>
    </row>
    <row r="793">
      <c r="L793" s="37">
        <f>IF($A793="","",IFERROR(IF(($C793+$D793)=0,0,$B793/($C793+$D793)),0))</f>
        <v/>
      </c>
    </row>
    <row r="794">
      <c r="L794" s="37">
        <f>IF($A794="","",IFERROR(IF(($C794+$D794)=0,0,$B794/($C794+$D794)),0))</f>
        <v/>
      </c>
    </row>
    <row r="795">
      <c r="L795" s="37">
        <f>IF($A795="","",IFERROR(IF(($C795+$D795)=0,0,$B795/($C795+$D795)),0))</f>
        <v/>
      </c>
    </row>
    <row r="796">
      <c r="L796" s="37">
        <f>IF($A796="","",IFERROR(IF(($C796+$D796)=0,0,$B796/($C796+$D796)),0))</f>
        <v/>
      </c>
    </row>
    <row r="797">
      <c r="L797" s="37">
        <f>IF($A797="","",IFERROR(IF(($C797+$D797)=0,0,$B797/($C797+$D797)),0))</f>
        <v/>
      </c>
    </row>
    <row r="798">
      <c r="L798" s="37">
        <f>IF($A798="","",IFERROR(IF(($C798+$D798)=0,0,$B798/($C798+$D798)),0))</f>
        <v/>
      </c>
    </row>
    <row r="799">
      <c r="L799" s="37">
        <f>IF($A799="","",IFERROR(IF(($C799+$D799)=0,0,$B799/($C799+$D799)),0))</f>
        <v/>
      </c>
    </row>
    <row r="800">
      <c r="L800" s="37">
        <f>IF($A800="","",IFERROR(IF(($C800+$D800)=0,0,$B800/($C800+$D800)),0))</f>
        <v/>
      </c>
    </row>
    <row r="801">
      <c r="L801" s="37">
        <f>IF($A801="","",IFERROR(IF(($C801+$D801)=0,0,$B801/($C801+$D801)),0))</f>
        <v/>
      </c>
    </row>
    <row r="802">
      <c r="L802" s="37">
        <f>IF($A802="","",IFERROR(IF(($C802+$D802)=0,0,$B802/($C802+$D802)),0))</f>
        <v/>
      </c>
    </row>
    <row r="803">
      <c r="L803" s="37">
        <f>IF($A803="","",IFERROR(IF(($C803+$D803)=0,0,$B803/($C803+$D803)),0))</f>
        <v/>
      </c>
    </row>
    <row r="804">
      <c r="L804" s="37">
        <f>IF($A804="","",IFERROR(IF(($C804+$D804)=0,0,$B804/($C804+$D804)),0))</f>
        <v/>
      </c>
    </row>
    <row r="805">
      <c r="L805" s="37">
        <f>IF($A805="","",IFERROR(IF(($C805+$D805)=0,0,$B805/($C805+$D805)),0))</f>
        <v/>
      </c>
    </row>
    <row r="806">
      <c r="L806" s="37">
        <f>IF($A806="","",IFERROR(IF(($C806+$D806)=0,0,$B806/($C806+$D806)),0))</f>
        <v/>
      </c>
    </row>
    <row r="807">
      <c r="L807" s="37">
        <f>IF($A807="","",IFERROR(IF(($C807+$D807)=0,0,$B807/($C807+$D807)),0))</f>
        <v/>
      </c>
    </row>
    <row r="808">
      <c r="L808" s="37">
        <f>IF($A808="","",IFERROR(IF(($C808+$D808)=0,0,$B808/($C808+$D808)),0))</f>
        <v/>
      </c>
    </row>
    <row r="809">
      <c r="L809" s="37">
        <f>IF($A809="","",IFERROR(IF(($C809+$D809)=0,0,$B809/($C809+$D809)),0))</f>
        <v/>
      </c>
    </row>
    <row r="810">
      <c r="L810" s="37">
        <f>IF($A810="","",IFERROR(IF(($C810+$D810)=0,0,$B810/($C810+$D810)),0))</f>
        <v/>
      </c>
    </row>
    <row r="811">
      <c r="L811" s="37">
        <f>IF($A811="","",IFERROR(IF(($C811+$D811)=0,0,$B811/($C811+$D811)),0))</f>
        <v/>
      </c>
    </row>
    <row r="812">
      <c r="L812" s="37">
        <f>IF($A812="","",IFERROR(IF(($C812+$D812)=0,0,$B812/($C812+$D812)),0))</f>
        <v/>
      </c>
    </row>
    <row r="813">
      <c r="L813" s="37">
        <f>IF($A813="","",IFERROR(IF(($C813+$D813)=0,0,$B813/($C813+$D813)),0))</f>
        <v/>
      </c>
    </row>
    <row r="814">
      <c r="L814" s="37">
        <f>IF($A814="","",IFERROR(IF(($C814+$D814)=0,0,$B814/($C814+$D814)),0))</f>
        <v/>
      </c>
    </row>
    <row r="815">
      <c r="L815" s="37">
        <f>IF($A815="","",IFERROR(IF(($C815+$D815)=0,0,$B815/($C815+$D815)),0))</f>
        <v/>
      </c>
    </row>
    <row r="816">
      <c r="L816" s="37">
        <f>IF($A816="","",IFERROR(IF(($C816+$D816)=0,0,$B816/($C816+$D816)),0))</f>
        <v/>
      </c>
    </row>
    <row r="817">
      <c r="L817" s="37">
        <f>IF($A817="","",IFERROR(IF(($C817+$D817)=0,0,$B817/($C817+$D817)),0))</f>
        <v/>
      </c>
    </row>
    <row r="818">
      <c r="L818" s="37">
        <f>IF($A818="","",IFERROR(IF(($C818+$D818)=0,0,$B818/($C818+$D818)),0))</f>
        <v/>
      </c>
    </row>
    <row r="819">
      <c r="L819" s="37">
        <f>IF($A819="","",IFERROR(IF(($C819+$D819)=0,0,$B819/($C819+$D819)),0))</f>
        <v/>
      </c>
    </row>
    <row r="820">
      <c r="L820" s="37">
        <f>IF($A820="","",IFERROR(IF(($C820+$D820)=0,0,$B820/($C820+$D820)),0))</f>
        <v/>
      </c>
    </row>
    <row r="821">
      <c r="L821" s="37">
        <f>IF($A821="","",IFERROR(IF(($C821+$D821)=0,0,$B821/($C821+$D821)),0))</f>
        <v/>
      </c>
    </row>
    <row r="822">
      <c r="L822" s="37">
        <f>IF($A822="","",IFERROR(IF(($C822+$D822)=0,0,$B822/($C822+$D822)),0))</f>
        <v/>
      </c>
    </row>
    <row r="823">
      <c r="L823" s="37">
        <f>IF($A823="","",IFERROR(IF(($C823+$D823)=0,0,$B823/($C823+$D823)),0))</f>
        <v/>
      </c>
    </row>
    <row r="824">
      <c r="L824" s="37">
        <f>IF($A824="","",IFERROR(IF(($C824+$D824)=0,0,$B824/($C824+$D824)),0))</f>
        <v/>
      </c>
    </row>
    <row r="825">
      <c r="L825" s="37">
        <f>IF($A825="","",IFERROR(IF(($C825+$D825)=0,0,$B825/($C825+$D825)),0))</f>
        <v/>
      </c>
    </row>
    <row r="826">
      <c r="L826" s="37">
        <f>IF($A826="","",IFERROR(IF(($C826+$D826)=0,0,$B826/($C826+$D826)),0))</f>
        <v/>
      </c>
    </row>
    <row r="827">
      <c r="L827" s="37">
        <f>IF($A827="","",IFERROR(IF(($C827+$D827)=0,0,$B827/($C827+$D827)),0))</f>
        <v/>
      </c>
    </row>
    <row r="828">
      <c r="L828" s="37">
        <f>IF($A828="","",IFERROR(IF(($C828+$D828)=0,0,$B828/($C828+$D828)),0))</f>
        <v/>
      </c>
    </row>
    <row r="829">
      <c r="L829" s="37">
        <f>IF($A829="","",IFERROR(IF(($C829+$D829)=0,0,$B829/($C829+$D829)),0))</f>
        <v/>
      </c>
    </row>
    <row r="830">
      <c r="L830" s="37">
        <f>IF($A830="","",IFERROR(IF(($C830+$D830)=0,0,$B830/($C830+$D830)),0))</f>
        <v/>
      </c>
    </row>
    <row r="831">
      <c r="L831" s="37">
        <f>IF($A831="","",IFERROR(IF(($C831+$D831)=0,0,$B831/($C831+$D831)),0))</f>
        <v/>
      </c>
    </row>
    <row r="832">
      <c r="L832" s="37">
        <f>IF($A832="","",IFERROR(IF(($C832+$D832)=0,0,$B832/($C832+$D832)),0))</f>
        <v/>
      </c>
    </row>
    <row r="833">
      <c r="L833" s="37">
        <f>IF($A833="","",IFERROR(IF(($C833+$D833)=0,0,$B833/($C833+$D833)),0))</f>
        <v/>
      </c>
    </row>
    <row r="834">
      <c r="L834" s="37">
        <f>IF($A834="","",IFERROR(IF(($C834+$D834)=0,0,$B834/($C834+$D834)),0))</f>
        <v/>
      </c>
    </row>
    <row r="835">
      <c r="L835" s="37">
        <f>IF($A835="","",IFERROR(IF(($C835+$D835)=0,0,$B835/($C835+$D835)),0))</f>
        <v/>
      </c>
    </row>
    <row r="836">
      <c r="L836" s="37">
        <f>IF($A836="","",IFERROR(IF(($C836+$D836)=0,0,$B836/($C836+$D836)),0))</f>
        <v/>
      </c>
    </row>
    <row r="837">
      <c r="L837" s="37">
        <f>IF($A837="","",IFERROR(IF(($C837+$D837)=0,0,$B837/($C837+$D837)),0))</f>
        <v/>
      </c>
    </row>
    <row r="838">
      <c r="L838" s="37">
        <f>IF($A838="","",IFERROR(IF(($C838+$D838)=0,0,$B838/($C838+$D838)),0))</f>
        <v/>
      </c>
    </row>
    <row r="839">
      <c r="L839" s="37">
        <f>IF($A839="","",IFERROR(IF(($C839+$D839)=0,0,$B839/($C839+$D839)),0))</f>
        <v/>
      </c>
    </row>
    <row r="840">
      <c r="L840" s="37">
        <f>IF($A840="","",IFERROR(IF(($C840+$D840)=0,0,$B840/($C840+$D840)),0))</f>
        <v/>
      </c>
    </row>
    <row r="841">
      <c r="L841" s="37">
        <f>IF($A841="","",IFERROR(IF(($C841+$D841)=0,0,$B841/($C841+$D841)),0))</f>
        <v/>
      </c>
    </row>
    <row r="842">
      <c r="L842" s="37">
        <f>IF($A842="","",IFERROR(IF(($C842+$D842)=0,0,$B842/($C842+$D842)),0))</f>
        <v/>
      </c>
    </row>
    <row r="843">
      <c r="L843" s="37">
        <f>IF($A843="","",IFERROR(IF(($C843+$D843)=0,0,$B843/($C843+$D843)),0))</f>
        <v/>
      </c>
    </row>
    <row r="844">
      <c r="L844" s="37">
        <f>IF($A844="","",IFERROR(IF(($C844+$D844)=0,0,$B844/($C844+$D844)),0))</f>
        <v/>
      </c>
    </row>
    <row r="845">
      <c r="L845" s="37">
        <f>IF($A845="","",IFERROR(IF(($C845+$D845)=0,0,$B845/($C845+$D845)),0))</f>
        <v/>
      </c>
    </row>
    <row r="846">
      <c r="L846" s="37">
        <f>IF($A846="","",IFERROR(IF(($C846+$D846)=0,0,$B846/($C846+$D846)),0))</f>
        <v/>
      </c>
    </row>
    <row r="847">
      <c r="L847" s="37">
        <f>IF($A847="","",IFERROR(IF(($C847+$D847)=0,0,$B847/($C847+$D847)),0))</f>
        <v/>
      </c>
    </row>
    <row r="848">
      <c r="L848" s="37">
        <f>IF($A848="","",IFERROR(IF(($C848+$D848)=0,0,$B848/($C848+$D848)),0))</f>
        <v/>
      </c>
    </row>
    <row r="849">
      <c r="L849" s="37">
        <f>IF($A849="","",IFERROR(IF(($C849+$D849)=0,0,$B849/($C849+$D849)),0))</f>
        <v/>
      </c>
    </row>
    <row r="850">
      <c r="L850" s="37">
        <f>IF($A850="","",IFERROR(IF(($C850+$D850)=0,0,$B850/($C850+$D850)),0))</f>
        <v/>
      </c>
    </row>
    <row r="851">
      <c r="L851" s="37">
        <f>IF($A851="","",IFERROR(IF(($C851+$D851)=0,0,$B851/($C851+$D851)),0))</f>
        <v/>
      </c>
    </row>
    <row r="852">
      <c r="L852" s="37">
        <f>IF($A852="","",IFERROR(IF(($C852+$D852)=0,0,$B852/($C852+$D852)),0))</f>
        <v/>
      </c>
    </row>
    <row r="853">
      <c r="L853" s="37">
        <f>IF($A853="","",IFERROR(IF(($C853+$D853)=0,0,$B853/($C853+$D853)),0))</f>
        <v/>
      </c>
    </row>
    <row r="854">
      <c r="L854" s="37">
        <f>IF($A854="","",IFERROR(IF(($C854+$D854)=0,0,$B854/($C854+$D854)),0))</f>
        <v/>
      </c>
    </row>
    <row r="855">
      <c r="L855" s="37">
        <f>IF($A855="","",IFERROR(IF(($C855+$D855)=0,0,$B855/($C855+$D855)),0))</f>
        <v/>
      </c>
    </row>
    <row r="856">
      <c r="L856" s="37">
        <f>IF($A856="","",IFERROR(IF(($C856+$D856)=0,0,$B856/($C856+$D856)),0))</f>
        <v/>
      </c>
    </row>
    <row r="857">
      <c r="L857" s="37">
        <f>IF($A857="","",IFERROR(IF(($C857+$D857)=0,0,$B857/($C857+$D857)),0))</f>
        <v/>
      </c>
    </row>
    <row r="858">
      <c r="L858" s="37">
        <f>IF($A858="","",IFERROR(IF(($C858+$D858)=0,0,$B858/($C858+$D858)),0))</f>
        <v/>
      </c>
    </row>
    <row r="859">
      <c r="L859" s="37">
        <f>IF($A859="","",IFERROR(IF(($C859+$D859)=0,0,$B859/($C859+$D859)),0))</f>
        <v/>
      </c>
    </row>
    <row r="860">
      <c r="L860" s="37">
        <f>IF($A860="","",IFERROR(IF(($C860+$D860)=0,0,$B860/($C860+$D860)),0))</f>
        <v/>
      </c>
    </row>
    <row r="861">
      <c r="L861" s="37">
        <f>IF($A861="","",IFERROR(IF(($C861+$D861)=0,0,$B861/($C861+$D861)),0))</f>
        <v/>
      </c>
    </row>
    <row r="862">
      <c r="L862" s="37">
        <f>IF($A862="","",IFERROR(IF(($C862+$D862)=0,0,$B862/($C862+$D862)),0))</f>
        <v/>
      </c>
    </row>
    <row r="863">
      <c r="L863" s="37">
        <f>IF($A863="","",IFERROR(IF(($C863+$D863)=0,0,$B863/($C863+$D863)),0))</f>
        <v/>
      </c>
    </row>
    <row r="864">
      <c r="L864" s="37">
        <f>IF($A864="","",IFERROR(IF(($C864+$D864)=0,0,$B864/($C864+$D864)),0))</f>
        <v/>
      </c>
    </row>
    <row r="865">
      <c r="L865" s="37">
        <f>IF($A865="","",IFERROR(IF(($C865+$D865)=0,0,$B865/($C865+$D865)),0))</f>
        <v/>
      </c>
    </row>
    <row r="866">
      <c r="L866" s="37">
        <f>IF($A866="","",IFERROR(IF(($C866+$D866)=0,0,$B866/($C866+$D866)),0))</f>
        <v/>
      </c>
    </row>
    <row r="867">
      <c r="L867" s="37">
        <f>IF($A867="","",IFERROR(IF(($C867+$D867)=0,0,$B867/($C867+$D867)),0))</f>
        <v/>
      </c>
    </row>
    <row r="868">
      <c r="L868" s="37">
        <f>IF($A868="","",IFERROR(IF(($C868+$D868)=0,0,$B868/($C868+$D868)),0))</f>
        <v/>
      </c>
    </row>
    <row r="869">
      <c r="L869" s="37">
        <f>IF($A869="","",IFERROR(IF(($C869+$D869)=0,0,$B869/($C869+$D869)),0))</f>
        <v/>
      </c>
    </row>
    <row r="870">
      <c r="L870" s="37">
        <f>IF($A870="","",IFERROR(IF(($C870+$D870)=0,0,$B870/($C870+$D870)),0))</f>
        <v/>
      </c>
    </row>
    <row r="871">
      <c r="L871" s="37">
        <f>IF($A871="","",IFERROR(IF(($C871+$D871)=0,0,$B871/($C871+$D871)),0))</f>
        <v/>
      </c>
    </row>
    <row r="872">
      <c r="L872" s="37">
        <f>IF($A872="","",IFERROR(IF(($C872+$D872)=0,0,$B872/($C872+$D872)),0))</f>
        <v/>
      </c>
    </row>
    <row r="873">
      <c r="L873" s="37">
        <f>IF($A873="","",IFERROR(IF(($C873+$D873)=0,0,$B873/($C873+$D873)),0))</f>
        <v/>
      </c>
    </row>
    <row r="874">
      <c r="L874" s="37">
        <f>IF($A874="","",IFERROR(IF(($C874+$D874)=0,0,$B874/($C874+$D874)),0))</f>
        <v/>
      </c>
    </row>
    <row r="875">
      <c r="L875" s="37">
        <f>IF($A875="","",IFERROR(IF(($C875+$D875)=0,0,$B875/($C875+$D875)),0))</f>
        <v/>
      </c>
    </row>
    <row r="876">
      <c r="L876" s="37">
        <f>IF($A876="","",IFERROR(IF(($C876+$D876)=0,0,$B876/($C876+$D876)),0))</f>
        <v/>
      </c>
    </row>
    <row r="877">
      <c r="L877" s="37">
        <f>IF($A877="","",IFERROR(IF(($C877+$D877)=0,0,$B877/($C877+$D877)),0))</f>
        <v/>
      </c>
    </row>
    <row r="878">
      <c r="L878" s="37">
        <f>IF($A878="","",IFERROR(IF(($C878+$D878)=0,0,$B878/($C878+$D878)),0))</f>
        <v/>
      </c>
    </row>
    <row r="879">
      <c r="L879" s="37">
        <f>IF($A879="","",IFERROR(IF(($C879+$D879)=0,0,$B879/($C879+$D879)),0))</f>
        <v/>
      </c>
    </row>
    <row r="880">
      <c r="L880" s="37">
        <f>IF($A880="","",IFERROR(IF(($C880+$D880)=0,0,$B880/($C880+$D880)),0))</f>
        <v/>
      </c>
    </row>
    <row r="881">
      <c r="L881" s="37">
        <f>IF($A881="","",IFERROR(IF(($C881+$D881)=0,0,$B881/($C881+$D881)),0))</f>
        <v/>
      </c>
    </row>
    <row r="882">
      <c r="L882" s="37">
        <f>IF($A882="","",IFERROR(IF(($C882+$D882)=0,0,$B882/($C882+$D882)),0))</f>
        <v/>
      </c>
    </row>
    <row r="883">
      <c r="L883" s="37">
        <f>IF($A883="","",IFERROR(IF(($C883+$D883)=0,0,$B883/($C883+$D883)),0))</f>
        <v/>
      </c>
    </row>
    <row r="884">
      <c r="L884" s="37">
        <f>IF($A884="","",IFERROR(IF(($C884+$D884)=0,0,$B884/($C884+$D884)),0))</f>
        <v/>
      </c>
    </row>
    <row r="885">
      <c r="L885" s="37">
        <f>IF($A885="","",IFERROR(IF(($C885+$D885)=0,0,$B885/($C885+$D885)),0))</f>
        <v/>
      </c>
    </row>
    <row r="886">
      <c r="L886" s="37">
        <f>IF($A886="","",IFERROR(IF(($C886+$D886)=0,0,$B886/($C886+$D886)),0))</f>
        <v/>
      </c>
    </row>
    <row r="887">
      <c r="L887" s="37">
        <f>IF($A887="","",IFERROR(IF(($C887+$D887)=0,0,$B887/($C887+$D887)),0))</f>
        <v/>
      </c>
    </row>
    <row r="888">
      <c r="L888" s="37">
        <f>IF($A888="","",IFERROR(IF(($C888+$D888)=0,0,$B888/($C888+$D888)),0))</f>
        <v/>
      </c>
    </row>
    <row r="889">
      <c r="L889" s="37">
        <f>IF($A889="","",IFERROR(IF(($C889+$D889)=0,0,$B889/($C889+$D889)),0))</f>
        <v/>
      </c>
    </row>
    <row r="890">
      <c r="L890" s="37">
        <f>IF($A890="","",IFERROR(IF(($C890+$D890)=0,0,$B890/($C890+$D890)),0))</f>
        <v/>
      </c>
    </row>
    <row r="891">
      <c r="L891" s="37">
        <f>IF($A891="","",IFERROR(IF(($C891+$D891)=0,0,$B891/($C891+$D891)),0))</f>
        <v/>
      </c>
    </row>
    <row r="892">
      <c r="L892" s="37">
        <f>IF($A892="","",IFERROR(IF(($C892+$D892)=0,0,$B892/($C892+$D892)),0))</f>
        <v/>
      </c>
    </row>
    <row r="893">
      <c r="L893" s="37">
        <f>IF($A893="","",IFERROR(IF(($C893+$D893)=0,0,$B893/($C893+$D893)),0))</f>
        <v/>
      </c>
    </row>
    <row r="894">
      <c r="L894" s="37">
        <f>IF($A894="","",IFERROR(IF(($C894+$D894)=0,0,$B894/($C894+$D894)),0))</f>
        <v/>
      </c>
    </row>
    <row r="895">
      <c r="L895" s="37">
        <f>IF($A895="","",IFERROR(IF(($C895+$D895)=0,0,$B895/($C895+$D895)),0))</f>
        <v/>
      </c>
    </row>
    <row r="896">
      <c r="L896" s="37">
        <f>IF($A896="","",IFERROR(IF(($C896+$D896)=0,0,$B896/($C896+$D896)),0))</f>
        <v/>
      </c>
    </row>
    <row r="897">
      <c r="L897" s="37">
        <f>IF($A897="","",IFERROR(IF(($C897+$D897)=0,0,$B897/($C897+$D897)),0))</f>
        <v/>
      </c>
    </row>
    <row r="898">
      <c r="L898" s="37">
        <f>IF($A898="","",IFERROR(IF(($C898+$D898)=0,0,$B898/($C898+$D898)),0))</f>
        <v/>
      </c>
    </row>
    <row r="899">
      <c r="L899" s="37">
        <f>IF($A899="","",IFERROR(IF(($C899+$D899)=0,0,$B899/($C899+$D899)),0))</f>
        <v/>
      </c>
    </row>
    <row r="900">
      <c r="L900" s="37">
        <f>IF($A900="","",IFERROR(IF(($C900+$D900)=0,0,$B900/($C900+$D900)),0))</f>
        <v/>
      </c>
    </row>
    <row r="901">
      <c r="L901" s="37">
        <f>IF($A901="","",IFERROR(IF(($C901+$D901)=0,0,$B901/($C901+$D901)),0))</f>
        <v/>
      </c>
    </row>
    <row r="902">
      <c r="L902" s="37">
        <f>IF($A902="","",IFERROR(IF(($C902+$D902)=0,0,$B902/($C902+$D902)),0))</f>
        <v/>
      </c>
    </row>
    <row r="903">
      <c r="L903" s="37">
        <f>IF($A903="","",IFERROR(IF(($C903+$D903)=0,0,$B903/($C903+$D903)),0))</f>
        <v/>
      </c>
    </row>
    <row r="904">
      <c r="L904" s="37">
        <f>IF($A904="","",IFERROR(IF(($C904+$D904)=0,0,$B904/($C904+$D904)),0))</f>
        <v/>
      </c>
    </row>
    <row r="905">
      <c r="L905" s="37">
        <f>IF($A905="","",IFERROR(IF(($C905+$D905)=0,0,$B905/($C905+$D905)),0))</f>
        <v/>
      </c>
    </row>
    <row r="906">
      <c r="L906" s="37">
        <f>IF($A906="","",IFERROR(IF(($C906+$D906)=0,0,$B906/($C906+$D906)),0))</f>
        <v/>
      </c>
    </row>
    <row r="907">
      <c r="L907" s="37">
        <f>IF($A907="","",IFERROR(IF(($C907+$D907)=0,0,$B907/($C907+$D907)),0))</f>
        <v/>
      </c>
    </row>
    <row r="908">
      <c r="L908" s="37">
        <f>IF($A908="","",IFERROR(IF(($C908+$D908)=0,0,$B908/($C908+$D908)),0))</f>
        <v/>
      </c>
    </row>
    <row r="909">
      <c r="L909" s="37">
        <f>IF($A909="","",IFERROR(IF(($C909+$D909)=0,0,$B909/($C909+$D909)),0))</f>
        <v/>
      </c>
    </row>
    <row r="910">
      <c r="L910" s="37">
        <f>IF($A910="","",IFERROR(IF(($C910+$D910)=0,0,$B910/($C910+$D910)),0))</f>
        <v/>
      </c>
    </row>
    <row r="911">
      <c r="L911" s="37">
        <f>IF($A911="","",IFERROR(IF(($C911+$D911)=0,0,$B911/($C911+$D911)),0))</f>
        <v/>
      </c>
    </row>
    <row r="912">
      <c r="L912" s="37">
        <f>IF($A912="","",IFERROR(IF(($C912+$D912)=0,0,$B912/($C912+$D912)),0))</f>
        <v/>
      </c>
    </row>
    <row r="913">
      <c r="L913" s="37">
        <f>IF($A913="","",IFERROR(IF(($C913+$D913)=0,0,$B913/($C913+$D913)),0))</f>
        <v/>
      </c>
    </row>
    <row r="914">
      <c r="L914" s="37">
        <f>IF($A914="","",IFERROR(IF(($C914+$D914)=0,0,$B914/($C914+$D914)),0))</f>
        <v/>
      </c>
    </row>
    <row r="915">
      <c r="L915" s="37">
        <f>IF($A915="","",IFERROR(IF(($C915+$D915)=0,0,$B915/($C915+$D915)),0))</f>
        <v/>
      </c>
    </row>
    <row r="916">
      <c r="L916" s="37">
        <f>IF($A916="","",IFERROR(IF(($C916+$D916)=0,0,$B916/($C916+$D916)),0))</f>
        <v/>
      </c>
    </row>
    <row r="917">
      <c r="L917" s="37">
        <f>IF($A917="","",IFERROR(IF(($C917+$D917)=0,0,$B917/($C917+$D917)),0))</f>
        <v/>
      </c>
    </row>
    <row r="918">
      <c r="L918" s="37">
        <f>IF($A918="","",IFERROR(IF(($C918+$D918)=0,0,$B918/($C918+$D918)),0))</f>
        <v/>
      </c>
    </row>
    <row r="919">
      <c r="L919" s="37">
        <f>IF($A919="","",IFERROR(IF(($C919+$D919)=0,0,$B919/($C919+$D919)),0))</f>
        <v/>
      </c>
    </row>
    <row r="920">
      <c r="L920" s="37">
        <f>IF($A920="","",IFERROR(IF(($C920+$D920)=0,0,$B920/($C920+$D920)),0))</f>
        <v/>
      </c>
    </row>
    <row r="921">
      <c r="L921" s="37">
        <f>IF($A921="","",IFERROR(IF(($C921+$D921)=0,0,$B921/($C921+$D921)),0))</f>
        <v/>
      </c>
    </row>
    <row r="922">
      <c r="L922" s="37">
        <f>IF($A922="","",IFERROR(IF(($C922+$D922)=0,0,$B922/($C922+$D922)),0))</f>
        <v/>
      </c>
    </row>
    <row r="923">
      <c r="L923" s="37">
        <f>IF($A923="","",IFERROR(IF(($C923+$D923)=0,0,$B923/($C923+$D923)),0))</f>
        <v/>
      </c>
    </row>
    <row r="924">
      <c r="L924" s="37">
        <f>IF($A924="","",IFERROR(IF(($C924+$D924)=0,0,$B924/($C924+$D924)),0))</f>
        <v/>
      </c>
    </row>
    <row r="925">
      <c r="L925" s="37">
        <f>IF($A925="","",IFERROR(IF(($C925+$D925)=0,0,$B925/($C925+$D925)),0))</f>
        <v/>
      </c>
    </row>
    <row r="926">
      <c r="L926" s="37">
        <f>IF($A926="","",IFERROR(IF(($C926+$D926)=0,0,$B926/($C926+$D926)),0))</f>
        <v/>
      </c>
    </row>
    <row r="927">
      <c r="L927" s="37">
        <f>IF($A927="","",IFERROR(IF(($C927+$D927)=0,0,$B927/($C927+$D927)),0))</f>
        <v/>
      </c>
    </row>
    <row r="928">
      <c r="L928" s="37">
        <f>IF($A928="","",IFERROR(IF(($C928+$D928)=0,0,$B928/($C928+$D928)),0))</f>
        <v/>
      </c>
    </row>
    <row r="929">
      <c r="L929" s="37">
        <f>IF($A929="","",IFERROR(IF(($C929+$D929)=0,0,$B929/($C929+$D929)),0))</f>
        <v/>
      </c>
    </row>
    <row r="930">
      <c r="L930" s="37">
        <f>IF($A930="","",IFERROR(IF(($C930+$D930)=0,0,$B930/($C930+$D930)),0))</f>
        <v/>
      </c>
    </row>
    <row r="931">
      <c r="L931" s="37">
        <f>IF($A931="","",IFERROR(IF(($C931+$D931)=0,0,$B931/($C931+$D931)),0))</f>
        <v/>
      </c>
    </row>
    <row r="932">
      <c r="L932" s="37">
        <f>IF($A932="","",IFERROR(IF(($C932+$D932)=0,0,$B932/($C932+$D932)),0))</f>
        <v/>
      </c>
    </row>
    <row r="933">
      <c r="L933" s="37">
        <f>IF($A933="","",IFERROR(IF(($C933+$D933)=0,0,$B933/($C933+$D933)),0))</f>
        <v/>
      </c>
    </row>
    <row r="934">
      <c r="L934" s="37">
        <f>IF($A934="","",IFERROR(IF(($C934+$D934)=0,0,$B934/($C934+$D934)),0))</f>
        <v/>
      </c>
    </row>
    <row r="935">
      <c r="L935" s="37">
        <f>IF($A935="","",IFERROR(IF(($C935+$D935)=0,0,$B935/($C935+$D935)),0))</f>
        <v/>
      </c>
    </row>
    <row r="936">
      <c r="L936" s="37">
        <f>IF($A936="","",IFERROR(IF(($C936+$D936)=0,0,$B936/($C936+$D936)),0))</f>
        <v/>
      </c>
    </row>
    <row r="937">
      <c r="L937" s="37">
        <f>IF($A937="","",IFERROR(IF(($C937+$D937)=0,0,$B937/($C937+$D937)),0))</f>
        <v/>
      </c>
    </row>
    <row r="938">
      <c r="L938" s="37">
        <f>IF($A938="","",IFERROR(IF(($C938+$D938)=0,0,$B938/($C938+$D938)),0))</f>
        <v/>
      </c>
    </row>
    <row r="939">
      <c r="L939" s="37">
        <f>IF($A939="","",IFERROR(IF(($C939+$D939)=0,0,$B939/($C939+$D939)),0))</f>
        <v/>
      </c>
    </row>
    <row r="940">
      <c r="L940" s="37">
        <f>IF($A940="","",IFERROR(IF(($C940+$D940)=0,0,$B940/($C940+$D940)),0))</f>
        <v/>
      </c>
    </row>
    <row r="941">
      <c r="L941" s="37">
        <f>IF($A941="","",IFERROR(IF(($C941+$D941)=0,0,$B941/($C941+$D941)),0))</f>
        <v/>
      </c>
    </row>
    <row r="942">
      <c r="L942" s="37">
        <f>IF($A942="","",IFERROR(IF(($C942+$D942)=0,0,$B942/($C942+$D942)),0))</f>
        <v/>
      </c>
    </row>
    <row r="943">
      <c r="L943" s="37">
        <f>IF($A943="","",IFERROR(IF(($C943+$D943)=0,0,$B943/($C943+$D943)),0))</f>
        <v/>
      </c>
    </row>
    <row r="944">
      <c r="L944" s="37">
        <f>IF($A944="","",IFERROR(IF(($C944+$D944)=0,0,$B944/($C944+$D944)),0))</f>
        <v/>
      </c>
    </row>
    <row r="945">
      <c r="L945" s="37">
        <f>IF($A945="","",IFERROR(IF(($C945+$D945)=0,0,$B945/($C945+$D945)),0))</f>
        <v/>
      </c>
    </row>
    <row r="946">
      <c r="L946" s="37">
        <f>IF($A946="","",IFERROR(IF(($C946+$D946)=0,0,$B946/($C946+$D946)),0))</f>
        <v/>
      </c>
    </row>
    <row r="947">
      <c r="L947" s="37">
        <f>IF($A947="","",IFERROR(IF(($C947+$D947)=0,0,$B947/($C947+$D947)),0))</f>
        <v/>
      </c>
    </row>
    <row r="948">
      <c r="L948" s="37">
        <f>IF($A948="","",IFERROR(IF(($C948+$D948)=0,0,$B948/($C948+$D948)),0))</f>
        <v/>
      </c>
    </row>
    <row r="949">
      <c r="L949" s="37">
        <f>IF($A949="","",IFERROR(IF(($C949+$D949)=0,0,$B949/($C949+$D949)),0))</f>
        <v/>
      </c>
    </row>
    <row r="950">
      <c r="L950" s="37">
        <f>IF($A950="","",IFERROR(IF(($C950+$D950)=0,0,$B950/($C950+$D950)),0))</f>
        <v/>
      </c>
    </row>
    <row r="951">
      <c r="L951" s="37">
        <f>IF($A951="","",IFERROR(IF(($C951+$D951)=0,0,$B951/($C951+$D951)),0))</f>
        <v/>
      </c>
    </row>
    <row r="952">
      <c r="L952" s="37">
        <f>IF($A952="","",IFERROR(IF(($C952+$D952)=0,0,$B952/($C952+$D952)),0))</f>
        <v/>
      </c>
    </row>
    <row r="953">
      <c r="L953" s="37">
        <f>IF($A953="","",IFERROR(IF(($C953+$D953)=0,0,$B953/($C953+$D953)),0))</f>
        <v/>
      </c>
    </row>
    <row r="954">
      <c r="L954" s="37">
        <f>IF($A954="","",IFERROR(IF(($C954+$D954)=0,0,$B954/($C954+$D954)),0))</f>
        <v/>
      </c>
    </row>
    <row r="955">
      <c r="L955" s="37">
        <f>IF($A955="","",IFERROR(IF(($C955+$D955)=0,0,$B955/($C955+$D955)),0))</f>
        <v/>
      </c>
    </row>
    <row r="956">
      <c r="L956" s="37">
        <f>IF($A956="","",IFERROR(IF(($C956+$D956)=0,0,$B956/($C956+$D956)),0))</f>
        <v/>
      </c>
    </row>
    <row r="957">
      <c r="L957" s="37">
        <f>IF($A957="","",IFERROR(IF(($C957+$D957)=0,0,$B957/($C957+$D957)),0))</f>
        <v/>
      </c>
    </row>
    <row r="958">
      <c r="L958" s="37">
        <f>IF($A958="","",IFERROR(IF(($C958+$D958)=0,0,$B958/($C958+$D958)),0))</f>
        <v/>
      </c>
    </row>
    <row r="959">
      <c r="L959" s="37">
        <f>IF($A959="","",IFERROR(IF(($C959+$D959)=0,0,$B959/($C959+$D959)),0))</f>
        <v/>
      </c>
    </row>
    <row r="960">
      <c r="L960" s="37">
        <f>IF($A960="","",IFERROR(IF(($C960+$D960)=0,0,$B960/($C960+$D960)),0))</f>
        <v/>
      </c>
    </row>
    <row r="961">
      <c r="L961" s="37">
        <f>IF($A961="","",IFERROR(IF(($C961+$D961)=0,0,$B961/($C961+$D961)),0))</f>
        <v/>
      </c>
    </row>
    <row r="962">
      <c r="L962" s="37">
        <f>IF($A962="","",IFERROR(IF(($C962+$D962)=0,0,$B962/($C962+$D962)),0))</f>
        <v/>
      </c>
    </row>
    <row r="963">
      <c r="L963" s="37">
        <f>IF($A963="","",IFERROR(IF(($C963+$D963)=0,0,$B963/($C963+$D963)),0))</f>
        <v/>
      </c>
    </row>
    <row r="964">
      <c r="L964" s="37">
        <f>IF($A964="","",IFERROR(IF(($C964+$D964)=0,0,$B964/($C964+$D964)),0))</f>
        <v/>
      </c>
    </row>
    <row r="965">
      <c r="L965" s="37">
        <f>IF($A965="","",IFERROR(IF(($C965+$D965)=0,0,$B965/($C965+$D965)),0))</f>
        <v/>
      </c>
    </row>
    <row r="966">
      <c r="L966" s="37">
        <f>IF($A966="","",IFERROR(IF(($C966+$D966)=0,0,$B966/($C966+$D966)),0))</f>
        <v/>
      </c>
    </row>
    <row r="967">
      <c r="L967" s="37">
        <f>IF($A967="","",IFERROR(IF(($C967+$D967)=0,0,$B967/($C967+$D967)),0))</f>
        <v/>
      </c>
    </row>
    <row r="968">
      <c r="L968" s="37">
        <f>IF($A968="","",IFERROR(IF(($C968+$D968)=0,0,$B968/($C968+$D968)),0))</f>
        <v/>
      </c>
    </row>
    <row r="969">
      <c r="L969" s="37">
        <f>IF($A969="","",IFERROR(IF(($C969+$D969)=0,0,$B969/($C969+$D969)),0))</f>
        <v/>
      </c>
    </row>
    <row r="970">
      <c r="L970" s="37">
        <f>IF($A970="","",IFERROR(IF(($C970+$D970)=0,0,$B970/($C970+$D970)),0))</f>
        <v/>
      </c>
    </row>
    <row r="971">
      <c r="L971" s="37">
        <f>IF($A971="","",IFERROR(IF(($C971+$D971)=0,0,$B971/($C971+$D971)),0))</f>
        <v/>
      </c>
    </row>
    <row r="972">
      <c r="L972" s="37">
        <f>IF($A972="","",IFERROR(IF(($C972+$D972)=0,0,$B972/($C972+$D972)),0))</f>
        <v/>
      </c>
    </row>
    <row r="973">
      <c r="L973" s="37">
        <f>IF($A973="","",IFERROR(IF(($C973+$D973)=0,0,$B973/($C973+$D973)),0))</f>
        <v/>
      </c>
    </row>
    <row r="974">
      <c r="L974" s="37">
        <f>IF($A974="","",IFERROR(IF(($C974+$D974)=0,0,$B974/($C974+$D974)),0))</f>
        <v/>
      </c>
    </row>
    <row r="975">
      <c r="L975" s="37">
        <f>IF($A975="","",IFERROR(IF(($C975+$D975)=0,0,$B975/($C975+$D975)),0))</f>
        <v/>
      </c>
    </row>
    <row r="976">
      <c r="L976" s="37">
        <f>IF($A976="","",IFERROR(IF(($C976+$D976)=0,0,$B976/($C976+$D976)),0))</f>
        <v/>
      </c>
    </row>
    <row r="977">
      <c r="L977" s="37">
        <f>IF($A977="","",IFERROR(IF(($C977+$D977)=0,0,$B977/($C977+$D977)),0))</f>
        <v/>
      </c>
    </row>
    <row r="978">
      <c r="L978" s="37">
        <f>IF($A978="","",IFERROR(IF(($C978+$D978)=0,0,$B978/($C978+$D978)),0))</f>
        <v/>
      </c>
    </row>
    <row r="979">
      <c r="L979" s="37">
        <f>IF($A979="","",IFERROR(IF(($C979+$D979)=0,0,$B979/($C979+$D979)),0))</f>
        <v/>
      </c>
    </row>
    <row r="980">
      <c r="L980" s="37">
        <f>IF($A980="","",IFERROR(IF(($C980+$D980)=0,0,$B980/($C980+$D980)),0))</f>
        <v/>
      </c>
    </row>
    <row r="981">
      <c r="L981" s="37">
        <f>IF($A981="","",IFERROR(IF(($C981+$D981)=0,0,$B981/($C981+$D981)),0))</f>
        <v/>
      </c>
    </row>
    <row r="982">
      <c r="L982" s="37">
        <f>IF($A982="","",IFERROR(IF(($C982+$D982)=0,0,$B982/($C982+$D982)),0))</f>
        <v/>
      </c>
    </row>
    <row r="983">
      <c r="L983" s="37">
        <f>IF($A983="","",IFERROR(IF(($C983+$D983)=0,0,$B983/($C983+$D983)),0))</f>
        <v/>
      </c>
    </row>
    <row r="984">
      <c r="L984" s="37">
        <f>IF($A984="","",IFERROR(IF(($C984+$D984)=0,0,$B984/($C984+$D984)),0))</f>
        <v/>
      </c>
    </row>
    <row r="985">
      <c r="L985" s="37">
        <f>IF($A985="","",IFERROR(IF(($C985+$D985)=0,0,$B985/($C985+$D985)),0))</f>
        <v/>
      </c>
    </row>
    <row r="986">
      <c r="L986" s="37">
        <f>IF($A986="","",IFERROR(IF(($C986+$D986)=0,0,$B986/($C986+$D986)),0))</f>
        <v/>
      </c>
    </row>
    <row r="987">
      <c r="L987" s="37">
        <f>IF($A987="","",IFERROR(IF(($C987+$D987)=0,0,$B987/($C987+$D987)),0))</f>
        <v/>
      </c>
    </row>
    <row r="988">
      <c r="L988" s="37">
        <f>IF($A988="","",IFERROR(IF(($C988+$D988)=0,0,$B988/($C988+$D988)),0))</f>
        <v/>
      </c>
    </row>
    <row r="989">
      <c r="L989" s="37">
        <f>IF($A989="","",IFERROR(IF(($C989+$D989)=0,0,$B989/($C989+$D989)),0))</f>
        <v/>
      </c>
    </row>
    <row r="990">
      <c r="L990" s="37">
        <f>IF($A990="","",IFERROR(IF(($C990+$D990)=0,0,$B990/($C990+$D990)),0))</f>
        <v/>
      </c>
    </row>
    <row r="991">
      <c r="L991" s="37">
        <f>IF($A991="","",IFERROR(IF(($C991+$D991)=0,0,$B991/($C991+$D991)),0))</f>
        <v/>
      </c>
    </row>
    <row r="992">
      <c r="L992" s="37">
        <f>IF($A992="","",IFERROR(IF(($C992+$D992)=0,0,$B992/($C992+$D992)),0))</f>
        <v/>
      </c>
    </row>
    <row r="993">
      <c r="L993" s="37">
        <f>IF($A993="","",IFERROR(IF(($C993+$D993)=0,0,$B993/($C993+$D993)),0))</f>
        <v/>
      </c>
    </row>
    <row r="994">
      <c r="L994" s="37">
        <f>IF($A994="","",IFERROR(IF(($C994+$D994)=0,0,$B994/($C994+$D994)),0))</f>
        <v/>
      </c>
    </row>
    <row r="995">
      <c r="L995" s="37">
        <f>IF($A995="","",IFERROR(IF(($C995+$D995)=0,0,$B995/($C995+$D995)),0))</f>
        <v/>
      </c>
    </row>
    <row r="996">
      <c r="L996" s="37">
        <f>IF($A996="","",IFERROR(IF(($C996+$D996)=0,0,$B996/($C996+$D996)),0))</f>
        <v/>
      </c>
    </row>
    <row r="997">
      <c r="L997" s="37">
        <f>IF($A997="","",IFERROR(IF(($C997+$D997)=0,0,$B997/($C997+$D997)),0))</f>
        <v/>
      </c>
    </row>
    <row r="998">
      <c r="L998" s="37">
        <f>IF($A998="","",IFERROR(IF(($C998+$D998)=0,0,$B998/($C998+$D998)),0))</f>
        <v/>
      </c>
    </row>
    <row r="999">
      <c r="L999" s="37">
        <f>IF($A999="","",IFERROR(IF(($C999+$D999)=0,0,$B999/($C999+$D999)),0))</f>
        <v/>
      </c>
    </row>
    <row r="1000">
      <c r="L1000" s="37">
        <f>IF($A1000="","",IFERROR(IF(($C1000+$D1000)=0,0,$B1000/($C1000+$D1000)),0))</f>
        <v/>
      </c>
    </row>
    <row r="1001">
      <c r="L1001" s="37">
        <f>IF($A1001="","",IFERROR(IF(($C1001+$D1001)=0,0,$B1001/($C1001+$D1001)),0))</f>
        <v/>
      </c>
    </row>
    <row r="1002">
      <c r="L1002" s="37">
        <f>IF($A1002="","",IFERROR(IF(($C1002+$D1002)=0,0,$B1002/($C1002+$D1002)),0))</f>
        <v/>
      </c>
    </row>
    <row r="1003">
      <c r="L1003" s="37">
        <f>IF($A1003="","",IFERROR(IF(($C1003+$D1003)=0,0,$B1003/($C1003+$D1003)),0))</f>
        <v/>
      </c>
    </row>
    <row r="1004">
      <c r="L1004" s="37">
        <f>IF($A1004="","",IFERROR(IF(($C1004+$D1004)=0,0,$B1004/($C1004+$D1004)),0))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AD1"/>
  </mergeCells>
  <conditionalFormatting sqref="B6:B20">
    <cfRule type="cellIs" priority="1" operator="lessThan" dxfId="5">
      <formula>0</formula>
    </cfRule>
  </conditionalFormatting>
  <conditionalFormatting sqref="C6:C20">
    <cfRule type="cellIs" priority="2" operator="lessThan" dxfId="5">
      <formula>0</formula>
    </cfRule>
  </conditionalFormatting>
  <conditionalFormatting sqref="D6:D20">
    <cfRule type="cellIs" priority="3" operator="lessThan" dxfId="5">
      <formula>0</formula>
    </cfRule>
  </conditionalFormatting>
  <conditionalFormatting sqref="E6:E20">
    <cfRule type="cellIs" priority="4" operator="lessThan" dxfId="5">
      <formula>0</formula>
    </cfRule>
  </conditionalFormatting>
  <conditionalFormatting sqref="J6:J20">
    <cfRule type="cellIs" priority="5" operator="lessThan" dxfId="5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T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3" max="3"/>
    <col width="12" customWidth="1" min="5" max="5"/>
  </cols>
  <sheetData>
    <row r="1" ht="26" customHeight="1">
      <c r="A1" s="1" t="inlineStr">
        <is>
          <t>LISTELER — Proje Finansmanı Paketi (DSCR/LLCR)</t>
        </is>
      </c>
    </row>
    <row r="3">
      <c r="A3" s="10" t="inlineStr">
        <is>
          <t>Doğrulama listeleri</t>
        </is>
      </c>
    </row>
    <row r="5">
      <c r="A5" s="19" t="inlineStr">
        <is>
          <t>Yıl</t>
        </is>
      </c>
      <c r="C5" s="19" t="inlineStr">
        <is>
          <t>Yorum</t>
        </is>
      </c>
      <c r="E5" s="19" t="inlineStr">
        <is>
          <t>EvetHayır</t>
        </is>
      </c>
    </row>
    <row r="6">
      <c r="A6" s="54" t="n">
        <v>2025</v>
      </c>
      <c r="C6" s="25" t="inlineStr">
        <is>
          <t>A</t>
        </is>
      </c>
      <c r="E6" s="25" t="inlineStr">
        <is>
          <t>Evet</t>
        </is>
      </c>
    </row>
    <row r="7">
      <c r="A7" s="54" t="n">
        <v>2026</v>
      </c>
      <c r="C7" s="25" t="inlineStr">
        <is>
          <t>B</t>
        </is>
      </c>
      <c r="E7" s="25" t="inlineStr">
        <is>
          <t>Hayır</t>
        </is>
      </c>
    </row>
    <row r="8">
      <c r="A8" s="54" t="n">
        <v>2027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T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833C0C"/>
    <outlinePr summaryBelow="1" summaryRight="1"/>
    <pageSetUpPr/>
  </sheetPr>
  <dimension ref="A1:AD4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32" customWidth="1" min="4" max="4"/>
    <col width="22" customWidth="1" min="5" max="5"/>
    <col width="14" customWidth="1" min="6" max="6"/>
    <col width="14" customWidth="1" min="7" max="7"/>
    <col width="12" customWidth="1" min="8" max="8"/>
  </cols>
  <sheetData>
    <row r="1" ht="26" customHeight="1">
      <c r="A1" s="1" t="inlineStr">
        <is>
          <t>AYARLAR — Proje Finansmanı Paketi (DSCR/LLCR)</t>
        </is>
      </c>
    </row>
    <row r="3">
      <c r="A3" s="9" t="inlineStr">
        <is>
          <t>Parametreler (tek kaynak)</t>
        </is>
      </c>
    </row>
    <row r="5" ht="30" customHeight="1">
      <c r="A5" s="35" t="inlineStr">
        <is>
          <t>anahtar</t>
        </is>
      </c>
      <c r="B5" s="35" t="inlineStr">
        <is>
          <t>deger</t>
        </is>
      </c>
      <c r="C5" s="35" t="inlineStr">
        <is>
          <t>birim</t>
        </is>
      </c>
      <c r="D5" s="35" t="inlineStr">
        <is>
          <t>aciklama</t>
        </is>
      </c>
      <c r="E5" s="35" t="inlineStr">
        <is>
          <t>kaynak</t>
        </is>
      </c>
      <c r="F5" s="35" t="inlineStr">
        <is>
          <t>yururluk_tarihi</t>
        </is>
      </c>
      <c r="G5" s="35" t="inlineStr">
        <is>
          <t>dogrulama_tarihi</t>
        </is>
      </c>
      <c r="H5" s="35" t="inlineStr">
        <is>
          <t>kontrol</t>
        </is>
      </c>
    </row>
    <row r="6">
      <c r="A6" s="7" t="inlineStr">
        <is>
          <t>hesapYili</t>
        </is>
      </c>
      <c r="B6" s="45" t="n">
        <v>2026</v>
      </c>
      <c r="C6" s="7" t="inlineStr">
        <is>
          <t>yıl</t>
        </is>
      </c>
      <c r="D6" s="7" t="inlineStr">
        <is>
          <t>Aktif hesap yılı</t>
        </is>
      </c>
      <c r="E6" s="7" t="inlineStr">
        <is>
          <t>Kullanıcı / GIRDI</t>
        </is>
      </c>
      <c r="F6" s="7" t="inlineStr">
        <is>
          <t>01.01.2025</t>
        </is>
      </c>
      <c r="G6" s="7" t="inlineStr">
        <is>
          <t>11.08.2026</t>
        </is>
      </c>
      <c r="H6" s="69">
        <f>IF(A6="","",IF(B6="","EKSİK","TAM"))</f>
        <v/>
      </c>
    </row>
    <row r="7">
      <c r="A7" s="7" t="inlineStr">
        <is>
          <t>raporTarihi</t>
        </is>
      </c>
      <c r="B7" s="70" t="n">
        <v>46245</v>
      </c>
      <c r="C7" s="7" t="inlineStr">
        <is>
          <t>tarih</t>
        </is>
      </c>
      <c r="D7" s="7" t="inlineStr">
        <is>
          <t>Rapor tarihi (sabit)</t>
        </is>
      </c>
      <c r="E7" s="7" t="inlineStr">
        <is>
          <t>Üretim</t>
        </is>
      </c>
      <c r="F7" s="7" t="inlineStr">
        <is>
          <t>01.01.2025</t>
        </is>
      </c>
      <c r="G7" s="7" t="inlineStr">
        <is>
          <t>11.08.2026</t>
        </is>
      </c>
      <c r="H7" s="69">
        <f>IF(A7="","",IF(B7="","EKSİK","TAM"))</f>
        <v/>
      </c>
    </row>
    <row r="8">
      <c r="A8" s="7" t="inlineStr">
        <is>
          <t>pfd_tolerans</t>
        </is>
      </c>
      <c r="B8" s="44" t="n">
        <v>0.02</v>
      </c>
      <c r="C8" s="7" t="inlineStr">
        <is>
          <t>oran</t>
        </is>
      </c>
      <c r="D8" s="7" t="inlineStr">
        <is>
          <t>Vaka tutarlılık toleransı</t>
        </is>
      </c>
      <c r="E8" s="7" t="inlineStr">
        <is>
          <t>Uygulama notu</t>
        </is>
      </c>
      <c r="F8" s="7" t="inlineStr">
        <is>
          <t>01.01.2025</t>
        </is>
      </c>
      <c r="G8" s="7" t="inlineStr">
        <is>
          <t>11.08.2026</t>
        </is>
      </c>
      <c r="H8" s="69">
        <f>IF(A8="","",IF(B8="","EKSİK","TAM"))</f>
        <v/>
      </c>
    </row>
    <row r="9">
      <c r="A9" s="7" t="inlineStr">
        <is>
          <t>pfd_azamiEsik</t>
        </is>
      </c>
      <c r="B9" s="68" t="n">
        <v>100000000000</v>
      </c>
      <c r="C9" s="7" t="inlineStr">
        <is>
          <t>TL</t>
        </is>
      </c>
      <c r="D9" s="7" t="inlineStr">
        <is>
          <t>Uç değer / azami giriş eşiği</t>
        </is>
      </c>
      <c r="E9" s="7" t="inlineStr">
        <is>
          <t>İç politika</t>
        </is>
      </c>
      <c r="F9" s="7" t="inlineStr">
        <is>
          <t>01.01.2025</t>
        </is>
      </c>
      <c r="G9" s="7" t="inlineStr">
        <is>
          <t>11.08.2026</t>
        </is>
      </c>
      <c r="H9" s="69">
        <f>IF(A9="","",IF(B9="","EKSİK","TAM"))</f>
        <v/>
      </c>
    </row>
    <row r="10">
      <c r="A10" s="7" t="inlineStr">
        <is>
          <t>pfd_kacirilanEsik</t>
        </is>
      </c>
      <c r="B10" s="44" t="n">
        <v>1.25</v>
      </c>
      <c r="C10" s="7" t="inlineStr">
        <is>
          <t>oran</t>
        </is>
      </c>
      <c r="D10" s="7" t="inlineStr">
        <is>
          <t>PANO DSCR uyarı eşiği</t>
        </is>
      </c>
      <c r="E10" s="7" t="inlineStr">
        <is>
          <t>İç politika</t>
        </is>
      </c>
      <c r="F10" s="7" t="inlineStr">
        <is>
          <t>01.01.2025</t>
        </is>
      </c>
      <c r="G10" s="7" t="inlineStr">
        <is>
          <t>11.08.2026</t>
        </is>
      </c>
      <c r="H10" s="69">
        <f>IF(A10="","",IF(B10="","EKSİK","TAM"))</f>
        <v/>
      </c>
    </row>
    <row r="11">
      <c r="A11" s="7" t="inlineStr">
        <is>
          <t>pfd_senaryoIyi</t>
        </is>
      </c>
      <c r="B11" s="44" t="n">
        <v>1.1</v>
      </c>
      <c r="C11" s="7" t="inlineStr">
        <is>
          <t>çarpan</t>
        </is>
      </c>
      <c r="D11" s="7" t="inlineStr">
        <is>
          <t>İyimser CFADS çarpanı</t>
        </is>
      </c>
      <c r="E11" s="7" t="inlineStr">
        <is>
          <t>Model varsayımı</t>
        </is>
      </c>
      <c r="F11" s="7" t="inlineStr">
        <is>
          <t>01.01.2025</t>
        </is>
      </c>
      <c r="G11" s="7" t="inlineStr">
        <is>
          <t>11.08.2026</t>
        </is>
      </c>
      <c r="H11" s="69">
        <f>IF(A11="","",IF(B11="","EKSİK","TAM"))</f>
        <v/>
      </c>
    </row>
    <row r="12">
      <c r="A12" s="7" t="inlineStr">
        <is>
          <t>pfd_senaryoKotu</t>
        </is>
      </c>
      <c r="B12" s="44" t="n">
        <v>0.85</v>
      </c>
      <c r="C12" s="7" t="inlineStr">
        <is>
          <t>çarpan</t>
        </is>
      </c>
      <c r="D12" s="7" t="inlineStr">
        <is>
          <t>Kötümser CFADS çarpanı</t>
        </is>
      </c>
      <c r="E12" s="7" t="inlineStr">
        <is>
          <t>Model varsayımı</t>
        </is>
      </c>
      <c r="F12" s="7" t="inlineStr">
        <is>
          <t>01.01.2025</t>
        </is>
      </c>
      <c r="G12" s="7" t="inlineStr">
        <is>
          <t>11.08.2026</t>
        </is>
      </c>
      <c r="H12" s="69">
        <f>IF(A12="","",IF(B12="","EKSİK","TAM"))</f>
        <v/>
      </c>
    </row>
    <row r="13">
      <c r="A13" s="7" t="inlineStr">
        <is>
          <t>pfd_esikArtis</t>
        </is>
      </c>
      <c r="B13" s="44" t="n">
        <v>0.05</v>
      </c>
      <c r="C13" s="7" t="inlineStr">
        <is>
          <t>oran</t>
        </is>
      </c>
      <c r="D13" s="7" t="inlineStr">
        <is>
          <t>M-SEN eşik + delta</t>
        </is>
      </c>
      <c r="E13" s="7" t="inlineStr">
        <is>
          <t>Senaryo motoru</t>
        </is>
      </c>
      <c r="F13" s="7" t="inlineStr">
        <is>
          <t>01.01.2025</t>
        </is>
      </c>
      <c r="G13" s="7" t="inlineStr">
        <is>
          <t>11.08.2026</t>
        </is>
      </c>
      <c r="H13" s="69">
        <f>IF(A13="","",IF(B13="","EKSİK","TAM"))</f>
        <v/>
      </c>
    </row>
    <row r="14">
      <c r="A14" s="7" t="inlineStr">
        <is>
          <t>pfd_tahminAlt</t>
        </is>
      </c>
      <c r="B14" s="44" t="n">
        <v>0.85</v>
      </c>
      <c r="C14" s="7" t="inlineStr">
        <is>
          <t>çarpan</t>
        </is>
      </c>
      <c r="D14" s="7" t="inlineStr">
        <is>
          <t>Tahmin alt bant</t>
        </is>
      </c>
      <c r="E14" s="7" t="inlineStr">
        <is>
          <t>Model varsayımı</t>
        </is>
      </c>
      <c r="F14" s="7" t="inlineStr">
        <is>
          <t>01.01.2025</t>
        </is>
      </c>
      <c r="G14" s="7" t="inlineStr">
        <is>
          <t>11.08.2026</t>
        </is>
      </c>
      <c r="H14" s="69">
        <f>IF(A14="","",IF(B14="","EKSİK","TAM"))</f>
        <v/>
      </c>
    </row>
    <row r="15">
      <c r="A15" s="7" t="inlineStr">
        <is>
          <t>pfd_tahminUst</t>
        </is>
      </c>
      <c r="B15" s="44" t="n">
        <v>1.15</v>
      </c>
      <c r="C15" s="7" t="inlineStr">
        <is>
          <t>çarpan</t>
        </is>
      </c>
      <c r="D15" s="7" t="inlineStr">
        <is>
          <t>Tahmin üst bant</t>
        </is>
      </c>
      <c r="E15" s="7" t="inlineStr">
        <is>
          <t>Model varsayımı</t>
        </is>
      </c>
      <c r="F15" s="7" t="inlineStr">
        <is>
          <t>01.01.2025</t>
        </is>
      </c>
      <c r="G15" s="7" t="inlineStr">
        <is>
          <t>11.08.2026</t>
        </is>
      </c>
      <c r="H15" s="69">
        <f>IF(A15="","",IF(B15="","EKSİK","TAM"))</f>
        <v/>
      </c>
    </row>
    <row r="16">
      <c r="A16" s="7" t="inlineStr">
        <is>
          <t>pfd_tornadoCfads</t>
        </is>
      </c>
      <c r="B16" s="44" t="n">
        <v>1.05</v>
      </c>
      <c r="C16" s="7" t="inlineStr">
        <is>
          <t>çarpan</t>
        </is>
      </c>
      <c r="D16" s="7" t="inlineStr">
        <is>
          <t>Tornado CFADS şoku</t>
        </is>
      </c>
      <c r="E16" s="7" t="inlineStr">
        <is>
          <t>Model varsayımı</t>
        </is>
      </c>
      <c r="F16" s="7" t="inlineStr">
        <is>
          <t>01.01.2025</t>
        </is>
      </c>
      <c r="G16" s="7" t="inlineStr">
        <is>
          <t>11.08.2026</t>
        </is>
      </c>
      <c r="H16" s="69">
        <f>IF(A16="","",IF(B16="","EKSİK","TAM"))</f>
        <v/>
      </c>
    </row>
    <row r="17">
      <c r="A17" s="7" t="inlineStr">
        <is>
          <t>pfd_tornadoServis</t>
        </is>
      </c>
      <c r="B17" s="44" t="n">
        <v>1.05</v>
      </c>
      <c r="C17" s="7" t="inlineStr">
        <is>
          <t>çarpan</t>
        </is>
      </c>
      <c r="D17" s="7" t="inlineStr">
        <is>
          <t>Tornado servis şoku</t>
        </is>
      </c>
      <c r="E17" s="7" t="inlineStr">
        <is>
          <t>Model varsayımı</t>
        </is>
      </c>
      <c r="F17" s="7" t="inlineStr">
        <is>
          <t>01.01.2025</t>
        </is>
      </c>
      <c r="G17" s="7" t="inlineStr">
        <is>
          <t>11.08.2026</t>
        </is>
      </c>
      <c r="H17" s="69">
        <f>IF(A17="","",IF(B17="","EKSİK","TAM"))</f>
        <v/>
      </c>
    </row>
    <row r="18">
      <c r="A18" s="7" t="inlineStr">
        <is>
          <t>pfd_tornadoWacc</t>
        </is>
      </c>
      <c r="B18" s="44" t="n">
        <v>0.01</v>
      </c>
      <c r="C18" s="7" t="inlineStr">
        <is>
          <t>oran</t>
        </is>
      </c>
      <c r="D18" s="7" t="inlineStr">
        <is>
          <t>Tornado WACC şoku</t>
        </is>
      </c>
      <c r="E18" s="7" t="inlineStr">
        <is>
          <t>Model varsayımı</t>
        </is>
      </c>
      <c r="F18" s="7" t="inlineStr">
        <is>
          <t>01.01.2025</t>
        </is>
      </c>
      <c r="G18" s="7" t="inlineStr">
        <is>
          <t>11.08.2026</t>
        </is>
      </c>
      <c r="H18" s="69">
        <f>IF(A18="","",IF(B18="","EKSİK","TAM"))</f>
        <v/>
      </c>
    </row>
    <row r="19">
      <c r="A19" s="7" t="inlineStr">
        <is>
          <t>pfd_yorumBKesinti</t>
        </is>
      </c>
      <c r="B19" s="44" t="n">
        <v>0.05</v>
      </c>
      <c r="C19" s="7" t="inlineStr">
        <is>
          <t>oran</t>
        </is>
      </c>
      <c r="D19" s="7" t="inlineStr">
        <is>
          <t>Yorum B CFADS −%5</t>
        </is>
      </c>
      <c r="E19" s="7" t="inlineStr">
        <is>
          <t>CFADS yorumu</t>
        </is>
      </c>
      <c r="F19" s="7" t="inlineStr">
        <is>
          <t>01.01.2025</t>
        </is>
      </c>
      <c r="G19" s="7" t="inlineStr">
        <is>
          <t>11.08.2026</t>
        </is>
      </c>
      <c r="H19" s="69">
        <f>IF(A19="","",IF(B19="","EKSİK","TAM"))</f>
        <v/>
      </c>
    </row>
    <row r="20">
      <c r="A20" s="7" t="inlineStr">
        <is>
          <t>pfd_yuzdelikOran</t>
        </is>
      </c>
      <c r="B20" s="44" t="n">
        <v>0.9</v>
      </c>
      <c r="C20" s="7" t="inlineStr">
        <is>
          <t>oran</t>
        </is>
      </c>
      <c r="D20" s="7" t="inlineStr">
        <is>
          <t>Yüzdelik P90</t>
        </is>
      </c>
      <c r="E20" s="7" t="inlineStr">
        <is>
          <t>İstatistik</t>
        </is>
      </c>
      <c r="F20" s="7" t="inlineStr">
        <is>
          <t>01.01.2025</t>
        </is>
      </c>
      <c r="G20" s="7" t="inlineStr">
        <is>
          <t>11.08.2026</t>
        </is>
      </c>
      <c r="H20" s="69">
        <f>IF(A20="","",IF(B20="","EKSİK","TAM"))</f>
        <v/>
      </c>
    </row>
    <row r="21">
      <c r="A21" s="7" t="inlineStr">
        <is>
          <t>pfd_parmakIzi</t>
        </is>
      </c>
      <c r="B21" s="67" t="inlineStr">
        <is>
          <t>2f04db5b772ba8e9</t>
        </is>
      </c>
      <c r="C21" s="7" t="inlineStr">
        <is>
          <t>metin</t>
        </is>
      </c>
      <c r="D21" s="7" t="inlineStr">
        <is>
          <t>Dosya parmak izi etiketi</t>
        </is>
      </c>
      <c r="E21" s="7" t="inlineStr">
        <is>
          <t>Üretim</t>
        </is>
      </c>
      <c r="F21" s="7" t="inlineStr">
        <is>
          <t>01.01.2025</t>
        </is>
      </c>
      <c r="G21" s="7" t="inlineStr">
        <is>
          <t>11.08.2026</t>
        </is>
      </c>
      <c r="H21" s="69">
        <f>IF(A21="","",IF(B21="","EKSİK","TAM"))</f>
        <v/>
      </c>
    </row>
    <row r="22">
      <c r="A22" s="7" t="inlineStr">
        <is>
          <t>dosya_surumu</t>
        </is>
      </c>
      <c r="B22" s="67" t="inlineStr">
        <is>
          <t>1.0.0</t>
        </is>
      </c>
      <c r="C22" s="7" t="inlineStr">
        <is>
          <t>metin</t>
        </is>
      </c>
      <c r="D22" s="7" t="inlineStr">
        <is>
          <t>Ürün sürümü</t>
        </is>
      </c>
      <c r="E22" s="7" t="inlineStr">
        <is>
          <t>ExcelArşiv</t>
        </is>
      </c>
      <c r="F22" s="7" t="inlineStr">
        <is>
          <t>01.01.2025</t>
        </is>
      </c>
      <c r="G22" s="7" t="inlineStr">
        <is>
          <t>11.08.2026</t>
        </is>
      </c>
      <c r="H22" s="69">
        <f>IF(A22="","",IF(B22="","EKSİK","TAM"))</f>
        <v/>
      </c>
    </row>
    <row r="23">
      <c r="A23" s="7" t="inlineStr">
        <is>
          <t>pfd_girisBeklenen</t>
        </is>
      </c>
      <c r="B23" s="45" t="n">
        <v>12</v>
      </c>
      <c r="C23" s="7" t="inlineStr">
        <is>
          <t>adet</t>
        </is>
      </c>
      <c r="D23" s="7" t="inlineStr">
        <is>
          <t>Zorunlu giriş alanı sayısı</t>
        </is>
      </c>
      <c r="E23" s="7" t="inlineStr">
        <is>
          <t>Ürün mimarisi</t>
        </is>
      </c>
      <c r="F23" s="7" t="inlineStr">
        <is>
          <t>01.01.2025</t>
        </is>
      </c>
      <c r="G23" s="7" t="inlineStr">
        <is>
          <t>11.08.2026</t>
        </is>
      </c>
      <c r="H23" s="69">
        <f>IF(A23="","",IF(B23="","EKSİK","TAM"))</f>
        <v/>
      </c>
    </row>
    <row r="24">
      <c r="A24" s="7" t="inlineStr">
        <is>
          <t>pfd_riskDusuk</t>
        </is>
      </c>
      <c r="B24" s="45" t="n">
        <v>15</v>
      </c>
      <c r="C24" s="7" t="inlineStr">
        <is>
          <t>puan</t>
        </is>
      </c>
      <c r="D24" s="7" t="inlineStr">
        <is>
          <t>UYGUN risk skoru</t>
        </is>
      </c>
      <c r="E24" s="7" t="inlineStr">
        <is>
          <t>İç politika</t>
        </is>
      </c>
      <c r="F24" s="7" t="inlineStr">
        <is>
          <t>01.01.2025</t>
        </is>
      </c>
      <c r="G24" s="7" t="inlineStr">
        <is>
          <t>11.08.2026</t>
        </is>
      </c>
      <c r="H24" s="69">
        <f>IF(A24="","",IF(B24="","EKSİK","TAM"))</f>
        <v/>
      </c>
    </row>
    <row r="25">
      <c r="A25" s="7" t="inlineStr">
        <is>
          <t>pfd_riskOrta</t>
        </is>
      </c>
      <c r="B25" s="45" t="n">
        <v>55</v>
      </c>
      <c r="C25" s="7" t="inlineStr">
        <is>
          <t>puan</t>
        </is>
      </c>
      <c r="D25" s="7" t="inlineStr">
        <is>
          <t>DİKKAT risk skoru</t>
        </is>
      </c>
      <c r="E25" s="7" t="inlineStr">
        <is>
          <t>İç politika</t>
        </is>
      </c>
      <c r="F25" s="7" t="inlineStr">
        <is>
          <t>01.01.2025</t>
        </is>
      </c>
      <c r="G25" s="7" t="inlineStr">
        <is>
          <t>11.08.2026</t>
        </is>
      </c>
      <c r="H25" s="69">
        <f>IF(A25="","",IF(B25="","EKSİK","TAM"))</f>
        <v/>
      </c>
    </row>
    <row r="26">
      <c r="A26" s="7" t="inlineStr">
        <is>
          <t>pfd_riskYuksek</t>
        </is>
      </c>
      <c r="B26" s="45" t="n">
        <v>85</v>
      </c>
      <c r="C26" s="7" t="inlineStr">
        <is>
          <t>puan</t>
        </is>
      </c>
      <c r="D26" s="7" t="inlineStr">
        <is>
          <t>İHLAL risk skoru</t>
        </is>
      </c>
      <c r="E26" s="7" t="inlineStr">
        <is>
          <t>İç politika</t>
        </is>
      </c>
      <c r="F26" s="7" t="inlineStr">
        <is>
          <t>01.01.2025</t>
        </is>
      </c>
      <c r="G26" s="7" t="inlineStr">
        <is>
          <t>11.08.2026</t>
        </is>
      </c>
      <c r="H26" s="69">
        <f>IF(A26="","",IF(B26="","EKSİK","TAM"))</f>
        <v/>
      </c>
    </row>
    <row r="27">
      <c r="A27" s="7" t="inlineStr">
        <is>
          <t>pfd_riskEsikOran</t>
        </is>
      </c>
      <c r="B27" s="44" t="n">
        <v>0.5</v>
      </c>
      <c r="C27" s="7" t="inlineStr">
        <is>
          <t>oran</t>
        </is>
      </c>
      <c r="D27" s="7" t="inlineStr">
        <is>
          <t>Yedek risk oranı</t>
        </is>
      </c>
      <c r="E27" s="7" t="inlineStr">
        <is>
          <t>İç politika</t>
        </is>
      </c>
      <c r="F27" s="7" t="inlineStr">
        <is>
          <t>01.01.2025</t>
        </is>
      </c>
      <c r="G27" s="7" t="inlineStr">
        <is>
          <t>11.08.2026</t>
        </is>
      </c>
      <c r="H27" s="69">
        <f>IF(A27="","",IF(B27="","EKSİK","TAM"))</f>
        <v/>
      </c>
    </row>
    <row r="28">
      <c r="A28" s="7" t="inlineStr">
        <is>
          <t>pfd_yilTaban</t>
        </is>
      </c>
      <c r="B28" s="45" t="n">
        <v>2024</v>
      </c>
      <c r="C28" s="7" t="inlineStr">
        <is>
          <t>yıl</t>
        </is>
      </c>
      <c r="D28" s="7" t="inlineStr">
        <is>
          <t>CHOOSE yıl tabanı</t>
        </is>
      </c>
      <c r="E28" s="7" t="inlineStr">
        <is>
          <t>Ürün mimarisi</t>
        </is>
      </c>
      <c r="F28" s="7" t="inlineStr">
        <is>
          <t>01.01.2025</t>
        </is>
      </c>
      <c r="G28" s="7" t="inlineStr">
        <is>
          <t>11.08.2026</t>
        </is>
      </c>
      <c r="H28" s="69">
        <f>IF(A28="","",IF(B28="","EKSİK","TAM"))</f>
        <v/>
      </c>
    </row>
    <row r="29">
      <c r="A29" s="7" t="inlineStr">
        <is>
          <t>pfd_yuvarMax</t>
        </is>
      </c>
      <c r="B29" s="45" t="n">
        <v>10</v>
      </c>
      <c r="C29" s="7" t="inlineStr">
        <is>
          <t>adet</t>
        </is>
      </c>
      <c r="D29" s="7" t="inlineStr">
        <is>
          <t>ROUND basamak tavanı</t>
        </is>
      </c>
      <c r="E29" s="7" t="inlineStr">
        <is>
          <t>Ürün mimarisi</t>
        </is>
      </c>
      <c r="F29" s="7" t="inlineStr">
        <is>
          <t>01.01.2025</t>
        </is>
      </c>
      <c r="G29" s="7" t="inlineStr">
        <is>
          <t>11.08.2026</t>
        </is>
      </c>
      <c r="H29" s="69">
        <f>IF(A29="","",IF(B29="","EKSİK","TAM"))</f>
        <v/>
      </c>
    </row>
    <row r="30">
      <c r="A30" s="7" t="inlineStr">
        <is>
          <t>pfd_dayanakCarpan</t>
        </is>
      </c>
      <c r="B30" s="45" t="n">
        <v>10</v>
      </c>
      <c r="C30" s="7" t="inlineStr">
        <is>
          <t>adet</t>
        </is>
      </c>
      <c r="D30" s="7" t="inlineStr">
        <is>
          <t>Yedek çarpan</t>
        </is>
      </c>
      <c r="E30" s="7" t="inlineStr">
        <is>
          <t>Ürün mimarisi</t>
        </is>
      </c>
      <c r="F30" s="7" t="inlineStr">
        <is>
          <t>01.01.2025</t>
        </is>
      </c>
      <c r="G30" s="7" t="inlineStr">
        <is>
          <t>11.08.2026</t>
        </is>
      </c>
      <c r="H30" s="69">
        <f>IF(A30="","",IF(B30="","EKSİK","TAM"))</f>
        <v/>
      </c>
    </row>
    <row r="31">
      <c r="A31" s="7" t="inlineStr">
        <is>
          <t>pfd_bazCarpan</t>
        </is>
      </c>
      <c r="B31" s="44" t="n">
        <v>1</v>
      </c>
      <c r="C31" s="7" t="inlineStr">
        <is>
          <t>çarpan</t>
        </is>
      </c>
      <c r="D31" s="7" t="inlineStr">
        <is>
          <t>Baz senaryo çarpanı</t>
        </is>
      </c>
      <c r="E31" s="7" t="inlineStr">
        <is>
          <t>Model varsayımı</t>
        </is>
      </c>
      <c r="F31" s="7" t="inlineStr">
        <is>
          <t>01.01.2025</t>
        </is>
      </c>
      <c r="G31" s="7" t="inlineStr">
        <is>
          <t>11.08.2026</t>
        </is>
      </c>
      <c r="H31" s="69">
        <f>IF(A31="","",IF(B31="","EKSİK","TAM"))</f>
        <v/>
      </c>
    </row>
    <row r="32">
      <c r="A32" s="7" t="inlineStr">
        <is>
          <t>pfd_sifirCarpan</t>
        </is>
      </c>
      <c r="B32" s="44" t="n">
        <v>0</v>
      </c>
      <c r="C32" s="7" t="inlineStr">
        <is>
          <t>çarpan</t>
        </is>
      </c>
      <c r="D32" s="7" t="inlineStr">
        <is>
          <t>Nötr çarpan (sıfır)</t>
        </is>
      </c>
      <c r="E32" s="7" t="inlineStr">
        <is>
          <t>Model varsayımı</t>
        </is>
      </c>
      <c r="F32" s="7" t="inlineStr">
        <is>
          <t>01.01.2025</t>
        </is>
      </c>
      <c r="G32" s="7" t="inlineStr">
        <is>
          <t>11.08.2026</t>
        </is>
      </c>
      <c r="H32" s="69">
        <f>IF(A32="","",IF(B32="","EKSİK","TAM"))</f>
        <v/>
      </c>
    </row>
    <row r="33">
      <c r="A33" s="7" t="inlineStr">
        <is>
          <t>pfd_siraBir</t>
        </is>
      </c>
      <c r="B33" s="45" t="n">
        <v>1</v>
      </c>
      <c r="C33" s="7" t="inlineStr">
        <is>
          <t>adet</t>
        </is>
      </c>
      <c r="D33" s="7" t="inlineStr">
        <is>
          <t>Tornado sıra 1</t>
        </is>
      </c>
      <c r="E33" s="7" t="inlineStr">
        <is>
          <t>Ürün mimarisi</t>
        </is>
      </c>
      <c r="F33" s="7" t="inlineStr">
        <is>
          <t>01.01.2025</t>
        </is>
      </c>
      <c r="G33" s="7" t="inlineStr">
        <is>
          <t>11.08.2026</t>
        </is>
      </c>
      <c r="H33" s="69">
        <f>IF(A33="","",IF(B33="","EKSİK","TAM"))</f>
        <v/>
      </c>
    </row>
    <row r="34">
      <c r="A34" s="7" t="inlineStr">
        <is>
          <t>pfd_siraIki</t>
        </is>
      </c>
      <c r="B34" s="45" t="n">
        <v>2</v>
      </c>
      <c r="C34" s="7" t="inlineStr">
        <is>
          <t>adet</t>
        </is>
      </c>
      <c r="D34" s="7" t="inlineStr">
        <is>
          <t>Tornado sıra 2</t>
        </is>
      </c>
      <c r="E34" s="7" t="inlineStr">
        <is>
          <t>Ürün mimarisi</t>
        </is>
      </c>
      <c r="F34" s="7" t="inlineStr">
        <is>
          <t>01.01.2025</t>
        </is>
      </c>
      <c r="G34" s="7" t="inlineStr">
        <is>
          <t>11.08.2026</t>
        </is>
      </c>
      <c r="H34" s="69">
        <f>IF(A34="","",IF(B34="","EKSİK","TAM"))</f>
        <v/>
      </c>
    </row>
    <row r="35">
      <c r="A35" s="7" t="inlineStr">
        <is>
          <t>pfd_siraUc</t>
        </is>
      </c>
      <c r="B35" s="45" t="n">
        <v>3</v>
      </c>
      <c r="C35" s="7" t="inlineStr">
        <is>
          <t>adet</t>
        </is>
      </c>
      <c r="D35" s="7" t="inlineStr">
        <is>
          <t>Tornado sıra 3</t>
        </is>
      </c>
      <c r="E35" s="7" t="inlineStr">
        <is>
          <t>Ürün mimarisi</t>
        </is>
      </c>
      <c r="F35" s="7" t="inlineStr">
        <is>
          <t>01.01.2025</t>
        </is>
      </c>
      <c r="G35" s="7" t="inlineStr">
        <is>
          <t>11.08.2026</t>
        </is>
      </c>
      <c r="H35" s="69">
        <f>IF(A35="","",IF(B35="","EKSİK","TAM"))</f>
        <v/>
      </c>
    </row>
    <row r="36">
      <c r="A36" s="7" t="inlineStr">
        <is>
          <t>pfd_tahminX</t>
        </is>
      </c>
      <c r="B36" s="45" t="n">
        <v>5</v>
      </c>
      <c r="C36" s="7" t="inlineStr">
        <is>
          <t>adet</t>
        </is>
      </c>
      <c r="D36" s="7" t="inlineStr">
        <is>
          <t>Tahmin X noktası</t>
        </is>
      </c>
      <c r="E36" s="7" t="inlineStr">
        <is>
          <t>Model varsayımı</t>
        </is>
      </c>
      <c r="F36" s="7" t="inlineStr">
        <is>
          <t>01.01.2025</t>
        </is>
      </c>
      <c r="G36" s="7" t="inlineStr">
        <is>
          <t>11.08.2026</t>
        </is>
      </c>
      <c r="H36" s="69">
        <f>IF(A36="","",IF(B36="","EKSİK","TAM"))</f>
        <v/>
      </c>
    </row>
    <row r="37">
      <c r="A37" s="7" t="inlineStr">
        <is>
          <t>vaka_cfads_1</t>
        </is>
      </c>
      <c r="B37" s="68" t="n">
        <v>18000000</v>
      </c>
      <c r="C37" s="7" t="inlineStr">
        <is>
          <t>TL</t>
        </is>
      </c>
      <c r="D37" s="7" t="inlineStr">
        <is>
          <t>Vaka1/2/3 CFADS</t>
        </is>
      </c>
      <c r="E37" s="7" t="inlineStr">
        <is>
          <t>Altın vaka</t>
        </is>
      </c>
      <c r="F37" s="7" t="inlineStr">
        <is>
          <t>01.01.2025</t>
        </is>
      </c>
      <c r="G37" s="7" t="inlineStr">
        <is>
          <t>11.08.2026</t>
        </is>
      </c>
      <c r="H37" s="69">
        <f>IF(A37="","",IF(B37="","EKSİK","TAM"))</f>
        <v/>
      </c>
    </row>
    <row r="38">
      <c r="A38" s="7" t="inlineStr">
        <is>
          <t>vaka_cfads_2</t>
        </is>
      </c>
      <c r="B38" s="68" t="n">
        <v>11000000</v>
      </c>
      <c r="C38" s="7" t="inlineStr">
        <is>
          <t>TL</t>
        </is>
      </c>
      <c r="D38" s="7" t="inlineStr">
        <is>
          <t>Vaka4 CFADS</t>
        </is>
      </c>
      <c r="E38" s="7" t="inlineStr">
        <is>
          <t>Altın vaka</t>
        </is>
      </c>
      <c r="F38" s="7" t="inlineStr">
        <is>
          <t>01.01.2025</t>
        </is>
      </c>
      <c r="G38" s="7" t="inlineStr">
        <is>
          <t>11.08.2026</t>
        </is>
      </c>
      <c r="H38" s="69">
        <f>IF(A38="","",IF(B38="","EKSİK","TAM"))</f>
        <v/>
      </c>
    </row>
    <row r="39">
      <c r="A39" s="7" t="inlineStr">
        <is>
          <t>vaka_servis_1</t>
        </is>
      </c>
      <c r="B39" s="68" t="n">
        <v>12000000</v>
      </c>
      <c r="C39" s="7" t="inlineStr">
        <is>
          <t>TL</t>
        </is>
      </c>
      <c r="D39" s="7" t="inlineStr">
        <is>
          <t>Vaka borç servisi</t>
        </is>
      </c>
      <c r="E39" s="7" t="inlineStr">
        <is>
          <t>Altın vaka</t>
        </is>
      </c>
      <c r="F39" s="7" t="inlineStr">
        <is>
          <t>01.01.2025</t>
        </is>
      </c>
      <c r="G39" s="7" t="inlineStr">
        <is>
          <t>11.08.2026</t>
        </is>
      </c>
      <c r="H39" s="69">
        <f>IF(A39="","",IF(B39="","EKSİK","TAM"))</f>
        <v/>
      </c>
    </row>
    <row r="40">
      <c r="A40" s="7" t="inlineStr">
        <is>
          <t>vaka_borc_1</t>
        </is>
      </c>
      <c r="B40" s="68" t="n">
        <v>40000000</v>
      </c>
      <c r="C40" s="7" t="inlineStr">
        <is>
          <t>TL</t>
        </is>
      </c>
      <c r="D40" s="7" t="inlineStr">
        <is>
          <t>Vaka kredi bakiyesi</t>
        </is>
      </c>
      <c r="E40" s="7" t="inlineStr">
        <is>
          <t>Altın vaka</t>
        </is>
      </c>
      <c r="F40" s="7" t="inlineStr">
        <is>
          <t>01.01.2025</t>
        </is>
      </c>
      <c r="G40" s="7" t="inlineStr">
        <is>
          <t>11.08.2026</t>
        </is>
      </c>
      <c r="H40" s="69">
        <f>IF(A40="","",IF(B40="","EKSİK","TAM"))</f>
        <v/>
      </c>
    </row>
    <row r="41">
      <c r="A41" s="7" t="inlineStr">
        <is>
          <t>vaka_donem_1</t>
        </is>
      </c>
      <c r="B41" s="45" t="n">
        <v>5</v>
      </c>
      <c r="C41" s="7" t="inlineStr">
        <is>
          <t>adet</t>
        </is>
      </c>
      <c r="D41" s="7" t="inlineStr">
        <is>
          <t>Vaka LLCR dönem</t>
        </is>
      </c>
      <c r="E41" s="7" t="inlineStr">
        <is>
          <t>Altın vaka</t>
        </is>
      </c>
      <c r="F41" s="7" t="inlineStr">
        <is>
          <t>01.01.2025</t>
        </is>
      </c>
      <c r="G41" s="7" t="inlineStr">
        <is>
          <t>11.08.2026</t>
        </is>
      </c>
      <c r="H41" s="69">
        <f>IF(A41="","",IF(B41="","EKSİK","TAM"))</f>
        <v/>
      </c>
    </row>
    <row r="42">
      <c r="A42" s="7" t="inlineStr">
        <is>
          <t>vaka_wacc_1</t>
        </is>
      </c>
      <c r="B42" s="44" t="n">
        <v>0.1</v>
      </c>
      <c r="C42" s="7" t="inlineStr">
        <is>
          <t>oran</t>
        </is>
      </c>
      <c r="D42" s="7" t="inlineStr">
        <is>
          <t>Vaka WACC</t>
        </is>
      </c>
      <c r="E42" s="7" t="inlineStr">
        <is>
          <t>Altın vaka</t>
        </is>
      </c>
      <c r="F42" s="7" t="inlineStr">
        <is>
          <t>01.01.2025</t>
        </is>
      </c>
      <c r="G42" s="7" t="inlineStr">
        <is>
          <t>11.08.2026</t>
        </is>
      </c>
      <c r="H42" s="69">
        <f>IF(A42="","",IF(B42="","EKSİK","TAM"))</f>
        <v/>
      </c>
    </row>
    <row r="44">
      <c r="B44" s="71" t="inlineStr">
        <is>
          <t>Parametre satırları yukarıda; ad tanımları B kolonuna bağlı.</t>
        </is>
      </c>
    </row>
    <row r="46">
      <c r="B46" s="66" t="inlineStr">
        <is>
          <t>Sürüm 1.0.0 | Şifre koruması: 1234 (formül alanları)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dataValidations count="3">
    <dataValidation sqref="B6" showDropDown="0" showInputMessage="1" showErrorMessage="1" allowBlank="1" errorTitle="Geçersiz" error="2025-2027." promptTitle="Hesap Yılı" prompt="Aktif yılı seçin." type="list" errorStyle="stop">
      <formula1>ListeYillar</formula1>
    </dataValidation>
    <dataValidation sqref="B9" showDropDown="0" showInputMessage="1" showErrorMessage="1" allowBlank="1" errorTitle="Geçersiz" error="0-2." promptTitle="İyimser çarpan" prompt="0-2 aralığı." type="decimal" errorStyle="stop" operator="between">
      <formula1>0</formula1>
      <formula2>2</formula2>
    </dataValidation>
    <dataValidation sqref="B10" showDropDown="0" showInputMessage="1" showErrorMessage="1" allowBlank="1" errorTitle="Geçersiz" error="0-2." promptTitle="Kötümser çarpan" prompt="0-2 aralığı." type="decimal" errorStyle="stop" operator="between">
      <formula1>0</formula1>
      <formula2>2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1F4E79"/>
    <outlinePr summaryBelow="1" summaryRight="1"/>
    <pageSetUpPr/>
  </sheetPr>
  <dimension ref="A1:A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70" customWidth="1" min="2" max="2"/>
  </cols>
  <sheetData>
    <row r="1" ht="26" customHeight="1">
      <c r="A1" s="1" t="inlineStr">
        <is>
          <t>KILAVUZ — Proje Finansmanı Paketi (DSCR/LLCR)</t>
        </is>
      </c>
    </row>
    <row r="3">
      <c r="A3" s="9" t="inlineStr">
        <is>
          <t>Karar kuralları</t>
        </is>
      </c>
    </row>
    <row r="5">
      <c r="A5" s="6" t="inlineStr">
        <is>
          <t>• VERİ YOK — giriş tablosu boşsa hesap yapılmaz.</t>
        </is>
      </c>
    </row>
    <row r="6">
      <c r="A6" s="6" t="inlineStr">
        <is>
          <t>• UYGUN — DSCR ≥ asgari ve LLCR ≥ asgari; covenant uygun.</t>
        </is>
      </c>
    </row>
    <row r="7">
      <c r="A7" s="6" t="inlineStr">
        <is>
          <t>• DİKKAT — DSCR veya LLCR dikkat bandında; plan gözden geçirilmeli.</t>
        </is>
      </c>
    </row>
    <row r="8">
      <c r="A8" s="6" t="inlineStr">
        <is>
          <t>• İHLAL — DSCR veya LLCR dikkat eşiğinin altında; ihlal riski.</t>
        </is>
      </c>
    </row>
    <row r="10">
      <c r="A10" s="72" t="inlineStr">
        <is>
          <t>Belirsizlik beyanları (M05)</t>
        </is>
      </c>
    </row>
    <row r="11">
      <c r="A11" s="73" t="inlineStr">
        <is>
          <t>Bu nokta mevzuatta tartışmalıdır; dosya yorum A ve yorum B sonucunu yan yana gösterir: cfads_yorumu</t>
        </is>
      </c>
    </row>
    <row r="13">
      <c r="A13" s="10" t="inlineStr">
        <is>
          <t>Yorum A</t>
        </is>
      </c>
      <c r="B13" s="6" t="inlineStr">
        <is>
          <t>CFADS brüt girilir; borç servisi = anapara + faiz. DSCR = CFADS ÷ borç servisi. LLCR = NPV(CFADS, WACC, dönem) ÷ kredi bakiyesi.</t>
        </is>
      </c>
    </row>
    <row r="14">
      <c r="A14" s="10" t="inlineStr">
        <is>
          <t>Yorum B</t>
        </is>
      </c>
      <c r="B14" s="6" t="inlineStr">
        <is>
          <t>Yorum B, CFADS üzerinden rezerv kesintisi uygular (daha düşük CFADS → daha düşük DSCR/LLCR). Dosya her iki yorumun sonucunu MOTOR'da üretir.</t>
        </is>
      </c>
    </row>
    <row r="16">
      <c r="A16" s="10" t="inlineStr">
        <is>
          <t>Kullanım sırası</t>
        </is>
      </c>
    </row>
    <row r="17">
      <c r="A17" s="6" t="inlineStr">
        <is>
          <t>GIRDI → KURALLAR (gerekirse) → MOTOR (inceleme) → SENARYO → VAKALAR → PANO → KANIT_RAPORU → AYARLAR.</t>
        </is>
      </c>
    </row>
    <row r="19">
      <c r="A19" s="8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5:T5"/>
    <mergeCell ref="A8:T8"/>
    <mergeCell ref="A6:T6"/>
    <mergeCell ref="A17:J17"/>
    <mergeCell ref="B14:J14"/>
    <mergeCell ref="A7:T7"/>
    <mergeCell ref="B13:J13"/>
    <mergeCell ref="A11:T11"/>
    <mergeCell ref="A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2026-08-11T11:21:06Z</dcterms:created>
  <dcterms:modified xmlns:dcterms="http://purl.org/dc/terms/" xmlns:xsi="http://www.w3.org/2001/XMLSchema-instance" xsi:type="dcterms:W3CDTF">2026-09-25T14:23:18Z</dcterms:modified>
</cp:coreProperties>
</file>