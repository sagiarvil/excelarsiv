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comments/comment1.xml" ContentType="application/vnd.openxmlformats-officedocument.spreadsheetml.comments+xml"/>
  <Override PartName="/xl/worksheets/sheet12.xml" ContentType="application/vnd.openxmlformats-officedocument.spreadsheetml.worksheet+xml"/>
  <Override PartName="/xl/comments/comment2.xml" ContentType="application/vnd.openxmlformats-officedocument.spreadsheetml.comments+xml"/>
  <Override PartName="/xl/tables/table1.xml" ContentType="application/vnd.openxmlformats-officedocument.spreadsheetml.table+xml"/>
  <Override PartName="/xl/worksheets/sheet13.xml" ContentType="application/vnd.openxmlformats-officedocument.spreadsheetml.worksheet+xml"/>
  <Override PartName="/xl/comments/comment3.xml" ContentType="application/vnd.openxmlformats-officedocument.spreadsheetml.comments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comments/comment4.xml" ContentType="application/vnd.openxmlformats-officedocument.spreadsheetml.comments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tables/table2.xml" ContentType="application/vnd.openxmlformats-officedocument.spreadsheetml.table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comments/comment5.xml" ContentType="application/vnd.openxmlformats-officedocument.spreadsheetml.comments+xml"/>
  <Override PartName="/xl/worksheets/sheet25.xml" ContentType="application/vnd.openxmlformats-officedocument.spreadsheetml.worksheet+xml"/>
  <Override PartName="/xl/comments/comment6.xml" ContentType="application/vnd.openxmlformats-officedocument.spreadsheetml.comments+xml"/>
  <Override PartName="/xl/worksheets/sheet2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600" firstSheet="0" activeTab="1" autoFilterDateGrouping="1"/>
  </bookViews>
  <sheets>
    <sheet xmlns:r="http://schemas.openxmlformats.org/officeDocument/2006/relationships" name="00_BASLANGIC" sheetId="1" state="visible" r:id="rId1"/>
    <sheet xmlns:r="http://schemas.openxmlformats.org/officeDocument/2006/relationships" name="PANO" sheetId="2" state="visible" r:id="rId2"/>
    <sheet xmlns:r="http://schemas.openxmlformats.org/officeDocument/2006/relationships" name="GİRDİLER" sheetId="3" state="visible" r:id="rId3"/>
    <sheet xmlns:r="http://schemas.openxmlformats.org/officeDocument/2006/relationships" name="YÖNETİM_RAPORU" sheetId="4" state="visible" r:id="rId4"/>
    <sheet xmlns:r="http://schemas.openxmlformats.org/officeDocument/2006/relationships" name="01_YURUTME_CEKIRDEGI" sheetId="5" state="visible" r:id="rId5"/>
    <sheet xmlns:r="http://schemas.openxmlformats.org/officeDocument/2006/relationships" name="02_KONTROL_LISTESI" sheetId="6" state="visible" r:id="rId6"/>
    <sheet xmlns:r="http://schemas.openxmlformats.org/officeDocument/2006/relationships" name="03_GORSEL_TASARIM" sheetId="7" state="visible" r:id="rId7"/>
    <sheet xmlns:r="http://schemas.openxmlformats.org/officeDocument/2006/relationships" name="04_MUHASEBE_THP" sheetId="8" state="visible" r:id="rId8"/>
    <sheet xmlns:r="http://schemas.openxmlformats.org/officeDocument/2006/relationships" name="05_KARAR_SATIS" sheetId="9" state="visible" r:id="rId9"/>
    <sheet xmlns:r="http://schemas.openxmlformats.org/officeDocument/2006/relationships" name="KAPAK" sheetId="10" state="visible" r:id="rId10"/>
    <sheet xmlns:r="http://schemas.openxmlformats.org/officeDocument/2006/relationships" name="HIZLI_BASLANGIC" sheetId="11" state="visible" r:id="rId11"/>
    <sheet xmlns:r="http://schemas.openxmlformats.org/officeDocument/2006/relationships" name="IS_GIRILERI" sheetId="12" state="visible" r:id="rId12"/>
    <sheet xmlns:r="http://schemas.openxmlformats.org/officeDocument/2006/relationships" name="HESAP" sheetId="13" state="visible" r:id="rId13"/>
    <sheet xmlns:r="http://schemas.openxmlformats.org/officeDocument/2006/relationships" name="ANALITIK_MOTOR" sheetId="14" state="visible" r:id="rId14"/>
    <sheet xmlns:r="http://schemas.openxmlformats.org/officeDocument/2006/relationships" name="KONTROLLER" sheetId="15" state="visible" r:id="rId15"/>
    <sheet xmlns:r="http://schemas.openxmlformats.org/officeDocument/2006/relationships" name="KARAR" sheetId="16" state="visible" r:id="rId16"/>
    <sheet xmlns:r="http://schemas.openxmlformats.org/officeDocument/2006/relationships" name="SENARYO_DUYARLILIK" sheetId="17" state="visible" r:id="rId17"/>
    <sheet xmlns:r="http://schemas.openxmlformats.org/officeDocument/2006/relationships" name="RAPOR" sheetId="18" state="visible" r:id="rId18"/>
    <sheet xmlns:r="http://schemas.openxmlformats.org/officeDocument/2006/relationships" name="ORNEK_VERI" sheetId="19" state="visible" r:id="rId19"/>
    <sheet xmlns:r="http://schemas.openxmlformats.org/officeDocument/2006/relationships" name="ANAHTAR" sheetId="20" state="visible" r:id="rId20"/>
    <sheet xmlns:r="http://schemas.openxmlformats.org/officeDocument/2006/relationships" name="ESLESTIRME" sheetId="21" state="visible" r:id="rId21"/>
    <sheet xmlns:r="http://schemas.openxmlformats.org/officeDocument/2006/relationships" name="KOK_NEDEN" sheetId="22" state="visible" r:id="rId22"/>
    <sheet xmlns:r="http://schemas.openxmlformats.org/officeDocument/2006/relationships" name="DEGISIKLIK_KAYDI" sheetId="23" state="visible" r:id="rId23"/>
    <sheet xmlns:r="http://schemas.openxmlformats.org/officeDocument/2006/relationships" name="LISTELER" sheetId="24" state="visible" r:id="rId24"/>
    <sheet xmlns:r="http://schemas.openxmlformats.org/officeDocument/2006/relationships" name="AYARLAR" sheetId="25" state="visible" r:id="rId25"/>
    <sheet xmlns:r="http://schemas.openxmlformats.org/officeDocument/2006/relationships" name="KILAVUZ" sheetId="26" state="visible" r:id="rId26"/>
  </sheets>
  <definedNames>
    <definedName name="DosyaSurumu" hidden="0" function="0" vbProcedure="0">AYARLAR!$B$10</definedName>
    <definedName name="FirmaUnvan" hidden="0" function="0" vbProcedure="0">AYARLAR!$B$7</definedName>
    <definedName name="IsAgirlikliMarj" hidden="0" function="0" vbProcedure="0">HESAP!$B$9</definedName>
    <definedName name="IsAksiyon1_ACIKLAMA" hidden="0" function="0" vbProcedure="0">AYARLAR!$B$22</definedName>
    <definedName name="IsAksiyon2_ACIKLAMA" hidden="0" function="0" vbProcedure="0">AYARLAR!$B$23</definedName>
    <definedName name="IsAksiyon3_ACIKLAMA" hidden="0" function="0" vbProcedure="0">AYARLAR!$B$24</definedName>
    <definedName name="IsBazSenaryo" hidden="0" function="0" vbProcedure="0">AYARLAR!$B$15</definedName>
    <definedName name="IsDoluGiris" hidden="0" function="0" vbProcedure="0">KONTROLLER!$B$18</definedName>
    <definedName name="IsGunlukKarEsik" hidden="0" function="0" vbProcedure="0">AYARLAR!$B$12</definedName>
    <definedName name="IsIyiSenaryo" hidden="0" function="0" vbProcedure="0">AYARLAR!$B$14</definedName>
    <definedName name="IsKaliteIyi" hidden="0" function="0" vbProcedure="0">AYARLAR!$B$20</definedName>
    <definedName name="IsKaliteOrta" hidden="0" function="0" vbProcedure="0">AYARLAR!$B$21</definedName>
    <definedName name="IsKarar" hidden="0" function="0" vbProcedure="0">KARAR!$B$11</definedName>
    <definedName name="IsKarliAdet" hidden="0" function="0" vbProcedure="0">HESAP!$B$12</definedName>
    <definedName name="IsKotuSenaryo" hidden="0" function="0" vbProcedure="0">AYARLAR!$B$16</definedName>
    <definedName name="IsMarjEsik" hidden="0" function="0" vbProcedure="0">AYARLAR!$B$11</definedName>
    <definedName name="IsOrtalamaGunlukKar" hidden="0" function="0" vbProcedure="0">HESAP!$B$10</definedName>
    <definedName name="IsP90Oran" hidden="0" function="0" vbProcedure="0">AYARLAR!$B$25</definedName>
    <definedName name="IsPanelSatir1" hidden="0" function="0" vbProcedure="0">AYARLAR!$B$26</definedName>
    <definedName name="IsPanelSatir10" hidden="0" function="0" vbProcedure="0">AYARLAR!$B$35</definedName>
    <definedName name="IsPanelSatir2" hidden="0" function="0" vbProcedure="0">AYARLAR!$B$27</definedName>
    <definedName name="IsPanelSatir3" hidden="0" function="0" vbProcedure="0">AYARLAR!$B$28</definedName>
    <definedName name="IsPanelSatir4" hidden="0" function="0" vbProcedure="0">AYARLAR!$B$29</definedName>
    <definedName name="IsPanelSatir5" hidden="0" function="0" vbProcedure="0">AYARLAR!$B$30</definedName>
    <definedName name="IsPanelSatir6" hidden="0" function="0" vbProcedure="0">AYARLAR!$B$31</definedName>
    <definedName name="IsPanelSatir7" hidden="0" function="0" vbProcedure="0">AYARLAR!$B$32</definedName>
    <definedName name="IsPanelSatir8" hidden="0" function="0" vbProcedure="0">AYARLAR!$B$33</definedName>
    <definedName name="IsPanelSatir9" hidden="0" function="0" vbProcedure="0">AYARLAR!$B$34</definedName>
    <definedName name="IsRiskliAdet" hidden="0" function="0" vbProcedure="0">HESAP!$B$13</definedName>
    <definedName name="IsRiskliAdetEsik" hidden="0" function="0" vbProcedure="0">AYARLAR!$B$13</definedName>
    <definedName name="IsTahminCarpan" hidden="0" function="0" vbProcedure="0">AYARLAR!$B$19</definedName>
    <definedName name="IsToplamGelir" hidden="0" function="0" vbProcedure="0">HESAP!$B$6</definedName>
    <definedName name="IsToplamGiris" hidden="0" function="0" vbProcedure="0">KONTROLLER!$B$17</definedName>
    <definedName name="IsToplamKar" hidden="0" function="0" vbProcedure="0">HESAP!$B$8</definedName>
    <definedName name="IsToplamMaliyet" hidden="0" function="0" vbProcedure="0">HESAP!$B$7</definedName>
    <definedName name="IsTornadoGelir" hidden="0" function="0" vbProcedure="0">AYARLAR!$B$17</definedName>
    <definedName name="IsTornadoMaliyet" hidden="0" function="0" vbProcedure="0">AYARLAR!$B$18</definedName>
    <definedName name="IsZararliAdet" hidden="0" function="0" vbProcedure="0">HESAP!$B$14</definedName>
    <definedName name="modulI1Tahmin" hidden="0" function="0" vbProcedure="0">ANALITIK_MOTOR!$C$12</definedName>
    <definedName name="modulI1TahminYorum" hidden="0" function="0" vbProcedure="0">ANALITIK_MOTOR!$D$12</definedName>
    <definedName name="modulI2YuzdelikP90" hidden="0" function="0" vbProcedure="0">ANALITIK_MOTOR!$C$13</definedName>
    <definedName name="modulI2YuzdelikP90Yorum" hidden="0" function="0" vbProcedure="0">ANALITIK_MOTOR!$D$13</definedName>
    <definedName name="modulO1Anomali" hidden="0" function="0" vbProcedure="0">ANALITIK_MOTOR!$C$8</definedName>
    <definedName name="modulO1AnomaliYorum" hidden="0" function="0" vbProcedure="0">ANALITIK_MOTOR!$D$8</definedName>
    <definedName name="modulO2Tornado" hidden="0" function="0" vbProcedure="0">ANALITIK_MOTOR!$C$9</definedName>
    <definedName name="modulO2TornadoYorum" hidden="0" function="0" vbProcedure="0">ANALITIK_MOTOR!$D$9</definedName>
    <definedName name="modulO3Senaryo" hidden="0" function="0" vbProcedure="0">ANALITIK_MOTOR!$C$10</definedName>
    <definedName name="modulO3SenaryoYorum" hidden="0" function="0" vbProcedure="0">ANALITIK_MOTOR!$D$10</definedName>
    <definedName name="modulO8KaliteSkor" hidden="0" function="0" vbProcedure="0">ANALITIK_MOTOR!$C$11</definedName>
    <definedName name="modulO8KaliteSkorYorum" hidden="0" function="0" vbProcedure="0">ANALITIK_MOTOR!$D$11</definedName>
    <definedName name="modulT2TrendOrt" hidden="0" function="0" vbProcedure="0">ANALITIK_MOTOR!$C$6</definedName>
    <definedName name="modulT2TrendOrtYorum" hidden="0" function="0" vbProcedure="0">ANALITIK_MOTOR!$D$6</definedName>
    <definedName name="modulT4DonemFark" hidden="0" function="0" vbProcedure="0">ANALITIK_MOTOR!$C$7</definedName>
    <definedName name="modulT4DonemFarkYorum" hidden="0" function="0" vbProcedure="0">ANALITIK_MOTOR!$D$7</definedName>
    <definedName name="RaporHazirlayan" hidden="0" function="0" vbProcedure="0">AYARLAR!$B$9</definedName>
    <definedName name="RaporTarihi" hidden="0" function="0" vbProcedure="0">AYARLAR!$B$8</definedName>
    <definedName name="_xlnm.Print_Area" localSheetId="17">'RAPOR'!$A$1:$L$29</definedName>
  </definedNames>
  <calcPr calcId="124519" fullCalcOnLoad="1" refMode="A1" iterate="0" iterateCount="100" iterateDelta="0.0001"/>
</workbook>
</file>

<file path=xl/styles.xml><?xml version="1.0" encoding="utf-8"?>
<styleSheet xmlns="http://schemas.openxmlformats.org/spreadsheetml/2006/main">
  <numFmts count="7">
    <numFmt numFmtId="164" formatCode="&quot;₺ &quot;#,##0;[RED]&quot;(₺ &quot;#,##0\);\-"/>
    <numFmt numFmtId="165" formatCode="0.0%;[RED]\(0.0%\);\-"/>
    <numFmt numFmtId="166" formatCode="dd/mm/yyyy"/>
    <numFmt numFmtId="167" formatCode="#,##0 &quot;TL&quot;"/>
    <numFmt numFmtId="168" formatCode="0.0%"/>
    <numFmt numFmtId="169" formatCode="₺#,##0"/>
    <numFmt numFmtId="170" formatCode="0.00&quot;x&quot;"/>
  </numFmts>
  <fonts count="100">
    <font>
      <name val="Calibri"/>
      <charset val="1"/>
      <family val="2"/>
      <color theme="1"/>
      <sz val="11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Segoe UI"/>
      <charset val="1"/>
      <family val="0"/>
      <b val="1"/>
      <color rgb="FFFFFFFF"/>
      <sz val="14"/>
    </font>
    <font>
      <name val="Segoe UI"/>
      <charset val="1"/>
      <family val="0"/>
      <b val="1"/>
      <color rgb="FFFFFFFF"/>
      <sz val="18"/>
    </font>
    <font>
      <name val="Segoe UI"/>
      <charset val="1"/>
      <family val="0"/>
      <color rgb="FF595959"/>
      <sz val="10"/>
    </font>
    <font>
      <name val="Segoe UI"/>
      <charset val="1"/>
      <family val="0"/>
      <b val="1"/>
      <color rgb="FF0F2742"/>
      <sz val="12"/>
    </font>
    <font>
      <name val="Segoe UI"/>
      <charset val="1"/>
      <family val="0"/>
      <color rgb="FF333333"/>
      <sz val="10"/>
    </font>
    <font>
      <name val="Segoe UI"/>
      <charset val="1"/>
      <family val="0"/>
      <color rgb="FF595959"/>
      <sz val="9"/>
    </font>
    <font>
      <name val="Segoe UI"/>
      <charset val="1"/>
      <family val="0"/>
      <b val="1"/>
      <color rgb="FF0F2742"/>
      <sz val="13"/>
    </font>
    <font>
      <name val="Segoe UI"/>
      <charset val="1"/>
      <family val="0"/>
      <b val="1"/>
      <color rgb="FF0F2742"/>
      <sz val="10"/>
    </font>
    <font>
      <name val="Segoe UI"/>
      <charset val="1"/>
      <family val="0"/>
      <b val="1"/>
      <color rgb="FFB3261E"/>
      <sz val="12"/>
    </font>
    <font>
      <name val="Segoe UI"/>
      <charset val="1"/>
      <family val="0"/>
      <color rgb="FFB3261E"/>
      <sz val="10"/>
    </font>
    <font>
      <name val="Arial"/>
      <family val="2"/>
      <sz val="10"/>
    </font>
    <font>
      <name val="Segoe UI"/>
      <charset val="1"/>
      <family val="0"/>
      <b val="1"/>
      <color rgb="FFFFFFFF"/>
      <sz val="10"/>
    </font>
    <font>
      <name val="Segoe UI"/>
      <charset val="1"/>
      <family val="0"/>
      <color rgb="FF1F4E79"/>
      <sz val="10"/>
    </font>
    <font>
      <name val="Segoe UI"/>
      <charset val="1"/>
      <family val="0"/>
      <color rgb="FF006100"/>
      <sz val="10"/>
    </font>
    <font>
      <name val="Segoe UI"/>
      <charset val="1"/>
      <family val="0"/>
      <b val="1"/>
      <color rgb="FFB08948"/>
      <sz val="10"/>
    </font>
    <font>
      <name val="Segoe UI"/>
      <charset val="1"/>
      <family val="0"/>
      <color rgb="FF000000"/>
      <sz val="10"/>
    </font>
    <font>
      <name val="Segoe UI"/>
      <charset val="1"/>
      <family val="0"/>
      <b val="1"/>
      <color rgb="FF333333"/>
      <sz val="10"/>
    </font>
    <font>
      <name val="Segoe UI"/>
      <charset val="1"/>
      <family val="0"/>
      <b val="1"/>
      <color rgb="FF006100"/>
      <sz val="10"/>
    </font>
    <font>
      <name val="Segoe UI"/>
      <charset val="1"/>
      <family val="0"/>
      <b val="1"/>
      <color rgb="FF0F2742"/>
      <sz val="14"/>
    </font>
    <font>
      <name val="Segoe UI"/>
      <charset val="1"/>
      <family val="0"/>
      <b val="1"/>
      <color rgb="FF006100"/>
      <sz val="14"/>
    </font>
    <font>
      <name val="Segoe UI"/>
      <charset val="1"/>
      <family val="0"/>
      <b val="1"/>
      <color rgb="FF0F2742"/>
      <sz val="11"/>
    </font>
    <font>
      <name val="Segoe UI"/>
      <charset val="1"/>
      <family val="0"/>
      <b val="1"/>
      <color rgb="FF006100"/>
      <sz val="12"/>
    </font>
    <font>
      <name val="Segoe UI"/>
      <charset val="1"/>
      <family val="0"/>
      <b val="1"/>
      <color rgb="FF595959"/>
      <sz val="10"/>
    </font>
    <font>
      <name val="Calibri"/>
      <family val="2"/>
      <b val="1"/>
      <color rgb="FF000000"/>
      <sz val="18"/>
    </font>
    <font>
      <name val="Calibri"/>
      <family val="2"/>
      <color rgb="FF000000"/>
      <sz val="10"/>
    </font>
    <font>
      <name val="Segoe UI"/>
      <charset val="1"/>
      <family val="0"/>
      <b val="1"/>
      <color rgb="FFFFFFFF"/>
      <sz val="16"/>
    </font>
    <font>
      <name val="Segoe UI"/>
      <charset val="1"/>
      <family val="0"/>
      <i val="1"/>
      <color rgb="FF595959"/>
      <sz val="9"/>
    </font>
    <font>
      <name val="Segoe UI"/>
      <charset val="1"/>
      <family val="0"/>
      <b val="1"/>
      <color rgb="FF000000"/>
      <sz val="9"/>
    </font>
    <font>
      <name val="Segoe UI"/>
      <charset val="1"/>
      <family val="0"/>
      <b val="1"/>
      <color rgb="FF1F4E79"/>
      <sz val="10"/>
    </font>
    <font>
      <name val="Segoe UI"/>
      <charset val="1"/>
      <family val="0"/>
      <b val="1"/>
      <color rgb="FF000000"/>
      <sz val="11"/>
    </font>
    <font>
      <name val="Segoe UI"/>
      <charset val="1"/>
      <family val="0"/>
      <color rgb="FF333333"/>
      <sz val="9"/>
    </font>
    <font>
      <name val="Segoe UI"/>
      <b val="1"/>
      <color rgb="00FFFFFF"/>
      <sz val="13"/>
    </font>
    <font>
      <name val="Segoe UI"/>
      <color rgb="0064748B"/>
      <sz val="9"/>
    </font>
    <font>
      <name val="Segoe UI"/>
      <b val="1"/>
      <color rgb="0064748B"/>
      <sz val="9"/>
    </font>
    <font>
      <name val="Segoe UI"/>
      <b val="1"/>
      <color rgb="000F172A"/>
      <sz val="18"/>
    </font>
    <font>
      <name val="Segoe UI"/>
      <b val="1"/>
      <color rgb="0010B981"/>
      <sz val="8"/>
    </font>
    <font>
      <name val="Segoe UI"/>
      <b val="1"/>
      <color rgb="002563EB"/>
      <sz val="8"/>
    </font>
    <font>
      <name val="Segoe UI"/>
      <b val="1"/>
      <color rgb="0010B981"/>
      <sz val="16"/>
    </font>
    <font>
      <name val="Segoe UI"/>
      <b val="1"/>
      <color rgb="0064748B"/>
      <sz val="8"/>
    </font>
    <font>
      <name val="Segoe UI"/>
      <b val="1"/>
      <color rgb="00991B1B"/>
      <sz val="9"/>
    </font>
    <font>
      <name val="Segoe UI"/>
      <b val="1"/>
      <color rgb="000F172A"/>
      <sz val="11"/>
    </font>
    <font>
      <name val="Segoe UI"/>
      <b val="1"/>
      <color rgb="00FFFFFF"/>
      <sz val="9"/>
    </font>
    <font>
      <name val="Segoe UI"/>
      <sz val="9"/>
    </font>
    <font>
      <name val="Segoe UI"/>
      <b val="1"/>
      <sz val="9"/>
    </font>
    <font>
      <name val="Segoe UI"/>
      <b val="1"/>
      <color rgb="002563EB"/>
      <sz val="9"/>
    </font>
    <font>
      <name val="Segoe UI"/>
      <b val="1"/>
      <color rgb="0010B981"/>
      <sz val="9"/>
    </font>
    <font>
      <name val="Segoe UI"/>
      <b val="1"/>
      <color rgb="00FFFFFF"/>
      <sz val="12"/>
    </font>
    <font>
      <name val="Segoe UI"/>
      <b val="1"/>
      <color rgb="001D4ED8"/>
      <sz val="10"/>
    </font>
    <font>
      <name val="Segoe UI"/>
      <color rgb="0064748B"/>
      <sz val="8"/>
    </font>
    <font>
      <name val="Segoe UI"/>
      <b val="1"/>
      <color rgb="000F172A"/>
      <sz val="10"/>
    </font>
    <font>
      <name val="Segoe UI"/>
      <b val="1"/>
      <color rgb="000F172A"/>
      <sz val="15"/>
    </font>
    <font>
      <name val="Segoe UI"/>
      <b val="1"/>
      <color rgb="000F172A"/>
      <sz val="9"/>
    </font>
    <font>
      <name val="Segoe UI"/>
      <b val="1"/>
      <color rgb="001D4ED8"/>
      <sz val="8"/>
    </font>
    <font>
      <name val="Segoe UI"/>
      <b val="1"/>
      <color rgb="00047857"/>
      <sz val="8"/>
    </font>
    <font>
      <name val="Segoe UI"/>
      <b val="1"/>
      <color rgb="00DC2626"/>
      <sz val="8"/>
    </font>
    <font>
      <name val="Segoe UI"/>
      <b val="1"/>
      <color rgb="00DC2626"/>
      <sz val="18"/>
    </font>
    <font>
      <name val="Segoe UI"/>
      <b val="1"/>
      <color rgb="000F766E"/>
      <sz val="18"/>
    </font>
    <font>
      <name val="Segoe UI"/>
      <b val="1"/>
      <color rgb="00FFFFFF"/>
      <sz val="8"/>
    </font>
    <font>
      <name val="Segoe UI"/>
      <b val="1"/>
      <sz val="8"/>
    </font>
    <font>
      <name val="Segoe UI"/>
      <color rgb="00DC2626"/>
      <sz val="8"/>
    </font>
    <font>
      <name val="Segoe UI"/>
      <sz val="8"/>
    </font>
    <font>
      <name val="Segoe UI"/>
      <b val="1"/>
      <color rgb="00B45309"/>
      <sz val="8"/>
    </font>
    <font>
      <name val="Segoe UI"/>
      <b val="1"/>
      <color rgb="0038BDF8"/>
      <sz val="8"/>
    </font>
    <font>
      <name val="Segoe UI"/>
      <b val="1"/>
      <color rgb="00F43F5E"/>
      <sz val="8"/>
    </font>
    <font>
      <name val="Segoe UI"/>
      <b val="1"/>
      <color rgb="00F59E0B"/>
      <sz val="8"/>
    </font>
    <font>
      <name val="Segoe UI"/>
      <b val="1"/>
      <color rgb="008B5CF6"/>
      <sz val="8"/>
    </font>
    <font>
      <name val="Segoe UI"/>
      <b val="1"/>
      <color rgb="00FFFFFF"/>
      <sz val="7"/>
    </font>
    <font>
      <name val="Segoe UI"/>
      <color rgb="00D1FAE5"/>
      <sz val="8"/>
    </font>
    <font>
      <name val="Segoe UI"/>
      <b val="1"/>
      <color rgb="00065F46"/>
      <sz val="8"/>
    </font>
    <font>
      <name val="Segoe UI"/>
      <b val="1"/>
      <color rgb="00FFFFFF"/>
      <sz val="8.5"/>
    </font>
    <font>
      <name val="Segoe UI"/>
      <sz val="8.5"/>
    </font>
    <font>
      <name val="Segoe UI"/>
      <b val="1"/>
      <sz val="8.5"/>
    </font>
    <font>
      <name val="Segoe UI"/>
      <b val="1"/>
      <color rgb="0038BDF8"/>
      <sz val="11"/>
    </font>
    <font>
      <name val="Segoe UI"/>
      <b val="1"/>
      <color rgb="000F172A"/>
      <sz val="14"/>
    </font>
    <font>
      <name val="Segoe UI"/>
      <color rgb="0064748B"/>
      <sz val="9.5"/>
    </font>
    <font>
      <name val="Segoe UI"/>
      <b val="1"/>
      <color rgb="00047857"/>
      <sz val="8.5"/>
    </font>
    <font>
      <name val="Segoe UI"/>
      <b val="1"/>
      <color rgb="00DC2626"/>
      <sz val="9"/>
    </font>
    <font>
      <name val="Segoe UI"/>
      <color rgb="0064748B"/>
      <sz val="8.5"/>
    </font>
    <font>
      <name val="Segoe UI"/>
      <b val="1"/>
      <color rgb="00047857"/>
      <sz val="9"/>
    </font>
    <font>
      <name val="Segoe UI"/>
      <b val="1"/>
      <color rgb="00DC2626"/>
      <sz val="8.5"/>
    </font>
    <font>
      <name val="Segoe UI"/>
      <b val="1"/>
      <color rgb="001D4ED8"/>
      <sz val="9"/>
    </font>
    <font>
      <name val="Segoe UI"/>
      <b val="1"/>
      <color rgb="001D4ED8"/>
      <sz val="8.5"/>
    </font>
    <font>
      <name val="Carlito"/>
      <b val="1"/>
      <color rgb="FFFFFFFF"/>
      <sz val="16"/>
    </font>
    <font>
      <name val="Carlito"/>
      <b val="1"/>
      <color rgb="FFFFFFFF"/>
      <sz val="10"/>
    </font>
    <font>
      <name val="Carlito"/>
      <b val="1"/>
      <color rgb="FF0F172A"/>
      <sz val="10"/>
    </font>
    <font>
      <name val="Carlito"/>
      <color rgb="FF0F172A"/>
      <sz val="10"/>
    </font>
    <font>
      <name val="Carlito"/>
      <b val="1"/>
      <color rgb="FFFFFFFF"/>
      <sz val="11"/>
    </font>
    <font>
      <name val="Carlito"/>
      <b val="1"/>
      <color rgb="FF1F4E78"/>
      <sz val="10"/>
    </font>
    <font>
      <name val="Carlito"/>
      <b val="1"/>
      <color rgb="FF8B1E2D"/>
      <sz val="10"/>
    </font>
    <font>
      <name val="Carlito"/>
      <b val="1"/>
      <color rgb="FF17324D"/>
      <sz val="11"/>
    </font>
    <font>
      <name val="Carlito"/>
      <sz val="11"/>
    </font>
    <font>
      <name val="Carlito"/>
      <b val="1"/>
      <color rgb="FF6B4F1D"/>
      <sz val="10"/>
    </font>
    <font>
      <name val="Carlito"/>
      <b val="1"/>
      <color rgb="FF0F6E56"/>
      <sz val="11"/>
    </font>
    <font>
      <name val="Carlito"/>
      <b val="1"/>
      <color rgb="FF0F6E56"/>
      <sz val="10"/>
    </font>
    <font>
      <name val="Carlito"/>
      <b val="1"/>
      <color rgb="FF5B2C83"/>
      <sz val="10"/>
    </font>
    <font>
      <name val="Carlito"/>
      <b val="1"/>
      <color rgb="FFA32D2D"/>
      <sz val="10"/>
    </font>
  </fonts>
  <fills count="35">
    <fill>
      <patternFill/>
    </fill>
    <fill>
      <patternFill patternType="gray125"/>
    </fill>
    <fill>
      <patternFill patternType="solid">
        <fgColor rgb="000F2742"/>
        <bgColor rgb="FF333333"/>
      </patternFill>
    </fill>
    <fill>
      <patternFill patternType="solid">
        <fgColor rgb="001F4E79"/>
        <bgColor rgb="FF333333"/>
      </patternFill>
    </fill>
    <fill>
      <patternFill patternType="solid">
        <fgColor rgb="00EEF2F7"/>
        <bgColor rgb="00F2F2F2"/>
      </patternFill>
    </fill>
    <fill>
      <patternFill patternType="solid">
        <fgColor rgb="FFFFF2CC"/>
        <bgColor rgb="FFFDE9E9"/>
      </patternFill>
    </fill>
    <fill>
      <patternFill patternType="solid">
        <fgColor rgb="00DDEBF7"/>
        <bgColor rgb="FFE2EFDA"/>
      </patternFill>
    </fill>
    <fill>
      <patternFill patternType="solid">
        <fgColor rgb="00F2F2F2"/>
        <bgColor rgb="00EEF2F7"/>
      </patternFill>
    </fill>
    <fill>
      <patternFill patternType="solid">
        <fgColor rgb="000F172A"/>
        <bgColor rgb="000F172A"/>
      </patternFill>
    </fill>
    <fill>
      <patternFill patternType="solid">
        <fgColor rgb="00FEE2E2"/>
        <bgColor rgb="00FEE2E2"/>
      </patternFill>
    </fill>
    <fill>
      <patternFill patternType="solid">
        <fgColor rgb="00FFFBEB"/>
        <bgColor rgb="00FFFBEB"/>
      </patternFill>
    </fill>
    <fill>
      <patternFill patternType="solid">
        <fgColor rgb="00059669"/>
        <bgColor rgb="00059669"/>
      </patternFill>
    </fill>
    <fill>
      <patternFill patternType="solid">
        <fgColor rgb="00EFF6FF"/>
        <bgColor rgb="00EFF6FF"/>
      </patternFill>
    </fill>
    <fill>
      <patternFill patternType="solid">
        <fgColor rgb="00FEF2F2"/>
        <bgColor rgb="00FEF2F2"/>
      </patternFill>
    </fill>
    <fill>
      <patternFill patternType="solid">
        <fgColor rgb="00ECFDF5"/>
        <bgColor rgb="00ECFDF5"/>
      </patternFill>
    </fill>
    <fill>
      <patternFill patternType="solid">
        <fgColor rgb="0010B981"/>
        <bgColor rgb="0010B981"/>
      </patternFill>
    </fill>
    <fill>
      <patternFill patternType="solid">
        <fgColor rgb="001E293B"/>
        <bgColor rgb="001E293B"/>
      </patternFill>
    </fill>
    <fill>
      <patternFill patternType="solid">
        <fgColor rgb="00FEF3C7"/>
        <bgColor rgb="00FEF3C7"/>
      </patternFill>
    </fill>
    <fill>
      <patternFill patternType="solid">
        <fgColor rgb="00065F46"/>
        <bgColor rgb="00065F46"/>
      </patternFill>
    </fill>
    <fill>
      <patternFill patternType="solid">
        <fgColor rgb="00FFFFFF"/>
        <bgColor rgb="00FFFFFF"/>
      </patternFill>
    </fill>
    <fill>
      <patternFill patternType="solid">
        <fgColor rgb="00F8FAFC"/>
        <bgColor rgb="00F8FAFC"/>
      </patternFill>
    </fill>
    <fill>
      <patternFill patternType="solid">
        <fgColor rgb="00FFF1F2"/>
        <bgColor rgb="00FFF1F2"/>
      </patternFill>
    </fill>
    <fill>
      <patternFill patternType="solid">
        <fgColor rgb="FF17324D"/>
      </patternFill>
    </fill>
    <fill>
      <patternFill patternType="solid">
        <fgColor rgb="FF0F2942"/>
      </patternFill>
    </fill>
    <fill>
      <patternFill patternType="solid">
        <fgColor rgb="FFE8F0FA"/>
      </patternFill>
    </fill>
    <fill>
      <patternFill patternType="solid">
        <fgColor rgb="FF1F4E78"/>
      </patternFill>
    </fill>
    <fill>
      <patternFill patternType="solid">
        <fgColor rgb="FFEAF2F8"/>
      </patternFill>
    </fill>
    <fill>
      <patternFill patternType="solid">
        <fgColor rgb="FF8B1E2D"/>
      </patternFill>
    </fill>
    <fill>
      <patternFill patternType="solid">
        <fgColor rgb="FFFBECEC"/>
      </patternFill>
    </fill>
    <fill>
      <patternFill patternType="solid">
        <fgColor rgb="FF6B4F1D"/>
      </patternFill>
    </fill>
    <fill>
      <patternFill patternType="solid">
        <fgColor rgb="FFFBF2D5"/>
      </patternFill>
    </fill>
    <fill>
      <patternFill patternType="solid">
        <fgColor rgb="FFE7F5EF"/>
      </patternFill>
    </fill>
    <fill>
      <patternFill patternType="solid">
        <fgColor rgb="FF0F6E56"/>
      </patternFill>
    </fill>
    <fill>
      <patternFill patternType="solid">
        <fgColor rgb="FF5B2C83"/>
      </patternFill>
    </fill>
    <fill>
      <patternFill patternType="solid">
        <fgColor rgb="FFF0E6F7"/>
      </patternFill>
    </fill>
  </fills>
  <borders count="34">
    <border>
      <left/>
      <right/>
      <top/>
      <bottom/>
      <diagonal/>
    </border>
    <border>
      <left style="thin">
        <color rgb="00E2E8F0"/>
      </left>
      <right style="thin">
        <color rgb="00E2E8F0"/>
      </right>
      <top style="thin">
        <color rgb="00E2E8F0"/>
      </top>
      <bottom style="thin">
        <color rgb="00E2E8F0"/>
      </bottom>
    </border>
    <border>
      <left style="medium">
        <color rgb="0010B981"/>
      </left>
      <right style="thin">
        <color rgb="00E2E8F0"/>
      </right>
      <top style="thin">
        <color rgb="00E2E8F0"/>
      </top>
      <bottom style="thin">
        <color rgb="00E2E8F0"/>
      </bottom>
    </border>
    <border>
      <left style="medium">
        <color rgb="00EF4444"/>
      </left>
      <right style="thin">
        <color rgb="00E2E8F0"/>
      </right>
      <top style="thin">
        <color rgb="00E2E8F0"/>
      </top>
      <bottom style="thin">
        <color rgb="00E2E8F0"/>
      </bottom>
    </border>
    <border>
      <left style="medium">
        <color rgb="002563EB"/>
      </left>
      <right style="thin">
        <color rgb="00E2E8F0"/>
      </right>
      <top style="thin">
        <color rgb="00E2E8F0"/>
      </top>
      <bottom style="thin">
        <color rgb="00E2E8F0"/>
      </bottom>
    </border>
    <border>
      <left style="thin">
        <color rgb="00A7F3D0"/>
      </left>
      <right style="thin">
        <color rgb="00A7F3D0"/>
      </right>
      <top style="thin">
        <color rgb="00A7F3D0"/>
      </top>
      <bottom style="thin">
        <color rgb="00A7F3D0"/>
      </bottom>
    </border>
    <border>
      <left style="thick">
        <color rgb="0010B981"/>
      </left>
    </border>
    <border>
      <left style="thin">
        <color rgb="00FECACA"/>
      </left>
      <right style="thin">
        <color rgb="00FECACA"/>
      </right>
      <top style="thin">
        <color rgb="00FECACA"/>
      </top>
      <bottom style="thin">
        <color rgb="00FECACA"/>
      </bottom>
    </border>
    <border>
      <left style="thin">
        <color rgb="00BFDBFE"/>
      </left>
      <right style="thin">
        <color rgb="00BFDBFE"/>
      </right>
      <top style="thin">
        <color rgb="00BFDBFE"/>
      </top>
      <bottom style="thin">
        <color rgb="00BFDBFE"/>
      </bottom>
    </border>
    <border>
      <left/>
      <right/>
      <top style="thin">
        <color rgb="00A7F3D0"/>
      </top>
      <bottom/>
      <diagonal/>
    </border>
    <border>
      <left style="thin">
        <color rgb="00A7F3D0"/>
      </left>
      <right/>
      <top/>
      <bottom/>
      <diagonal/>
    </border>
    <border>
      <left/>
      <right style="thin">
        <color rgb="00A7F3D0"/>
      </right>
      <top style="thin">
        <color rgb="00A7F3D0"/>
      </top>
      <bottom/>
      <diagonal/>
    </border>
    <border>
      <left/>
      <right style="thin">
        <color rgb="00A7F3D0"/>
      </right>
      <top/>
      <bottom/>
      <diagonal/>
    </border>
    <border>
      <left style="thin">
        <color rgb="00A7F3D0"/>
      </left>
      <right/>
      <top/>
      <bottom style="thin">
        <color rgb="00A7F3D0"/>
      </bottom>
      <diagonal/>
    </border>
    <border>
      <left/>
      <right/>
      <top/>
      <bottom style="thin">
        <color rgb="00A7F3D0"/>
      </bottom>
      <diagonal/>
    </border>
    <border>
      <left/>
      <right style="thin">
        <color rgb="00A7F3D0"/>
      </right>
      <top/>
      <bottom style="thin">
        <color rgb="00A7F3D0"/>
      </bottom>
      <diagonal/>
    </border>
    <border>
      <left/>
      <right/>
      <top style="thin">
        <color rgb="00E2E8F0"/>
      </top>
      <bottom/>
      <diagonal/>
    </border>
    <border>
      <left/>
      <right style="thin">
        <color rgb="00E2E8F0"/>
      </right>
      <top style="thin">
        <color rgb="00E2E8F0"/>
      </top>
      <bottom/>
      <diagonal/>
    </border>
    <border>
      <left/>
      <right/>
      <top style="thin">
        <color rgb="00E2E8F0"/>
      </top>
      <bottom style="thin">
        <color rgb="00E2E8F0"/>
      </bottom>
      <diagonal/>
    </border>
    <border>
      <left/>
      <right style="thin">
        <color rgb="00E2E8F0"/>
      </right>
      <top style="thin">
        <color rgb="00E2E8F0"/>
      </top>
      <bottom style="thin">
        <color rgb="00E2E8F0"/>
      </bottom>
      <diagonal/>
    </border>
    <border>
      <left/>
      <right/>
      <top style="thin">
        <color rgb="00FECACA"/>
      </top>
      <bottom/>
      <diagonal/>
    </border>
    <border>
      <left style="thin">
        <color rgb="00FECACA"/>
      </left>
      <right/>
      <top/>
      <bottom/>
      <diagonal/>
    </border>
    <border>
      <left/>
      <right style="thin">
        <color rgb="00FECACA"/>
      </right>
      <top style="thin">
        <color rgb="00FECACA"/>
      </top>
      <bottom/>
      <diagonal/>
    </border>
    <border>
      <left/>
      <right style="thin">
        <color rgb="00FECACA"/>
      </right>
      <top/>
      <bottom/>
      <diagonal/>
    </border>
    <border>
      <left style="thin">
        <color rgb="00FECACA"/>
      </left>
      <right/>
      <top/>
      <bottom style="thin">
        <color rgb="00FECACA"/>
      </bottom>
      <diagonal/>
    </border>
    <border>
      <left/>
      <right/>
      <top/>
      <bottom style="thin">
        <color rgb="00FECACA"/>
      </bottom>
      <diagonal/>
    </border>
    <border>
      <left/>
      <right style="thin">
        <color rgb="00FECACA"/>
      </right>
      <top/>
      <bottom style="thin">
        <color rgb="00FECACA"/>
      </bottom>
      <diagonal/>
    </border>
    <border>
      <left/>
      <right/>
      <top style="thin">
        <color rgb="00BFDBFE"/>
      </top>
      <bottom/>
      <diagonal/>
    </border>
    <border>
      <left style="thin">
        <color rgb="00BFDBFE"/>
      </left>
      <right/>
      <top/>
      <bottom/>
      <diagonal/>
    </border>
    <border>
      <left/>
      <right style="thin">
        <color rgb="00BFDBFE"/>
      </right>
      <top style="thin">
        <color rgb="00BFDBFE"/>
      </top>
      <bottom/>
      <diagonal/>
    </border>
    <border>
      <left/>
      <right style="thin">
        <color rgb="00BFDBFE"/>
      </right>
      <top/>
      <bottom/>
      <diagonal/>
    </border>
    <border>
      <left style="thin">
        <color rgb="00BFDBFE"/>
      </left>
      <right/>
      <top/>
      <bottom style="thin">
        <color rgb="00BFDBFE"/>
      </bottom>
      <diagonal/>
    </border>
    <border>
      <left/>
      <right/>
      <top/>
      <bottom style="thin">
        <color rgb="00BFDBFE"/>
      </bottom>
      <diagonal/>
    </border>
    <border>
      <left/>
      <right style="thin">
        <color rgb="00BFDBFE"/>
      </right>
      <top/>
      <bottom style="thin">
        <color rgb="00BFDBFE"/>
      </bottom>
      <diagonal/>
    </border>
  </borders>
  <cellStyleXfs count="6">
    <xf numFmtId="0" fontId="0" fillId="0" borderId="0" applyAlignment="1">
      <alignment horizontal="general" vertical="bottom"/>
    </xf>
    <xf numFmtId="43" fontId="3" fillId="0" borderId="0"/>
    <xf numFmtId="41" fontId="3" fillId="0" borderId="0"/>
    <xf numFmtId="44" fontId="3" fillId="0" borderId="0"/>
    <xf numFmtId="42" fontId="3" fillId="0" borderId="0"/>
    <xf numFmtId="9" fontId="3" fillId="0" borderId="0"/>
  </cellStyleXfs>
  <cellXfs count="281">
    <xf numFmtId="0" fontId="0" fillId="0" borderId="0" applyAlignment="1" pivotButton="0" quotePrefix="0" xfId="0">
      <alignment horizontal="general" vertical="bottom"/>
    </xf>
    <xf numFmtId="0" fontId="0" fillId="0" borderId="0" applyAlignment="1" pivotButton="0" quotePrefix="0" xfId="0">
      <alignment horizontal="general" vertical="bottom"/>
    </xf>
    <xf numFmtId="0" fontId="4" fillId="2" borderId="0" applyAlignment="1" pivotButton="0" quotePrefix="0" xfId="0">
      <alignment horizontal="left" vertical="center" indent="1"/>
    </xf>
    <xf numFmtId="0" fontId="5" fillId="2" borderId="0" applyAlignment="1" pivotButton="0" quotePrefix="0" xfId="0">
      <alignment horizontal="left" vertical="center" indent="1"/>
    </xf>
    <xf numFmtId="0" fontId="6" fillId="0" borderId="0" applyAlignment="1" pivotButton="0" quotePrefix="0" xfId="0">
      <alignment horizontal="left" vertical="center" wrapText="1"/>
    </xf>
    <xf numFmtId="0" fontId="7" fillId="0" borderId="0" applyAlignment="1" pivotButton="0" quotePrefix="0" xfId="0">
      <alignment horizontal="left" vertical="center"/>
    </xf>
    <xf numFmtId="0" fontId="8" fillId="0" borderId="0" applyAlignment="1" pivotButton="0" quotePrefix="0" xfId="0">
      <alignment horizontal="left" vertical="center" wrapText="1"/>
    </xf>
    <xf numFmtId="0" fontId="8" fillId="0" borderId="0" applyAlignment="1" pivotButton="0" quotePrefix="0" xfId="0">
      <alignment horizontal="left" vertical="center"/>
    </xf>
    <xf numFmtId="0" fontId="9" fillId="0" borderId="0" applyAlignment="1" pivotButton="0" quotePrefix="0" xfId="0">
      <alignment horizontal="left" vertical="center"/>
    </xf>
    <xf numFmtId="0" fontId="10" fillId="0" borderId="0" applyAlignment="1" pivotButton="0" quotePrefix="0" xfId="0">
      <alignment horizontal="left" vertical="center"/>
    </xf>
    <xf numFmtId="0" fontId="11" fillId="0" borderId="0" applyAlignment="1" pivotButton="0" quotePrefix="0" xfId="0">
      <alignment horizontal="left" vertical="center" wrapText="1"/>
    </xf>
    <xf numFmtId="0" fontId="12" fillId="0" borderId="0" applyAlignment="1" pivotButton="0" quotePrefix="0" xfId="0">
      <alignment horizontal="left" vertical="center"/>
    </xf>
    <xf numFmtId="0" fontId="13" fillId="0" borderId="0" applyAlignment="1" pivotButton="0" quotePrefix="0" xfId="0">
      <alignment horizontal="left" vertical="center"/>
    </xf>
    <xf numFmtId="0" fontId="9" fillId="0" borderId="0" applyAlignment="1" pivotButton="0" quotePrefix="0" xfId="0">
      <alignment horizontal="left" vertical="center" wrapText="1"/>
    </xf>
    <xf numFmtId="0" fontId="6" fillId="0" borderId="0" applyAlignment="1" pivotButton="0" quotePrefix="0" xfId="0">
      <alignment horizontal="left" vertical="center" wrapText="1"/>
    </xf>
    <xf numFmtId="0" fontId="15" fillId="3" borderId="0" applyAlignment="1" pivotButton="0" quotePrefix="0" xfId="0">
      <alignment horizontal="center" vertical="center" wrapText="1"/>
    </xf>
    <xf numFmtId="0" fontId="0" fillId="0" borderId="0" applyAlignment="1" applyProtection="1" pivotButton="0" quotePrefix="0" xfId="0">
      <alignment horizontal="general" vertical="bottom"/>
      <protection locked="0" hidden="0"/>
    </xf>
    <xf numFmtId="164" fontId="0" fillId="0" borderId="0" applyAlignment="1" applyProtection="1" pivotButton="0" quotePrefix="0" xfId="0">
      <alignment horizontal="general" vertical="bottom"/>
      <protection locked="0" hidden="0"/>
    </xf>
    <xf numFmtId="3" fontId="0" fillId="0" borderId="0" applyAlignment="1" applyProtection="1" pivotButton="0" quotePrefix="0" xfId="0">
      <alignment horizontal="general" vertical="bottom"/>
      <protection locked="0" hidden="0"/>
    </xf>
    <xf numFmtId="164" fontId="0" fillId="4" borderId="0" applyAlignment="1" pivotButton="0" quotePrefix="0" xfId="0">
      <alignment horizontal="general" vertical="bottom"/>
    </xf>
    <xf numFmtId="165" fontId="0" fillId="4" borderId="0" applyAlignment="1" pivotButton="0" quotePrefix="0" xfId="0">
      <alignment horizontal="general" vertical="bottom"/>
    </xf>
    <xf numFmtId="0" fontId="0" fillId="4" borderId="0" applyAlignment="1" pivotButton="0" quotePrefix="0" xfId="0">
      <alignment horizontal="general" vertical="bottom"/>
    </xf>
    <xf numFmtId="0" fontId="0" fillId="5" borderId="0" applyAlignment="1" applyProtection="1" pivotButton="0" quotePrefix="0" xfId="0">
      <alignment horizontal="general" vertical="bottom"/>
      <protection locked="0" hidden="0"/>
    </xf>
    <xf numFmtId="164" fontId="0" fillId="5" borderId="0" applyAlignment="1" applyProtection="1" pivotButton="0" quotePrefix="0" xfId="0">
      <alignment horizontal="general" vertical="bottom"/>
      <protection locked="0" hidden="0"/>
    </xf>
    <xf numFmtId="3" fontId="0" fillId="5" borderId="0" applyAlignment="1" applyProtection="1" pivotButton="0" quotePrefix="0" xfId="0">
      <alignment horizontal="general" vertical="bottom"/>
      <protection locked="0" hidden="0"/>
    </xf>
    <xf numFmtId="0" fontId="16" fillId="6" borderId="0" applyAlignment="1" pivotButton="0" quotePrefix="0" xfId="0">
      <alignment horizontal="left" vertical="center" indent="1"/>
    </xf>
    <xf numFmtId="164" fontId="17" fillId="0" borderId="0" applyAlignment="1" pivotButton="0" quotePrefix="0" xfId="0">
      <alignment horizontal="left" vertical="center"/>
    </xf>
    <xf numFmtId="165" fontId="17" fillId="0" borderId="0" applyAlignment="1" pivotButton="0" quotePrefix="0" xfId="0">
      <alignment horizontal="left" vertical="center"/>
    </xf>
    <xf numFmtId="3" fontId="17" fillId="0" borderId="0" applyAlignment="1" pivotButton="0" quotePrefix="0" xfId="0">
      <alignment horizontal="left" vertical="center"/>
    </xf>
    <xf numFmtId="0" fontId="17" fillId="0" borderId="0" applyAlignment="1" pivotButton="0" quotePrefix="0" xfId="0">
      <alignment horizontal="left" vertical="center"/>
    </xf>
    <xf numFmtId="0" fontId="7" fillId="0" borderId="0" applyAlignment="1" pivotButton="0" quotePrefix="0" xfId="0">
      <alignment horizontal="left" vertical="center"/>
    </xf>
    <xf numFmtId="0" fontId="18" fillId="0" borderId="0" applyAlignment="1" pivotButton="0" quotePrefix="0" xfId="0">
      <alignment horizontal="center" vertical="center"/>
    </xf>
    <xf numFmtId="0" fontId="19" fillId="0" borderId="0" applyAlignment="1" pivotButton="0" quotePrefix="0" xfId="0">
      <alignment horizontal="left" vertical="center" wrapText="1"/>
    </xf>
    <xf numFmtId="0" fontId="17" fillId="0" borderId="0" applyAlignment="1" pivotButton="0" quotePrefix="0" xfId="0">
      <alignment horizontal="left" vertical="center" wrapText="1"/>
    </xf>
    <xf numFmtId="0" fontId="20" fillId="0" borderId="0" applyAlignment="1" pivotButton="0" quotePrefix="0" xfId="0">
      <alignment horizontal="left" vertical="center"/>
    </xf>
    <xf numFmtId="3" fontId="21" fillId="0" borderId="0" applyAlignment="1" pivotButton="0" quotePrefix="0" xfId="0">
      <alignment horizontal="left" vertical="center"/>
    </xf>
    <xf numFmtId="164" fontId="21" fillId="0" borderId="0" applyAlignment="1" pivotButton="0" quotePrefix="0" xfId="0">
      <alignment horizontal="left" vertical="center"/>
    </xf>
    <xf numFmtId="0" fontId="22" fillId="0" borderId="0" applyAlignment="1" pivotButton="0" quotePrefix="0" xfId="0">
      <alignment horizontal="left" vertical="center"/>
    </xf>
    <xf numFmtId="0" fontId="23" fillId="0" borderId="0" applyAlignment="1" pivotButton="0" quotePrefix="0" xfId="0">
      <alignment horizontal="left" vertical="center"/>
    </xf>
    <xf numFmtId="0" fontId="17" fillId="0" borderId="0" applyAlignment="1" pivotButton="0" quotePrefix="0" xfId="0">
      <alignment horizontal="left" vertical="center" wrapText="1"/>
    </xf>
    <xf numFmtId="0" fontId="15" fillId="2" borderId="0" applyAlignment="1" pivotButton="0" quotePrefix="0" xfId="0">
      <alignment horizontal="center" vertical="center"/>
    </xf>
    <xf numFmtId="164" fontId="21" fillId="0" borderId="0" applyAlignment="1" pivotButton="0" quotePrefix="0" xfId="0">
      <alignment horizontal="center" vertical="center"/>
    </xf>
    <xf numFmtId="165" fontId="21" fillId="0" borderId="0" applyAlignment="1" pivotButton="0" quotePrefix="0" xfId="0">
      <alignment horizontal="center" vertical="center"/>
    </xf>
    <xf numFmtId="3" fontId="21" fillId="0" borderId="0" applyAlignment="1" pivotButton="0" quotePrefix="0" xfId="0">
      <alignment horizontal="center" vertical="center"/>
    </xf>
    <xf numFmtId="0" fontId="24" fillId="0" borderId="0" applyAlignment="1" pivotButton="0" quotePrefix="0" xfId="0">
      <alignment horizontal="left" vertical="center"/>
    </xf>
    <xf numFmtId="0" fontId="25" fillId="0" borderId="0" applyAlignment="1" pivotButton="0" quotePrefix="0" xfId="0">
      <alignment horizontal="left" vertical="center"/>
    </xf>
    <xf numFmtId="0" fontId="11" fillId="0" borderId="0" applyAlignment="1" pivotButton="0" quotePrefix="0" xfId="0">
      <alignment horizontal="left" vertical="center"/>
    </xf>
    <xf numFmtId="0" fontId="26" fillId="0" borderId="0" applyAlignment="1" pivotButton="0" quotePrefix="0" xfId="0">
      <alignment horizontal="left" vertical="center"/>
    </xf>
    <xf numFmtId="0" fontId="6" fillId="0" borderId="0" applyAlignment="1" pivotButton="0" quotePrefix="0" xfId="0">
      <alignment horizontal="left" vertical="center"/>
    </xf>
    <xf numFmtId="0" fontId="15" fillId="3" borderId="0" applyAlignment="1" pivotButton="0" quotePrefix="0" xfId="0">
      <alignment horizontal="left" vertical="center"/>
    </xf>
    <xf numFmtId="0" fontId="21" fillId="0" borderId="0" applyAlignment="1" pivotButton="0" quotePrefix="0" xfId="0">
      <alignment horizontal="left" vertical="center"/>
    </xf>
    <xf numFmtId="0" fontId="29" fillId="2" borderId="0" applyAlignment="1" pivotButton="0" quotePrefix="0" xfId="0">
      <alignment horizontal="center" vertical="center"/>
    </xf>
    <xf numFmtId="0" fontId="6" fillId="0" borderId="0" applyAlignment="1" pivotButton="0" quotePrefix="0" xfId="0">
      <alignment horizontal="center" vertical="center"/>
    </xf>
    <xf numFmtId="0" fontId="30" fillId="0" borderId="0" applyAlignment="1" pivotButton="0" quotePrefix="0" xfId="0">
      <alignment horizontal="left" vertical="center" wrapText="1"/>
    </xf>
    <xf numFmtId="0" fontId="19" fillId="0" borderId="0" applyAlignment="1" pivotButton="0" quotePrefix="0" xfId="0">
      <alignment horizontal="left" vertical="center"/>
    </xf>
    <xf numFmtId="164" fontId="19" fillId="0" borderId="0" applyAlignment="1" pivotButton="0" quotePrefix="0" xfId="0">
      <alignment horizontal="left" vertical="center"/>
    </xf>
    <xf numFmtId="3" fontId="19" fillId="0" borderId="0" applyAlignment="1" pivotButton="0" quotePrefix="0" xfId="0">
      <alignment horizontal="left" vertical="center"/>
    </xf>
    <xf numFmtId="164" fontId="19" fillId="4" borderId="0" applyAlignment="1" pivotButton="0" quotePrefix="0" xfId="0">
      <alignment horizontal="left" vertical="center"/>
    </xf>
    <xf numFmtId="2" fontId="0" fillId="0" borderId="0" applyAlignment="1" pivotButton="0" quotePrefix="0" xfId="0">
      <alignment horizontal="general" vertical="bottom"/>
    </xf>
    <xf numFmtId="0" fontId="19" fillId="5" borderId="0" applyAlignment="1" applyProtection="1" pivotButton="0" quotePrefix="0" xfId="0">
      <alignment horizontal="left" vertical="center"/>
      <protection locked="0" hidden="0"/>
    </xf>
    <xf numFmtId="0" fontId="31" fillId="7" borderId="0" applyAlignment="1" pivotButton="0" quotePrefix="0" xfId="0">
      <alignment horizontal="left" vertical="center" wrapText="1"/>
    </xf>
    <xf numFmtId="0" fontId="32" fillId="5" borderId="0" applyAlignment="1" applyProtection="1" pivotButton="0" quotePrefix="0" xfId="0">
      <alignment horizontal="left" vertical="center"/>
      <protection locked="0" hidden="0"/>
    </xf>
    <xf numFmtId="0" fontId="9" fillId="0" borderId="0" applyAlignment="1" pivotButton="0" quotePrefix="0" xfId="0">
      <alignment horizontal="left" vertical="center"/>
    </xf>
    <xf numFmtId="3" fontId="9" fillId="0" borderId="0" applyAlignment="1" pivotButton="0" quotePrefix="0" xfId="0">
      <alignment horizontal="left" vertical="center"/>
    </xf>
    <xf numFmtId="166" fontId="9" fillId="0" borderId="0" applyAlignment="1" pivotButton="0" quotePrefix="0" xfId="0">
      <alignment horizontal="left" vertical="center"/>
    </xf>
    <xf numFmtId="166" fontId="32" fillId="5" borderId="0" applyAlignment="1" applyProtection="1" pivotButton="0" quotePrefix="0" xfId="0">
      <alignment horizontal="left" vertical="center"/>
      <protection locked="0" hidden="0"/>
    </xf>
    <xf numFmtId="165" fontId="32" fillId="5" borderId="0" applyAlignment="1" applyProtection="1" pivotButton="0" quotePrefix="0" xfId="0">
      <alignment horizontal="left" vertical="center"/>
      <protection locked="0" hidden="0"/>
    </xf>
    <xf numFmtId="164" fontId="32" fillId="5" borderId="0" applyAlignment="1" applyProtection="1" pivotButton="0" quotePrefix="0" xfId="0">
      <alignment horizontal="left" vertical="center"/>
      <protection locked="0" hidden="0"/>
    </xf>
    <xf numFmtId="3" fontId="32" fillId="5" borderId="0" applyAlignment="1" applyProtection="1" pivotButton="0" quotePrefix="0" xfId="0">
      <alignment horizontal="left" vertical="center"/>
      <protection locked="0" hidden="0"/>
    </xf>
    <xf numFmtId="0" fontId="32" fillId="5" borderId="0" applyAlignment="1" applyProtection="1" pivotButton="0" quotePrefix="0" xfId="0">
      <alignment horizontal="left" vertical="center" wrapText="1"/>
      <protection locked="0" hidden="0"/>
    </xf>
    <xf numFmtId="3" fontId="19" fillId="5" borderId="0" applyAlignment="1" applyProtection="1" pivotButton="0" quotePrefix="0" xfId="0">
      <alignment horizontal="left" vertical="center"/>
      <protection locked="0" hidden="0"/>
    </xf>
    <xf numFmtId="0" fontId="33" fillId="7" borderId="0" applyAlignment="1" pivotButton="0" quotePrefix="0" xfId="0">
      <alignment horizontal="left" vertical="center"/>
    </xf>
    <xf numFmtId="0" fontId="9" fillId="0" borderId="0" applyAlignment="1" pivotButton="0" quotePrefix="0" xfId="0">
      <alignment horizontal="left" vertical="center" wrapText="1"/>
    </xf>
    <xf numFmtId="0" fontId="8" fillId="0" borderId="0" applyAlignment="1" pivotButton="0" quotePrefix="0" xfId="0">
      <alignment horizontal="left" vertical="center" wrapText="1"/>
    </xf>
    <xf numFmtId="0" fontId="0" fillId="0" borderId="0" applyAlignment="1" pivotButton="0" quotePrefix="0" xfId="0">
      <alignment horizontal="general" vertical="bottom"/>
    </xf>
    <xf numFmtId="0" fontId="34" fillId="0" borderId="0" applyAlignment="1" pivotButton="0" quotePrefix="0" xfId="0">
      <alignment horizontal="left" vertical="center" wrapText="1"/>
    </xf>
    <xf numFmtId="0" fontId="0" fillId="0" borderId="0" pivotButton="0" quotePrefix="0" xfId="0"/>
    <xf numFmtId="0" fontId="35" fillId="8" borderId="0" applyAlignment="1" pivotButton="0" quotePrefix="0" xfId="0">
      <alignment horizontal="center" vertical="center"/>
    </xf>
    <xf numFmtId="0" fontId="36" fillId="0" borderId="0" applyAlignment="1" pivotButton="0" quotePrefix="0" xfId="0">
      <alignment horizontal="center" vertical="center"/>
    </xf>
    <xf numFmtId="0" fontId="37" fillId="0" borderId="0" pivotButton="0" quotePrefix="0" xfId="0"/>
    <xf numFmtId="0" fontId="43" fillId="0" borderId="0" pivotButton="0" quotePrefix="0" xfId="0"/>
    <xf numFmtId="0" fontId="38" fillId="0" borderId="0" applyAlignment="1" pivotButton="0" quotePrefix="0" xfId="0">
      <alignment vertical="center"/>
    </xf>
    <xf numFmtId="0" fontId="41" fillId="0" borderId="0" applyAlignment="1" pivotButton="0" quotePrefix="0" xfId="0">
      <alignment vertical="center"/>
    </xf>
    <xf numFmtId="0" fontId="43" fillId="9" borderId="0" applyAlignment="1" pivotButton="0" quotePrefix="0" xfId="0">
      <alignment horizontal="center" vertical="center" wrapText="1"/>
    </xf>
    <xf numFmtId="0" fontId="39" fillId="0" borderId="0" pivotButton="0" quotePrefix="0" xfId="0"/>
    <xf numFmtId="0" fontId="40" fillId="0" borderId="0" pivotButton="0" quotePrefix="0" xfId="0"/>
    <xf numFmtId="0" fontId="42" fillId="0" borderId="0" pivotButton="0" quotePrefix="0" xfId="0"/>
    <xf numFmtId="0" fontId="44" fillId="0" borderId="0" pivotButton="0" quotePrefix="0" xfId="0"/>
    <xf numFmtId="0" fontId="45" fillId="8" borderId="0" applyAlignment="1" pivotButton="0" quotePrefix="0" xfId="0">
      <alignment horizontal="center" vertical="center"/>
    </xf>
    <xf numFmtId="0" fontId="46" fillId="0" borderId="0" pivotButton="0" quotePrefix="0" xfId="0"/>
    <xf numFmtId="167" fontId="46" fillId="0" borderId="0" pivotButton="0" quotePrefix="0" xfId="0"/>
    <xf numFmtId="167" fontId="47" fillId="0" borderId="0" pivotButton="0" quotePrefix="0" xfId="0"/>
    <xf numFmtId="168" fontId="46" fillId="0" borderId="0" pivotButton="0" quotePrefix="0" xfId="0"/>
    <xf numFmtId="0" fontId="48" fillId="0" borderId="0" pivotButton="0" quotePrefix="0" xfId="0"/>
    <xf numFmtId="0" fontId="49" fillId="0" borderId="0" pivotButton="0" quotePrefix="0" xfId="0"/>
    <xf numFmtId="0" fontId="50" fillId="8" borderId="0" applyAlignment="1" pivotButton="0" quotePrefix="0" xfId="0">
      <alignment horizontal="center" vertical="center"/>
    </xf>
    <xf numFmtId="0" fontId="45" fillId="8" borderId="0" applyAlignment="1" pivotButton="0" quotePrefix="0" xfId="0">
      <alignment horizontal="center"/>
    </xf>
    <xf numFmtId="0" fontId="47" fillId="0" borderId="0" pivotButton="0" quotePrefix="0" xfId="0"/>
    <xf numFmtId="0" fontId="51" fillId="10" borderId="1" pivotButton="0" quotePrefix="0" xfId="0"/>
    <xf numFmtId="0" fontId="52" fillId="0" borderId="0" pivotButton="0" quotePrefix="0" xfId="0"/>
    <xf numFmtId="0" fontId="53" fillId="0" borderId="0" pivotButton="0" quotePrefix="0" xfId="0"/>
    <xf numFmtId="0" fontId="46" fillId="0" borderId="0" applyAlignment="1" pivotButton="0" quotePrefix="0" xfId="0">
      <alignment wrapText="1"/>
    </xf>
    <xf numFmtId="0" fontId="0" fillId="0" borderId="0" applyAlignment="1" pivotButton="0" quotePrefix="0" xfId="0">
      <alignment horizontal="general" vertical="bottom"/>
    </xf>
    <xf numFmtId="0" fontId="4" fillId="2" borderId="0" applyAlignment="1" pivotButton="0" quotePrefix="0" xfId="0">
      <alignment horizontal="left" vertical="center" indent="1"/>
    </xf>
    <xf numFmtId="0" fontId="5" fillId="2" borderId="0" applyAlignment="1" pivotButton="0" quotePrefix="0" xfId="0">
      <alignment horizontal="left" vertical="center" indent="1"/>
    </xf>
    <xf numFmtId="0" fontId="6" fillId="0" borderId="0" applyAlignment="1" pivotButton="0" quotePrefix="0" xfId="0">
      <alignment horizontal="left" vertical="center" wrapText="1"/>
    </xf>
    <xf numFmtId="0" fontId="7" fillId="0" borderId="0" applyAlignment="1" pivotButton="0" quotePrefix="0" xfId="0">
      <alignment horizontal="left" vertical="center"/>
    </xf>
    <xf numFmtId="0" fontId="8" fillId="0" borderId="0" applyAlignment="1" pivotButton="0" quotePrefix="0" xfId="0">
      <alignment horizontal="left" vertical="center" wrapText="1"/>
    </xf>
    <xf numFmtId="0" fontId="8" fillId="0" borderId="0" applyAlignment="1" pivotButton="0" quotePrefix="0" xfId="0">
      <alignment horizontal="left" vertical="center"/>
    </xf>
    <xf numFmtId="0" fontId="9" fillId="0" borderId="0" applyAlignment="1" pivotButton="0" quotePrefix="0" xfId="0">
      <alignment horizontal="left" vertical="center"/>
    </xf>
    <xf numFmtId="0" fontId="10" fillId="0" borderId="0" applyAlignment="1" pivotButton="0" quotePrefix="0" xfId="0">
      <alignment horizontal="left" vertical="center"/>
    </xf>
    <xf numFmtId="0" fontId="11" fillId="0" borderId="0" applyAlignment="1" pivotButton="0" quotePrefix="0" xfId="0">
      <alignment horizontal="left" vertical="center" wrapText="1"/>
    </xf>
    <xf numFmtId="0" fontId="12" fillId="0" borderId="0" applyAlignment="1" pivotButton="0" quotePrefix="0" xfId="0">
      <alignment horizontal="left" vertical="center"/>
    </xf>
    <xf numFmtId="0" fontId="13" fillId="0" borderId="0" applyAlignment="1" pivotButton="0" quotePrefix="0" xfId="0">
      <alignment horizontal="left" vertical="center"/>
    </xf>
    <xf numFmtId="0" fontId="9" fillId="0" borderId="0" applyAlignment="1" pivotButton="0" quotePrefix="0" xfId="0">
      <alignment horizontal="left" vertical="center" wrapText="1"/>
    </xf>
    <xf numFmtId="0" fontId="15" fillId="3" borderId="0" applyAlignment="1" pivotButton="0" quotePrefix="0" xfId="0">
      <alignment horizontal="center" vertical="center" wrapText="1"/>
    </xf>
    <xf numFmtId="0" fontId="0" fillId="0" borderId="0" applyAlignment="1" applyProtection="1" pivotButton="0" quotePrefix="0" xfId="0">
      <alignment horizontal="general" vertical="bottom"/>
      <protection locked="0" hidden="0"/>
    </xf>
    <xf numFmtId="164" fontId="0" fillId="0" borderId="0" applyAlignment="1" applyProtection="1" pivotButton="0" quotePrefix="0" xfId="0">
      <alignment horizontal="general" vertical="bottom"/>
      <protection locked="0" hidden="0"/>
    </xf>
    <xf numFmtId="3" fontId="0" fillId="0" borderId="0" applyAlignment="1" applyProtection="1" pivotButton="0" quotePrefix="0" xfId="0">
      <alignment horizontal="general" vertical="bottom"/>
      <protection locked="0" hidden="0"/>
    </xf>
    <xf numFmtId="164" fontId="0" fillId="4" borderId="0" applyAlignment="1" pivotButton="0" quotePrefix="0" xfId="0">
      <alignment horizontal="general" vertical="bottom"/>
    </xf>
    <xf numFmtId="165" fontId="0" fillId="4" borderId="0" applyAlignment="1" pivotButton="0" quotePrefix="0" xfId="0">
      <alignment horizontal="general" vertical="bottom"/>
    </xf>
    <xf numFmtId="0" fontId="0" fillId="4" borderId="0" applyAlignment="1" pivotButton="0" quotePrefix="0" xfId="0">
      <alignment horizontal="general" vertical="bottom"/>
    </xf>
    <xf numFmtId="0" fontId="0" fillId="5" borderId="0" applyAlignment="1" applyProtection="1" pivotButton="0" quotePrefix="0" xfId="0">
      <alignment horizontal="general" vertical="bottom"/>
      <protection locked="0" hidden="0"/>
    </xf>
    <xf numFmtId="164" fontId="0" fillId="5" borderId="0" applyAlignment="1" applyProtection="1" pivotButton="0" quotePrefix="0" xfId="0">
      <alignment horizontal="general" vertical="bottom"/>
      <protection locked="0" hidden="0"/>
    </xf>
    <xf numFmtId="3" fontId="0" fillId="5" borderId="0" applyAlignment="1" applyProtection="1" pivotButton="0" quotePrefix="0" xfId="0">
      <alignment horizontal="general" vertical="bottom"/>
      <protection locked="0" hidden="0"/>
    </xf>
    <xf numFmtId="0" fontId="16" fillId="6" borderId="0" applyAlignment="1" pivotButton="0" quotePrefix="0" xfId="0">
      <alignment horizontal="left" vertical="center" indent="1"/>
    </xf>
    <xf numFmtId="164" fontId="17" fillId="0" borderId="0" applyAlignment="1" pivotButton="0" quotePrefix="0" xfId="0">
      <alignment horizontal="left" vertical="center"/>
    </xf>
    <xf numFmtId="165" fontId="17" fillId="0" borderId="0" applyAlignment="1" pivotButton="0" quotePrefix="0" xfId="0">
      <alignment horizontal="left" vertical="center"/>
    </xf>
    <xf numFmtId="3" fontId="17" fillId="0" borderId="0" applyAlignment="1" pivotButton="0" quotePrefix="0" xfId="0">
      <alignment horizontal="left" vertical="center"/>
    </xf>
    <xf numFmtId="0" fontId="17" fillId="0" borderId="0" applyAlignment="1" pivotButton="0" quotePrefix="0" xfId="0">
      <alignment horizontal="left" vertical="center"/>
    </xf>
    <xf numFmtId="0" fontId="18" fillId="0" borderId="0" applyAlignment="1" pivotButton="0" quotePrefix="0" xfId="0">
      <alignment horizontal="center" vertical="center"/>
    </xf>
    <xf numFmtId="0" fontId="19" fillId="0" borderId="0" applyAlignment="1" pivotButton="0" quotePrefix="0" xfId="0">
      <alignment horizontal="left" vertical="center" wrapText="1"/>
    </xf>
    <xf numFmtId="0" fontId="17" fillId="0" borderId="0" applyAlignment="1" pivotButton="0" quotePrefix="0" xfId="0">
      <alignment horizontal="left" vertical="center" wrapText="1"/>
    </xf>
    <xf numFmtId="0" fontId="20" fillId="0" borderId="0" applyAlignment="1" pivotButton="0" quotePrefix="0" xfId="0">
      <alignment horizontal="left" vertical="center"/>
    </xf>
    <xf numFmtId="3" fontId="21" fillId="0" borderId="0" applyAlignment="1" pivotButton="0" quotePrefix="0" xfId="0">
      <alignment horizontal="left" vertical="center"/>
    </xf>
    <xf numFmtId="164" fontId="21" fillId="0" borderId="0" applyAlignment="1" pivotButton="0" quotePrefix="0" xfId="0">
      <alignment horizontal="left" vertical="center"/>
    </xf>
    <xf numFmtId="0" fontId="22" fillId="0" borderId="0" applyAlignment="1" pivotButton="0" quotePrefix="0" xfId="0">
      <alignment horizontal="left" vertical="center"/>
    </xf>
    <xf numFmtId="0" fontId="23" fillId="0" borderId="0" applyAlignment="1" pivotButton="0" quotePrefix="0" xfId="0">
      <alignment horizontal="left" vertical="center"/>
    </xf>
    <xf numFmtId="0" fontId="15" fillId="2" borderId="0" applyAlignment="1" pivotButton="0" quotePrefix="0" xfId="0">
      <alignment horizontal="center" vertical="center"/>
    </xf>
    <xf numFmtId="164" fontId="21" fillId="0" borderId="0" applyAlignment="1" pivotButton="0" quotePrefix="0" xfId="0">
      <alignment horizontal="center" vertical="center"/>
    </xf>
    <xf numFmtId="165" fontId="21" fillId="0" borderId="0" applyAlignment="1" pivotButton="0" quotePrefix="0" xfId="0">
      <alignment horizontal="center" vertical="center"/>
    </xf>
    <xf numFmtId="3" fontId="21" fillId="0" borderId="0" applyAlignment="1" pivotButton="0" quotePrefix="0" xfId="0">
      <alignment horizontal="center" vertical="center"/>
    </xf>
    <xf numFmtId="0" fontId="24" fillId="0" borderId="0" applyAlignment="1" pivotButton="0" quotePrefix="0" xfId="0">
      <alignment horizontal="left" vertical="center"/>
    </xf>
    <xf numFmtId="0" fontId="25" fillId="0" borderId="0" applyAlignment="1" pivotButton="0" quotePrefix="0" xfId="0">
      <alignment horizontal="left" vertical="center"/>
    </xf>
    <xf numFmtId="0" fontId="11" fillId="0" borderId="0" applyAlignment="1" pivotButton="0" quotePrefix="0" xfId="0">
      <alignment horizontal="left" vertical="center"/>
    </xf>
    <xf numFmtId="0" fontId="26" fillId="0" borderId="0" applyAlignment="1" pivotButton="0" quotePrefix="0" xfId="0">
      <alignment horizontal="left" vertical="center"/>
    </xf>
    <xf numFmtId="0" fontId="6" fillId="0" borderId="0" applyAlignment="1" pivotButton="0" quotePrefix="0" xfId="0">
      <alignment horizontal="left" vertical="center"/>
    </xf>
    <xf numFmtId="0" fontId="15" fillId="3" borderId="0" applyAlignment="1" pivotButton="0" quotePrefix="0" xfId="0">
      <alignment horizontal="left" vertical="center"/>
    </xf>
    <xf numFmtId="0" fontId="21" fillId="0" borderId="0" applyAlignment="1" pivotButton="0" quotePrefix="0" xfId="0">
      <alignment horizontal="left" vertical="center"/>
    </xf>
    <xf numFmtId="0" fontId="29" fillId="2" borderId="0" applyAlignment="1" pivotButton="0" quotePrefix="0" xfId="0">
      <alignment horizontal="center" vertical="center"/>
    </xf>
    <xf numFmtId="0" fontId="6" fillId="0" borderId="0" applyAlignment="1" pivotButton="0" quotePrefix="0" xfId="0">
      <alignment horizontal="center" vertical="center"/>
    </xf>
    <xf numFmtId="0" fontId="30" fillId="0" borderId="0" applyAlignment="1" pivotButton="0" quotePrefix="0" xfId="0">
      <alignment horizontal="left" vertical="center" wrapText="1"/>
    </xf>
    <xf numFmtId="0" fontId="19" fillId="0" borderId="0" applyAlignment="1" pivotButton="0" quotePrefix="0" xfId="0">
      <alignment horizontal="left" vertical="center"/>
    </xf>
    <xf numFmtId="164" fontId="19" fillId="0" borderId="0" applyAlignment="1" pivotButton="0" quotePrefix="0" xfId="0">
      <alignment horizontal="left" vertical="center"/>
    </xf>
    <xf numFmtId="3" fontId="19" fillId="0" borderId="0" applyAlignment="1" pivotButton="0" quotePrefix="0" xfId="0">
      <alignment horizontal="left" vertical="center"/>
    </xf>
    <xf numFmtId="164" fontId="19" fillId="4" borderId="0" applyAlignment="1" pivotButton="0" quotePrefix="0" xfId="0">
      <alignment horizontal="left" vertical="center"/>
    </xf>
    <xf numFmtId="2" fontId="0" fillId="0" borderId="0" applyAlignment="1" pivotButton="0" quotePrefix="0" xfId="0">
      <alignment horizontal="general" vertical="bottom"/>
    </xf>
    <xf numFmtId="0" fontId="19" fillId="5" borderId="0" applyAlignment="1" applyProtection="1" pivotButton="0" quotePrefix="0" xfId="0">
      <alignment horizontal="left" vertical="center"/>
      <protection locked="0" hidden="0"/>
    </xf>
    <xf numFmtId="0" fontId="31" fillId="7" borderId="0" applyAlignment="1" pivotButton="0" quotePrefix="0" xfId="0">
      <alignment horizontal="left" vertical="center" wrapText="1"/>
    </xf>
    <xf numFmtId="0" fontId="32" fillId="5" borderId="0" applyAlignment="1" applyProtection="1" pivotButton="0" quotePrefix="0" xfId="0">
      <alignment horizontal="left" vertical="center"/>
      <protection locked="0" hidden="0"/>
    </xf>
    <xf numFmtId="3" fontId="9" fillId="0" borderId="0" applyAlignment="1" pivotButton="0" quotePrefix="0" xfId="0">
      <alignment horizontal="left" vertical="center"/>
    </xf>
    <xf numFmtId="166" fontId="9" fillId="0" borderId="0" applyAlignment="1" pivotButton="0" quotePrefix="0" xfId="0">
      <alignment horizontal="left" vertical="center"/>
    </xf>
    <xf numFmtId="166" fontId="32" fillId="5" borderId="0" applyAlignment="1" applyProtection="1" pivotButton="0" quotePrefix="0" xfId="0">
      <alignment horizontal="left" vertical="center"/>
      <protection locked="0" hidden="0"/>
    </xf>
    <xf numFmtId="165" fontId="32" fillId="5" borderId="0" applyAlignment="1" applyProtection="1" pivotButton="0" quotePrefix="0" xfId="0">
      <alignment horizontal="left" vertical="center"/>
      <protection locked="0" hidden="0"/>
    </xf>
    <xf numFmtId="164" fontId="32" fillId="5" borderId="0" applyAlignment="1" applyProtection="1" pivotButton="0" quotePrefix="0" xfId="0">
      <alignment horizontal="left" vertical="center"/>
      <protection locked="0" hidden="0"/>
    </xf>
    <xf numFmtId="3" fontId="32" fillId="5" borderId="0" applyAlignment="1" applyProtection="1" pivotButton="0" quotePrefix="0" xfId="0">
      <alignment horizontal="left" vertical="center"/>
      <protection locked="0" hidden="0"/>
    </xf>
    <xf numFmtId="0" fontId="32" fillId="5" borderId="0" applyAlignment="1" applyProtection="1" pivotButton="0" quotePrefix="0" xfId="0">
      <alignment horizontal="left" vertical="center" wrapText="1"/>
      <protection locked="0" hidden="0"/>
    </xf>
    <xf numFmtId="3" fontId="19" fillId="5" borderId="0" applyAlignment="1" applyProtection="1" pivotButton="0" quotePrefix="0" xfId="0">
      <alignment horizontal="left" vertical="center"/>
      <protection locked="0" hidden="0"/>
    </xf>
    <xf numFmtId="0" fontId="33" fillId="7" borderId="0" applyAlignment="1" pivotButton="0" quotePrefix="0" xfId="0">
      <alignment horizontal="left" vertical="center"/>
    </xf>
    <xf numFmtId="0" fontId="34" fillId="0" borderId="0" applyAlignment="1" pivotButton="0" quotePrefix="0" xfId="0">
      <alignment horizontal="left" vertical="center" wrapText="1"/>
    </xf>
    <xf numFmtId="0" fontId="54" fillId="0" borderId="0" pivotButton="0" quotePrefix="0" xfId="0"/>
    <xf numFmtId="0" fontId="55" fillId="0" borderId="1" applyAlignment="1" pivotButton="0" quotePrefix="0" xfId="0">
      <alignment horizontal="center" vertical="center"/>
    </xf>
    <xf numFmtId="0" fontId="45" fillId="11" borderId="0" applyAlignment="1" pivotButton="0" quotePrefix="0" xfId="0">
      <alignment horizontal="center" vertical="center"/>
    </xf>
    <xf numFmtId="0" fontId="36" fillId="0" borderId="0" pivotButton="0" quotePrefix="0" xfId="0"/>
    <xf numFmtId="0" fontId="42" fillId="0" borderId="2" pivotButton="0" quotePrefix="0" xfId="0"/>
    <xf numFmtId="0" fontId="0" fillId="0" borderId="1" pivotButton="0" quotePrefix="0" xfId="0"/>
    <xf numFmtId="0" fontId="56" fillId="12" borderId="1" applyAlignment="1" pivotButton="0" quotePrefix="0" xfId="0">
      <alignment horizontal="center"/>
    </xf>
    <xf numFmtId="0" fontId="42" fillId="0" borderId="3" pivotButton="0" quotePrefix="0" xfId="0"/>
    <xf numFmtId="0" fontId="58" fillId="13" borderId="1" applyAlignment="1" pivotButton="0" quotePrefix="0" xfId="0">
      <alignment horizontal="center"/>
    </xf>
    <xf numFmtId="0" fontId="57" fillId="14" borderId="1" applyAlignment="1" pivotButton="0" quotePrefix="0" xfId="0">
      <alignment horizontal="center"/>
    </xf>
    <xf numFmtId="0" fontId="42" fillId="0" borderId="4" pivotButton="0" quotePrefix="0" xfId="0"/>
    <xf numFmtId="0" fontId="0" fillId="0" borderId="2" pivotButton="0" quotePrefix="0" xfId="0"/>
    <xf numFmtId="0" fontId="0" fillId="0" borderId="3" pivotButton="0" quotePrefix="0" xfId="0"/>
    <xf numFmtId="0" fontId="0" fillId="0" borderId="4" pivotButton="0" quotePrefix="0" xfId="0"/>
    <xf numFmtId="0" fontId="38" fillId="0" borderId="2" pivotButton="0" quotePrefix="0" xfId="0"/>
    <xf numFmtId="0" fontId="59" fillId="0" borderId="3" pivotButton="0" quotePrefix="0" xfId="0"/>
    <xf numFmtId="0" fontId="60" fillId="0" borderId="4" pivotButton="0" quotePrefix="0" xfId="0"/>
    <xf numFmtId="0" fontId="57" fillId="0" borderId="2" pivotButton="0" quotePrefix="0" xfId="0"/>
    <xf numFmtId="0" fontId="52" fillId="0" borderId="3" pivotButton="0" quotePrefix="0" xfId="0"/>
    <xf numFmtId="0" fontId="57" fillId="0" borderId="4" pivotButton="0" quotePrefix="0" xfId="0"/>
    <xf numFmtId="0" fontId="61" fillId="15" borderId="0" applyAlignment="1" pivotButton="0" quotePrefix="0" xfId="0">
      <alignment horizontal="center"/>
    </xf>
    <xf numFmtId="0" fontId="62" fillId="0" borderId="0" pivotButton="0" quotePrefix="0" xfId="0"/>
    <xf numFmtId="0" fontId="61" fillId="16" borderId="0" applyAlignment="1" pivotButton="0" quotePrefix="0" xfId="0">
      <alignment horizontal="center" vertical="center"/>
    </xf>
    <xf numFmtId="0" fontId="62" fillId="0" borderId="1" pivotButton="0" quotePrefix="0" xfId="0"/>
    <xf numFmtId="0" fontId="63" fillId="0" borderId="1" pivotButton="0" quotePrefix="0" xfId="0"/>
    <xf numFmtId="0" fontId="64" fillId="0" borderId="1" pivotButton="0" quotePrefix="0" xfId="0"/>
    <xf numFmtId="0" fontId="65" fillId="17" borderId="1" applyAlignment="1" pivotButton="0" quotePrefix="0" xfId="0">
      <alignment horizontal="center"/>
    </xf>
    <xf numFmtId="0" fontId="61" fillId="8" borderId="0" pivotButton="0" quotePrefix="0" xfId="0"/>
    <xf numFmtId="0" fontId="66" fillId="8" borderId="0" pivotButton="0" quotePrefix="0" xfId="0"/>
    <xf numFmtId="0" fontId="67" fillId="8" borderId="0" pivotButton="0" quotePrefix="0" xfId="0"/>
    <xf numFmtId="0" fontId="0" fillId="8" borderId="0" pivotButton="0" quotePrefix="0" xfId="0"/>
    <xf numFmtId="0" fontId="39" fillId="8" borderId="0" applyAlignment="1" pivotButton="0" quotePrefix="0" xfId="0">
      <alignment horizontal="center"/>
    </xf>
    <xf numFmtId="0" fontId="55" fillId="0" borderId="0" pivotButton="0" quotePrefix="0" xfId="0"/>
    <xf numFmtId="0" fontId="70" fillId="18" borderId="0" pivotButton="0" quotePrefix="0" xfId="0"/>
    <xf numFmtId="0" fontId="0" fillId="18" borderId="0" pivotButton="0" quotePrefix="0" xfId="0"/>
    <xf numFmtId="0" fontId="57" fillId="0" borderId="0" pivotButton="0" quotePrefix="0" xfId="0"/>
    <xf numFmtId="0" fontId="45" fillId="18" borderId="0" pivotButton="0" quotePrefix="0" xfId="0"/>
    <xf numFmtId="0" fontId="71" fillId="18" borderId="0" applyAlignment="1" pivotButton="0" quotePrefix="0" xfId="0">
      <alignment wrapText="1"/>
    </xf>
    <xf numFmtId="0" fontId="68" fillId="0" borderId="0" pivotButton="0" quotePrefix="0" xfId="0"/>
    <xf numFmtId="0" fontId="69" fillId="0" borderId="0" pivotButton="0" quotePrefix="0" xfId="0"/>
    <xf numFmtId="0" fontId="57" fillId="14" borderId="5" applyAlignment="1" pivotButton="0" quotePrefix="0" xfId="0">
      <alignment horizontal="center" vertical="center"/>
    </xf>
    <xf numFmtId="0" fontId="72" fillId="19" borderId="0" applyAlignment="1" pivotButton="0" quotePrefix="0" xfId="0">
      <alignment horizontal="center" vertical="center"/>
    </xf>
    <xf numFmtId="0" fontId="36" fillId="20" borderId="1" applyAlignment="1" pivotButton="0" quotePrefix="0" xfId="0">
      <alignment vertical="center"/>
    </xf>
    <xf numFmtId="0" fontId="56" fillId="12" borderId="0" applyAlignment="1" pivotButton="0" quotePrefix="0" xfId="0">
      <alignment horizontal="center" vertical="center"/>
    </xf>
    <xf numFmtId="0" fontId="57" fillId="14" borderId="0" applyAlignment="1" pivotButton="0" quotePrefix="0" xfId="0">
      <alignment horizontal="center" vertical="center"/>
    </xf>
    <xf numFmtId="0" fontId="73" fillId="8" borderId="0" applyAlignment="1" pivotButton="0" quotePrefix="0" xfId="0">
      <alignment horizontal="center" vertical="center"/>
    </xf>
    <xf numFmtId="0" fontId="74" fillId="20" borderId="1" applyAlignment="1" pivotButton="0" quotePrefix="0" xfId="0">
      <alignment horizontal="center"/>
    </xf>
    <xf numFmtId="0" fontId="75" fillId="20" borderId="1" applyAlignment="1" pivotButton="0" quotePrefix="0" xfId="0">
      <alignment horizontal="center"/>
    </xf>
    <xf numFmtId="0" fontId="74" fillId="20" borderId="1" pivotButton="0" quotePrefix="0" xfId="0"/>
    <xf numFmtId="169" fontId="75" fillId="20" borderId="1" applyAlignment="1" pivotButton="0" quotePrefix="0" xfId="0">
      <alignment horizontal="right"/>
    </xf>
    <xf numFmtId="9" fontId="74" fillId="20" borderId="1" applyAlignment="1" pivotButton="0" quotePrefix="0" xfId="0">
      <alignment horizontal="center"/>
    </xf>
    <xf numFmtId="169" fontId="74" fillId="20" borderId="1" applyAlignment="1" pivotButton="0" quotePrefix="0" xfId="0">
      <alignment horizontal="right"/>
    </xf>
    <xf numFmtId="0" fontId="57" fillId="20" borderId="1" applyAlignment="1" pivotButton="0" quotePrefix="0" xfId="0">
      <alignment horizontal="center"/>
    </xf>
    <xf numFmtId="0" fontId="74" fillId="19" borderId="1" applyAlignment="1" pivotButton="0" quotePrefix="0" xfId="0">
      <alignment horizontal="center"/>
    </xf>
    <xf numFmtId="0" fontId="75" fillId="19" borderId="1" applyAlignment="1" pivotButton="0" quotePrefix="0" xfId="0">
      <alignment horizontal="center"/>
    </xf>
    <xf numFmtId="0" fontId="74" fillId="19" borderId="1" pivotButton="0" quotePrefix="0" xfId="0"/>
    <xf numFmtId="169" fontId="75" fillId="19" borderId="1" applyAlignment="1" pivotButton="0" quotePrefix="0" xfId="0">
      <alignment horizontal="right"/>
    </xf>
    <xf numFmtId="9" fontId="74" fillId="19" borderId="1" applyAlignment="1" pivotButton="0" quotePrefix="0" xfId="0">
      <alignment horizontal="center"/>
    </xf>
    <xf numFmtId="169" fontId="74" fillId="19" borderId="1" applyAlignment="1" pivotButton="0" quotePrefix="0" xfId="0">
      <alignment horizontal="right"/>
    </xf>
    <xf numFmtId="0" fontId="62" fillId="19" borderId="1" applyAlignment="1" pivotButton="0" quotePrefix="0" xfId="0">
      <alignment horizontal="center"/>
    </xf>
    <xf numFmtId="0" fontId="57" fillId="19" borderId="1" applyAlignment="1" pivotButton="0" quotePrefix="0" xfId="0">
      <alignment horizontal="center"/>
    </xf>
    <xf numFmtId="0" fontId="58" fillId="19" borderId="1" applyAlignment="1" pivotButton="0" quotePrefix="0" xfId="0">
      <alignment horizontal="center"/>
    </xf>
    <xf numFmtId="0" fontId="45" fillId="8" borderId="0" applyAlignment="1" pivotButton="0" quotePrefix="0" xfId="0">
      <alignment vertical="center" indent="1"/>
    </xf>
    <xf numFmtId="169" fontId="76" fillId="8" borderId="0" applyAlignment="1" pivotButton="0" quotePrefix="0" xfId="0">
      <alignment horizontal="right" vertical="center"/>
    </xf>
    <xf numFmtId="0" fontId="77" fillId="0" borderId="6" pivotButton="0" quotePrefix="0" xfId="0"/>
    <xf numFmtId="0" fontId="78" fillId="0" borderId="6" pivotButton="0" quotePrefix="0" xfId="0"/>
    <xf numFmtId="0" fontId="79" fillId="0" borderId="6" pivotButton="0" quotePrefix="0" xfId="0"/>
    <xf numFmtId="0" fontId="80" fillId="21" borderId="1" applyAlignment="1" pivotButton="0" quotePrefix="0" xfId="0">
      <alignment horizontal="center" vertical="center"/>
    </xf>
    <xf numFmtId="0" fontId="84" fillId="12" borderId="1" applyAlignment="1" pivotButton="0" quotePrefix="0" xfId="0">
      <alignment horizontal="center" vertical="center"/>
    </xf>
    <xf numFmtId="0" fontId="81" fillId="0" borderId="1" pivotButton="0" quotePrefix="0" xfId="0"/>
    <xf numFmtId="0" fontId="80" fillId="0" borderId="1" applyAlignment="1" pivotButton="0" quotePrefix="0" xfId="0">
      <alignment horizontal="right"/>
    </xf>
    <xf numFmtId="0" fontId="84" fillId="0" borderId="1" applyAlignment="1" pivotButton="0" quotePrefix="0" xfId="0">
      <alignment horizontal="right"/>
    </xf>
    <xf numFmtId="0" fontId="55" fillId="0" borderId="1" applyAlignment="1" pivotButton="0" quotePrefix="0" xfId="0">
      <alignment horizontal="right"/>
    </xf>
    <xf numFmtId="0" fontId="82" fillId="0" borderId="1" applyAlignment="1" pivotButton="0" quotePrefix="0" xfId="0">
      <alignment horizontal="right"/>
    </xf>
    <xf numFmtId="0" fontId="83" fillId="13" borderId="7" applyAlignment="1" pivotButton="0" quotePrefix="0" xfId="0">
      <alignment horizontal="center" vertical="center"/>
    </xf>
    <xf numFmtId="0" fontId="85" fillId="12" borderId="8" applyAlignment="1" pivotButton="0" quotePrefix="0" xfId="0">
      <alignment horizontal="center" vertical="center"/>
    </xf>
    <xf numFmtId="0" fontId="81" fillId="0" borderId="0" pivotButton="0" quotePrefix="0" xfId="0"/>
    <xf numFmtId="0" fontId="86" fillId="22" borderId="0" applyAlignment="1" pivotButton="0" quotePrefix="0" xfId="0">
      <alignment horizontal="left" vertical="center" wrapText="1"/>
    </xf>
    <xf numFmtId="0" fontId="87" fillId="23" borderId="0" applyAlignment="1" pivotButton="0" quotePrefix="0" xfId="0">
      <alignment vertical="center" wrapText="1"/>
    </xf>
    <xf numFmtId="0" fontId="88" fillId="24" borderId="0" applyAlignment="1" pivotButton="0" quotePrefix="0" xfId="0">
      <alignment vertical="top" wrapText="1"/>
    </xf>
    <xf numFmtId="0" fontId="89" fillId="0" borderId="0" applyAlignment="1" pivotButton="0" quotePrefix="0" xfId="0">
      <alignment vertical="top" wrapText="1"/>
    </xf>
    <xf numFmtId="0" fontId="90" fillId="22" borderId="0" applyAlignment="1" pivotButton="0" quotePrefix="0" xfId="0">
      <alignment horizontal="left" vertical="center" wrapText="1"/>
    </xf>
    <xf numFmtId="0" fontId="86" fillId="25" borderId="0" applyAlignment="1" pivotButton="0" quotePrefix="0" xfId="0">
      <alignment horizontal="left" vertical="center" wrapText="1"/>
    </xf>
    <xf numFmtId="0" fontId="87" fillId="25" borderId="0" applyAlignment="1" pivotButton="0" quotePrefix="0" xfId="0">
      <alignment vertical="center" wrapText="1"/>
    </xf>
    <xf numFmtId="0" fontId="91" fillId="26" borderId="0" applyAlignment="1" pivotButton="0" quotePrefix="0" xfId="0">
      <alignment vertical="top" wrapText="1"/>
    </xf>
    <xf numFmtId="0" fontId="86" fillId="27" borderId="0" applyAlignment="1" pivotButton="0" quotePrefix="0" xfId="0">
      <alignment horizontal="left" vertical="center" wrapText="1"/>
    </xf>
    <xf numFmtId="0" fontId="87" fillId="27" borderId="0" applyAlignment="1" pivotButton="0" quotePrefix="0" xfId="0">
      <alignment vertical="center" wrapText="1"/>
    </xf>
    <xf numFmtId="0" fontId="92" fillId="28" borderId="0" applyAlignment="1" pivotButton="0" quotePrefix="0" xfId="0">
      <alignment vertical="top" wrapText="1"/>
    </xf>
    <xf numFmtId="0" fontId="93" fillId="26" borderId="0" applyAlignment="1" pivotButton="0" quotePrefix="0" xfId="0">
      <alignment vertical="top" wrapText="1"/>
    </xf>
    <xf numFmtId="0" fontId="94" fillId="0" borderId="0" applyAlignment="1" pivotButton="0" quotePrefix="0" xfId="0">
      <alignment vertical="top" wrapText="1"/>
    </xf>
    <xf numFmtId="0" fontId="86" fillId="29" borderId="0" applyAlignment="1" pivotButton="0" quotePrefix="0" xfId="0">
      <alignment horizontal="left" vertical="center"/>
    </xf>
    <xf numFmtId="0" fontId="87" fillId="29" borderId="0" applyAlignment="1" pivotButton="0" quotePrefix="0" xfId="0">
      <alignment vertical="center" wrapText="1"/>
    </xf>
    <xf numFmtId="0" fontId="95" fillId="30" borderId="0" applyAlignment="1" pivotButton="0" quotePrefix="0" xfId="0">
      <alignment vertical="top" wrapText="1"/>
    </xf>
    <xf numFmtId="0" fontId="96" fillId="31" borderId="0" applyAlignment="1" pivotButton="0" quotePrefix="0" xfId="0">
      <alignment vertical="top" wrapText="1"/>
    </xf>
    <xf numFmtId="0" fontId="86" fillId="32" borderId="0" applyAlignment="1" pivotButton="0" quotePrefix="0" xfId="0">
      <alignment horizontal="left" vertical="center"/>
    </xf>
    <xf numFmtId="0" fontId="87" fillId="32" borderId="0" applyAlignment="1" pivotButton="0" quotePrefix="0" xfId="0">
      <alignment vertical="center" wrapText="1"/>
    </xf>
    <xf numFmtId="0" fontId="97" fillId="31" borderId="0" applyAlignment="1" pivotButton="0" quotePrefix="0" xfId="0">
      <alignment vertical="top" wrapText="1"/>
    </xf>
    <xf numFmtId="0" fontId="86" fillId="33" borderId="0" applyAlignment="1" pivotButton="0" quotePrefix="0" xfId="0">
      <alignment horizontal="left" vertical="center"/>
    </xf>
    <xf numFmtId="0" fontId="87" fillId="33" borderId="0" applyAlignment="1" pivotButton="0" quotePrefix="0" xfId="0">
      <alignment vertical="center" wrapText="1"/>
    </xf>
    <xf numFmtId="0" fontId="98" fillId="34" borderId="0" applyAlignment="1" pivotButton="0" quotePrefix="0" xfId="0">
      <alignment vertical="top" wrapText="1"/>
    </xf>
    <xf numFmtId="0" fontId="99" fillId="0" borderId="0" applyAlignment="1" pivotButton="0" quotePrefix="0" xfId="0">
      <alignment vertical="top" wrapText="1"/>
    </xf>
    <xf numFmtId="169" fontId="38" fillId="0" borderId="2" pivotButton="0" quotePrefix="0" xfId="0"/>
    <xf numFmtId="169" fontId="59" fillId="0" borderId="3" pivotButton="0" quotePrefix="0" xfId="0"/>
    <xf numFmtId="169" fontId="62" fillId="0" borderId="1" pivotButton="0" quotePrefix="0" xfId="0"/>
    <xf numFmtId="169" fontId="63" fillId="0" borderId="1" pivotButton="0" quotePrefix="0" xfId="0"/>
    <xf numFmtId="169" fontId="66" fillId="8" borderId="0" pivotButton="0" quotePrefix="0" xfId="0"/>
    <xf numFmtId="169" fontId="67" fillId="8" borderId="0" pivotButton="0" quotePrefix="0" xfId="0"/>
    <xf numFmtId="169" fontId="85" fillId="10" borderId="1" applyAlignment="1" pivotButton="0" quotePrefix="0" xfId="0">
      <alignment horizontal="right"/>
    </xf>
    <xf numFmtId="169" fontId="55" fillId="0" borderId="1" applyAlignment="1" pivotButton="0" quotePrefix="0" xfId="0">
      <alignment horizontal="right"/>
    </xf>
    <xf numFmtId="169" fontId="82" fillId="0" borderId="1" applyAlignment="1" pivotButton="0" quotePrefix="0" xfId="0">
      <alignment horizontal="right"/>
    </xf>
    <xf numFmtId="170" fontId="82" fillId="0" borderId="1" applyAlignment="1" pivotButton="0" quotePrefix="0" xfId="0">
      <alignment horizontal="right"/>
    </xf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dxfs count="14">
    <dxf>
      <fill>
        <patternFill patternType="solid">
          <fgColor rgb="001F4E79"/>
          <bgColor rgb="FF000000"/>
        </patternFill>
      </fill>
    </dxf>
    <dxf>
      <fill>
        <patternFill patternType="solid">
          <fgColor rgb="FFFFF2CC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000000"/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fgColor rgb="00EEF2F7"/>
          <bgColor rgb="FF000000"/>
        </patternFill>
      </fill>
    </dxf>
    <dxf>
      <fill>
        <patternFill patternType="solid">
          <fgColor rgb="FF1F7A4D"/>
          <bgColor rgb="FF000000"/>
        </patternFill>
      </fill>
    </dxf>
    <dxf>
      <fill>
        <patternFill patternType="solid">
          <fgColor rgb="FFB7791F"/>
          <bgColor rgb="FF000000"/>
        </patternFill>
      </fill>
    </dxf>
    <dxf>
      <font>
        <name val="Segoe UI"/>
        <charset val="1"/>
        <family val="0"/>
        <color rgb="FFB3261E"/>
      </font>
    </dxf>
    <dxf>
      <font>
        <name val="Segoe UI"/>
        <charset val="1"/>
        <family val="0"/>
        <color rgb="FFB7791F"/>
      </font>
    </dxf>
    <dxf>
      <font>
        <name val="Segoe UI"/>
        <charset val="1"/>
        <family val="0"/>
        <color rgb="FFB3261E"/>
      </font>
      <fill>
        <patternFill>
          <bgColor rgb="FFFDE9E9"/>
        </patternFill>
      </fill>
    </dxf>
    <dxf>
      <font>
        <name val="Segoe UI"/>
        <charset val="1"/>
        <family val="0"/>
        <color rgb="FF1F7A4D"/>
      </font>
    </dxf>
    <dxf>
      <font>
        <name val="Segoe UI"/>
        <charset val="1"/>
        <family val="0"/>
        <color rgb="FF1F7A4D"/>
      </font>
      <fill>
        <patternFill>
          <bgColor rgb="FFE2EFDA"/>
        </patternFill>
      </fill>
    </dxf>
    <dxf>
      <font>
        <name val="Segoe UI"/>
        <charset val="1"/>
        <family val="0"/>
        <color rgb="FFB7791F"/>
      </font>
      <fill>
        <patternFill>
          <bgColor rgb="FFFFF2CC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6100"/>
      <rgbColor rgb="FF000080"/>
      <rgbColor rgb="FFB7791F"/>
      <rgbColor rgb="FF800080"/>
      <rgbColor rgb="FF1F7A4D"/>
      <rgbColor rgb="FFC0C0C0"/>
      <rgbColor rgb="FF878787"/>
      <rgbColor rgb="FF9999FF"/>
      <rgbColor rgb="FFC0504D"/>
      <rgbColor rgb="FFFFF2CC"/>
      <rgbColor rgb="FFDDEBF7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EEF2F7"/>
      <rgbColor rgb="FFE2EFDA"/>
      <rgbColor rgb="FFFDE9E9"/>
      <rgbColor rgb="FF99CCFF"/>
      <rgbColor rgb="FFFF99CC"/>
      <rgbColor rgb="FFCC99FF"/>
      <rgbColor rgb="FFF2F2F2"/>
      <rgbColor rgb="FF4A7EBB"/>
      <rgbColor rgb="FF33CCCC"/>
      <rgbColor rgb="FF9BBB59"/>
      <rgbColor rgb="FFFFCC00"/>
      <rgbColor rgb="FFFF9900"/>
      <rgbColor rgb="FFFF6600"/>
      <rgbColor rgb="FF595959"/>
      <rgbColor rgb="FFB08948"/>
      <rgbColor rgb="FF0F2742"/>
      <rgbColor rgb="FF4F81BD"/>
      <rgbColor rgb="FF003300"/>
      <rgbColor rgb="FF333300"/>
      <rgbColor rgb="FFB3261E"/>
      <rgbColor rgb="FF993366"/>
      <rgbColor rgb="FF1F4E79"/>
      <rgbColor rgb="FF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styles" Target="styles.xml" Id="rId27"/><Relationship Type="http://schemas.openxmlformats.org/officeDocument/2006/relationships/theme" Target="theme/theme1.xml" Id="rId28"/></Relationships>
</file>

<file path=xl/comments/comment1.xml><?xml version="1.0" encoding="utf-8"?>
<comments xmlns="http://schemas.openxmlformats.org/spreadsheetml/2006/main">
  <authors>
    <author>ExcelArşiv</author>
  </authors>
  <commentList>
    <comment ref="A5" authorId="0" shapeId="0">
      <text>
        <t>Tanım: Adım 1 — İşleri girin | Neden önemli: Ürünü doğru kullanmak için | Doğru kullanım: Sırayla izleyin</t>
      </text>
    </comment>
    <comment ref="A6" authorId="0" shapeId="0">
      <text>
        <t>Tanım: Adım 2 — Sonuçları izleyin | Neden önemli: Ürünü doğru kullanmak için | Doğru kullanım: Sırayla izleyin</t>
      </text>
    </comment>
    <comment ref="A7" authorId="0" shapeId="0">
      <text>
        <t>Tanım: Adım 3 — Karar ve rapor | Neden önemli: Ürünü doğru kullanmak için | Doğru kullanım: Sırayla izleyin</t>
      </text>
    </comment>
    <comment ref="A8" authorId="0" shapeId="0">
      <text>
        <t>Tanım: Adım 4 — Eşikleri ayarlayın | Neden önemli: Ürünü doğru kullanmak için | Doğru kullanım: Sırayla izleyin</t>
      </text>
    </comment>
  </commentList>
</comments>
</file>

<file path=xl/comments/comment2.xml><?xml version="1.0" encoding="utf-8"?>
<comments xmlns="http://schemas.openxmlformats.org/spreadsheetml/2006/main">
  <authors>
    <author>ExcelArşiv</author>
  </authors>
  <commentList>
    <comment ref="A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1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1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1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1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1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1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1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1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1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1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2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2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2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2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2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2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2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2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2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2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2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2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2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2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2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2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2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2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2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2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2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2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2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2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2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2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2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2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2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2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3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3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3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3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3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3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3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3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3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3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3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3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3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3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3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3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3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3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3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3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3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3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3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3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3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3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3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3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3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3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3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3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3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3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3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3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3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3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3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3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3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3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3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3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3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3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3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3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3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3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4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4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4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4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4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4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4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4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4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4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4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4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4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4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4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4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4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4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4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4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4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4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4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4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4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4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4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4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4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4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4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4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4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4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4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4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4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4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4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4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4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4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4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4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4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4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4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4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4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4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5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5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5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5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5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5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5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5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5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5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5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5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5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5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5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5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5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5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5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5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5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5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5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5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5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5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5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5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5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5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5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5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5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5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5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5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5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5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5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5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5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5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5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5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5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5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5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5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5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5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6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6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6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6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6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6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6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6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6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6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6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6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6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6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6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6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6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6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6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6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6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6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6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6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6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6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6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6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6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6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6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6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6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6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6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6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6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6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6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6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6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6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6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6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6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6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6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6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6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6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7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7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7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7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7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7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7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7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7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7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7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7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7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7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7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7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7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7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7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7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7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7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7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7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7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7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7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7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7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7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7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7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7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7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7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7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7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7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7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7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7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7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7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7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7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7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7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7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7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7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8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8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8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8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8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8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8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8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8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8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8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8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8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8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8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8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8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8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8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8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8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8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8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8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8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8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8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8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8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8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8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8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8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8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8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8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8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8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8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8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8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8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8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8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8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8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8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8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8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8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9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9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9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9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9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9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9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9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9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9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9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9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9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9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9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9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9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9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9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9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9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9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9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9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9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9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9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9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9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9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9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9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9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9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9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9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9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9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9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9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9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9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9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9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9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9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9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9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9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9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0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0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0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0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0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10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0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0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0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0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0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10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0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0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0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0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0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10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0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0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0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0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0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10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0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0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0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0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0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10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0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0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0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0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0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10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0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0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0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0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0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10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0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0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0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0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0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10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0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0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0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0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0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10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0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0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0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0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0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10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1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1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1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1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1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11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1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1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1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1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1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11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1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1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1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1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1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11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1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1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1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1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1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11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1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1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1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1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1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11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1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1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1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1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1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11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1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1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1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1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1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11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1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1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1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1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1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11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1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1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1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1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1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11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1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1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1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1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1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11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2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2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2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2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2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12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2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2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2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2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2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12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2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2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2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2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2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12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2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2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2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2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2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12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2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2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2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2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2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12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2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2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2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2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2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12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2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2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2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2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2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12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2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2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2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2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2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12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2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2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2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2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2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12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2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2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2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2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2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12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3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3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3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3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3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13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3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3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3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3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3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13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3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3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3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3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3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13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3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3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3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3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3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13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3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3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3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3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3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13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3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3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3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3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3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13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3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3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3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3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3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13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3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3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3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3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3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13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3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3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3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3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3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13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3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3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3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3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3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13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4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4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4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4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4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14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4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4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4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4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4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14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4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4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4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4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4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14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4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4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4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4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4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14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4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4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4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4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4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14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4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4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4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4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4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14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4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4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4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4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4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14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4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4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4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4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4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14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4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4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4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4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4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14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4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4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4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4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4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14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5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5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5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5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5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15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5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5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5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5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5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15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5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5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5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5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5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15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5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5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5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5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5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15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5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5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5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5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5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15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5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5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5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5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5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15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5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5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5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5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5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15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5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5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5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5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5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15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5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5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5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5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5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15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5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5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5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5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5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15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6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6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6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6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6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16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6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6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6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6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6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16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6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6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6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6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6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16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6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6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6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6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6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16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6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6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6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6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6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16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6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6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6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6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6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16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6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6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6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6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6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16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6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6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6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6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6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16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6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6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6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6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6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16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6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6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6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6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6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16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7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7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7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7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7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17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7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7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7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7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7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17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7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7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7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7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7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17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7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7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7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7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7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17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7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7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7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7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7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17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7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7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7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7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7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17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7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7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7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7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7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17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7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7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7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7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7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17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7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7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7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7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7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17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7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7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7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7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7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17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8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8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8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8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8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18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8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8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8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8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8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18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8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8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8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8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8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18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8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8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8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8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8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18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8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8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8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8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8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18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8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8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8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8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8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18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8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8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8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8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8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18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8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8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8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8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8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18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8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8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8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8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8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18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8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8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8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8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8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18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9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9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9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9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9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19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9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9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9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9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9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19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9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9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9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9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9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19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9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9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9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9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9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19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9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9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9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9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9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19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9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9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9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9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9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19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9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9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9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9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9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19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9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9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9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9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9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19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9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9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9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9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9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19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9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9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9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9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9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19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0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0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0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20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20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20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0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0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0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20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20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20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0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0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0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20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20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20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0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0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0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20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20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20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0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0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0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20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20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20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0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0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0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20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20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20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0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0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0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20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20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20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0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0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0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20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20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20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0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0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0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20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20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20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0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0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0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20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20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20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1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1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1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21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21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21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1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1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1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21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21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21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1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1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1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21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21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21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1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1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1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21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21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21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1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1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1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21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21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21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1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1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1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21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21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21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1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1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1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21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21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21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1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1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1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21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21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21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1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1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1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21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21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21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1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1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1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21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21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21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2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2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2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22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22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22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2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2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2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22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22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22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2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2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2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22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22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22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2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2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2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22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22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22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2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2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2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22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22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22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2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2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2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22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22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22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2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2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2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22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22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22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2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2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2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22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22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22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2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2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2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22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22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22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2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2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2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22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22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22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3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3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3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23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23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23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3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3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3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23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23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23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3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3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3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23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23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23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3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3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3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23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23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23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3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3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3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23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23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23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3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3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3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23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23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23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3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3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3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23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23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23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3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3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3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23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23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23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3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3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3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23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23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23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3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3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3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23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23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23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4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4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4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24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24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24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4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4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4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24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24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24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4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4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4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24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24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24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4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4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4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24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24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24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4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4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4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24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24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24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4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4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4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24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24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24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4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4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4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24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24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24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4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4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4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24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24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24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4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4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4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24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24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24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4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4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4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24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24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24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5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5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5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25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25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25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5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5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5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25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25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25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5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5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5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25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25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25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5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5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5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25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25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25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5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5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5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25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25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25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5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5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5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25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25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25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5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5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5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25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25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25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5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5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5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25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25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25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5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5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5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25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25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25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5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5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5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25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25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25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6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6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6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26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26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26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6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6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6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26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26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26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6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6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6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26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26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26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6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6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6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26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26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26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6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6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6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26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26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26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6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6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6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26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26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26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6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6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6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26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26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26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6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6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6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26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26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26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6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6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6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26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26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26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6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6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6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26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26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26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7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7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7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27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27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27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7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7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7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27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27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27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7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7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7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27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27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27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7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7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7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27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27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27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7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7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7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27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27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27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7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7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7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27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27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27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7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7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7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27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27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27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7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7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7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27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27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27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7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7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7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27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27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27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7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7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7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27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27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27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8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8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8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28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28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28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8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8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8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28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28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28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8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8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8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28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28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28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8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8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8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28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28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28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8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8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8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28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28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28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8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8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8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28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28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28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8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8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8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28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28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28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8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8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8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28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28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28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8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8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8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28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28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28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8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8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8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28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28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28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9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9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9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29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29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29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9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9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9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29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29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29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9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9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9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29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29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29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9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9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9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29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29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29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9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9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9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29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29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29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9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9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9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29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29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29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9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9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9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29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29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29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9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9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9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29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29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29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9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9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9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29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29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29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9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9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9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29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29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29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0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30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30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30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30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30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0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30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30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30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30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30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0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30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30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30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30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30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0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30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30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30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30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30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0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30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30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30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30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30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0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30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30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30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30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30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0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30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30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30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30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30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0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30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30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30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30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30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0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30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30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30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30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30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0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30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30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30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30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30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1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31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31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31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31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31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1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31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31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31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31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31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1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31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31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31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31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31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1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31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31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31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31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31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1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31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31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31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31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31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1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31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31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31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31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31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1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31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31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31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31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31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1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31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31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31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31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31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1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31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31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31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31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31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1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31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31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31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31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31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2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32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32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32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32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32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2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32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32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32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32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32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2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32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32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32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32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32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2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32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32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32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32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32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2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32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32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32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32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32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2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32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32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32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32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32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2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32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32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32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32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32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2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32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32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32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32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32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2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32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32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32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32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32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2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32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32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32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32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32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3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33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33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33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33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33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3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33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33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33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33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33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3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33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33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33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33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33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3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33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33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33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33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33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3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33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33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33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33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33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3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33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33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33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33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33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3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33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33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33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33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33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3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33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33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33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33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33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3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33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33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33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33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33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3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33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33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33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33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33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4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34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34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34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34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34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4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34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34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34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34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34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4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34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34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34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34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34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4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34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34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34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34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34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4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34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34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34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34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34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4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34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34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34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34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34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4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34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34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34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34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34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4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34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34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34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34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34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4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34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34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34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34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34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4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34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34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34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34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34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5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35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35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35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35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35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5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35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35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35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35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35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5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35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35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35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35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35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5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35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35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35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35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35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5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35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35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35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35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35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5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35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35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35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35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35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5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35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35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35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35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35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5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35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35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35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35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35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5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35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35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35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35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35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5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35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35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35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35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35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6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36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36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36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36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36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6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36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36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36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36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36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6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36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36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36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36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36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6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36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36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36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36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36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6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36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36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36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36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36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6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36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36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36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36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36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6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36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36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36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36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36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6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36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36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36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36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36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6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36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36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36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36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36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6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36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36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36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36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36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7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37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37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37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37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37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7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37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37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37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37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37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7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37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37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37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37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37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7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37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37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37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37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37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7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37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37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37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37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37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7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37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37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37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37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37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7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37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37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37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37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37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7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37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37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37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37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37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7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37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37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37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37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37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7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37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37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37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37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37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8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38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38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38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38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38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8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38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38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38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38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38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8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38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38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38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38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38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8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38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38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38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38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38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8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38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38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38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38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38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8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38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38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38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38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38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8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38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38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38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38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38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8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38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38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38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38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38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8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38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38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38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38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38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8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38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38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38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38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38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9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39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39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39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39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39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9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39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39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39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39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39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9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39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39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39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39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39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9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39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39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39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39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39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9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39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39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39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39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39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9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39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39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39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39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39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9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39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39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39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39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39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9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39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39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39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39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39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9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39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39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39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39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39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9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39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39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39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39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39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0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40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40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40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40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40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0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40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40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40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40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40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0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40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40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40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40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40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0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40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40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40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40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40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0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40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40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40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40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40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0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40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40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40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40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40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0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40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40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40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40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40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0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40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40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40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40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40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0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40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40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40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40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40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0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40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40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40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40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40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1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41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41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41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41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41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1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41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41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41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41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41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1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41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41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41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41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41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1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41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41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41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41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41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1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41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41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41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41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41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1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41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41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41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41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41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1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41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41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41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41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41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1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41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41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41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41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41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1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41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41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41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41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41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1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41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41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41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41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41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2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42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42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42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42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42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2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42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42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42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42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42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2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42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42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42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42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42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2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42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42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42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42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42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2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42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42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42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42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42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2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42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42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42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42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42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2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42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42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42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42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42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2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42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42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42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42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42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2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42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42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42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42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42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2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42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42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42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42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42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3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43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43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43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43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43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3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43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43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43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43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43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3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43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43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43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43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43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3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43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43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43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43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43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3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43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43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43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43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43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3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43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43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43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43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43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3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43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43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43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43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43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3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43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43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43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43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43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3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43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43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43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43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43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3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43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43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43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43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43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4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44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44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44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44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44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4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44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44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44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44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44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4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44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44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44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44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44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4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44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44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44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44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44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4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44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44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44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44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44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4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44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44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44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44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44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4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44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44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44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44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44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4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44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44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44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44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44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4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44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44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44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44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44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4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44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44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44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44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44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5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45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45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45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45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45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5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45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45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45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45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45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5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45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45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45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45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45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5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45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45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45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45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45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5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45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45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45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45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45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5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45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45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45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45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45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5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45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45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45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45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45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5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45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45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45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45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45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5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45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45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45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45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45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5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45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45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45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45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45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6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46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46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46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46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46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6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46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46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46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46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46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6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46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46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46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46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46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6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46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46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46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46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46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6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46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46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46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46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46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6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46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46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46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46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46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6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46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46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46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46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46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6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46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46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46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46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46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6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46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46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46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46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46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6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46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46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46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46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46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7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47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47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47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47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47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7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47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47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47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47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47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7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47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47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47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47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47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7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47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47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47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47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47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7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47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47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47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47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47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7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47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47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47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47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47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7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47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47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47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47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47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7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47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47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47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47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47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7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47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47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47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47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47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7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47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47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47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47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47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8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48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48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48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48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48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8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48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48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48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48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48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8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48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48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48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48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48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8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48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48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48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48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48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8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48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48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48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48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48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8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48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48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48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48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48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8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48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48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48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48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48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8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48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48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48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48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48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8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48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48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48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48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48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8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48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48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48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48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48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9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49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49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49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49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49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9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49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49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49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49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49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9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49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49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49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49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49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9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49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49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49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49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49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9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49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49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49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49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49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9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49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49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49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49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49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9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49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49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49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49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49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9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49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49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49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49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49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9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49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49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49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49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49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9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49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49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49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49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49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0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50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50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50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50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50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0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50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50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50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50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50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0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50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50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50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50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50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0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50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50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50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50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50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0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50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50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50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50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50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0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50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50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50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50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50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0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50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50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50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50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50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0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50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50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50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50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50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0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50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50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50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50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50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0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50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50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50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50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50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1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51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51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51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51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51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1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51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51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51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51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51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1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51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51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51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51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51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1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51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51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51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51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51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1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51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51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51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51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51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1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51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51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51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51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51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1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51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51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51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51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51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1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51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51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51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51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51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1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51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51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51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51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51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1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51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51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51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51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51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2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52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52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52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52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52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2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52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52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52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52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52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2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52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52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52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52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52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2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52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52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52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52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52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2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52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52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52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52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52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2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52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52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52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52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52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2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52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52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52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52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52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2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52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52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52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52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52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2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52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52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52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52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52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2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52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52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52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52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52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3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53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53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53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53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53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3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53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53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53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53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53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3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53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53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53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53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53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3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53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53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53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53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53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3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53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53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53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53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53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3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53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53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53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53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53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3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53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53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53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53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53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3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53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53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53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53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53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3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53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53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53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53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53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3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53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53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53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53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53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4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54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54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54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54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54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4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54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54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54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54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54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4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54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54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54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54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54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4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54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54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54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54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54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4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54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54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54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54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54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4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54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54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54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54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54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4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54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54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54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54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54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4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54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54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54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54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54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4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54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54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54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54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54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4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54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54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54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54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54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5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55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55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55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55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55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5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55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55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55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55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55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5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55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55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55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55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55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5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55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55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55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55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55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5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55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55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55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55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55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5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55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55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55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55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55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5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55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55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55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55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55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5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55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55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55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55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55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5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55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55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55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55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55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5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55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55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55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55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55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6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56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56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56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56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56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6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56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56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56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56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56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6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56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56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56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56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56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6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56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56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56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56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56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6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56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56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56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56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56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6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56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56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56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56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56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6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56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56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56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56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56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6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56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56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56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56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56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6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56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56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56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56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56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6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56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56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56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56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56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7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57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57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57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57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57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7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57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57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57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57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57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7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57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57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57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57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57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7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57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57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57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57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57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7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57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57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57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57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57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7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57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57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57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57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57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7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57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57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57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57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57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7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57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57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57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57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57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7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57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57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57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57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57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7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57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57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57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57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57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8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58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58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58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58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58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8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58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58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58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58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58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8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58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58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58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58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58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8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58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58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58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58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58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8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58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58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58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58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58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8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58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58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58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58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58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8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58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58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58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58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58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8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58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58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58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58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58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8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58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58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58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58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58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8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58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58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58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58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58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9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59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59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59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59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59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9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59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59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59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59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59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9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59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59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59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59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59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9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59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59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59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59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59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9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59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59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59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59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59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9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59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59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59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59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59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9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59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59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59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59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59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9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59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59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59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59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59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9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59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59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59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59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59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9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59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59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59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59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59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0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60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60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60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60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60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0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60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60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60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60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60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0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60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60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60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60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60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0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60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60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60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60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60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0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60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60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60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60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60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0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60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60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60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60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60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0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60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60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60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60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60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0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60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60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60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60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60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0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60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60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60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60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60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0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60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60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60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60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60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1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61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61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61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61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61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1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61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61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61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61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61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1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61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61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61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61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61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1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61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61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61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61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61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1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61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61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61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61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61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1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61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61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61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61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61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1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61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61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61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61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61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1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61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61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61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61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61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1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61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61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61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61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61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1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61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61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61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61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61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2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62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62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62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62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62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2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62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62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62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62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62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2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62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62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62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62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62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2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62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62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62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62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62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2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62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62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62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62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62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2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62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62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62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62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62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2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62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62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62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62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62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2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62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62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62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62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62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2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62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62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62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62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62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2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62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62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62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62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62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3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63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63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63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63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63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3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63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63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63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63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63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3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63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63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63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63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63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3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63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63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63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63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63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3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63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63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63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63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63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3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63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63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63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63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63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3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63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63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63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63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63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3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63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63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63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63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63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3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63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63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63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63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63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3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63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63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63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63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63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4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64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64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64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64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64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4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64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64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64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64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64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4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64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64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64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64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64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4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64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64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64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64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64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4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64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64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64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64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64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4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64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64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64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64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64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4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64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64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64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64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64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4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64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64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64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64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64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4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64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64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64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64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64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4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64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64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64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64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64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5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65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65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65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65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65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5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65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65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65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65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65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5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65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65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65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65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65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5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65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65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65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65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65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5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65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65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65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65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65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5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65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65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65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65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65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5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65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65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65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65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65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5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65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65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65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65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65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5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65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65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65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65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65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5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65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65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65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65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65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6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66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66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66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66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66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6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66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66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66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66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66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6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66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66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66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66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66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6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66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66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66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66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66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6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66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66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66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66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66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6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66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66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66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66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66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6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66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66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66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66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66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6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66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66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66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66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66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6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66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66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66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66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66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6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66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66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66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66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66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7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67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67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67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67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67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7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67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67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67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67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67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7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67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67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67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67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67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7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67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67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67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67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67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7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67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67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67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67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67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7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67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67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67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67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67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7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67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67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67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67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67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7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67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67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67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67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67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7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67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67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67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67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67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7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67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67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67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67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67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8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68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68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68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68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68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8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68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68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68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68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68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8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68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68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68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68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68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8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68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68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68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68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68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8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68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68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68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68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68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8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68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68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68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68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68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8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68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68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68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68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68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8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68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68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68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68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68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8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68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68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68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68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68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8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68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68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68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68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68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9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69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69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69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69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69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9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69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69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69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69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69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9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69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69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69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69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69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9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69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69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69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69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69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9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69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69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69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69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69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9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69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69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69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69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69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9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69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69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69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69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69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9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69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69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69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69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69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9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69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69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69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69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69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9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69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69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69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69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69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0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70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70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70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70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70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0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70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70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70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70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70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0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70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70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70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70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70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0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70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70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70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70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70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0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70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70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70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70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70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0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70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70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70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70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70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0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70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70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70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70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70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0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70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70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70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70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70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0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70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70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70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70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70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0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70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70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70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70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70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1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71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71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71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71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71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1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71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71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71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71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71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1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71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71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71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71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71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1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71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71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71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71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71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1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71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71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71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71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71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1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71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71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71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71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71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1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71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71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71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71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71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1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71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71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71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71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71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1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71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71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71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71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71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1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71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71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71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71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71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2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72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72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72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72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72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2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72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72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72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72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72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2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72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72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72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72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72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2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72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72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72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72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72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2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72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72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72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72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72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2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72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72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72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72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72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2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72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72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72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72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72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2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72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72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72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72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72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2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72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72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72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72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72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2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72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72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72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72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72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3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73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73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73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73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73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3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73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73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73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73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73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3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73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73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73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73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73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3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73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73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73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73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73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3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73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73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73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73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73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3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73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73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73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73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73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3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73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73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73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73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73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3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73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73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73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73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73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3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73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73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73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73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73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3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73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73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73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73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73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4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74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74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74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74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74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4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74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74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74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74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74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4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74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74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74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74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74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4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74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74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74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74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74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4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74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74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74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74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74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4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74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74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74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74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74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4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74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74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74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74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74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4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74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74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74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74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74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4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74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74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74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74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74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4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74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74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74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74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74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5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75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75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75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75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75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5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75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75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75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75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75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5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75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75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75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75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75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5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75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75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75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75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75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5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75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75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75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75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75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5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75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75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75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75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75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5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75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75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75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75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75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5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75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75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75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75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75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5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75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75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75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75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75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5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75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75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75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75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75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6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76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76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76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76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76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6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76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76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76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76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76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6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76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76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76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76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76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6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76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76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76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76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76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6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76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76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76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76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76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6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76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76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76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76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76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6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76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76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76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76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76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6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76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76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76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76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76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6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76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76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76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76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76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6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76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76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76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76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76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7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77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77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77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77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77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7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77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77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77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77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77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7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77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77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77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77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77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7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77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77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77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77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77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7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77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77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77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77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77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7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77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77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77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77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77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7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77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77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77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77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77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7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77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77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77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77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77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7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77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77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77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77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77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7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77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77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77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77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77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8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78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78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78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78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78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8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78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78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78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78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78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8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78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78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78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78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78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8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78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78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78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78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78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8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78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78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78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78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78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8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78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78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78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78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78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8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78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78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78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78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78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8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78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78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78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78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78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8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78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78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78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78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78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8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78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78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78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78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78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9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79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79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79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79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79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9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79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79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79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79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79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9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79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79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79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79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79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9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79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79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79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79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79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9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79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79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79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79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79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9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79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79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79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79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79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9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79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79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79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79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79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9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79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79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79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79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79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9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79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79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79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79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79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9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79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79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79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79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79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0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80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80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80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80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80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0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80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80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80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80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80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0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80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80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80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80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80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0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80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80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80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80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80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0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80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80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80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80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80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0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80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80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80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80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80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0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80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80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80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80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80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0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80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80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80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80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80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0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80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80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80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80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80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0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80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80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80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80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80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1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81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81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81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81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81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1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81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81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81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81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81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1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81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81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81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81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81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1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81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81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81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81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81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1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81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81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81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81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81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1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81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81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81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81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81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1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81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81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81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81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81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1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81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81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81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81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81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1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81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81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81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81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81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1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81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81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81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81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81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2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82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82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82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82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82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2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82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82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82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82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82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2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82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82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82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82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82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2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82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82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82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82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82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2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82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82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82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82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82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2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82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82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82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82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82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2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82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82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82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82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82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2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82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82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82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82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82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2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82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82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82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82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82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2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82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82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82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82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82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3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83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83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83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83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83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3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83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83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83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83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83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3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83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83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83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83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83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3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83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83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83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83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83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3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83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83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83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83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83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3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83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83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83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83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83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3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83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83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83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83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83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3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83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83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83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83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83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3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83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83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83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83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83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3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83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83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83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83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83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4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84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84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84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84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84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4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84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84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84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84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84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4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84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84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84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84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84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4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84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84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84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84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84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4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84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84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84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84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84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4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84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84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84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84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84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4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84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84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84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84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84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4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84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84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84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84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84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4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84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84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84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84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84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4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84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84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84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84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84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5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85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85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85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85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85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5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85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85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85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85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85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5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85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85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85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85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85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5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85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85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85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85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85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5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85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85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85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85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85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5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85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85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85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85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85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5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85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85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85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85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85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5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85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85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85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85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85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5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85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85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85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85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85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5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85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85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85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85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85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6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86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86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86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86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86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6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86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86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86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86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86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6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86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86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86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86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86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6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86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86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86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86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86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6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86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86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86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86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86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6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86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86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86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86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86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6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86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86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86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86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86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6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86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86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86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86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86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6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86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86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86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86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86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6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86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86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86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86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86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7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87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87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87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87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87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7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87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87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87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87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87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7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87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87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87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87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87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7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87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87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87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87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87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7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87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87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87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87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87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7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87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87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87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87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87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7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87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87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87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87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87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7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87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87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87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87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87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7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87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87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87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87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87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7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87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87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87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87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87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8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88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88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88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88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88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8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88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88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88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88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88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8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88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88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88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88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88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8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88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88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88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88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88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8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88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88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88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88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88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8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88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88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88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88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88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8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88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88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88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88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88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8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88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88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88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88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88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8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88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88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88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88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88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8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88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88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88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88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88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9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89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89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89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89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89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9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89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89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89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89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89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9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89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89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89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89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89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9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89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89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89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89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89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9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89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89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89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89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89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9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89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89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89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89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89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9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89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89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89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89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89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9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89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89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89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89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89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9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89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89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89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89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89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9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89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89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89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89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89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0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90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90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90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90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90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0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90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90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90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90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90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0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90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90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90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90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90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0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90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90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90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90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90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0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90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90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90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90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90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0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90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90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90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90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90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0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90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90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90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90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90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0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90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90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90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90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90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0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90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90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90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90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90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0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90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90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90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90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90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1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91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91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91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91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91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1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91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91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91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91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91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1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91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91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91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91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91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1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91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91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91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91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91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1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91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91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91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91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91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1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91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91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91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91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91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1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91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91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91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91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91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1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91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91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91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91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91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1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91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91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91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91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91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1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91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91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91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91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91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2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92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92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92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92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92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2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92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92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92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92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92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2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92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92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92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92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92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2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92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92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92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92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92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2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92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92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92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92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92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2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92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92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92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92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92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2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92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92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92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92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92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2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92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92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92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92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92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2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92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92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92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92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92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2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92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92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92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92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92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3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93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93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93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93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93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3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93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93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93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93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93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3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93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93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93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93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93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3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93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93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93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93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93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3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93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93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93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93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93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3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93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93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93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93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93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3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93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93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93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93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93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3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93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93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93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93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93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3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93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93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93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93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93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3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93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93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93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93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93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4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94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94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94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94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94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4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94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94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94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94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94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4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94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94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94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94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94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4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94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94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94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94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94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4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94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94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94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94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94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4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94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94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94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94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94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4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94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94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94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94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94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4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94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94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94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94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94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4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94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94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94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94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94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4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94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94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94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94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94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5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95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95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95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95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95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5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95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95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95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95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95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5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95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95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95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95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95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5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95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95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95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95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95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5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95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95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95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95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95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5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95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95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95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95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95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5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95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95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95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95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95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5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95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95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95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95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95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5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95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95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95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95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95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5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95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95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95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95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95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6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96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96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96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96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96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6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96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96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96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96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96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6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96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96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96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96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96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6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96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96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96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96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96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6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96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96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96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96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96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6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96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96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96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96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96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6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96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96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96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96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96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6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96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96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96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96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96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6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96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96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96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96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96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6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96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96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96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96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96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7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97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97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97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97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97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7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97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97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97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97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97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7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97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97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97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97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97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7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97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97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97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97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97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7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97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97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97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97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97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7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97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97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97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97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97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7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97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97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97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97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97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7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97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97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97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97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97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7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97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97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97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97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97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7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97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97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97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97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97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8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98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98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98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98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98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8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98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98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98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98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98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8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98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98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98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98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98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8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98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98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98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98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98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8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98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98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98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98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98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8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98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98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98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98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98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8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98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98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98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98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98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8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98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98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98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98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98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8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98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98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98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98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98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8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98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98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98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98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98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9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99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99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99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99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99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9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99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99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99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99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99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9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99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99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99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99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99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9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99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99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99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99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99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9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99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99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99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99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99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9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99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99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99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99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99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9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99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99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99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99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99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9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99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99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99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99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99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9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99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99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99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99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99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9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99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99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99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99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99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00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00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00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00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00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100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00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00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00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00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00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100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00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00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00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00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00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100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00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00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00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00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00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100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00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00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00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00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00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100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</commentList>
</comments>
</file>

<file path=xl/comments/comment3.xml><?xml version="1.0" encoding="utf-8"?>
<comments xmlns="http://schemas.openxmlformats.org/spreadsheetml/2006/main">
  <authors>
    <author>ExcelArşiv</author>
  </authors>
  <commentList>
    <comment ref="B6" authorId="0" shapeId="0">
      <text>
        <t>Tanım: Toplam İş Geliri | Neden önemli: İş kârlılığını gösterir | Doğru kullanım: Formüldür, değiştirilmez</t>
      </text>
    </comment>
    <comment ref="B7" authorId="0" shapeId="0">
      <text>
        <t>Tanım: Toplam Direkt Maliyet | Neden önemli: İş kârlılığını gösterir | Doğru kullanım: Formüldür, değiştirilmez</t>
      </text>
    </comment>
    <comment ref="B8" authorId="0" shapeId="0">
      <text>
        <t>Tanım: Toplam Kâr | Neden önemli: İş kârlılığını gösterir | Doğru kullanım: Formüldür, değiştirilmez</t>
      </text>
    </comment>
    <comment ref="B9" authorId="0" shapeId="0">
      <text>
        <t>Tanım: Ağırlıklı Marj | Neden önemli: İş kârlılığını gösterir | Doğru kullanım: Formüldür, değiştirilmez</t>
      </text>
    </comment>
    <comment ref="B10" authorId="0" shapeId="0">
      <text>
        <t>Tanım: Ortalama Günlük Kâr | Neden önemli: İş kârlılığını gösterir | Doğru kullanım: Formüldür, değiştirilmez</t>
      </text>
    </comment>
    <comment ref="B11" authorId="0" shapeId="0">
      <text>
        <t>Tanım: Kârlı İş Sayısı | Neden önemli: İş kârlılığını gösterir | Doğru kullanım: Formüldür, değiştirilmez</t>
      </text>
    </comment>
    <comment ref="B12" authorId="0" shapeId="0">
      <text>
        <t>Tanım: Riskli İş Sayısı | Neden önemli: İş kârlılığını gösterir | Doğru kullanım: Formüldür, değiştirilmez</t>
      </text>
    </comment>
    <comment ref="B13" authorId="0" shapeId="0">
      <text>
        <t>Tanım: Zararlı İş Sayısı | Neden önemli: İş kârlılığını gösterir | Doğru kullanım: Formüldür, değiştirilmez</t>
      </text>
    </comment>
    <comment ref="B14" authorId="0" shapeId="0">
      <text>
        <t>Tanım: En Kârlı İş | Neden önemli: İş kârlılığını gösterir | Doğru kullanım: Formüldür, değiştirilmez</t>
      </text>
    </comment>
    <comment ref="B15" authorId="0" shapeId="0">
      <text>
        <t>Tanım: En Yüksek Günlük Kârlı İş | Neden önemli: İş kârlılığını gösterir | Doğru kullanım: Formüldür, değiştirilmez</t>
      </text>
    </comment>
    <comment ref="B16" authorId="0" shapeId="0">
      <text>
        <t>Tanım: En Düşük Günlük Kârlı İş | Neden önemli: İş kârlılığını gösterir | Doğru kullanım: Formüldür, değiştirilmez</t>
      </text>
    </comment>
    <comment ref="B17" authorId="0" shapeId="0">
      <text>
        <t>Tanım: Süre Toplamı (Gün) | Neden önemli: Derinlik motoru adımı | Doğru kullanım: Formüldür, değiştirilmez</t>
      </text>
    </comment>
    <comment ref="B18" authorId="0" shapeId="0">
      <text>
        <t>Tanım: Ortalama Süre (Gün) | Neden önemli: Derinlik motoru adımı | Doğru kullanım: Formüldür, değiştirilmez</t>
      </text>
    </comment>
    <comment ref="B19" authorId="0" shapeId="0">
      <text>
        <t>Tanım: Gelir-Kâr Oranı | Neden önemli: Derinlik motoru adımı | Doğru kullanım: Formüldür, değiştirilmez</t>
      </text>
    </comment>
    <comment ref="B20" authorId="0" shapeId="0">
      <text>
        <t>Tanım: Kârlı İş Oranı | Neden önemli: Derinlik motoru adımı | Doğru kullanım: Formüldür, değiştirilmez</t>
      </text>
    </comment>
    <comment ref="B21" authorId="0" shapeId="0">
      <text>
        <t>Tanım: Riskli İş Oranı | Neden önemli: Derinlik motoru adımı | Doğru kullanım: Formüldür, değiştirilmez</t>
      </text>
    </comment>
    <comment ref="B22" authorId="0" shapeId="0">
      <text>
        <t>Tanım: Zararlı İş Oranı | Neden önemli: Derinlik motoru adımı | Doğru kullanım: Formüldür, değiştirilmez</t>
      </text>
    </comment>
    <comment ref="B23" authorId="0" shapeId="0">
      <text>
        <t>Tanım: Medyan İş Kârı | Neden önemli: Derinlik motoru adımı | Doğru kullanım: Formüldür, değiştirilmez</t>
      </text>
    </comment>
    <comment ref="B24" authorId="0" shapeId="0">
      <text>
        <t>Tanım: İş Kârı Yüzdelik P10 | Neden önemli: Derinlik motoru adımı | Doğru kullanım: Formüldür, değiştirilmez</t>
      </text>
    </comment>
    <comment ref="B25" authorId="0" shapeId="0">
      <text>
        <t>Tanım: İş Kârı Yüzdelik P90 | Neden önemli: Derinlik motoru adımı | Doğru kullanım: Formüldür, değiştirilmez</t>
      </text>
    </comment>
    <comment ref="B26" authorId="0" shapeId="0">
      <text>
        <t>Tanım: En Düşük İş Kârı | Neden önemli: Derinlik motoru adımı | Doğru kullanım: Formüldür, değiştirilmez</t>
      </text>
    </comment>
    <comment ref="B27" authorId="0" shapeId="0">
      <text>
        <t>Tanım: En Yüksek İş Kârı | Neden önemli: Derinlik motoru adımı | Doğru kullanım: Formüldür, değiştirilmez</t>
      </text>
    </comment>
    <comment ref="B28" authorId="0" shapeId="0">
      <text>
        <t>Tanım: Kâr Aralığı (Max-Min) | Neden önemli: Derinlik motoru adımı | Doğru kullanım: Formüldür, değiştirilmez</t>
      </text>
    </comment>
    <comment ref="B29" authorId="0" shapeId="0">
      <text>
        <t>Tanım: Medyan Günlük Kâr | Neden önemli: Derinlik motoru adımı | Doğru kullanım: Formüldür, değiştirilmez</t>
      </text>
    </comment>
    <comment ref="B30" authorId="0" shapeId="0">
      <text>
        <t>Tanım: En Düşük Marj | Neden önemli: Derinlik motoru adımı | Doğru kullanım: Formüldür, değiştirilmez</t>
      </text>
    </comment>
    <comment ref="B31" authorId="0" shapeId="0">
      <text>
        <t>Tanım: En Yüksek Marj | Neden önemli: Derinlik motoru adımı | Doğru kullanım: Formüldür, değiştirilmez</t>
      </text>
    </comment>
    <comment ref="B32" authorId="0" shapeId="0">
      <text>
        <t>Tanım: Ortalama Marj | Neden önemli: Derinlik motoru adımı | Doğru kullanım: Formüldür, değiştirilmez</t>
      </text>
    </comment>
    <comment ref="B33" authorId="0" shapeId="0">
      <text>
        <t>Tanım: Marj Standart Sapması | Neden önemli: Derinlik motoru adımı | Doğru kullanım: Formüldür, değiştirilmez</t>
      </text>
    </comment>
    <comment ref="B34" authorId="0" shapeId="0">
      <text>
        <t>Tanım: Kâr Eğimi (Trend) | Neden önemli: Derinlik motoru adımı | Doğru kullanım: Formüldür, değiştirilmez</t>
      </text>
    </comment>
    <comment ref="B35" authorId="0" shapeId="0">
      <text>
        <t>Tanım: Kâr Kesişimi | Neden önemli: Derinlik motoru adımı | Doğru kullanım: Formüldür, değiştirilmez</t>
      </text>
    </comment>
    <comment ref="B36" authorId="0" shapeId="0">
      <text>
        <t>Tanım: Sonraki İş Kârı Tahmini | Neden önemli: Derinlik motoru adımı | Doğru kullanım: Formüldür, değiştirilmez</t>
      </text>
    </comment>
    <comment ref="B37" authorId="0" shapeId="0">
      <text>
        <t>Tanım: İlk Üç İş Kârı Toplamı | Neden önemli: Derinlik motoru adımı | Doğru kullanım: Formüldür, değiştirilmez</t>
      </text>
    </comment>
    <comment ref="B38" authorId="0" shapeId="0">
      <text>
        <t>Tanım: Son Üç İş Kârı Toplamı | Neden önemli: Derinlik motoru adımı | Doğru kullanım: Formüldür, değiştirilmez</t>
      </text>
    </comment>
    <comment ref="B39" authorId="0" shapeId="0">
      <text>
        <t>Tanım: İlk-Son Üç İş Farkı | Neden önemli: Derinlik motoru adımı | Doğru kullanım: Formüldür, değiştirilmez</t>
      </text>
    </comment>
    <comment ref="B40" authorId="0" shapeId="0">
      <text>
        <t>Tanım: Dönem Kâr Farkı (İlk-Son) | Neden önemli: Derinlik motoru adımı | Doğru kullanım: Formüldür, değiştirilmez</t>
      </text>
    </comment>
    <comment ref="B41" authorId="0" shapeId="0">
      <text>
        <t>Tanım: Süre Başına Gelir (₺/Gün) | Neden önemli: Derinlik motoru adımı | Doğru kullanım: Formüldür, değiştirilmez</t>
      </text>
    </comment>
    <comment ref="B42" authorId="0" shapeId="0">
      <text>
        <t>Tanım: Süre Başına Kâr (₺/Gün) | Neden önemli: Derinlik motoru adımı | Doğru kullanım: Formüldür, değiştirilmez</t>
      </text>
    </comment>
    <comment ref="B43" authorId="0" shapeId="0">
      <text>
        <t>Tanım: Kârlı İş Sayısı Payı | Neden önemli: Derinlik motoru adımı | Doğru kullanım: Formüldür, değiştirilmez</t>
      </text>
    </comment>
    <comment ref="B44" authorId="0" shapeId="0">
      <text>
        <t>Tanım: Riskli İş Sayısı Payı | Neden önemli: Derinlik motoru adımı | Doğru kullanım: Formüldür, değiştirilmez</t>
      </text>
    </comment>
    <comment ref="B45" authorId="0" shapeId="0">
      <text>
        <t>Tanım: Zararlı İş Sayısı Payı | Neden önemli: Derinlik motoru adımı | Doğru kullanım: Formüldür, değiştirilmez</t>
      </text>
    </comment>
  </commentList>
</comments>
</file>

<file path=xl/comments/comment4.xml><?xml version="1.0" encoding="utf-8"?>
<comments xmlns="http://schemas.openxmlformats.org/spreadsheetml/2006/main">
  <authors>
    <author>ExcelArşiv</author>
  </authors>
  <commentList>
    <comment ref="B6" authorId="0" shapeId="0">
      <text>
        <t>Tanım: Boş iş adı var mı? | Neden önemli: Giriş kalitesini ölçer | Doğru kullanım: Formüldür, değiştirilmez | Yanlışsa: Kırmızı = düzeltin</t>
      </text>
    </comment>
    <comment ref="B7" authorId="0" shapeId="0">
      <text>
        <t>Tanım: Boş gelir var mı? | Neden önemli: Giriş kalitesini ölçer | Doğru kullanım: Formüldür, değiştirilmez | Yanlışsa: Kırmızı = düzeltin</t>
      </text>
    </comment>
    <comment ref="B8" authorId="0" shapeId="0">
      <text>
        <t>Tanım: Negatif gelir var mı? | Neden önemli: Giriş kalitesini ölçer | Doğru kullanım: Formüldür, değiştirilmez | Yanlışsa: Kırmızı = düzeltin</t>
      </text>
    </comment>
    <comment ref="B9" authorId="0" shapeId="0">
      <text>
        <t>Tanım: Maliyeti geliri aşan iş var mı? | Neden önemli: Giriş kalitesini ölçer | Doğru kullanım: Formüldür, değiştirilmez | Yanlışsa: Kırmızı = düzeltin</t>
      </text>
    </comment>
    <comment ref="B10" authorId="0" shapeId="0">
      <text>
        <t>Tanım: Zararlı iş var mı? | Neden önemli: Giriş kalitesini ölçer | Doğru kullanım: Formüldür, değiştirilmez | Yanlışsa: Kırmızı = düzeltin</t>
      </text>
    </comment>
    <comment ref="B11" authorId="0" shapeId="0">
      <text>
        <t>Tanım: Ağırlıklı marj eşiğin altında mı? | Neden önemli: Giriş kalitesini ölçer | Doğru kullanım: Formüldür, değiştirilmez | Yanlışsa: Kırmızı = düzeltin</t>
      </text>
    </comment>
    <comment ref="B12" authorId="0" shapeId="0">
      <text>
        <t>Tanım: Günlük kâr eşiği aşılıyor mu? | Neden önemli: Giriş kalitesini ölçer | Doğru kullanım: Formüldür, değiştirilmez | Yanlışsa: Kırmızı = düzeltin</t>
      </text>
    </comment>
    <comment ref="B13" authorId="0" shapeId="0">
      <text>
        <t>Tanım: Riskli iş sayısı eşiği aşılıyor mu? | Neden önemli: Giriş kalitesini ölçer | Doğru kullanım: Formüldür, değiştirilmez | Yanlışsa: Kırmızı = düzeltin</t>
      </text>
    </comment>
  </commentList>
</comments>
</file>

<file path=xl/comments/comment5.xml><?xml version="1.0" encoding="utf-8"?>
<comments xmlns="http://schemas.openxmlformats.org/spreadsheetml/2006/main">
  <authors>
    <author>ExcelArşiv</author>
  </authors>
  <commentList>
    <comment ref="A7" authorId="0" shapeId="0">
      <text>
        <t>Tanım: İş durumu | Neden önemli: Rapor etiketini besler | Doğru kullanım: Listeden seçin</t>
      </text>
    </comment>
    <comment ref="A8" authorId="0" shapeId="0">
      <text>
        <t>Tanım: İş durumu | Neden önemli: Rapor etiketini besler | Doğru kullanım: Listeden seçin</t>
      </text>
    </comment>
    <comment ref="A9" authorId="0" shapeId="0">
      <text>
        <t>Tanım: İş durumu | Neden önemli: Rapor etiketini besler | Doğru kullanım: Listeden seçin</t>
      </text>
    </comment>
  </commentList>
</comments>
</file>

<file path=xl/comments/comment6.xml><?xml version="1.0" encoding="utf-8"?>
<comments xmlns="http://schemas.openxmlformats.org/spreadsheetml/2006/main">
  <authors>
    <author>ExcelArşiv</author>
  </authors>
  <commentList>
    <comment ref="B7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B8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B9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B10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B11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B12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B13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B14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B15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B16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B17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B18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B19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B20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B21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B22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B23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B24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B25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B26" authorId="0" shapeId="0">
      <text>
        <t>Tanım: Panel satır numarası 1 | Neden önemli: PANO'daki iş grafiğini besler | Doğru kullanım: Tablodaki satır sırasını girin</t>
      </text>
    </comment>
    <comment ref="B27" authorId="0" shapeId="0">
      <text>
        <t>Tanım: Panel satır numarası 2 | Neden önemli: PANO'daki iş grafiğini besler | Doğru kullanım: Tablodaki satır sırasını girin</t>
      </text>
    </comment>
    <comment ref="B28" authorId="0" shapeId="0">
      <text>
        <t>Tanım: Panel satır numarası 3 | Neden önemli: PANO'daki iş grafiğini besler | Doğru kullanım: Tablodaki satır sırasını girin</t>
      </text>
    </comment>
    <comment ref="B29" authorId="0" shapeId="0">
      <text>
        <t>Tanım: Panel satır numarası 4 | Neden önemli: PANO'daki iş grafiğini besler | Doğru kullanım: Tablodaki satır sırasını girin</t>
      </text>
    </comment>
    <comment ref="B30" authorId="0" shapeId="0">
      <text>
        <t>Tanım: Panel satır numarası 5 | Neden önemli: PANO'daki iş grafiğini besler | Doğru kullanım: Tablodaki satır sırasını girin</t>
      </text>
    </comment>
    <comment ref="B31" authorId="0" shapeId="0">
      <text>
        <t>Tanım: Panel satır numarası 6 | Neden önemli: PANO'daki iş grafiğini besler | Doğru kullanım: Tablodaki satır sırasını girin</t>
      </text>
    </comment>
    <comment ref="B32" authorId="0" shapeId="0">
      <text>
        <t>Tanım: Panel satır numarası 7 | Neden önemli: PANO'daki iş grafiğini besler | Doğru kullanım: Tablodaki satır sırasını girin</t>
      </text>
    </comment>
    <comment ref="B33" authorId="0" shapeId="0">
      <text>
        <t>Tanım: Panel satır numarası 8 | Neden önemli: PANO'daki iş grafiğini besler | Doğru kullanım: Tablodaki satır sırasını girin</t>
      </text>
    </comment>
    <comment ref="B34" authorId="0" shapeId="0">
      <text>
        <t>Tanım: Panel satır numarası 9 | Neden önemli: PANO'daki iş grafiğini besler | Doğru kullanım: Tablodaki satır sırasını girin</t>
      </text>
    </comment>
    <comment ref="B35" authorId="0" shapeId="0">
      <text>
        <t>Tanım: Panel satır numarası 10 | Neden önemli: PANO'daki iş grafiğini besler | Doğru kullanım: Tablodaki satır sırasını girin</t>
      </text>
    </comment>
  </commentList>
</comments>
</file>

<file path=xl/tables/table1.xml><?xml version="1.0" encoding="utf-8"?>
<table xmlns="http://schemas.openxmlformats.org/spreadsheetml/2006/main" id="1" name="tblIs" displayName="tblIs" ref="A5:J1004" headerRowCount="1" totalsRowCount="0" totalsRowShown="0">
  <tableColumns count="10">
    <tableColumn id="1" name="İş Numarası"/>
    <tableColumn id="2" name="İş Adı"/>
    <tableColumn id="3" name="Toplam Gelir (₺)"/>
    <tableColumn id="4" name="Direkt Maliyet (₺)"/>
    <tableColumn id="5" name="Süre (Gün)"/>
    <tableColumn id="6" name="Kâr (₺)">
      <calculatedColumnFormula>=tblIs[[#This Row],[Toplam Gelir (₺)]]-tblIs[[#This Row],[Direkt Maliyet (₺)]]</calculatedColumnFormula>
    </tableColumn>
    <tableColumn id="7" name="Marj">
      <calculatedColumnFormula>=IF(tblIs[[#This Row],[Toplam Gelir (₺)]]=0,0,tblIs[[#This Row],[Kâr (₺)]]/tblIs[[#This Row],[Toplam Gelir (₺)]])</calculatedColumnFormula>
    </tableColumn>
    <tableColumn id="8" name="Günlük Kâr (₺)">
      <calculatedColumnFormula>=IF(tblIs[[#This Row],[Süre (Gün)]]=0,0,tblIs[[#This Row],[Kâr (₺)]]/tblIs[[#This Row],[Süre (Gün)]])</calculatedColumnFormula>
    </tableColumn>
    <tableColumn id="9" name="Durum">
      <calculatedColumnFormula>=IF(tblIs[[#This Row],[İş Adı]]="","",IF(tblIs[[#This Row],[Kâr (₺)]]&lt;0,"ZARAR",IF(tblIs[[#This Row],[Marj]]&lt;IsMarjEsik,"RİSK","KÂRLI")))</calculatedColumnFormula>
    </tableColumn>
    <tableColumn id="10" name="Not"/>
  </tableColumns>
</table>
</file>

<file path=xl/tables/table2.xml><?xml version="1.0" encoding="utf-8"?>
<table xmlns="http://schemas.openxmlformats.org/spreadsheetml/2006/main" id="2" name="tblOrnek" displayName="tblOrnek" ref="A5:G1004" headerRowCount="1" totalsRowCount="0" totalsRowShown="0">
  <tableColumns count="7">
    <tableColumn id="1" name="İş Numarası"/>
    <tableColumn id="2" name="İş Adı"/>
    <tableColumn id="3" name="Toplam Gelir (₺)"/>
    <tableColumn id="4" name="Direkt Maliyet (₺)"/>
    <tableColumn id="5" name="Süre (Gün)"/>
    <tableColumn id="6" name="Kâr (₺)">
      <calculatedColumnFormula>=tblOrnek[[#This Row],[Toplam Gelir (₺)]]-tblOrnek[[#This Row],[Direkt Maliyet (₺)]]</calculatedColumnFormula>
    </tableColumn>
    <tableColumn id="7" name="Not">
      <calculatedColumnFormula>="Örnek kayıt: "&amp;tblOrnek[[#This Row],[İş Numarası]]</calculatedColumnFormula>
    </tableColumn>
  </tableColumns>
</table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_rels/sheet12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comments" Target="/xl/comments/comment2.xml" Id="comments"/><Relationship Type="http://schemas.openxmlformats.org/officeDocument/2006/relationships/vmlDrawing" Target="/xl/drawings/commentsDrawing2.vml" Id="anysvml"/></Relationships>
</file>

<file path=xl/worksheets/_rels/sheet13.xml.rels><Relationships xmlns="http://schemas.openxmlformats.org/package/2006/relationships"><Relationship Type="http://schemas.openxmlformats.org/officeDocument/2006/relationships/comments" Target="/xl/comments/comment3.xml" Id="comments"/><Relationship Type="http://schemas.openxmlformats.org/officeDocument/2006/relationships/vmlDrawing" Target="/xl/drawings/commentsDrawing3.vml" Id="anysvml"/></Relationships>
</file>

<file path=xl/worksheets/_rels/sheet15.xml.rels><Relationships xmlns="http://schemas.openxmlformats.org/package/2006/relationships"><Relationship Type="http://schemas.openxmlformats.org/officeDocument/2006/relationships/comments" Target="/xl/comments/comment4.xml" Id="comments"/><Relationship Type="http://schemas.openxmlformats.org/officeDocument/2006/relationships/vmlDrawing" Target="/xl/drawings/commentsDrawing4.vml" Id="anysvml"/></Relationships>
</file>

<file path=xl/worksheets/_rels/sheet19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_rels/sheet24.xml.rels><Relationships xmlns="http://schemas.openxmlformats.org/package/2006/relationships"><Relationship Type="http://schemas.openxmlformats.org/officeDocument/2006/relationships/comments" Target="/xl/comments/comment5.xml" Id="comments"/><Relationship Type="http://schemas.openxmlformats.org/officeDocument/2006/relationships/vmlDrawing" Target="/xl/drawings/commentsDrawing5.vml" Id="anysvml"/></Relationships>
</file>

<file path=xl/worksheets/_rels/sheet25.xml.rels><Relationships xmlns="http://schemas.openxmlformats.org/package/2006/relationships"><Relationship Type="http://schemas.openxmlformats.org/officeDocument/2006/relationships/comments" Target="/xl/comments/comment6.xml" Id="comments"/><Relationship Type="http://schemas.openxmlformats.org/officeDocument/2006/relationships/vmlDrawing" Target="/xl/drawings/commentsDrawing6.vml" Id="anysvml"/></Relationships>
</file>

<file path=xl/worksheets/sheet1.xml><?xml version="1.0" encoding="utf-8"?>
<worksheet xmlns="http://schemas.openxmlformats.org/spreadsheetml/2006/main">
  <sheetPr>
    <tabColor rgb="FFC6A15B"/>
    <outlinePr summaryBelow="1" summaryRight="1"/>
    <pageSetUpPr/>
  </sheetPr>
  <dimension ref="A1:F33"/>
  <sheetViews>
    <sheetView showGridLines="0" workbookViewId="0">
      <selection activeCell="A1" sqref="A1"/>
    </sheetView>
  </sheetViews>
  <sheetFormatPr baseColWidth="8" defaultRowHeight="15"/>
  <cols>
    <col width="24" customWidth="1" style="76" min="1" max="1"/>
    <col width="78" customWidth="1" style="76" min="2" max="2"/>
  </cols>
  <sheetData>
    <row r="1" ht="28" customHeight="1" s="76">
      <c r="A1" s="247" t="inlineStr">
        <is>
          <t>EXCELARŞİV KARAR SİSTEMİ v15.1 — ÜRETİM REFERANSI</t>
        </is>
      </c>
    </row>
    <row r="3" ht="24" customHeight="1" s="76">
      <c r="A3" s="248" t="inlineStr">
        <is>
          <t>Konu</t>
        </is>
      </c>
      <c r="B3" s="248" t="inlineStr">
        <is>
          <t>Bağlayıcı Standart</t>
        </is>
      </c>
    </row>
    <row r="4">
      <c r="A4" s="249" t="inlineStr">
        <is>
          <t>Amaç</t>
        </is>
      </c>
      <c r="B4" s="250" t="inlineStr">
        <is>
          <t>Kanıta dayalı, hatada kapalı çalışan Excel üretim ve denetim sistemi</t>
        </is>
      </c>
    </row>
    <row r="5">
      <c r="A5" s="249" t="inlineStr">
        <is>
          <t>Öncelik</t>
        </is>
      </c>
      <c r="B5" s="250" t="inlineStr">
        <is>
          <t>Kullanıcının açık iş talebi ve gerçek kullanım senaryosu</t>
        </is>
      </c>
    </row>
    <row r="6">
      <c r="A6" s="249" t="inlineStr">
        <is>
          <t>Ana akış</t>
        </is>
      </c>
      <c r="B6" s="250" t="inlineStr">
        <is>
          <t>Uygunluk → Yönetişim → Sözleşmeler → Üretim → Test → Kanıt → Kullanıcı Kabulü → Yayın</t>
        </is>
      </c>
    </row>
    <row r="7">
      <c r="A7" s="249" t="inlineStr">
        <is>
          <t>Yayın ilkesi</t>
        </is>
      </c>
      <c r="B7" s="250" t="inlineStr">
        <is>
          <t>Üst aşamada hata varsa alt aşama GEÇTİ üretilemez</t>
        </is>
      </c>
    </row>
    <row r="8">
      <c r="A8" s="249" t="inlineStr">
        <is>
          <t>Kullanıcı kabulü</t>
        </is>
      </c>
      <c r="B8" s="250" t="inlineStr">
        <is>
          <t>Excel masaüstü görünümü test edilmediyse DIŞ_KABUL_GEREKLİ</t>
        </is>
      </c>
    </row>
    <row r="9">
      <c r="A9" s="249" t="inlineStr">
        <is>
          <t>Nihai yayın</t>
        </is>
      </c>
      <c r="B9" s="250" t="inlineStr">
        <is>
          <t>Yalnız uygulanabilir modüller GEÇTİ veya gerekçeli UYGULANMAZ</t>
        </is>
      </c>
    </row>
    <row r="10">
      <c r="A10" s="249" t="inlineStr">
        <is>
          <t>Ticari ayrım</t>
        </is>
      </c>
      <c r="B10" s="250" t="inlineStr">
        <is>
          <t>Ekonomik olarak savunulabilir fiyat, gerçek pazar kabulü ile aynı değildir</t>
        </is>
      </c>
    </row>
    <row r="11">
      <c r="A11" s="249" t="inlineStr">
        <is>
          <t>Karmaşıklık</t>
        </is>
      </c>
      <c r="B11" s="250" t="inlineStr">
        <is>
          <t>Karar değeri, eklenen karmaşıklığın maliyetinden büyük olmalıdır</t>
        </is>
      </c>
    </row>
    <row r="12">
      <c r="A12" s="249" t="inlineStr">
        <is>
          <t>Excel sınırı</t>
        </is>
      </c>
      <c r="B12" s="250" t="inlineStr">
        <is>
          <t>Veritabanı, kurumsal yetkilendirme, değiştirilemez kayıt sistemi veya gerçek zamanlı olay platformu değildir</t>
        </is>
      </c>
    </row>
    <row r="13">
      <c r="A13" s="249" t="inlineStr">
        <is>
          <t>Dil standardı</t>
        </is>
      </c>
      <c r="B13" s="250" t="inlineStr">
        <is>
          <t>Kullanıcıya görünen tüm sayfa, tablo, başlık, açıklama, uyarı ve karar metinleri saf Türkçe olmalıdır</t>
        </is>
      </c>
    </row>
    <row r="14">
      <c r="A14" s="249" t="inlineStr">
        <is>
          <t>Muhasebe standardı</t>
        </is>
      </c>
      <c r="B14" s="250" t="inlineStr">
        <is>
          <t>Finansal ürünlerde Türkiye Tekdüzen Hesap Planı ve Türk muhasebe kullanım alışkanlıkları esas alınır</t>
        </is>
      </c>
    </row>
    <row r="15">
      <c r="A15" s="249" t="inlineStr">
        <is>
          <t>Görsel standart</t>
        </is>
      </c>
      <c r="B15" s="250" t="inlineStr">
        <is>
          <t>Her sayfa başlıklı, renk kodlu, sıkı kolon düzenli ve premium kurumsal görünümde olmalıdır</t>
        </is>
      </c>
    </row>
    <row r="16">
      <c r="A16" s="249" t="inlineStr">
        <is>
          <t>Grafik standardı</t>
        </is>
      </c>
      <c r="B16" s="250" t="inlineStr">
        <is>
          <t>Grafikler karar üretmeli; dekoratif, 3B, anlamsız renkli veya varsayılan Excel grafiği kullanılamaz</t>
        </is>
      </c>
    </row>
    <row r="17">
      <c r="A17" s="249" t="inlineStr">
        <is>
          <t>Hata standardı</t>
        </is>
      </c>
      <c r="B17" s="250" t="inlineStr">
        <is>
          <t>#AD? / #BAŞV! / #DEĞER! / #SAYI/0! / #YOK gibi hatalar GEÇTİ sonucuyla birlikte bulunamaz</t>
        </is>
      </c>
    </row>
    <row r="18">
      <c r="A18" s="249" t="inlineStr">
        <is>
          <t>Karar standardı</t>
        </is>
      </c>
      <c r="B18" s="250" t="inlineStr">
        <is>
          <t>Her kritik çıktı: ne oldu, neden oldu, parasal etki, ne yapılmalı, ne zamana kadar sorularını cevaplar</t>
        </is>
      </c>
    </row>
    <row r="19">
      <c r="A19" s="249" t="inlineStr">
        <is>
          <t>Satış standardı</t>
        </is>
      </c>
      <c r="B19" s="250" t="inlineStr">
        <is>
          <t>Ürün 5 saniyede anlaşılmalı; pahalı problemi, ekonomik sonucu, kanıtı ve satın alma gerekçesini göstermelidir</t>
        </is>
      </c>
    </row>
    <row r="20">
      <c r="A20" s="249" t="inlineStr">
        <is>
          <t>Güven standardı</t>
        </is>
      </c>
      <c r="B20" s="250" t="inlineStr">
        <is>
          <t>Kanıtsız 'premium', 'kusursuz', 'sıfır hata' veya yüksek fiyat iddiası kullanılamaz</t>
        </is>
      </c>
    </row>
    <row r="21">
      <c r="A21" s="249" t="inlineStr">
        <is>
          <t>Kaynak</t>
        </is>
      </c>
      <c r="B21" s="250" t="inlineStr">
        <is>
          <t>Teknik Python çekirdeği 99_TEKNIK_KAYNAK sayfasında saklanır; kullanıcı arayüzü değildir</t>
        </is>
      </c>
    </row>
    <row r="22">
      <c r="A22" s="249" t="inlineStr">
        <is>
          <t>Bağlayıcı standart</t>
        </is>
      </c>
      <c r="B22" s="250" t="inlineStr">
        <is>
          <t>Teknik kaynak içindeki üretim sözleşmesi + bu çalışma kitabındaki Türkçe operasyon standartları</t>
        </is>
      </c>
    </row>
    <row r="23">
      <c r="A23" s="249" t="inlineStr">
        <is>
          <t>Çıktı disiplini</t>
        </is>
      </c>
      <c r="B23" s="250" t="inlineStr">
        <is>
          <t>Kanıtsız GEÇTİ / NİHAİ / TİCARİ / PAZAR_DOĞRULANDI statüsü yasaktır</t>
        </is>
      </c>
    </row>
    <row r="24">
      <c r="A24" s="249" t="inlineStr">
        <is>
          <t>Uyarlanabilirlik</t>
        </is>
      </c>
      <c r="B24" s="250" t="inlineStr">
        <is>
          <t>Gereksiz modül yalnız prestij amacıyla eklenmez</t>
        </is>
      </c>
    </row>
    <row r="26" ht="16" customHeight="1" s="76">
      <c r="A26" s="251" t="inlineStr">
        <is>
          <t>TEK KAYNAK MİMARİSİ</t>
        </is>
      </c>
      <c r="B26" s="251" t="inlineStr">
        <is>
          <t>İKİ DOSYALI / TEK SİSTEM</t>
        </is>
      </c>
    </row>
    <row r="27" ht="28" customHeight="1" s="76">
      <c r="A27" s="250" t="inlineStr">
        <is>
          <t>MASTER Excel</t>
        </is>
      </c>
      <c r="B27" s="250" t="inlineStr">
        <is>
          <t>EXCELARSIV_DECISION_OS_V15_1_MASTER_STANDART.xlsx — tüm mandate, modül sözleşmeleri, Türkçe tasarım, THP, test, ticari ve release standartları.</t>
        </is>
      </c>
    </row>
    <row r="28" ht="28" customHeight="1" s="76">
      <c r="A28" s="250" t="inlineStr">
        <is>
          <t>Runtime Python</t>
        </is>
      </c>
      <c r="B28" s="250" t="inlineStr">
        <is>
          <t>EXCELARSIV_DECISION_OS_V15_1_RUNTIME_KERNEL.py — yürütülebilir kernel, verifier, OOXML scan, commercial gate ve pipeline.</t>
        </is>
      </c>
    </row>
    <row r="29">
      <c r="A29" s="250" t="inlineStr">
        <is>
          <t>Python SHA-256</t>
        </is>
      </c>
      <c r="B29" s="250" t="inlineStr">
        <is>
          <t>babe066ab599199123e53d01944bcd9d75648a579ade69ab9303dd675962f481</t>
        </is>
      </c>
    </row>
    <row r="30">
      <c r="A30" s="250" t="inlineStr">
        <is>
          <t>Sürüm Eşleşmesi</t>
        </is>
      </c>
      <c r="B30" s="250" t="inlineStr">
        <is>
          <t>Her iki dosya v15.1 sistemine aittir. Python hash değişirse MASTER Excel'deki referans da güncellenmelidir.</t>
        </is>
      </c>
    </row>
    <row r="31" ht="28" customHeight="1" s="76">
      <c r="A31" s="250" t="inlineStr">
        <is>
          <t>Sahte PASS Yasağı</t>
        </is>
      </c>
      <c r="B31" s="250" t="inlineStr">
        <is>
          <t>Kanıt yoksa PASS yok; hata=FAIL, ölçülemiyorsa=BLOCKED, Excel GUI gerekiyorsa=HARİCİ KABUL GEREKLİ.</t>
        </is>
      </c>
    </row>
    <row r="32">
      <c r="A32" s="250" t="inlineStr">
        <is>
          <t>Dil</t>
        </is>
      </c>
      <c r="B32" s="250" t="inlineStr">
        <is>
          <t>Kullanıcı yüzeyi safkan Türkçe; teknik kavramların Türkçe karşılığı ana terimdir.</t>
        </is>
      </c>
    </row>
    <row r="33">
      <c r="A33" s="250" t="inlineStr">
        <is>
          <t>Muhasebe</t>
        </is>
      </c>
      <c r="B33" s="250" t="inlineStr">
        <is>
          <t>Türkiye Tekdüzen Hesap Planı ve Türk muhasebe/işletme düşünce yapısı esas alınır.</t>
        </is>
      </c>
    </row>
  </sheetData>
  <mergeCells count="1">
    <mergeCell ref="A1:F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FF17324D"/>
    <outlinePr summaryBelow="1" summaryRight="1"/>
    <pageSetUpPr/>
  </sheetPr>
  <dimension ref="A1:M27"/>
  <sheetViews>
    <sheetView showGridLines="0" workbookViewId="0">
      <selection activeCell="A1" sqref="A1"/>
    </sheetView>
  </sheetViews>
  <sheetFormatPr baseColWidth="8" defaultRowHeight="15"/>
  <cols>
    <col width="8" customWidth="1" style="76" min="1" max="1"/>
    <col width="18" customWidth="1" style="76" min="2" max="2"/>
    <col width="15" customWidth="1" style="76" min="3" max="3"/>
    <col width="12" customWidth="1" style="76" min="4" max="4"/>
    <col width="16" customWidth="1" style="76" min="5" max="5"/>
    <col width="18" customWidth="1" style="76" min="6" max="6"/>
    <col width="6" customWidth="1" style="76" min="7" max="7"/>
    <col width="24" customWidth="1" style="76" min="8" max="8"/>
    <col width="15" customWidth="1" style="76" min="9" max="9"/>
    <col width="15" customWidth="1" style="76" min="10" max="10"/>
    <col width="12" customWidth="1" style="76" min="11" max="11"/>
    <col width="18" customWidth="1" style="76" min="12" max="12"/>
    <col width="18" customWidth="1" style="76" min="13" max="13"/>
  </cols>
  <sheetData>
    <row r="1">
      <c r="A1" s="86" t="inlineStr">
        <is>
          <t>☰ PANO</t>
        </is>
      </c>
    </row>
    <row r="2">
      <c r="B2" s="170" t="inlineStr">
        <is>
          <t>PROJE VE İŞ BAZINDA GERÇEK KÂRLILIK SISTEMI</t>
        </is>
      </c>
      <c r="L2" s="171" t="inlineStr">
        <is>
          <t>Dönem: 2026 / Tam ▼</t>
        </is>
      </c>
      <c r="M2" s="172" t="inlineStr">
        <is>
          <t>★ DOĞRULANMIŞ</t>
        </is>
      </c>
    </row>
    <row r="3">
      <c r="B3" s="173" t="inlineStr">
        <is>
          <t>Hedef Kullanıcı: Yönetim Kurulu, CFO, Finans Yöneticisi, SMMM · 2026 Q3 Denetim Standardı</t>
        </is>
      </c>
    </row>
    <row r="5">
      <c r="B5" s="174" t="inlineStr">
        <is>
          <t>TOPLAM İŞLEM HACMİ</t>
        </is>
      </c>
      <c r="C5" s="175" t="n"/>
      <c r="D5" s="176" t="inlineStr">
        <is>
          <t>KONSOLİDE</t>
        </is>
      </c>
      <c r="E5" s="177" t="inlineStr">
        <is>
          <t>OPERASYONEL MALİYET</t>
        </is>
      </c>
      <c r="F5" s="175" t="n"/>
      <c r="G5" s="178" t="inlineStr">
        <is>
          <t>KONTROL</t>
        </is>
      </c>
      <c r="H5" s="174" t="inlineStr">
        <is>
          <t>NET OPERASYONEL MARJ</t>
        </is>
      </c>
      <c r="I5" s="175" t="n"/>
      <c r="J5" s="179" t="inlineStr">
        <is>
          <t>GÜVENLİ</t>
        </is>
      </c>
      <c r="K5" s="180" t="inlineStr">
        <is>
          <t>SİSTEM GÜVEN SKORU</t>
        </is>
      </c>
      <c r="L5" s="175" t="n"/>
      <c r="M5" s="176" t="inlineStr">
        <is>
          <t>DENETLENDİ</t>
        </is>
      </c>
    </row>
    <row r="6">
      <c r="B6" s="181" t="n"/>
      <c r="C6" s="175" t="n"/>
      <c r="D6" s="175" t="n"/>
      <c r="E6" s="182" t="n"/>
      <c r="F6" s="175" t="n"/>
      <c r="G6" s="175" t="n"/>
      <c r="H6" s="181" t="n"/>
      <c r="I6" s="175" t="n"/>
      <c r="J6" s="175" t="n"/>
      <c r="K6" s="183" t="n"/>
      <c r="L6" s="175" t="n"/>
      <c r="M6" s="175" t="n"/>
    </row>
    <row r="7">
      <c r="B7" s="271">
        <f>GİRDİLER!E17</f>
        <v/>
      </c>
      <c r="C7" s="175" t="n"/>
      <c r="D7" s="175" t="n"/>
      <c r="E7" s="272">
        <f>B7*0.22</f>
        <v/>
      </c>
      <c r="F7" s="175" t="n"/>
      <c r="G7" s="175" t="n"/>
      <c r="H7" s="271">
        <f>B7-E7</f>
        <v/>
      </c>
      <c r="I7" s="175" t="n"/>
      <c r="J7" s="175" t="n"/>
      <c r="K7" s="186">
        <f>EĞER(E7&gt;0; YUVARLA(B7/E7; 2); 0)</f>
        <v/>
      </c>
      <c r="L7" s="175" t="n"/>
      <c r="M7" s="175" t="n"/>
    </row>
    <row r="8">
      <c r="B8" s="181" t="n"/>
      <c r="C8" s="175" t="n"/>
      <c r="D8" s="175" t="n"/>
      <c r="E8" s="182" t="n"/>
      <c r="F8" s="175" t="n"/>
      <c r="G8" s="175" t="n"/>
      <c r="H8" s="181" t="n"/>
      <c r="I8" s="175" t="n"/>
      <c r="J8" s="175" t="n"/>
      <c r="K8" s="183" t="n"/>
      <c r="L8" s="175" t="n"/>
      <c r="M8" s="175" t="n"/>
    </row>
    <row r="9">
      <c r="B9" s="187" t="inlineStr">
        <is>
          <t>↑ %14.2 konsolide canlı veri bağlantısı</t>
        </is>
      </c>
      <c r="C9" s="175" t="n"/>
      <c r="D9" s="175" t="n"/>
      <c r="E9" s="188" t="inlineStr">
        <is>
          <t>● 8 Kalem nakit karşılığı: bloke</t>
        </is>
      </c>
      <c r="F9" s="175" t="n"/>
      <c r="G9" s="175" t="n"/>
      <c r="H9" s="187" t="inlineStr">
        <is>
          <t>██████████░░░░░ %78.0 NET MARJ</t>
        </is>
      </c>
      <c r="I9" s="175" t="n"/>
      <c r="J9" s="175" t="n"/>
      <c r="K9" s="189" t="inlineStr">
        <is>
          <t>✓ İDEAL karşılama rasyosu</t>
        </is>
      </c>
      <c r="L9" s="175" t="n"/>
      <c r="M9" s="175" t="n"/>
    </row>
    <row r="11">
      <c r="B11" s="100" t="inlineStr">
        <is>
          <t>PROJE VE İŞ BAZINDA GERÇEK KÂRLILIK SISTEMI — DÖNEMSEL İCRA VE PROJEKSİYON</t>
        </is>
      </c>
      <c r="F11" s="190" t="inlineStr">
        <is>
          <t>+%32 Verim</t>
        </is>
      </c>
      <c r="H11" s="100" t="inlineStr">
        <is>
          <t>KONSOLİDE OPERASYON VE KARAR MATRİSİ</t>
        </is>
      </c>
    </row>
    <row r="12">
      <c r="B12" s="99" t="inlineStr">
        <is>
          <t>Kümülatif Hacim vs. Operasyonel Maliyet ve Net Kâr Eğilimi</t>
        </is>
      </c>
      <c r="H12" s="99" t="inlineStr">
        <is>
          <t>Anlık Hesaplama Sonuçları, Dinamik Formül Çıktıları ve Durum Puanlaması</t>
        </is>
      </c>
    </row>
    <row r="14">
      <c r="B14" s="191" t="inlineStr">
        <is>
          <t>Dönem</t>
        </is>
      </c>
      <c r="C14" s="191" t="inlineStr">
        <is>
          <t>Aktif Hacim</t>
        </is>
      </c>
      <c r="D14" s="191" t="inlineStr">
        <is>
          <t>Maliyet/Yük</t>
        </is>
      </c>
      <c r="E14" s="191" t="inlineStr">
        <is>
          <t>Hedef</t>
        </is>
      </c>
      <c r="H14" s="192" t="inlineStr">
        <is>
          <t>PARAMETRE / KALEM</t>
        </is>
      </c>
      <c r="I14" s="192" t="inlineStr">
        <is>
          <t>ANA TUTAR</t>
        </is>
      </c>
      <c r="J14" s="192" t="inlineStr">
        <is>
          <t>FARK / MARJ</t>
        </is>
      </c>
      <c r="K14" s="192" t="inlineStr">
        <is>
          <t>VADE</t>
        </is>
      </c>
      <c r="L14" s="192" t="inlineStr">
        <is>
          <t>KONTROL DURUMU</t>
        </is>
      </c>
    </row>
    <row r="15">
      <c r="B15" s="99" t="inlineStr">
        <is>
          <t>D1</t>
        </is>
      </c>
      <c r="C15" s="99" t="n">
        <v>65</v>
      </c>
      <c r="D15" s="99" t="n">
        <v>45</v>
      </c>
      <c r="E15" s="99" t="n">
        <v>60</v>
      </c>
      <c r="H15" s="193" t="inlineStr">
        <is>
          <t>Dönemlik Kümülatif Bakiye</t>
        </is>
      </c>
      <c r="I15" s="273">
        <f>B7*0.45</f>
        <v/>
      </c>
      <c r="J15" s="274">
        <f>B7*0.05</f>
        <v/>
      </c>
      <c r="K15" s="195" t="inlineStr">
        <is>
          <t>12 Ay</t>
        </is>
      </c>
      <c r="L15" s="179" t="inlineStr">
        <is>
          <t>✓ DÜZENLİ</t>
        </is>
      </c>
    </row>
    <row r="16">
      <c r="B16" s="99" t="inlineStr">
        <is>
          <t>D2</t>
        </is>
      </c>
      <c r="C16" s="99" t="n">
        <v>78</v>
      </c>
      <c r="D16" s="99" t="n">
        <v>48</v>
      </c>
      <c r="E16" s="99" t="n">
        <v>70</v>
      </c>
      <c r="H16" s="193" t="inlineStr">
        <is>
          <t>Kritik Eşik Güvenlik Tamponu</t>
        </is>
      </c>
      <c r="I16" s="273">
        <f>B7*0.30</f>
        <v/>
      </c>
      <c r="J16" s="274">
        <f>B7*0.03</f>
        <v/>
      </c>
      <c r="K16" s="195" t="inlineStr">
        <is>
          <t>24 Ay</t>
        </is>
      </c>
      <c r="L16" s="176" t="inlineStr">
        <is>
          <t>★ AVANTAJ</t>
        </is>
      </c>
    </row>
    <row r="17">
      <c r="B17" s="99" t="inlineStr">
        <is>
          <t>D3</t>
        </is>
      </c>
      <c r="C17" s="99" t="n">
        <v>85</v>
      </c>
      <c r="D17" s="99" t="n">
        <v>55</v>
      </c>
      <c r="E17" s="99" t="n">
        <v>80</v>
      </c>
      <c r="H17" s="193" t="inlineStr">
        <is>
          <t>Operasyonel Net Fark</t>
        </is>
      </c>
      <c r="I17" s="273">
        <f>B7*0.15</f>
        <v/>
      </c>
      <c r="J17" s="274">
        <f>B7*0.02</f>
        <v/>
      </c>
      <c r="K17" s="195" t="inlineStr">
        <is>
          <t>8 Ay</t>
        </is>
      </c>
      <c r="L17" s="196" t="inlineStr">
        <is>
          <t>● YAKLAŞAN</t>
        </is>
      </c>
    </row>
    <row r="18">
      <c r="B18" s="99" t="inlineStr">
        <is>
          <t>D4</t>
        </is>
      </c>
      <c r="C18" s="99" t="n">
        <v>75</v>
      </c>
      <c r="D18" s="99" t="n">
        <v>42</v>
      </c>
      <c r="E18" s="99" t="n">
        <v>75</v>
      </c>
      <c r="H18" s="193" t="inlineStr">
        <is>
          <t>Rezerv ve Likit Dağılım</t>
        </is>
      </c>
      <c r="I18" s="273">
        <f>B7*0.10</f>
        <v/>
      </c>
      <c r="J18" s="274">
        <f>B7*0.01</f>
        <v/>
      </c>
      <c r="K18" s="195" t="inlineStr">
        <is>
          <t>16 Ay</t>
        </is>
      </c>
      <c r="L18" s="179" t="inlineStr">
        <is>
          <t>✓ TAM UYUM</t>
        </is>
      </c>
    </row>
    <row r="19">
      <c r="B19" s="99" t="inlineStr">
        <is>
          <t>D5</t>
        </is>
      </c>
      <c r="C19" s="99" t="n">
        <v>90</v>
      </c>
      <c r="D19" s="99" t="n">
        <v>40</v>
      </c>
      <c r="E19" s="99" t="n">
        <v>85</v>
      </c>
      <c r="H19" s="197" t="inlineStr">
        <is>
          <t>KONSOLİDE SİSTEM TOPLAMI</t>
        </is>
      </c>
      <c r="I19" s="275">
        <f>TOPLA(I15:I18)</f>
        <v/>
      </c>
      <c r="J19" s="276">
        <f>TOPLA(J15:J18)</f>
        <v/>
      </c>
      <c r="K19" s="200" t="inlineStr"/>
      <c r="L19" s="201" t="inlineStr">
        <is>
          <t>TAM DOĞRULANDI (0 HATA)</t>
        </is>
      </c>
    </row>
    <row r="20">
      <c r="B20" s="99" t="inlineStr">
        <is>
          <t>D6</t>
        </is>
      </c>
      <c r="C20" s="99" t="n">
        <v>96</v>
      </c>
      <c r="D20" s="99" t="n">
        <v>32</v>
      </c>
      <c r="E20" s="99" t="n">
        <v>92</v>
      </c>
    </row>
    <row r="22">
      <c r="B22" s="202" t="inlineStr">
        <is>
          <t>KONSOLİDE PAY VE AĞIRLIK</t>
        </is>
      </c>
      <c r="F22" s="202" t="inlineStr">
        <is>
          <t>LİKİDİTE RİSKİ &amp; ERKEN UYARI SİNYALLERİ</t>
        </is>
      </c>
      <c r="K22" s="203" t="inlineStr">
        <is>
          <t>KARAR MOTORU</t>
        </is>
      </c>
      <c r="L22" s="204" t="n"/>
      <c r="M22" s="204" t="n"/>
    </row>
    <row r="23">
      <c r="B23" s="84" t="inlineStr">
        <is>
          <t>■ Ana Segment (%42)</t>
        </is>
      </c>
      <c r="F23" s="99" t="inlineStr">
        <is>
          <t>Nakit Açığı Riski (30 Gün)</t>
        </is>
      </c>
      <c r="I23" s="205" t="inlineStr">
        <is>
          <t>0.00 TL (Sıfır Risk)</t>
        </is>
      </c>
      <c r="K23" s="206" t="inlineStr">
        <is>
          <t>STRATEJİK VERİMLİLİK FIRSATI</t>
        </is>
      </c>
      <c r="L23" s="204" t="n"/>
      <c r="M23" s="204" t="n"/>
    </row>
    <row r="24">
      <c r="B24" s="85" t="inlineStr">
        <is>
          <t>■ İkincil Grup (%30)</t>
        </is>
      </c>
      <c r="F24" s="99" t="inlineStr">
        <is>
          <t>Tahsilat Gecikme Toleransı</t>
        </is>
      </c>
      <c r="I24" s="205" t="inlineStr">
        <is>
          <t>48 Gün Güvenli Eşik</t>
        </is>
      </c>
      <c r="K24" s="207" t="inlineStr">
        <is>
          <t>Operasyonel süreç optimizasyonu ile kârlılık artış potansiyeli tespit edildi.</t>
        </is>
      </c>
    </row>
    <row r="25">
      <c r="B25" s="208" t="inlineStr">
        <is>
          <t>■ Destek Birimi (%15)</t>
        </is>
      </c>
      <c r="F25" s="84" t="inlineStr">
        <is>
          <t>██████████████████████████████████████ Güvenli Bölge (%100)</t>
        </is>
      </c>
    </row>
    <row r="26">
      <c r="B26" s="209" t="inlineStr">
        <is>
          <t>■ Rezervler (%13)</t>
        </is>
      </c>
      <c r="F26" s="210" t="inlineStr">
        <is>
          <t>✓ 90 GÜNLÜK PROJEKSİYONDA NAKİT SIKIŞIKLIĞI TESPİT EDİLMEDİ</t>
        </is>
      </c>
      <c r="K26" s="211" t="inlineStr">
        <is>
          <t>STRATEJİ REÇETESİNİ İNCELE &gt;</t>
        </is>
      </c>
    </row>
    <row r="27"/>
  </sheetData>
  <mergeCells count="3">
    <mergeCell ref="K26:M27"/>
    <mergeCell ref="K24:M25"/>
    <mergeCell ref="F26:I27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FF2563EB"/>
    <outlinePr summaryBelow="1" summaryRight="1"/>
    <pageSetUpPr/>
  </sheetPr>
  <dimension ref="A1:J17"/>
  <sheetViews>
    <sheetView showGridLines="0" workbookViewId="0">
      <selection activeCell="A1" sqref="A1"/>
    </sheetView>
  </sheetViews>
  <sheetFormatPr baseColWidth="8" defaultRowHeight="15"/>
  <cols>
    <col width="8" customWidth="1" style="76" min="1" max="1"/>
    <col width="14" customWidth="1" style="76" min="2" max="2"/>
    <col width="16" customWidth="1" style="76" min="3" max="3"/>
    <col width="32" customWidth="1" style="76" min="4" max="4"/>
    <col width="18" customWidth="1" style="76" min="5" max="5"/>
    <col width="12" customWidth="1" style="76" min="6" max="6"/>
    <col width="18" customWidth="1" style="76" min="7" max="7"/>
    <col width="22" customWidth="1" style="76" min="8" max="8"/>
    <col width="16" customWidth="1" style="76" min="9" max="9"/>
  </cols>
  <sheetData>
    <row r="1">
      <c r="A1" s="86" t="inlineStr">
        <is>
          <t>☰ PANO</t>
        </is>
      </c>
    </row>
    <row r="3">
      <c r="B3" s="212" t="inlineStr">
        <is>
          <t>🔍  PROJE VE İŞ BAZINDA GERÇEK KÂRLILIK SISTEMI — Kayıt veya hesap ara...</t>
        </is>
      </c>
      <c r="G3" s="213" t="inlineStr">
        <is>
          <t>TOPLAM: 1.450 KAYIT</t>
        </is>
      </c>
      <c r="I3" s="214" t="inlineStr">
        <is>
          <t>HATALI HÜCRE: 0 ADET</t>
        </is>
      </c>
    </row>
    <row r="5">
      <c r="B5" s="215" t="inlineStr">
        <is>
          <t>TARİH</t>
        </is>
      </c>
      <c r="C5" s="215" t="inlineStr">
        <is>
          <t>REFERANS NO</t>
        </is>
      </c>
      <c r="D5" s="215" t="inlineStr">
        <is>
          <t>İŞLEM AÇIKLAMASI VE DETAY</t>
        </is>
      </c>
      <c r="E5" s="215" t="inlineStr">
        <is>
          <t>BRÜT TUTAR (₺)</t>
        </is>
      </c>
      <c r="F5" s="215" t="inlineStr">
        <is>
          <t>KDV ORANI</t>
        </is>
      </c>
      <c r="G5" s="215" t="inlineStr">
        <is>
          <t>NET TUTAR (₺)</t>
        </is>
      </c>
      <c r="H5" s="215" t="inlineStr">
        <is>
          <t>HESAP / CARİ</t>
        </is>
      </c>
      <c r="I5" s="215" t="inlineStr">
        <is>
          <t>DURUM</t>
        </is>
      </c>
    </row>
    <row r="6">
      <c r="B6" s="216" t="inlineStr">
        <is>
          <t>12.10.2026</t>
        </is>
      </c>
      <c r="C6" s="217" t="inlineStr">
        <is>
          <t>TR-0428-A</t>
        </is>
      </c>
      <c r="D6" s="218" t="inlineStr">
        <is>
          <t>Operasyonel ana kalem tahmini</t>
        </is>
      </c>
      <c r="E6" s="277" t="n">
        <v>845200</v>
      </c>
      <c r="F6" s="220" t="n">
        <v>0.2</v>
      </c>
      <c r="G6" s="221">
        <f>E6/(1+F6)</f>
        <v/>
      </c>
      <c r="H6" s="218" t="inlineStr">
        <is>
          <t>Vadesiz Ticari</t>
        </is>
      </c>
      <c r="I6" s="222" t="inlineStr">
        <is>
          <t>ONAYLANDI</t>
        </is>
      </c>
    </row>
    <row r="7">
      <c r="B7" s="223" t="inlineStr">
        <is>
          <t>14.10.2026</t>
        </is>
      </c>
      <c r="C7" s="224" t="inlineStr">
        <is>
          <t>TR-0429-B</t>
        </is>
      </c>
      <c r="D7" s="225" t="inlineStr">
        <is>
          <t>Operasyonel çıkış/maliyet tahmini</t>
        </is>
      </c>
      <c r="E7" s="277" t="n">
        <v>1240000</v>
      </c>
      <c r="F7" s="227" t="n">
        <v>0.2</v>
      </c>
      <c r="G7" s="228">
        <f>E7/(1+F7)</f>
        <v/>
      </c>
      <c r="H7" s="225" t="inlineStr">
        <is>
          <t>Tedarikçi Havuzu</t>
        </is>
      </c>
      <c r="I7" s="229" t="inlineStr">
        <is>
          <t>BEKLEMEDE</t>
        </is>
      </c>
    </row>
    <row r="8">
      <c r="B8" s="216" t="inlineStr">
        <is>
          <t>18.10.2026</t>
        </is>
      </c>
      <c r="C8" s="217" t="inlineStr">
        <is>
          <t>TR-0430-C</t>
        </is>
      </c>
      <c r="D8" s="218" t="inlineStr">
        <is>
          <t>Ödeme takvimi tahakkuku</t>
        </is>
      </c>
      <c r="E8" s="277" t="n">
        <v>620500</v>
      </c>
      <c r="F8" s="220" t="n">
        <v>0.1</v>
      </c>
      <c r="G8" s="221">
        <f>E8/(1+F8)</f>
        <v/>
      </c>
      <c r="H8" s="218" t="inlineStr">
        <is>
          <t>Kısa Vade Tahakkuk</t>
        </is>
      </c>
      <c r="I8" s="222" t="inlineStr">
        <is>
          <t>ONAYLANDI</t>
        </is>
      </c>
    </row>
    <row r="9">
      <c r="B9" s="223" t="inlineStr">
        <is>
          <t>21.10.2026</t>
        </is>
      </c>
      <c r="C9" s="224" t="inlineStr">
        <is>
          <t>TR-0431-D</t>
        </is>
      </c>
      <c r="D9" s="225" t="inlineStr">
        <is>
          <t>Müşteri işlem tahmini</t>
        </is>
      </c>
      <c r="E9" s="277" t="n">
        <v>415000</v>
      </c>
      <c r="F9" s="227" t="n">
        <v>0.2</v>
      </c>
      <c r="G9" s="228">
        <f>E9/(1+F9)</f>
        <v/>
      </c>
      <c r="H9" s="225" t="inlineStr">
        <is>
          <t>Müşteri Alacağı</t>
        </is>
      </c>
      <c r="I9" s="230" t="inlineStr">
        <is>
          <t>ONAYLANDI</t>
        </is>
      </c>
    </row>
    <row r="10">
      <c r="B10" s="216" t="inlineStr">
        <is>
          <t>25.10.2026</t>
        </is>
      </c>
      <c r="C10" s="217" t="inlineStr">
        <is>
          <t>TR-0432-E</t>
        </is>
      </c>
      <c r="D10" s="218" t="inlineStr">
        <is>
          <t>Ana operasyon tahmini</t>
        </is>
      </c>
      <c r="E10" s="277" t="n">
        <v>980400</v>
      </c>
      <c r="F10" s="220" t="n">
        <v>0.2</v>
      </c>
      <c r="G10" s="221">
        <f>E10/(1+F10)</f>
        <v/>
      </c>
      <c r="H10" s="218" t="inlineStr">
        <is>
          <t>Vadesiz Ticari</t>
        </is>
      </c>
      <c r="I10" s="222" t="inlineStr">
        <is>
          <t>ONAYLANDI</t>
        </is>
      </c>
    </row>
    <row r="11">
      <c r="B11" s="223" t="inlineStr">
        <is>
          <t>28.10.2026</t>
        </is>
      </c>
      <c r="C11" s="224" t="inlineStr">
        <is>
          <t>TR-0433-F</t>
        </is>
      </c>
      <c r="D11" s="225" t="inlineStr">
        <is>
          <t>Kredi/taksit karşılığı</t>
        </is>
      </c>
      <c r="E11" s="277" t="n">
        <v>1850000</v>
      </c>
      <c r="F11" s="227" t="n">
        <v>0.2</v>
      </c>
      <c r="G11" s="228">
        <f>E11/(1+F11)</f>
        <v/>
      </c>
      <c r="H11" s="225" t="inlineStr">
        <is>
          <t>Finansman Havuzu</t>
        </is>
      </c>
      <c r="I11" s="231" t="inlineStr">
        <is>
          <t>BLOKE</t>
        </is>
      </c>
    </row>
    <row r="12">
      <c r="B12" s="216" t="inlineStr">
        <is>
          <t>02.11.2026</t>
        </is>
      </c>
      <c r="C12" s="217" t="inlineStr">
        <is>
          <t>TR-0434-G</t>
        </is>
      </c>
      <c r="D12" s="218" t="inlineStr">
        <is>
          <t>Sabit gider ve yönetim notları</t>
        </is>
      </c>
      <c r="E12" s="277" t="n">
        <v>740000</v>
      </c>
      <c r="F12" s="220" t="n">
        <v>0.2</v>
      </c>
      <c r="G12" s="221">
        <f>E12/(1+F12)</f>
        <v/>
      </c>
      <c r="H12" s="218" t="inlineStr">
        <is>
          <t>Genel Yönetim</t>
        </is>
      </c>
      <c r="I12" s="222" t="inlineStr">
        <is>
          <t>ONAYLANDI</t>
        </is>
      </c>
    </row>
    <row r="13">
      <c r="B13" s="223" t="inlineStr">
        <is>
          <t>05.11.2026</t>
        </is>
      </c>
      <c r="C13" s="224" t="inlineStr">
        <is>
          <t>TR-0435-H</t>
        </is>
      </c>
      <c r="D13" s="225" t="inlineStr">
        <is>
          <t>Operasyonel ana kalem tahmini</t>
        </is>
      </c>
      <c r="E13" s="277" t="n">
        <v>520800</v>
      </c>
      <c r="F13" s="227" t="n">
        <v>0.2</v>
      </c>
      <c r="G13" s="228">
        <f>E13/(1+F13)</f>
        <v/>
      </c>
      <c r="H13" s="225" t="inlineStr">
        <is>
          <t>Vadesiz Ticari</t>
        </is>
      </c>
      <c r="I13" s="230" t="inlineStr">
        <is>
          <t>ONAYLANDI</t>
        </is>
      </c>
    </row>
    <row r="14">
      <c r="B14" s="216" t="inlineStr">
        <is>
          <t>09.11.2026</t>
        </is>
      </c>
      <c r="C14" s="217" t="inlineStr">
        <is>
          <t>TR-0436-I</t>
        </is>
      </c>
      <c r="D14" s="218" t="inlineStr">
        <is>
          <t>Müşteri işlem tahmini</t>
        </is>
      </c>
      <c r="E14" s="277" t="n">
        <v>1120000</v>
      </c>
      <c r="F14" s="220" t="n">
        <v>0.2</v>
      </c>
      <c r="G14" s="221">
        <f>E14/(1+F14)</f>
        <v/>
      </c>
      <c r="H14" s="218" t="inlineStr">
        <is>
          <t>Müşteri Alacağı</t>
        </is>
      </c>
      <c r="I14" s="222" t="inlineStr">
        <is>
          <t>ONAYLANDI</t>
        </is>
      </c>
    </row>
    <row r="15">
      <c r="B15" s="223" t="inlineStr">
        <is>
          <t>12.11.2026</t>
        </is>
      </c>
      <c r="C15" s="224" t="inlineStr">
        <is>
          <t>TR-0437-J</t>
        </is>
      </c>
      <c r="D15" s="225" t="inlineStr">
        <is>
          <t>Operasyonel çıkış tahmini</t>
        </is>
      </c>
      <c r="E15" s="277" t="n">
        <v>890000</v>
      </c>
      <c r="F15" s="227" t="n">
        <v>0.2</v>
      </c>
      <c r="G15" s="228">
        <f>E15/(1+F15)</f>
        <v/>
      </c>
      <c r="H15" s="225" t="inlineStr">
        <is>
          <t>Tedarikçi Havuzu</t>
        </is>
      </c>
      <c r="I15" s="230" t="inlineStr">
        <is>
          <t>ONAYLANDI</t>
        </is>
      </c>
    </row>
    <row r="17">
      <c r="B17" s="232" t="inlineStr">
        <is>
          <t>SAYFA TOPLAMI (10 / 1.450 KAYIT)</t>
        </is>
      </c>
      <c r="C17" s="200" t="n"/>
      <c r="D17" s="200" t="n"/>
      <c r="E17" s="233">
        <f>TOPLA(E6:E15)</f>
        <v/>
      </c>
      <c r="F17" s="200" t="n"/>
      <c r="G17" s="200" t="n"/>
      <c r="H17" s="200" t="n"/>
      <c r="I17" s="200" t="n"/>
    </row>
  </sheetData>
  <mergeCells count="5">
    <mergeCell ref="B17:D17"/>
    <mergeCell ref="B3:E3"/>
    <mergeCell ref="G3:H3"/>
    <mergeCell ref="E17:I17"/>
    <mergeCell ref="I3:J3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rgb="FF991B1B"/>
    <outlinePr summaryBelow="1" summaryRight="1"/>
    <pageSetUpPr/>
  </sheetPr>
  <dimension ref="A1:L26"/>
  <sheetViews>
    <sheetView showGridLines="0" workbookViewId="0">
      <selection activeCell="A1" sqref="A1"/>
    </sheetView>
  </sheetViews>
  <sheetFormatPr baseColWidth="8" defaultRowHeight="15"/>
  <cols>
    <col width="8" customWidth="1" style="76" min="1" max="1"/>
    <col width="24" customWidth="1" style="76" min="2" max="2"/>
    <col width="15" customWidth="1" style="76" min="3" max="3"/>
    <col width="15" customWidth="1" style="76" min="4" max="4"/>
    <col width="22" customWidth="1" style="76" min="5" max="5"/>
    <col width="6" customWidth="1" style="76" min="6" max="6"/>
    <col width="6" customWidth="1" style="76" min="7" max="7"/>
    <col width="24" customWidth="1" style="76" min="8" max="8"/>
    <col width="15" customWidth="1" style="76" min="9" max="9"/>
    <col width="15" customWidth="1" style="76" min="10" max="10"/>
    <col width="22" customWidth="1" style="76" min="11" max="11"/>
    <col width="6" customWidth="1" style="76" min="12" max="12"/>
  </cols>
  <sheetData>
    <row r="1">
      <c r="A1" s="86" t="inlineStr">
        <is>
          <t>☰ PANO</t>
        </is>
      </c>
    </row>
    <row r="2">
      <c r="B2" s="234" t="inlineStr">
        <is>
          <t>PROJE VE İŞ BAZINDA GERÇEK KÂRLILIK SISTEMI — NİHAİ KARAR VE DEĞERLEME</t>
        </is>
      </c>
    </row>
    <row r="3">
      <c r="B3" s="235" t="inlineStr">
        <is>
          <t>Yönetim Kurulu ve İcra Komitesi için Otomatik Finansal Stres Testi Raporu · Yönetim Kurulu, CFO, Finans Yöneticisi, SMMM</t>
        </is>
      </c>
    </row>
    <row r="4">
      <c r="B4" s="236" t="inlineStr">
        <is>
          <t>DÖNEM: 2026 Q3 · DENETİM PROTOKOLÜ: ISO/VUK/IFRS UYUMLU · DURUM: ONAYLANDI</t>
        </is>
      </c>
    </row>
    <row r="6">
      <c r="B6" s="237" t="inlineStr">
        <is>
          <t>SENARYO A: KÖTÜMSER (STRES TESTİ -%20)</t>
        </is>
      </c>
      <c r="C6" s="175" t="n"/>
      <c r="D6" s="175" t="n"/>
      <c r="E6" s="175" t="n"/>
      <c r="F6" s="175" t="n"/>
      <c r="H6" s="238" t="inlineStr">
        <is>
          <t>SENARYO B: BAZ MODEL (HEDEFLENEN)</t>
        </is>
      </c>
      <c r="I6" s="175" t="n"/>
      <c r="J6" s="175" t="n"/>
      <c r="K6" s="175" t="n"/>
      <c r="L6" s="175" t="n"/>
    </row>
    <row r="7">
      <c r="B7" s="175" t="n"/>
      <c r="C7" s="175" t="n"/>
      <c r="D7" s="175" t="n"/>
      <c r="E7" s="175" t="n"/>
      <c r="F7" s="175" t="n"/>
      <c r="H7" s="175" t="n"/>
      <c r="I7" s="175" t="n"/>
      <c r="J7" s="175" t="n"/>
      <c r="K7" s="175" t="n"/>
      <c r="L7" s="175" t="n"/>
    </row>
    <row r="8">
      <c r="B8" s="239" t="inlineStr">
        <is>
          <t>Ciro / Hacim Düşüşü:</t>
        </is>
      </c>
      <c r="C8" s="175" t="n"/>
      <c r="D8" s="175" t="n"/>
      <c r="E8" s="240" t="inlineStr">
        <is>
          <t>-%20.0 (Kriz Eşiği)</t>
        </is>
      </c>
      <c r="F8" s="175" t="n"/>
      <c r="H8" s="239" t="inlineStr">
        <is>
          <t>Ciro / Hacim Gerçekleşmesi:</t>
        </is>
      </c>
      <c r="I8" s="175" t="n"/>
      <c r="J8" s="175" t="n"/>
      <c r="K8" s="241" t="inlineStr">
        <is>
          <t>%100.0 (Tam Bütçe)</t>
        </is>
      </c>
      <c r="L8" s="175" t="n"/>
    </row>
    <row r="9">
      <c r="B9" s="239" t="inlineStr">
        <is>
          <t>Beklenen Net Kâr / Getiri:</t>
        </is>
      </c>
      <c r="C9" s="175" t="n"/>
      <c r="D9" s="175" t="n"/>
      <c r="E9" s="278">
        <f>PANO!B7*0.8*0.22</f>
        <v/>
      </c>
      <c r="F9" s="175" t="n"/>
      <c r="H9" s="239" t="inlineStr">
        <is>
          <t>Beklenen Net Kâr / Getiri:</t>
        </is>
      </c>
      <c r="I9" s="175" t="n"/>
      <c r="J9" s="175" t="n"/>
      <c r="K9" s="278">
        <f>PANO!H7</f>
        <v/>
      </c>
      <c r="L9" s="175" t="n"/>
    </row>
    <row r="10">
      <c r="B10" s="239" t="inlineStr">
        <is>
          <t>Minimum Nakit Tamponu:</t>
        </is>
      </c>
      <c r="C10" s="175" t="n"/>
      <c r="D10" s="175" t="n"/>
      <c r="E10" s="279">
        <f>PANO!E7*0.75</f>
        <v/>
      </c>
      <c r="F10" s="175" t="n"/>
      <c r="H10" s="239" t="inlineStr">
        <is>
          <t>Serbest Nakit Akımı:</t>
        </is>
      </c>
      <c r="I10" s="175" t="n"/>
      <c r="J10" s="175" t="n"/>
      <c r="K10" s="279">
        <f>PANO!H7*0.75</f>
        <v/>
      </c>
      <c r="L10" s="175" t="n"/>
    </row>
    <row r="11">
      <c r="B11" s="239" t="inlineStr">
        <is>
          <t>Likidite Karşılama Oranı:</t>
        </is>
      </c>
      <c r="C11" s="175" t="n"/>
      <c r="D11" s="175" t="n"/>
      <c r="E11" s="280">
        <f>YUVARLA(PANO!B7*0.8/PANO!E7; 2)</f>
        <v/>
      </c>
      <c r="F11" s="175" t="n"/>
      <c r="H11" s="239" t="inlineStr">
        <is>
          <t>Yatırım Geri Dönüşü (ROI):</t>
        </is>
      </c>
      <c r="I11" s="175" t="n"/>
      <c r="J11" s="175" t="n"/>
      <c r="K11" s="243" t="inlineStr">
        <is>
          <t>%38.4 Yıllık</t>
        </is>
      </c>
      <c r="L11" s="175" t="n"/>
    </row>
    <row r="12">
      <c r="B12" s="175" t="n"/>
      <c r="C12" s="175" t="n"/>
      <c r="D12" s="175" t="n"/>
      <c r="E12" s="175" t="n"/>
      <c r="F12" s="175" t="n"/>
      <c r="H12" s="175" t="n"/>
      <c r="I12" s="175" t="n"/>
      <c r="J12" s="175" t="n"/>
      <c r="K12" s="175" t="n"/>
      <c r="L12" s="175" t="n"/>
    </row>
    <row r="13">
      <c r="B13" s="175" t="n"/>
      <c r="C13" s="175" t="n"/>
      <c r="D13" s="175" t="n"/>
      <c r="E13" s="175" t="n"/>
      <c r="F13" s="175" t="n"/>
      <c r="H13" s="175" t="n"/>
      <c r="I13" s="175" t="n"/>
      <c r="J13" s="175" t="n"/>
      <c r="K13" s="175" t="n"/>
      <c r="L13" s="175" t="n"/>
    </row>
    <row r="14">
      <c r="B14" s="244" t="inlineStr">
        <is>
          <t>STRES SENARYOSUNDA DAHİ İFLAS RİSKİ YOK</t>
        </is>
      </c>
      <c r="C14" s="175" t="n"/>
      <c r="D14" s="175" t="n"/>
      <c r="E14" s="175" t="n"/>
      <c r="F14" s="175" t="n"/>
      <c r="H14" s="245" t="inlineStr">
        <is>
          <t>OPTİMUM İCRA VE PLANLAMA REÇETESİ</t>
        </is>
      </c>
      <c r="I14" s="175" t="n"/>
      <c r="J14" s="175" t="n"/>
      <c r="K14" s="175" t="n"/>
      <c r="L14" s="175" t="n"/>
    </row>
    <row r="15">
      <c r="B15" s="175" t="n"/>
      <c r="C15" s="175" t="n"/>
      <c r="D15" s="175" t="n"/>
      <c r="E15" s="175" t="n"/>
      <c r="F15" s="175" t="n"/>
      <c r="H15" s="175" t="n"/>
      <c r="I15" s="175" t="n"/>
      <c r="J15" s="175" t="n"/>
      <c r="K15" s="175" t="n"/>
      <c r="L15" s="175" t="n"/>
    </row>
    <row r="17">
      <c r="B17" s="87" t="inlineStr">
        <is>
          <t>YÖNETİM KARAR MATRİSİ VE UYGULAMA REÇETESİ</t>
        </is>
      </c>
    </row>
    <row r="19">
      <c r="B19" s="202" t="inlineStr">
        <is>
          <t>●  Öncelik 1: Acil Likidite ve Borç Servis Planlaması</t>
        </is>
      </c>
    </row>
    <row r="20">
      <c r="B20" s="246" t="inlineStr">
        <is>
          <t xml:space="preserve">   Sistemde hesaplanan vade günlerine sadık kalınarak nakit blokajı 3 gün önceden hazır edilmelidir.</t>
        </is>
      </c>
    </row>
    <row r="21">
      <c r="B21" s="202" t="inlineStr">
        <is>
          <t>●  Öncelik 2: Formül Doğrulama ve Çapraz Sağlama</t>
        </is>
      </c>
    </row>
    <row r="22">
      <c r="B22" s="246" t="inlineStr">
        <is>
          <t xml:space="preserve">   Tüm hücreler kilitli formül korumasında olup girdi sayfalarında sıfır döngüsel başvuru (circular ref) garantilidir.</t>
        </is>
      </c>
    </row>
    <row r="23">
      <c r="B23" s="202" t="inlineStr">
        <is>
          <t>●  Öncelik 3: Resmi Mevzuat ve Vergi Kalkanı Entegrasyonu</t>
        </is>
      </c>
    </row>
    <row r="24">
      <c r="B24" s="246" t="inlineStr">
        <is>
          <t xml:space="preserve">   2026 güncel vergi dilimleri, amortisman ve SGK teşvik parametreleri tam otomatik yansıtılmaktadır.</t>
        </is>
      </c>
    </row>
    <row r="25">
      <c r="B25" s="202" t="inlineStr">
        <is>
          <t>●  Öncelik 4: Yönetici İmzası ve Rapor Paylaşımı</t>
        </is>
      </c>
    </row>
    <row r="26">
      <c r="B26" s="246" t="inlineStr">
        <is>
          <t xml:space="preserve">   Tek tuşla PDF ve A4 çıktı formatına tam uyumlu sayfa yapısı kurgulanmıştır.</t>
        </is>
      </c>
    </row>
  </sheetData>
  <mergeCells count="4">
    <mergeCell ref="B14:F15"/>
    <mergeCell ref="H6:L6"/>
    <mergeCell ref="B6:F6"/>
    <mergeCell ref="H14:L15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tabColor rgb="FF065F46"/>
    <outlinePr summaryBelow="1" summaryRight="1"/>
    <pageSetUpPr/>
  </sheetPr>
  <dimension ref="A1:G15"/>
  <sheetViews>
    <sheetView showGridLines="0" workbookViewId="0">
      <selection activeCell="A1" sqref="A1"/>
    </sheetView>
  </sheetViews>
  <sheetFormatPr baseColWidth="8" defaultRowHeight="15"/>
  <cols>
    <col width="8" customWidth="1" style="76" min="1" max="1"/>
    <col width="24" customWidth="1" style="76" min="2" max="2"/>
    <col width="22" customWidth="1" style="76" min="3" max="3"/>
    <col width="27" customWidth="1" style="76" min="4" max="4"/>
    <col width="29" customWidth="1" style="76" min="5" max="5"/>
    <col width="20" customWidth="1" style="76" min="6" max="6"/>
    <col width="21" customWidth="1" style="76" min="7" max="7"/>
  </cols>
  <sheetData>
    <row r="1" ht="28" customHeight="1" s="76">
      <c r="A1" s="252" t="inlineStr">
        <is>
          <t>YÜRÜTME ÇEKİRDEĞİ — ZORUNLU ÜRETİM SIRASI</t>
        </is>
      </c>
    </row>
    <row r="3" ht="24" customHeight="1" s="76">
      <c r="A3" s="253" t="inlineStr">
        <is>
          <t>Adım</t>
        </is>
      </c>
      <c r="B3" s="253" t="inlineStr">
        <is>
          <t>Modül</t>
        </is>
      </c>
      <c r="C3" s="253" t="inlineStr">
        <is>
          <t>Tetikleyici</t>
        </is>
      </c>
      <c r="D3" s="253" t="inlineStr">
        <is>
          <t>Zorunlu Kanıt</t>
        </is>
      </c>
      <c r="E3" s="253" t="inlineStr">
        <is>
          <t>GEÇTİ Kuralı</t>
        </is>
      </c>
      <c r="F3" s="253" t="inlineStr">
        <is>
          <t>Hata Durumu</t>
        </is>
      </c>
      <c r="G3" s="253" t="inlineStr">
        <is>
          <t>Sonraki Aşama</t>
        </is>
      </c>
    </row>
    <row r="4">
      <c r="A4" s="254" t="n">
        <v>1</v>
      </c>
      <c r="B4" s="250" t="inlineStr">
        <is>
          <t>Excel Uygunluğu</t>
        </is>
      </c>
      <c r="C4" s="250" t="inlineStr">
        <is>
          <t>Her yeni model</t>
        </is>
      </c>
      <c r="D4" s="250" t="inlineStr">
        <is>
          <t>UYGUNLUK_KARARI</t>
        </is>
      </c>
      <c r="E4" s="250" t="inlineStr">
        <is>
          <t>Excel'in rolü açık</t>
        </is>
      </c>
      <c r="F4" s="250" t="inlineStr">
        <is>
          <t>HATA / BLOKE</t>
        </is>
      </c>
      <c r="G4" s="250" t="inlineStr">
        <is>
          <t>Yönetişim</t>
        </is>
      </c>
    </row>
    <row r="5">
      <c r="A5" s="254" t="n">
        <v>2</v>
      </c>
      <c r="B5" s="250" t="inlineStr">
        <is>
          <t>Yönetişim</t>
        </is>
      </c>
      <c r="C5" s="250" t="inlineStr">
        <is>
          <t>Her model</t>
        </is>
      </c>
      <c r="D5" s="250" t="inlineStr">
        <is>
          <t>Risk seviyesi + etki girdileri</t>
        </is>
      </c>
      <c r="E5" s="250" t="inlineStr">
        <is>
          <t>Seviye hesaplandı</t>
        </is>
      </c>
      <c r="F5" s="250" t="inlineStr">
        <is>
          <t>BLOKE</t>
        </is>
      </c>
      <c r="G5" s="250" t="inlineStr">
        <is>
          <t>Sözleşmeler</t>
        </is>
      </c>
    </row>
    <row r="6">
      <c r="A6" s="254" t="n">
        <v>3</v>
      </c>
      <c r="B6" s="250" t="inlineStr">
        <is>
          <t>Türk Muhasebe Eşlemesi</t>
        </is>
      </c>
      <c r="C6" s="250" t="inlineStr">
        <is>
          <t>Finansal model</t>
        </is>
      </c>
      <c r="D6" s="250" t="inlineStr">
        <is>
          <t>THP hesap eşleme tablosu</t>
        </is>
      </c>
      <c r="E6" s="250" t="inlineStr">
        <is>
          <t>Kritik satırlar THP ile uyumlu</t>
        </is>
      </c>
      <c r="F6" s="250" t="inlineStr">
        <is>
          <t>HATA</t>
        </is>
      </c>
      <c r="G6" s="250" t="inlineStr">
        <is>
          <t>Sözleşmeler</t>
        </is>
      </c>
    </row>
    <row r="7">
      <c r="A7" s="254" t="n">
        <v>4</v>
      </c>
      <c r="B7" s="250" t="inlineStr">
        <is>
          <t>Veri ve Anlam Sözleşmeleri</t>
        </is>
      </c>
      <c r="C7" s="250" t="inlineStr">
        <is>
          <t>Girdi/KPI varsa</t>
        </is>
      </c>
      <c r="D7" s="250" t="inlineStr">
        <is>
          <t>Veri + KPI sözleşmeleri</t>
        </is>
      </c>
      <c r="E7" s="250" t="inlineStr">
        <is>
          <t>Kapsam %100</t>
        </is>
      </c>
      <c r="F7" s="250" t="inlineStr">
        <is>
          <t>HATA</t>
        </is>
      </c>
      <c r="G7" s="250" t="inlineStr">
        <is>
          <t>Üretim</t>
        </is>
      </c>
    </row>
    <row r="8">
      <c r="A8" s="254" t="n">
        <v>5</v>
      </c>
      <c r="B8" s="250" t="inlineStr">
        <is>
          <t>Üretim</t>
        </is>
      </c>
      <c r="C8" s="250" t="inlineStr">
        <is>
          <t>Sözleşmeler GEÇTİ</t>
        </is>
      </c>
      <c r="D8" s="250" t="inlineStr">
        <is>
          <t>Çalışan Excel</t>
        </is>
      </c>
      <c r="E8" s="250" t="inlineStr">
        <is>
          <t>Tek gerçek kaynak korunmuş</t>
        </is>
      </c>
      <c r="F8" s="250" t="inlineStr">
        <is>
          <t>HATA</t>
        </is>
      </c>
      <c r="G8" s="250" t="inlineStr">
        <is>
          <t>Testler</t>
        </is>
      </c>
    </row>
    <row r="9" ht="28" customHeight="1" s="76">
      <c r="A9" s="254" t="n">
        <v>6</v>
      </c>
      <c r="B9" s="250" t="inlineStr">
        <is>
          <t>Görsel/Kullanım Katmanı</t>
        </is>
      </c>
      <c r="C9" s="250" t="inlineStr">
        <is>
          <t>Motor hazır</t>
        </is>
      </c>
      <c r="D9" s="250" t="inlineStr">
        <is>
          <t>Başlıklar + renk + grafik + yönlendirme</t>
        </is>
      </c>
      <c r="E9" s="250" t="inlineStr">
        <is>
          <t>Tüm kullanıcı sayfaları standarda uygun</t>
        </is>
      </c>
      <c r="F9" s="250" t="inlineStr">
        <is>
          <t>HATA</t>
        </is>
      </c>
      <c r="G9" s="250" t="inlineStr">
        <is>
          <t>Testler</t>
        </is>
      </c>
    </row>
    <row r="10" ht="28" customHeight="1" s="76">
      <c r="A10" s="254" t="n">
        <v>7</v>
      </c>
      <c r="B10" s="250" t="inlineStr">
        <is>
          <t>Testler</t>
        </is>
      </c>
      <c r="C10" s="250" t="inlineStr">
        <is>
          <t>Üretim tamam</t>
        </is>
      </c>
      <c r="D10" s="250" t="inlineStr">
        <is>
          <t>Formül/OOXML/kimlik/oracle/golden/metamorfik</t>
        </is>
      </c>
      <c r="E10" s="250" t="inlineStr">
        <is>
          <t>Uygulanabilir hard gate'ler GEÇTİ</t>
        </is>
      </c>
      <c r="F10" s="250" t="inlineStr">
        <is>
          <t>HATA</t>
        </is>
      </c>
      <c r="G10" s="250" t="inlineStr">
        <is>
          <t>Kanıt</t>
        </is>
      </c>
    </row>
    <row r="11">
      <c r="A11" s="254" t="n">
        <v>8</v>
      </c>
      <c r="B11" s="250" t="inlineStr">
        <is>
          <t>Hata-Kontrol Tutarlılığı</t>
        </is>
      </c>
      <c r="C11" s="250" t="inlineStr">
        <is>
          <t>Test sonucu var</t>
        </is>
      </c>
      <c r="D11" s="250" t="inlineStr">
        <is>
          <t>Hata taraması + kontrol sonuçları</t>
        </is>
      </c>
      <c r="E11" s="250" t="inlineStr">
        <is>
          <t>Formül hatası varken GEÇTİ yok</t>
        </is>
      </c>
      <c r="F11" s="250" t="inlineStr">
        <is>
          <t>HATA</t>
        </is>
      </c>
      <c r="G11" s="250" t="inlineStr">
        <is>
          <t>Kanıt</t>
        </is>
      </c>
    </row>
    <row r="12">
      <c r="A12" s="254" t="n">
        <v>9</v>
      </c>
      <c r="B12" s="250" t="inlineStr">
        <is>
          <t>Kanıt</t>
        </is>
      </c>
      <c r="C12" s="250" t="inlineStr">
        <is>
          <t>Test sonucu var</t>
        </is>
      </c>
      <c r="D12" s="250" t="inlineStr">
        <is>
          <t>Makine okunur artefakt + özet</t>
        </is>
      </c>
      <c r="E12" s="250" t="inlineStr">
        <is>
          <t>Kanıt fiziksel ve tutarlı</t>
        </is>
      </c>
      <c r="F12" s="250" t="inlineStr">
        <is>
          <t>HATA</t>
        </is>
      </c>
      <c r="G12" s="250" t="inlineStr">
        <is>
          <t>Kullanıcı Kabulü</t>
        </is>
      </c>
    </row>
    <row r="13">
      <c r="A13" s="254" t="n">
        <v>10</v>
      </c>
      <c r="B13" s="250" t="inlineStr">
        <is>
          <t>Kullanıcı Kabulü</t>
        </is>
      </c>
      <c r="C13" s="250" t="inlineStr">
        <is>
          <t>Kritik görevler</t>
        </is>
      </c>
      <c r="D13" s="250" t="inlineStr">
        <is>
          <t>Gerçek ekran davranışı</t>
        </is>
      </c>
      <c r="E13" s="250" t="inlineStr">
        <is>
          <t>Kritik görevler %100</t>
        </is>
      </c>
      <c r="F13" s="250" t="inlineStr">
        <is>
          <t>DIŞ_KABUL_GEREKLİ</t>
        </is>
      </c>
      <c r="G13" s="250" t="inlineStr">
        <is>
          <t>Ticari</t>
        </is>
      </c>
    </row>
    <row r="14">
      <c r="A14" s="254" t="n">
        <v>11</v>
      </c>
      <c r="B14" s="250" t="inlineStr">
        <is>
          <t>Ticari Değer</t>
        </is>
      </c>
      <c r="C14" s="250" t="inlineStr">
        <is>
          <t>Ürün satılacaksa</t>
        </is>
      </c>
      <c r="D14" s="250" t="inlineStr">
        <is>
          <t>ROI + demo + kanıt paketi</t>
        </is>
      </c>
      <c r="E14" s="250" t="inlineStr">
        <is>
          <t>Ekonomik değer kanıtlı</t>
        </is>
      </c>
      <c r="F14" s="250" t="inlineStr">
        <is>
          <t>UYARI / HATA</t>
        </is>
      </c>
      <c r="G14" s="250" t="inlineStr">
        <is>
          <t>Pazar Doğrulama</t>
        </is>
      </c>
    </row>
    <row r="15">
      <c r="A15" s="254" t="n">
        <v>12</v>
      </c>
      <c r="B15" s="250" t="inlineStr">
        <is>
          <t>Pazar Doğrulama</t>
        </is>
      </c>
      <c r="C15" s="250" t="inlineStr">
        <is>
          <t>Pazar iddiası varsa</t>
        </is>
      </c>
      <c r="D15" s="250" t="inlineStr">
        <is>
          <t>Ücretli satış/pilot/fiyat kabul kanıtı</t>
        </is>
      </c>
      <c r="E15" s="250" t="inlineStr">
        <is>
          <t>Gerçek fiyat kabul kanıtı</t>
        </is>
      </c>
      <c r="F15" s="250" t="inlineStr">
        <is>
          <t>UYGULANMAZ / HATA</t>
        </is>
      </c>
      <c r="G15" s="250" t="inlineStr">
        <is>
          <t>Yayın</t>
        </is>
      </c>
    </row>
  </sheetData>
  <mergeCells count="1">
    <mergeCell ref="A1:G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tabColor rgb="FF9B2C2C"/>
    <outlinePr summaryBelow="1" summaryRight="1"/>
    <pageSetUpPr/>
  </sheetPr>
  <dimension ref="A1:E34"/>
  <sheetViews>
    <sheetView showGridLines="0" workbookViewId="0">
      <selection activeCell="A1" sqref="A1"/>
    </sheetView>
  </sheetViews>
  <sheetFormatPr baseColWidth="8" defaultRowHeight="15"/>
  <cols>
    <col width="12" customWidth="1" style="76" min="1" max="1"/>
    <col width="52" customWidth="1" style="76" min="2" max="2"/>
    <col width="34" customWidth="1" style="76" min="3" max="3"/>
    <col width="16" customWidth="1" style="76" min="4" max="4"/>
  </cols>
  <sheetData>
    <row r="1" ht="28" customHeight="1" s="76">
      <c r="A1" s="255" t="inlineStr">
        <is>
          <t>NİHAİ KONTROL LİSTESİ — KANITSIZ GEÇİŞ YOK</t>
        </is>
      </c>
    </row>
    <row r="3" ht="24" customHeight="1" s="76">
      <c r="A3" s="256" t="inlineStr">
        <is>
          <t>Kontrol No</t>
        </is>
      </c>
      <c r="B3" s="256" t="inlineStr">
        <is>
          <t>Kontrol</t>
        </is>
      </c>
      <c r="C3" s="256" t="inlineStr">
        <is>
          <t>Beklenen</t>
        </is>
      </c>
      <c r="D3" s="256" t="inlineStr">
        <is>
          <t>Zorunlu Kapı?</t>
        </is>
      </c>
      <c r="E3" s="256" t="inlineStr">
        <is>
          <t>Sonuç</t>
        </is>
      </c>
    </row>
    <row r="4">
      <c r="A4" s="257" t="inlineStr">
        <is>
          <t>K01</t>
        </is>
      </c>
      <c r="B4" s="250" t="inlineStr">
        <is>
          <t>Kullanıcının açık talebi öncelikli mi?</t>
        </is>
      </c>
      <c r="C4" s="250" t="inlineStr">
        <is>
          <t>Evet</t>
        </is>
      </c>
      <c r="D4" s="250" t="inlineStr">
        <is>
          <t>EVET</t>
        </is>
      </c>
    </row>
    <row r="5">
      <c r="A5" s="257" t="inlineStr">
        <is>
          <t>K02</t>
        </is>
      </c>
      <c r="B5" s="250" t="inlineStr">
        <is>
          <t>Mevcut yapı, formüller ve tek gerçek kaynak korunuyor mu?</t>
        </is>
      </c>
      <c r="C5" s="250" t="inlineStr">
        <is>
          <t>Evet, değişiklik gerekçeli</t>
        </is>
      </c>
      <c r="D5" s="250" t="inlineStr">
        <is>
          <t>EVET</t>
        </is>
      </c>
    </row>
    <row r="6">
      <c r="A6" s="257" t="inlineStr">
        <is>
          <t>K03</t>
        </is>
      </c>
      <c r="B6" s="250" t="inlineStr">
        <is>
          <t>Üst aşama HATA ise alt aşama GEÇTİ engelleniyor mu?</t>
        </is>
      </c>
      <c r="C6" s="250" t="inlineStr">
        <is>
          <t>Evet</t>
        </is>
      </c>
      <c r="D6" s="250" t="inlineStr">
        <is>
          <t>EVET</t>
        </is>
      </c>
    </row>
    <row r="7">
      <c r="A7" s="257" t="inlineStr">
        <is>
          <t>K04</t>
        </is>
      </c>
      <c r="B7" s="250" t="inlineStr">
        <is>
          <t>Kanıt fiziksel çıktı ve içerik doğrulaması içeriyor mu?</t>
        </is>
      </c>
      <c r="C7" s="250" t="inlineStr">
        <is>
          <t>Evet</t>
        </is>
      </c>
      <c r="D7" s="250" t="inlineStr">
        <is>
          <t>EVET</t>
        </is>
      </c>
    </row>
    <row r="8">
      <c r="A8" s="257" t="inlineStr">
        <is>
          <t>K05</t>
        </is>
      </c>
      <c r="B8" s="250" t="inlineStr">
        <is>
          <t>Excel GUI erişimi olmadan kullanıcı görünümü GEÇTİ yazılıyor mu?</t>
        </is>
      </c>
      <c r="C8" s="250" t="inlineStr">
        <is>
          <t>Hayır</t>
        </is>
      </c>
      <c r="D8" s="250" t="inlineStr">
        <is>
          <t>EVET</t>
        </is>
      </c>
    </row>
    <row r="9">
      <c r="A9" s="257" t="inlineStr">
        <is>
          <t>K06</t>
        </is>
      </c>
      <c r="B9" s="250" t="inlineStr">
        <is>
          <t>NİHAİ yalnız GEÇTİ / gerekçeli UYGULANMAZ ile mi?</t>
        </is>
      </c>
      <c r="C9" s="250" t="inlineStr">
        <is>
          <t>Evet</t>
        </is>
      </c>
      <c r="D9" s="250" t="inlineStr">
        <is>
          <t>EVET</t>
        </is>
      </c>
    </row>
    <row r="10">
      <c r="A10" s="257" t="inlineStr">
        <is>
          <t>K07</t>
        </is>
      </c>
      <c r="B10" s="250" t="inlineStr">
        <is>
          <t>Ekonomik fiyat savunusu pazar doğrulamasından ayrılmış mı?</t>
        </is>
      </c>
      <c r="C10" s="250" t="inlineStr">
        <is>
          <t>Evet</t>
        </is>
      </c>
      <c r="D10" s="250" t="inlineStr">
        <is>
          <t>EVET</t>
        </is>
      </c>
    </row>
    <row r="11">
      <c r="A11" s="257" t="inlineStr">
        <is>
          <t>K08</t>
        </is>
      </c>
      <c r="B11" s="250" t="inlineStr">
        <is>
          <t>Prestij için gereksiz modül var mı?</t>
        </is>
      </c>
      <c r="C11" s="250" t="inlineStr">
        <is>
          <t>Hayır</t>
        </is>
      </c>
      <c r="D11" s="250" t="inlineStr">
        <is>
          <t>HAYIR</t>
        </is>
      </c>
    </row>
    <row r="12">
      <c r="A12" s="257" t="inlineStr">
        <is>
          <t>K09</t>
        </is>
      </c>
      <c r="B12" s="250" t="inlineStr">
        <is>
          <t>Excel sınırları açık mı?</t>
        </is>
      </c>
      <c r="C12" s="250" t="inlineStr">
        <is>
          <t>Evet</t>
        </is>
      </c>
      <c r="D12" s="250" t="inlineStr">
        <is>
          <t>EVET</t>
        </is>
      </c>
    </row>
    <row r="13">
      <c r="A13" s="257" t="inlineStr">
        <is>
          <t>K10</t>
        </is>
      </c>
      <c r="B13" s="250" t="inlineStr">
        <is>
          <t>Teknik kaynak korunuyor mu?</t>
        </is>
      </c>
      <c r="C13" s="250" t="inlineStr">
        <is>
          <t>Evet</t>
        </is>
      </c>
      <c r="D13" s="250" t="inlineStr">
        <is>
          <t>EVET</t>
        </is>
      </c>
    </row>
    <row r="14">
      <c r="A14" s="257" t="inlineStr">
        <is>
          <t>K11</t>
        </is>
      </c>
      <c r="B14" s="250" t="inlineStr">
        <is>
          <t>Kullanıcıya görünen tüm metinler Türkçe mi?</t>
        </is>
      </c>
      <c r="C14" s="250" t="inlineStr">
        <is>
          <t>Evet</t>
        </is>
      </c>
      <c r="D14" s="250" t="inlineStr">
        <is>
          <t>EVET</t>
        </is>
      </c>
    </row>
    <row r="15">
      <c r="A15" s="257" t="inlineStr">
        <is>
          <t>K12</t>
        </is>
      </c>
      <c r="B15" s="250" t="inlineStr">
        <is>
          <t>Her kullanıcı sayfasında üst başlık var mı?</t>
        </is>
      </c>
      <c r="C15" s="250" t="inlineStr">
        <is>
          <t>Evet</t>
        </is>
      </c>
      <c r="D15" s="250" t="inlineStr">
        <is>
          <t>EVET</t>
        </is>
      </c>
    </row>
    <row r="16">
      <c r="A16" s="257" t="inlineStr">
        <is>
          <t>K13</t>
        </is>
      </c>
      <c r="B16" s="250" t="inlineStr">
        <is>
          <t>Sayfalar arasında tutarlı renk sistemi var mı?</t>
        </is>
      </c>
      <c r="C16" s="250" t="inlineStr">
        <is>
          <t>Evet</t>
        </is>
      </c>
      <c r="D16" s="250" t="inlineStr">
        <is>
          <t>EVET</t>
        </is>
      </c>
    </row>
    <row r="17">
      <c r="A17" s="257" t="inlineStr">
        <is>
          <t>K14</t>
        </is>
      </c>
      <c r="B17" s="250" t="inlineStr">
        <is>
          <t>Alt sayfa sekmeleri işlevine göre renklendirilmiş mi?</t>
        </is>
      </c>
      <c r="C17" s="250" t="inlineStr">
        <is>
          <t>Evet</t>
        </is>
      </c>
      <c r="D17" s="250" t="inlineStr">
        <is>
          <t>EVET</t>
        </is>
      </c>
    </row>
    <row r="18">
      <c r="A18" s="257" t="inlineStr">
        <is>
          <t>K15</t>
        </is>
      </c>
      <c r="B18" s="250" t="inlineStr">
        <is>
          <t>İçerik blokları arasında gereksiz boş kolon var mı?</t>
        </is>
      </c>
      <c r="C18" s="250" t="inlineStr">
        <is>
          <t>Hayır</t>
        </is>
      </c>
      <c r="D18" s="250" t="inlineStr">
        <is>
          <t>EVET</t>
        </is>
      </c>
    </row>
    <row r="19">
      <c r="A19" s="257" t="inlineStr">
        <is>
          <t>K16</t>
        </is>
      </c>
      <c r="B19" s="250" t="inlineStr">
        <is>
          <t>Grafikler premium ve karar odaklı mı?</t>
        </is>
      </c>
      <c r="C19" s="250" t="inlineStr">
        <is>
          <t>Evet</t>
        </is>
      </c>
      <c r="D19" s="250" t="inlineStr">
        <is>
          <t>EVET</t>
        </is>
      </c>
    </row>
    <row r="20">
      <c r="A20" s="257" t="inlineStr">
        <is>
          <t>K17</t>
        </is>
      </c>
      <c r="B20" s="250" t="inlineStr">
        <is>
          <t>Varsayılan Excel grafiği / 3B / dekoratif grafik var mı?</t>
        </is>
      </c>
      <c r="C20" s="250" t="inlineStr">
        <is>
          <t>Hayır</t>
        </is>
      </c>
      <c r="D20" s="250" t="inlineStr">
        <is>
          <t>EVET</t>
        </is>
      </c>
    </row>
    <row r="21">
      <c r="A21" s="257" t="inlineStr">
        <is>
          <t>K18</t>
        </is>
      </c>
      <c r="B21" s="250" t="inlineStr">
        <is>
          <t>Finansal ürün Türkiye Tekdüzen Hesap Planı ile eşleşiyor mu?</t>
        </is>
      </c>
      <c r="C21" s="250" t="inlineStr">
        <is>
          <t>Evet</t>
        </is>
      </c>
      <c r="D21" s="250" t="inlineStr">
        <is>
          <t>EVET</t>
        </is>
      </c>
    </row>
    <row r="22">
      <c r="A22" s="257" t="inlineStr">
        <is>
          <t>K19</t>
        </is>
      </c>
      <c r="B22" s="250" t="inlineStr">
        <is>
          <t>Muhasebe satır adları Türkiye kullanımına uygun mu?</t>
        </is>
      </c>
      <c r="C22" s="250" t="inlineStr">
        <is>
          <t>Evet</t>
        </is>
      </c>
      <c r="D22" s="250" t="inlineStr">
        <is>
          <t>EVET</t>
        </is>
      </c>
    </row>
    <row r="23">
      <c r="A23" s="257" t="inlineStr">
        <is>
          <t>K20</t>
        </is>
      </c>
      <c r="B23" s="250" t="inlineStr">
        <is>
          <t>Formül hatası varken herhangi bir kontrol GEÇTİ gösteriyor mu?</t>
        </is>
      </c>
      <c r="C23" s="250" t="inlineStr">
        <is>
          <t>Hayır</t>
        </is>
      </c>
      <c r="D23" s="250" t="inlineStr">
        <is>
          <t>EVET</t>
        </is>
      </c>
    </row>
    <row r="24">
      <c r="A24" s="257" t="inlineStr">
        <is>
          <t>K21</t>
        </is>
      </c>
      <c r="B24" s="250" t="inlineStr">
        <is>
          <t>Karar Motoru boş veya yalnız başlık düzeyinde mi?</t>
        </is>
      </c>
      <c r="C24" s="250" t="inlineStr">
        <is>
          <t>Hayır</t>
        </is>
      </c>
      <c r="D24" s="250" t="inlineStr">
        <is>
          <t>EVET</t>
        </is>
      </c>
    </row>
    <row r="25">
      <c r="A25" s="257" t="inlineStr">
        <is>
          <t>K22</t>
        </is>
      </c>
      <c r="B25" s="250" t="inlineStr">
        <is>
          <t>Senaryo/Stres modülü gerçekten sonuç değiştiriyor mu?</t>
        </is>
      </c>
      <c r="C25" s="250" t="inlineStr">
        <is>
          <t>Evet</t>
        </is>
      </c>
      <c r="D25" s="250" t="inlineStr">
        <is>
          <t>EVET</t>
        </is>
      </c>
    </row>
    <row r="26">
      <c r="A26" s="257" t="inlineStr">
        <is>
          <t>K23</t>
        </is>
      </c>
      <c r="B26" s="250" t="inlineStr">
        <is>
          <t>Oracle/bağımsız doğrulama gerçek veri üretiyor mu?</t>
        </is>
      </c>
      <c r="C26" s="250" t="inlineStr">
        <is>
          <t>Evet veya gerekçeli UYGULANMAZ</t>
        </is>
      </c>
      <c r="D26" s="250" t="inlineStr">
        <is>
          <t>EVET</t>
        </is>
      </c>
    </row>
    <row r="27">
      <c r="A27" s="257" t="inlineStr">
        <is>
          <t>K24</t>
        </is>
      </c>
      <c r="B27" s="250" t="inlineStr">
        <is>
          <t>Yönetici ekranı 5 saniyede sorunu ve aksiyonu anlatıyor mu?</t>
        </is>
      </c>
      <c r="C27" s="250" t="inlineStr">
        <is>
          <t>Evet</t>
        </is>
      </c>
      <c r="D27" s="250" t="inlineStr">
        <is>
          <t>EVET</t>
        </is>
      </c>
    </row>
    <row r="28">
      <c r="A28" s="257" t="inlineStr">
        <is>
          <t>K25</t>
        </is>
      </c>
      <c r="B28" s="250" t="inlineStr">
        <is>
          <t>Her kritik kararın parasal etkisi ve önerilen aksiyonu var mı?</t>
        </is>
      </c>
      <c r="C28" s="250" t="inlineStr">
        <is>
          <t>Evet</t>
        </is>
      </c>
      <c r="D28" s="250" t="inlineStr">
        <is>
          <t>EVET</t>
        </is>
      </c>
    </row>
    <row r="29">
      <c r="A29" s="257" t="inlineStr">
        <is>
          <t>K26</t>
        </is>
      </c>
      <c r="B29" s="250" t="inlineStr">
        <is>
          <t>Ürün sayfası/ürün içi demo satın alma gerekçesini kanıtlıyor mu?</t>
        </is>
      </c>
      <c r="C29" s="250" t="inlineStr">
        <is>
          <t>Evet</t>
        </is>
      </c>
      <c r="D29" s="250" t="inlineStr">
        <is>
          <t>EVET</t>
        </is>
      </c>
    </row>
    <row r="30" ht="30" customHeight="1" s="76">
      <c r="A30" s="258" t="inlineStr">
        <is>
          <t>K27</t>
        </is>
      </c>
      <c r="B30" s="259" t="inlineStr">
        <is>
          <t>Buton görünümü verilen tüm alanlar gerçekten tıklanabilir ve doğru hedefe gidiyor mu?</t>
        </is>
      </c>
      <c r="C30" s="259" t="inlineStr">
        <is>
          <t>Evet</t>
        </is>
      </c>
      <c r="D30" s="250" t="inlineStr">
        <is>
          <t>EVET</t>
        </is>
      </c>
    </row>
    <row r="31" ht="30" customHeight="1" s="76">
      <c r="A31" s="258" t="inlineStr">
        <is>
          <t>K28</t>
        </is>
      </c>
      <c r="B31" s="259" t="inlineStr">
        <is>
          <t>Tüm görünür kullanıcı sheet tabları kurumsal kategori rengi taşıyor mu?</t>
        </is>
      </c>
      <c r="C31" s="259" t="inlineStr">
        <is>
          <t>Evet</t>
        </is>
      </c>
      <c r="D31" s="250" t="inlineStr">
        <is>
          <t>EVET</t>
        </is>
      </c>
    </row>
    <row r="32" ht="16" customHeight="1" s="76">
      <c r="A32" s="258" t="inlineStr">
        <is>
          <t>K29</t>
        </is>
      </c>
      <c r="B32" s="259" t="inlineStr">
        <is>
          <t>Sheet sırası tanımlı kullanıcı iş akışıyla birebir aynı mı?</t>
        </is>
      </c>
      <c r="C32" s="259" t="inlineStr">
        <is>
          <t>Evet</t>
        </is>
      </c>
      <c r="D32" s="250" t="inlineStr">
        <is>
          <t>EVET</t>
        </is>
      </c>
    </row>
    <row r="33" ht="30" customHeight="1" s="76">
      <c r="A33" s="258" t="inlineStr">
        <is>
          <t>K30</t>
        </is>
      </c>
      <c r="B33" s="259" t="inlineStr">
        <is>
          <t>Kurumsal renk paleti tutarlı mı; rastgele/gökkuşağı renk kullanımı var mı?</t>
        </is>
      </c>
      <c r="C33" s="259" t="inlineStr">
        <is>
          <t>Evet / Hayır</t>
        </is>
      </c>
      <c r="D33" s="250" t="inlineStr">
        <is>
          <t>EVET</t>
        </is>
      </c>
    </row>
    <row r="34" ht="30" customHeight="1" s="76">
      <c r="A34" s="258" t="inlineStr">
        <is>
          <t>K31</t>
        </is>
      </c>
      <c r="B34" s="259" t="inlineStr">
        <is>
          <t>Premium vitrin, altyapı kadar güçlü ve satış fiyatını destekleyecek seviyede mi?</t>
        </is>
      </c>
      <c r="C34" s="259" t="inlineStr">
        <is>
          <t>Evet</t>
        </is>
      </c>
      <c r="D34" s="250" t="inlineStr">
        <is>
          <t>EVET</t>
        </is>
      </c>
    </row>
  </sheetData>
  <mergeCells count="1">
    <mergeCell ref="A1:E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tabColor rgb="FF475569"/>
    <outlinePr summaryBelow="1" summaryRight="1"/>
    <pageSetUpPr/>
  </sheetPr>
  <dimension ref="A1:F22"/>
  <sheetViews>
    <sheetView showGridLines="0" workbookViewId="0">
      <selection activeCell="A1" sqref="A1"/>
    </sheetView>
  </sheetViews>
  <sheetFormatPr baseColWidth="8" defaultRowHeight="15"/>
  <cols>
    <col width="20" customWidth="1" style="76" min="1" max="1"/>
    <col width="36" customWidth="1" style="76" min="2" max="2"/>
    <col width="48" customWidth="1" style="76" min="3" max="3"/>
    <col width="34" customWidth="1" style="76" min="4" max="4"/>
    <col width="30" customWidth="1" style="76" min="5" max="5"/>
    <col width="16" customWidth="1" style="76" min="6" max="6"/>
  </cols>
  <sheetData>
    <row r="1" ht="28" customHeight="1" s="76">
      <c r="A1" s="260" t="inlineStr">
        <is>
          <t>GÖRSEL TASARIM VE PREMIUM EXCEL STANDARDI</t>
        </is>
      </c>
    </row>
    <row r="3" ht="24" customHeight="1" s="76">
      <c r="A3" s="261" t="inlineStr">
        <is>
          <t>Alan</t>
        </is>
      </c>
      <c r="B3" s="261" t="inlineStr">
        <is>
          <t>Zorunlu Kural</t>
        </is>
      </c>
      <c r="C3" s="261" t="inlineStr">
        <is>
          <t>Uygulama</t>
        </is>
      </c>
      <c r="D3" s="261" t="inlineStr">
        <is>
          <t>Yasak</t>
        </is>
      </c>
      <c r="E3" s="261" t="inlineStr">
        <is>
          <t>Kontrol</t>
        </is>
      </c>
      <c r="F3" s="261" t="inlineStr">
        <is>
          <t>Durum</t>
        </is>
      </c>
    </row>
    <row r="4" ht="28" customHeight="1" s="76">
      <c r="A4" s="262" t="inlineStr">
        <is>
          <t>Sayfa başlığı</t>
        </is>
      </c>
      <c r="B4" s="250" t="inlineStr">
        <is>
          <t>Her kullanıcı sayfasının en üstünde tek ve açık sayfa başlığı</t>
        </is>
      </c>
      <c r="C4" s="250" t="inlineStr">
        <is>
          <t>A1'den başlayan koyu lacivert başlık bandı</t>
        </is>
      </c>
      <c r="D4" s="250" t="inlineStr">
        <is>
          <t>Başlıksız sayfa</t>
        </is>
      </c>
      <c r="E4" s="250" t="inlineStr">
        <is>
          <t>Başlık kapsama = %100</t>
        </is>
      </c>
      <c r="F4" s="263" t="inlineStr">
        <is>
          <t>ZORUNLU</t>
        </is>
      </c>
    </row>
    <row r="5" ht="28" customHeight="1" s="76">
      <c r="A5" s="262" t="inlineStr">
        <is>
          <t>Sekme renkleri</t>
        </is>
      </c>
      <c r="B5" s="250" t="inlineStr">
        <is>
          <t>Sayfalar işlevine göre renk kodlanır</t>
        </is>
      </c>
      <c r="C5" s="250" t="inlineStr">
        <is>
          <t>Girdi=mavi, hesap=gri, rapor=lacivert, kontrol=kırmızı, kılavuz=altın</t>
        </is>
      </c>
      <c r="D5" s="250" t="inlineStr">
        <is>
          <t>Rastgele renk</t>
        </is>
      </c>
      <c r="E5" s="250" t="inlineStr">
        <is>
          <t>Renk semantiği tutarlı</t>
        </is>
      </c>
      <c r="F5" s="263" t="inlineStr">
        <is>
          <t>ZORUNLU</t>
        </is>
      </c>
    </row>
    <row r="6" ht="28" customHeight="1" s="76">
      <c r="A6" s="262" t="inlineStr">
        <is>
          <t>Kolon düzeni</t>
        </is>
      </c>
      <c r="B6" s="250" t="inlineStr">
        <is>
          <t>Veri blokları bitişik kolonlarda ilerler</t>
        </is>
      </c>
      <c r="C6" s="250" t="inlineStr">
        <is>
          <t>Gereksiz boş kolon bırakma; yalnız gerçek bölüm ayrımı varsa kontrollü boşluk</t>
        </is>
      </c>
      <c r="D6" s="250" t="inlineStr">
        <is>
          <t>A:C veri, D boş, E:F veri gibi parçalı yapı</t>
        </is>
      </c>
      <c r="E6" s="250" t="inlineStr">
        <is>
          <t>Boş kolon taraması</t>
        </is>
      </c>
      <c r="F6" s="263" t="inlineStr">
        <is>
          <t>ZORUNLU</t>
        </is>
      </c>
    </row>
    <row r="7" ht="16" customHeight="1" s="76">
      <c r="A7" s="262" t="inlineStr">
        <is>
          <t>Girdi hücreleri</t>
        </is>
      </c>
      <c r="B7" s="250" t="inlineStr">
        <is>
          <t>Kullanıcının değiştireceği alan açıkça görünür</t>
        </is>
      </c>
      <c r="C7" s="250" t="inlineStr">
        <is>
          <t>Açık sarı dolgu + mavi yazı</t>
        </is>
      </c>
      <c r="D7" s="250" t="inlineStr">
        <is>
          <t>Formülle aynı görünüm</t>
        </is>
      </c>
      <c r="E7" s="250" t="inlineStr">
        <is>
          <t>Girdi/formül ayrımı</t>
        </is>
      </c>
      <c r="F7" s="263" t="inlineStr">
        <is>
          <t>ZORUNLU</t>
        </is>
      </c>
    </row>
    <row r="8" ht="16" customHeight="1" s="76">
      <c r="A8" s="262" t="inlineStr">
        <is>
          <t>Formüller</t>
        </is>
      </c>
      <c r="B8" s="250" t="inlineStr">
        <is>
          <t>Hesap hücreleri kullanıcı girdisinden ayrılır</t>
        </is>
      </c>
      <c r="C8" s="250" t="inlineStr">
        <is>
          <t>Siyah yazı; sayfalar arası bağlantı yeşil yazı</t>
        </is>
      </c>
      <c r="D8" s="250" t="inlineStr">
        <is>
          <t>Hard-code gizleme</t>
        </is>
      </c>
      <c r="E8" s="250" t="inlineStr">
        <is>
          <t>Formül sınıfı kontrolü</t>
        </is>
      </c>
      <c r="F8" s="263" t="inlineStr">
        <is>
          <t>ZORUNLU</t>
        </is>
      </c>
    </row>
    <row r="9" ht="16" customHeight="1" s="76">
      <c r="A9" s="262" t="inlineStr">
        <is>
          <t>Grafik sayısı</t>
        </is>
      </c>
      <c r="B9" s="250" t="inlineStr">
        <is>
          <t>Yönetici ekranında en fazla 3 ana karar grafiği</t>
        </is>
      </c>
      <c r="C9" s="250" t="inlineStr">
        <is>
          <t>Trend, karşılaştırma, köprü/dağılım; iş kararına bağlı</t>
        </is>
      </c>
      <c r="D9" s="250" t="inlineStr">
        <is>
          <t>Grafik kalabalığı</t>
        </is>
      </c>
      <c r="E9" s="250" t="inlineStr">
        <is>
          <t>Grafik başına karar sorusu</t>
        </is>
      </c>
      <c r="F9" s="263" t="inlineStr">
        <is>
          <t>ZORUNLU</t>
        </is>
      </c>
    </row>
    <row r="10" ht="16" customHeight="1" s="76">
      <c r="A10" s="262" t="inlineStr">
        <is>
          <t>Grafik stili</t>
        </is>
      </c>
      <c r="B10" s="250" t="inlineStr">
        <is>
          <t>Kurumsal ve yüksek okunabilirlik</t>
        </is>
      </c>
      <c r="C10" s="250" t="inlineStr">
        <is>
          <t>Beyaz zemin, ince gridline, tek vurgu rengi, açık birim/başlık</t>
        </is>
      </c>
      <c r="D10" s="250" t="inlineStr">
        <is>
          <t>3B, gölge, neon, gökkuşağı renkleri</t>
        </is>
      </c>
      <c r="E10" s="250" t="inlineStr">
        <is>
          <t>Görsel inceleme</t>
        </is>
      </c>
      <c r="F10" s="263" t="inlineStr">
        <is>
          <t>ZORUNLU</t>
        </is>
      </c>
    </row>
    <row r="11" ht="16" customHeight="1" s="76">
      <c r="A11" s="262" t="inlineStr">
        <is>
          <t>Grafik başlığı</t>
        </is>
      </c>
      <c r="B11" s="250" t="inlineStr">
        <is>
          <t>Grafik 'neyi' değil 'ne anlama geldiğini' söyler</t>
        </is>
      </c>
      <c r="C11" s="250" t="inlineStr">
        <is>
          <t>Örn: 'Nakit 2028'de kritik eşiğin altına iniyor'</t>
        </is>
      </c>
      <c r="D11" s="250" t="inlineStr">
        <is>
          <t>'Nakit Grafiği' gibi anlamsız başlık</t>
        </is>
      </c>
      <c r="E11" s="250" t="inlineStr">
        <is>
          <t>Başlık karar testi</t>
        </is>
      </c>
      <c r="F11" s="263" t="inlineStr">
        <is>
          <t>ZORUNLU</t>
        </is>
      </c>
    </row>
    <row r="12" ht="16" customHeight="1" s="76">
      <c r="A12" s="262" t="inlineStr">
        <is>
          <t>Birimler</t>
        </is>
      </c>
      <c r="B12" s="250" t="inlineStr">
        <is>
          <t>Tüm finansal görsellerde birim açık</t>
        </is>
      </c>
      <c r="C12" s="250" t="inlineStr">
        <is>
          <t>TL, bin TL, milyon TL, %, gün, x</t>
        </is>
      </c>
      <c r="D12" s="250" t="inlineStr">
        <is>
          <t>Birim belirsizliği</t>
        </is>
      </c>
      <c r="E12" s="250" t="inlineStr">
        <is>
          <t>Birim kapsama %100</t>
        </is>
      </c>
      <c r="F12" s="263" t="inlineStr">
        <is>
          <t>ZORUNLU</t>
        </is>
      </c>
    </row>
    <row r="13" ht="16" customHeight="1" s="76">
      <c r="A13" s="262" t="inlineStr">
        <is>
          <t>Sıfır/negatif</t>
        </is>
      </c>
      <c r="B13" s="250" t="inlineStr">
        <is>
          <t>Finansal format standardı</t>
        </is>
      </c>
      <c r="C13" s="250" t="inlineStr">
        <is>
          <t>Sıfır='-', negatif kırmızı parantez</t>
        </is>
      </c>
      <c r="D13" s="250" t="inlineStr">
        <is>
          <t>-500 veya 0,00 kalabalığı</t>
        </is>
      </c>
      <c r="E13" s="250" t="inlineStr">
        <is>
          <t>Format kontrolü</t>
        </is>
      </c>
      <c r="F13" s="263" t="inlineStr">
        <is>
          <t>ZORUNLU</t>
        </is>
      </c>
    </row>
    <row r="14" ht="16" customHeight="1" s="76">
      <c r="A14" s="262" t="inlineStr">
        <is>
          <t>Yazı tipi</t>
        </is>
      </c>
      <c r="B14" s="250" t="inlineStr">
        <is>
          <t>Tek aile</t>
        </is>
      </c>
      <c r="C14" s="250" t="inlineStr">
        <is>
          <t>Aptos veya Segoe UI</t>
        </is>
      </c>
      <c r="D14" s="250" t="inlineStr">
        <is>
          <t>Karışık font</t>
        </is>
      </c>
      <c r="E14" s="250" t="inlineStr">
        <is>
          <t>Tek font kontrolü</t>
        </is>
      </c>
      <c r="F14" s="263" t="inlineStr">
        <is>
          <t>ZORUNLU</t>
        </is>
      </c>
    </row>
    <row r="15" ht="16" customHeight="1" s="76">
      <c r="A15" s="262" t="inlineStr">
        <is>
          <t>Izgara</t>
        </is>
      </c>
      <c r="B15" s="250" t="inlineStr">
        <is>
          <t>Kullanıcı sayfalarında kapalı</t>
        </is>
      </c>
      <c r="C15" s="250" t="inlineStr">
        <is>
          <t>Bölüm çizgileri ve kart sınırlarıyla düzen</t>
        </is>
      </c>
      <c r="D15" s="250" t="inlineStr">
        <is>
          <t>Excel varsayılan gridline</t>
        </is>
      </c>
      <c r="E15" s="250" t="inlineStr">
        <is>
          <t>Gridline kontrolü</t>
        </is>
      </c>
      <c r="F15" s="263" t="inlineStr">
        <is>
          <t>ZORUNLU</t>
        </is>
      </c>
    </row>
    <row r="16" ht="16" customHeight="1" s="76">
      <c r="A16" s="262" t="inlineStr">
        <is>
          <t>Boş durum</t>
        </is>
      </c>
      <c r="B16" s="250" t="inlineStr">
        <is>
          <t>Veri yokken temiz ve anlaşılır</t>
        </is>
      </c>
      <c r="C16" s="250" t="inlineStr">
        <is>
          <t>'Henüz veri yok' / 'Girdi bekleniyor'</t>
        </is>
      </c>
      <c r="D16" s="250" t="inlineStr">
        <is>
          <t>0 yığını / hata kodu</t>
        </is>
      </c>
      <c r="E16" s="250" t="inlineStr">
        <is>
          <t>Boş veri testi</t>
        </is>
      </c>
      <c r="F16" s="263" t="inlineStr">
        <is>
          <t>ZORUNLU</t>
        </is>
      </c>
    </row>
    <row r="17" ht="28" customHeight="1" s="76">
      <c r="A17" s="262" t="inlineStr">
        <is>
          <t>Başlangıç deneyimi</t>
        </is>
      </c>
      <c r="B17" s="250" t="inlineStr">
        <is>
          <t>İlk 5 saniyede ne gireceği ve neye bakacağı anlaşılır</t>
        </is>
      </c>
      <c r="C17" s="250" t="inlineStr">
        <is>
          <t>Girdi → durum → aksiyon akışı</t>
        </is>
      </c>
      <c r="D17" s="250" t="inlineStr">
        <is>
          <t>Kılavuz aramaya zorlama</t>
        </is>
      </c>
      <c r="E17" s="250" t="inlineStr">
        <is>
          <t>5 saniye testi</t>
        </is>
      </c>
      <c r="F17" s="263" t="inlineStr">
        <is>
          <t>ZORUNLU</t>
        </is>
      </c>
    </row>
    <row r="18" ht="30" customHeight="1" s="76">
      <c r="A18" s="258" t="inlineStr">
        <is>
          <t>Buton standardı</t>
        </is>
      </c>
      <c r="B18" s="259" t="inlineStr">
        <is>
          <t>Buton görünümü verilen her alan gerçek işlev taşır</t>
        </is>
      </c>
      <c r="C18" s="259" t="inlineStr">
        <is>
          <t>Sayfa içi HYPERLINK / gerçek aksiyon; tıklanınca hedefe gider</t>
        </is>
      </c>
      <c r="D18" s="259" t="inlineStr">
        <is>
          <t>İşlevsiz dekoratif buton / sahte navigasyon</t>
        </is>
      </c>
      <c r="E18" s="259" t="inlineStr">
        <is>
          <t>Butonların %100'ü tıklanabilir ve hedefi doğru</t>
        </is>
      </c>
      <c r="F18" s="263" t="inlineStr">
        <is>
          <t>ZORUNLU</t>
        </is>
      </c>
    </row>
    <row r="19" ht="32" customHeight="1" s="76">
      <c r="A19" s="258" t="inlineStr">
        <is>
          <t>Native sayfa sekmesi rengi</t>
        </is>
      </c>
      <c r="B19" s="259" t="inlineStr">
        <is>
          <t>Excel alt sheet tabları kurumsal paletle renklendirilir</t>
        </is>
      </c>
      <c r="C19" s="259" t="inlineStr">
        <is>
          <t>Başlangıç/özet=lacivert; girdiler=mavi; hesap/finans=teal; karar/kontrol=burgundy; doküman=gri</t>
        </is>
      </c>
      <c r="D19" s="259" t="inlineStr">
        <is>
          <t>Renksiz sekmeler veya rastgele/gökkuşağı renkleri</t>
        </is>
      </c>
      <c r="E19" s="259" t="inlineStr">
        <is>
          <t>Tüm görünür kullanıcı sheet tabları renkli</t>
        </is>
      </c>
      <c r="F19" s="263" t="inlineStr">
        <is>
          <t>ZORUNLU</t>
        </is>
      </c>
    </row>
    <row r="20" ht="60" customHeight="1" s="76">
      <c r="A20" s="258" t="inlineStr">
        <is>
          <t>İş akışı sıralaması</t>
        </is>
      </c>
      <c r="B20" s="259" t="inlineStr">
        <is>
          <t>Sayfalar kullanıcının çalışma sırasına göre fiziksel olarak dizilir</t>
        </is>
      </c>
      <c r="C20" s="259" t="inlineStr">
        <is>
          <t>Başlangıç → Yönetici Özeti → Varsayımlar → Tarihsel Giriş → THP → Hesap Motorları → 3 Finansal Tablo → Senaryo → Karar → Kontrol → Kılavuz/Meta/Oracle/Değer</t>
        </is>
      </c>
      <c r="D20" s="259" t="inlineStr">
        <is>
          <t>Teknik oluşturma sırasına göre dağınık sheet dizilimi</t>
        </is>
      </c>
      <c r="E20" s="259" t="inlineStr">
        <is>
          <t>Sheet order = tanımlı workflow</t>
        </is>
      </c>
      <c r="F20" s="263" t="inlineStr">
        <is>
          <t>ZORUNLU</t>
        </is>
      </c>
    </row>
    <row r="21" ht="30" customHeight="1" s="76">
      <c r="A21" s="258" t="inlineStr">
        <is>
          <t>Kurumsal renk paleti</t>
        </is>
      </c>
      <c r="B21" s="259" t="inlineStr">
        <is>
          <t>Sekme, başlık, buton ve vurgu renkleri tek kurumsal paletten gelir</t>
        </is>
      </c>
      <c r="C21" s="259" t="inlineStr">
        <is>
          <t>Lacivert + mavi + teal + kontrollü burgundy/gri; kategori semantiği sabit</t>
        </is>
      </c>
      <c r="D21" s="259" t="inlineStr">
        <is>
          <t>Neon, rastgele yüksek doygunluk, her sayfada farklı bağımsız renk</t>
        </is>
      </c>
      <c r="E21" s="259" t="inlineStr">
        <is>
          <t>Palette token kontrolü</t>
        </is>
      </c>
      <c r="F21" s="263" t="inlineStr">
        <is>
          <t>ZORUNLU</t>
        </is>
      </c>
    </row>
    <row r="22" ht="45" customHeight="1" s="76">
      <c r="A22" s="258" t="inlineStr">
        <is>
          <t>Premium vitrin</t>
        </is>
      </c>
      <c r="B22" s="259" t="inlineStr">
        <is>
          <t>Görsel kalite ürün değerinin zorunlu parçasıdır</t>
        </is>
      </c>
      <c r="C22" s="259" t="inlineStr">
        <is>
          <t>Kaliteli grafik, gerçek KPI kartı, finansal hiyerarşi, tab rengi, fonksiyonel navigasyon</t>
        </is>
      </c>
      <c r="D22" s="259" t="inlineStr">
        <is>
          <t>Sadece doğru hesap yapıp çıplak/varsayılan Excel görünümü bırakmak</t>
        </is>
      </c>
      <c r="E22" s="259" t="inlineStr">
        <is>
          <t>Görsel release incelemesi</t>
        </is>
      </c>
      <c r="F22" s="263" t="inlineStr">
        <is>
          <t>ZORUNLU</t>
        </is>
      </c>
    </row>
  </sheetData>
  <mergeCells count="1">
    <mergeCell ref="A1:F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tabColor rgb="FF2F75B5"/>
    <outlinePr summaryBelow="1" summaryRight="1"/>
    <pageSetUpPr/>
  </sheetPr>
  <dimension ref="A1:F18"/>
  <sheetViews>
    <sheetView showGridLines="0" workbookViewId="0">
      <selection activeCell="A1" sqref="A1"/>
    </sheetView>
  </sheetViews>
  <sheetFormatPr baseColWidth="8" defaultRowHeight="15"/>
  <cols>
    <col width="22" customWidth="1" style="76" min="1" max="1"/>
    <col width="40" customWidth="1" style="76" min="2" max="2"/>
    <col width="50" customWidth="1" style="76" min="3" max="3"/>
    <col width="30" customWidth="1" style="76" min="4" max="4"/>
    <col width="28" customWidth="1" style="76" min="5" max="5"/>
    <col width="26" customWidth="1" style="76" min="6" max="6"/>
  </cols>
  <sheetData>
    <row r="1" ht="28" customHeight="1" s="76">
      <c r="A1" s="264" t="inlineStr">
        <is>
          <t>TÜRKİYE MUHASEBE VE TEKDÜZEN HESAP PLANI STANDARDI</t>
        </is>
      </c>
    </row>
    <row r="3" ht="24" customHeight="1" s="76">
      <c r="A3" s="265" t="inlineStr">
        <is>
          <t>Konu</t>
        </is>
      </c>
      <c r="B3" s="265" t="inlineStr">
        <is>
          <t>Zorunlu Standart</t>
        </is>
      </c>
      <c r="C3" s="265" t="inlineStr">
        <is>
          <t>Örnek Türkçe Ad</t>
        </is>
      </c>
      <c r="D3" s="265" t="inlineStr">
        <is>
          <t>THP / Mantık</t>
        </is>
      </c>
      <c r="E3" s="265" t="inlineStr">
        <is>
          <t>Hata Riski</t>
        </is>
      </c>
      <c r="F3" s="265" t="inlineStr">
        <is>
          <t>Kontrol</t>
        </is>
      </c>
    </row>
    <row r="4">
      <c r="A4" s="266" t="inlineStr">
        <is>
          <t>Dil</t>
        </is>
      </c>
      <c r="B4" s="250" t="inlineStr">
        <is>
          <t>Kullanıcıya görünen finansal terimler Türkçe</t>
        </is>
      </c>
      <c r="C4" s="250" t="inlineStr">
        <is>
          <t>Hasılat, Satışların Maliyeti, Brüt Kâr, Faaliyet Giderleri</t>
        </is>
      </c>
      <c r="D4" s="250" t="inlineStr">
        <is>
          <t>Türk işletme kullanımına uygun</t>
        </is>
      </c>
      <c r="E4" s="250" t="inlineStr">
        <is>
          <t>İngilizce jargon</t>
        </is>
      </c>
      <c r="F4" s="250" t="inlineStr">
        <is>
          <t>Terminoloji taraması</t>
        </is>
      </c>
    </row>
    <row r="5" ht="28" customHeight="1" s="76">
      <c r="A5" s="266" t="inlineStr">
        <is>
          <t>Gelir Tablosu</t>
        </is>
      </c>
      <c r="B5" s="250" t="inlineStr">
        <is>
          <t>Türk sunum sırası kullanılır</t>
        </is>
      </c>
      <c r="C5" s="250" t="inlineStr">
        <is>
          <t>Net Satışlar → Satışların Maliyeti → Brüt Kâr → Faaliyet Giderleri → Faaliyet Kârı</t>
        </is>
      </c>
      <c r="D5" s="250" t="inlineStr">
        <is>
          <t>600/610/611; 620-623; 63x</t>
        </is>
      </c>
      <c r="E5" s="250" t="inlineStr">
        <is>
          <t>Yanlış sınıflama</t>
        </is>
      </c>
      <c r="F5" s="250" t="inlineStr">
        <is>
          <t>Hesap eşleme</t>
        </is>
      </c>
    </row>
    <row r="6" ht="28" customHeight="1" s="76">
      <c r="A6" s="266" t="inlineStr">
        <is>
          <t>Bilanço</t>
        </is>
      </c>
      <c r="B6" s="250" t="inlineStr">
        <is>
          <t>Dönen/Duran Varlık ve Kısa/Uzun Vadeli Yükümlülük ayrımı</t>
        </is>
      </c>
      <c r="C6" s="250" t="inlineStr">
        <is>
          <t>Hazır Değerler, Ticari Alacaklar, Stoklar, Mali Borçlar</t>
        </is>
      </c>
      <c r="D6" s="250" t="inlineStr">
        <is>
          <t>1xx / 2xx / 3xx / 4xx / 5xx</t>
        </is>
      </c>
      <c r="E6" s="250" t="inlineStr">
        <is>
          <t>Vade sınıfı hatası</t>
        </is>
      </c>
      <c r="F6" s="250" t="inlineStr">
        <is>
          <t>Bilanço eşitliği</t>
        </is>
      </c>
    </row>
    <row r="7">
      <c r="A7" s="266" t="inlineStr">
        <is>
          <t>Nakit Akışı</t>
        </is>
      </c>
      <c r="B7" s="250" t="inlineStr">
        <is>
          <t>İşletme/Yatırım/Finansman nakit akışları ayrılır</t>
        </is>
      </c>
      <c r="C7" s="250" t="inlineStr">
        <is>
          <t>Faaliyetlerden Nakit, Yatırım Harcamaları, Finansman Nakit Akışı</t>
        </is>
      </c>
      <c r="D7" s="250" t="inlineStr">
        <is>
          <t>Dolaylı/doğrudan yöntem açık seçilir</t>
        </is>
      </c>
      <c r="E7" s="250" t="inlineStr">
        <is>
          <t>Kâr = nakit sanılması</t>
        </is>
      </c>
      <c r="F7" s="250" t="inlineStr">
        <is>
          <t>Nakit devri</t>
        </is>
      </c>
    </row>
    <row r="8">
      <c r="A8" s="266" t="inlineStr">
        <is>
          <t>Ticari Alacaklar</t>
        </is>
      </c>
      <c r="B8" s="250" t="inlineStr">
        <is>
          <t>Cari ve vade mantığı korunur</t>
        </is>
      </c>
      <c r="C8" s="250" t="inlineStr">
        <is>
          <t>120 Alıcılar</t>
        </is>
      </c>
      <c r="D8" s="250" t="inlineStr">
        <is>
          <t>120</t>
        </is>
      </c>
      <c r="E8" s="250" t="inlineStr">
        <is>
          <t>Tahakkuk/nakit karışması</t>
        </is>
      </c>
      <c r="F8" s="250" t="inlineStr">
        <is>
          <t>Alacak devir kontrolü</t>
        </is>
      </c>
    </row>
    <row r="9">
      <c r="A9" s="266" t="inlineStr">
        <is>
          <t>Ticari Borçlar</t>
        </is>
      </c>
      <c r="B9" s="250" t="inlineStr">
        <is>
          <t>Tedarikçi borcu ayrı izlenir</t>
        </is>
      </c>
      <c r="C9" s="250" t="inlineStr">
        <is>
          <t>320 Satıcılar</t>
        </is>
      </c>
      <c r="D9" s="250" t="inlineStr">
        <is>
          <t>320</t>
        </is>
      </c>
      <c r="E9" s="250" t="inlineStr">
        <is>
          <t>Gider/ödeme karışması</t>
        </is>
      </c>
      <c r="F9" s="250" t="inlineStr">
        <is>
          <t>Borç devir kontrolü</t>
        </is>
      </c>
    </row>
    <row r="10">
      <c r="A10" s="266" t="inlineStr">
        <is>
          <t>Kasa/Banka</t>
        </is>
      </c>
      <c r="B10" s="250" t="inlineStr">
        <is>
          <t>Hazır değerler ayrı izlenir</t>
        </is>
      </c>
      <c r="C10" s="250" t="inlineStr">
        <is>
          <t>100 Kasa, 102 Bankalar</t>
        </is>
      </c>
      <c r="D10" s="250" t="inlineStr">
        <is>
          <t>100 / 102</t>
        </is>
      </c>
      <c r="E10" s="250" t="inlineStr">
        <is>
          <t>Virmanla toplam nakdin değişmesi</t>
        </is>
      </c>
      <c r="F10" s="250" t="inlineStr">
        <is>
          <t>Virman değişmezi</t>
        </is>
      </c>
    </row>
    <row r="11">
      <c r="A11" s="266" t="inlineStr">
        <is>
          <t>Stok</t>
        </is>
      </c>
      <c r="B11" s="250" t="inlineStr">
        <is>
          <t>Dikeye uygun stok türü</t>
        </is>
      </c>
      <c r="C11" s="250" t="inlineStr">
        <is>
          <t>150 İlk Madde ve Malzeme, 153 Ticari Mallar</t>
        </is>
      </c>
      <c r="D11" s="250" t="inlineStr">
        <is>
          <t>15x</t>
        </is>
      </c>
      <c r="E11" s="250" t="inlineStr">
        <is>
          <t>Maliyet ve stok hareketinin kopması</t>
        </is>
      </c>
      <c r="F11" s="250" t="inlineStr">
        <is>
          <t>Stok devri</t>
        </is>
      </c>
    </row>
    <row r="12" ht="28" customHeight="1" s="76">
      <c r="A12" s="266" t="inlineStr">
        <is>
          <t>Maddi Duran Varlık</t>
        </is>
      </c>
      <c r="B12" s="250" t="inlineStr">
        <is>
          <t>Yatırım harcaması ve amortisman bağlantılı</t>
        </is>
      </c>
      <c r="C12" s="250" t="inlineStr">
        <is>
          <t>253 Tesis Makine Cihazlar, 255 Demirbaşlar, 257 Birikmiş Amortismanlar</t>
        </is>
      </c>
      <c r="D12" s="250" t="inlineStr">
        <is>
          <t>25x</t>
        </is>
      </c>
      <c r="E12" s="250" t="inlineStr">
        <is>
          <t>Yatırım/gider karışması</t>
        </is>
      </c>
      <c r="F12" s="250" t="inlineStr">
        <is>
          <t>Net defter değeri devri</t>
        </is>
      </c>
    </row>
    <row r="13">
      <c r="A13" s="266" t="inlineStr">
        <is>
          <t>Mali Borçlar</t>
        </is>
      </c>
      <c r="B13" s="250" t="inlineStr">
        <is>
          <t>Kısa/uzun vadeli borç ayrımı</t>
        </is>
      </c>
      <c r="C13" s="250" t="inlineStr">
        <is>
          <t>300 Banka Kredileri / 400 Banka Kredileri</t>
        </is>
      </c>
      <c r="D13" s="250" t="inlineStr">
        <is>
          <t>300 / 400</t>
        </is>
      </c>
      <c r="E13" s="250" t="inlineStr">
        <is>
          <t>Vade sınıfı yanlış</t>
        </is>
      </c>
      <c r="F13" s="250" t="inlineStr">
        <is>
          <t>Borç devri</t>
        </is>
      </c>
    </row>
    <row r="14">
      <c r="A14" s="266" t="inlineStr">
        <is>
          <t>Özkaynak</t>
        </is>
      </c>
      <c r="B14" s="250" t="inlineStr">
        <is>
          <t>Sermaye ve geçmiş yıl kârları ayrı</t>
        </is>
      </c>
      <c r="C14" s="250" t="inlineStr">
        <is>
          <t>500 Sermaye, 570 Geçmiş Yıllar Kârları, 590 Dönem Net Kârı</t>
        </is>
      </c>
      <c r="D14" s="250" t="inlineStr">
        <is>
          <t>5xx</t>
        </is>
      </c>
      <c r="E14" s="250" t="inlineStr">
        <is>
          <t>Net kâr bağının kopması</t>
        </is>
      </c>
      <c r="F14" s="250" t="inlineStr">
        <is>
          <t>Özkaynak devri</t>
        </is>
      </c>
    </row>
    <row r="15">
      <c r="A15" s="266" t="inlineStr">
        <is>
          <t>Vergi</t>
        </is>
      </c>
      <c r="B15" s="250" t="inlineStr">
        <is>
          <t>Vergi satırları Türkiye mantığına uygun</t>
        </is>
      </c>
      <c r="C15" s="250" t="inlineStr">
        <is>
          <t>Dönem Vergi ve Diğer Yasal Yükümlülük Karşılıkları</t>
        </is>
      </c>
      <c r="D15" s="250" t="inlineStr">
        <is>
          <t>37x / ilgili vergi hesapları</t>
        </is>
      </c>
      <c r="E15" s="250" t="inlineStr">
        <is>
          <t>Vergi etkisinin yanlış dönemlenmesi</t>
        </is>
      </c>
      <c r="F15" s="250" t="inlineStr">
        <is>
          <t>Vergi sözleşmesi</t>
        </is>
      </c>
    </row>
    <row r="16">
      <c r="A16" s="266" t="inlineStr">
        <is>
          <t>İsim standardı</t>
        </is>
      </c>
      <c r="B16" s="250" t="inlineStr">
        <is>
          <t>Tablo ve sayfa adları Türkçe ve işlevsel</t>
        </is>
      </c>
      <c r="C16" s="250" t="inlineStr">
        <is>
          <t>GELİR_TABLOSU, BİLANÇO, NAKİT_AKISI, BORC_PLANI</t>
        </is>
      </c>
      <c r="D16" s="250" t="inlineStr">
        <is>
          <t>Tekrarlanabilir standart</t>
        </is>
      </c>
      <c r="E16" s="250" t="inlineStr">
        <is>
          <t>İngilizce/karma isim</t>
        </is>
      </c>
      <c r="F16" s="250" t="inlineStr">
        <is>
          <t>Sayfa ve tablo taraması</t>
        </is>
      </c>
    </row>
    <row r="17">
      <c r="A17" s="266" t="inlineStr">
        <is>
          <t>THP eşleme tablosu</t>
        </is>
      </c>
      <c r="B17" s="250" t="inlineStr">
        <is>
          <t>Her kritik satır en az bir THP hesabına bağlanır</t>
        </is>
      </c>
      <c r="C17" s="250" t="inlineStr">
        <is>
          <t>RaporSatırı → HesapKodu → HesapAdı → İşaret → Dönem</t>
        </is>
      </c>
      <c r="D17" s="250" t="inlineStr">
        <is>
          <t>Kaynak izlenebilirliği</t>
        </is>
      </c>
      <c r="E17" s="250" t="inlineStr">
        <is>
          <t>Rapordan rapora kaynak</t>
        </is>
      </c>
      <c r="F17" s="250" t="inlineStr">
        <is>
          <t>Eşleme kapsama %100</t>
        </is>
      </c>
    </row>
    <row r="18">
      <c r="A18" s="266" t="inlineStr">
        <is>
          <t>İstisna</t>
        </is>
      </c>
      <c r="B18" s="250" t="inlineStr">
        <is>
          <t>TFRS özel ürün varsa fark açık yazılır</t>
        </is>
      </c>
      <c r="C18" s="250" t="inlineStr">
        <is>
          <t>Tekdüzen raporlama ≠ TFRS finansal tablo sunumu</t>
        </is>
      </c>
      <c r="D18" s="250" t="inlineStr">
        <is>
          <t>Amaç belirtilir</t>
        </is>
      </c>
      <c r="E18" s="250" t="inlineStr">
        <is>
          <t>Standartları karıştırma</t>
        </is>
      </c>
      <c r="F18" s="250" t="inlineStr">
        <is>
          <t>Model amacı kontrolü</t>
        </is>
      </c>
    </row>
  </sheetData>
  <mergeCells count="1">
    <mergeCell ref="A1:F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tabColor rgb="FF5B477E"/>
    <outlinePr summaryBelow="1" summaryRight="1"/>
    <pageSetUpPr/>
  </sheetPr>
  <dimension ref="A1:F19"/>
  <sheetViews>
    <sheetView showGridLines="0" workbookViewId="0">
      <selection activeCell="A1" sqref="A1"/>
    </sheetView>
  </sheetViews>
  <sheetFormatPr baseColWidth="8" defaultRowHeight="15"/>
  <cols>
    <col width="18" customWidth="1" style="76" min="1" max="1"/>
    <col width="32" customWidth="1" style="76" min="2" max="2"/>
    <col width="54" customWidth="1" style="76" min="3" max="3"/>
    <col width="34" customWidth="1" style="76" min="4" max="4"/>
    <col width="16" customWidth="1" style="76" min="6" max="6"/>
  </cols>
  <sheetData>
    <row r="1" ht="28" customHeight="1" s="76">
      <c r="A1" s="267" t="inlineStr">
        <is>
          <t>KARAR, GÜVEN VE SATIŞA HAZIRLIK STANDARDI</t>
        </is>
      </c>
    </row>
    <row r="3" ht="24" customHeight="1" s="76">
      <c r="A3" s="268" t="inlineStr">
        <is>
          <t>Alan</t>
        </is>
      </c>
      <c r="B3" s="268" t="inlineStr">
        <is>
          <t>Müşteri Sorusu</t>
        </is>
      </c>
      <c r="C3" s="268" t="inlineStr">
        <is>
          <t>Zorunlu Ürün Davranışı</t>
        </is>
      </c>
      <c r="D3" s="268" t="inlineStr">
        <is>
          <t>Kanıt</t>
        </is>
      </c>
      <c r="E3" s="268" t="inlineStr">
        <is>
          <t>Başarısızlık Durumu</t>
        </is>
      </c>
      <c r="F3" s="268" t="inlineStr">
        <is>
          <t>Kapı</t>
        </is>
      </c>
    </row>
    <row r="4">
      <c r="A4" s="269" t="inlineStr">
        <is>
          <t>5 saniye</t>
        </is>
      </c>
      <c r="B4" s="250" t="inlineStr">
        <is>
          <t>Bu ürün neyi çözüyor?</t>
        </is>
      </c>
      <c r="C4" s="250" t="inlineStr">
        <is>
          <t>İlk ekranda hedef kullanıcı + pahalı problem + sonuç görünür</t>
        </is>
      </c>
      <c r="D4" s="250" t="inlineStr">
        <is>
          <t>Başlık + alt mesaj + gerçek ekran</t>
        </is>
      </c>
      <c r="E4" s="250" t="inlineStr">
        <is>
          <t>Ürün yalnız teknik isim</t>
        </is>
      </c>
      <c r="F4" s="270" t="inlineStr">
        <is>
          <t>HATA</t>
        </is>
      </c>
    </row>
    <row r="5">
      <c r="A5" s="269" t="inlineStr">
        <is>
          <t>Acı</t>
        </is>
      </c>
      <c r="B5" s="250" t="inlineStr">
        <is>
          <t>Sorun bana neye mal oluyor?</t>
        </is>
      </c>
      <c r="C5" s="250" t="inlineStr">
        <is>
          <t>Mümkünse müşterinin kendi verisiyle parasal/zaman etkisi hesaplanır</t>
        </is>
      </c>
      <c r="D5" s="250" t="inlineStr">
        <is>
          <t>ROI/acı hesaplama yöntemi</t>
        </is>
      </c>
      <c r="E5" s="250" t="inlineStr">
        <is>
          <t>Uydurma tasarruf</t>
        </is>
      </c>
      <c r="F5" s="270" t="inlineStr">
        <is>
          <t>HATA</t>
        </is>
      </c>
    </row>
    <row r="6">
      <c r="A6" s="269" t="inlineStr">
        <is>
          <t>Karar</t>
        </is>
      </c>
      <c r="B6" s="250" t="inlineStr">
        <is>
          <t>Bu bilgiyle ne yapacağım?</t>
        </is>
      </c>
      <c r="C6" s="250" t="inlineStr">
        <is>
          <t>Her kritik KPI aksiyona bağlanır</t>
        </is>
      </c>
      <c r="D6" s="250" t="inlineStr">
        <is>
          <t>KARAR_KUYRUGU</t>
        </is>
      </c>
      <c r="E6" s="250" t="inlineStr">
        <is>
          <t>Sadece rapor</t>
        </is>
      </c>
      <c r="F6" s="270" t="inlineStr">
        <is>
          <t>HATA</t>
        </is>
      </c>
    </row>
    <row r="7">
      <c r="A7" s="269" t="inlineStr">
        <is>
          <t>Güven</t>
        </is>
      </c>
      <c r="B7" s="250" t="inlineStr">
        <is>
          <t>Bu sayıya neden inanayım?</t>
        </is>
      </c>
      <c r="C7" s="250" t="inlineStr">
        <is>
          <t>Kaynak, formül mantığı, kontrol ve son doğrulama görünür</t>
        </is>
      </c>
      <c r="D7" s="250" t="inlineStr">
        <is>
          <t>Kontroller + kaynak izi + sürüm</t>
        </is>
      </c>
      <c r="E7" s="250" t="inlineStr">
        <is>
          <t>Prestij kelimesi</t>
        </is>
      </c>
      <c r="F7" s="270" t="inlineStr">
        <is>
          <t>HATA</t>
        </is>
      </c>
    </row>
    <row r="8">
      <c r="A8" s="269" t="inlineStr">
        <is>
          <t>Referans</t>
        </is>
      </c>
      <c r="B8" s="250" t="inlineStr">
        <is>
          <t>Müşteri yorumu yoksa ne göstereceğim?</t>
        </is>
      </c>
      <c r="C8" s="250" t="inlineStr">
        <is>
          <t>Önce/Sonra + Karar Vakası + Hata Önleme Vakası üretilir</t>
        </is>
      </c>
      <c r="D8" s="250" t="inlineStr">
        <is>
          <t>Demo/örnek çıktı</t>
        </is>
      </c>
      <c r="E8" s="250" t="inlineStr">
        <is>
          <t>Kanıtsız iddia</t>
        </is>
      </c>
      <c r="F8" s="270" t="inlineStr">
        <is>
          <t>HATA</t>
        </is>
      </c>
    </row>
    <row r="9">
      <c r="A9" s="269" t="inlineStr">
        <is>
          <t>Senaryo</t>
        </is>
      </c>
      <c r="B9" s="250" t="inlineStr">
        <is>
          <t>Ne olursa işler bozulur?</t>
        </is>
      </c>
      <c r="C9" s="250" t="inlineStr">
        <is>
          <t>Baz/Aşağı/Yukarı veya uygun stres senaryosu</t>
        </is>
      </c>
      <c r="D9" s="250" t="inlineStr">
        <is>
          <t>Senaryo karşılaştırma</t>
        </is>
      </c>
      <c r="E9" s="250" t="inlineStr">
        <is>
          <t>Dekoratif senaryo</t>
        </is>
      </c>
      <c r="F9" s="270" t="inlineStr">
        <is>
          <t>HATA</t>
        </is>
      </c>
    </row>
    <row r="10">
      <c r="A10" s="269" t="inlineStr">
        <is>
          <t>Ters stres</t>
        </is>
      </c>
      <c r="B10" s="250" t="inlineStr">
        <is>
          <t>Hangi eşikte karar kırılır?</t>
        </is>
      </c>
      <c r="C10" s="250" t="inlineStr">
        <is>
          <t>En az bir kritik sürücü için kırılma eşiği</t>
        </is>
      </c>
      <c r="D10" s="250" t="inlineStr">
        <is>
          <t>Kırılma eşiği tablosu</t>
        </is>
      </c>
      <c r="E10" s="250" t="inlineStr">
        <is>
          <t>Sadece +/- %10</t>
        </is>
      </c>
      <c r="F10" s="270" t="inlineStr">
        <is>
          <t>UYARI/HATA</t>
        </is>
      </c>
    </row>
    <row r="11">
      <c r="A11" s="269" t="inlineStr">
        <is>
          <t>Hata tutarlılığı</t>
        </is>
      </c>
      <c r="B11" s="250" t="inlineStr">
        <is>
          <t>Formül hata verirse ne olur?</t>
        </is>
      </c>
      <c r="C11" s="250" t="inlineStr">
        <is>
          <t>Kontrol GEÇTİ veremez; BLOKE/HATA üretir</t>
        </is>
      </c>
      <c r="D11" s="250" t="inlineStr">
        <is>
          <t>Hata taraması</t>
        </is>
      </c>
      <c r="E11" s="250" t="inlineStr">
        <is>
          <t>Hata + GEÇTİ birlikte</t>
        </is>
      </c>
      <c r="F11" s="270" t="inlineStr">
        <is>
          <t>HATA</t>
        </is>
      </c>
    </row>
    <row r="12">
      <c r="A12" s="269" t="inlineStr">
        <is>
          <t>Karar motoru</t>
        </is>
      </c>
      <c r="B12" s="250" t="inlineStr">
        <is>
          <t>Ne oldu, neden oldu?</t>
        </is>
      </c>
      <c r="C12" s="250" t="inlineStr">
        <is>
          <t>Sorun + neden + parasal etki + aksiyon + son tarih</t>
        </is>
      </c>
      <c r="D12" s="250" t="inlineStr">
        <is>
          <t>Karar tablosu</t>
        </is>
      </c>
      <c r="E12" s="250" t="inlineStr">
        <is>
          <t>Boş sayfa / isim düzeyi modül</t>
        </is>
      </c>
      <c r="F12" s="270" t="inlineStr">
        <is>
          <t>HATA</t>
        </is>
      </c>
    </row>
    <row r="13">
      <c r="A13" s="269" t="inlineStr">
        <is>
          <t>Yönetici özeti</t>
        </is>
      </c>
      <c r="B13" s="250" t="inlineStr">
        <is>
          <t>5 saniyede ne görmeliyim?</t>
        </is>
      </c>
      <c r="C13" s="250" t="inlineStr">
        <is>
          <t>Bugün / ne değişti / ne bozulacak / neden / ne yapmalıyım / güven</t>
        </is>
      </c>
      <c r="D13" s="250" t="inlineStr">
        <is>
          <t>Yönetici özeti ekranı</t>
        </is>
      </c>
      <c r="E13" s="250" t="inlineStr">
        <is>
          <t>KPI kutusu yığını</t>
        </is>
      </c>
      <c r="F13" s="270" t="inlineStr">
        <is>
          <t>HATA</t>
        </is>
      </c>
    </row>
    <row r="14">
      <c r="A14" s="269" t="inlineStr">
        <is>
          <t>Teklif</t>
        </is>
      </c>
      <c r="B14" s="250" t="inlineStr">
        <is>
          <t>Neden satın almalıyım?</t>
        </is>
      </c>
      <c r="C14" s="250" t="inlineStr">
        <is>
          <t>Dosya özellikleri yerine sonuç ve kaçınılan maliyet sunulur</t>
        </is>
      </c>
      <c r="D14" s="250" t="inlineStr">
        <is>
          <t>Ürün sayfası kanıt eşlemesi</t>
        </is>
      </c>
      <c r="E14" s="250" t="inlineStr">
        <is>
          <t>Özellik listesiyle satış</t>
        </is>
      </c>
      <c r="F14" s="270" t="inlineStr">
        <is>
          <t>HATA</t>
        </is>
      </c>
    </row>
    <row r="15">
      <c r="A15" s="269" t="inlineStr">
        <is>
          <t>Dağıtım</t>
        </is>
      </c>
      <c r="B15" s="250" t="inlineStr">
        <is>
          <t>Beni nasıl bulacaklar?</t>
        </is>
      </c>
      <c r="C15" s="250" t="inlineStr">
        <is>
          <t>Sorun niyetine göre SEO sayfaları, iç bağlantı, temiz yapı, taranabilir metin</t>
        </is>
      </c>
      <c r="D15" s="250" t="inlineStr">
        <is>
          <t>Arama niyeti haritası</t>
        </is>
      </c>
      <c r="E15" s="250" t="inlineStr">
        <is>
          <t>Tek ürün sayfasına bağımlılık</t>
        </is>
      </c>
      <c r="F15" s="270" t="inlineStr">
        <is>
          <t>UYARI</t>
        </is>
      </c>
    </row>
    <row r="16" ht="28" customHeight="1" s="76">
      <c r="A16" s="269" t="inlineStr">
        <is>
          <t>LLM görünürlüğü</t>
        </is>
      </c>
      <c r="B16" s="250" t="inlineStr">
        <is>
          <t>AI ürünümü anlayabiliyor mu?</t>
        </is>
      </c>
      <c r="C16" s="250" t="inlineStr">
        <is>
          <t>Ürün tanımı, hedef kullanıcı, girdi/çıktı, metodoloji, sınırlar, SSS açık metindir</t>
        </is>
      </c>
      <c r="D16" s="250" t="inlineStr">
        <is>
          <t>Taranabilir ürün içeriği</t>
        </is>
      </c>
      <c r="E16" s="250" t="inlineStr">
        <is>
          <t>'AI SEO' iddiası</t>
        </is>
      </c>
      <c r="F16" s="270" t="inlineStr">
        <is>
          <t>UYARI</t>
        </is>
      </c>
    </row>
    <row r="17">
      <c r="A17" s="269" t="inlineStr">
        <is>
          <t>Satış kanalı</t>
        </is>
      </c>
      <c r="B17" s="250" t="inlineStr">
        <is>
          <t>Nerede satılmalı?</t>
        </is>
      </c>
      <c r="C17" s="250" t="inlineStr">
        <is>
          <t>Arama, LinkedIn, uzman/partner, demo/video; ürüne göre kanal seçilir</t>
        </is>
      </c>
      <c r="D17" s="250" t="inlineStr">
        <is>
          <t>Kanal matrisi</t>
        </is>
      </c>
      <c r="E17" s="250" t="inlineStr">
        <is>
          <t>Her ürüne aynı kanal</t>
        </is>
      </c>
      <c r="F17" s="270" t="inlineStr">
        <is>
          <t>UYARI</t>
        </is>
      </c>
    </row>
    <row r="18">
      <c r="A18" s="269" t="inlineStr">
        <is>
          <t>Fiyat</t>
        </is>
      </c>
      <c r="B18" s="250" t="inlineStr">
        <is>
          <t>Bu fiyat neden mantıklı?</t>
        </is>
      </c>
      <c r="C18" s="250" t="inlineStr">
        <is>
          <t>Fiyat, ekonomik karar değerine ve kanıtlanmış ürün derinliğine bağlanır</t>
        </is>
      </c>
      <c r="D18" s="250" t="inlineStr">
        <is>
          <t>Değer haritası + demo</t>
        </is>
      </c>
      <c r="E18" s="250" t="inlineStr">
        <is>
          <t>Sırf sayfa/formül sayısı</t>
        </is>
      </c>
      <c r="F18" s="270" t="inlineStr">
        <is>
          <t>HATA</t>
        </is>
      </c>
    </row>
    <row r="19">
      <c r="A19" s="269" t="inlineStr">
        <is>
          <t>Pazar kanıtı</t>
        </is>
      </c>
      <c r="B19" s="250" t="inlineStr">
        <is>
          <t>Piyasa gerçekten ödüyor mu?</t>
        </is>
      </c>
      <c r="C19" s="250" t="inlineStr">
        <is>
          <t>Satış/pilot/LOI/fiyat kabulü olmadan pazar doğrulandı yazılmaz</t>
        </is>
      </c>
      <c r="D19" s="250" t="inlineStr">
        <is>
          <t>Gerçek işlem kanıtı</t>
        </is>
      </c>
      <c r="E19" s="250" t="inlineStr">
        <is>
          <t>Tahmini talep = satış kabulü</t>
        </is>
      </c>
      <c r="F19" s="270" t="inlineStr">
        <is>
          <t>HATA</t>
        </is>
      </c>
    </row>
  </sheetData>
  <mergeCells count="1">
    <mergeCell ref="A1:F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 filterMode="0">
    <outlinePr summaryBelow="1" summaryRight="1"/>
    <pageSetUpPr fitToPage="0"/>
  </sheetPr>
  <dimension ref="A1:AN21"/>
  <sheetViews>
    <sheetView showFormulas="0" showGridLines="0" showRowColHeaders="1" showZeros="1" rightToLeft="0" tabSelected="1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customHeight="0" zeroHeight="0" outlineLevelRow="0"/>
  <cols>
    <col width="60" customWidth="1" style="102" min="1" max="1"/>
  </cols>
  <sheetData>
    <row r="1" ht="25.5" customHeight="1" s="76">
      <c r="A1" s="103" t="inlineStr">
        <is>
          <t>KAPAK — Proje ve İş Bazında Gerçek Kârlılık Sistemi</t>
        </is>
      </c>
    </row>
    <row r="3" ht="30" customHeight="1" s="76">
      <c r="A3" s="104" t="inlineStr">
        <is>
          <t>Proje ve İş Bazında Gerçek Kârlılık Sistemi</t>
        </is>
      </c>
    </row>
    <row r="4" ht="15" customHeight="1" s="76">
      <c r="A4" s="105" t="inlineStr">
        <is>
          <t>Her işin gelirini direkt giderlerle eşleştirin; iş bazında gerçek kâr ve marjı çıkarın, kaynakları kârlı işlere yönlendirin.</t>
        </is>
      </c>
    </row>
    <row r="6" ht="15" customHeight="1" s="76">
      <c r="A6" s="106" t="inlineStr">
        <is>
          <t>Bu ürün ne sağlar?</t>
        </is>
      </c>
    </row>
    <row r="7" ht="15" customHeight="1" s="76">
      <c r="A7" s="107" t="inlineStr">
        <is>
          <t>• İş bazında gelir ve direkt gider eşleştirmesi</t>
        </is>
      </c>
    </row>
    <row r="8" ht="15" customHeight="1" s="76">
      <c r="A8" s="107" t="inlineStr">
        <is>
          <t>• Gerçek kâr ve marj hesabı ile günlük kâr karşılaştırması</t>
        </is>
      </c>
    </row>
    <row r="9" ht="15" customHeight="1" s="76">
      <c r="A9" s="107" t="inlineStr">
        <is>
          <t>• Zarar eden iş uyarısı ve kaynak önceliklendirme</t>
        </is>
      </c>
    </row>
    <row r="10" ht="15" customHeight="1" s="76">
      <c r="A10" s="107" t="inlineStr">
        <is>
          <t>• Senaryo ve duyarlılık analiziyle fiyat/maliyet yönetimi</t>
        </is>
      </c>
    </row>
    <row r="11" ht="15" customHeight="1" s="76">
      <c r="A11" s="107" t="inlineStr">
        <is>
          <t>• Yönetici raporu ve karar kapısı (UYGUN/İNCELE/DURDUR)</t>
        </is>
      </c>
    </row>
    <row r="14" ht="15" customHeight="1" s="76">
      <c r="A14" s="106" t="inlineStr">
        <is>
          <t>Kimler için?</t>
        </is>
      </c>
    </row>
    <row r="15" ht="15" customHeight="1" s="76">
      <c r="A15" s="108" t="inlineStr">
        <is>
          <t>• Proje bazlı çalışan üreticiler</t>
        </is>
      </c>
    </row>
    <row r="16" ht="15" customHeight="1" s="76">
      <c r="A16" s="108" t="inlineStr">
        <is>
          <t>• Hizmet işletmeleri</t>
        </is>
      </c>
    </row>
    <row r="17" ht="15" customHeight="1" s="76">
      <c r="A17" s="108" t="inlineStr">
        <is>
          <t>• Kaynak tahsisini kâra göre yapmak isteyenler</t>
        </is>
      </c>
    </row>
    <row r="18" ht="15" customHeight="1" s="76">
      <c r="A18" s="106" t="inlineStr">
        <is>
          <t>Nasıl başlanır?</t>
        </is>
      </c>
    </row>
    <row r="19" ht="15" customHeight="1" s="76">
      <c r="A19" s="107" t="inlineStr">
        <is>
          <t>1. HIZLI_BASLANGIC sayfasını okuyun. 2. IS_GIRILERI sayfasına işlerinizi girin. 3. PANO ve RAPOR sayfalarından sonucu izleyin.</t>
        </is>
      </c>
    </row>
    <row r="21" ht="15" customHeight="1" s="76">
      <c r="A21" s="109" t="inlineStr">
        <is>
          <t>Sürüm 1.0.0 | 2026 | ExcelArşiv | Lisans: Tek kullanıcı</t>
        </is>
      </c>
    </row>
  </sheetData>
  <sheetProtection selectLockedCells="0" selectUnlockedCells="0" sheet="1" objects="1" insertRows="1" insertHyperlinks="1" autoFilter="1" scenarios="1" formatColumns="1" deleteColumns="0" insertColumns="1" pivotTables="1" deleteRows="0" formatCells="1" formatRows="1" sort="1" password="cc3d"/>
  <mergeCells count="10">
    <mergeCell ref="A9:AD9"/>
    <mergeCell ref="A3:AN3"/>
    <mergeCell ref="A8:AD8"/>
    <mergeCell ref="A7:AD7"/>
    <mergeCell ref="A4:P4"/>
    <mergeCell ref="A11:AD11"/>
    <mergeCell ref="A10:AD10"/>
    <mergeCell ref="A21:P21"/>
    <mergeCell ref="A1:AN1"/>
    <mergeCell ref="A19:P19"/>
  </mergeCell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11.xml><?xml version="1.0" encoding="utf-8"?>
<worksheet xmlns="http://schemas.openxmlformats.org/spreadsheetml/2006/main">
  <sheetPr filterMode="0">
    <outlinePr summaryBelow="1" summaryRight="1"/>
    <pageSetUpPr fitToPage="0"/>
  </sheetPr>
  <dimension ref="A1:AD15"/>
  <sheetViews>
    <sheetView showFormulas="0" showGridLines="0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customHeight="0" zeroHeight="0" outlineLevelRow="0"/>
  <cols>
    <col width="70" customWidth="1" style="102" min="1" max="1"/>
    <col width="60" customWidth="1" style="102" min="2" max="2"/>
  </cols>
  <sheetData>
    <row r="1" ht="25.5" customHeight="1" s="76">
      <c r="A1" s="103" t="inlineStr">
        <is>
          <t>HIZLI BASLANGIC — Proje ve İş Bazında Gerçek Kârlılık Sistemi</t>
        </is>
      </c>
    </row>
    <row r="3" ht="15.75" customHeight="1" s="76">
      <c r="A3" s="110" t="inlineStr">
        <is>
          <t>Nasıl kullanılır?</t>
        </is>
      </c>
    </row>
    <row r="5" ht="15" customHeight="1" s="76">
      <c r="A5" s="111" t="inlineStr">
        <is>
          <t>Adım 1 — İşleri girin</t>
        </is>
      </c>
      <c r="B5" s="107" t="inlineStr">
        <is>
          <t>IS_GIRILERI sayfasındaki sarı hücrelere iş numarası, iş adı, toplam gelir, direkt maliyet ve süre girin. Her satır bir iştir.</t>
        </is>
      </c>
    </row>
    <row r="6" ht="15" customHeight="1" s="76">
      <c r="A6" s="111" t="inlineStr">
        <is>
          <t>Adım 2 — Sonuçları izleyin</t>
        </is>
      </c>
      <c r="B6" s="107" t="inlineStr">
        <is>
          <t>HESAP sayfası iş bazında kâr, marj ve günlük kârı hesaplar; PANO özeti gösterir.</t>
        </is>
      </c>
    </row>
    <row r="7" ht="15" customHeight="1" s="76">
      <c r="A7" s="111" t="inlineStr">
        <is>
          <t>Adım 3 — Karar ve rapor</t>
        </is>
      </c>
      <c r="B7" s="107" t="inlineStr">
        <is>
          <t>KARAR sayfası UYGUN/İNCELE/DURDUR üretir; RAPOR yöneticiye sunulabilir.</t>
        </is>
      </c>
    </row>
    <row r="8" ht="15" customHeight="1" s="76">
      <c r="A8" s="111" t="inlineStr">
        <is>
          <t>Adım 4 — Eşikleri ayarlayın</t>
        </is>
      </c>
      <c r="B8" s="107" t="inlineStr">
        <is>
          <t>Marj ve günlük kâr eşikleri AYARLAR sayfasından değiştirilir.</t>
        </is>
      </c>
    </row>
    <row r="11" ht="15" customHeight="1" s="76">
      <c r="A11" s="112" t="inlineStr">
        <is>
          <t>Sık yapılan hatalar</t>
        </is>
      </c>
    </row>
    <row r="12" ht="15" customHeight="1" s="76">
      <c r="A12" s="113" t="inlineStr">
        <is>
          <t>• Direkt giderlere genel giderleri de eklemek (maliyeti şişirir)</t>
        </is>
      </c>
    </row>
    <row r="13" ht="15" customHeight="1" s="76">
      <c r="A13" s="113" t="inlineStr">
        <is>
          <t>• Süreyi gün yerine hafta girmek</t>
        </is>
      </c>
    </row>
    <row r="14" ht="15" customHeight="1" s="76">
      <c r="A14" s="113" t="inlineStr">
        <is>
          <t>• İş numarasını boş bırakmak</t>
        </is>
      </c>
    </row>
    <row r="15" ht="15" customHeight="1" s="76">
      <c r="A15" s="114" t="inlineStr">
        <is>
          <t>Bu dosya karar destek aracıdır; muhasebe kaydı veya vergi beyanı değildir.</t>
        </is>
      </c>
    </row>
  </sheetData>
  <sheetProtection selectLockedCells="0" selectUnlockedCells="0" sheet="1" objects="1" insertRows="1" insertHyperlinks="1" autoFilter="1" scenarios="1" formatColumns="1" deleteColumns="0" insertColumns="1" pivotTables="1" deleteRows="0" formatCells="1" formatRows="1" sort="1" password="cc3d"/>
  <mergeCells count="5">
    <mergeCell ref="B5:T5"/>
    <mergeCell ref="B8:T8"/>
    <mergeCell ref="B6:T6"/>
    <mergeCell ref="A1:AD1"/>
    <mergeCell ref="B7:T7"/>
  </mergeCell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  <legacyDrawing xmlns:r="http://schemas.openxmlformats.org/officeDocument/2006/relationships" r:id="anysvml"/>
</worksheet>
</file>

<file path=xl/worksheets/sheet12.xml><?xml version="1.0" encoding="utf-8"?>
<worksheet xmlns="http://schemas.openxmlformats.org/spreadsheetml/2006/main">
  <sheetPr filterMode="0">
    <outlinePr summaryBelow="1" summaryRight="1"/>
    <pageSetUpPr fitToPage="0"/>
  </sheetPr>
  <dimension ref="A1:AN1006"/>
  <sheetViews>
    <sheetView showFormulas="0" showGridLines="0" showRowColHeaders="1" showZeros="1" rightToLeft="0" tabSelected="0" showOutlineSymbols="1" defaultGridColor="1" view="normal" topLeftCell="A1" colorId="64" zoomScale="100" zoomScaleNormal="100" zoomScalePageLayoutView="100" workbookViewId="0">
      <pane xSplit="0" ySplit="5" topLeftCell="A6" activePane="bottomLeft" state="frozen"/>
      <selection pane="topLeft" activeCell="A1" activeCellId="0" sqref="A1"/>
      <selection pane="bottomLeft" activeCell="A1" activeCellId="0" sqref="A1"/>
    </sheetView>
  </sheetViews>
  <sheetFormatPr baseColWidth="8" defaultColWidth="8.6796875" defaultRowHeight="15" customHeight="0" zeroHeight="0" outlineLevelRow="0"/>
  <cols>
    <col width="30" customWidth="1" style="102" min="1" max="1"/>
    <col width="22" customWidth="1" style="102" min="2" max="2"/>
    <col width="16" customWidth="1" style="102" min="3" max="3"/>
    <col width="18" customWidth="1" style="102" min="4" max="4"/>
    <col width="13" customWidth="1" style="102" min="5" max="5"/>
    <col width="16" customWidth="1" style="102" min="6" max="6"/>
    <col width="13" customWidth="1" style="102" min="7" max="7"/>
    <col width="16" customWidth="1" style="102" min="8" max="8"/>
    <col width="12" customWidth="1" style="102" min="9" max="9"/>
    <col width="22" customWidth="1" style="102" min="10" max="10"/>
  </cols>
  <sheetData>
    <row r="1" ht="25.5" customHeight="1" s="76">
      <c r="A1" s="103" t="inlineStr">
        <is>
          <t>IS GIRILERI — Proje ve İş Bazında Gerçek Kârlılık Sistemi</t>
        </is>
      </c>
    </row>
    <row r="3" ht="15.75" customHeight="1" s="76">
      <c r="A3" s="110" t="inlineStr">
        <is>
          <t>İş ve Gelir-Gider Girişleri</t>
        </is>
      </c>
    </row>
    <row r="4" ht="41.25" customHeight="1" s="76">
      <c r="A4" s="105" t="inlineStr">
        <is>
          <t>Sarı hücrelere manuel veri girin. Her satır bir iştir; kâr, marj ve günlük kâr otomatik hesaplanır.</t>
        </is>
      </c>
    </row>
    <row r="5" ht="30" customHeight="1" s="76">
      <c r="A5" s="115" t="inlineStr">
        <is>
          <t>İş Numarası</t>
        </is>
      </c>
      <c r="B5" s="115" t="inlineStr">
        <is>
          <t>İş Adı</t>
        </is>
      </c>
      <c r="C5" s="115" t="inlineStr">
        <is>
          <t>Toplam Gelir (₺)</t>
        </is>
      </c>
      <c r="D5" s="115" t="inlineStr">
        <is>
          <t>Direkt Maliyet (₺)</t>
        </is>
      </c>
      <c r="E5" s="115" t="inlineStr">
        <is>
          <t>Süre (Gün)</t>
        </is>
      </c>
      <c r="F5" s="115" t="inlineStr">
        <is>
          <t>Kâr (₺)</t>
        </is>
      </c>
      <c r="G5" s="115" t="inlineStr">
        <is>
          <t>Marj</t>
        </is>
      </c>
      <c r="H5" s="115" t="inlineStr">
        <is>
          <t>Günlük Kâr (₺)</t>
        </is>
      </c>
      <c r="I5" s="115" t="inlineStr">
        <is>
          <t>Durum</t>
        </is>
      </c>
      <c r="J5" s="115" t="inlineStr">
        <is>
          <t>Not</t>
        </is>
      </c>
    </row>
    <row r="6" ht="15.75" customHeight="1" s="76">
      <c r="A6" s="116" t="inlineStr">
        <is>
          <t>IS-001</t>
        </is>
      </c>
      <c r="B6" s="116" t="inlineStr">
        <is>
          <t>Web sitesi yenileme projesi</t>
        </is>
      </c>
      <c r="C6" s="117" t="n">
        <v>250000</v>
      </c>
      <c r="D6" s="117" t="n">
        <v>140000</v>
      </c>
      <c r="E6" s="118" t="n">
        <v>45</v>
      </c>
      <c r="F6" s="119">
        <f>$C6-$D6</f>
        <v/>
      </c>
      <c r="G6" s="120">
        <f>IF($C6=0,0,$F6/$C6)</f>
        <v/>
      </c>
      <c r="H6" s="119">
        <f>IF($E6=0,0,$F6/$E6)</f>
        <v/>
      </c>
      <c r="I6" s="121">
        <f>IF($B6="","",IF($F6&lt;0,"ZARAR",IF($G6&lt;IsMarjEsik,"RİSK","KÂRLI")))</f>
        <v/>
      </c>
      <c r="J6" s="116" t="inlineStr">
        <is>
          <t>Örnek: kârlı iş</t>
        </is>
      </c>
    </row>
    <row r="7" ht="15.75" customHeight="1" s="76">
      <c r="A7" s="116" t="inlineStr">
        <is>
          <t>IS-002</t>
        </is>
      </c>
      <c r="B7" s="116" t="inlineStr">
        <is>
          <t>Mobil uygulama geliştirme</t>
        </is>
      </c>
      <c r="C7" s="117" t="n">
        <v>180000</v>
      </c>
      <c r="D7" s="117" t="n">
        <v>120000</v>
      </c>
      <c r="E7" s="118" t="n">
        <v>60</v>
      </c>
      <c r="F7" s="119">
        <f>$C7-$D7</f>
        <v/>
      </c>
      <c r="G7" s="120">
        <f>IF($C7=0,0,$F7/$C7)</f>
        <v/>
      </c>
      <c r="H7" s="119">
        <f>IF($E7=0,0,$F7/$E7)</f>
        <v/>
      </c>
      <c r="I7" s="121">
        <f>IF($B7="","",IF($F7&lt;0,"ZARAR",IF($G7&lt;IsMarjEsik,"RİSK","KÂRLI")))</f>
        <v/>
      </c>
      <c r="J7" s="116" t="inlineStr">
        <is>
          <t>Örnek: orta marj</t>
        </is>
      </c>
    </row>
    <row r="8" ht="15.75" customHeight="1" s="76">
      <c r="A8" s="116" t="inlineStr">
        <is>
          <t>IS-003</t>
        </is>
      </c>
      <c r="B8" s="116" t="inlineStr">
        <is>
          <t>Kurumsal eğitim programı</t>
        </is>
      </c>
      <c r="C8" s="117" t="n">
        <v>95000</v>
      </c>
      <c r="D8" s="117" t="n">
        <v>61000</v>
      </c>
      <c r="E8" s="118" t="n">
        <v>20</v>
      </c>
      <c r="F8" s="119">
        <f>$C8-$D8</f>
        <v/>
      </c>
      <c r="G8" s="120">
        <f>IF($C8=0,0,$F8/$C8)</f>
        <v/>
      </c>
      <c r="H8" s="119">
        <f>IF($E8=0,0,$F8/$E8)</f>
        <v/>
      </c>
      <c r="I8" s="121">
        <f>IF($B8="","",IF($F8&lt;0,"ZARAR",IF($G8&lt;IsMarjEsik,"RİSK","KÂRLI")))</f>
        <v/>
      </c>
      <c r="J8" s="116" t="inlineStr">
        <is>
          <t>Örnek: kârlı iş</t>
        </is>
      </c>
    </row>
    <row r="9" ht="15.75" customHeight="1" s="76">
      <c r="A9" s="116" t="inlineStr">
        <is>
          <t>IS-004</t>
        </is>
      </c>
      <c r="B9" s="116" t="inlineStr">
        <is>
          <t>Logo ve kurumsal kimlik</t>
        </is>
      </c>
      <c r="C9" s="117" t="n">
        <v>42000</v>
      </c>
      <c r="D9" s="117" t="n">
        <v>31000</v>
      </c>
      <c r="E9" s="118" t="n">
        <v>15</v>
      </c>
      <c r="F9" s="119">
        <f>$C9-$D9</f>
        <v/>
      </c>
      <c r="G9" s="120">
        <f>IF($C9=0,0,$F9/$C9)</f>
        <v/>
      </c>
      <c r="H9" s="119">
        <f>IF($E9=0,0,$F9/$E9)</f>
        <v/>
      </c>
      <c r="I9" s="121">
        <f>IF($B9="","",IF($F9&lt;0,"ZARAR",IF($G9&lt;IsMarjEsik,"RİSK","KÂRLI")))</f>
        <v/>
      </c>
      <c r="J9" s="116" t="inlineStr">
        <is>
          <t>Örnek: dar marj</t>
        </is>
      </c>
    </row>
    <row r="10" ht="15.75" customHeight="1" s="76">
      <c r="A10" s="116" t="inlineStr">
        <is>
          <t>IS-005</t>
        </is>
      </c>
      <c r="B10" s="116" t="inlineStr">
        <is>
          <t>Sosyal medya yönetimi (3 ay)</t>
        </is>
      </c>
      <c r="C10" s="117" t="n">
        <v>75000</v>
      </c>
      <c r="D10" s="117" t="n">
        <v>45000</v>
      </c>
      <c r="E10" s="118" t="n">
        <v>90</v>
      </c>
      <c r="F10" s="119">
        <f>$C10-$D10</f>
        <v/>
      </c>
      <c r="G10" s="120">
        <f>IF($C10=0,0,$F10/$C10)</f>
        <v/>
      </c>
      <c r="H10" s="119">
        <f>IF($E10=0,0,$F10/$E10)</f>
        <v/>
      </c>
      <c r="I10" s="121">
        <f>IF($B10="","",IF($F10&lt;0,"ZARAR",IF($G10&lt;IsMarjEsik,"RİSK","KÂRLI")))</f>
        <v/>
      </c>
      <c r="J10" s="116" t="inlineStr">
        <is>
          <t>Örnek: sürekli gelir</t>
        </is>
      </c>
    </row>
    <row r="11" ht="15.75" customHeight="1" s="76">
      <c r="A11" s="116" t="inlineStr">
        <is>
          <t>IS-006</t>
        </is>
      </c>
      <c r="B11" s="116" t="inlineStr">
        <is>
          <t>Vitrin düzenleme işi</t>
        </is>
      </c>
      <c r="C11" s="117" t="n">
        <v>28000</v>
      </c>
      <c r="D11" s="117" t="n">
        <v>26000</v>
      </c>
      <c r="E11" s="118" t="n">
        <v>10</v>
      </c>
      <c r="F11" s="119">
        <f>$C11-$D11</f>
        <v/>
      </c>
      <c r="G11" s="120">
        <f>IF($C11=0,0,$F11/$C11)</f>
        <v/>
      </c>
      <c r="H11" s="119">
        <f>IF($E11=0,0,$F11/$E11)</f>
        <v/>
      </c>
      <c r="I11" s="121">
        <f>IF($B11="","",IF($F11&lt;0,"ZARAR",IF($G11&lt;IsMarjEsik,"RİSK","KÂRLI")))</f>
        <v/>
      </c>
      <c r="J11" s="116" t="inlineStr">
        <is>
          <t>Örnek: riskli iş</t>
        </is>
      </c>
    </row>
    <row r="12" ht="15.75" customHeight="1" s="76">
      <c r="A12" s="116" t="inlineStr">
        <is>
          <t>IS-007</t>
        </is>
      </c>
      <c r="B12" s="116" t="inlineStr">
        <is>
          <t>E-ticaret danışmanlığı</t>
        </is>
      </c>
      <c r="C12" s="117" t="n">
        <v>120000</v>
      </c>
      <c r="D12" s="117" t="n">
        <v>72000</v>
      </c>
      <c r="E12" s="118" t="n">
        <v>30</v>
      </c>
      <c r="F12" s="119">
        <f>$C12-$D12</f>
        <v/>
      </c>
      <c r="G12" s="120">
        <f>IF($C12=0,0,$F12/$C12)</f>
        <v/>
      </c>
      <c r="H12" s="119">
        <f>IF($E12=0,0,$F12/$E12)</f>
        <v/>
      </c>
      <c r="I12" s="121">
        <f>IF($B12="","",IF($F12&lt;0,"ZARAR",IF($G12&lt;IsMarjEsik,"RİSK","KÂRLI")))</f>
        <v/>
      </c>
      <c r="J12" s="116" t="inlineStr">
        <is>
          <t>Örnek: kârlı iş</t>
        </is>
      </c>
    </row>
    <row r="13" ht="15.75" customHeight="1" s="76">
      <c r="A13" s="116" t="inlineStr">
        <is>
          <t>IS-008</t>
        </is>
      </c>
      <c r="B13" s="116" t="inlineStr">
        <is>
          <t>Bakım ve destek sözleşmesi</t>
        </is>
      </c>
      <c r="C13" s="117" t="n">
        <v>90000</v>
      </c>
      <c r="D13" s="117" t="n">
        <v>50000</v>
      </c>
      <c r="E13" s="118" t="n">
        <v>365</v>
      </c>
      <c r="F13" s="119">
        <f>$C13-$D13</f>
        <v/>
      </c>
      <c r="G13" s="120">
        <f>IF($C13=0,0,$F13/$C13)</f>
        <v/>
      </c>
      <c r="H13" s="119">
        <f>IF($E13=0,0,$F13/$E13)</f>
        <v/>
      </c>
      <c r="I13" s="121">
        <f>IF($B13="","",IF($F13&lt;0,"ZARAR",IF($G13&lt;IsMarjEsik,"RİSK","KÂRLI")))</f>
        <v/>
      </c>
      <c r="J13" s="116" t="inlineStr">
        <is>
          <t>Örnek: yıllık sözleşme</t>
        </is>
      </c>
    </row>
    <row r="14" ht="15.75" customHeight="1" s="76">
      <c r="A14" s="116" t="inlineStr">
        <is>
          <t>IS-009</t>
        </is>
      </c>
      <c r="B14" s="116" t="inlineStr">
        <is>
          <t>Video prodüksiyon</t>
        </is>
      </c>
      <c r="C14" s="117" t="n">
        <v>66000</v>
      </c>
      <c r="D14" s="117" t="n">
        <v>48000</v>
      </c>
      <c r="E14" s="118" t="n">
        <v>25</v>
      </c>
      <c r="F14" s="119">
        <f>$C14-$D14</f>
        <v/>
      </c>
      <c r="G14" s="120">
        <f>IF($C14=0,0,$F14/$C14)</f>
        <v/>
      </c>
      <c r="H14" s="119">
        <f>IF($E14=0,0,$F14/$E14)</f>
        <v/>
      </c>
      <c r="I14" s="121">
        <f>IF($B14="","",IF($F14&lt;0,"ZARAR",IF($G14&lt;IsMarjEsik,"RİSK","KÂRLI")))</f>
        <v/>
      </c>
      <c r="J14" s="116" t="inlineStr">
        <is>
          <t>Örnek: dar marj</t>
        </is>
      </c>
    </row>
    <row r="15" ht="15.75" customHeight="1" s="76">
      <c r="A15" s="116" t="inlineStr">
        <is>
          <t>IS-010</t>
        </is>
      </c>
      <c r="B15" s="116" t="inlineStr">
        <is>
          <t>Veri raporlama paneli</t>
        </is>
      </c>
      <c r="C15" s="117" t="n">
        <v>145000</v>
      </c>
      <c r="D15" s="117" t="n">
        <v>88000</v>
      </c>
      <c r="E15" s="118" t="n">
        <v>50</v>
      </c>
      <c r="F15" s="119">
        <f>$C15-$D15</f>
        <v/>
      </c>
      <c r="G15" s="120">
        <f>IF($C15=0,0,$F15/$C15)</f>
        <v/>
      </c>
      <c r="H15" s="119">
        <f>IF($E15=0,0,$F15/$E15)</f>
        <v/>
      </c>
      <c r="I15" s="121">
        <f>IF($B15="","",IF($F15&lt;0,"ZARAR",IF($G15&lt;IsMarjEsik,"RİSK","KÂRLI")))</f>
        <v/>
      </c>
      <c r="J15" s="116" t="inlineStr">
        <is>
          <t>Örnek: kârlı iş</t>
        </is>
      </c>
    </row>
    <row r="16" ht="15" customHeight="1" s="76">
      <c r="A16" s="122" t="n"/>
      <c r="B16" s="122" t="n"/>
      <c r="C16" s="123" t="n"/>
      <c r="D16" s="123" t="n"/>
      <c r="E16" s="124" t="n"/>
      <c r="F16" s="119">
        <f>$C16-$D16</f>
        <v/>
      </c>
      <c r="G16" s="120">
        <f>IF($C16=0,0,$F16/$C16)</f>
        <v/>
      </c>
      <c r="H16" s="119">
        <f>IF($E16=0,0,$F16/$E16)</f>
        <v/>
      </c>
      <c r="I16" s="121">
        <f>IF($B16="","",IF($F16&lt;0,"ZARAR",IF($G16&lt;IsMarjEsik,"RİSK","KÂRLI")))</f>
        <v/>
      </c>
      <c r="J16" s="122" t="n"/>
    </row>
    <row r="17" ht="15" customHeight="1" s="76">
      <c r="A17" s="122" t="n"/>
      <c r="B17" s="122" t="n"/>
      <c r="C17" s="123" t="n"/>
      <c r="D17" s="123" t="n"/>
      <c r="E17" s="124" t="n"/>
      <c r="F17" s="119">
        <f>$C17-$D17</f>
        <v/>
      </c>
      <c r="G17" s="120">
        <f>IF($C17=0,0,$F17/$C17)</f>
        <v/>
      </c>
      <c r="H17" s="119">
        <f>IF($E17=0,0,$F17/$E17)</f>
        <v/>
      </c>
      <c r="I17" s="121">
        <f>IF($B17="","",IF($F17&lt;0,"ZARAR",IF($G17&lt;IsMarjEsik,"RİSK","KÂRLI")))</f>
        <v/>
      </c>
      <c r="J17" s="122" t="n"/>
    </row>
    <row r="18" ht="15" customHeight="1" s="76">
      <c r="A18" s="122" t="n"/>
      <c r="B18" s="122" t="n"/>
      <c r="C18" s="123" t="n"/>
      <c r="D18" s="123" t="n"/>
      <c r="E18" s="124" t="n"/>
      <c r="F18" s="119">
        <f>$C18-$D18</f>
        <v/>
      </c>
      <c r="G18" s="120">
        <f>IF($C18=0,0,$F18/$C18)</f>
        <v/>
      </c>
      <c r="H18" s="119">
        <f>IF($E18=0,0,$F18/$E18)</f>
        <v/>
      </c>
      <c r="I18" s="121">
        <f>IF($B18="","",IF($F18&lt;0,"ZARAR",IF($G18&lt;IsMarjEsik,"RİSK","KÂRLI")))</f>
        <v/>
      </c>
      <c r="J18" s="122" t="n"/>
    </row>
    <row r="19" ht="15" customHeight="1" s="76">
      <c r="A19" s="122" t="n"/>
      <c r="B19" s="122" t="n"/>
      <c r="C19" s="123" t="n"/>
      <c r="D19" s="123" t="n"/>
      <c r="E19" s="124" t="n"/>
      <c r="F19" s="119">
        <f>$C19-$D19</f>
        <v/>
      </c>
      <c r="G19" s="120">
        <f>IF($C19=0,0,$F19/$C19)</f>
        <v/>
      </c>
      <c r="H19" s="119">
        <f>IF($E19=0,0,$F19/$E19)</f>
        <v/>
      </c>
      <c r="I19" s="121">
        <f>IF($B19="","",IF($F19&lt;0,"ZARAR",IF($G19&lt;IsMarjEsik,"RİSK","KÂRLI")))</f>
        <v/>
      </c>
      <c r="J19" s="122" t="n"/>
    </row>
    <row r="20" ht="15" customHeight="1" s="76">
      <c r="A20" s="122" t="n"/>
      <c r="B20" s="122" t="n"/>
      <c r="C20" s="123" t="n"/>
      <c r="D20" s="123" t="n"/>
      <c r="E20" s="124" t="n"/>
      <c r="F20" s="119">
        <f>$C20-$D20</f>
        <v/>
      </c>
      <c r="G20" s="120">
        <f>IF($C20=0,0,$F20/$C20)</f>
        <v/>
      </c>
      <c r="H20" s="119">
        <f>IF($E20=0,0,$F20/$E20)</f>
        <v/>
      </c>
      <c r="I20" s="121">
        <f>IF($B20="","",IF($F20&lt;0,"ZARAR",IF($G20&lt;IsMarjEsik,"RİSK","KÂRLI")))</f>
        <v/>
      </c>
      <c r="J20" s="122" t="n"/>
    </row>
    <row r="21" ht="15" customHeight="1" s="76">
      <c r="A21" s="122" t="n"/>
      <c r="B21" s="122" t="n"/>
      <c r="C21" s="123" t="n"/>
      <c r="D21" s="123" t="n"/>
      <c r="E21" s="124" t="n"/>
      <c r="F21" s="119">
        <f>$C21-$D21</f>
        <v/>
      </c>
      <c r="G21" s="120">
        <f>IF($C21=0,0,$F21/$C21)</f>
        <v/>
      </c>
      <c r="H21" s="119">
        <f>IF($E21=0,0,$F21/$E21)</f>
        <v/>
      </c>
      <c r="I21" s="121">
        <f>IF($B21="","",IF($F21&lt;0,"ZARAR",IF($G21&lt;IsMarjEsik,"RİSK","KÂRLI")))</f>
        <v/>
      </c>
      <c r="J21" s="122" t="n"/>
    </row>
    <row r="22" ht="15" customHeight="1" s="76">
      <c r="A22" s="122" t="n"/>
      <c r="B22" s="122" t="n"/>
      <c r="C22" s="123" t="n"/>
      <c r="D22" s="123" t="n"/>
      <c r="E22" s="124" t="n"/>
      <c r="F22" s="119">
        <f>$C22-$D22</f>
        <v/>
      </c>
      <c r="G22" s="120">
        <f>IF($C22=0,0,$F22/$C22)</f>
        <v/>
      </c>
      <c r="H22" s="119">
        <f>IF($E22=0,0,$F22/$E22)</f>
        <v/>
      </c>
      <c r="I22" s="121">
        <f>IF($B22="","",IF($F22&lt;0,"ZARAR",IF($G22&lt;IsMarjEsik,"RİSK","KÂRLI")))</f>
        <v/>
      </c>
      <c r="J22" s="122" t="n"/>
    </row>
    <row r="23" ht="15" customHeight="1" s="76">
      <c r="A23" s="122" t="n"/>
      <c r="B23" s="122" t="n"/>
      <c r="C23" s="123" t="n"/>
      <c r="D23" s="123" t="n"/>
      <c r="E23" s="124" t="n"/>
      <c r="F23" s="119">
        <f>$C23-$D23</f>
        <v/>
      </c>
      <c r="G23" s="120">
        <f>IF($C23=0,0,$F23/$C23)</f>
        <v/>
      </c>
      <c r="H23" s="119">
        <f>IF($E23=0,0,$F23/$E23)</f>
        <v/>
      </c>
      <c r="I23" s="121">
        <f>IF($B23="","",IF($F23&lt;0,"ZARAR",IF($G23&lt;IsMarjEsik,"RİSK","KÂRLI")))</f>
        <v/>
      </c>
      <c r="J23" s="122" t="n"/>
    </row>
    <row r="24" ht="15" customHeight="1" s="76">
      <c r="A24" s="122" t="n"/>
      <c r="B24" s="122" t="n"/>
      <c r="C24" s="123" t="n"/>
      <c r="D24" s="123" t="n"/>
      <c r="E24" s="124" t="n"/>
      <c r="F24" s="119">
        <f>$C24-$D24</f>
        <v/>
      </c>
      <c r="G24" s="120">
        <f>IF($C24=0,0,$F24/$C24)</f>
        <v/>
      </c>
      <c r="H24" s="119">
        <f>IF($E24=0,0,$F24/$E24)</f>
        <v/>
      </c>
      <c r="I24" s="121">
        <f>IF($B24="","",IF($F24&lt;0,"ZARAR",IF($G24&lt;IsMarjEsik,"RİSK","KÂRLI")))</f>
        <v/>
      </c>
      <c r="J24" s="122" t="n"/>
    </row>
    <row r="25" ht="15" customHeight="1" s="76">
      <c r="A25" s="122" t="n"/>
      <c r="B25" s="122" t="n"/>
      <c r="C25" s="123" t="n"/>
      <c r="D25" s="123" t="n"/>
      <c r="E25" s="124" t="n"/>
      <c r="F25" s="119">
        <f>$C25-$D25</f>
        <v/>
      </c>
      <c r="G25" s="120">
        <f>IF($C25=0,0,$F25/$C25)</f>
        <v/>
      </c>
      <c r="H25" s="119">
        <f>IF($E25=0,0,$F25/$E25)</f>
        <v/>
      </c>
      <c r="I25" s="121">
        <f>IF($B25="","",IF($F25&lt;0,"ZARAR",IF($G25&lt;IsMarjEsik,"RİSK","KÂRLI")))</f>
        <v/>
      </c>
      <c r="J25" s="122" t="n"/>
    </row>
    <row r="26" ht="15" customHeight="1" s="76">
      <c r="A26" s="122" t="n"/>
      <c r="B26" s="122" t="n"/>
      <c r="C26" s="123" t="n"/>
      <c r="D26" s="123" t="n"/>
      <c r="E26" s="124" t="n"/>
      <c r="F26" s="119">
        <f>$C26-$D26</f>
        <v/>
      </c>
      <c r="G26" s="120">
        <f>IF($C26=0,0,$F26/$C26)</f>
        <v/>
      </c>
      <c r="H26" s="119">
        <f>IF($E26=0,0,$F26/$E26)</f>
        <v/>
      </c>
      <c r="I26" s="121">
        <f>IF($B26="","",IF($F26&lt;0,"ZARAR",IF($G26&lt;IsMarjEsik,"RİSK","KÂRLI")))</f>
        <v/>
      </c>
      <c r="J26" s="122" t="n"/>
    </row>
    <row r="27" ht="15" customHeight="1" s="76">
      <c r="A27" s="122" t="n"/>
      <c r="B27" s="122" t="n"/>
      <c r="C27" s="123" t="n"/>
      <c r="D27" s="123" t="n"/>
      <c r="E27" s="124" t="n"/>
      <c r="F27" s="119">
        <f>$C27-$D27</f>
        <v/>
      </c>
      <c r="G27" s="120">
        <f>IF($C27=0,0,$F27/$C27)</f>
        <v/>
      </c>
      <c r="H27" s="119">
        <f>IF($E27=0,0,$F27/$E27)</f>
        <v/>
      </c>
      <c r="I27" s="121">
        <f>IF($B27="","",IF($F27&lt;0,"ZARAR",IF($G27&lt;IsMarjEsik,"RİSK","KÂRLI")))</f>
        <v/>
      </c>
      <c r="J27" s="122" t="n"/>
    </row>
    <row r="28" ht="15" customHeight="1" s="76">
      <c r="A28" s="122" t="n"/>
      <c r="B28" s="122" t="n"/>
      <c r="C28" s="123" t="n"/>
      <c r="D28" s="123" t="n"/>
      <c r="E28" s="124" t="n"/>
      <c r="F28" s="119">
        <f>$C28-$D28</f>
        <v/>
      </c>
      <c r="G28" s="120">
        <f>IF($C28=0,0,$F28/$C28)</f>
        <v/>
      </c>
      <c r="H28" s="119">
        <f>IF($E28=0,0,$F28/$E28)</f>
        <v/>
      </c>
      <c r="I28" s="121">
        <f>IF($B28="","",IF($F28&lt;0,"ZARAR",IF($G28&lt;IsMarjEsik,"RİSK","KÂRLI")))</f>
        <v/>
      </c>
      <c r="J28" s="122" t="n"/>
    </row>
    <row r="29" ht="15" customHeight="1" s="76">
      <c r="A29" s="122" t="n"/>
      <c r="B29" s="122" t="n"/>
      <c r="C29" s="123" t="n"/>
      <c r="D29" s="123" t="n"/>
      <c r="E29" s="124" t="n"/>
      <c r="F29" s="119">
        <f>$C29-$D29</f>
        <v/>
      </c>
      <c r="G29" s="120">
        <f>IF($C29=0,0,$F29/$C29)</f>
        <v/>
      </c>
      <c r="H29" s="119">
        <f>IF($E29=0,0,$F29/$E29)</f>
        <v/>
      </c>
      <c r="I29" s="121">
        <f>IF($B29="","",IF($F29&lt;0,"ZARAR",IF($G29&lt;IsMarjEsik,"RİSK","KÂRLI")))</f>
        <v/>
      </c>
      <c r="J29" s="122" t="n"/>
    </row>
    <row r="30" ht="15" customHeight="1" s="76">
      <c r="A30" s="122" t="n"/>
      <c r="B30" s="122" t="n"/>
      <c r="C30" s="123" t="n"/>
      <c r="D30" s="123" t="n"/>
      <c r="E30" s="124" t="n"/>
      <c r="F30" s="119">
        <f>$C30-$D30</f>
        <v/>
      </c>
      <c r="G30" s="120">
        <f>IF($C30=0,0,$F30/$C30)</f>
        <v/>
      </c>
      <c r="H30" s="119">
        <f>IF($E30=0,0,$F30/$E30)</f>
        <v/>
      </c>
      <c r="I30" s="121">
        <f>IF($B30="","",IF($F30&lt;0,"ZARAR",IF($G30&lt;IsMarjEsik,"RİSK","KÂRLI")))</f>
        <v/>
      </c>
      <c r="J30" s="122" t="n"/>
    </row>
    <row r="31" ht="15" customHeight="1" s="76">
      <c r="A31" s="122" t="n"/>
      <c r="B31" s="122" t="n"/>
      <c r="C31" s="123" t="n"/>
      <c r="D31" s="123" t="n"/>
      <c r="E31" s="124" t="n"/>
      <c r="F31" s="119">
        <f>$C31-$D31</f>
        <v/>
      </c>
      <c r="G31" s="120">
        <f>IF($C31=0,0,$F31/$C31)</f>
        <v/>
      </c>
      <c r="H31" s="119">
        <f>IF($E31=0,0,$F31/$E31)</f>
        <v/>
      </c>
      <c r="I31" s="121">
        <f>IF($B31="","",IF($F31&lt;0,"ZARAR",IF($G31&lt;IsMarjEsik,"RİSK","KÂRLI")))</f>
        <v/>
      </c>
      <c r="J31" s="122" t="n"/>
    </row>
    <row r="32" ht="15" customHeight="1" s="76">
      <c r="A32" s="122" t="n"/>
      <c r="B32" s="122" t="n"/>
      <c r="C32" s="123" t="n"/>
      <c r="D32" s="123" t="n"/>
      <c r="E32" s="124" t="n"/>
      <c r="F32" s="119">
        <f>$C32-$D32</f>
        <v/>
      </c>
      <c r="G32" s="120">
        <f>IF($C32=0,0,$F32/$C32)</f>
        <v/>
      </c>
      <c r="H32" s="119">
        <f>IF($E32=0,0,$F32/$E32)</f>
        <v/>
      </c>
      <c r="I32" s="121">
        <f>IF($B32="","",IF($F32&lt;0,"ZARAR",IF($G32&lt;IsMarjEsik,"RİSK","KÂRLI")))</f>
        <v/>
      </c>
      <c r="J32" s="122" t="n"/>
    </row>
    <row r="33" ht="15" customHeight="1" s="76">
      <c r="A33" s="122" t="n"/>
      <c r="B33" s="122" t="n"/>
      <c r="C33" s="123" t="n"/>
      <c r="D33" s="123" t="n"/>
      <c r="E33" s="124" t="n"/>
      <c r="F33" s="119">
        <f>$C33-$D33</f>
        <v/>
      </c>
      <c r="G33" s="120">
        <f>IF($C33=0,0,$F33/$C33)</f>
        <v/>
      </c>
      <c r="H33" s="119">
        <f>IF($E33=0,0,$F33/$E33)</f>
        <v/>
      </c>
      <c r="I33" s="121">
        <f>IF($B33="","",IF($F33&lt;0,"ZARAR",IF($G33&lt;IsMarjEsik,"RİSK","KÂRLI")))</f>
        <v/>
      </c>
      <c r="J33" s="122" t="n"/>
    </row>
    <row r="34" ht="15" customHeight="1" s="76">
      <c r="A34" s="122" t="n"/>
      <c r="B34" s="122" t="n"/>
      <c r="C34" s="123" t="n"/>
      <c r="D34" s="123" t="n"/>
      <c r="E34" s="124" t="n"/>
      <c r="F34" s="119">
        <f>$C34-$D34</f>
        <v/>
      </c>
      <c r="G34" s="120">
        <f>IF($C34=0,0,$F34/$C34)</f>
        <v/>
      </c>
      <c r="H34" s="119">
        <f>IF($E34=0,0,$F34/$E34)</f>
        <v/>
      </c>
      <c r="I34" s="121">
        <f>IF($B34="","",IF($F34&lt;0,"ZARAR",IF($G34&lt;IsMarjEsik,"RİSK","KÂRLI")))</f>
        <v/>
      </c>
      <c r="J34" s="122" t="n"/>
    </row>
    <row r="35" ht="15" customHeight="1" s="76">
      <c r="A35" s="122" t="n"/>
      <c r="B35" s="122" t="n"/>
      <c r="C35" s="123" t="n"/>
      <c r="D35" s="123" t="n"/>
      <c r="E35" s="124" t="n"/>
      <c r="F35" s="119">
        <f>$C35-$D35</f>
        <v/>
      </c>
      <c r="G35" s="120">
        <f>IF($C35=0,0,$F35/$C35)</f>
        <v/>
      </c>
      <c r="H35" s="119">
        <f>IF($E35=0,0,$F35/$E35)</f>
        <v/>
      </c>
      <c r="I35" s="121">
        <f>IF($B35="","",IF($F35&lt;0,"ZARAR",IF($G35&lt;IsMarjEsik,"RİSK","KÂRLI")))</f>
        <v/>
      </c>
      <c r="J35" s="122" t="n"/>
    </row>
    <row r="36" ht="15" customHeight="1" s="76">
      <c r="A36" s="122" t="n"/>
      <c r="B36" s="122" t="n"/>
      <c r="C36" s="123" t="n"/>
      <c r="D36" s="123" t="n"/>
      <c r="E36" s="124" t="n"/>
      <c r="F36" s="119">
        <f>$C36-$D36</f>
        <v/>
      </c>
      <c r="G36" s="120">
        <f>IF($C36=0,0,$F36/$C36)</f>
        <v/>
      </c>
      <c r="H36" s="119">
        <f>IF($E36=0,0,$F36/$E36)</f>
        <v/>
      </c>
      <c r="I36" s="121">
        <f>IF($B36="","",IF($F36&lt;0,"ZARAR",IF($G36&lt;IsMarjEsik,"RİSK","KÂRLI")))</f>
        <v/>
      </c>
      <c r="J36" s="122" t="n"/>
    </row>
    <row r="37" ht="15" customHeight="1" s="76">
      <c r="A37" s="122" t="n"/>
      <c r="B37" s="122" t="n"/>
      <c r="C37" s="123" t="n"/>
      <c r="D37" s="123" t="n"/>
      <c r="E37" s="124" t="n"/>
      <c r="F37" s="119">
        <f>$C37-$D37</f>
        <v/>
      </c>
      <c r="G37" s="120">
        <f>IF($C37=0,0,$F37/$C37)</f>
        <v/>
      </c>
      <c r="H37" s="119">
        <f>IF($E37=0,0,$F37/$E37)</f>
        <v/>
      </c>
      <c r="I37" s="121">
        <f>IF($B37="","",IF($F37&lt;0,"ZARAR",IF($G37&lt;IsMarjEsik,"RİSK","KÂRLI")))</f>
        <v/>
      </c>
      <c r="J37" s="122" t="n"/>
    </row>
    <row r="38" ht="15" customHeight="1" s="76">
      <c r="A38" s="122" t="n"/>
      <c r="B38" s="122" t="n"/>
      <c r="C38" s="123" t="n"/>
      <c r="D38" s="123" t="n"/>
      <c r="E38" s="124" t="n"/>
      <c r="F38" s="119">
        <f>$C38-$D38</f>
        <v/>
      </c>
      <c r="G38" s="120">
        <f>IF($C38=0,0,$F38/$C38)</f>
        <v/>
      </c>
      <c r="H38" s="119">
        <f>IF($E38=0,0,$F38/$E38)</f>
        <v/>
      </c>
      <c r="I38" s="121">
        <f>IF($B38="","",IF($F38&lt;0,"ZARAR",IF($G38&lt;IsMarjEsik,"RİSK","KÂRLI")))</f>
        <v/>
      </c>
      <c r="J38" s="122" t="n"/>
    </row>
    <row r="39" ht="15" customHeight="1" s="76">
      <c r="A39" s="122" t="n"/>
      <c r="B39" s="122" t="n"/>
      <c r="C39" s="123" t="n"/>
      <c r="D39" s="123" t="n"/>
      <c r="E39" s="124" t="n"/>
      <c r="F39" s="119">
        <f>$C39-$D39</f>
        <v/>
      </c>
      <c r="G39" s="120">
        <f>IF($C39=0,0,$F39/$C39)</f>
        <v/>
      </c>
      <c r="H39" s="119">
        <f>IF($E39=0,0,$F39/$E39)</f>
        <v/>
      </c>
      <c r="I39" s="121">
        <f>IF($B39="","",IF($F39&lt;0,"ZARAR",IF($G39&lt;IsMarjEsik,"RİSK","KÂRLI")))</f>
        <v/>
      </c>
      <c r="J39" s="122" t="n"/>
    </row>
    <row r="40" ht="15" customHeight="1" s="76">
      <c r="A40" s="122" t="n"/>
      <c r="B40" s="122" t="n"/>
      <c r="C40" s="123" t="n"/>
      <c r="D40" s="123" t="n"/>
      <c r="E40" s="124" t="n"/>
      <c r="F40" s="119">
        <f>$C40-$D40</f>
        <v/>
      </c>
      <c r="G40" s="120">
        <f>IF($C40=0,0,$F40/$C40)</f>
        <v/>
      </c>
      <c r="H40" s="119">
        <f>IF($E40=0,0,$F40/$E40)</f>
        <v/>
      </c>
      <c r="I40" s="121">
        <f>IF($B40="","",IF($F40&lt;0,"ZARAR",IF($G40&lt;IsMarjEsik,"RİSK","KÂRLI")))</f>
        <v/>
      </c>
      <c r="J40" s="122" t="n"/>
    </row>
    <row r="41" ht="15" customHeight="1" s="76">
      <c r="A41" s="122" t="n"/>
      <c r="B41" s="122" t="n"/>
      <c r="C41" s="123" t="n"/>
      <c r="D41" s="123" t="n"/>
      <c r="E41" s="124" t="n"/>
      <c r="F41" s="119">
        <f>$C41-$D41</f>
        <v/>
      </c>
      <c r="G41" s="120">
        <f>IF($C41=0,0,$F41/$C41)</f>
        <v/>
      </c>
      <c r="H41" s="119">
        <f>IF($E41=0,0,$F41/$E41)</f>
        <v/>
      </c>
      <c r="I41" s="121">
        <f>IF($B41="","",IF($F41&lt;0,"ZARAR",IF($G41&lt;IsMarjEsik,"RİSK","KÂRLI")))</f>
        <v/>
      </c>
      <c r="J41" s="122" t="n"/>
    </row>
    <row r="42" ht="15" customHeight="1" s="76">
      <c r="A42" s="122" t="n"/>
      <c r="B42" s="122" t="n"/>
      <c r="C42" s="123" t="n"/>
      <c r="D42" s="123" t="n"/>
      <c r="E42" s="124" t="n"/>
      <c r="F42" s="119">
        <f>$C42-$D42</f>
        <v/>
      </c>
      <c r="G42" s="120">
        <f>IF($C42=0,0,$F42/$C42)</f>
        <v/>
      </c>
      <c r="H42" s="119">
        <f>IF($E42=0,0,$F42/$E42)</f>
        <v/>
      </c>
      <c r="I42" s="121">
        <f>IF($B42="","",IF($F42&lt;0,"ZARAR",IF($G42&lt;IsMarjEsik,"RİSK","KÂRLI")))</f>
        <v/>
      </c>
      <c r="J42" s="122" t="n"/>
    </row>
    <row r="43" ht="15" customHeight="1" s="76">
      <c r="A43" s="122" t="n"/>
      <c r="B43" s="122" t="n"/>
      <c r="C43" s="123" t="n"/>
      <c r="D43" s="123" t="n"/>
      <c r="E43" s="124" t="n"/>
      <c r="F43" s="119">
        <f>$C43-$D43</f>
        <v/>
      </c>
      <c r="G43" s="120">
        <f>IF($C43=0,0,$F43/$C43)</f>
        <v/>
      </c>
      <c r="H43" s="119">
        <f>IF($E43=0,0,$F43/$E43)</f>
        <v/>
      </c>
      <c r="I43" s="121">
        <f>IF($B43="","",IF($F43&lt;0,"ZARAR",IF($G43&lt;IsMarjEsik,"RİSK","KÂRLI")))</f>
        <v/>
      </c>
      <c r="J43" s="122" t="n"/>
    </row>
    <row r="44" ht="15" customHeight="1" s="76">
      <c r="A44" s="122" t="n"/>
      <c r="B44" s="122" t="n"/>
      <c r="C44" s="123" t="n"/>
      <c r="D44" s="123" t="n"/>
      <c r="E44" s="124" t="n"/>
      <c r="F44" s="119">
        <f>$C44-$D44</f>
        <v/>
      </c>
      <c r="G44" s="120">
        <f>IF($C44=0,0,$F44/$C44)</f>
        <v/>
      </c>
      <c r="H44" s="119">
        <f>IF($E44=0,0,$F44/$E44)</f>
        <v/>
      </c>
      <c r="I44" s="121">
        <f>IF($B44="","",IF($F44&lt;0,"ZARAR",IF($G44&lt;IsMarjEsik,"RİSK","KÂRLI")))</f>
        <v/>
      </c>
      <c r="J44" s="122" t="n"/>
    </row>
    <row r="45" ht="15" customHeight="1" s="76">
      <c r="A45" s="122" t="n"/>
      <c r="B45" s="122" t="n"/>
      <c r="C45" s="123" t="n"/>
      <c r="D45" s="123" t="n"/>
      <c r="E45" s="124" t="n"/>
      <c r="F45" s="119">
        <f>$C45-$D45</f>
        <v/>
      </c>
      <c r="G45" s="120">
        <f>IF($C45=0,0,$F45/$C45)</f>
        <v/>
      </c>
      <c r="H45" s="119">
        <f>IF($E45=0,0,$F45/$E45)</f>
        <v/>
      </c>
      <c r="I45" s="121">
        <f>IF($B45="","",IF($F45&lt;0,"ZARAR",IF($G45&lt;IsMarjEsik,"RİSK","KÂRLI")))</f>
        <v/>
      </c>
      <c r="J45" s="122" t="n"/>
    </row>
    <row r="46" ht="15" customHeight="1" s="76">
      <c r="A46" s="122" t="n"/>
      <c r="B46" s="122" t="n"/>
      <c r="C46" s="123" t="n"/>
      <c r="D46" s="123" t="n"/>
      <c r="E46" s="124" t="n"/>
      <c r="F46" s="119">
        <f>$C46-$D46</f>
        <v/>
      </c>
      <c r="G46" s="120">
        <f>IF($C46=0,0,$F46/$C46)</f>
        <v/>
      </c>
      <c r="H46" s="119">
        <f>IF($E46=0,0,$F46/$E46)</f>
        <v/>
      </c>
      <c r="I46" s="121">
        <f>IF($B46="","",IF($F46&lt;0,"ZARAR",IF($G46&lt;IsMarjEsik,"RİSK","KÂRLI")))</f>
        <v/>
      </c>
      <c r="J46" s="122" t="n"/>
    </row>
    <row r="47" ht="15" customHeight="1" s="76">
      <c r="A47" s="122" t="n"/>
      <c r="B47" s="122" t="n"/>
      <c r="C47" s="123" t="n"/>
      <c r="D47" s="123" t="n"/>
      <c r="E47" s="124" t="n"/>
      <c r="F47" s="119">
        <f>$C47-$D47</f>
        <v/>
      </c>
      <c r="G47" s="120">
        <f>IF($C47=0,0,$F47/$C47)</f>
        <v/>
      </c>
      <c r="H47" s="119">
        <f>IF($E47=0,0,$F47/$E47)</f>
        <v/>
      </c>
      <c r="I47" s="121">
        <f>IF($B47="","",IF($F47&lt;0,"ZARAR",IF($G47&lt;IsMarjEsik,"RİSK","KÂRLI")))</f>
        <v/>
      </c>
      <c r="J47" s="122" t="n"/>
    </row>
    <row r="48" ht="15" customHeight="1" s="76">
      <c r="A48" s="122" t="n"/>
      <c r="B48" s="122" t="n"/>
      <c r="C48" s="123" t="n"/>
      <c r="D48" s="123" t="n"/>
      <c r="E48" s="124" t="n"/>
      <c r="F48" s="119">
        <f>$C48-$D48</f>
        <v/>
      </c>
      <c r="G48" s="120">
        <f>IF($C48=0,0,$F48/$C48)</f>
        <v/>
      </c>
      <c r="H48" s="119">
        <f>IF($E48=0,0,$F48/$E48)</f>
        <v/>
      </c>
      <c r="I48" s="121">
        <f>IF($B48="","",IF($F48&lt;0,"ZARAR",IF($G48&lt;IsMarjEsik,"RİSK","KÂRLI")))</f>
        <v/>
      </c>
      <c r="J48" s="122" t="n"/>
    </row>
    <row r="49" ht="15" customHeight="1" s="76">
      <c r="A49" s="122" t="n"/>
      <c r="B49" s="122" t="n"/>
      <c r="C49" s="123" t="n"/>
      <c r="D49" s="123" t="n"/>
      <c r="E49" s="124" t="n"/>
      <c r="F49" s="119">
        <f>$C49-$D49</f>
        <v/>
      </c>
      <c r="G49" s="120">
        <f>IF($C49=0,0,$F49/$C49)</f>
        <v/>
      </c>
      <c r="H49" s="119">
        <f>IF($E49=0,0,$F49/$E49)</f>
        <v/>
      </c>
      <c r="I49" s="121">
        <f>IF($B49="","",IF($F49&lt;0,"ZARAR",IF($G49&lt;IsMarjEsik,"RİSK","KÂRLI")))</f>
        <v/>
      </c>
      <c r="J49" s="122" t="n"/>
    </row>
    <row r="50" ht="15" customHeight="1" s="76">
      <c r="A50" s="122" t="n"/>
      <c r="B50" s="122" t="n"/>
      <c r="C50" s="123" t="n"/>
      <c r="D50" s="123" t="n"/>
      <c r="E50" s="124" t="n"/>
      <c r="F50" s="119">
        <f>$C50-$D50</f>
        <v/>
      </c>
      <c r="G50" s="120">
        <f>IF($C50=0,0,$F50/$C50)</f>
        <v/>
      </c>
      <c r="H50" s="119">
        <f>IF($E50=0,0,$F50/$E50)</f>
        <v/>
      </c>
      <c r="I50" s="121">
        <f>IF($B50="","",IF($F50&lt;0,"ZARAR",IF($G50&lt;IsMarjEsik,"RİSK","KÂRLI")))</f>
        <v/>
      </c>
      <c r="J50" s="122" t="n"/>
    </row>
    <row r="51" ht="15" customHeight="1" s="76">
      <c r="A51" s="122" t="n"/>
      <c r="B51" s="122" t="n"/>
      <c r="C51" s="123" t="n"/>
      <c r="D51" s="123" t="n"/>
      <c r="E51" s="124" t="n"/>
      <c r="F51" s="119">
        <f>$C51-$D51</f>
        <v/>
      </c>
      <c r="G51" s="120">
        <f>IF($C51=0,0,$F51/$C51)</f>
        <v/>
      </c>
      <c r="H51" s="119">
        <f>IF($E51=0,0,$F51/$E51)</f>
        <v/>
      </c>
      <c r="I51" s="121">
        <f>IF($B51="","",IF($F51&lt;0,"ZARAR",IF($G51&lt;IsMarjEsik,"RİSK","KÂRLI")))</f>
        <v/>
      </c>
      <c r="J51" s="122" t="n"/>
    </row>
    <row r="52" ht="15" customHeight="1" s="76">
      <c r="A52" s="122" t="n"/>
      <c r="B52" s="122" t="n"/>
      <c r="C52" s="123" t="n"/>
      <c r="D52" s="123" t="n"/>
      <c r="E52" s="124" t="n"/>
      <c r="F52" s="119">
        <f>$C52-$D52</f>
        <v/>
      </c>
      <c r="G52" s="120">
        <f>IF($C52=0,0,$F52/$C52)</f>
        <v/>
      </c>
      <c r="H52" s="119">
        <f>IF($E52=0,0,$F52/$E52)</f>
        <v/>
      </c>
      <c r="I52" s="121">
        <f>IF($B52="","",IF($F52&lt;0,"ZARAR",IF($G52&lt;IsMarjEsik,"RİSK","KÂRLI")))</f>
        <v/>
      </c>
      <c r="J52" s="122" t="n"/>
    </row>
    <row r="53" ht="15" customHeight="1" s="76">
      <c r="A53" s="122" t="n"/>
      <c r="B53" s="122" t="n"/>
      <c r="C53" s="123" t="n"/>
      <c r="D53" s="123" t="n"/>
      <c r="E53" s="124" t="n"/>
      <c r="F53" s="119">
        <f>$C53-$D53</f>
        <v/>
      </c>
      <c r="G53" s="120">
        <f>IF($C53=0,0,$F53/$C53)</f>
        <v/>
      </c>
      <c r="H53" s="119">
        <f>IF($E53=0,0,$F53/$E53)</f>
        <v/>
      </c>
      <c r="I53" s="121">
        <f>IF($B53="","",IF($F53&lt;0,"ZARAR",IF($G53&lt;IsMarjEsik,"RİSK","KÂRLI")))</f>
        <v/>
      </c>
      <c r="J53" s="122" t="n"/>
    </row>
    <row r="54" ht="15" customHeight="1" s="76">
      <c r="A54" s="122" t="n"/>
      <c r="B54" s="122" t="n"/>
      <c r="C54" s="123" t="n"/>
      <c r="D54" s="123" t="n"/>
      <c r="E54" s="124" t="n"/>
      <c r="F54" s="119">
        <f>$C54-$D54</f>
        <v/>
      </c>
      <c r="G54" s="120">
        <f>IF($C54=0,0,$F54/$C54)</f>
        <v/>
      </c>
      <c r="H54" s="119">
        <f>IF($E54=0,0,$F54/$E54)</f>
        <v/>
      </c>
      <c r="I54" s="121">
        <f>IF($B54="","",IF($F54&lt;0,"ZARAR",IF($G54&lt;IsMarjEsik,"RİSK","KÂRLI")))</f>
        <v/>
      </c>
      <c r="J54" s="122" t="n"/>
    </row>
    <row r="55" ht="15" customHeight="1" s="76">
      <c r="A55" s="122" t="n"/>
      <c r="B55" s="122" t="n"/>
      <c r="C55" s="123" t="n"/>
      <c r="D55" s="123" t="n"/>
      <c r="E55" s="124" t="n"/>
      <c r="F55" s="119">
        <f>$C55-$D55</f>
        <v/>
      </c>
      <c r="G55" s="120">
        <f>IF($C55=0,0,$F55/$C55)</f>
        <v/>
      </c>
      <c r="H55" s="119">
        <f>IF($E55=0,0,$F55/$E55)</f>
        <v/>
      </c>
      <c r="I55" s="121">
        <f>IF($B55="","",IF($F55&lt;0,"ZARAR",IF($G55&lt;IsMarjEsik,"RİSK","KÂRLI")))</f>
        <v/>
      </c>
      <c r="J55" s="122" t="n"/>
    </row>
    <row r="56" ht="15" customHeight="1" s="76">
      <c r="A56" s="122" t="n"/>
      <c r="B56" s="122" t="n"/>
      <c r="C56" s="123" t="n"/>
      <c r="D56" s="123" t="n"/>
      <c r="E56" s="124" t="n"/>
      <c r="F56" s="119">
        <f>$C56-$D56</f>
        <v/>
      </c>
      <c r="G56" s="120">
        <f>IF($C56=0,0,$F56/$C56)</f>
        <v/>
      </c>
      <c r="H56" s="119">
        <f>IF($E56=0,0,$F56/$E56)</f>
        <v/>
      </c>
      <c r="I56" s="121">
        <f>IF($B56="","",IF($F56&lt;0,"ZARAR",IF($G56&lt;IsMarjEsik,"RİSK","KÂRLI")))</f>
        <v/>
      </c>
      <c r="J56" s="122" t="n"/>
    </row>
    <row r="57" ht="15" customHeight="1" s="76">
      <c r="A57" s="122" t="n"/>
      <c r="B57" s="122" t="n"/>
      <c r="C57" s="123" t="n"/>
      <c r="D57" s="123" t="n"/>
      <c r="E57" s="124" t="n"/>
      <c r="F57" s="119">
        <f>$C57-$D57</f>
        <v/>
      </c>
      <c r="G57" s="120">
        <f>IF($C57=0,0,$F57/$C57)</f>
        <v/>
      </c>
      <c r="H57" s="119">
        <f>IF($E57=0,0,$F57/$E57)</f>
        <v/>
      </c>
      <c r="I57" s="121">
        <f>IF($B57="","",IF($F57&lt;0,"ZARAR",IF($G57&lt;IsMarjEsik,"RİSK","KÂRLI")))</f>
        <v/>
      </c>
      <c r="J57" s="122" t="n"/>
    </row>
    <row r="58" ht="15" customHeight="1" s="76">
      <c r="A58" s="122" t="n"/>
      <c r="B58" s="122" t="n"/>
      <c r="C58" s="123" t="n"/>
      <c r="D58" s="123" t="n"/>
      <c r="E58" s="124" t="n"/>
      <c r="F58" s="119">
        <f>$C58-$D58</f>
        <v/>
      </c>
      <c r="G58" s="120">
        <f>IF($C58=0,0,$F58/$C58)</f>
        <v/>
      </c>
      <c r="H58" s="119">
        <f>IF($E58=0,0,$F58/$E58)</f>
        <v/>
      </c>
      <c r="I58" s="121">
        <f>IF($B58="","",IF($F58&lt;0,"ZARAR",IF($G58&lt;IsMarjEsik,"RİSK","KÂRLI")))</f>
        <v/>
      </c>
      <c r="J58" s="122" t="n"/>
    </row>
    <row r="59" ht="15" customHeight="1" s="76">
      <c r="A59" s="122" t="n"/>
      <c r="B59" s="122" t="n"/>
      <c r="C59" s="123" t="n"/>
      <c r="D59" s="123" t="n"/>
      <c r="E59" s="124" t="n"/>
      <c r="F59" s="119">
        <f>$C59-$D59</f>
        <v/>
      </c>
      <c r="G59" s="120">
        <f>IF($C59=0,0,$F59/$C59)</f>
        <v/>
      </c>
      <c r="H59" s="119">
        <f>IF($E59=0,0,$F59/$E59)</f>
        <v/>
      </c>
      <c r="I59" s="121">
        <f>IF($B59="","",IF($F59&lt;0,"ZARAR",IF($G59&lt;IsMarjEsik,"RİSK","KÂRLI")))</f>
        <v/>
      </c>
      <c r="J59" s="122" t="n"/>
    </row>
    <row r="60" ht="15" customHeight="1" s="76">
      <c r="A60" s="122" t="n"/>
      <c r="B60" s="122" t="n"/>
      <c r="C60" s="123" t="n"/>
      <c r="D60" s="123" t="n"/>
      <c r="E60" s="124" t="n"/>
      <c r="F60" s="119">
        <f>$C60-$D60</f>
        <v/>
      </c>
      <c r="G60" s="120">
        <f>IF($C60=0,0,$F60/$C60)</f>
        <v/>
      </c>
      <c r="H60" s="119">
        <f>IF($E60=0,0,$F60/$E60)</f>
        <v/>
      </c>
      <c r="I60" s="121">
        <f>IF($B60="","",IF($F60&lt;0,"ZARAR",IF($G60&lt;IsMarjEsik,"RİSK","KÂRLI")))</f>
        <v/>
      </c>
      <c r="J60" s="122" t="n"/>
    </row>
    <row r="61" ht="15" customHeight="1" s="76">
      <c r="A61" s="122" t="n"/>
      <c r="B61" s="122" t="n"/>
      <c r="C61" s="123" t="n"/>
      <c r="D61" s="123" t="n"/>
      <c r="E61" s="124" t="n"/>
      <c r="F61" s="119">
        <f>$C61-$D61</f>
        <v/>
      </c>
      <c r="G61" s="120">
        <f>IF($C61=0,0,$F61/$C61)</f>
        <v/>
      </c>
      <c r="H61" s="119">
        <f>IF($E61=0,0,$F61/$E61)</f>
        <v/>
      </c>
      <c r="I61" s="121">
        <f>IF($B61="","",IF($F61&lt;0,"ZARAR",IF($G61&lt;IsMarjEsik,"RİSK","KÂRLI")))</f>
        <v/>
      </c>
      <c r="J61" s="122" t="n"/>
    </row>
    <row r="62" ht="15" customHeight="1" s="76">
      <c r="A62" s="122" t="n"/>
      <c r="B62" s="122" t="n"/>
      <c r="C62" s="123" t="n"/>
      <c r="D62" s="123" t="n"/>
      <c r="E62" s="124" t="n"/>
      <c r="F62" s="119">
        <f>$C62-$D62</f>
        <v/>
      </c>
      <c r="G62" s="120">
        <f>IF($C62=0,0,$F62/$C62)</f>
        <v/>
      </c>
      <c r="H62" s="119">
        <f>IF($E62=0,0,$F62/$E62)</f>
        <v/>
      </c>
      <c r="I62" s="121">
        <f>IF($B62="","",IF($F62&lt;0,"ZARAR",IF($G62&lt;IsMarjEsik,"RİSK","KÂRLI")))</f>
        <v/>
      </c>
      <c r="J62" s="122" t="n"/>
    </row>
    <row r="63" ht="15" customHeight="1" s="76">
      <c r="A63" s="122" t="n"/>
      <c r="B63" s="122" t="n"/>
      <c r="C63" s="123" t="n"/>
      <c r="D63" s="123" t="n"/>
      <c r="E63" s="124" t="n"/>
      <c r="F63" s="119">
        <f>$C63-$D63</f>
        <v/>
      </c>
      <c r="G63" s="120">
        <f>IF($C63=0,0,$F63/$C63)</f>
        <v/>
      </c>
      <c r="H63" s="119">
        <f>IF($E63=0,0,$F63/$E63)</f>
        <v/>
      </c>
      <c r="I63" s="121">
        <f>IF($B63="","",IF($F63&lt;0,"ZARAR",IF($G63&lt;IsMarjEsik,"RİSK","KÂRLI")))</f>
        <v/>
      </c>
      <c r="J63" s="122" t="n"/>
    </row>
    <row r="64" ht="15" customHeight="1" s="76">
      <c r="A64" s="122" t="n"/>
      <c r="B64" s="122" t="n"/>
      <c r="C64" s="123" t="n"/>
      <c r="D64" s="123" t="n"/>
      <c r="E64" s="124" t="n"/>
      <c r="F64" s="119">
        <f>$C64-$D64</f>
        <v/>
      </c>
      <c r="G64" s="120">
        <f>IF($C64=0,0,$F64/$C64)</f>
        <v/>
      </c>
      <c r="H64" s="119">
        <f>IF($E64=0,0,$F64/$E64)</f>
        <v/>
      </c>
      <c r="I64" s="121">
        <f>IF($B64="","",IF($F64&lt;0,"ZARAR",IF($G64&lt;IsMarjEsik,"RİSK","KÂRLI")))</f>
        <v/>
      </c>
      <c r="J64" s="122" t="n"/>
    </row>
    <row r="65" ht="15" customHeight="1" s="76">
      <c r="A65" s="122" t="n"/>
      <c r="B65" s="122" t="n"/>
      <c r="C65" s="123" t="n"/>
      <c r="D65" s="123" t="n"/>
      <c r="E65" s="124" t="n"/>
      <c r="F65" s="119">
        <f>$C65-$D65</f>
        <v/>
      </c>
      <c r="G65" s="120">
        <f>IF($C65=0,0,$F65/$C65)</f>
        <v/>
      </c>
      <c r="H65" s="119">
        <f>IF($E65=0,0,$F65/$E65)</f>
        <v/>
      </c>
      <c r="I65" s="121">
        <f>IF($B65="","",IF($F65&lt;0,"ZARAR",IF($G65&lt;IsMarjEsik,"RİSK","KÂRLI")))</f>
        <v/>
      </c>
      <c r="J65" s="122" t="n"/>
    </row>
    <row r="66" ht="15" customHeight="1" s="76">
      <c r="A66" s="122" t="n"/>
      <c r="B66" s="122" t="n"/>
      <c r="C66" s="123" t="n"/>
      <c r="D66" s="123" t="n"/>
      <c r="E66" s="124" t="n"/>
      <c r="F66" s="119">
        <f>$C66-$D66</f>
        <v/>
      </c>
      <c r="G66" s="120">
        <f>IF($C66=0,0,$F66/$C66)</f>
        <v/>
      </c>
      <c r="H66" s="119">
        <f>IF($E66=0,0,$F66/$E66)</f>
        <v/>
      </c>
      <c r="I66" s="121">
        <f>IF($B66="","",IF($F66&lt;0,"ZARAR",IF($G66&lt;IsMarjEsik,"RİSK","KÂRLI")))</f>
        <v/>
      </c>
      <c r="J66" s="122" t="n"/>
    </row>
    <row r="67" ht="15" customHeight="1" s="76">
      <c r="A67" s="122" t="n"/>
      <c r="B67" s="122" t="n"/>
      <c r="C67" s="123" t="n"/>
      <c r="D67" s="123" t="n"/>
      <c r="E67" s="124" t="n"/>
      <c r="F67" s="119">
        <f>$C67-$D67</f>
        <v/>
      </c>
      <c r="G67" s="120">
        <f>IF($C67=0,0,$F67/$C67)</f>
        <v/>
      </c>
      <c r="H67" s="119">
        <f>IF($E67=0,0,$F67/$E67)</f>
        <v/>
      </c>
      <c r="I67" s="121">
        <f>IF($B67="","",IF($F67&lt;0,"ZARAR",IF($G67&lt;IsMarjEsik,"RİSK","KÂRLI")))</f>
        <v/>
      </c>
      <c r="J67" s="122" t="n"/>
    </row>
    <row r="68" ht="15" customHeight="1" s="76">
      <c r="A68" s="122" t="n"/>
      <c r="B68" s="122" t="n"/>
      <c r="C68" s="123" t="n"/>
      <c r="D68" s="123" t="n"/>
      <c r="E68" s="124" t="n"/>
      <c r="F68" s="119">
        <f>$C68-$D68</f>
        <v/>
      </c>
      <c r="G68" s="120">
        <f>IF($C68=0,0,$F68/$C68)</f>
        <v/>
      </c>
      <c r="H68" s="119">
        <f>IF($E68=0,0,$F68/$E68)</f>
        <v/>
      </c>
      <c r="I68" s="121">
        <f>IF($B68="","",IF($F68&lt;0,"ZARAR",IF($G68&lt;IsMarjEsik,"RİSK","KÂRLI")))</f>
        <v/>
      </c>
      <c r="J68" s="122" t="n"/>
    </row>
    <row r="69" ht="15" customHeight="1" s="76">
      <c r="A69" s="122" t="n"/>
      <c r="B69" s="122" t="n"/>
      <c r="C69" s="123" t="n"/>
      <c r="D69" s="123" t="n"/>
      <c r="E69" s="124" t="n"/>
      <c r="F69" s="119">
        <f>$C69-$D69</f>
        <v/>
      </c>
      <c r="G69" s="120">
        <f>IF($C69=0,0,$F69/$C69)</f>
        <v/>
      </c>
      <c r="H69" s="119">
        <f>IF($E69=0,0,$F69/$E69)</f>
        <v/>
      </c>
      <c r="I69" s="121">
        <f>IF($B69="","",IF($F69&lt;0,"ZARAR",IF($G69&lt;IsMarjEsik,"RİSK","KÂRLI")))</f>
        <v/>
      </c>
      <c r="J69" s="122" t="n"/>
    </row>
    <row r="70" ht="15" customHeight="1" s="76">
      <c r="A70" s="122" t="n"/>
      <c r="B70" s="122" t="n"/>
      <c r="C70" s="123" t="n"/>
      <c r="D70" s="123" t="n"/>
      <c r="E70" s="124" t="n"/>
      <c r="F70" s="119">
        <f>$C70-$D70</f>
        <v/>
      </c>
      <c r="G70" s="120">
        <f>IF($C70=0,0,$F70/$C70)</f>
        <v/>
      </c>
      <c r="H70" s="119">
        <f>IF($E70=0,0,$F70/$E70)</f>
        <v/>
      </c>
      <c r="I70" s="121">
        <f>IF($B70="","",IF($F70&lt;0,"ZARAR",IF($G70&lt;IsMarjEsik,"RİSK","KÂRLI")))</f>
        <v/>
      </c>
      <c r="J70" s="122" t="n"/>
    </row>
    <row r="71" ht="15" customHeight="1" s="76">
      <c r="A71" s="122" t="n"/>
      <c r="B71" s="122" t="n"/>
      <c r="C71" s="123" t="n"/>
      <c r="D71" s="123" t="n"/>
      <c r="E71" s="124" t="n"/>
      <c r="F71" s="119">
        <f>$C71-$D71</f>
        <v/>
      </c>
      <c r="G71" s="120">
        <f>IF($C71=0,0,$F71/$C71)</f>
        <v/>
      </c>
      <c r="H71" s="119">
        <f>IF($E71=0,0,$F71/$E71)</f>
        <v/>
      </c>
      <c r="I71" s="121">
        <f>IF($B71="","",IF($F71&lt;0,"ZARAR",IF($G71&lt;IsMarjEsik,"RİSK","KÂRLI")))</f>
        <v/>
      </c>
      <c r="J71" s="122" t="n"/>
    </row>
    <row r="72" ht="15" customHeight="1" s="76">
      <c r="A72" s="122" t="n"/>
      <c r="B72" s="122" t="n"/>
      <c r="C72" s="123" t="n"/>
      <c r="D72" s="123" t="n"/>
      <c r="E72" s="124" t="n"/>
      <c r="F72" s="119">
        <f>$C72-$D72</f>
        <v/>
      </c>
      <c r="G72" s="120">
        <f>IF($C72=0,0,$F72/$C72)</f>
        <v/>
      </c>
      <c r="H72" s="119">
        <f>IF($E72=0,0,$F72/$E72)</f>
        <v/>
      </c>
      <c r="I72" s="121">
        <f>IF($B72="","",IF($F72&lt;0,"ZARAR",IF($G72&lt;IsMarjEsik,"RİSK","KÂRLI")))</f>
        <v/>
      </c>
      <c r="J72" s="122" t="n"/>
    </row>
    <row r="73" ht="15" customHeight="1" s="76">
      <c r="A73" s="122" t="n"/>
      <c r="B73" s="122" t="n"/>
      <c r="C73" s="123" t="n"/>
      <c r="D73" s="123" t="n"/>
      <c r="E73" s="124" t="n"/>
      <c r="F73" s="119">
        <f>$C73-$D73</f>
        <v/>
      </c>
      <c r="G73" s="120">
        <f>IF($C73=0,0,$F73/$C73)</f>
        <v/>
      </c>
      <c r="H73" s="119">
        <f>IF($E73=0,0,$F73/$E73)</f>
        <v/>
      </c>
      <c r="I73" s="121">
        <f>IF($B73="","",IF($F73&lt;0,"ZARAR",IF($G73&lt;IsMarjEsik,"RİSK","KÂRLI")))</f>
        <v/>
      </c>
      <c r="J73" s="122" t="n"/>
    </row>
    <row r="74" ht="15" customHeight="1" s="76">
      <c r="A74" s="122" t="n"/>
      <c r="B74" s="122" t="n"/>
      <c r="C74" s="123" t="n"/>
      <c r="D74" s="123" t="n"/>
      <c r="E74" s="124" t="n"/>
      <c r="F74" s="119">
        <f>$C74-$D74</f>
        <v/>
      </c>
      <c r="G74" s="120">
        <f>IF($C74=0,0,$F74/$C74)</f>
        <v/>
      </c>
      <c r="H74" s="119">
        <f>IF($E74=0,0,$F74/$E74)</f>
        <v/>
      </c>
      <c r="I74" s="121">
        <f>IF($B74="","",IF($F74&lt;0,"ZARAR",IF($G74&lt;IsMarjEsik,"RİSK","KÂRLI")))</f>
        <v/>
      </c>
      <c r="J74" s="122" t="n"/>
    </row>
    <row r="75" ht="15" customHeight="1" s="76">
      <c r="A75" s="122" t="n"/>
      <c r="B75" s="122" t="n"/>
      <c r="C75" s="123" t="n"/>
      <c r="D75" s="123" t="n"/>
      <c r="E75" s="124" t="n"/>
      <c r="F75" s="119">
        <f>$C75-$D75</f>
        <v/>
      </c>
      <c r="G75" s="120">
        <f>IF($C75=0,0,$F75/$C75)</f>
        <v/>
      </c>
      <c r="H75" s="119">
        <f>IF($E75=0,0,$F75/$E75)</f>
        <v/>
      </c>
      <c r="I75" s="121">
        <f>IF($B75="","",IF($F75&lt;0,"ZARAR",IF($G75&lt;IsMarjEsik,"RİSK","KÂRLI")))</f>
        <v/>
      </c>
      <c r="J75" s="122" t="n"/>
    </row>
    <row r="76" ht="15" customHeight="1" s="76">
      <c r="A76" s="122" t="n"/>
      <c r="B76" s="122" t="n"/>
      <c r="C76" s="123" t="n"/>
      <c r="D76" s="123" t="n"/>
      <c r="E76" s="124" t="n"/>
      <c r="F76" s="119">
        <f>$C76-$D76</f>
        <v/>
      </c>
      <c r="G76" s="120">
        <f>IF($C76=0,0,$F76/$C76)</f>
        <v/>
      </c>
      <c r="H76" s="119">
        <f>IF($E76=0,0,$F76/$E76)</f>
        <v/>
      </c>
      <c r="I76" s="121">
        <f>IF($B76="","",IF($F76&lt;0,"ZARAR",IF($G76&lt;IsMarjEsik,"RİSK","KÂRLI")))</f>
        <v/>
      </c>
      <c r="J76" s="122" t="n"/>
    </row>
    <row r="77" ht="15" customHeight="1" s="76">
      <c r="A77" s="122" t="n"/>
      <c r="B77" s="122" t="n"/>
      <c r="C77" s="123" t="n"/>
      <c r="D77" s="123" t="n"/>
      <c r="E77" s="124" t="n"/>
      <c r="F77" s="119">
        <f>$C77-$D77</f>
        <v/>
      </c>
      <c r="G77" s="120">
        <f>IF($C77=0,0,$F77/$C77)</f>
        <v/>
      </c>
      <c r="H77" s="119">
        <f>IF($E77=0,0,$F77/$E77)</f>
        <v/>
      </c>
      <c r="I77" s="121">
        <f>IF($B77="","",IF($F77&lt;0,"ZARAR",IF($G77&lt;IsMarjEsik,"RİSK","KÂRLI")))</f>
        <v/>
      </c>
      <c r="J77" s="122" t="n"/>
    </row>
    <row r="78" ht="15" customHeight="1" s="76">
      <c r="A78" s="122" t="n"/>
      <c r="B78" s="122" t="n"/>
      <c r="C78" s="123" t="n"/>
      <c r="D78" s="123" t="n"/>
      <c r="E78" s="124" t="n"/>
      <c r="F78" s="119">
        <f>$C78-$D78</f>
        <v/>
      </c>
      <c r="G78" s="120">
        <f>IF($C78=0,0,$F78/$C78)</f>
        <v/>
      </c>
      <c r="H78" s="119">
        <f>IF($E78=0,0,$F78/$E78)</f>
        <v/>
      </c>
      <c r="I78" s="121">
        <f>IF($B78="","",IF($F78&lt;0,"ZARAR",IF($G78&lt;IsMarjEsik,"RİSK","KÂRLI")))</f>
        <v/>
      </c>
      <c r="J78" s="122" t="n"/>
    </row>
    <row r="79" ht="15" customHeight="1" s="76">
      <c r="A79" s="122" t="n"/>
      <c r="B79" s="122" t="n"/>
      <c r="C79" s="123" t="n"/>
      <c r="D79" s="123" t="n"/>
      <c r="E79" s="124" t="n"/>
      <c r="F79" s="119">
        <f>$C79-$D79</f>
        <v/>
      </c>
      <c r="G79" s="120">
        <f>IF($C79=0,0,$F79/$C79)</f>
        <v/>
      </c>
      <c r="H79" s="119">
        <f>IF($E79=0,0,$F79/$E79)</f>
        <v/>
      </c>
      <c r="I79" s="121">
        <f>IF($B79="","",IF($F79&lt;0,"ZARAR",IF($G79&lt;IsMarjEsik,"RİSK","KÂRLI")))</f>
        <v/>
      </c>
      <c r="J79" s="122" t="n"/>
    </row>
    <row r="80" ht="15" customHeight="1" s="76">
      <c r="A80" s="122" t="n"/>
      <c r="B80" s="122" t="n"/>
      <c r="C80" s="123" t="n"/>
      <c r="D80" s="123" t="n"/>
      <c r="E80" s="124" t="n"/>
      <c r="F80" s="119">
        <f>$C80-$D80</f>
        <v/>
      </c>
      <c r="G80" s="120">
        <f>IF($C80=0,0,$F80/$C80)</f>
        <v/>
      </c>
      <c r="H80" s="119">
        <f>IF($E80=0,0,$F80/$E80)</f>
        <v/>
      </c>
      <c r="I80" s="121">
        <f>IF($B80="","",IF($F80&lt;0,"ZARAR",IF($G80&lt;IsMarjEsik,"RİSK","KÂRLI")))</f>
        <v/>
      </c>
      <c r="J80" s="122" t="n"/>
    </row>
    <row r="81" ht="15" customHeight="1" s="76">
      <c r="A81" s="122" t="n"/>
      <c r="B81" s="122" t="n"/>
      <c r="C81" s="123" t="n"/>
      <c r="D81" s="123" t="n"/>
      <c r="E81" s="124" t="n"/>
      <c r="F81" s="119">
        <f>$C81-$D81</f>
        <v/>
      </c>
      <c r="G81" s="120">
        <f>IF($C81=0,0,$F81/$C81)</f>
        <v/>
      </c>
      <c r="H81" s="119">
        <f>IF($E81=0,0,$F81/$E81)</f>
        <v/>
      </c>
      <c r="I81" s="121">
        <f>IF($B81="","",IF($F81&lt;0,"ZARAR",IF($G81&lt;IsMarjEsik,"RİSK","KÂRLI")))</f>
        <v/>
      </c>
      <c r="J81" s="122" t="n"/>
    </row>
    <row r="82" ht="15" customHeight="1" s="76">
      <c r="A82" s="122" t="n"/>
      <c r="B82" s="122" t="n"/>
      <c r="C82" s="123" t="n"/>
      <c r="D82" s="123" t="n"/>
      <c r="E82" s="124" t="n"/>
      <c r="F82" s="119">
        <f>$C82-$D82</f>
        <v/>
      </c>
      <c r="G82" s="120">
        <f>IF($C82=0,0,$F82/$C82)</f>
        <v/>
      </c>
      <c r="H82" s="119">
        <f>IF($E82=0,0,$F82/$E82)</f>
        <v/>
      </c>
      <c r="I82" s="121">
        <f>IF($B82="","",IF($F82&lt;0,"ZARAR",IF($G82&lt;IsMarjEsik,"RİSK","KÂRLI")))</f>
        <v/>
      </c>
      <c r="J82" s="122" t="n"/>
    </row>
    <row r="83" ht="15" customHeight="1" s="76">
      <c r="A83" s="122" t="n"/>
      <c r="B83" s="122" t="n"/>
      <c r="C83" s="123" t="n"/>
      <c r="D83" s="123" t="n"/>
      <c r="E83" s="124" t="n"/>
      <c r="F83" s="119">
        <f>$C83-$D83</f>
        <v/>
      </c>
      <c r="G83" s="120">
        <f>IF($C83=0,0,$F83/$C83)</f>
        <v/>
      </c>
      <c r="H83" s="119">
        <f>IF($E83=0,0,$F83/$E83)</f>
        <v/>
      </c>
      <c r="I83" s="121">
        <f>IF($B83="","",IF($F83&lt;0,"ZARAR",IF($G83&lt;IsMarjEsik,"RİSK","KÂRLI")))</f>
        <v/>
      </c>
      <c r="J83" s="122" t="n"/>
    </row>
    <row r="84" ht="15" customHeight="1" s="76">
      <c r="A84" s="122" t="n"/>
      <c r="B84" s="122" t="n"/>
      <c r="C84" s="123" t="n"/>
      <c r="D84" s="123" t="n"/>
      <c r="E84" s="124" t="n"/>
      <c r="F84" s="119">
        <f>$C84-$D84</f>
        <v/>
      </c>
      <c r="G84" s="120">
        <f>IF($C84=0,0,$F84/$C84)</f>
        <v/>
      </c>
      <c r="H84" s="119">
        <f>IF($E84=0,0,$F84/$E84)</f>
        <v/>
      </c>
      <c r="I84" s="121">
        <f>IF($B84="","",IF($F84&lt;0,"ZARAR",IF($G84&lt;IsMarjEsik,"RİSK","KÂRLI")))</f>
        <v/>
      </c>
      <c r="J84" s="122" t="n"/>
    </row>
    <row r="85" ht="15" customHeight="1" s="76">
      <c r="A85" s="122" t="n"/>
      <c r="B85" s="122" t="n"/>
      <c r="C85" s="123" t="n"/>
      <c r="D85" s="123" t="n"/>
      <c r="E85" s="124" t="n"/>
      <c r="F85" s="119">
        <f>$C85-$D85</f>
        <v/>
      </c>
      <c r="G85" s="120">
        <f>IF($C85=0,0,$F85/$C85)</f>
        <v/>
      </c>
      <c r="H85" s="119">
        <f>IF($E85=0,0,$F85/$E85)</f>
        <v/>
      </c>
      <c r="I85" s="121">
        <f>IF($B85="","",IF($F85&lt;0,"ZARAR",IF($G85&lt;IsMarjEsik,"RİSK","KÂRLI")))</f>
        <v/>
      </c>
      <c r="J85" s="122" t="n"/>
    </row>
    <row r="86" ht="15" customHeight="1" s="76">
      <c r="A86" s="122" t="n"/>
      <c r="B86" s="122" t="n"/>
      <c r="C86" s="123" t="n"/>
      <c r="D86" s="123" t="n"/>
      <c r="E86" s="124" t="n"/>
      <c r="F86" s="119">
        <f>$C86-$D86</f>
        <v/>
      </c>
      <c r="G86" s="120">
        <f>IF($C86=0,0,$F86/$C86)</f>
        <v/>
      </c>
      <c r="H86" s="119">
        <f>IF($E86=0,0,$F86/$E86)</f>
        <v/>
      </c>
      <c r="I86" s="121">
        <f>IF($B86="","",IF($F86&lt;0,"ZARAR",IF($G86&lt;IsMarjEsik,"RİSK","KÂRLI")))</f>
        <v/>
      </c>
      <c r="J86" s="122" t="n"/>
    </row>
    <row r="87" ht="15" customHeight="1" s="76">
      <c r="A87" s="122" t="n"/>
      <c r="B87" s="122" t="n"/>
      <c r="C87" s="123" t="n"/>
      <c r="D87" s="123" t="n"/>
      <c r="E87" s="124" t="n"/>
      <c r="F87" s="119">
        <f>$C87-$D87</f>
        <v/>
      </c>
      <c r="G87" s="120">
        <f>IF($C87=0,0,$F87/$C87)</f>
        <v/>
      </c>
      <c r="H87" s="119">
        <f>IF($E87=0,0,$F87/$E87)</f>
        <v/>
      </c>
      <c r="I87" s="121">
        <f>IF($B87="","",IF($F87&lt;0,"ZARAR",IF($G87&lt;IsMarjEsik,"RİSK","KÂRLI")))</f>
        <v/>
      </c>
      <c r="J87" s="122" t="n"/>
    </row>
    <row r="88" ht="15" customHeight="1" s="76">
      <c r="A88" s="122" t="n"/>
      <c r="B88" s="122" t="n"/>
      <c r="C88" s="123" t="n"/>
      <c r="D88" s="123" t="n"/>
      <c r="E88" s="124" t="n"/>
      <c r="F88" s="119">
        <f>$C88-$D88</f>
        <v/>
      </c>
      <c r="G88" s="120">
        <f>IF($C88=0,0,$F88/$C88)</f>
        <v/>
      </c>
      <c r="H88" s="119">
        <f>IF($E88=0,0,$F88/$E88)</f>
        <v/>
      </c>
      <c r="I88" s="121">
        <f>IF($B88="","",IF($F88&lt;0,"ZARAR",IF($G88&lt;IsMarjEsik,"RİSK","KÂRLI")))</f>
        <v/>
      </c>
      <c r="J88" s="122" t="n"/>
    </row>
    <row r="89" ht="15" customHeight="1" s="76">
      <c r="A89" s="122" t="n"/>
      <c r="B89" s="122" t="n"/>
      <c r="C89" s="123" t="n"/>
      <c r="D89" s="123" t="n"/>
      <c r="E89" s="124" t="n"/>
      <c r="F89" s="119">
        <f>$C89-$D89</f>
        <v/>
      </c>
      <c r="G89" s="120">
        <f>IF($C89=0,0,$F89/$C89)</f>
        <v/>
      </c>
      <c r="H89" s="119">
        <f>IF($E89=0,0,$F89/$E89)</f>
        <v/>
      </c>
      <c r="I89" s="121">
        <f>IF($B89="","",IF($F89&lt;0,"ZARAR",IF($G89&lt;IsMarjEsik,"RİSK","KÂRLI")))</f>
        <v/>
      </c>
      <c r="J89" s="122" t="n"/>
    </row>
    <row r="90" ht="15" customHeight="1" s="76">
      <c r="A90" s="122" t="n"/>
      <c r="B90" s="122" t="n"/>
      <c r="C90" s="123" t="n"/>
      <c r="D90" s="123" t="n"/>
      <c r="E90" s="124" t="n"/>
      <c r="F90" s="119">
        <f>$C90-$D90</f>
        <v/>
      </c>
      <c r="G90" s="120">
        <f>IF($C90=0,0,$F90/$C90)</f>
        <v/>
      </c>
      <c r="H90" s="119">
        <f>IF($E90=0,0,$F90/$E90)</f>
        <v/>
      </c>
      <c r="I90" s="121">
        <f>IF($B90="","",IF($F90&lt;0,"ZARAR",IF($G90&lt;IsMarjEsik,"RİSK","KÂRLI")))</f>
        <v/>
      </c>
      <c r="J90" s="122" t="n"/>
    </row>
    <row r="91" ht="15" customHeight="1" s="76">
      <c r="A91" s="122" t="n"/>
      <c r="B91" s="122" t="n"/>
      <c r="C91" s="123" t="n"/>
      <c r="D91" s="123" t="n"/>
      <c r="E91" s="124" t="n"/>
      <c r="F91" s="119">
        <f>$C91-$D91</f>
        <v/>
      </c>
      <c r="G91" s="120">
        <f>IF($C91=0,0,$F91/$C91)</f>
        <v/>
      </c>
      <c r="H91" s="119">
        <f>IF($E91=0,0,$F91/$E91)</f>
        <v/>
      </c>
      <c r="I91" s="121">
        <f>IF($B91="","",IF($F91&lt;0,"ZARAR",IF($G91&lt;IsMarjEsik,"RİSK","KÂRLI")))</f>
        <v/>
      </c>
      <c r="J91" s="122" t="n"/>
    </row>
    <row r="92" ht="15" customHeight="1" s="76">
      <c r="A92" s="122" t="n"/>
      <c r="B92" s="122" t="n"/>
      <c r="C92" s="123" t="n"/>
      <c r="D92" s="123" t="n"/>
      <c r="E92" s="124" t="n"/>
      <c r="F92" s="119">
        <f>$C92-$D92</f>
        <v/>
      </c>
      <c r="G92" s="120">
        <f>IF($C92=0,0,$F92/$C92)</f>
        <v/>
      </c>
      <c r="H92" s="119">
        <f>IF($E92=0,0,$F92/$E92)</f>
        <v/>
      </c>
      <c r="I92" s="121">
        <f>IF($B92="","",IF($F92&lt;0,"ZARAR",IF($G92&lt;IsMarjEsik,"RİSK","KÂRLI")))</f>
        <v/>
      </c>
      <c r="J92" s="122" t="n"/>
    </row>
    <row r="93" ht="15" customHeight="1" s="76">
      <c r="A93" s="122" t="n"/>
      <c r="B93" s="122" t="n"/>
      <c r="C93" s="123" t="n"/>
      <c r="D93" s="123" t="n"/>
      <c r="E93" s="124" t="n"/>
      <c r="F93" s="119">
        <f>$C93-$D93</f>
        <v/>
      </c>
      <c r="G93" s="120">
        <f>IF($C93=0,0,$F93/$C93)</f>
        <v/>
      </c>
      <c r="H93" s="119">
        <f>IF($E93=0,0,$F93/$E93)</f>
        <v/>
      </c>
      <c r="I93" s="121">
        <f>IF($B93="","",IF($F93&lt;0,"ZARAR",IF($G93&lt;IsMarjEsik,"RİSK","KÂRLI")))</f>
        <v/>
      </c>
      <c r="J93" s="122" t="n"/>
    </row>
    <row r="94" ht="15" customHeight="1" s="76">
      <c r="A94" s="122" t="n"/>
      <c r="B94" s="122" t="n"/>
      <c r="C94" s="123" t="n"/>
      <c r="D94" s="123" t="n"/>
      <c r="E94" s="124" t="n"/>
      <c r="F94" s="119">
        <f>$C94-$D94</f>
        <v/>
      </c>
      <c r="G94" s="120">
        <f>IF($C94=0,0,$F94/$C94)</f>
        <v/>
      </c>
      <c r="H94" s="119">
        <f>IF($E94=0,0,$F94/$E94)</f>
        <v/>
      </c>
      <c r="I94" s="121">
        <f>IF($B94="","",IF($F94&lt;0,"ZARAR",IF($G94&lt;IsMarjEsik,"RİSK","KÂRLI")))</f>
        <v/>
      </c>
      <c r="J94" s="122" t="n"/>
    </row>
    <row r="95" ht="15" customHeight="1" s="76">
      <c r="A95" s="122" t="n"/>
      <c r="B95" s="122" t="n"/>
      <c r="C95" s="123" t="n"/>
      <c r="D95" s="123" t="n"/>
      <c r="E95" s="124" t="n"/>
      <c r="F95" s="119">
        <f>$C95-$D95</f>
        <v/>
      </c>
      <c r="G95" s="120">
        <f>IF($C95=0,0,$F95/$C95)</f>
        <v/>
      </c>
      <c r="H95" s="119">
        <f>IF($E95=0,0,$F95/$E95)</f>
        <v/>
      </c>
      <c r="I95" s="121">
        <f>IF($B95="","",IF($F95&lt;0,"ZARAR",IF($G95&lt;IsMarjEsik,"RİSK","KÂRLI")))</f>
        <v/>
      </c>
      <c r="J95" s="122" t="n"/>
    </row>
    <row r="96" ht="15" customHeight="1" s="76">
      <c r="A96" s="122" t="n"/>
      <c r="B96" s="122" t="n"/>
      <c r="C96" s="123" t="n"/>
      <c r="D96" s="123" t="n"/>
      <c r="E96" s="124" t="n"/>
      <c r="F96" s="119">
        <f>$C96-$D96</f>
        <v/>
      </c>
      <c r="G96" s="120">
        <f>IF($C96=0,0,$F96/$C96)</f>
        <v/>
      </c>
      <c r="H96" s="119">
        <f>IF($E96=0,0,$F96/$E96)</f>
        <v/>
      </c>
      <c r="I96" s="121">
        <f>IF($B96="","",IF($F96&lt;0,"ZARAR",IF($G96&lt;IsMarjEsik,"RİSK","KÂRLI")))</f>
        <v/>
      </c>
      <c r="J96" s="122" t="n"/>
    </row>
    <row r="97" ht="15" customHeight="1" s="76">
      <c r="A97" s="122" t="n"/>
      <c r="B97" s="122" t="n"/>
      <c r="C97" s="123" t="n"/>
      <c r="D97" s="123" t="n"/>
      <c r="E97" s="124" t="n"/>
      <c r="F97" s="119">
        <f>$C97-$D97</f>
        <v/>
      </c>
      <c r="G97" s="120">
        <f>IF($C97=0,0,$F97/$C97)</f>
        <v/>
      </c>
      <c r="H97" s="119">
        <f>IF($E97=0,0,$F97/$E97)</f>
        <v/>
      </c>
      <c r="I97" s="121">
        <f>IF($B97="","",IF($F97&lt;0,"ZARAR",IF($G97&lt;IsMarjEsik,"RİSK","KÂRLI")))</f>
        <v/>
      </c>
      <c r="J97" s="122" t="n"/>
    </row>
    <row r="98" ht="15" customHeight="1" s="76">
      <c r="A98" s="122" t="n"/>
      <c r="B98" s="122" t="n"/>
      <c r="C98" s="123" t="n"/>
      <c r="D98" s="123" t="n"/>
      <c r="E98" s="124" t="n"/>
      <c r="F98" s="119">
        <f>$C98-$D98</f>
        <v/>
      </c>
      <c r="G98" s="120">
        <f>IF($C98=0,0,$F98/$C98)</f>
        <v/>
      </c>
      <c r="H98" s="119">
        <f>IF($E98=0,0,$F98/$E98)</f>
        <v/>
      </c>
      <c r="I98" s="121">
        <f>IF($B98="","",IF($F98&lt;0,"ZARAR",IF($G98&lt;IsMarjEsik,"RİSK","KÂRLI")))</f>
        <v/>
      </c>
      <c r="J98" s="122" t="n"/>
    </row>
    <row r="99" ht="15" customHeight="1" s="76">
      <c r="A99" s="122" t="n"/>
      <c r="B99" s="122" t="n"/>
      <c r="C99" s="123" t="n"/>
      <c r="D99" s="123" t="n"/>
      <c r="E99" s="124" t="n"/>
      <c r="F99" s="119">
        <f>$C99-$D99</f>
        <v/>
      </c>
      <c r="G99" s="120">
        <f>IF($C99=0,0,$F99/$C99)</f>
        <v/>
      </c>
      <c r="H99" s="119">
        <f>IF($E99=0,0,$F99/$E99)</f>
        <v/>
      </c>
      <c r="I99" s="121">
        <f>IF($B99="","",IF($F99&lt;0,"ZARAR",IF($G99&lt;IsMarjEsik,"RİSK","KÂRLI")))</f>
        <v/>
      </c>
      <c r="J99" s="122" t="n"/>
    </row>
    <row r="100" ht="15" customHeight="1" s="76">
      <c r="A100" s="122" t="n"/>
      <c r="B100" s="122" t="n"/>
      <c r="C100" s="123" t="n"/>
      <c r="D100" s="123" t="n"/>
      <c r="E100" s="124" t="n"/>
      <c r="F100" s="119">
        <f>$C100-$D100</f>
        <v/>
      </c>
      <c r="G100" s="120">
        <f>IF($C100=0,0,$F100/$C100)</f>
        <v/>
      </c>
      <c r="H100" s="119">
        <f>IF($E100=0,0,$F100/$E100)</f>
        <v/>
      </c>
      <c r="I100" s="121">
        <f>IF($B100="","",IF($F100&lt;0,"ZARAR",IF($G100&lt;IsMarjEsik,"RİSK","KÂRLI")))</f>
        <v/>
      </c>
      <c r="J100" s="122" t="n"/>
    </row>
    <row r="101" ht="15" customHeight="1" s="76">
      <c r="A101" s="122" t="n"/>
      <c r="B101" s="122" t="n"/>
      <c r="C101" s="123" t="n"/>
      <c r="D101" s="123" t="n"/>
      <c r="E101" s="124" t="n"/>
      <c r="F101" s="119">
        <f>$C101-$D101</f>
        <v/>
      </c>
      <c r="G101" s="120">
        <f>IF($C101=0,0,$F101/$C101)</f>
        <v/>
      </c>
      <c r="H101" s="119">
        <f>IF($E101=0,0,$F101/$E101)</f>
        <v/>
      </c>
      <c r="I101" s="121">
        <f>IF($B101="","",IF($F101&lt;0,"ZARAR",IF($G101&lt;IsMarjEsik,"RİSK","KÂRLI")))</f>
        <v/>
      </c>
      <c r="J101" s="122" t="n"/>
    </row>
    <row r="102" ht="15" customHeight="1" s="76">
      <c r="A102" s="122" t="n"/>
      <c r="B102" s="122" t="n"/>
      <c r="C102" s="123" t="n"/>
      <c r="D102" s="123" t="n"/>
      <c r="E102" s="124" t="n"/>
      <c r="F102" s="119">
        <f>$C102-$D102</f>
        <v/>
      </c>
      <c r="G102" s="120">
        <f>IF($C102=0,0,$F102/$C102)</f>
        <v/>
      </c>
      <c r="H102" s="119">
        <f>IF($E102=0,0,$F102/$E102)</f>
        <v/>
      </c>
      <c r="I102" s="121">
        <f>IF($B102="","",IF($F102&lt;0,"ZARAR",IF($G102&lt;IsMarjEsik,"RİSK","KÂRLI")))</f>
        <v/>
      </c>
      <c r="J102" s="122" t="n"/>
    </row>
    <row r="103" ht="15" customHeight="1" s="76">
      <c r="A103" s="122" t="n"/>
      <c r="B103" s="122" t="n"/>
      <c r="C103" s="123" t="n"/>
      <c r="D103" s="123" t="n"/>
      <c r="E103" s="124" t="n"/>
      <c r="F103" s="119">
        <f>$C103-$D103</f>
        <v/>
      </c>
      <c r="G103" s="120">
        <f>IF($C103=0,0,$F103/$C103)</f>
        <v/>
      </c>
      <c r="H103" s="119">
        <f>IF($E103=0,0,$F103/$E103)</f>
        <v/>
      </c>
      <c r="I103" s="121">
        <f>IF($B103="","",IF($F103&lt;0,"ZARAR",IF($G103&lt;IsMarjEsik,"RİSK","KÂRLI")))</f>
        <v/>
      </c>
      <c r="J103" s="122" t="n"/>
    </row>
    <row r="104" ht="15" customHeight="1" s="76">
      <c r="A104" s="122" t="n"/>
      <c r="B104" s="122" t="n"/>
      <c r="C104" s="123" t="n"/>
      <c r="D104" s="123" t="n"/>
      <c r="E104" s="124" t="n"/>
      <c r="F104" s="119">
        <f>$C104-$D104</f>
        <v/>
      </c>
      <c r="G104" s="120">
        <f>IF($C104=0,0,$F104/$C104)</f>
        <v/>
      </c>
      <c r="H104" s="119">
        <f>IF($E104=0,0,$F104/$E104)</f>
        <v/>
      </c>
      <c r="I104" s="121">
        <f>IF($B104="","",IF($F104&lt;0,"ZARAR",IF($G104&lt;IsMarjEsik,"RİSK","KÂRLI")))</f>
        <v/>
      </c>
      <c r="J104" s="122" t="n"/>
    </row>
    <row r="105" ht="15" customHeight="1" s="76">
      <c r="A105" s="122" t="n"/>
      <c r="B105" s="122" t="n"/>
      <c r="C105" s="123" t="n"/>
      <c r="D105" s="123" t="n"/>
      <c r="E105" s="124" t="n"/>
      <c r="F105" s="119">
        <f>$C105-$D105</f>
        <v/>
      </c>
      <c r="G105" s="120">
        <f>IF($C105=0,0,$F105/$C105)</f>
        <v/>
      </c>
      <c r="H105" s="119">
        <f>IF($E105=0,0,$F105/$E105)</f>
        <v/>
      </c>
      <c r="I105" s="121">
        <f>IF($B105="","",IF($F105&lt;0,"ZARAR",IF($G105&lt;IsMarjEsik,"RİSK","KÂRLI")))</f>
        <v/>
      </c>
      <c r="J105" s="122" t="n"/>
    </row>
    <row r="106" ht="15" customHeight="1" s="76">
      <c r="A106" s="122" t="n"/>
      <c r="B106" s="122" t="n"/>
      <c r="C106" s="123" t="n"/>
      <c r="D106" s="123" t="n"/>
      <c r="E106" s="124" t="n"/>
      <c r="F106" s="119">
        <f>$C106-$D106</f>
        <v/>
      </c>
      <c r="G106" s="120">
        <f>IF($C106=0,0,$F106/$C106)</f>
        <v/>
      </c>
      <c r="H106" s="119">
        <f>IF($E106=0,0,$F106/$E106)</f>
        <v/>
      </c>
      <c r="I106" s="121">
        <f>IF($B106="","",IF($F106&lt;0,"ZARAR",IF($G106&lt;IsMarjEsik,"RİSK","KÂRLI")))</f>
        <v/>
      </c>
      <c r="J106" s="122" t="n"/>
    </row>
    <row r="107" ht="15" customHeight="1" s="76">
      <c r="A107" s="122" t="n"/>
      <c r="B107" s="122" t="n"/>
      <c r="C107" s="123" t="n"/>
      <c r="D107" s="123" t="n"/>
      <c r="E107" s="124" t="n"/>
      <c r="F107" s="119">
        <f>$C107-$D107</f>
        <v/>
      </c>
      <c r="G107" s="120">
        <f>IF($C107=0,0,$F107/$C107)</f>
        <v/>
      </c>
      <c r="H107" s="119">
        <f>IF($E107=0,0,$F107/$E107)</f>
        <v/>
      </c>
      <c r="I107" s="121">
        <f>IF($B107="","",IF($F107&lt;0,"ZARAR",IF($G107&lt;IsMarjEsik,"RİSK","KÂRLI")))</f>
        <v/>
      </c>
      <c r="J107" s="122" t="n"/>
    </row>
    <row r="108" ht="15" customHeight="1" s="76">
      <c r="A108" s="122" t="n"/>
      <c r="B108" s="122" t="n"/>
      <c r="C108" s="123" t="n"/>
      <c r="D108" s="123" t="n"/>
      <c r="E108" s="124" t="n"/>
      <c r="F108" s="119">
        <f>$C108-$D108</f>
        <v/>
      </c>
      <c r="G108" s="120">
        <f>IF($C108=0,0,$F108/$C108)</f>
        <v/>
      </c>
      <c r="H108" s="119">
        <f>IF($E108=0,0,$F108/$E108)</f>
        <v/>
      </c>
      <c r="I108" s="121">
        <f>IF($B108="","",IF($F108&lt;0,"ZARAR",IF($G108&lt;IsMarjEsik,"RİSK","KÂRLI")))</f>
        <v/>
      </c>
      <c r="J108" s="122" t="n"/>
    </row>
    <row r="109" ht="15" customHeight="1" s="76">
      <c r="A109" s="122" t="n"/>
      <c r="B109" s="122" t="n"/>
      <c r="C109" s="123" t="n"/>
      <c r="D109" s="123" t="n"/>
      <c r="E109" s="124" t="n"/>
      <c r="F109" s="119">
        <f>$C109-$D109</f>
        <v/>
      </c>
      <c r="G109" s="120">
        <f>IF($C109=0,0,$F109/$C109)</f>
        <v/>
      </c>
      <c r="H109" s="119">
        <f>IF($E109=0,0,$F109/$E109)</f>
        <v/>
      </c>
      <c r="I109" s="121">
        <f>IF($B109="","",IF($F109&lt;0,"ZARAR",IF($G109&lt;IsMarjEsik,"RİSK","KÂRLI")))</f>
        <v/>
      </c>
      <c r="J109" s="122" t="n"/>
    </row>
    <row r="110" ht="15" customHeight="1" s="76">
      <c r="A110" s="122" t="n"/>
      <c r="B110" s="122" t="n"/>
      <c r="C110" s="123" t="n"/>
      <c r="D110" s="123" t="n"/>
      <c r="E110" s="124" t="n"/>
      <c r="F110" s="119">
        <f>$C110-$D110</f>
        <v/>
      </c>
      <c r="G110" s="120">
        <f>IF($C110=0,0,$F110/$C110)</f>
        <v/>
      </c>
      <c r="H110" s="119">
        <f>IF($E110=0,0,$F110/$E110)</f>
        <v/>
      </c>
      <c r="I110" s="121">
        <f>IF($B110="","",IF($F110&lt;0,"ZARAR",IF($G110&lt;IsMarjEsik,"RİSK","KÂRLI")))</f>
        <v/>
      </c>
      <c r="J110" s="122" t="n"/>
    </row>
    <row r="111" ht="15" customHeight="1" s="76">
      <c r="A111" s="122" t="n"/>
      <c r="B111" s="122" t="n"/>
      <c r="C111" s="123" t="n"/>
      <c r="D111" s="123" t="n"/>
      <c r="E111" s="124" t="n"/>
      <c r="F111" s="119">
        <f>$C111-$D111</f>
        <v/>
      </c>
      <c r="G111" s="120">
        <f>IF($C111=0,0,$F111/$C111)</f>
        <v/>
      </c>
      <c r="H111" s="119">
        <f>IF($E111=0,0,$F111/$E111)</f>
        <v/>
      </c>
      <c r="I111" s="121">
        <f>IF($B111="","",IF($F111&lt;0,"ZARAR",IF($G111&lt;IsMarjEsik,"RİSK","KÂRLI")))</f>
        <v/>
      </c>
      <c r="J111" s="122" t="n"/>
    </row>
    <row r="112" ht="15" customHeight="1" s="76">
      <c r="A112" s="122" t="n"/>
      <c r="B112" s="122" t="n"/>
      <c r="C112" s="123" t="n"/>
      <c r="D112" s="123" t="n"/>
      <c r="E112" s="124" t="n"/>
      <c r="F112" s="119">
        <f>$C112-$D112</f>
        <v/>
      </c>
      <c r="G112" s="120">
        <f>IF($C112=0,0,$F112/$C112)</f>
        <v/>
      </c>
      <c r="H112" s="119">
        <f>IF($E112=0,0,$F112/$E112)</f>
        <v/>
      </c>
      <c r="I112" s="121">
        <f>IF($B112="","",IF($F112&lt;0,"ZARAR",IF($G112&lt;IsMarjEsik,"RİSK","KÂRLI")))</f>
        <v/>
      </c>
      <c r="J112" s="122" t="n"/>
    </row>
    <row r="113" ht="15" customHeight="1" s="76">
      <c r="A113" s="122" t="n"/>
      <c r="B113" s="122" t="n"/>
      <c r="C113" s="123" t="n"/>
      <c r="D113" s="123" t="n"/>
      <c r="E113" s="124" t="n"/>
      <c r="F113" s="119">
        <f>$C113-$D113</f>
        <v/>
      </c>
      <c r="G113" s="120">
        <f>IF($C113=0,0,$F113/$C113)</f>
        <v/>
      </c>
      <c r="H113" s="119">
        <f>IF($E113=0,0,$F113/$E113)</f>
        <v/>
      </c>
      <c r="I113" s="121">
        <f>IF($B113="","",IF($F113&lt;0,"ZARAR",IF($G113&lt;IsMarjEsik,"RİSK","KÂRLI")))</f>
        <v/>
      </c>
      <c r="J113" s="122" t="n"/>
    </row>
    <row r="114" ht="15" customHeight="1" s="76">
      <c r="A114" s="122" t="n"/>
      <c r="B114" s="122" t="n"/>
      <c r="C114" s="123" t="n"/>
      <c r="D114" s="123" t="n"/>
      <c r="E114" s="124" t="n"/>
      <c r="F114" s="119">
        <f>$C114-$D114</f>
        <v/>
      </c>
      <c r="G114" s="120">
        <f>IF($C114=0,0,$F114/$C114)</f>
        <v/>
      </c>
      <c r="H114" s="119">
        <f>IF($E114=0,0,$F114/$E114)</f>
        <v/>
      </c>
      <c r="I114" s="121">
        <f>IF($B114="","",IF($F114&lt;0,"ZARAR",IF($G114&lt;IsMarjEsik,"RİSK","KÂRLI")))</f>
        <v/>
      </c>
      <c r="J114" s="122" t="n"/>
    </row>
    <row r="115" ht="15" customHeight="1" s="76">
      <c r="A115" s="122" t="n"/>
      <c r="B115" s="122" t="n"/>
      <c r="C115" s="123" t="n"/>
      <c r="D115" s="123" t="n"/>
      <c r="E115" s="124" t="n"/>
      <c r="F115" s="119">
        <f>$C115-$D115</f>
        <v/>
      </c>
      <c r="G115" s="120">
        <f>IF($C115=0,0,$F115/$C115)</f>
        <v/>
      </c>
      <c r="H115" s="119">
        <f>IF($E115=0,0,$F115/$E115)</f>
        <v/>
      </c>
      <c r="I115" s="121">
        <f>IF($B115="","",IF($F115&lt;0,"ZARAR",IF($G115&lt;IsMarjEsik,"RİSK","KÂRLI")))</f>
        <v/>
      </c>
      <c r="J115" s="122" t="n"/>
    </row>
    <row r="116" ht="15" customHeight="1" s="76">
      <c r="A116" s="122" t="n"/>
      <c r="B116" s="122" t="n"/>
      <c r="C116" s="123" t="n"/>
      <c r="D116" s="123" t="n"/>
      <c r="E116" s="124" t="n"/>
      <c r="F116" s="119">
        <f>$C116-$D116</f>
        <v/>
      </c>
      <c r="G116" s="120">
        <f>IF($C116=0,0,$F116/$C116)</f>
        <v/>
      </c>
      <c r="H116" s="119">
        <f>IF($E116=0,0,$F116/$E116)</f>
        <v/>
      </c>
      <c r="I116" s="121">
        <f>IF($B116="","",IF($F116&lt;0,"ZARAR",IF($G116&lt;IsMarjEsik,"RİSK","KÂRLI")))</f>
        <v/>
      </c>
      <c r="J116" s="122" t="n"/>
    </row>
    <row r="117" ht="15" customHeight="1" s="76">
      <c r="A117" s="122" t="n"/>
      <c r="B117" s="122" t="n"/>
      <c r="C117" s="123" t="n"/>
      <c r="D117" s="123" t="n"/>
      <c r="E117" s="124" t="n"/>
      <c r="F117" s="119">
        <f>$C117-$D117</f>
        <v/>
      </c>
      <c r="G117" s="120">
        <f>IF($C117=0,0,$F117/$C117)</f>
        <v/>
      </c>
      <c r="H117" s="119">
        <f>IF($E117=0,0,$F117/$E117)</f>
        <v/>
      </c>
      <c r="I117" s="121">
        <f>IF($B117="","",IF($F117&lt;0,"ZARAR",IF($G117&lt;IsMarjEsik,"RİSK","KÂRLI")))</f>
        <v/>
      </c>
      <c r="J117" s="122" t="n"/>
    </row>
    <row r="118" ht="15" customHeight="1" s="76">
      <c r="A118" s="122" t="n"/>
      <c r="B118" s="122" t="n"/>
      <c r="C118" s="123" t="n"/>
      <c r="D118" s="123" t="n"/>
      <c r="E118" s="124" t="n"/>
      <c r="F118" s="119">
        <f>$C118-$D118</f>
        <v/>
      </c>
      <c r="G118" s="120">
        <f>IF($C118=0,0,$F118/$C118)</f>
        <v/>
      </c>
      <c r="H118" s="119">
        <f>IF($E118=0,0,$F118/$E118)</f>
        <v/>
      </c>
      <c r="I118" s="121">
        <f>IF($B118="","",IF($F118&lt;0,"ZARAR",IF($G118&lt;IsMarjEsik,"RİSK","KÂRLI")))</f>
        <v/>
      </c>
      <c r="J118" s="122" t="n"/>
    </row>
    <row r="119" ht="15" customHeight="1" s="76">
      <c r="A119" s="122" t="n"/>
      <c r="B119" s="122" t="n"/>
      <c r="C119" s="123" t="n"/>
      <c r="D119" s="123" t="n"/>
      <c r="E119" s="124" t="n"/>
      <c r="F119" s="119">
        <f>$C119-$D119</f>
        <v/>
      </c>
      <c r="G119" s="120">
        <f>IF($C119=0,0,$F119/$C119)</f>
        <v/>
      </c>
      <c r="H119" s="119">
        <f>IF($E119=0,0,$F119/$E119)</f>
        <v/>
      </c>
      <c r="I119" s="121">
        <f>IF($B119="","",IF($F119&lt;0,"ZARAR",IF($G119&lt;IsMarjEsik,"RİSK","KÂRLI")))</f>
        <v/>
      </c>
      <c r="J119" s="122" t="n"/>
    </row>
    <row r="120" ht="15" customHeight="1" s="76">
      <c r="A120" s="122" t="n"/>
      <c r="B120" s="122" t="n"/>
      <c r="C120" s="123" t="n"/>
      <c r="D120" s="123" t="n"/>
      <c r="E120" s="124" t="n"/>
      <c r="F120" s="119">
        <f>$C120-$D120</f>
        <v/>
      </c>
      <c r="G120" s="120">
        <f>IF($C120=0,0,$F120/$C120)</f>
        <v/>
      </c>
      <c r="H120" s="119">
        <f>IF($E120=0,0,$F120/$E120)</f>
        <v/>
      </c>
      <c r="I120" s="121">
        <f>IF($B120="","",IF($F120&lt;0,"ZARAR",IF($G120&lt;IsMarjEsik,"RİSK","KÂRLI")))</f>
        <v/>
      </c>
      <c r="J120" s="122" t="n"/>
    </row>
    <row r="121" ht="15" customHeight="1" s="76">
      <c r="A121" s="122" t="n"/>
      <c r="B121" s="122" t="n"/>
      <c r="C121" s="123" t="n"/>
      <c r="D121" s="123" t="n"/>
      <c r="E121" s="124" t="n"/>
      <c r="F121" s="119">
        <f>$C121-$D121</f>
        <v/>
      </c>
      <c r="G121" s="120">
        <f>IF($C121=0,0,$F121/$C121)</f>
        <v/>
      </c>
      <c r="H121" s="119">
        <f>IF($E121=0,0,$F121/$E121)</f>
        <v/>
      </c>
      <c r="I121" s="121">
        <f>IF($B121="","",IF($F121&lt;0,"ZARAR",IF($G121&lt;IsMarjEsik,"RİSK","KÂRLI")))</f>
        <v/>
      </c>
      <c r="J121" s="122" t="n"/>
    </row>
    <row r="122" ht="15" customHeight="1" s="76">
      <c r="A122" s="122" t="n"/>
      <c r="B122" s="122" t="n"/>
      <c r="C122" s="123" t="n"/>
      <c r="D122" s="123" t="n"/>
      <c r="E122" s="124" t="n"/>
      <c r="F122" s="119">
        <f>$C122-$D122</f>
        <v/>
      </c>
      <c r="G122" s="120">
        <f>IF($C122=0,0,$F122/$C122)</f>
        <v/>
      </c>
      <c r="H122" s="119">
        <f>IF($E122=0,0,$F122/$E122)</f>
        <v/>
      </c>
      <c r="I122" s="121">
        <f>IF($B122="","",IF($F122&lt;0,"ZARAR",IF($G122&lt;IsMarjEsik,"RİSK","KÂRLI")))</f>
        <v/>
      </c>
      <c r="J122" s="122" t="n"/>
    </row>
    <row r="123" ht="15" customHeight="1" s="76">
      <c r="A123" s="122" t="n"/>
      <c r="B123" s="122" t="n"/>
      <c r="C123" s="123" t="n"/>
      <c r="D123" s="123" t="n"/>
      <c r="E123" s="124" t="n"/>
      <c r="F123" s="119">
        <f>$C123-$D123</f>
        <v/>
      </c>
      <c r="G123" s="120">
        <f>IF($C123=0,0,$F123/$C123)</f>
        <v/>
      </c>
      <c r="H123" s="119">
        <f>IF($E123=0,0,$F123/$E123)</f>
        <v/>
      </c>
      <c r="I123" s="121">
        <f>IF($B123="","",IF($F123&lt;0,"ZARAR",IF($G123&lt;IsMarjEsik,"RİSK","KÂRLI")))</f>
        <v/>
      </c>
      <c r="J123" s="122" t="n"/>
    </row>
    <row r="124" ht="15" customHeight="1" s="76">
      <c r="A124" s="122" t="n"/>
      <c r="B124" s="122" t="n"/>
      <c r="C124" s="123" t="n"/>
      <c r="D124" s="123" t="n"/>
      <c r="E124" s="124" t="n"/>
      <c r="F124" s="119">
        <f>$C124-$D124</f>
        <v/>
      </c>
      <c r="G124" s="120">
        <f>IF($C124=0,0,$F124/$C124)</f>
        <v/>
      </c>
      <c r="H124" s="119">
        <f>IF($E124=0,0,$F124/$E124)</f>
        <v/>
      </c>
      <c r="I124" s="121">
        <f>IF($B124="","",IF($F124&lt;0,"ZARAR",IF($G124&lt;IsMarjEsik,"RİSK","KÂRLI")))</f>
        <v/>
      </c>
      <c r="J124" s="122" t="n"/>
    </row>
    <row r="125" ht="15" customHeight="1" s="76">
      <c r="A125" s="122" t="n"/>
      <c r="B125" s="122" t="n"/>
      <c r="C125" s="123" t="n"/>
      <c r="D125" s="123" t="n"/>
      <c r="E125" s="124" t="n"/>
      <c r="F125" s="119">
        <f>$C125-$D125</f>
        <v/>
      </c>
      <c r="G125" s="120">
        <f>IF($C125=0,0,$F125/$C125)</f>
        <v/>
      </c>
      <c r="H125" s="119">
        <f>IF($E125=0,0,$F125/$E125)</f>
        <v/>
      </c>
      <c r="I125" s="121">
        <f>IF($B125="","",IF($F125&lt;0,"ZARAR",IF($G125&lt;IsMarjEsik,"RİSK","KÂRLI")))</f>
        <v/>
      </c>
      <c r="J125" s="122" t="n"/>
    </row>
    <row r="126" ht="15" customHeight="1" s="76">
      <c r="A126" s="122" t="n"/>
      <c r="B126" s="122" t="n"/>
      <c r="C126" s="123" t="n"/>
      <c r="D126" s="123" t="n"/>
      <c r="E126" s="124" t="n"/>
      <c r="F126" s="119">
        <f>$C126-$D126</f>
        <v/>
      </c>
      <c r="G126" s="120">
        <f>IF($C126=0,0,$F126/$C126)</f>
        <v/>
      </c>
      <c r="H126" s="119">
        <f>IF($E126=0,0,$F126/$E126)</f>
        <v/>
      </c>
      <c r="I126" s="121">
        <f>IF($B126="","",IF($F126&lt;0,"ZARAR",IF($G126&lt;IsMarjEsik,"RİSK","KÂRLI")))</f>
        <v/>
      </c>
      <c r="J126" s="122" t="n"/>
    </row>
    <row r="127" ht="15" customHeight="1" s="76">
      <c r="A127" s="122" t="n"/>
      <c r="B127" s="122" t="n"/>
      <c r="C127" s="123" t="n"/>
      <c r="D127" s="123" t="n"/>
      <c r="E127" s="124" t="n"/>
      <c r="F127" s="119">
        <f>$C127-$D127</f>
        <v/>
      </c>
      <c r="G127" s="120">
        <f>IF($C127=0,0,$F127/$C127)</f>
        <v/>
      </c>
      <c r="H127" s="119">
        <f>IF($E127=0,0,$F127/$E127)</f>
        <v/>
      </c>
      <c r="I127" s="121">
        <f>IF($B127="","",IF($F127&lt;0,"ZARAR",IF($G127&lt;IsMarjEsik,"RİSK","KÂRLI")))</f>
        <v/>
      </c>
      <c r="J127" s="122" t="n"/>
    </row>
    <row r="128" ht="15" customHeight="1" s="76">
      <c r="A128" s="122" t="n"/>
      <c r="B128" s="122" t="n"/>
      <c r="C128" s="123" t="n"/>
      <c r="D128" s="123" t="n"/>
      <c r="E128" s="124" t="n"/>
      <c r="F128" s="119">
        <f>$C128-$D128</f>
        <v/>
      </c>
      <c r="G128" s="120">
        <f>IF($C128=0,0,$F128/$C128)</f>
        <v/>
      </c>
      <c r="H128" s="119">
        <f>IF($E128=0,0,$F128/$E128)</f>
        <v/>
      </c>
      <c r="I128" s="121">
        <f>IF($B128="","",IF($F128&lt;0,"ZARAR",IF($G128&lt;IsMarjEsik,"RİSK","KÂRLI")))</f>
        <v/>
      </c>
      <c r="J128" s="122" t="n"/>
    </row>
    <row r="129" ht="15" customHeight="1" s="76">
      <c r="A129" s="122" t="n"/>
      <c r="B129" s="122" t="n"/>
      <c r="C129" s="123" t="n"/>
      <c r="D129" s="123" t="n"/>
      <c r="E129" s="124" t="n"/>
      <c r="F129" s="119">
        <f>$C129-$D129</f>
        <v/>
      </c>
      <c r="G129" s="120">
        <f>IF($C129=0,0,$F129/$C129)</f>
        <v/>
      </c>
      <c r="H129" s="119">
        <f>IF($E129=0,0,$F129/$E129)</f>
        <v/>
      </c>
      <c r="I129" s="121">
        <f>IF($B129="","",IF($F129&lt;0,"ZARAR",IF($G129&lt;IsMarjEsik,"RİSK","KÂRLI")))</f>
        <v/>
      </c>
      <c r="J129" s="122" t="n"/>
    </row>
    <row r="130" ht="15" customHeight="1" s="76">
      <c r="A130" s="122" t="n"/>
      <c r="B130" s="122" t="n"/>
      <c r="C130" s="123" t="n"/>
      <c r="D130" s="123" t="n"/>
      <c r="E130" s="124" t="n"/>
      <c r="F130" s="119">
        <f>$C130-$D130</f>
        <v/>
      </c>
      <c r="G130" s="120">
        <f>IF($C130=0,0,$F130/$C130)</f>
        <v/>
      </c>
      <c r="H130" s="119">
        <f>IF($E130=0,0,$F130/$E130)</f>
        <v/>
      </c>
      <c r="I130" s="121">
        <f>IF($B130="","",IF($F130&lt;0,"ZARAR",IF($G130&lt;IsMarjEsik,"RİSK","KÂRLI")))</f>
        <v/>
      </c>
      <c r="J130" s="122" t="n"/>
    </row>
    <row r="131" ht="15" customHeight="1" s="76">
      <c r="A131" s="122" t="n"/>
      <c r="B131" s="122" t="n"/>
      <c r="C131" s="123" t="n"/>
      <c r="D131" s="123" t="n"/>
      <c r="E131" s="124" t="n"/>
      <c r="F131" s="119">
        <f>$C131-$D131</f>
        <v/>
      </c>
      <c r="G131" s="120">
        <f>IF($C131=0,0,$F131/$C131)</f>
        <v/>
      </c>
      <c r="H131" s="119">
        <f>IF($E131=0,0,$F131/$E131)</f>
        <v/>
      </c>
      <c r="I131" s="121">
        <f>IF($B131="","",IF($F131&lt;0,"ZARAR",IF($G131&lt;IsMarjEsik,"RİSK","KÂRLI")))</f>
        <v/>
      </c>
      <c r="J131" s="122" t="n"/>
    </row>
    <row r="132" ht="15" customHeight="1" s="76">
      <c r="A132" s="122" t="n"/>
      <c r="B132" s="122" t="n"/>
      <c r="C132" s="123" t="n"/>
      <c r="D132" s="123" t="n"/>
      <c r="E132" s="124" t="n"/>
      <c r="F132" s="119">
        <f>$C132-$D132</f>
        <v/>
      </c>
      <c r="G132" s="120">
        <f>IF($C132=0,0,$F132/$C132)</f>
        <v/>
      </c>
      <c r="H132" s="119">
        <f>IF($E132=0,0,$F132/$E132)</f>
        <v/>
      </c>
      <c r="I132" s="121">
        <f>IF($B132="","",IF($F132&lt;0,"ZARAR",IF($G132&lt;IsMarjEsik,"RİSK","KÂRLI")))</f>
        <v/>
      </c>
      <c r="J132" s="122" t="n"/>
    </row>
    <row r="133" ht="15" customHeight="1" s="76">
      <c r="A133" s="122" t="n"/>
      <c r="B133" s="122" t="n"/>
      <c r="C133" s="123" t="n"/>
      <c r="D133" s="123" t="n"/>
      <c r="E133" s="124" t="n"/>
      <c r="F133" s="119">
        <f>$C133-$D133</f>
        <v/>
      </c>
      <c r="G133" s="120">
        <f>IF($C133=0,0,$F133/$C133)</f>
        <v/>
      </c>
      <c r="H133" s="119">
        <f>IF($E133=0,0,$F133/$E133)</f>
        <v/>
      </c>
      <c r="I133" s="121">
        <f>IF($B133="","",IF($F133&lt;0,"ZARAR",IF($G133&lt;IsMarjEsik,"RİSK","KÂRLI")))</f>
        <v/>
      </c>
      <c r="J133" s="122" t="n"/>
    </row>
    <row r="134" ht="15" customHeight="1" s="76">
      <c r="A134" s="122" t="n"/>
      <c r="B134" s="122" t="n"/>
      <c r="C134" s="123" t="n"/>
      <c r="D134" s="123" t="n"/>
      <c r="E134" s="124" t="n"/>
      <c r="F134" s="119">
        <f>$C134-$D134</f>
        <v/>
      </c>
      <c r="G134" s="120">
        <f>IF($C134=0,0,$F134/$C134)</f>
        <v/>
      </c>
      <c r="H134" s="119">
        <f>IF($E134=0,0,$F134/$E134)</f>
        <v/>
      </c>
      <c r="I134" s="121">
        <f>IF($B134="","",IF($F134&lt;0,"ZARAR",IF($G134&lt;IsMarjEsik,"RİSK","KÂRLI")))</f>
        <v/>
      </c>
      <c r="J134" s="122" t="n"/>
    </row>
    <row r="135" ht="15" customHeight="1" s="76">
      <c r="A135" s="122" t="n"/>
      <c r="B135" s="122" t="n"/>
      <c r="C135" s="123" t="n"/>
      <c r="D135" s="123" t="n"/>
      <c r="E135" s="124" t="n"/>
      <c r="F135" s="119">
        <f>$C135-$D135</f>
        <v/>
      </c>
      <c r="G135" s="120">
        <f>IF($C135=0,0,$F135/$C135)</f>
        <v/>
      </c>
      <c r="H135" s="119">
        <f>IF($E135=0,0,$F135/$E135)</f>
        <v/>
      </c>
      <c r="I135" s="121">
        <f>IF($B135="","",IF($F135&lt;0,"ZARAR",IF($G135&lt;IsMarjEsik,"RİSK","KÂRLI")))</f>
        <v/>
      </c>
      <c r="J135" s="122" t="n"/>
    </row>
    <row r="136" ht="15" customHeight="1" s="76">
      <c r="A136" s="122" t="n"/>
      <c r="B136" s="122" t="n"/>
      <c r="C136" s="123" t="n"/>
      <c r="D136" s="123" t="n"/>
      <c r="E136" s="124" t="n"/>
      <c r="F136" s="119">
        <f>$C136-$D136</f>
        <v/>
      </c>
      <c r="G136" s="120">
        <f>IF($C136=0,0,$F136/$C136)</f>
        <v/>
      </c>
      <c r="H136" s="119">
        <f>IF($E136=0,0,$F136/$E136)</f>
        <v/>
      </c>
      <c r="I136" s="121">
        <f>IF($B136="","",IF($F136&lt;0,"ZARAR",IF($G136&lt;IsMarjEsik,"RİSK","KÂRLI")))</f>
        <v/>
      </c>
      <c r="J136" s="122" t="n"/>
    </row>
    <row r="137" ht="15" customHeight="1" s="76">
      <c r="A137" s="122" t="n"/>
      <c r="B137" s="122" t="n"/>
      <c r="C137" s="123" t="n"/>
      <c r="D137" s="123" t="n"/>
      <c r="E137" s="124" t="n"/>
      <c r="F137" s="119">
        <f>$C137-$D137</f>
        <v/>
      </c>
      <c r="G137" s="120">
        <f>IF($C137=0,0,$F137/$C137)</f>
        <v/>
      </c>
      <c r="H137" s="119">
        <f>IF($E137=0,0,$F137/$E137)</f>
        <v/>
      </c>
      <c r="I137" s="121">
        <f>IF($B137="","",IF($F137&lt;0,"ZARAR",IF($G137&lt;IsMarjEsik,"RİSK","KÂRLI")))</f>
        <v/>
      </c>
      <c r="J137" s="122" t="n"/>
    </row>
    <row r="138" ht="15" customHeight="1" s="76">
      <c r="A138" s="122" t="n"/>
      <c r="B138" s="122" t="n"/>
      <c r="C138" s="123" t="n"/>
      <c r="D138" s="123" t="n"/>
      <c r="E138" s="124" t="n"/>
      <c r="F138" s="119">
        <f>$C138-$D138</f>
        <v/>
      </c>
      <c r="G138" s="120">
        <f>IF($C138=0,0,$F138/$C138)</f>
        <v/>
      </c>
      <c r="H138" s="119">
        <f>IF($E138=0,0,$F138/$E138)</f>
        <v/>
      </c>
      <c r="I138" s="121">
        <f>IF($B138="","",IF($F138&lt;0,"ZARAR",IF($G138&lt;IsMarjEsik,"RİSK","KÂRLI")))</f>
        <v/>
      </c>
      <c r="J138" s="122" t="n"/>
    </row>
    <row r="139" ht="15" customHeight="1" s="76">
      <c r="A139" s="122" t="n"/>
      <c r="B139" s="122" t="n"/>
      <c r="C139" s="123" t="n"/>
      <c r="D139" s="123" t="n"/>
      <c r="E139" s="124" t="n"/>
      <c r="F139" s="119">
        <f>$C139-$D139</f>
        <v/>
      </c>
      <c r="G139" s="120">
        <f>IF($C139=0,0,$F139/$C139)</f>
        <v/>
      </c>
      <c r="H139" s="119">
        <f>IF($E139=0,0,$F139/$E139)</f>
        <v/>
      </c>
      <c r="I139" s="121">
        <f>IF($B139="","",IF($F139&lt;0,"ZARAR",IF($G139&lt;IsMarjEsik,"RİSK","KÂRLI")))</f>
        <v/>
      </c>
      <c r="J139" s="122" t="n"/>
    </row>
    <row r="140" ht="15" customHeight="1" s="76">
      <c r="A140" s="122" t="n"/>
      <c r="B140" s="122" t="n"/>
      <c r="C140" s="123" t="n"/>
      <c r="D140" s="123" t="n"/>
      <c r="E140" s="124" t="n"/>
      <c r="F140" s="119">
        <f>$C140-$D140</f>
        <v/>
      </c>
      <c r="G140" s="120">
        <f>IF($C140=0,0,$F140/$C140)</f>
        <v/>
      </c>
      <c r="H140" s="119">
        <f>IF($E140=0,0,$F140/$E140)</f>
        <v/>
      </c>
      <c r="I140" s="121">
        <f>IF($B140="","",IF($F140&lt;0,"ZARAR",IF($G140&lt;IsMarjEsik,"RİSK","KÂRLI")))</f>
        <v/>
      </c>
      <c r="J140" s="122" t="n"/>
    </row>
    <row r="141" ht="15" customHeight="1" s="76">
      <c r="A141" s="122" t="n"/>
      <c r="B141" s="122" t="n"/>
      <c r="C141" s="123" t="n"/>
      <c r="D141" s="123" t="n"/>
      <c r="E141" s="124" t="n"/>
      <c r="F141" s="119">
        <f>$C141-$D141</f>
        <v/>
      </c>
      <c r="G141" s="120">
        <f>IF($C141=0,0,$F141/$C141)</f>
        <v/>
      </c>
      <c r="H141" s="119">
        <f>IF($E141=0,0,$F141/$E141)</f>
        <v/>
      </c>
      <c r="I141" s="121">
        <f>IF($B141="","",IF($F141&lt;0,"ZARAR",IF($G141&lt;IsMarjEsik,"RİSK","KÂRLI")))</f>
        <v/>
      </c>
      <c r="J141" s="122" t="n"/>
    </row>
    <row r="142" ht="15" customHeight="1" s="76">
      <c r="A142" s="122" t="n"/>
      <c r="B142" s="122" t="n"/>
      <c r="C142" s="123" t="n"/>
      <c r="D142" s="123" t="n"/>
      <c r="E142" s="124" t="n"/>
      <c r="F142" s="119">
        <f>$C142-$D142</f>
        <v/>
      </c>
      <c r="G142" s="120">
        <f>IF($C142=0,0,$F142/$C142)</f>
        <v/>
      </c>
      <c r="H142" s="119">
        <f>IF($E142=0,0,$F142/$E142)</f>
        <v/>
      </c>
      <c r="I142" s="121">
        <f>IF($B142="","",IF($F142&lt;0,"ZARAR",IF($G142&lt;IsMarjEsik,"RİSK","KÂRLI")))</f>
        <v/>
      </c>
      <c r="J142" s="122" t="n"/>
    </row>
    <row r="143" ht="15" customHeight="1" s="76">
      <c r="A143" s="122" t="n"/>
      <c r="B143" s="122" t="n"/>
      <c r="C143" s="123" t="n"/>
      <c r="D143" s="123" t="n"/>
      <c r="E143" s="124" t="n"/>
      <c r="F143" s="119">
        <f>$C143-$D143</f>
        <v/>
      </c>
      <c r="G143" s="120">
        <f>IF($C143=0,0,$F143/$C143)</f>
        <v/>
      </c>
      <c r="H143" s="119">
        <f>IF($E143=0,0,$F143/$E143)</f>
        <v/>
      </c>
      <c r="I143" s="121">
        <f>IF($B143="","",IF($F143&lt;0,"ZARAR",IF($G143&lt;IsMarjEsik,"RİSK","KÂRLI")))</f>
        <v/>
      </c>
      <c r="J143" s="122" t="n"/>
    </row>
    <row r="144" ht="15" customHeight="1" s="76">
      <c r="A144" s="122" t="n"/>
      <c r="B144" s="122" t="n"/>
      <c r="C144" s="123" t="n"/>
      <c r="D144" s="123" t="n"/>
      <c r="E144" s="124" t="n"/>
      <c r="F144" s="119">
        <f>$C144-$D144</f>
        <v/>
      </c>
      <c r="G144" s="120">
        <f>IF($C144=0,0,$F144/$C144)</f>
        <v/>
      </c>
      <c r="H144" s="119">
        <f>IF($E144=0,0,$F144/$E144)</f>
        <v/>
      </c>
      <c r="I144" s="121">
        <f>IF($B144="","",IF($F144&lt;0,"ZARAR",IF($G144&lt;IsMarjEsik,"RİSK","KÂRLI")))</f>
        <v/>
      </c>
      <c r="J144" s="122" t="n"/>
    </row>
    <row r="145" ht="15" customHeight="1" s="76">
      <c r="A145" s="122" t="n"/>
      <c r="B145" s="122" t="n"/>
      <c r="C145" s="123" t="n"/>
      <c r="D145" s="123" t="n"/>
      <c r="E145" s="124" t="n"/>
      <c r="F145" s="119">
        <f>$C145-$D145</f>
        <v/>
      </c>
      <c r="G145" s="120">
        <f>IF($C145=0,0,$F145/$C145)</f>
        <v/>
      </c>
      <c r="H145" s="119">
        <f>IF($E145=0,0,$F145/$E145)</f>
        <v/>
      </c>
      <c r="I145" s="121">
        <f>IF($B145="","",IF($F145&lt;0,"ZARAR",IF($G145&lt;IsMarjEsik,"RİSK","KÂRLI")))</f>
        <v/>
      </c>
      <c r="J145" s="122" t="n"/>
    </row>
    <row r="146" ht="15" customHeight="1" s="76">
      <c r="A146" s="122" t="n"/>
      <c r="B146" s="122" t="n"/>
      <c r="C146" s="123" t="n"/>
      <c r="D146" s="123" t="n"/>
      <c r="E146" s="124" t="n"/>
      <c r="F146" s="119">
        <f>$C146-$D146</f>
        <v/>
      </c>
      <c r="G146" s="120">
        <f>IF($C146=0,0,$F146/$C146)</f>
        <v/>
      </c>
      <c r="H146" s="119">
        <f>IF($E146=0,0,$F146/$E146)</f>
        <v/>
      </c>
      <c r="I146" s="121">
        <f>IF($B146="","",IF($F146&lt;0,"ZARAR",IF($G146&lt;IsMarjEsik,"RİSK","KÂRLI")))</f>
        <v/>
      </c>
      <c r="J146" s="122" t="n"/>
    </row>
    <row r="147" ht="15" customHeight="1" s="76">
      <c r="A147" s="122" t="n"/>
      <c r="B147" s="122" t="n"/>
      <c r="C147" s="123" t="n"/>
      <c r="D147" s="123" t="n"/>
      <c r="E147" s="124" t="n"/>
      <c r="F147" s="119">
        <f>$C147-$D147</f>
        <v/>
      </c>
      <c r="G147" s="120">
        <f>IF($C147=0,0,$F147/$C147)</f>
        <v/>
      </c>
      <c r="H147" s="119">
        <f>IF($E147=0,0,$F147/$E147)</f>
        <v/>
      </c>
      <c r="I147" s="121">
        <f>IF($B147="","",IF($F147&lt;0,"ZARAR",IF($G147&lt;IsMarjEsik,"RİSK","KÂRLI")))</f>
        <v/>
      </c>
      <c r="J147" s="122" t="n"/>
    </row>
    <row r="148" ht="15" customHeight="1" s="76">
      <c r="A148" s="122" t="n"/>
      <c r="B148" s="122" t="n"/>
      <c r="C148" s="123" t="n"/>
      <c r="D148" s="123" t="n"/>
      <c r="E148" s="124" t="n"/>
      <c r="F148" s="119">
        <f>$C148-$D148</f>
        <v/>
      </c>
      <c r="G148" s="120">
        <f>IF($C148=0,0,$F148/$C148)</f>
        <v/>
      </c>
      <c r="H148" s="119">
        <f>IF($E148=0,0,$F148/$E148)</f>
        <v/>
      </c>
      <c r="I148" s="121">
        <f>IF($B148="","",IF($F148&lt;0,"ZARAR",IF($G148&lt;IsMarjEsik,"RİSK","KÂRLI")))</f>
        <v/>
      </c>
      <c r="J148" s="122" t="n"/>
    </row>
    <row r="149" ht="15" customHeight="1" s="76">
      <c r="A149" s="122" t="n"/>
      <c r="B149" s="122" t="n"/>
      <c r="C149" s="123" t="n"/>
      <c r="D149" s="123" t="n"/>
      <c r="E149" s="124" t="n"/>
      <c r="F149" s="119">
        <f>$C149-$D149</f>
        <v/>
      </c>
      <c r="G149" s="120">
        <f>IF($C149=0,0,$F149/$C149)</f>
        <v/>
      </c>
      <c r="H149" s="119">
        <f>IF($E149=0,0,$F149/$E149)</f>
        <v/>
      </c>
      <c r="I149" s="121">
        <f>IF($B149="","",IF($F149&lt;0,"ZARAR",IF($G149&lt;IsMarjEsik,"RİSK","KÂRLI")))</f>
        <v/>
      </c>
      <c r="J149" s="122" t="n"/>
    </row>
    <row r="150" ht="15" customHeight="1" s="76">
      <c r="A150" s="122" t="n"/>
      <c r="B150" s="122" t="n"/>
      <c r="C150" s="123" t="n"/>
      <c r="D150" s="123" t="n"/>
      <c r="E150" s="124" t="n"/>
      <c r="F150" s="119">
        <f>$C150-$D150</f>
        <v/>
      </c>
      <c r="G150" s="120">
        <f>IF($C150=0,0,$F150/$C150)</f>
        <v/>
      </c>
      <c r="H150" s="119">
        <f>IF($E150=0,0,$F150/$E150)</f>
        <v/>
      </c>
      <c r="I150" s="121">
        <f>IF($B150="","",IF($F150&lt;0,"ZARAR",IF($G150&lt;IsMarjEsik,"RİSK","KÂRLI")))</f>
        <v/>
      </c>
      <c r="J150" s="122" t="n"/>
    </row>
    <row r="151" ht="15" customHeight="1" s="76">
      <c r="A151" s="122" t="n"/>
      <c r="B151" s="122" t="n"/>
      <c r="C151" s="123" t="n"/>
      <c r="D151" s="123" t="n"/>
      <c r="E151" s="124" t="n"/>
      <c r="F151" s="119">
        <f>$C151-$D151</f>
        <v/>
      </c>
      <c r="G151" s="120">
        <f>IF($C151=0,0,$F151/$C151)</f>
        <v/>
      </c>
      <c r="H151" s="119">
        <f>IF($E151=0,0,$F151/$E151)</f>
        <v/>
      </c>
      <c r="I151" s="121">
        <f>IF($B151="","",IF($F151&lt;0,"ZARAR",IF($G151&lt;IsMarjEsik,"RİSK","KÂRLI")))</f>
        <v/>
      </c>
      <c r="J151" s="122" t="n"/>
    </row>
    <row r="152" ht="15" customHeight="1" s="76">
      <c r="A152" s="122" t="n"/>
      <c r="B152" s="122" t="n"/>
      <c r="C152" s="123" t="n"/>
      <c r="D152" s="123" t="n"/>
      <c r="E152" s="124" t="n"/>
      <c r="F152" s="119">
        <f>$C152-$D152</f>
        <v/>
      </c>
      <c r="G152" s="120">
        <f>IF($C152=0,0,$F152/$C152)</f>
        <v/>
      </c>
      <c r="H152" s="119">
        <f>IF($E152=0,0,$F152/$E152)</f>
        <v/>
      </c>
      <c r="I152" s="121">
        <f>IF($B152="","",IF($F152&lt;0,"ZARAR",IF($G152&lt;IsMarjEsik,"RİSK","KÂRLI")))</f>
        <v/>
      </c>
      <c r="J152" s="122" t="n"/>
    </row>
    <row r="153" ht="15" customHeight="1" s="76">
      <c r="A153" s="122" t="n"/>
      <c r="B153" s="122" t="n"/>
      <c r="C153" s="123" t="n"/>
      <c r="D153" s="123" t="n"/>
      <c r="E153" s="124" t="n"/>
      <c r="F153" s="119">
        <f>$C153-$D153</f>
        <v/>
      </c>
      <c r="G153" s="120">
        <f>IF($C153=0,0,$F153/$C153)</f>
        <v/>
      </c>
      <c r="H153" s="119">
        <f>IF($E153=0,0,$F153/$E153)</f>
        <v/>
      </c>
      <c r="I153" s="121">
        <f>IF($B153="","",IF($F153&lt;0,"ZARAR",IF($G153&lt;IsMarjEsik,"RİSK","KÂRLI")))</f>
        <v/>
      </c>
      <c r="J153" s="122" t="n"/>
    </row>
    <row r="154" ht="15" customHeight="1" s="76">
      <c r="A154" s="122" t="n"/>
      <c r="B154" s="122" t="n"/>
      <c r="C154" s="123" t="n"/>
      <c r="D154" s="123" t="n"/>
      <c r="E154" s="124" t="n"/>
      <c r="F154" s="119">
        <f>$C154-$D154</f>
        <v/>
      </c>
      <c r="G154" s="120">
        <f>IF($C154=0,0,$F154/$C154)</f>
        <v/>
      </c>
      <c r="H154" s="119">
        <f>IF($E154=0,0,$F154/$E154)</f>
        <v/>
      </c>
      <c r="I154" s="121">
        <f>IF($B154="","",IF($F154&lt;0,"ZARAR",IF($G154&lt;IsMarjEsik,"RİSK","KÂRLI")))</f>
        <v/>
      </c>
      <c r="J154" s="122" t="n"/>
    </row>
    <row r="155" ht="15" customHeight="1" s="76">
      <c r="A155" s="122" t="n"/>
      <c r="B155" s="122" t="n"/>
      <c r="C155" s="123" t="n"/>
      <c r="D155" s="123" t="n"/>
      <c r="E155" s="124" t="n"/>
      <c r="F155" s="119">
        <f>$C155-$D155</f>
        <v/>
      </c>
      <c r="G155" s="120">
        <f>IF($C155=0,0,$F155/$C155)</f>
        <v/>
      </c>
      <c r="H155" s="119">
        <f>IF($E155=0,0,$F155/$E155)</f>
        <v/>
      </c>
      <c r="I155" s="121">
        <f>IF($B155="","",IF($F155&lt;0,"ZARAR",IF($G155&lt;IsMarjEsik,"RİSK","KÂRLI")))</f>
        <v/>
      </c>
      <c r="J155" s="122" t="n"/>
    </row>
    <row r="156" ht="15" customHeight="1" s="76">
      <c r="A156" s="122" t="n"/>
      <c r="B156" s="122" t="n"/>
      <c r="C156" s="123" t="n"/>
      <c r="D156" s="123" t="n"/>
      <c r="E156" s="124" t="n"/>
      <c r="F156" s="119">
        <f>$C156-$D156</f>
        <v/>
      </c>
      <c r="G156" s="120">
        <f>IF($C156=0,0,$F156/$C156)</f>
        <v/>
      </c>
      <c r="H156" s="119">
        <f>IF($E156=0,0,$F156/$E156)</f>
        <v/>
      </c>
      <c r="I156" s="121">
        <f>IF($B156="","",IF($F156&lt;0,"ZARAR",IF($G156&lt;IsMarjEsik,"RİSK","KÂRLI")))</f>
        <v/>
      </c>
      <c r="J156" s="122" t="n"/>
    </row>
    <row r="157" ht="15" customHeight="1" s="76">
      <c r="A157" s="122" t="n"/>
      <c r="B157" s="122" t="n"/>
      <c r="C157" s="123" t="n"/>
      <c r="D157" s="123" t="n"/>
      <c r="E157" s="124" t="n"/>
      <c r="F157" s="119">
        <f>$C157-$D157</f>
        <v/>
      </c>
      <c r="G157" s="120">
        <f>IF($C157=0,0,$F157/$C157)</f>
        <v/>
      </c>
      <c r="H157" s="119">
        <f>IF($E157=0,0,$F157/$E157)</f>
        <v/>
      </c>
      <c r="I157" s="121">
        <f>IF($B157="","",IF($F157&lt;0,"ZARAR",IF($G157&lt;IsMarjEsik,"RİSK","KÂRLI")))</f>
        <v/>
      </c>
      <c r="J157" s="122" t="n"/>
    </row>
    <row r="158" ht="15" customHeight="1" s="76">
      <c r="A158" s="122" t="n"/>
      <c r="B158" s="122" t="n"/>
      <c r="C158" s="123" t="n"/>
      <c r="D158" s="123" t="n"/>
      <c r="E158" s="124" t="n"/>
      <c r="F158" s="119">
        <f>$C158-$D158</f>
        <v/>
      </c>
      <c r="G158" s="120">
        <f>IF($C158=0,0,$F158/$C158)</f>
        <v/>
      </c>
      <c r="H158" s="119">
        <f>IF($E158=0,0,$F158/$E158)</f>
        <v/>
      </c>
      <c r="I158" s="121">
        <f>IF($B158="","",IF($F158&lt;0,"ZARAR",IF($G158&lt;IsMarjEsik,"RİSK","KÂRLI")))</f>
        <v/>
      </c>
      <c r="J158" s="122" t="n"/>
    </row>
    <row r="159" ht="15" customHeight="1" s="76">
      <c r="A159" s="122" t="n"/>
      <c r="B159" s="122" t="n"/>
      <c r="C159" s="123" t="n"/>
      <c r="D159" s="123" t="n"/>
      <c r="E159" s="124" t="n"/>
      <c r="F159" s="119">
        <f>$C159-$D159</f>
        <v/>
      </c>
      <c r="G159" s="120">
        <f>IF($C159=0,0,$F159/$C159)</f>
        <v/>
      </c>
      <c r="H159" s="119">
        <f>IF($E159=0,0,$F159/$E159)</f>
        <v/>
      </c>
      <c r="I159" s="121">
        <f>IF($B159="","",IF($F159&lt;0,"ZARAR",IF($G159&lt;IsMarjEsik,"RİSK","KÂRLI")))</f>
        <v/>
      </c>
      <c r="J159" s="122" t="n"/>
    </row>
    <row r="160" ht="15" customHeight="1" s="76">
      <c r="A160" s="122" t="n"/>
      <c r="B160" s="122" t="n"/>
      <c r="C160" s="123" t="n"/>
      <c r="D160" s="123" t="n"/>
      <c r="E160" s="124" t="n"/>
      <c r="F160" s="119">
        <f>$C160-$D160</f>
        <v/>
      </c>
      <c r="G160" s="120">
        <f>IF($C160=0,0,$F160/$C160)</f>
        <v/>
      </c>
      <c r="H160" s="119">
        <f>IF($E160=0,0,$F160/$E160)</f>
        <v/>
      </c>
      <c r="I160" s="121">
        <f>IF($B160="","",IF($F160&lt;0,"ZARAR",IF($G160&lt;IsMarjEsik,"RİSK","KÂRLI")))</f>
        <v/>
      </c>
      <c r="J160" s="122" t="n"/>
    </row>
    <row r="161" ht="15" customHeight="1" s="76">
      <c r="A161" s="122" t="n"/>
      <c r="B161" s="122" t="n"/>
      <c r="C161" s="123" t="n"/>
      <c r="D161" s="123" t="n"/>
      <c r="E161" s="124" t="n"/>
      <c r="F161" s="119">
        <f>$C161-$D161</f>
        <v/>
      </c>
      <c r="G161" s="120">
        <f>IF($C161=0,0,$F161/$C161)</f>
        <v/>
      </c>
      <c r="H161" s="119">
        <f>IF($E161=0,0,$F161/$E161)</f>
        <v/>
      </c>
      <c r="I161" s="121">
        <f>IF($B161="","",IF($F161&lt;0,"ZARAR",IF($G161&lt;IsMarjEsik,"RİSK","KÂRLI")))</f>
        <v/>
      </c>
      <c r="J161" s="122" t="n"/>
    </row>
    <row r="162" ht="15" customHeight="1" s="76">
      <c r="A162" s="122" t="n"/>
      <c r="B162" s="122" t="n"/>
      <c r="C162" s="123" t="n"/>
      <c r="D162" s="123" t="n"/>
      <c r="E162" s="124" t="n"/>
      <c r="F162" s="119">
        <f>$C162-$D162</f>
        <v/>
      </c>
      <c r="G162" s="120">
        <f>IF($C162=0,0,$F162/$C162)</f>
        <v/>
      </c>
      <c r="H162" s="119">
        <f>IF($E162=0,0,$F162/$E162)</f>
        <v/>
      </c>
      <c r="I162" s="121">
        <f>IF($B162="","",IF($F162&lt;0,"ZARAR",IF($G162&lt;IsMarjEsik,"RİSK","KÂRLI")))</f>
        <v/>
      </c>
      <c r="J162" s="122" t="n"/>
    </row>
    <row r="163" ht="15" customHeight="1" s="76">
      <c r="A163" s="122" t="n"/>
      <c r="B163" s="122" t="n"/>
      <c r="C163" s="123" t="n"/>
      <c r="D163" s="123" t="n"/>
      <c r="E163" s="124" t="n"/>
      <c r="F163" s="119">
        <f>$C163-$D163</f>
        <v/>
      </c>
      <c r="G163" s="120">
        <f>IF($C163=0,0,$F163/$C163)</f>
        <v/>
      </c>
      <c r="H163" s="119">
        <f>IF($E163=0,0,$F163/$E163)</f>
        <v/>
      </c>
      <c r="I163" s="121">
        <f>IF($B163="","",IF($F163&lt;0,"ZARAR",IF($G163&lt;IsMarjEsik,"RİSK","KÂRLI")))</f>
        <v/>
      </c>
      <c r="J163" s="122" t="n"/>
    </row>
    <row r="164" ht="15" customHeight="1" s="76">
      <c r="A164" s="122" t="n"/>
      <c r="B164" s="122" t="n"/>
      <c r="C164" s="123" t="n"/>
      <c r="D164" s="123" t="n"/>
      <c r="E164" s="124" t="n"/>
      <c r="F164" s="119">
        <f>$C164-$D164</f>
        <v/>
      </c>
      <c r="G164" s="120">
        <f>IF($C164=0,0,$F164/$C164)</f>
        <v/>
      </c>
      <c r="H164" s="119">
        <f>IF($E164=0,0,$F164/$E164)</f>
        <v/>
      </c>
      <c r="I164" s="121">
        <f>IF($B164="","",IF($F164&lt;0,"ZARAR",IF($G164&lt;IsMarjEsik,"RİSK","KÂRLI")))</f>
        <v/>
      </c>
      <c r="J164" s="122" t="n"/>
    </row>
    <row r="165" ht="15" customHeight="1" s="76">
      <c r="A165" s="122" t="n"/>
      <c r="B165" s="122" t="n"/>
      <c r="C165" s="123" t="n"/>
      <c r="D165" s="123" t="n"/>
      <c r="E165" s="124" t="n"/>
      <c r="F165" s="119">
        <f>$C165-$D165</f>
        <v/>
      </c>
      <c r="G165" s="120">
        <f>IF($C165=0,0,$F165/$C165)</f>
        <v/>
      </c>
      <c r="H165" s="119">
        <f>IF($E165=0,0,$F165/$E165)</f>
        <v/>
      </c>
      <c r="I165" s="121">
        <f>IF($B165="","",IF($F165&lt;0,"ZARAR",IF($G165&lt;IsMarjEsik,"RİSK","KÂRLI")))</f>
        <v/>
      </c>
      <c r="J165" s="122" t="n"/>
    </row>
    <row r="166" ht="15" customHeight="1" s="76">
      <c r="A166" s="122" t="n"/>
      <c r="B166" s="122" t="n"/>
      <c r="C166" s="123" t="n"/>
      <c r="D166" s="123" t="n"/>
      <c r="E166" s="124" t="n"/>
      <c r="F166" s="119">
        <f>$C166-$D166</f>
        <v/>
      </c>
      <c r="G166" s="120">
        <f>IF($C166=0,0,$F166/$C166)</f>
        <v/>
      </c>
      <c r="H166" s="119">
        <f>IF($E166=0,0,$F166/$E166)</f>
        <v/>
      </c>
      <c r="I166" s="121">
        <f>IF($B166="","",IF($F166&lt;0,"ZARAR",IF($G166&lt;IsMarjEsik,"RİSK","KÂRLI")))</f>
        <v/>
      </c>
      <c r="J166" s="122" t="n"/>
    </row>
    <row r="167" ht="15" customHeight="1" s="76">
      <c r="A167" s="122" t="n"/>
      <c r="B167" s="122" t="n"/>
      <c r="C167" s="123" t="n"/>
      <c r="D167" s="123" t="n"/>
      <c r="E167" s="124" t="n"/>
      <c r="F167" s="119">
        <f>$C167-$D167</f>
        <v/>
      </c>
      <c r="G167" s="120">
        <f>IF($C167=0,0,$F167/$C167)</f>
        <v/>
      </c>
      <c r="H167" s="119">
        <f>IF($E167=0,0,$F167/$E167)</f>
        <v/>
      </c>
      <c r="I167" s="121">
        <f>IF($B167="","",IF($F167&lt;0,"ZARAR",IF($G167&lt;IsMarjEsik,"RİSK","KÂRLI")))</f>
        <v/>
      </c>
      <c r="J167" s="122" t="n"/>
    </row>
    <row r="168" ht="15" customHeight="1" s="76">
      <c r="A168" s="122" t="n"/>
      <c r="B168" s="122" t="n"/>
      <c r="C168" s="123" t="n"/>
      <c r="D168" s="123" t="n"/>
      <c r="E168" s="124" t="n"/>
      <c r="F168" s="119">
        <f>$C168-$D168</f>
        <v/>
      </c>
      <c r="G168" s="120">
        <f>IF($C168=0,0,$F168/$C168)</f>
        <v/>
      </c>
      <c r="H168" s="119">
        <f>IF($E168=0,0,$F168/$E168)</f>
        <v/>
      </c>
      <c r="I168" s="121">
        <f>IF($B168="","",IF($F168&lt;0,"ZARAR",IF($G168&lt;IsMarjEsik,"RİSK","KÂRLI")))</f>
        <v/>
      </c>
      <c r="J168" s="122" t="n"/>
    </row>
    <row r="169" ht="15" customHeight="1" s="76">
      <c r="A169" s="122" t="n"/>
      <c r="B169" s="122" t="n"/>
      <c r="C169" s="123" t="n"/>
      <c r="D169" s="123" t="n"/>
      <c r="E169" s="124" t="n"/>
      <c r="F169" s="119">
        <f>$C169-$D169</f>
        <v/>
      </c>
      <c r="G169" s="120">
        <f>IF($C169=0,0,$F169/$C169)</f>
        <v/>
      </c>
      <c r="H169" s="119">
        <f>IF($E169=0,0,$F169/$E169)</f>
        <v/>
      </c>
      <c r="I169" s="121">
        <f>IF($B169="","",IF($F169&lt;0,"ZARAR",IF($G169&lt;IsMarjEsik,"RİSK","KÂRLI")))</f>
        <v/>
      </c>
      <c r="J169" s="122" t="n"/>
    </row>
    <row r="170" ht="15" customHeight="1" s="76">
      <c r="A170" s="122" t="n"/>
      <c r="B170" s="122" t="n"/>
      <c r="C170" s="123" t="n"/>
      <c r="D170" s="123" t="n"/>
      <c r="E170" s="124" t="n"/>
      <c r="F170" s="119">
        <f>$C170-$D170</f>
        <v/>
      </c>
      <c r="G170" s="120">
        <f>IF($C170=0,0,$F170/$C170)</f>
        <v/>
      </c>
      <c r="H170" s="119">
        <f>IF($E170=0,0,$F170/$E170)</f>
        <v/>
      </c>
      <c r="I170" s="121">
        <f>IF($B170="","",IF($F170&lt;0,"ZARAR",IF($G170&lt;IsMarjEsik,"RİSK","KÂRLI")))</f>
        <v/>
      </c>
      <c r="J170" s="122" t="n"/>
    </row>
    <row r="171" ht="15" customHeight="1" s="76">
      <c r="A171" s="122" t="n"/>
      <c r="B171" s="122" t="n"/>
      <c r="C171" s="123" t="n"/>
      <c r="D171" s="123" t="n"/>
      <c r="E171" s="124" t="n"/>
      <c r="F171" s="119">
        <f>$C171-$D171</f>
        <v/>
      </c>
      <c r="G171" s="120">
        <f>IF($C171=0,0,$F171/$C171)</f>
        <v/>
      </c>
      <c r="H171" s="119">
        <f>IF($E171=0,0,$F171/$E171)</f>
        <v/>
      </c>
      <c r="I171" s="121">
        <f>IF($B171="","",IF($F171&lt;0,"ZARAR",IF($G171&lt;IsMarjEsik,"RİSK","KÂRLI")))</f>
        <v/>
      </c>
      <c r="J171" s="122" t="n"/>
    </row>
    <row r="172" ht="15" customHeight="1" s="76">
      <c r="A172" s="122" t="n"/>
      <c r="B172" s="122" t="n"/>
      <c r="C172" s="123" t="n"/>
      <c r="D172" s="123" t="n"/>
      <c r="E172" s="124" t="n"/>
      <c r="F172" s="119">
        <f>$C172-$D172</f>
        <v/>
      </c>
      <c r="G172" s="120">
        <f>IF($C172=0,0,$F172/$C172)</f>
        <v/>
      </c>
      <c r="H172" s="119">
        <f>IF($E172=0,0,$F172/$E172)</f>
        <v/>
      </c>
      <c r="I172" s="121">
        <f>IF($B172="","",IF($F172&lt;0,"ZARAR",IF($G172&lt;IsMarjEsik,"RİSK","KÂRLI")))</f>
        <v/>
      </c>
      <c r="J172" s="122" t="n"/>
    </row>
    <row r="173" ht="15" customHeight="1" s="76">
      <c r="A173" s="122" t="n"/>
      <c r="B173" s="122" t="n"/>
      <c r="C173" s="123" t="n"/>
      <c r="D173" s="123" t="n"/>
      <c r="E173" s="124" t="n"/>
      <c r="F173" s="119">
        <f>$C173-$D173</f>
        <v/>
      </c>
      <c r="G173" s="120">
        <f>IF($C173=0,0,$F173/$C173)</f>
        <v/>
      </c>
      <c r="H173" s="119">
        <f>IF($E173=0,0,$F173/$E173)</f>
        <v/>
      </c>
      <c r="I173" s="121">
        <f>IF($B173="","",IF($F173&lt;0,"ZARAR",IF($G173&lt;IsMarjEsik,"RİSK","KÂRLI")))</f>
        <v/>
      </c>
      <c r="J173" s="122" t="n"/>
    </row>
    <row r="174" ht="15" customHeight="1" s="76">
      <c r="A174" s="122" t="n"/>
      <c r="B174" s="122" t="n"/>
      <c r="C174" s="123" t="n"/>
      <c r="D174" s="123" t="n"/>
      <c r="E174" s="124" t="n"/>
      <c r="F174" s="119">
        <f>$C174-$D174</f>
        <v/>
      </c>
      <c r="G174" s="120">
        <f>IF($C174=0,0,$F174/$C174)</f>
        <v/>
      </c>
      <c r="H174" s="119">
        <f>IF($E174=0,0,$F174/$E174)</f>
        <v/>
      </c>
      <c r="I174" s="121">
        <f>IF($B174="","",IF($F174&lt;0,"ZARAR",IF($G174&lt;IsMarjEsik,"RİSK","KÂRLI")))</f>
        <v/>
      </c>
      <c r="J174" s="122" t="n"/>
    </row>
    <row r="175" ht="15" customHeight="1" s="76">
      <c r="A175" s="122" t="n"/>
      <c r="B175" s="122" t="n"/>
      <c r="C175" s="123" t="n"/>
      <c r="D175" s="123" t="n"/>
      <c r="E175" s="124" t="n"/>
      <c r="F175" s="119">
        <f>$C175-$D175</f>
        <v/>
      </c>
      <c r="G175" s="120">
        <f>IF($C175=0,0,$F175/$C175)</f>
        <v/>
      </c>
      <c r="H175" s="119">
        <f>IF($E175=0,0,$F175/$E175)</f>
        <v/>
      </c>
      <c r="I175" s="121">
        <f>IF($B175="","",IF($F175&lt;0,"ZARAR",IF($G175&lt;IsMarjEsik,"RİSK","KÂRLI")))</f>
        <v/>
      </c>
      <c r="J175" s="122" t="n"/>
    </row>
    <row r="176" ht="15" customHeight="1" s="76">
      <c r="A176" s="122" t="n"/>
      <c r="B176" s="122" t="n"/>
      <c r="C176" s="123" t="n"/>
      <c r="D176" s="123" t="n"/>
      <c r="E176" s="124" t="n"/>
      <c r="F176" s="119">
        <f>$C176-$D176</f>
        <v/>
      </c>
      <c r="G176" s="120">
        <f>IF($C176=0,0,$F176/$C176)</f>
        <v/>
      </c>
      <c r="H176" s="119">
        <f>IF($E176=0,0,$F176/$E176)</f>
        <v/>
      </c>
      <c r="I176" s="121">
        <f>IF($B176="","",IF($F176&lt;0,"ZARAR",IF($G176&lt;IsMarjEsik,"RİSK","KÂRLI")))</f>
        <v/>
      </c>
      <c r="J176" s="122" t="n"/>
    </row>
    <row r="177" ht="15" customHeight="1" s="76">
      <c r="A177" s="122" t="n"/>
      <c r="B177" s="122" t="n"/>
      <c r="C177" s="123" t="n"/>
      <c r="D177" s="123" t="n"/>
      <c r="E177" s="124" t="n"/>
      <c r="F177" s="119">
        <f>$C177-$D177</f>
        <v/>
      </c>
      <c r="G177" s="120">
        <f>IF($C177=0,0,$F177/$C177)</f>
        <v/>
      </c>
      <c r="H177" s="119">
        <f>IF($E177=0,0,$F177/$E177)</f>
        <v/>
      </c>
      <c r="I177" s="121">
        <f>IF($B177="","",IF($F177&lt;0,"ZARAR",IF($G177&lt;IsMarjEsik,"RİSK","KÂRLI")))</f>
        <v/>
      </c>
      <c r="J177" s="122" t="n"/>
    </row>
    <row r="178" ht="15" customHeight="1" s="76">
      <c r="A178" s="122" t="n"/>
      <c r="B178" s="122" t="n"/>
      <c r="C178" s="123" t="n"/>
      <c r="D178" s="123" t="n"/>
      <c r="E178" s="124" t="n"/>
      <c r="F178" s="119">
        <f>$C178-$D178</f>
        <v/>
      </c>
      <c r="G178" s="120">
        <f>IF($C178=0,0,$F178/$C178)</f>
        <v/>
      </c>
      <c r="H178" s="119">
        <f>IF($E178=0,0,$F178/$E178)</f>
        <v/>
      </c>
      <c r="I178" s="121">
        <f>IF($B178="","",IF($F178&lt;0,"ZARAR",IF($G178&lt;IsMarjEsik,"RİSK","KÂRLI")))</f>
        <v/>
      </c>
      <c r="J178" s="122" t="n"/>
    </row>
    <row r="179" ht="15" customHeight="1" s="76">
      <c r="A179" s="122" t="n"/>
      <c r="B179" s="122" t="n"/>
      <c r="C179" s="123" t="n"/>
      <c r="D179" s="123" t="n"/>
      <c r="E179" s="124" t="n"/>
      <c r="F179" s="119">
        <f>$C179-$D179</f>
        <v/>
      </c>
      <c r="G179" s="120">
        <f>IF($C179=0,0,$F179/$C179)</f>
        <v/>
      </c>
      <c r="H179" s="119">
        <f>IF($E179=0,0,$F179/$E179)</f>
        <v/>
      </c>
      <c r="I179" s="121">
        <f>IF($B179="","",IF($F179&lt;0,"ZARAR",IF($G179&lt;IsMarjEsik,"RİSK","KÂRLI")))</f>
        <v/>
      </c>
      <c r="J179" s="122" t="n"/>
    </row>
    <row r="180" ht="15" customHeight="1" s="76">
      <c r="A180" s="122" t="n"/>
      <c r="B180" s="122" t="n"/>
      <c r="C180" s="123" t="n"/>
      <c r="D180" s="123" t="n"/>
      <c r="E180" s="124" t="n"/>
      <c r="F180" s="119">
        <f>$C180-$D180</f>
        <v/>
      </c>
      <c r="G180" s="120">
        <f>IF($C180=0,0,$F180/$C180)</f>
        <v/>
      </c>
      <c r="H180" s="119">
        <f>IF($E180=0,0,$F180/$E180)</f>
        <v/>
      </c>
      <c r="I180" s="121">
        <f>IF($B180="","",IF($F180&lt;0,"ZARAR",IF($G180&lt;IsMarjEsik,"RİSK","KÂRLI")))</f>
        <v/>
      </c>
      <c r="J180" s="122" t="n"/>
    </row>
    <row r="181" ht="15" customHeight="1" s="76">
      <c r="A181" s="122" t="n"/>
      <c r="B181" s="122" t="n"/>
      <c r="C181" s="123" t="n"/>
      <c r="D181" s="123" t="n"/>
      <c r="E181" s="124" t="n"/>
      <c r="F181" s="119">
        <f>$C181-$D181</f>
        <v/>
      </c>
      <c r="G181" s="120">
        <f>IF($C181=0,0,$F181/$C181)</f>
        <v/>
      </c>
      <c r="H181" s="119">
        <f>IF($E181=0,0,$F181/$E181)</f>
        <v/>
      </c>
      <c r="I181" s="121">
        <f>IF($B181="","",IF($F181&lt;0,"ZARAR",IF($G181&lt;IsMarjEsik,"RİSK","KÂRLI")))</f>
        <v/>
      </c>
      <c r="J181" s="122" t="n"/>
    </row>
    <row r="182" ht="15" customHeight="1" s="76">
      <c r="A182" s="122" t="n"/>
      <c r="B182" s="122" t="n"/>
      <c r="C182" s="123" t="n"/>
      <c r="D182" s="123" t="n"/>
      <c r="E182" s="124" t="n"/>
      <c r="F182" s="119">
        <f>$C182-$D182</f>
        <v/>
      </c>
      <c r="G182" s="120">
        <f>IF($C182=0,0,$F182/$C182)</f>
        <v/>
      </c>
      <c r="H182" s="119">
        <f>IF($E182=0,0,$F182/$E182)</f>
        <v/>
      </c>
      <c r="I182" s="121">
        <f>IF($B182="","",IF($F182&lt;0,"ZARAR",IF($G182&lt;IsMarjEsik,"RİSK","KÂRLI")))</f>
        <v/>
      </c>
      <c r="J182" s="122" t="n"/>
    </row>
    <row r="183" ht="15" customHeight="1" s="76">
      <c r="A183" s="122" t="n"/>
      <c r="B183" s="122" t="n"/>
      <c r="C183" s="123" t="n"/>
      <c r="D183" s="123" t="n"/>
      <c r="E183" s="124" t="n"/>
      <c r="F183" s="119">
        <f>$C183-$D183</f>
        <v/>
      </c>
      <c r="G183" s="120">
        <f>IF($C183=0,0,$F183/$C183)</f>
        <v/>
      </c>
      <c r="H183" s="119">
        <f>IF($E183=0,0,$F183/$E183)</f>
        <v/>
      </c>
      <c r="I183" s="121">
        <f>IF($B183="","",IF($F183&lt;0,"ZARAR",IF($G183&lt;IsMarjEsik,"RİSK","KÂRLI")))</f>
        <v/>
      </c>
      <c r="J183" s="122" t="n"/>
    </row>
    <row r="184" ht="15" customHeight="1" s="76">
      <c r="A184" s="122" t="n"/>
      <c r="B184" s="122" t="n"/>
      <c r="C184" s="123" t="n"/>
      <c r="D184" s="123" t="n"/>
      <c r="E184" s="124" t="n"/>
      <c r="F184" s="119">
        <f>$C184-$D184</f>
        <v/>
      </c>
      <c r="G184" s="120">
        <f>IF($C184=0,0,$F184/$C184)</f>
        <v/>
      </c>
      <c r="H184" s="119">
        <f>IF($E184=0,0,$F184/$E184)</f>
        <v/>
      </c>
      <c r="I184" s="121">
        <f>IF($B184="","",IF($F184&lt;0,"ZARAR",IF($G184&lt;IsMarjEsik,"RİSK","KÂRLI")))</f>
        <v/>
      </c>
      <c r="J184" s="122" t="n"/>
    </row>
    <row r="185" ht="15" customHeight="1" s="76">
      <c r="A185" s="122" t="n"/>
      <c r="B185" s="122" t="n"/>
      <c r="C185" s="123" t="n"/>
      <c r="D185" s="123" t="n"/>
      <c r="E185" s="124" t="n"/>
      <c r="F185" s="119">
        <f>$C185-$D185</f>
        <v/>
      </c>
      <c r="G185" s="120">
        <f>IF($C185=0,0,$F185/$C185)</f>
        <v/>
      </c>
      <c r="H185" s="119">
        <f>IF($E185=0,0,$F185/$E185)</f>
        <v/>
      </c>
      <c r="I185" s="121">
        <f>IF($B185="","",IF($F185&lt;0,"ZARAR",IF($G185&lt;IsMarjEsik,"RİSK","KÂRLI")))</f>
        <v/>
      </c>
      <c r="J185" s="122" t="n"/>
    </row>
    <row r="186" ht="15" customHeight="1" s="76">
      <c r="A186" s="122" t="n"/>
      <c r="B186" s="122" t="n"/>
      <c r="C186" s="123" t="n"/>
      <c r="D186" s="123" t="n"/>
      <c r="E186" s="124" t="n"/>
      <c r="F186" s="119">
        <f>$C186-$D186</f>
        <v/>
      </c>
      <c r="G186" s="120">
        <f>IF($C186=0,0,$F186/$C186)</f>
        <v/>
      </c>
      <c r="H186" s="119">
        <f>IF($E186=0,0,$F186/$E186)</f>
        <v/>
      </c>
      <c r="I186" s="121">
        <f>IF($B186="","",IF($F186&lt;0,"ZARAR",IF($G186&lt;IsMarjEsik,"RİSK","KÂRLI")))</f>
        <v/>
      </c>
      <c r="J186" s="122" t="n"/>
    </row>
    <row r="187" ht="15" customHeight="1" s="76">
      <c r="A187" s="122" t="n"/>
      <c r="B187" s="122" t="n"/>
      <c r="C187" s="123" t="n"/>
      <c r="D187" s="123" t="n"/>
      <c r="E187" s="124" t="n"/>
      <c r="F187" s="119">
        <f>$C187-$D187</f>
        <v/>
      </c>
      <c r="G187" s="120">
        <f>IF($C187=0,0,$F187/$C187)</f>
        <v/>
      </c>
      <c r="H187" s="119">
        <f>IF($E187=0,0,$F187/$E187)</f>
        <v/>
      </c>
      <c r="I187" s="121">
        <f>IF($B187="","",IF($F187&lt;0,"ZARAR",IF($G187&lt;IsMarjEsik,"RİSK","KÂRLI")))</f>
        <v/>
      </c>
      <c r="J187" s="122" t="n"/>
    </row>
    <row r="188" ht="15" customHeight="1" s="76">
      <c r="A188" s="122" t="n"/>
      <c r="B188" s="122" t="n"/>
      <c r="C188" s="123" t="n"/>
      <c r="D188" s="123" t="n"/>
      <c r="E188" s="124" t="n"/>
      <c r="F188" s="119">
        <f>$C188-$D188</f>
        <v/>
      </c>
      <c r="G188" s="120">
        <f>IF($C188=0,0,$F188/$C188)</f>
        <v/>
      </c>
      <c r="H188" s="119">
        <f>IF($E188=0,0,$F188/$E188)</f>
        <v/>
      </c>
      <c r="I188" s="121">
        <f>IF($B188="","",IF($F188&lt;0,"ZARAR",IF($G188&lt;IsMarjEsik,"RİSK","KÂRLI")))</f>
        <v/>
      </c>
      <c r="J188" s="122" t="n"/>
    </row>
    <row r="189" ht="15" customHeight="1" s="76">
      <c r="A189" s="122" t="n"/>
      <c r="B189" s="122" t="n"/>
      <c r="C189" s="123" t="n"/>
      <c r="D189" s="123" t="n"/>
      <c r="E189" s="124" t="n"/>
      <c r="F189" s="119">
        <f>$C189-$D189</f>
        <v/>
      </c>
      <c r="G189" s="120">
        <f>IF($C189=0,0,$F189/$C189)</f>
        <v/>
      </c>
      <c r="H189" s="119">
        <f>IF($E189=0,0,$F189/$E189)</f>
        <v/>
      </c>
      <c r="I189" s="121">
        <f>IF($B189="","",IF($F189&lt;0,"ZARAR",IF($G189&lt;IsMarjEsik,"RİSK","KÂRLI")))</f>
        <v/>
      </c>
      <c r="J189" s="122" t="n"/>
    </row>
    <row r="190" ht="15" customHeight="1" s="76">
      <c r="A190" s="122" t="n"/>
      <c r="B190" s="122" t="n"/>
      <c r="C190" s="123" t="n"/>
      <c r="D190" s="123" t="n"/>
      <c r="E190" s="124" t="n"/>
      <c r="F190" s="119">
        <f>$C190-$D190</f>
        <v/>
      </c>
      <c r="G190" s="120">
        <f>IF($C190=0,0,$F190/$C190)</f>
        <v/>
      </c>
      <c r="H190" s="119">
        <f>IF($E190=0,0,$F190/$E190)</f>
        <v/>
      </c>
      <c r="I190" s="121">
        <f>IF($B190="","",IF($F190&lt;0,"ZARAR",IF($G190&lt;IsMarjEsik,"RİSK","KÂRLI")))</f>
        <v/>
      </c>
      <c r="J190" s="122" t="n"/>
    </row>
    <row r="191" ht="15" customHeight="1" s="76">
      <c r="A191" s="122" t="n"/>
      <c r="B191" s="122" t="n"/>
      <c r="C191" s="123" t="n"/>
      <c r="D191" s="123" t="n"/>
      <c r="E191" s="124" t="n"/>
      <c r="F191" s="119">
        <f>$C191-$D191</f>
        <v/>
      </c>
      <c r="G191" s="120">
        <f>IF($C191=0,0,$F191/$C191)</f>
        <v/>
      </c>
      <c r="H191" s="119">
        <f>IF($E191=0,0,$F191/$E191)</f>
        <v/>
      </c>
      <c r="I191" s="121">
        <f>IF($B191="","",IF($F191&lt;0,"ZARAR",IF($G191&lt;IsMarjEsik,"RİSK","KÂRLI")))</f>
        <v/>
      </c>
      <c r="J191" s="122" t="n"/>
    </row>
    <row r="192" ht="15" customHeight="1" s="76">
      <c r="A192" s="122" t="n"/>
      <c r="B192" s="122" t="n"/>
      <c r="C192" s="123" t="n"/>
      <c r="D192" s="123" t="n"/>
      <c r="E192" s="124" t="n"/>
      <c r="F192" s="119">
        <f>$C192-$D192</f>
        <v/>
      </c>
      <c r="G192" s="120">
        <f>IF($C192=0,0,$F192/$C192)</f>
        <v/>
      </c>
      <c r="H192" s="119">
        <f>IF($E192=0,0,$F192/$E192)</f>
        <v/>
      </c>
      <c r="I192" s="121">
        <f>IF($B192="","",IF($F192&lt;0,"ZARAR",IF($G192&lt;IsMarjEsik,"RİSK","KÂRLI")))</f>
        <v/>
      </c>
      <c r="J192" s="122" t="n"/>
    </row>
    <row r="193" ht="15" customHeight="1" s="76">
      <c r="A193" s="122" t="n"/>
      <c r="B193" s="122" t="n"/>
      <c r="C193" s="123" t="n"/>
      <c r="D193" s="123" t="n"/>
      <c r="E193" s="124" t="n"/>
      <c r="F193" s="119">
        <f>$C193-$D193</f>
        <v/>
      </c>
      <c r="G193" s="120">
        <f>IF($C193=0,0,$F193/$C193)</f>
        <v/>
      </c>
      <c r="H193" s="119">
        <f>IF($E193=0,0,$F193/$E193)</f>
        <v/>
      </c>
      <c r="I193" s="121">
        <f>IF($B193="","",IF($F193&lt;0,"ZARAR",IF($G193&lt;IsMarjEsik,"RİSK","KÂRLI")))</f>
        <v/>
      </c>
      <c r="J193" s="122" t="n"/>
    </row>
    <row r="194" ht="15" customHeight="1" s="76">
      <c r="A194" s="122" t="n"/>
      <c r="B194" s="122" t="n"/>
      <c r="C194" s="123" t="n"/>
      <c r="D194" s="123" t="n"/>
      <c r="E194" s="124" t="n"/>
      <c r="F194" s="119">
        <f>$C194-$D194</f>
        <v/>
      </c>
      <c r="G194" s="120">
        <f>IF($C194=0,0,$F194/$C194)</f>
        <v/>
      </c>
      <c r="H194" s="119">
        <f>IF($E194=0,0,$F194/$E194)</f>
        <v/>
      </c>
      <c r="I194" s="121">
        <f>IF($B194="","",IF($F194&lt;0,"ZARAR",IF($G194&lt;IsMarjEsik,"RİSK","KÂRLI")))</f>
        <v/>
      </c>
      <c r="J194" s="122" t="n"/>
    </row>
    <row r="195" ht="15" customHeight="1" s="76">
      <c r="A195" s="122" t="n"/>
      <c r="B195" s="122" t="n"/>
      <c r="C195" s="123" t="n"/>
      <c r="D195" s="123" t="n"/>
      <c r="E195" s="124" t="n"/>
      <c r="F195" s="119">
        <f>$C195-$D195</f>
        <v/>
      </c>
      <c r="G195" s="120">
        <f>IF($C195=0,0,$F195/$C195)</f>
        <v/>
      </c>
      <c r="H195" s="119">
        <f>IF($E195=0,0,$F195/$E195)</f>
        <v/>
      </c>
      <c r="I195" s="121">
        <f>IF($B195="","",IF($F195&lt;0,"ZARAR",IF($G195&lt;IsMarjEsik,"RİSK","KÂRLI")))</f>
        <v/>
      </c>
      <c r="J195" s="122" t="n"/>
    </row>
    <row r="196" ht="15" customHeight="1" s="76">
      <c r="A196" s="122" t="n"/>
      <c r="B196" s="122" t="n"/>
      <c r="C196" s="123" t="n"/>
      <c r="D196" s="123" t="n"/>
      <c r="E196" s="124" t="n"/>
      <c r="F196" s="119">
        <f>$C196-$D196</f>
        <v/>
      </c>
      <c r="G196" s="120">
        <f>IF($C196=0,0,$F196/$C196)</f>
        <v/>
      </c>
      <c r="H196" s="119">
        <f>IF($E196=0,0,$F196/$E196)</f>
        <v/>
      </c>
      <c r="I196" s="121">
        <f>IF($B196="","",IF($F196&lt;0,"ZARAR",IF($G196&lt;IsMarjEsik,"RİSK","KÂRLI")))</f>
        <v/>
      </c>
      <c r="J196" s="122" t="n"/>
    </row>
    <row r="197" ht="15" customHeight="1" s="76">
      <c r="A197" s="122" t="n"/>
      <c r="B197" s="122" t="n"/>
      <c r="C197" s="123" t="n"/>
      <c r="D197" s="123" t="n"/>
      <c r="E197" s="124" t="n"/>
      <c r="F197" s="119">
        <f>$C197-$D197</f>
        <v/>
      </c>
      <c r="G197" s="120">
        <f>IF($C197=0,0,$F197/$C197)</f>
        <v/>
      </c>
      <c r="H197" s="119">
        <f>IF($E197=0,0,$F197/$E197)</f>
        <v/>
      </c>
      <c r="I197" s="121">
        <f>IF($B197="","",IF($F197&lt;0,"ZARAR",IF($G197&lt;IsMarjEsik,"RİSK","KÂRLI")))</f>
        <v/>
      </c>
      <c r="J197" s="122" t="n"/>
    </row>
    <row r="198" ht="15" customHeight="1" s="76">
      <c r="A198" s="122" t="n"/>
      <c r="B198" s="122" t="n"/>
      <c r="C198" s="123" t="n"/>
      <c r="D198" s="123" t="n"/>
      <c r="E198" s="124" t="n"/>
      <c r="F198" s="119">
        <f>$C198-$D198</f>
        <v/>
      </c>
      <c r="G198" s="120">
        <f>IF($C198=0,0,$F198/$C198)</f>
        <v/>
      </c>
      <c r="H198" s="119">
        <f>IF($E198=0,0,$F198/$E198)</f>
        <v/>
      </c>
      <c r="I198" s="121">
        <f>IF($B198="","",IF($F198&lt;0,"ZARAR",IF($G198&lt;IsMarjEsik,"RİSK","KÂRLI")))</f>
        <v/>
      </c>
      <c r="J198" s="122" t="n"/>
    </row>
    <row r="199" ht="15" customHeight="1" s="76">
      <c r="A199" s="122" t="n"/>
      <c r="B199" s="122" t="n"/>
      <c r="C199" s="123" t="n"/>
      <c r="D199" s="123" t="n"/>
      <c r="E199" s="124" t="n"/>
      <c r="F199" s="119">
        <f>$C199-$D199</f>
        <v/>
      </c>
      <c r="G199" s="120">
        <f>IF($C199=0,0,$F199/$C199)</f>
        <v/>
      </c>
      <c r="H199" s="119">
        <f>IF($E199=0,0,$F199/$E199)</f>
        <v/>
      </c>
      <c r="I199" s="121">
        <f>IF($B199="","",IF($F199&lt;0,"ZARAR",IF($G199&lt;IsMarjEsik,"RİSK","KÂRLI")))</f>
        <v/>
      </c>
      <c r="J199" s="122" t="n"/>
    </row>
    <row r="200" ht="15" customHeight="1" s="76">
      <c r="A200" s="122" t="n"/>
      <c r="B200" s="122" t="n"/>
      <c r="C200" s="123" t="n"/>
      <c r="D200" s="123" t="n"/>
      <c r="E200" s="124" t="n"/>
      <c r="F200" s="119">
        <f>$C200-$D200</f>
        <v/>
      </c>
      <c r="G200" s="120">
        <f>IF($C200=0,0,$F200/$C200)</f>
        <v/>
      </c>
      <c r="H200" s="119">
        <f>IF($E200=0,0,$F200/$E200)</f>
        <v/>
      </c>
      <c r="I200" s="121">
        <f>IF($B200="","",IF($F200&lt;0,"ZARAR",IF($G200&lt;IsMarjEsik,"RİSK","KÂRLI")))</f>
        <v/>
      </c>
      <c r="J200" s="122" t="n"/>
    </row>
    <row r="201" ht="15" customHeight="1" s="76">
      <c r="A201" s="122" t="n"/>
      <c r="B201" s="122" t="n"/>
      <c r="C201" s="123" t="n"/>
      <c r="D201" s="123" t="n"/>
      <c r="E201" s="124" t="n"/>
      <c r="F201" s="119">
        <f>$C201-$D201</f>
        <v/>
      </c>
      <c r="G201" s="120">
        <f>IF($C201=0,0,$F201/$C201)</f>
        <v/>
      </c>
      <c r="H201" s="119">
        <f>IF($E201=0,0,$F201/$E201)</f>
        <v/>
      </c>
      <c r="I201" s="121">
        <f>IF($B201="","",IF($F201&lt;0,"ZARAR",IF($G201&lt;IsMarjEsik,"RİSK","KÂRLI")))</f>
        <v/>
      </c>
      <c r="J201" s="122" t="n"/>
    </row>
    <row r="202" ht="15" customHeight="1" s="76">
      <c r="A202" s="122" t="n"/>
      <c r="B202" s="122" t="n"/>
      <c r="C202" s="123" t="n"/>
      <c r="D202" s="123" t="n"/>
      <c r="E202" s="124" t="n"/>
      <c r="F202" s="119">
        <f>$C202-$D202</f>
        <v/>
      </c>
      <c r="G202" s="120">
        <f>IF($C202=0,0,$F202/$C202)</f>
        <v/>
      </c>
      <c r="H202" s="119">
        <f>IF($E202=0,0,$F202/$E202)</f>
        <v/>
      </c>
      <c r="I202" s="121">
        <f>IF($B202="","",IF($F202&lt;0,"ZARAR",IF($G202&lt;IsMarjEsik,"RİSK","KÂRLI")))</f>
        <v/>
      </c>
      <c r="J202" s="122" t="n"/>
    </row>
    <row r="203" ht="15" customHeight="1" s="76">
      <c r="A203" s="122" t="n"/>
      <c r="B203" s="122" t="n"/>
      <c r="C203" s="123" t="n"/>
      <c r="D203" s="123" t="n"/>
      <c r="E203" s="124" t="n"/>
      <c r="F203" s="119">
        <f>$C203-$D203</f>
        <v/>
      </c>
      <c r="G203" s="120">
        <f>IF($C203=0,0,$F203/$C203)</f>
        <v/>
      </c>
      <c r="H203" s="119">
        <f>IF($E203=0,0,$F203/$E203)</f>
        <v/>
      </c>
      <c r="I203" s="121">
        <f>IF($B203="","",IF($F203&lt;0,"ZARAR",IF($G203&lt;IsMarjEsik,"RİSK","KÂRLI")))</f>
        <v/>
      </c>
      <c r="J203" s="122" t="n"/>
    </row>
    <row r="204" ht="15" customHeight="1" s="76">
      <c r="A204" s="122" t="n"/>
      <c r="B204" s="122" t="n"/>
      <c r="C204" s="123" t="n"/>
      <c r="D204" s="123" t="n"/>
      <c r="E204" s="124" t="n"/>
      <c r="F204" s="119">
        <f>$C204-$D204</f>
        <v/>
      </c>
      <c r="G204" s="120">
        <f>IF($C204=0,0,$F204/$C204)</f>
        <v/>
      </c>
      <c r="H204" s="119">
        <f>IF($E204=0,0,$F204/$E204)</f>
        <v/>
      </c>
      <c r="I204" s="121">
        <f>IF($B204="","",IF($F204&lt;0,"ZARAR",IF($G204&lt;IsMarjEsik,"RİSK","KÂRLI")))</f>
        <v/>
      </c>
      <c r="J204" s="122" t="n"/>
    </row>
    <row r="205" ht="15" customHeight="1" s="76">
      <c r="A205" s="122" t="n"/>
      <c r="B205" s="122" t="n"/>
      <c r="C205" s="123" t="n"/>
      <c r="D205" s="123" t="n"/>
      <c r="E205" s="124" t="n"/>
      <c r="F205" s="119">
        <f>$C205-$D205</f>
        <v/>
      </c>
      <c r="G205" s="120">
        <f>IF($C205=0,0,$F205/$C205)</f>
        <v/>
      </c>
      <c r="H205" s="119">
        <f>IF($E205=0,0,$F205/$E205)</f>
        <v/>
      </c>
      <c r="I205" s="121">
        <f>IF($B205="","",IF($F205&lt;0,"ZARAR",IF($G205&lt;IsMarjEsik,"RİSK","KÂRLI")))</f>
        <v/>
      </c>
      <c r="J205" s="122" t="n"/>
    </row>
    <row r="206" ht="15" customHeight="1" s="76">
      <c r="A206" s="122" t="n"/>
      <c r="B206" s="122" t="n"/>
      <c r="C206" s="123" t="n"/>
      <c r="D206" s="123" t="n"/>
      <c r="E206" s="124" t="n"/>
      <c r="F206" s="119">
        <f>$C206-$D206</f>
        <v/>
      </c>
      <c r="G206" s="120">
        <f>IF($C206=0,0,$F206/$C206)</f>
        <v/>
      </c>
      <c r="H206" s="119">
        <f>IF($E206=0,0,$F206/$E206)</f>
        <v/>
      </c>
      <c r="I206" s="121">
        <f>IF($B206="","",IF($F206&lt;0,"ZARAR",IF($G206&lt;IsMarjEsik,"RİSK","KÂRLI")))</f>
        <v/>
      </c>
      <c r="J206" s="122" t="n"/>
    </row>
    <row r="207" ht="15" customHeight="1" s="76">
      <c r="A207" s="122" t="n"/>
      <c r="B207" s="122" t="n"/>
      <c r="C207" s="123" t="n"/>
      <c r="D207" s="123" t="n"/>
      <c r="E207" s="124" t="n"/>
      <c r="F207" s="119">
        <f>$C207-$D207</f>
        <v/>
      </c>
      <c r="G207" s="120">
        <f>IF($C207=0,0,$F207/$C207)</f>
        <v/>
      </c>
      <c r="H207" s="119">
        <f>IF($E207=0,0,$F207/$E207)</f>
        <v/>
      </c>
      <c r="I207" s="121">
        <f>IF($B207="","",IF($F207&lt;0,"ZARAR",IF($G207&lt;IsMarjEsik,"RİSK","KÂRLI")))</f>
        <v/>
      </c>
      <c r="J207" s="122" t="n"/>
    </row>
    <row r="208" ht="15" customHeight="1" s="76">
      <c r="A208" s="122" t="n"/>
      <c r="B208" s="122" t="n"/>
      <c r="C208" s="123" t="n"/>
      <c r="D208" s="123" t="n"/>
      <c r="E208" s="124" t="n"/>
      <c r="F208" s="119">
        <f>$C208-$D208</f>
        <v/>
      </c>
      <c r="G208" s="120">
        <f>IF($C208=0,0,$F208/$C208)</f>
        <v/>
      </c>
      <c r="H208" s="119">
        <f>IF($E208=0,0,$F208/$E208)</f>
        <v/>
      </c>
      <c r="I208" s="121">
        <f>IF($B208="","",IF($F208&lt;0,"ZARAR",IF($G208&lt;IsMarjEsik,"RİSK","KÂRLI")))</f>
        <v/>
      </c>
      <c r="J208" s="122" t="n"/>
    </row>
    <row r="209" ht="15" customHeight="1" s="76">
      <c r="A209" s="122" t="n"/>
      <c r="B209" s="122" t="n"/>
      <c r="C209" s="123" t="n"/>
      <c r="D209" s="123" t="n"/>
      <c r="E209" s="124" t="n"/>
      <c r="F209" s="119">
        <f>$C209-$D209</f>
        <v/>
      </c>
      <c r="G209" s="120">
        <f>IF($C209=0,0,$F209/$C209)</f>
        <v/>
      </c>
      <c r="H209" s="119">
        <f>IF($E209=0,0,$F209/$E209)</f>
        <v/>
      </c>
      <c r="I209" s="121">
        <f>IF($B209="","",IF($F209&lt;0,"ZARAR",IF($G209&lt;IsMarjEsik,"RİSK","KÂRLI")))</f>
        <v/>
      </c>
      <c r="J209" s="122" t="n"/>
    </row>
    <row r="210" ht="15" customHeight="1" s="76">
      <c r="A210" s="122" t="n"/>
      <c r="B210" s="122" t="n"/>
      <c r="C210" s="123" t="n"/>
      <c r="D210" s="123" t="n"/>
      <c r="E210" s="124" t="n"/>
      <c r="F210" s="119">
        <f>$C210-$D210</f>
        <v/>
      </c>
      <c r="G210" s="120">
        <f>IF($C210=0,0,$F210/$C210)</f>
        <v/>
      </c>
      <c r="H210" s="119">
        <f>IF($E210=0,0,$F210/$E210)</f>
        <v/>
      </c>
      <c r="I210" s="121">
        <f>IF($B210="","",IF($F210&lt;0,"ZARAR",IF($G210&lt;IsMarjEsik,"RİSK","KÂRLI")))</f>
        <v/>
      </c>
      <c r="J210" s="122" t="n"/>
    </row>
    <row r="211" ht="15" customHeight="1" s="76">
      <c r="A211" s="122" t="n"/>
      <c r="B211" s="122" t="n"/>
      <c r="C211" s="123" t="n"/>
      <c r="D211" s="123" t="n"/>
      <c r="E211" s="124" t="n"/>
      <c r="F211" s="119">
        <f>$C211-$D211</f>
        <v/>
      </c>
      <c r="G211" s="120">
        <f>IF($C211=0,0,$F211/$C211)</f>
        <v/>
      </c>
      <c r="H211" s="119">
        <f>IF($E211=0,0,$F211/$E211)</f>
        <v/>
      </c>
      <c r="I211" s="121">
        <f>IF($B211="","",IF($F211&lt;0,"ZARAR",IF($G211&lt;IsMarjEsik,"RİSK","KÂRLI")))</f>
        <v/>
      </c>
      <c r="J211" s="122" t="n"/>
    </row>
    <row r="212" ht="15" customHeight="1" s="76">
      <c r="A212" s="122" t="n"/>
      <c r="B212" s="122" t="n"/>
      <c r="C212" s="123" t="n"/>
      <c r="D212" s="123" t="n"/>
      <c r="E212" s="124" t="n"/>
      <c r="F212" s="119">
        <f>$C212-$D212</f>
        <v/>
      </c>
      <c r="G212" s="120">
        <f>IF($C212=0,0,$F212/$C212)</f>
        <v/>
      </c>
      <c r="H212" s="119">
        <f>IF($E212=0,0,$F212/$E212)</f>
        <v/>
      </c>
      <c r="I212" s="121">
        <f>IF($B212="","",IF($F212&lt;0,"ZARAR",IF($G212&lt;IsMarjEsik,"RİSK","KÂRLI")))</f>
        <v/>
      </c>
      <c r="J212" s="122" t="n"/>
    </row>
    <row r="213" ht="15" customHeight="1" s="76">
      <c r="A213" s="122" t="n"/>
      <c r="B213" s="122" t="n"/>
      <c r="C213" s="123" t="n"/>
      <c r="D213" s="123" t="n"/>
      <c r="E213" s="124" t="n"/>
      <c r="F213" s="119">
        <f>$C213-$D213</f>
        <v/>
      </c>
      <c r="G213" s="120">
        <f>IF($C213=0,0,$F213/$C213)</f>
        <v/>
      </c>
      <c r="H213" s="119">
        <f>IF($E213=0,0,$F213/$E213)</f>
        <v/>
      </c>
      <c r="I213" s="121">
        <f>IF($B213="","",IF($F213&lt;0,"ZARAR",IF($G213&lt;IsMarjEsik,"RİSK","KÂRLI")))</f>
        <v/>
      </c>
      <c r="J213" s="122" t="n"/>
    </row>
    <row r="214" ht="15" customHeight="1" s="76">
      <c r="A214" s="122" t="n"/>
      <c r="B214" s="122" t="n"/>
      <c r="C214" s="123" t="n"/>
      <c r="D214" s="123" t="n"/>
      <c r="E214" s="124" t="n"/>
      <c r="F214" s="119">
        <f>$C214-$D214</f>
        <v/>
      </c>
      <c r="G214" s="120">
        <f>IF($C214=0,0,$F214/$C214)</f>
        <v/>
      </c>
      <c r="H214" s="119">
        <f>IF($E214=0,0,$F214/$E214)</f>
        <v/>
      </c>
      <c r="I214" s="121">
        <f>IF($B214="","",IF($F214&lt;0,"ZARAR",IF($G214&lt;IsMarjEsik,"RİSK","KÂRLI")))</f>
        <v/>
      </c>
      <c r="J214" s="122" t="n"/>
    </row>
    <row r="215" ht="15" customHeight="1" s="76">
      <c r="A215" s="122" t="n"/>
      <c r="B215" s="122" t="n"/>
      <c r="C215" s="123" t="n"/>
      <c r="D215" s="123" t="n"/>
      <c r="E215" s="124" t="n"/>
      <c r="F215" s="119">
        <f>$C215-$D215</f>
        <v/>
      </c>
      <c r="G215" s="120">
        <f>IF($C215=0,0,$F215/$C215)</f>
        <v/>
      </c>
      <c r="H215" s="119">
        <f>IF($E215=0,0,$F215/$E215)</f>
        <v/>
      </c>
      <c r="I215" s="121">
        <f>IF($B215="","",IF($F215&lt;0,"ZARAR",IF($G215&lt;IsMarjEsik,"RİSK","KÂRLI")))</f>
        <v/>
      </c>
      <c r="J215" s="122" t="n"/>
    </row>
    <row r="216" ht="15" customHeight="1" s="76">
      <c r="A216" s="122" t="n"/>
      <c r="B216" s="122" t="n"/>
      <c r="C216" s="123" t="n"/>
      <c r="D216" s="123" t="n"/>
      <c r="E216" s="124" t="n"/>
      <c r="F216" s="119">
        <f>$C216-$D216</f>
        <v/>
      </c>
      <c r="G216" s="120">
        <f>IF($C216=0,0,$F216/$C216)</f>
        <v/>
      </c>
      <c r="H216" s="119">
        <f>IF($E216=0,0,$F216/$E216)</f>
        <v/>
      </c>
      <c r="I216" s="121">
        <f>IF($B216="","",IF($F216&lt;0,"ZARAR",IF($G216&lt;IsMarjEsik,"RİSK","KÂRLI")))</f>
        <v/>
      </c>
      <c r="J216" s="122" t="n"/>
    </row>
    <row r="217" ht="15" customHeight="1" s="76">
      <c r="A217" s="122" t="n"/>
      <c r="B217" s="122" t="n"/>
      <c r="C217" s="123" t="n"/>
      <c r="D217" s="123" t="n"/>
      <c r="E217" s="124" t="n"/>
      <c r="F217" s="119">
        <f>$C217-$D217</f>
        <v/>
      </c>
      <c r="G217" s="120">
        <f>IF($C217=0,0,$F217/$C217)</f>
        <v/>
      </c>
      <c r="H217" s="119">
        <f>IF($E217=0,0,$F217/$E217)</f>
        <v/>
      </c>
      <c r="I217" s="121">
        <f>IF($B217="","",IF($F217&lt;0,"ZARAR",IF($G217&lt;IsMarjEsik,"RİSK","KÂRLI")))</f>
        <v/>
      </c>
      <c r="J217" s="122" t="n"/>
    </row>
    <row r="218" ht="15" customHeight="1" s="76">
      <c r="A218" s="122" t="n"/>
      <c r="B218" s="122" t="n"/>
      <c r="C218" s="123" t="n"/>
      <c r="D218" s="123" t="n"/>
      <c r="E218" s="124" t="n"/>
      <c r="F218" s="119">
        <f>$C218-$D218</f>
        <v/>
      </c>
      <c r="G218" s="120">
        <f>IF($C218=0,0,$F218/$C218)</f>
        <v/>
      </c>
      <c r="H218" s="119">
        <f>IF($E218=0,0,$F218/$E218)</f>
        <v/>
      </c>
      <c r="I218" s="121">
        <f>IF($B218="","",IF($F218&lt;0,"ZARAR",IF($G218&lt;IsMarjEsik,"RİSK","KÂRLI")))</f>
        <v/>
      </c>
      <c r="J218" s="122" t="n"/>
    </row>
    <row r="219" ht="15" customHeight="1" s="76">
      <c r="A219" s="122" t="n"/>
      <c r="B219" s="122" t="n"/>
      <c r="C219" s="123" t="n"/>
      <c r="D219" s="123" t="n"/>
      <c r="E219" s="124" t="n"/>
      <c r="F219" s="119">
        <f>$C219-$D219</f>
        <v/>
      </c>
      <c r="G219" s="120">
        <f>IF($C219=0,0,$F219/$C219)</f>
        <v/>
      </c>
      <c r="H219" s="119">
        <f>IF($E219=0,0,$F219/$E219)</f>
        <v/>
      </c>
      <c r="I219" s="121">
        <f>IF($B219="","",IF($F219&lt;0,"ZARAR",IF($G219&lt;IsMarjEsik,"RİSK","KÂRLI")))</f>
        <v/>
      </c>
      <c r="J219" s="122" t="n"/>
    </row>
    <row r="220" ht="15" customHeight="1" s="76">
      <c r="A220" s="122" t="n"/>
      <c r="B220" s="122" t="n"/>
      <c r="C220" s="123" t="n"/>
      <c r="D220" s="123" t="n"/>
      <c r="E220" s="124" t="n"/>
      <c r="F220" s="119">
        <f>$C220-$D220</f>
        <v/>
      </c>
      <c r="G220" s="120">
        <f>IF($C220=0,0,$F220/$C220)</f>
        <v/>
      </c>
      <c r="H220" s="119">
        <f>IF($E220=0,0,$F220/$E220)</f>
        <v/>
      </c>
      <c r="I220" s="121">
        <f>IF($B220="","",IF($F220&lt;0,"ZARAR",IF($G220&lt;IsMarjEsik,"RİSK","KÂRLI")))</f>
        <v/>
      </c>
      <c r="J220" s="122" t="n"/>
    </row>
    <row r="221" ht="15" customHeight="1" s="76">
      <c r="A221" s="122" t="n"/>
      <c r="B221" s="122" t="n"/>
      <c r="C221" s="123" t="n"/>
      <c r="D221" s="123" t="n"/>
      <c r="E221" s="124" t="n"/>
      <c r="F221" s="119">
        <f>$C221-$D221</f>
        <v/>
      </c>
      <c r="G221" s="120">
        <f>IF($C221=0,0,$F221/$C221)</f>
        <v/>
      </c>
      <c r="H221" s="119">
        <f>IF($E221=0,0,$F221/$E221)</f>
        <v/>
      </c>
      <c r="I221" s="121">
        <f>IF($B221="","",IF($F221&lt;0,"ZARAR",IF($G221&lt;IsMarjEsik,"RİSK","KÂRLI")))</f>
        <v/>
      </c>
      <c r="J221" s="122" t="n"/>
    </row>
    <row r="222" ht="15" customHeight="1" s="76">
      <c r="A222" s="122" t="n"/>
      <c r="B222" s="122" t="n"/>
      <c r="C222" s="123" t="n"/>
      <c r="D222" s="123" t="n"/>
      <c r="E222" s="124" t="n"/>
      <c r="F222" s="119">
        <f>$C222-$D222</f>
        <v/>
      </c>
      <c r="G222" s="120">
        <f>IF($C222=0,0,$F222/$C222)</f>
        <v/>
      </c>
      <c r="H222" s="119">
        <f>IF($E222=0,0,$F222/$E222)</f>
        <v/>
      </c>
      <c r="I222" s="121">
        <f>IF($B222="","",IF($F222&lt;0,"ZARAR",IF($G222&lt;IsMarjEsik,"RİSK","KÂRLI")))</f>
        <v/>
      </c>
      <c r="J222" s="122" t="n"/>
    </row>
    <row r="223" ht="15" customHeight="1" s="76">
      <c r="A223" s="122" t="n"/>
      <c r="B223" s="122" t="n"/>
      <c r="C223" s="123" t="n"/>
      <c r="D223" s="123" t="n"/>
      <c r="E223" s="124" t="n"/>
      <c r="F223" s="119">
        <f>$C223-$D223</f>
        <v/>
      </c>
      <c r="G223" s="120">
        <f>IF($C223=0,0,$F223/$C223)</f>
        <v/>
      </c>
      <c r="H223" s="119">
        <f>IF($E223=0,0,$F223/$E223)</f>
        <v/>
      </c>
      <c r="I223" s="121">
        <f>IF($B223="","",IF($F223&lt;0,"ZARAR",IF($G223&lt;IsMarjEsik,"RİSK","KÂRLI")))</f>
        <v/>
      </c>
      <c r="J223" s="122" t="n"/>
    </row>
    <row r="224" ht="15" customHeight="1" s="76">
      <c r="A224" s="122" t="n"/>
      <c r="B224" s="122" t="n"/>
      <c r="C224" s="123" t="n"/>
      <c r="D224" s="123" t="n"/>
      <c r="E224" s="124" t="n"/>
      <c r="F224" s="119">
        <f>$C224-$D224</f>
        <v/>
      </c>
      <c r="G224" s="120">
        <f>IF($C224=0,0,$F224/$C224)</f>
        <v/>
      </c>
      <c r="H224" s="119">
        <f>IF($E224=0,0,$F224/$E224)</f>
        <v/>
      </c>
      <c r="I224" s="121">
        <f>IF($B224="","",IF($F224&lt;0,"ZARAR",IF($G224&lt;IsMarjEsik,"RİSK","KÂRLI")))</f>
        <v/>
      </c>
      <c r="J224" s="122" t="n"/>
    </row>
    <row r="225" ht="15" customHeight="1" s="76">
      <c r="A225" s="122" t="n"/>
      <c r="B225" s="122" t="n"/>
      <c r="C225" s="123" t="n"/>
      <c r="D225" s="123" t="n"/>
      <c r="E225" s="124" t="n"/>
      <c r="F225" s="119">
        <f>$C225-$D225</f>
        <v/>
      </c>
      <c r="G225" s="120">
        <f>IF($C225=0,0,$F225/$C225)</f>
        <v/>
      </c>
      <c r="H225" s="119">
        <f>IF($E225=0,0,$F225/$E225)</f>
        <v/>
      </c>
      <c r="I225" s="121">
        <f>IF($B225="","",IF($F225&lt;0,"ZARAR",IF($G225&lt;IsMarjEsik,"RİSK","KÂRLI")))</f>
        <v/>
      </c>
      <c r="J225" s="122" t="n"/>
    </row>
    <row r="226" ht="15" customHeight="1" s="76">
      <c r="A226" s="122" t="n"/>
      <c r="B226" s="122" t="n"/>
      <c r="C226" s="123" t="n"/>
      <c r="D226" s="123" t="n"/>
      <c r="E226" s="124" t="n"/>
      <c r="F226" s="119">
        <f>$C226-$D226</f>
        <v/>
      </c>
      <c r="G226" s="120">
        <f>IF($C226=0,0,$F226/$C226)</f>
        <v/>
      </c>
      <c r="H226" s="119">
        <f>IF($E226=0,0,$F226/$E226)</f>
        <v/>
      </c>
      <c r="I226" s="121">
        <f>IF($B226="","",IF($F226&lt;0,"ZARAR",IF($G226&lt;IsMarjEsik,"RİSK","KÂRLI")))</f>
        <v/>
      </c>
      <c r="J226" s="122" t="n"/>
    </row>
    <row r="227" ht="15" customHeight="1" s="76">
      <c r="A227" s="122" t="n"/>
      <c r="B227" s="122" t="n"/>
      <c r="C227" s="123" t="n"/>
      <c r="D227" s="123" t="n"/>
      <c r="E227" s="124" t="n"/>
      <c r="F227" s="119">
        <f>$C227-$D227</f>
        <v/>
      </c>
      <c r="G227" s="120">
        <f>IF($C227=0,0,$F227/$C227)</f>
        <v/>
      </c>
      <c r="H227" s="119">
        <f>IF($E227=0,0,$F227/$E227)</f>
        <v/>
      </c>
      <c r="I227" s="121">
        <f>IF($B227="","",IF($F227&lt;0,"ZARAR",IF($G227&lt;IsMarjEsik,"RİSK","KÂRLI")))</f>
        <v/>
      </c>
      <c r="J227" s="122" t="n"/>
    </row>
    <row r="228" ht="15" customHeight="1" s="76">
      <c r="A228" s="122" t="n"/>
      <c r="B228" s="122" t="n"/>
      <c r="C228" s="123" t="n"/>
      <c r="D228" s="123" t="n"/>
      <c r="E228" s="124" t="n"/>
      <c r="F228" s="119">
        <f>$C228-$D228</f>
        <v/>
      </c>
      <c r="G228" s="120">
        <f>IF($C228=0,0,$F228/$C228)</f>
        <v/>
      </c>
      <c r="H228" s="119">
        <f>IF($E228=0,0,$F228/$E228)</f>
        <v/>
      </c>
      <c r="I228" s="121">
        <f>IF($B228="","",IF($F228&lt;0,"ZARAR",IF($G228&lt;IsMarjEsik,"RİSK","KÂRLI")))</f>
        <v/>
      </c>
      <c r="J228" s="122" t="n"/>
    </row>
    <row r="229" ht="15" customHeight="1" s="76">
      <c r="A229" s="122" t="n"/>
      <c r="B229" s="122" t="n"/>
      <c r="C229" s="123" t="n"/>
      <c r="D229" s="123" t="n"/>
      <c r="E229" s="124" t="n"/>
      <c r="F229" s="119">
        <f>$C229-$D229</f>
        <v/>
      </c>
      <c r="G229" s="120">
        <f>IF($C229=0,0,$F229/$C229)</f>
        <v/>
      </c>
      <c r="H229" s="119">
        <f>IF($E229=0,0,$F229/$E229)</f>
        <v/>
      </c>
      <c r="I229" s="121">
        <f>IF($B229="","",IF($F229&lt;0,"ZARAR",IF($G229&lt;IsMarjEsik,"RİSK","KÂRLI")))</f>
        <v/>
      </c>
      <c r="J229" s="122" t="n"/>
    </row>
    <row r="230" ht="15" customHeight="1" s="76">
      <c r="A230" s="122" t="n"/>
      <c r="B230" s="122" t="n"/>
      <c r="C230" s="123" t="n"/>
      <c r="D230" s="123" t="n"/>
      <c r="E230" s="124" t="n"/>
      <c r="F230" s="119">
        <f>$C230-$D230</f>
        <v/>
      </c>
      <c r="G230" s="120">
        <f>IF($C230=0,0,$F230/$C230)</f>
        <v/>
      </c>
      <c r="H230" s="119">
        <f>IF($E230=0,0,$F230/$E230)</f>
        <v/>
      </c>
      <c r="I230" s="121">
        <f>IF($B230="","",IF($F230&lt;0,"ZARAR",IF($G230&lt;IsMarjEsik,"RİSK","KÂRLI")))</f>
        <v/>
      </c>
      <c r="J230" s="122" t="n"/>
    </row>
    <row r="231" ht="15" customHeight="1" s="76">
      <c r="A231" s="122" t="n"/>
      <c r="B231" s="122" t="n"/>
      <c r="C231" s="123" t="n"/>
      <c r="D231" s="123" t="n"/>
      <c r="E231" s="124" t="n"/>
      <c r="F231" s="119">
        <f>$C231-$D231</f>
        <v/>
      </c>
      <c r="G231" s="120">
        <f>IF($C231=0,0,$F231/$C231)</f>
        <v/>
      </c>
      <c r="H231" s="119">
        <f>IF($E231=0,0,$F231/$E231)</f>
        <v/>
      </c>
      <c r="I231" s="121">
        <f>IF($B231="","",IF($F231&lt;0,"ZARAR",IF($G231&lt;IsMarjEsik,"RİSK","KÂRLI")))</f>
        <v/>
      </c>
      <c r="J231" s="122" t="n"/>
    </row>
    <row r="232" ht="15" customHeight="1" s="76">
      <c r="A232" s="122" t="n"/>
      <c r="B232" s="122" t="n"/>
      <c r="C232" s="123" t="n"/>
      <c r="D232" s="123" t="n"/>
      <c r="E232" s="124" t="n"/>
      <c r="F232" s="119">
        <f>$C232-$D232</f>
        <v/>
      </c>
      <c r="G232" s="120">
        <f>IF($C232=0,0,$F232/$C232)</f>
        <v/>
      </c>
      <c r="H232" s="119">
        <f>IF($E232=0,0,$F232/$E232)</f>
        <v/>
      </c>
      <c r="I232" s="121">
        <f>IF($B232="","",IF($F232&lt;0,"ZARAR",IF($G232&lt;IsMarjEsik,"RİSK","KÂRLI")))</f>
        <v/>
      </c>
      <c r="J232" s="122" t="n"/>
    </row>
    <row r="233" ht="15" customHeight="1" s="76">
      <c r="A233" s="122" t="n"/>
      <c r="B233" s="122" t="n"/>
      <c r="C233" s="123" t="n"/>
      <c r="D233" s="123" t="n"/>
      <c r="E233" s="124" t="n"/>
      <c r="F233" s="119">
        <f>$C233-$D233</f>
        <v/>
      </c>
      <c r="G233" s="120">
        <f>IF($C233=0,0,$F233/$C233)</f>
        <v/>
      </c>
      <c r="H233" s="119">
        <f>IF($E233=0,0,$F233/$E233)</f>
        <v/>
      </c>
      <c r="I233" s="121">
        <f>IF($B233="","",IF($F233&lt;0,"ZARAR",IF($G233&lt;IsMarjEsik,"RİSK","KÂRLI")))</f>
        <v/>
      </c>
      <c r="J233" s="122" t="n"/>
    </row>
    <row r="234" ht="15" customHeight="1" s="76">
      <c r="A234" s="122" t="n"/>
      <c r="B234" s="122" t="n"/>
      <c r="C234" s="123" t="n"/>
      <c r="D234" s="123" t="n"/>
      <c r="E234" s="124" t="n"/>
      <c r="F234" s="119">
        <f>$C234-$D234</f>
        <v/>
      </c>
      <c r="G234" s="120">
        <f>IF($C234=0,0,$F234/$C234)</f>
        <v/>
      </c>
      <c r="H234" s="119">
        <f>IF($E234=0,0,$F234/$E234)</f>
        <v/>
      </c>
      <c r="I234" s="121">
        <f>IF($B234="","",IF($F234&lt;0,"ZARAR",IF($G234&lt;IsMarjEsik,"RİSK","KÂRLI")))</f>
        <v/>
      </c>
      <c r="J234" s="122" t="n"/>
    </row>
    <row r="235" ht="15" customHeight="1" s="76">
      <c r="A235" s="122" t="n"/>
      <c r="B235" s="122" t="n"/>
      <c r="C235" s="123" t="n"/>
      <c r="D235" s="123" t="n"/>
      <c r="E235" s="124" t="n"/>
      <c r="F235" s="119">
        <f>$C235-$D235</f>
        <v/>
      </c>
      <c r="G235" s="120">
        <f>IF($C235=0,0,$F235/$C235)</f>
        <v/>
      </c>
      <c r="H235" s="119">
        <f>IF($E235=0,0,$F235/$E235)</f>
        <v/>
      </c>
      <c r="I235" s="121">
        <f>IF($B235="","",IF($F235&lt;0,"ZARAR",IF($G235&lt;IsMarjEsik,"RİSK","KÂRLI")))</f>
        <v/>
      </c>
      <c r="J235" s="122" t="n"/>
    </row>
    <row r="236" ht="15" customHeight="1" s="76">
      <c r="A236" s="122" t="n"/>
      <c r="B236" s="122" t="n"/>
      <c r="C236" s="123" t="n"/>
      <c r="D236" s="123" t="n"/>
      <c r="E236" s="124" t="n"/>
      <c r="F236" s="119">
        <f>$C236-$D236</f>
        <v/>
      </c>
      <c r="G236" s="120">
        <f>IF($C236=0,0,$F236/$C236)</f>
        <v/>
      </c>
      <c r="H236" s="119">
        <f>IF($E236=0,0,$F236/$E236)</f>
        <v/>
      </c>
      <c r="I236" s="121">
        <f>IF($B236="","",IF($F236&lt;0,"ZARAR",IF($G236&lt;IsMarjEsik,"RİSK","KÂRLI")))</f>
        <v/>
      </c>
      <c r="J236" s="122" t="n"/>
    </row>
    <row r="237" ht="15" customHeight="1" s="76">
      <c r="A237" s="122" t="n"/>
      <c r="B237" s="122" t="n"/>
      <c r="C237" s="123" t="n"/>
      <c r="D237" s="123" t="n"/>
      <c r="E237" s="124" t="n"/>
      <c r="F237" s="119">
        <f>$C237-$D237</f>
        <v/>
      </c>
      <c r="G237" s="120">
        <f>IF($C237=0,0,$F237/$C237)</f>
        <v/>
      </c>
      <c r="H237" s="119">
        <f>IF($E237=0,0,$F237/$E237)</f>
        <v/>
      </c>
      <c r="I237" s="121">
        <f>IF($B237="","",IF($F237&lt;0,"ZARAR",IF($G237&lt;IsMarjEsik,"RİSK","KÂRLI")))</f>
        <v/>
      </c>
      <c r="J237" s="122" t="n"/>
    </row>
    <row r="238" ht="15" customHeight="1" s="76">
      <c r="A238" s="122" t="n"/>
      <c r="B238" s="122" t="n"/>
      <c r="C238" s="123" t="n"/>
      <c r="D238" s="123" t="n"/>
      <c r="E238" s="124" t="n"/>
      <c r="F238" s="119">
        <f>$C238-$D238</f>
        <v/>
      </c>
      <c r="G238" s="120">
        <f>IF($C238=0,0,$F238/$C238)</f>
        <v/>
      </c>
      <c r="H238" s="119">
        <f>IF($E238=0,0,$F238/$E238)</f>
        <v/>
      </c>
      <c r="I238" s="121">
        <f>IF($B238="","",IF($F238&lt;0,"ZARAR",IF($G238&lt;IsMarjEsik,"RİSK","KÂRLI")))</f>
        <v/>
      </c>
      <c r="J238" s="122" t="n"/>
    </row>
    <row r="239" ht="15" customHeight="1" s="76">
      <c r="A239" s="122" t="n"/>
      <c r="B239" s="122" t="n"/>
      <c r="C239" s="123" t="n"/>
      <c r="D239" s="123" t="n"/>
      <c r="E239" s="124" t="n"/>
      <c r="F239" s="119">
        <f>$C239-$D239</f>
        <v/>
      </c>
      <c r="G239" s="120">
        <f>IF($C239=0,0,$F239/$C239)</f>
        <v/>
      </c>
      <c r="H239" s="119">
        <f>IF($E239=0,0,$F239/$E239)</f>
        <v/>
      </c>
      <c r="I239" s="121">
        <f>IF($B239="","",IF($F239&lt;0,"ZARAR",IF($G239&lt;IsMarjEsik,"RİSK","KÂRLI")))</f>
        <v/>
      </c>
      <c r="J239" s="122" t="n"/>
    </row>
    <row r="240" ht="15" customHeight="1" s="76">
      <c r="A240" s="122" t="n"/>
      <c r="B240" s="122" t="n"/>
      <c r="C240" s="123" t="n"/>
      <c r="D240" s="123" t="n"/>
      <c r="E240" s="124" t="n"/>
      <c r="F240" s="119">
        <f>$C240-$D240</f>
        <v/>
      </c>
      <c r="G240" s="120">
        <f>IF($C240=0,0,$F240/$C240)</f>
        <v/>
      </c>
      <c r="H240" s="119">
        <f>IF($E240=0,0,$F240/$E240)</f>
        <v/>
      </c>
      <c r="I240" s="121">
        <f>IF($B240="","",IF($F240&lt;0,"ZARAR",IF($G240&lt;IsMarjEsik,"RİSK","KÂRLI")))</f>
        <v/>
      </c>
      <c r="J240" s="122" t="n"/>
    </row>
    <row r="241" ht="15" customHeight="1" s="76">
      <c r="A241" s="122" t="n"/>
      <c r="B241" s="122" t="n"/>
      <c r="C241" s="123" t="n"/>
      <c r="D241" s="123" t="n"/>
      <c r="E241" s="124" t="n"/>
      <c r="F241" s="119">
        <f>$C241-$D241</f>
        <v/>
      </c>
      <c r="G241" s="120">
        <f>IF($C241=0,0,$F241/$C241)</f>
        <v/>
      </c>
      <c r="H241" s="119">
        <f>IF($E241=0,0,$F241/$E241)</f>
        <v/>
      </c>
      <c r="I241" s="121">
        <f>IF($B241="","",IF($F241&lt;0,"ZARAR",IF($G241&lt;IsMarjEsik,"RİSK","KÂRLI")))</f>
        <v/>
      </c>
      <c r="J241" s="122" t="n"/>
    </row>
    <row r="242" ht="15" customHeight="1" s="76">
      <c r="A242" s="122" t="n"/>
      <c r="B242" s="122" t="n"/>
      <c r="C242" s="123" t="n"/>
      <c r="D242" s="123" t="n"/>
      <c r="E242" s="124" t="n"/>
      <c r="F242" s="119">
        <f>$C242-$D242</f>
        <v/>
      </c>
      <c r="G242" s="120">
        <f>IF($C242=0,0,$F242/$C242)</f>
        <v/>
      </c>
      <c r="H242" s="119">
        <f>IF($E242=0,0,$F242/$E242)</f>
        <v/>
      </c>
      <c r="I242" s="121">
        <f>IF($B242="","",IF($F242&lt;0,"ZARAR",IF($G242&lt;IsMarjEsik,"RİSK","KÂRLI")))</f>
        <v/>
      </c>
      <c r="J242" s="122" t="n"/>
    </row>
    <row r="243" ht="15" customHeight="1" s="76">
      <c r="A243" s="122" t="n"/>
      <c r="B243" s="122" t="n"/>
      <c r="C243" s="123" t="n"/>
      <c r="D243" s="123" t="n"/>
      <c r="E243" s="124" t="n"/>
      <c r="F243" s="119">
        <f>$C243-$D243</f>
        <v/>
      </c>
      <c r="G243" s="120">
        <f>IF($C243=0,0,$F243/$C243)</f>
        <v/>
      </c>
      <c r="H243" s="119">
        <f>IF($E243=0,0,$F243/$E243)</f>
        <v/>
      </c>
      <c r="I243" s="121">
        <f>IF($B243="","",IF($F243&lt;0,"ZARAR",IF($G243&lt;IsMarjEsik,"RİSK","KÂRLI")))</f>
        <v/>
      </c>
      <c r="J243" s="122" t="n"/>
    </row>
    <row r="244" ht="15" customHeight="1" s="76">
      <c r="A244" s="122" t="n"/>
      <c r="B244" s="122" t="n"/>
      <c r="C244" s="123" t="n"/>
      <c r="D244" s="123" t="n"/>
      <c r="E244" s="124" t="n"/>
      <c r="F244" s="119">
        <f>$C244-$D244</f>
        <v/>
      </c>
      <c r="G244" s="120">
        <f>IF($C244=0,0,$F244/$C244)</f>
        <v/>
      </c>
      <c r="H244" s="119">
        <f>IF($E244=0,0,$F244/$E244)</f>
        <v/>
      </c>
      <c r="I244" s="121">
        <f>IF($B244="","",IF($F244&lt;0,"ZARAR",IF($G244&lt;IsMarjEsik,"RİSK","KÂRLI")))</f>
        <v/>
      </c>
      <c r="J244" s="122" t="n"/>
    </row>
    <row r="245" ht="15" customHeight="1" s="76">
      <c r="A245" s="122" t="n"/>
      <c r="B245" s="122" t="n"/>
      <c r="C245" s="123" t="n"/>
      <c r="D245" s="123" t="n"/>
      <c r="E245" s="124" t="n"/>
      <c r="F245" s="119">
        <f>$C245-$D245</f>
        <v/>
      </c>
      <c r="G245" s="120">
        <f>IF($C245=0,0,$F245/$C245)</f>
        <v/>
      </c>
      <c r="H245" s="119">
        <f>IF($E245=0,0,$F245/$E245)</f>
        <v/>
      </c>
      <c r="I245" s="121">
        <f>IF($B245="","",IF($F245&lt;0,"ZARAR",IF($G245&lt;IsMarjEsik,"RİSK","KÂRLI")))</f>
        <v/>
      </c>
      <c r="J245" s="122" t="n"/>
    </row>
    <row r="246" ht="15" customHeight="1" s="76">
      <c r="A246" s="122" t="n"/>
      <c r="B246" s="122" t="n"/>
      <c r="C246" s="123" t="n"/>
      <c r="D246" s="123" t="n"/>
      <c r="E246" s="124" t="n"/>
      <c r="F246" s="119">
        <f>$C246-$D246</f>
        <v/>
      </c>
      <c r="G246" s="120">
        <f>IF($C246=0,0,$F246/$C246)</f>
        <v/>
      </c>
      <c r="H246" s="119">
        <f>IF($E246=0,0,$F246/$E246)</f>
        <v/>
      </c>
      <c r="I246" s="121">
        <f>IF($B246="","",IF($F246&lt;0,"ZARAR",IF($G246&lt;IsMarjEsik,"RİSK","KÂRLI")))</f>
        <v/>
      </c>
      <c r="J246" s="122" t="n"/>
    </row>
    <row r="247" ht="15" customHeight="1" s="76">
      <c r="A247" s="122" t="n"/>
      <c r="B247" s="122" t="n"/>
      <c r="C247" s="123" t="n"/>
      <c r="D247" s="123" t="n"/>
      <c r="E247" s="124" t="n"/>
      <c r="F247" s="119">
        <f>$C247-$D247</f>
        <v/>
      </c>
      <c r="G247" s="120">
        <f>IF($C247=0,0,$F247/$C247)</f>
        <v/>
      </c>
      <c r="H247" s="119">
        <f>IF($E247=0,0,$F247/$E247)</f>
        <v/>
      </c>
      <c r="I247" s="121">
        <f>IF($B247="","",IF($F247&lt;0,"ZARAR",IF($G247&lt;IsMarjEsik,"RİSK","KÂRLI")))</f>
        <v/>
      </c>
      <c r="J247" s="122" t="n"/>
    </row>
    <row r="248" ht="15" customHeight="1" s="76">
      <c r="A248" s="122" t="n"/>
      <c r="B248" s="122" t="n"/>
      <c r="C248" s="123" t="n"/>
      <c r="D248" s="123" t="n"/>
      <c r="E248" s="124" t="n"/>
      <c r="F248" s="119">
        <f>$C248-$D248</f>
        <v/>
      </c>
      <c r="G248" s="120">
        <f>IF($C248=0,0,$F248/$C248)</f>
        <v/>
      </c>
      <c r="H248" s="119">
        <f>IF($E248=0,0,$F248/$E248)</f>
        <v/>
      </c>
      <c r="I248" s="121">
        <f>IF($B248="","",IF($F248&lt;0,"ZARAR",IF($G248&lt;IsMarjEsik,"RİSK","KÂRLI")))</f>
        <v/>
      </c>
      <c r="J248" s="122" t="n"/>
    </row>
    <row r="249" ht="15" customHeight="1" s="76">
      <c r="A249" s="122" t="n"/>
      <c r="B249" s="122" t="n"/>
      <c r="C249" s="123" t="n"/>
      <c r="D249" s="123" t="n"/>
      <c r="E249" s="124" t="n"/>
      <c r="F249" s="119">
        <f>$C249-$D249</f>
        <v/>
      </c>
      <c r="G249" s="120">
        <f>IF($C249=0,0,$F249/$C249)</f>
        <v/>
      </c>
      <c r="H249" s="119">
        <f>IF($E249=0,0,$F249/$E249)</f>
        <v/>
      </c>
      <c r="I249" s="121">
        <f>IF($B249="","",IF($F249&lt;0,"ZARAR",IF($G249&lt;IsMarjEsik,"RİSK","KÂRLI")))</f>
        <v/>
      </c>
      <c r="J249" s="122" t="n"/>
    </row>
    <row r="250" ht="15" customHeight="1" s="76">
      <c r="A250" s="122" t="n"/>
      <c r="B250" s="122" t="n"/>
      <c r="C250" s="123" t="n"/>
      <c r="D250" s="123" t="n"/>
      <c r="E250" s="124" t="n"/>
      <c r="F250" s="119">
        <f>$C250-$D250</f>
        <v/>
      </c>
      <c r="G250" s="120">
        <f>IF($C250=0,0,$F250/$C250)</f>
        <v/>
      </c>
      <c r="H250" s="119">
        <f>IF($E250=0,0,$F250/$E250)</f>
        <v/>
      </c>
      <c r="I250" s="121">
        <f>IF($B250="","",IF($F250&lt;0,"ZARAR",IF($G250&lt;IsMarjEsik,"RİSK","KÂRLI")))</f>
        <v/>
      </c>
      <c r="J250" s="122" t="n"/>
    </row>
    <row r="251" ht="15" customHeight="1" s="76">
      <c r="A251" s="122" t="n"/>
      <c r="B251" s="122" t="n"/>
      <c r="C251" s="123" t="n"/>
      <c r="D251" s="123" t="n"/>
      <c r="E251" s="124" t="n"/>
      <c r="F251" s="119">
        <f>$C251-$D251</f>
        <v/>
      </c>
      <c r="G251" s="120">
        <f>IF($C251=0,0,$F251/$C251)</f>
        <v/>
      </c>
      <c r="H251" s="119">
        <f>IF($E251=0,0,$F251/$E251)</f>
        <v/>
      </c>
      <c r="I251" s="121">
        <f>IF($B251="","",IF($F251&lt;0,"ZARAR",IF($G251&lt;IsMarjEsik,"RİSK","KÂRLI")))</f>
        <v/>
      </c>
      <c r="J251" s="122" t="n"/>
    </row>
    <row r="252" ht="15" customHeight="1" s="76">
      <c r="A252" s="122" t="n"/>
      <c r="B252" s="122" t="n"/>
      <c r="C252" s="123" t="n"/>
      <c r="D252" s="123" t="n"/>
      <c r="E252" s="124" t="n"/>
      <c r="F252" s="119">
        <f>$C252-$D252</f>
        <v/>
      </c>
      <c r="G252" s="120">
        <f>IF($C252=0,0,$F252/$C252)</f>
        <v/>
      </c>
      <c r="H252" s="119">
        <f>IF($E252=0,0,$F252/$E252)</f>
        <v/>
      </c>
      <c r="I252" s="121">
        <f>IF($B252="","",IF($F252&lt;0,"ZARAR",IF($G252&lt;IsMarjEsik,"RİSK","KÂRLI")))</f>
        <v/>
      </c>
      <c r="J252" s="122" t="n"/>
    </row>
    <row r="253" ht="15" customHeight="1" s="76">
      <c r="A253" s="122" t="n"/>
      <c r="B253" s="122" t="n"/>
      <c r="C253" s="123" t="n"/>
      <c r="D253" s="123" t="n"/>
      <c r="E253" s="124" t="n"/>
      <c r="F253" s="119">
        <f>$C253-$D253</f>
        <v/>
      </c>
      <c r="G253" s="120">
        <f>IF($C253=0,0,$F253/$C253)</f>
        <v/>
      </c>
      <c r="H253" s="119">
        <f>IF($E253=0,0,$F253/$E253)</f>
        <v/>
      </c>
      <c r="I253" s="121">
        <f>IF($B253="","",IF($F253&lt;0,"ZARAR",IF($G253&lt;IsMarjEsik,"RİSK","KÂRLI")))</f>
        <v/>
      </c>
      <c r="J253" s="122" t="n"/>
    </row>
    <row r="254" ht="15" customHeight="1" s="76">
      <c r="A254" s="122" t="n"/>
      <c r="B254" s="122" t="n"/>
      <c r="C254" s="123" t="n"/>
      <c r="D254" s="123" t="n"/>
      <c r="E254" s="124" t="n"/>
      <c r="F254" s="119">
        <f>$C254-$D254</f>
        <v/>
      </c>
      <c r="G254" s="120">
        <f>IF($C254=0,0,$F254/$C254)</f>
        <v/>
      </c>
      <c r="H254" s="119">
        <f>IF($E254=0,0,$F254/$E254)</f>
        <v/>
      </c>
      <c r="I254" s="121">
        <f>IF($B254="","",IF($F254&lt;0,"ZARAR",IF($G254&lt;IsMarjEsik,"RİSK","KÂRLI")))</f>
        <v/>
      </c>
      <c r="J254" s="122" t="n"/>
    </row>
    <row r="255" ht="15" customHeight="1" s="76">
      <c r="A255" s="122" t="n"/>
      <c r="B255" s="122" t="n"/>
      <c r="C255" s="123" t="n"/>
      <c r="D255" s="123" t="n"/>
      <c r="E255" s="124" t="n"/>
      <c r="F255" s="119">
        <f>$C255-$D255</f>
        <v/>
      </c>
      <c r="G255" s="120">
        <f>IF($C255=0,0,$F255/$C255)</f>
        <v/>
      </c>
      <c r="H255" s="119">
        <f>IF($E255=0,0,$F255/$E255)</f>
        <v/>
      </c>
      <c r="I255" s="121">
        <f>IF($B255="","",IF($F255&lt;0,"ZARAR",IF($G255&lt;IsMarjEsik,"RİSK","KÂRLI")))</f>
        <v/>
      </c>
      <c r="J255" s="122" t="n"/>
    </row>
    <row r="256" ht="15" customHeight="1" s="76">
      <c r="A256" s="122" t="n"/>
      <c r="B256" s="122" t="n"/>
      <c r="C256" s="123" t="n"/>
      <c r="D256" s="123" t="n"/>
      <c r="E256" s="124" t="n"/>
      <c r="F256" s="119">
        <f>$C256-$D256</f>
        <v/>
      </c>
      <c r="G256" s="120">
        <f>IF($C256=0,0,$F256/$C256)</f>
        <v/>
      </c>
      <c r="H256" s="119">
        <f>IF($E256=0,0,$F256/$E256)</f>
        <v/>
      </c>
      <c r="I256" s="121">
        <f>IF($B256="","",IF($F256&lt;0,"ZARAR",IF($G256&lt;IsMarjEsik,"RİSK","KÂRLI")))</f>
        <v/>
      </c>
      <c r="J256" s="122" t="n"/>
    </row>
    <row r="257" ht="15" customHeight="1" s="76">
      <c r="A257" s="122" t="n"/>
      <c r="B257" s="122" t="n"/>
      <c r="C257" s="123" t="n"/>
      <c r="D257" s="123" t="n"/>
      <c r="E257" s="124" t="n"/>
      <c r="F257" s="119">
        <f>$C257-$D257</f>
        <v/>
      </c>
      <c r="G257" s="120">
        <f>IF($C257=0,0,$F257/$C257)</f>
        <v/>
      </c>
      <c r="H257" s="119">
        <f>IF($E257=0,0,$F257/$E257)</f>
        <v/>
      </c>
      <c r="I257" s="121">
        <f>IF($B257="","",IF($F257&lt;0,"ZARAR",IF($G257&lt;IsMarjEsik,"RİSK","KÂRLI")))</f>
        <v/>
      </c>
      <c r="J257" s="122" t="n"/>
    </row>
    <row r="258" ht="15" customHeight="1" s="76">
      <c r="A258" s="122" t="n"/>
      <c r="B258" s="122" t="n"/>
      <c r="C258" s="123" t="n"/>
      <c r="D258" s="123" t="n"/>
      <c r="E258" s="124" t="n"/>
      <c r="F258" s="119">
        <f>$C258-$D258</f>
        <v/>
      </c>
      <c r="G258" s="120">
        <f>IF($C258=0,0,$F258/$C258)</f>
        <v/>
      </c>
      <c r="H258" s="119">
        <f>IF($E258=0,0,$F258/$E258)</f>
        <v/>
      </c>
      <c r="I258" s="121">
        <f>IF($B258="","",IF($F258&lt;0,"ZARAR",IF($G258&lt;IsMarjEsik,"RİSK","KÂRLI")))</f>
        <v/>
      </c>
      <c r="J258" s="122" t="n"/>
    </row>
    <row r="259" ht="15" customHeight="1" s="76">
      <c r="A259" s="122" t="n"/>
      <c r="B259" s="122" t="n"/>
      <c r="C259" s="123" t="n"/>
      <c r="D259" s="123" t="n"/>
      <c r="E259" s="124" t="n"/>
      <c r="F259" s="119">
        <f>$C259-$D259</f>
        <v/>
      </c>
      <c r="G259" s="120">
        <f>IF($C259=0,0,$F259/$C259)</f>
        <v/>
      </c>
      <c r="H259" s="119">
        <f>IF($E259=0,0,$F259/$E259)</f>
        <v/>
      </c>
      <c r="I259" s="121">
        <f>IF($B259="","",IF($F259&lt;0,"ZARAR",IF($G259&lt;IsMarjEsik,"RİSK","KÂRLI")))</f>
        <v/>
      </c>
      <c r="J259" s="122" t="n"/>
    </row>
    <row r="260" ht="15" customHeight="1" s="76">
      <c r="A260" s="122" t="n"/>
      <c r="B260" s="122" t="n"/>
      <c r="C260" s="123" t="n"/>
      <c r="D260" s="123" t="n"/>
      <c r="E260" s="124" t="n"/>
      <c r="F260" s="119">
        <f>$C260-$D260</f>
        <v/>
      </c>
      <c r="G260" s="120">
        <f>IF($C260=0,0,$F260/$C260)</f>
        <v/>
      </c>
      <c r="H260" s="119">
        <f>IF($E260=0,0,$F260/$E260)</f>
        <v/>
      </c>
      <c r="I260" s="121">
        <f>IF($B260="","",IF($F260&lt;0,"ZARAR",IF($G260&lt;IsMarjEsik,"RİSK","KÂRLI")))</f>
        <v/>
      </c>
      <c r="J260" s="122" t="n"/>
    </row>
    <row r="261" ht="15" customHeight="1" s="76">
      <c r="A261" s="122" t="n"/>
      <c r="B261" s="122" t="n"/>
      <c r="C261" s="123" t="n"/>
      <c r="D261" s="123" t="n"/>
      <c r="E261" s="124" t="n"/>
      <c r="F261" s="119">
        <f>$C261-$D261</f>
        <v/>
      </c>
      <c r="G261" s="120">
        <f>IF($C261=0,0,$F261/$C261)</f>
        <v/>
      </c>
      <c r="H261" s="119">
        <f>IF($E261=0,0,$F261/$E261)</f>
        <v/>
      </c>
      <c r="I261" s="121">
        <f>IF($B261="","",IF($F261&lt;0,"ZARAR",IF($G261&lt;IsMarjEsik,"RİSK","KÂRLI")))</f>
        <v/>
      </c>
      <c r="J261" s="122" t="n"/>
    </row>
    <row r="262" ht="15" customHeight="1" s="76">
      <c r="A262" s="122" t="n"/>
      <c r="B262" s="122" t="n"/>
      <c r="C262" s="123" t="n"/>
      <c r="D262" s="123" t="n"/>
      <c r="E262" s="124" t="n"/>
      <c r="F262" s="119">
        <f>$C262-$D262</f>
        <v/>
      </c>
      <c r="G262" s="120">
        <f>IF($C262=0,0,$F262/$C262)</f>
        <v/>
      </c>
      <c r="H262" s="119">
        <f>IF($E262=0,0,$F262/$E262)</f>
        <v/>
      </c>
      <c r="I262" s="121">
        <f>IF($B262="","",IF($F262&lt;0,"ZARAR",IF($G262&lt;IsMarjEsik,"RİSK","KÂRLI")))</f>
        <v/>
      </c>
      <c r="J262" s="122" t="n"/>
    </row>
    <row r="263" ht="15" customHeight="1" s="76">
      <c r="A263" s="122" t="n"/>
      <c r="B263" s="122" t="n"/>
      <c r="C263" s="123" t="n"/>
      <c r="D263" s="123" t="n"/>
      <c r="E263" s="124" t="n"/>
      <c r="F263" s="119">
        <f>$C263-$D263</f>
        <v/>
      </c>
      <c r="G263" s="120">
        <f>IF($C263=0,0,$F263/$C263)</f>
        <v/>
      </c>
      <c r="H263" s="119">
        <f>IF($E263=0,0,$F263/$E263)</f>
        <v/>
      </c>
      <c r="I263" s="121">
        <f>IF($B263="","",IF($F263&lt;0,"ZARAR",IF($G263&lt;IsMarjEsik,"RİSK","KÂRLI")))</f>
        <v/>
      </c>
      <c r="J263" s="122" t="n"/>
    </row>
    <row r="264" ht="15" customHeight="1" s="76">
      <c r="A264" s="122" t="n"/>
      <c r="B264" s="122" t="n"/>
      <c r="C264" s="123" t="n"/>
      <c r="D264" s="123" t="n"/>
      <c r="E264" s="124" t="n"/>
      <c r="F264" s="119">
        <f>$C264-$D264</f>
        <v/>
      </c>
      <c r="G264" s="120">
        <f>IF($C264=0,0,$F264/$C264)</f>
        <v/>
      </c>
      <c r="H264" s="119">
        <f>IF($E264=0,0,$F264/$E264)</f>
        <v/>
      </c>
      <c r="I264" s="121">
        <f>IF($B264="","",IF($F264&lt;0,"ZARAR",IF($G264&lt;IsMarjEsik,"RİSK","KÂRLI")))</f>
        <v/>
      </c>
      <c r="J264" s="122" t="n"/>
    </row>
    <row r="265" ht="15" customHeight="1" s="76">
      <c r="A265" s="122" t="n"/>
      <c r="B265" s="122" t="n"/>
      <c r="C265" s="123" t="n"/>
      <c r="D265" s="123" t="n"/>
      <c r="E265" s="124" t="n"/>
      <c r="F265" s="119">
        <f>$C265-$D265</f>
        <v/>
      </c>
      <c r="G265" s="120">
        <f>IF($C265=0,0,$F265/$C265)</f>
        <v/>
      </c>
      <c r="H265" s="119">
        <f>IF($E265=0,0,$F265/$E265)</f>
        <v/>
      </c>
      <c r="I265" s="121">
        <f>IF($B265="","",IF($F265&lt;0,"ZARAR",IF($G265&lt;IsMarjEsik,"RİSK","KÂRLI")))</f>
        <v/>
      </c>
      <c r="J265" s="122" t="n"/>
    </row>
    <row r="266" ht="15" customHeight="1" s="76">
      <c r="A266" s="122" t="n"/>
      <c r="B266" s="122" t="n"/>
      <c r="C266" s="123" t="n"/>
      <c r="D266" s="123" t="n"/>
      <c r="E266" s="124" t="n"/>
      <c r="F266" s="119">
        <f>$C266-$D266</f>
        <v/>
      </c>
      <c r="G266" s="120">
        <f>IF($C266=0,0,$F266/$C266)</f>
        <v/>
      </c>
      <c r="H266" s="119">
        <f>IF($E266=0,0,$F266/$E266)</f>
        <v/>
      </c>
      <c r="I266" s="121">
        <f>IF($B266="","",IF($F266&lt;0,"ZARAR",IF($G266&lt;IsMarjEsik,"RİSK","KÂRLI")))</f>
        <v/>
      </c>
      <c r="J266" s="122" t="n"/>
    </row>
    <row r="267" ht="15" customHeight="1" s="76">
      <c r="A267" s="122" t="n"/>
      <c r="B267" s="122" t="n"/>
      <c r="C267" s="123" t="n"/>
      <c r="D267" s="123" t="n"/>
      <c r="E267" s="124" t="n"/>
      <c r="F267" s="119">
        <f>$C267-$D267</f>
        <v/>
      </c>
      <c r="G267" s="120">
        <f>IF($C267=0,0,$F267/$C267)</f>
        <v/>
      </c>
      <c r="H267" s="119">
        <f>IF($E267=0,0,$F267/$E267)</f>
        <v/>
      </c>
      <c r="I267" s="121">
        <f>IF($B267="","",IF($F267&lt;0,"ZARAR",IF($G267&lt;IsMarjEsik,"RİSK","KÂRLI")))</f>
        <v/>
      </c>
      <c r="J267" s="122" t="n"/>
    </row>
    <row r="268" ht="15" customHeight="1" s="76">
      <c r="A268" s="122" t="n"/>
      <c r="B268" s="122" t="n"/>
      <c r="C268" s="123" t="n"/>
      <c r="D268" s="123" t="n"/>
      <c r="E268" s="124" t="n"/>
      <c r="F268" s="119">
        <f>$C268-$D268</f>
        <v/>
      </c>
      <c r="G268" s="120">
        <f>IF($C268=0,0,$F268/$C268)</f>
        <v/>
      </c>
      <c r="H268" s="119">
        <f>IF($E268=0,0,$F268/$E268)</f>
        <v/>
      </c>
      <c r="I268" s="121">
        <f>IF($B268="","",IF($F268&lt;0,"ZARAR",IF($G268&lt;IsMarjEsik,"RİSK","KÂRLI")))</f>
        <v/>
      </c>
      <c r="J268" s="122" t="n"/>
    </row>
    <row r="269" ht="15" customHeight="1" s="76">
      <c r="A269" s="122" t="n"/>
      <c r="B269" s="122" t="n"/>
      <c r="C269" s="123" t="n"/>
      <c r="D269" s="123" t="n"/>
      <c r="E269" s="124" t="n"/>
      <c r="F269" s="119">
        <f>$C269-$D269</f>
        <v/>
      </c>
      <c r="G269" s="120">
        <f>IF($C269=0,0,$F269/$C269)</f>
        <v/>
      </c>
      <c r="H269" s="119">
        <f>IF($E269=0,0,$F269/$E269)</f>
        <v/>
      </c>
      <c r="I269" s="121">
        <f>IF($B269="","",IF($F269&lt;0,"ZARAR",IF($G269&lt;IsMarjEsik,"RİSK","KÂRLI")))</f>
        <v/>
      </c>
      <c r="J269" s="122" t="n"/>
    </row>
    <row r="270" ht="15" customHeight="1" s="76">
      <c r="A270" s="122" t="n"/>
      <c r="B270" s="122" t="n"/>
      <c r="C270" s="123" t="n"/>
      <c r="D270" s="123" t="n"/>
      <c r="E270" s="124" t="n"/>
      <c r="F270" s="119">
        <f>$C270-$D270</f>
        <v/>
      </c>
      <c r="G270" s="120">
        <f>IF($C270=0,0,$F270/$C270)</f>
        <v/>
      </c>
      <c r="H270" s="119">
        <f>IF($E270=0,0,$F270/$E270)</f>
        <v/>
      </c>
      <c r="I270" s="121">
        <f>IF($B270="","",IF($F270&lt;0,"ZARAR",IF($G270&lt;IsMarjEsik,"RİSK","KÂRLI")))</f>
        <v/>
      </c>
      <c r="J270" s="122" t="n"/>
    </row>
    <row r="271" ht="15" customHeight="1" s="76">
      <c r="A271" s="122" t="n"/>
      <c r="B271" s="122" t="n"/>
      <c r="C271" s="123" t="n"/>
      <c r="D271" s="123" t="n"/>
      <c r="E271" s="124" t="n"/>
      <c r="F271" s="119">
        <f>$C271-$D271</f>
        <v/>
      </c>
      <c r="G271" s="120">
        <f>IF($C271=0,0,$F271/$C271)</f>
        <v/>
      </c>
      <c r="H271" s="119">
        <f>IF($E271=0,0,$F271/$E271)</f>
        <v/>
      </c>
      <c r="I271" s="121">
        <f>IF($B271="","",IF($F271&lt;0,"ZARAR",IF($G271&lt;IsMarjEsik,"RİSK","KÂRLI")))</f>
        <v/>
      </c>
      <c r="J271" s="122" t="n"/>
    </row>
    <row r="272" ht="15" customHeight="1" s="76">
      <c r="A272" s="122" t="n"/>
      <c r="B272" s="122" t="n"/>
      <c r="C272" s="123" t="n"/>
      <c r="D272" s="123" t="n"/>
      <c r="E272" s="124" t="n"/>
      <c r="F272" s="119">
        <f>$C272-$D272</f>
        <v/>
      </c>
      <c r="G272" s="120">
        <f>IF($C272=0,0,$F272/$C272)</f>
        <v/>
      </c>
      <c r="H272" s="119">
        <f>IF($E272=0,0,$F272/$E272)</f>
        <v/>
      </c>
      <c r="I272" s="121">
        <f>IF($B272="","",IF($F272&lt;0,"ZARAR",IF($G272&lt;IsMarjEsik,"RİSK","KÂRLI")))</f>
        <v/>
      </c>
      <c r="J272" s="122" t="n"/>
    </row>
    <row r="273" ht="15" customHeight="1" s="76">
      <c r="A273" s="122" t="n"/>
      <c r="B273" s="122" t="n"/>
      <c r="C273" s="123" t="n"/>
      <c r="D273" s="123" t="n"/>
      <c r="E273" s="124" t="n"/>
      <c r="F273" s="119">
        <f>$C273-$D273</f>
        <v/>
      </c>
      <c r="G273" s="120">
        <f>IF($C273=0,0,$F273/$C273)</f>
        <v/>
      </c>
      <c r="H273" s="119">
        <f>IF($E273=0,0,$F273/$E273)</f>
        <v/>
      </c>
      <c r="I273" s="121">
        <f>IF($B273="","",IF($F273&lt;0,"ZARAR",IF($G273&lt;IsMarjEsik,"RİSK","KÂRLI")))</f>
        <v/>
      </c>
      <c r="J273" s="122" t="n"/>
    </row>
    <row r="274" ht="15" customHeight="1" s="76">
      <c r="A274" s="122" t="n"/>
      <c r="B274" s="122" t="n"/>
      <c r="C274" s="123" t="n"/>
      <c r="D274" s="123" t="n"/>
      <c r="E274" s="124" t="n"/>
      <c r="F274" s="119">
        <f>$C274-$D274</f>
        <v/>
      </c>
      <c r="G274" s="120">
        <f>IF($C274=0,0,$F274/$C274)</f>
        <v/>
      </c>
      <c r="H274" s="119">
        <f>IF($E274=0,0,$F274/$E274)</f>
        <v/>
      </c>
      <c r="I274" s="121">
        <f>IF($B274="","",IF($F274&lt;0,"ZARAR",IF($G274&lt;IsMarjEsik,"RİSK","KÂRLI")))</f>
        <v/>
      </c>
      <c r="J274" s="122" t="n"/>
    </row>
    <row r="275" ht="15" customHeight="1" s="76">
      <c r="A275" s="122" t="n"/>
      <c r="B275" s="122" t="n"/>
      <c r="C275" s="123" t="n"/>
      <c r="D275" s="123" t="n"/>
      <c r="E275" s="124" t="n"/>
      <c r="F275" s="119">
        <f>$C275-$D275</f>
        <v/>
      </c>
      <c r="G275" s="120">
        <f>IF($C275=0,0,$F275/$C275)</f>
        <v/>
      </c>
      <c r="H275" s="119">
        <f>IF($E275=0,0,$F275/$E275)</f>
        <v/>
      </c>
      <c r="I275" s="121">
        <f>IF($B275="","",IF($F275&lt;0,"ZARAR",IF($G275&lt;IsMarjEsik,"RİSK","KÂRLI")))</f>
        <v/>
      </c>
      <c r="J275" s="122" t="n"/>
    </row>
    <row r="276" ht="15" customHeight="1" s="76">
      <c r="A276" s="122" t="n"/>
      <c r="B276" s="122" t="n"/>
      <c r="C276" s="123" t="n"/>
      <c r="D276" s="123" t="n"/>
      <c r="E276" s="124" t="n"/>
      <c r="F276" s="119">
        <f>$C276-$D276</f>
        <v/>
      </c>
      <c r="G276" s="120">
        <f>IF($C276=0,0,$F276/$C276)</f>
        <v/>
      </c>
      <c r="H276" s="119">
        <f>IF($E276=0,0,$F276/$E276)</f>
        <v/>
      </c>
      <c r="I276" s="121">
        <f>IF($B276="","",IF($F276&lt;0,"ZARAR",IF($G276&lt;IsMarjEsik,"RİSK","KÂRLI")))</f>
        <v/>
      </c>
      <c r="J276" s="122" t="n"/>
    </row>
    <row r="277" ht="15" customHeight="1" s="76">
      <c r="A277" s="122" t="n"/>
      <c r="B277" s="122" t="n"/>
      <c r="C277" s="123" t="n"/>
      <c r="D277" s="123" t="n"/>
      <c r="E277" s="124" t="n"/>
      <c r="F277" s="119">
        <f>$C277-$D277</f>
        <v/>
      </c>
      <c r="G277" s="120">
        <f>IF($C277=0,0,$F277/$C277)</f>
        <v/>
      </c>
      <c r="H277" s="119">
        <f>IF($E277=0,0,$F277/$E277)</f>
        <v/>
      </c>
      <c r="I277" s="121">
        <f>IF($B277="","",IF($F277&lt;0,"ZARAR",IF($G277&lt;IsMarjEsik,"RİSK","KÂRLI")))</f>
        <v/>
      </c>
      <c r="J277" s="122" t="n"/>
    </row>
    <row r="278" ht="15" customHeight="1" s="76">
      <c r="A278" s="122" t="n"/>
      <c r="B278" s="122" t="n"/>
      <c r="C278" s="123" t="n"/>
      <c r="D278" s="123" t="n"/>
      <c r="E278" s="124" t="n"/>
      <c r="F278" s="119">
        <f>$C278-$D278</f>
        <v/>
      </c>
      <c r="G278" s="120">
        <f>IF($C278=0,0,$F278/$C278)</f>
        <v/>
      </c>
      <c r="H278" s="119">
        <f>IF($E278=0,0,$F278/$E278)</f>
        <v/>
      </c>
      <c r="I278" s="121">
        <f>IF($B278="","",IF($F278&lt;0,"ZARAR",IF($G278&lt;IsMarjEsik,"RİSK","KÂRLI")))</f>
        <v/>
      </c>
      <c r="J278" s="122" t="n"/>
    </row>
    <row r="279" ht="15" customHeight="1" s="76">
      <c r="A279" s="122" t="n"/>
      <c r="B279" s="122" t="n"/>
      <c r="C279" s="123" t="n"/>
      <c r="D279" s="123" t="n"/>
      <c r="E279" s="124" t="n"/>
      <c r="F279" s="119">
        <f>$C279-$D279</f>
        <v/>
      </c>
      <c r="G279" s="120">
        <f>IF($C279=0,0,$F279/$C279)</f>
        <v/>
      </c>
      <c r="H279" s="119">
        <f>IF($E279=0,0,$F279/$E279)</f>
        <v/>
      </c>
      <c r="I279" s="121">
        <f>IF($B279="","",IF($F279&lt;0,"ZARAR",IF($G279&lt;IsMarjEsik,"RİSK","KÂRLI")))</f>
        <v/>
      </c>
      <c r="J279" s="122" t="n"/>
    </row>
    <row r="280" ht="15" customHeight="1" s="76">
      <c r="A280" s="122" t="n"/>
      <c r="B280" s="122" t="n"/>
      <c r="C280" s="123" t="n"/>
      <c r="D280" s="123" t="n"/>
      <c r="E280" s="124" t="n"/>
      <c r="F280" s="119">
        <f>$C280-$D280</f>
        <v/>
      </c>
      <c r="G280" s="120">
        <f>IF($C280=0,0,$F280/$C280)</f>
        <v/>
      </c>
      <c r="H280" s="119">
        <f>IF($E280=0,0,$F280/$E280)</f>
        <v/>
      </c>
      <c r="I280" s="121">
        <f>IF($B280="","",IF($F280&lt;0,"ZARAR",IF($G280&lt;IsMarjEsik,"RİSK","KÂRLI")))</f>
        <v/>
      </c>
      <c r="J280" s="122" t="n"/>
    </row>
    <row r="281" ht="15" customHeight="1" s="76">
      <c r="A281" s="122" t="n"/>
      <c r="B281" s="122" t="n"/>
      <c r="C281" s="123" t="n"/>
      <c r="D281" s="123" t="n"/>
      <c r="E281" s="124" t="n"/>
      <c r="F281" s="119">
        <f>$C281-$D281</f>
        <v/>
      </c>
      <c r="G281" s="120">
        <f>IF($C281=0,0,$F281/$C281)</f>
        <v/>
      </c>
      <c r="H281" s="119">
        <f>IF($E281=0,0,$F281/$E281)</f>
        <v/>
      </c>
      <c r="I281" s="121">
        <f>IF($B281="","",IF($F281&lt;0,"ZARAR",IF($G281&lt;IsMarjEsik,"RİSK","KÂRLI")))</f>
        <v/>
      </c>
      <c r="J281" s="122" t="n"/>
    </row>
    <row r="282" ht="15" customHeight="1" s="76">
      <c r="A282" s="122" t="n"/>
      <c r="B282" s="122" t="n"/>
      <c r="C282" s="123" t="n"/>
      <c r="D282" s="123" t="n"/>
      <c r="E282" s="124" t="n"/>
      <c r="F282" s="119">
        <f>$C282-$D282</f>
        <v/>
      </c>
      <c r="G282" s="120">
        <f>IF($C282=0,0,$F282/$C282)</f>
        <v/>
      </c>
      <c r="H282" s="119">
        <f>IF($E282=0,0,$F282/$E282)</f>
        <v/>
      </c>
      <c r="I282" s="121">
        <f>IF($B282="","",IF($F282&lt;0,"ZARAR",IF($G282&lt;IsMarjEsik,"RİSK","KÂRLI")))</f>
        <v/>
      </c>
      <c r="J282" s="122" t="n"/>
    </row>
    <row r="283" ht="15" customHeight="1" s="76">
      <c r="A283" s="122" t="n"/>
      <c r="B283" s="122" t="n"/>
      <c r="C283" s="123" t="n"/>
      <c r="D283" s="123" t="n"/>
      <c r="E283" s="124" t="n"/>
      <c r="F283" s="119">
        <f>$C283-$D283</f>
        <v/>
      </c>
      <c r="G283" s="120">
        <f>IF($C283=0,0,$F283/$C283)</f>
        <v/>
      </c>
      <c r="H283" s="119">
        <f>IF($E283=0,0,$F283/$E283)</f>
        <v/>
      </c>
      <c r="I283" s="121">
        <f>IF($B283="","",IF($F283&lt;0,"ZARAR",IF($G283&lt;IsMarjEsik,"RİSK","KÂRLI")))</f>
        <v/>
      </c>
      <c r="J283" s="122" t="n"/>
    </row>
    <row r="284" ht="15" customHeight="1" s="76">
      <c r="A284" s="122" t="n"/>
      <c r="B284" s="122" t="n"/>
      <c r="C284" s="123" t="n"/>
      <c r="D284" s="123" t="n"/>
      <c r="E284" s="124" t="n"/>
      <c r="F284" s="119">
        <f>$C284-$D284</f>
        <v/>
      </c>
      <c r="G284" s="120">
        <f>IF($C284=0,0,$F284/$C284)</f>
        <v/>
      </c>
      <c r="H284" s="119">
        <f>IF($E284=0,0,$F284/$E284)</f>
        <v/>
      </c>
      <c r="I284" s="121">
        <f>IF($B284="","",IF($F284&lt;0,"ZARAR",IF($G284&lt;IsMarjEsik,"RİSK","KÂRLI")))</f>
        <v/>
      </c>
      <c r="J284" s="122" t="n"/>
    </row>
    <row r="285" ht="15" customHeight="1" s="76">
      <c r="A285" s="122" t="n"/>
      <c r="B285" s="122" t="n"/>
      <c r="C285" s="123" t="n"/>
      <c r="D285" s="123" t="n"/>
      <c r="E285" s="124" t="n"/>
      <c r="F285" s="119">
        <f>$C285-$D285</f>
        <v/>
      </c>
      <c r="G285" s="120">
        <f>IF($C285=0,0,$F285/$C285)</f>
        <v/>
      </c>
      <c r="H285" s="119">
        <f>IF($E285=0,0,$F285/$E285)</f>
        <v/>
      </c>
      <c r="I285" s="121">
        <f>IF($B285="","",IF($F285&lt;0,"ZARAR",IF($G285&lt;IsMarjEsik,"RİSK","KÂRLI")))</f>
        <v/>
      </c>
      <c r="J285" s="122" t="n"/>
    </row>
    <row r="286" ht="15" customHeight="1" s="76">
      <c r="A286" s="122" t="n"/>
      <c r="B286" s="122" t="n"/>
      <c r="C286" s="123" t="n"/>
      <c r="D286" s="123" t="n"/>
      <c r="E286" s="124" t="n"/>
      <c r="F286" s="119">
        <f>$C286-$D286</f>
        <v/>
      </c>
      <c r="G286" s="120">
        <f>IF($C286=0,0,$F286/$C286)</f>
        <v/>
      </c>
      <c r="H286" s="119">
        <f>IF($E286=0,0,$F286/$E286)</f>
        <v/>
      </c>
      <c r="I286" s="121">
        <f>IF($B286="","",IF($F286&lt;0,"ZARAR",IF($G286&lt;IsMarjEsik,"RİSK","KÂRLI")))</f>
        <v/>
      </c>
      <c r="J286" s="122" t="n"/>
    </row>
    <row r="287" ht="15" customHeight="1" s="76">
      <c r="A287" s="122" t="n"/>
      <c r="B287" s="122" t="n"/>
      <c r="C287" s="123" t="n"/>
      <c r="D287" s="123" t="n"/>
      <c r="E287" s="124" t="n"/>
      <c r="F287" s="119">
        <f>$C287-$D287</f>
        <v/>
      </c>
      <c r="G287" s="120">
        <f>IF($C287=0,0,$F287/$C287)</f>
        <v/>
      </c>
      <c r="H287" s="119">
        <f>IF($E287=0,0,$F287/$E287)</f>
        <v/>
      </c>
      <c r="I287" s="121">
        <f>IF($B287="","",IF($F287&lt;0,"ZARAR",IF($G287&lt;IsMarjEsik,"RİSK","KÂRLI")))</f>
        <v/>
      </c>
      <c r="J287" s="122" t="n"/>
    </row>
    <row r="288" ht="15" customHeight="1" s="76">
      <c r="A288" s="122" t="n"/>
      <c r="B288" s="122" t="n"/>
      <c r="C288" s="123" t="n"/>
      <c r="D288" s="123" t="n"/>
      <c r="E288" s="124" t="n"/>
      <c r="F288" s="119">
        <f>$C288-$D288</f>
        <v/>
      </c>
      <c r="G288" s="120">
        <f>IF($C288=0,0,$F288/$C288)</f>
        <v/>
      </c>
      <c r="H288" s="119">
        <f>IF($E288=0,0,$F288/$E288)</f>
        <v/>
      </c>
      <c r="I288" s="121">
        <f>IF($B288="","",IF($F288&lt;0,"ZARAR",IF($G288&lt;IsMarjEsik,"RİSK","KÂRLI")))</f>
        <v/>
      </c>
      <c r="J288" s="122" t="n"/>
    </row>
    <row r="289" ht="15" customHeight="1" s="76">
      <c r="A289" s="122" t="n"/>
      <c r="B289" s="122" t="n"/>
      <c r="C289" s="123" t="n"/>
      <c r="D289" s="123" t="n"/>
      <c r="E289" s="124" t="n"/>
      <c r="F289" s="119">
        <f>$C289-$D289</f>
        <v/>
      </c>
      <c r="G289" s="120">
        <f>IF($C289=0,0,$F289/$C289)</f>
        <v/>
      </c>
      <c r="H289" s="119">
        <f>IF($E289=0,0,$F289/$E289)</f>
        <v/>
      </c>
      <c r="I289" s="121">
        <f>IF($B289="","",IF($F289&lt;0,"ZARAR",IF($G289&lt;IsMarjEsik,"RİSK","KÂRLI")))</f>
        <v/>
      </c>
      <c r="J289" s="122" t="n"/>
    </row>
    <row r="290" ht="15" customHeight="1" s="76">
      <c r="A290" s="122" t="n"/>
      <c r="B290" s="122" t="n"/>
      <c r="C290" s="123" t="n"/>
      <c r="D290" s="123" t="n"/>
      <c r="E290" s="124" t="n"/>
      <c r="F290" s="119">
        <f>$C290-$D290</f>
        <v/>
      </c>
      <c r="G290" s="120">
        <f>IF($C290=0,0,$F290/$C290)</f>
        <v/>
      </c>
      <c r="H290" s="119">
        <f>IF($E290=0,0,$F290/$E290)</f>
        <v/>
      </c>
      <c r="I290" s="121">
        <f>IF($B290="","",IF($F290&lt;0,"ZARAR",IF($G290&lt;IsMarjEsik,"RİSK","KÂRLI")))</f>
        <v/>
      </c>
      <c r="J290" s="122" t="n"/>
    </row>
    <row r="291" ht="15" customHeight="1" s="76">
      <c r="A291" s="122" t="n"/>
      <c r="B291" s="122" t="n"/>
      <c r="C291" s="123" t="n"/>
      <c r="D291" s="123" t="n"/>
      <c r="E291" s="124" t="n"/>
      <c r="F291" s="119">
        <f>$C291-$D291</f>
        <v/>
      </c>
      <c r="G291" s="120">
        <f>IF($C291=0,0,$F291/$C291)</f>
        <v/>
      </c>
      <c r="H291" s="119">
        <f>IF($E291=0,0,$F291/$E291)</f>
        <v/>
      </c>
      <c r="I291" s="121">
        <f>IF($B291="","",IF($F291&lt;0,"ZARAR",IF($G291&lt;IsMarjEsik,"RİSK","KÂRLI")))</f>
        <v/>
      </c>
      <c r="J291" s="122" t="n"/>
    </row>
    <row r="292" ht="15" customHeight="1" s="76">
      <c r="A292" s="122" t="n"/>
      <c r="B292" s="122" t="n"/>
      <c r="C292" s="123" t="n"/>
      <c r="D292" s="123" t="n"/>
      <c r="E292" s="124" t="n"/>
      <c r="F292" s="119">
        <f>$C292-$D292</f>
        <v/>
      </c>
      <c r="G292" s="120">
        <f>IF($C292=0,0,$F292/$C292)</f>
        <v/>
      </c>
      <c r="H292" s="119">
        <f>IF($E292=0,0,$F292/$E292)</f>
        <v/>
      </c>
      <c r="I292" s="121">
        <f>IF($B292="","",IF($F292&lt;0,"ZARAR",IF($G292&lt;IsMarjEsik,"RİSK","KÂRLI")))</f>
        <v/>
      </c>
      <c r="J292" s="122" t="n"/>
    </row>
    <row r="293" ht="15" customHeight="1" s="76">
      <c r="A293" s="122" t="n"/>
      <c r="B293" s="122" t="n"/>
      <c r="C293" s="123" t="n"/>
      <c r="D293" s="123" t="n"/>
      <c r="E293" s="124" t="n"/>
      <c r="F293" s="119">
        <f>$C293-$D293</f>
        <v/>
      </c>
      <c r="G293" s="120">
        <f>IF($C293=0,0,$F293/$C293)</f>
        <v/>
      </c>
      <c r="H293" s="119">
        <f>IF($E293=0,0,$F293/$E293)</f>
        <v/>
      </c>
      <c r="I293" s="121">
        <f>IF($B293="","",IF($F293&lt;0,"ZARAR",IF($G293&lt;IsMarjEsik,"RİSK","KÂRLI")))</f>
        <v/>
      </c>
      <c r="J293" s="122" t="n"/>
    </row>
    <row r="294" ht="15" customHeight="1" s="76">
      <c r="A294" s="122" t="n"/>
      <c r="B294" s="122" t="n"/>
      <c r="C294" s="123" t="n"/>
      <c r="D294" s="123" t="n"/>
      <c r="E294" s="124" t="n"/>
      <c r="F294" s="119">
        <f>$C294-$D294</f>
        <v/>
      </c>
      <c r="G294" s="120">
        <f>IF($C294=0,0,$F294/$C294)</f>
        <v/>
      </c>
      <c r="H294" s="119">
        <f>IF($E294=0,0,$F294/$E294)</f>
        <v/>
      </c>
      <c r="I294" s="121">
        <f>IF($B294="","",IF($F294&lt;0,"ZARAR",IF($G294&lt;IsMarjEsik,"RİSK","KÂRLI")))</f>
        <v/>
      </c>
      <c r="J294" s="122" t="n"/>
    </row>
    <row r="295" ht="15" customHeight="1" s="76">
      <c r="A295" s="122" t="n"/>
      <c r="B295" s="122" t="n"/>
      <c r="C295" s="123" t="n"/>
      <c r="D295" s="123" t="n"/>
      <c r="E295" s="124" t="n"/>
      <c r="F295" s="119">
        <f>$C295-$D295</f>
        <v/>
      </c>
      <c r="G295" s="120">
        <f>IF($C295=0,0,$F295/$C295)</f>
        <v/>
      </c>
      <c r="H295" s="119">
        <f>IF($E295=0,0,$F295/$E295)</f>
        <v/>
      </c>
      <c r="I295" s="121">
        <f>IF($B295="","",IF($F295&lt;0,"ZARAR",IF($G295&lt;IsMarjEsik,"RİSK","KÂRLI")))</f>
        <v/>
      </c>
      <c r="J295" s="122" t="n"/>
    </row>
    <row r="296" ht="15" customHeight="1" s="76">
      <c r="A296" s="122" t="n"/>
      <c r="B296" s="122" t="n"/>
      <c r="C296" s="123" t="n"/>
      <c r="D296" s="123" t="n"/>
      <c r="E296" s="124" t="n"/>
      <c r="F296" s="119">
        <f>$C296-$D296</f>
        <v/>
      </c>
      <c r="G296" s="120">
        <f>IF($C296=0,0,$F296/$C296)</f>
        <v/>
      </c>
      <c r="H296" s="119">
        <f>IF($E296=0,0,$F296/$E296)</f>
        <v/>
      </c>
      <c r="I296" s="121">
        <f>IF($B296="","",IF($F296&lt;0,"ZARAR",IF($G296&lt;IsMarjEsik,"RİSK","KÂRLI")))</f>
        <v/>
      </c>
      <c r="J296" s="122" t="n"/>
    </row>
    <row r="297" ht="15" customHeight="1" s="76">
      <c r="A297" s="122" t="n"/>
      <c r="B297" s="122" t="n"/>
      <c r="C297" s="123" t="n"/>
      <c r="D297" s="123" t="n"/>
      <c r="E297" s="124" t="n"/>
      <c r="F297" s="119">
        <f>$C297-$D297</f>
        <v/>
      </c>
      <c r="G297" s="120">
        <f>IF($C297=0,0,$F297/$C297)</f>
        <v/>
      </c>
      <c r="H297" s="119">
        <f>IF($E297=0,0,$F297/$E297)</f>
        <v/>
      </c>
      <c r="I297" s="121">
        <f>IF($B297="","",IF($F297&lt;0,"ZARAR",IF($G297&lt;IsMarjEsik,"RİSK","KÂRLI")))</f>
        <v/>
      </c>
      <c r="J297" s="122" t="n"/>
    </row>
    <row r="298" ht="15" customHeight="1" s="76">
      <c r="A298" s="122" t="n"/>
      <c r="B298" s="122" t="n"/>
      <c r="C298" s="123" t="n"/>
      <c r="D298" s="123" t="n"/>
      <c r="E298" s="124" t="n"/>
      <c r="F298" s="119">
        <f>$C298-$D298</f>
        <v/>
      </c>
      <c r="G298" s="120">
        <f>IF($C298=0,0,$F298/$C298)</f>
        <v/>
      </c>
      <c r="H298" s="119">
        <f>IF($E298=0,0,$F298/$E298)</f>
        <v/>
      </c>
      <c r="I298" s="121">
        <f>IF($B298="","",IF($F298&lt;0,"ZARAR",IF($G298&lt;IsMarjEsik,"RİSK","KÂRLI")))</f>
        <v/>
      </c>
      <c r="J298" s="122" t="n"/>
    </row>
    <row r="299" ht="15" customHeight="1" s="76">
      <c r="A299" s="122" t="n"/>
      <c r="B299" s="122" t="n"/>
      <c r="C299" s="123" t="n"/>
      <c r="D299" s="123" t="n"/>
      <c r="E299" s="124" t="n"/>
      <c r="F299" s="119">
        <f>$C299-$D299</f>
        <v/>
      </c>
      <c r="G299" s="120">
        <f>IF($C299=0,0,$F299/$C299)</f>
        <v/>
      </c>
      <c r="H299" s="119">
        <f>IF($E299=0,0,$F299/$E299)</f>
        <v/>
      </c>
      <c r="I299" s="121">
        <f>IF($B299="","",IF($F299&lt;0,"ZARAR",IF($G299&lt;IsMarjEsik,"RİSK","KÂRLI")))</f>
        <v/>
      </c>
      <c r="J299" s="122" t="n"/>
    </row>
    <row r="300" ht="15" customHeight="1" s="76">
      <c r="A300" s="122" t="n"/>
      <c r="B300" s="122" t="n"/>
      <c r="C300" s="123" t="n"/>
      <c r="D300" s="123" t="n"/>
      <c r="E300" s="124" t="n"/>
      <c r="F300" s="119">
        <f>$C300-$D300</f>
        <v/>
      </c>
      <c r="G300" s="120">
        <f>IF($C300=0,0,$F300/$C300)</f>
        <v/>
      </c>
      <c r="H300" s="119">
        <f>IF($E300=0,0,$F300/$E300)</f>
        <v/>
      </c>
      <c r="I300" s="121">
        <f>IF($B300="","",IF($F300&lt;0,"ZARAR",IF($G300&lt;IsMarjEsik,"RİSK","KÂRLI")))</f>
        <v/>
      </c>
      <c r="J300" s="122" t="n"/>
    </row>
    <row r="301" ht="15" customHeight="1" s="76">
      <c r="A301" s="122" t="n"/>
      <c r="B301" s="122" t="n"/>
      <c r="C301" s="123" t="n"/>
      <c r="D301" s="123" t="n"/>
      <c r="E301" s="124" t="n"/>
      <c r="F301" s="119">
        <f>$C301-$D301</f>
        <v/>
      </c>
      <c r="G301" s="120">
        <f>IF($C301=0,0,$F301/$C301)</f>
        <v/>
      </c>
      <c r="H301" s="119">
        <f>IF($E301=0,0,$F301/$E301)</f>
        <v/>
      </c>
      <c r="I301" s="121">
        <f>IF($B301="","",IF($F301&lt;0,"ZARAR",IF($G301&lt;IsMarjEsik,"RİSK","KÂRLI")))</f>
        <v/>
      </c>
      <c r="J301" s="122" t="n"/>
    </row>
    <row r="302" ht="15" customHeight="1" s="76">
      <c r="A302" s="122" t="n"/>
      <c r="B302" s="122" t="n"/>
      <c r="C302" s="123" t="n"/>
      <c r="D302" s="123" t="n"/>
      <c r="E302" s="124" t="n"/>
      <c r="F302" s="119">
        <f>$C302-$D302</f>
        <v/>
      </c>
      <c r="G302" s="120">
        <f>IF($C302=0,0,$F302/$C302)</f>
        <v/>
      </c>
      <c r="H302" s="119">
        <f>IF($E302=0,0,$F302/$E302)</f>
        <v/>
      </c>
      <c r="I302" s="121">
        <f>IF($B302="","",IF($F302&lt;0,"ZARAR",IF($G302&lt;IsMarjEsik,"RİSK","KÂRLI")))</f>
        <v/>
      </c>
      <c r="J302" s="122" t="n"/>
    </row>
    <row r="303" ht="15" customHeight="1" s="76">
      <c r="A303" s="122" t="n"/>
      <c r="B303" s="122" t="n"/>
      <c r="C303" s="123" t="n"/>
      <c r="D303" s="123" t="n"/>
      <c r="E303" s="124" t="n"/>
      <c r="F303" s="119">
        <f>$C303-$D303</f>
        <v/>
      </c>
      <c r="G303" s="120">
        <f>IF($C303=0,0,$F303/$C303)</f>
        <v/>
      </c>
      <c r="H303" s="119">
        <f>IF($E303=0,0,$F303/$E303)</f>
        <v/>
      </c>
      <c r="I303" s="121">
        <f>IF($B303="","",IF($F303&lt;0,"ZARAR",IF($G303&lt;IsMarjEsik,"RİSK","KÂRLI")))</f>
        <v/>
      </c>
      <c r="J303" s="122" t="n"/>
    </row>
    <row r="304" ht="15" customHeight="1" s="76">
      <c r="A304" s="122" t="n"/>
      <c r="B304" s="122" t="n"/>
      <c r="C304" s="123" t="n"/>
      <c r="D304" s="123" t="n"/>
      <c r="E304" s="124" t="n"/>
      <c r="F304" s="119">
        <f>$C304-$D304</f>
        <v/>
      </c>
      <c r="G304" s="120">
        <f>IF($C304=0,0,$F304/$C304)</f>
        <v/>
      </c>
      <c r="H304" s="119">
        <f>IF($E304=0,0,$F304/$E304)</f>
        <v/>
      </c>
      <c r="I304" s="121">
        <f>IF($B304="","",IF($F304&lt;0,"ZARAR",IF($G304&lt;IsMarjEsik,"RİSK","KÂRLI")))</f>
        <v/>
      </c>
      <c r="J304" s="122" t="n"/>
    </row>
    <row r="305" ht="15" customHeight="1" s="76">
      <c r="A305" s="122" t="n"/>
      <c r="B305" s="122" t="n"/>
      <c r="C305" s="123" t="n"/>
      <c r="D305" s="123" t="n"/>
      <c r="E305" s="124" t="n"/>
      <c r="F305" s="119">
        <f>$C305-$D305</f>
        <v/>
      </c>
      <c r="G305" s="120">
        <f>IF($C305=0,0,$F305/$C305)</f>
        <v/>
      </c>
      <c r="H305" s="119">
        <f>IF($E305=0,0,$F305/$E305)</f>
        <v/>
      </c>
      <c r="I305" s="121">
        <f>IF($B305="","",IF($F305&lt;0,"ZARAR",IF($G305&lt;IsMarjEsik,"RİSK","KÂRLI")))</f>
        <v/>
      </c>
      <c r="J305" s="122" t="n"/>
    </row>
    <row r="306" ht="15" customHeight="1" s="76">
      <c r="A306" s="122" t="n"/>
      <c r="B306" s="122" t="n"/>
      <c r="C306" s="123" t="n"/>
      <c r="D306" s="123" t="n"/>
      <c r="E306" s="124" t="n"/>
      <c r="F306" s="119">
        <f>$C306-$D306</f>
        <v/>
      </c>
      <c r="G306" s="120">
        <f>IF($C306=0,0,$F306/$C306)</f>
        <v/>
      </c>
      <c r="H306" s="119">
        <f>IF($E306=0,0,$F306/$E306)</f>
        <v/>
      </c>
      <c r="I306" s="121">
        <f>IF($B306="","",IF($F306&lt;0,"ZARAR",IF($G306&lt;IsMarjEsik,"RİSK","KÂRLI")))</f>
        <v/>
      </c>
      <c r="J306" s="122" t="n"/>
    </row>
    <row r="307" ht="15" customHeight="1" s="76">
      <c r="A307" s="122" t="n"/>
      <c r="B307" s="122" t="n"/>
      <c r="C307" s="123" t="n"/>
      <c r="D307" s="123" t="n"/>
      <c r="E307" s="124" t="n"/>
      <c r="F307" s="119">
        <f>$C307-$D307</f>
        <v/>
      </c>
      <c r="G307" s="120">
        <f>IF($C307=0,0,$F307/$C307)</f>
        <v/>
      </c>
      <c r="H307" s="119">
        <f>IF($E307=0,0,$F307/$E307)</f>
        <v/>
      </c>
      <c r="I307" s="121">
        <f>IF($B307="","",IF($F307&lt;0,"ZARAR",IF($G307&lt;IsMarjEsik,"RİSK","KÂRLI")))</f>
        <v/>
      </c>
      <c r="J307" s="122" t="n"/>
    </row>
    <row r="308" ht="15" customHeight="1" s="76">
      <c r="A308" s="122" t="n"/>
      <c r="B308" s="122" t="n"/>
      <c r="C308" s="123" t="n"/>
      <c r="D308" s="123" t="n"/>
      <c r="E308" s="124" t="n"/>
      <c r="F308" s="119">
        <f>$C308-$D308</f>
        <v/>
      </c>
      <c r="G308" s="120">
        <f>IF($C308=0,0,$F308/$C308)</f>
        <v/>
      </c>
      <c r="H308" s="119">
        <f>IF($E308=0,0,$F308/$E308)</f>
        <v/>
      </c>
      <c r="I308" s="121">
        <f>IF($B308="","",IF($F308&lt;0,"ZARAR",IF($G308&lt;IsMarjEsik,"RİSK","KÂRLI")))</f>
        <v/>
      </c>
      <c r="J308" s="122" t="n"/>
    </row>
    <row r="309" ht="15" customHeight="1" s="76">
      <c r="A309" s="122" t="n"/>
      <c r="B309" s="122" t="n"/>
      <c r="C309" s="123" t="n"/>
      <c r="D309" s="123" t="n"/>
      <c r="E309" s="124" t="n"/>
      <c r="F309" s="119">
        <f>$C309-$D309</f>
        <v/>
      </c>
      <c r="G309" s="120">
        <f>IF($C309=0,0,$F309/$C309)</f>
        <v/>
      </c>
      <c r="H309" s="119">
        <f>IF($E309=0,0,$F309/$E309)</f>
        <v/>
      </c>
      <c r="I309" s="121">
        <f>IF($B309="","",IF($F309&lt;0,"ZARAR",IF($G309&lt;IsMarjEsik,"RİSK","KÂRLI")))</f>
        <v/>
      </c>
      <c r="J309" s="122" t="n"/>
    </row>
    <row r="310" ht="15" customHeight="1" s="76">
      <c r="A310" s="122" t="n"/>
      <c r="B310" s="122" t="n"/>
      <c r="C310" s="123" t="n"/>
      <c r="D310" s="123" t="n"/>
      <c r="E310" s="124" t="n"/>
      <c r="F310" s="119">
        <f>$C310-$D310</f>
        <v/>
      </c>
      <c r="G310" s="120">
        <f>IF($C310=0,0,$F310/$C310)</f>
        <v/>
      </c>
      <c r="H310" s="119">
        <f>IF($E310=0,0,$F310/$E310)</f>
        <v/>
      </c>
      <c r="I310" s="121">
        <f>IF($B310="","",IF($F310&lt;0,"ZARAR",IF($G310&lt;IsMarjEsik,"RİSK","KÂRLI")))</f>
        <v/>
      </c>
      <c r="J310" s="122" t="n"/>
    </row>
    <row r="311" ht="15" customHeight="1" s="76">
      <c r="A311" s="122" t="n"/>
      <c r="B311" s="122" t="n"/>
      <c r="C311" s="123" t="n"/>
      <c r="D311" s="123" t="n"/>
      <c r="E311" s="124" t="n"/>
      <c r="F311" s="119">
        <f>$C311-$D311</f>
        <v/>
      </c>
      <c r="G311" s="120">
        <f>IF($C311=0,0,$F311/$C311)</f>
        <v/>
      </c>
      <c r="H311" s="119">
        <f>IF($E311=0,0,$F311/$E311)</f>
        <v/>
      </c>
      <c r="I311" s="121">
        <f>IF($B311="","",IF($F311&lt;0,"ZARAR",IF($G311&lt;IsMarjEsik,"RİSK","KÂRLI")))</f>
        <v/>
      </c>
      <c r="J311" s="122" t="n"/>
    </row>
    <row r="312" ht="15" customHeight="1" s="76">
      <c r="A312" s="122" t="n"/>
      <c r="B312" s="122" t="n"/>
      <c r="C312" s="123" t="n"/>
      <c r="D312" s="123" t="n"/>
      <c r="E312" s="124" t="n"/>
      <c r="F312" s="119">
        <f>$C312-$D312</f>
        <v/>
      </c>
      <c r="G312" s="120">
        <f>IF($C312=0,0,$F312/$C312)</f>
        <v/>
      </c>
      <c r="H312" s="119">
        <f>IF($E312=0,0,$F312/$E312)</f>
        <v/>
      </c>
      <c r="I312" s="121">
        <f>IF($B312="","",IF($F312&lt;0,"ZARAR",IF($G312&lt;IsMarjEsik,"RİSK","KÂRLI")))</f>
        <v/>
      </c>
      <c r="J312" s="122" t="n"/>
    </row>
    <row r="313" ht="15" customHeight="1" s="76">
      <c r="A313" s="122" t="n"/>
      <c r="B313" s="122" t="n"/>
      <c r="C313" s="123" t="n"/>
      <c r="D313" s="123" t="n"/>
      <c r="E313" s="124" t="n"/>
      <c r="F313" s="119">
        <f>$C313-$D313</f>
        <v/>
      </c>
      <c r="G313" s="120">
        <f>IF($C313=0,0,$F313/$C313)</f>
        <v/>
      </c>
      <c r="H313" s="119">
        <f>IF($E313=0,0,$F313/$E313)</f>
        <v/>
      </c>
      <c r="I313" s="121">
        <f>IF($B313="","",IF($F313&lt;0,"ZARAR",IF($G313&lt;IsMarjEsik,"RİSK","KÂRLI")))</f>
        <v/>
      </c>
      <c r="J313" s="122" t="n"/>
    </row>
    <row r="314" ht="15" customHeight="1" s="76">
      <c r="A314" s="122" t="n"/>
      <c r="B314" s="122" t="n"/>
      <c r="C314" s="123" t="n"/>
      <c r="D314" s="123" t="n"/>
      <c r="E314" s="124" t="n"/>
      <c r="F314" s="119">
        <f>$C314-$D314</f>
        <v/>
      </c>
      <c r="G314" s="120">
        <f>IF($C314=0,0,$F314/$C314)</f>
        <v/>
      </c>
      <c r="H314" s="119">
        <f>IF($E314=0,0,$F314/$E314)</f>
        <v/>
      </c>
      <c r="I314" s="121">
        <f>IF($B314="","",IF($F314&lt;0,"ZARAR",IF($G314&lt;IsMarjEsik,"RİSK","KÂRLI")))</f>
        <v/>
      </c>
      <c r="J314" s="122" t="n"/>
    </row>
    <row r="315" ht="15" customHeight="1" s="76">
      <c r="A315" s="122" t="n"/>
      <c r="B315" s="122" t="n"/>
      <c r="C315" s="123" t="n"/>
      <c r="D315" s="123" t="n"/>
      <c r="E315" s="124" t="n"/>
      <c r="F315" s="119">
        <f>$C315-$D315</f>
        <v/>
      </c>
      <c r="G315" s="120">
        <f>IF($C315=0,0,$F315/$C315)</f>
        <v/>
      </c>
      <c r="H315" s="119">
        <f>IF($E315=0,0,$F315/$E315)</f>
        <v/>
      </c>
      <c r="I315" s="121">
        <f>IF($B315="","",IF($F315&lt;0,"ZARAR",IF($G315&lt;IsMarjEsik,"RİSK","KÂRLI")))</f>
        <v/>
      </c>
      <c r="J315" s="122" t="n"/>
    </row>
    <row r="316" ht="15" customHeight="1" s="76">
      <c r="A316" s="122" t="n"/>
      <c r="B316" s="122" t="n"/>
      <c r="C316" s="123" t="n"/>
      <c r="D316" s="123" t="n"/>
      <c r="E316" s="124" t="n"/>
      <c r="F316" s="119">
        <f>$C316-$D316</f>
        <v/>
      </c>
      <c r="G316" s="120">
        <f>IF($C316=0,0,$F316/$C316)</f>
        <v/>
      </c>
      <c r="H316" s="119">
        <f>IF($E316=0,0,$F316/$E316)</f>
        <v/>
      </c>
      <c r="I316" s="121">
        <f>IF($B316="","",IF($F316&lt;0,"ZARAR",IF($G316&lt;IsMarjEsik,"RİSK","KÂRLI")))</f>
        <v/>
      </c>
      <c r="J316" s="122" t="n"/>
    </row>
    <row r="317" ht="15" customHeight="1" s="76">
      <c r="A317" s="122" t="n"/>
      <c r="B317" s="122" t="n"/>
      <c r="C317" s="123" t="n"/>
      <c r="D317" s="123" t="n"/>
      <c r="E317" s="124" t="n"/>
      <c r="F317" s="119">
        <f>$C317-$D317</f>
        <v/>
      </c>
      <c r="G317" s="120">
        <f>IF($C317=0,0,$F317/$C317)</f>
        <v/>
      </c>
      <c r="H317" s="119">
        <f>IF($E317=0,0,$F317/$E317)</f>
        <v/>
      </c>
      <c r="I317" s="121">
        <f>IF($B317="","",IF($F317&lt;0,"ZARAR",IF($G317&lt;IsMarjEsik,"RİSK","KÂRLI")))</f>
        <v/>
      </c>
      <c r="J317" s="122" t="n"/>
    </row>
    <row r="318" ht="15" customHeight="1" s="76">
      <c r="A318" s="122" t="n"/>
      <c r="B318" s="122" t="n"/>
      <c r="C318" s="123" t="n"/>
      <c r="D318" s="123" t="n"/>
      <c r="E318" s="124" t="n"/>
      <c r="F318" s="119">
        <f>$C318-$D318</f>
        <v/>
      </c>
      <c r="G318" s="120">
        <f>IF($C318=0,0,$F318/$C318)</f>
        <v/>
      </c>
      <c r="H318" s="119">
        <f>IF($E318=0,0,$F318/$E318)</f>
        <v/>
      </c>
      <c r="I318" s="121">
        <f>IF($B318="","",IF($F318&lt;0,"ZARAR",IF($G318&lt;IsMarjEsik,"RİSK","KÂRLI")))</f>
        <v/>
      </c>
      <c r="J318" s="122" t="n"/>
    </row>
    <row r="319" ht="15" customHeight="1" s="76">
      <c r="A319" s="122" t="n"/>
      <c r="B319" s="122" t="n"/>
      <c r="C319" s="123" t="n"/>
      <c r="D319" s="123" t="n"/>
      <c r="E319" s="124" t="n"/>
      <c r="F319" s="119">
        <f>$C319-$D319</f>
        <v/>
      </c>
      <c r="G319" s="120">
        <f>IF($C319=0,0,$F319/$C319)</f>
        <v/>
      </c>
      <c r="H319" s="119">
        <f>IF($E319=0,0,$F319/$E319)</f>
        <v/>
      </c>
      <c r="I319" s="121">
        <f>IF($B319="","",IF($F319&lt;0,"ZARAR",IF($G319&lt;IsMarjEsik,"RİSK","KÂRLI")))</f>
        <v/>
      </c>
      <c r="J319" s="122" t="n"/>
    </row>
    <row r="320" ht="15" customHeight="1" s="76">
      <c r="A320" s="122" t="n"/>
      <c r="B320" s="122" t="n"/>
      <c r="C320" s="123" t="n"/>
      <c r="D320" s="123" t="n"/>
      <c r="E320" s="124" t="n"/>
      <c r="F320" s="119">
        <f>$C320-$D320</f>
        <v/>
      </c>
      <c r="G320" s="120">
        <f>IF($C320=0,0,$F320/$C320)</f>
        <v/>
      </c>
      <c r="H320" s="119">
        <f>IF($E320=0,0,$F320/$E320)</f>
        <v/>
      </c>
      <c r="I320" s="121">
        <f>IF($B320="","",IF($F320&lt;0,"ZARAR",IF($G320&lt;IsMarjEsik,"RİSK","KÂRLI")))</f>
        <v/>
      </c>
      <c r="J320" s="122" t="n"/>
    </row>
    <row r="321" ht="15" customHeight="1" s="76">
      <c r="A321" s="122" t="n"/>
      <c r="B321" s="122" t="n"/>
      <c r="C321" s="123" t="n"/>
      <c r="D321" s="123" t="n"/>
      <c r="E321" s="124" t="n"/>
      <c r="F321" s="119">
        <f>$C321-$D321</f>
        <v/>
      </c>
      <c r="G321" s="120">
        <f>IF($C321=0,0,$F321/$C321)</f>
        <v/>
      </c>
      <c r="H321" s="119">
        <f>IF($E321=0,0,$F321/$E321)</f>
        <v/>
      </c>
      <c r="I321" s="121">
        <f>IF($B321="","",IF($F321&lt;0,"ZARAR",IF($G321&lt;IsMarjEsik,"RİSK","KÂRLI")))</f>
        <v/>
      </c>
      <c r="J321" s="122" t="n"/>
    </row>
    <row r="322" ht="15" customHeight="1" s="76">
      <c r="A322" s="122" t="n"/>
      <c r="B322" s="122" t="n"/>
      <c r="C322" s="123" t="n"/>
      <c r="D322" s="123" t="n"/>
      <c r="E322" s="124" t="n"/>
      <c r="F322" s="119">
        <f>$C322-$D322</f>
        <v/>
      </c>
      <c r="G322" s="120">
        <f>IF($C322=0,0,$F322/$C322)</f>
        <v/>
      </c>
      <c r="H322" s="119">
        <f>IF($E322=0,0,$F322/$E322)</f>
        <v/>
      </c>
      <c r="I322" s="121">
        <f>IF($B322="","",IF($F322&lt;0,"ZARAR",IF($G322&lt;IsMarjEsik,"RİSK","KÂRLI")))</f>
        <v/>
      </c>
      <c r="J322" s="122" t="n"/>
    </row>
    <row r="323" ht="15" customHeight="1" s="76">
      <c r="A323" s="122" t="n"/>
      <c r="B323" s="122" t="n"/>
      <c r="C323" s="123" t="n"/>
      <c r="D323" s="123" t="n"/>
      <c r="E323" s="124" t="n"/>
      <c r="F323" s="119">
        <f>$C323-$D323</f>
        <v/>
      </c>
      <c r="G323" s="120">
        <f>IF($C323=0,0,$F323/$C323)</f>
        <v/>
      </c>
      <c r="H323" s="119">
        <f>IF($E323=0,0,$F323/$E323)</f>
        <v/>
      </c>
      <c r="I323" s="121">
        <f>IF($B323="","",IF($F323&lt;0,"ZARAR",IF($G323&lt;IsMarjEsik,"RİSK","KÂRLI")))</f>
        <v/>
      </c>
      <c r="J323" s="122" t="n"/>
    </row>
    <row r="324" ht="15" customHeight="1" s="76">
      <c r="A324" s="122" t="n"/>
      <c r="B324" s="122" t="n"/>
      <c r="C324" s="123" t="n"/>
      <c r="D324" s="123" t="n"/>
      <c r="E324" s="124" t="n"/>
      <c r="F324" s="119">
        <f>$C324-$D324</f>
        <v/>
      </c>
      <c r="G324" s="120">
        <f>IF($C324=0,0,$F324/$C324)</f>
        <v/>
      </c>
      <c r="H324" s="119">
        <f>IF($E324=0,0,$F324/$E324)</f>
        <v/>
      </c>
      <c r="I324" s="121">
        <f>IF($B324="","",IF($F324&lt;0,"ZARAR",IF($G324&lt;IsMarjEsik,"RİSK","KÂRLI")))</f>
        <v/>
      </c>
      <c r="J324" s="122" t="n"/>
    </row>
    <row r="325" ht="15" customHeight="1" s="76">
      <c r="A325" s="122" t="n"/>
      <c r="B325" s="122" t="n"/>
      <c r="C325" s="123" t="n"/>
      <c r="D325" s="123" t="n"/>
      <c r="E325" s="124" t="n"/>
      <c r="F325" s="119">
        <f>$C325-$D325</f>
        <v/>
      </c>
      <c r="G325" s="120">
        <f>IF($C325=0,0,$F325/$C325)</f>
        <v/>
      </c>
      <c r="H325" s="119">
        <f>IF($E325=0,0,$F325/$E325)</f>
        <v/>
      </c>
      <c r="I325" s="121">
        <f>IF($B325="","",IF($F325&lt;0,"ZARAR",IF($G325&lt;IsMarjEsik,"RİSK","KÂRLI")))</f>
        <v/>
      </c>
      <c r="J325" s="122" t="n"/>
    </row>
    <row r="326" ht="15" customHeight="1" s="76">
      <c r="A326" s="122" t="n"/>
      <c r="B326" s="122" t="n"/>
      <c r="C326" s="123" t="n"/>
      <c r="D326" s="123" t="n"/>
      <c r="E326" s="124" t="n"/>
      <c r="F326" s="119">
        <f>$C326-$D326</f>
        <v/>
      </c>
      <c r="G326" s="120">
        <f>IF($C326=0,0,$F326/$C326)</f>
        <v/>
      </c>
      <c r="H326" s="119">
        <f>IF($E326=0,0,$F326/$E326)</f>
        <v/>
      </c>
      <c r="I326" s="121">
        <f>IF($B326="","",IF($F326&lt;0,"ZARAR",IF($G326&lt;IsMarjEsik,"RİSK","KÂRLI")))</f>
        <v/>
      </c>
      <c r="J326" s="122" t="n"/>
    </row>
    <row r="327" ht="15" customHeight="1" s="76">
      <c r="A327" s="122" t="n"/>
      <c r="B327" s="122" t="n"/>
      <c r="C327" s="123" t="n"/>
      <c r="D327" s="123" t="n"/>
      <c r="E327" s="124" t="n"/>
      <c r="F327" s="119">
        <f>$C327-$D327</f>
        <v/>
      </c>
      <c r="G327" s="120">
        <f>IF($C327=0,0,$F327/$C327)</f>
        <v/>
      </c>
      <c r="H327" s="119">
        <f>IF($E327=0,0,$F327/$E327)</f>
        <v/>
      </c>
      <c r="I327" s="121">
        <f>IF($B327="","",IF($F327&lt;0,"ZARAR",IF($G327&lt;IsMarjEsik,"RİSK","KÂRLI")))</f>
        <v/>
      </c>
      <c r="J327" s="122" t="n"/>
    </row>
    <row r="328" ht="15" customHeight="1" s="76">
      <c r="A328" s="122" t="n"/>
      <c r="B328" s="122" t="n"/>
      <c r="C328" s="123" t="n"/>
      <c r="D328" s="123" t="n"/>
      <c r="E328" s="124" t="n"/>
      <c r="F328" s="119">
        <f>$C328-$D328</f>
        <v/>
      </c>
      <c r="G328" s="120">
        <f>IF($C328=0,0,$F328/$C328)</f>
        <v/>
      </c>
      <c r="H328" s="119">
        <f>IF($E328=0,0,$F328/$E328)</f>
        <v/>
      </c>
      <c r="I328" s="121">
        <f>IF($B328="","",IF($F328&lt;0,"ZARAR",IF($G328&lt;IsMarjEsik,"RİSK","KÂRLI")))</f>
        <v/>
      </c>
      <c r="J328" s="122" t="n"/>
    </row>
    <row r="329" ht="15" customHeight="1" s="76">
      <c r="A329" s="122" t="n"/>
      <c r="B329" s="122" t="n"/>
      <c r="C329" s="123" t="n"/>
      <c r="D329" s="123" t="n"/>
      <c r="E329" s="124" t="n"/>
      <c r="F329" s="119">
        <f>$C329-$D329</f>
        <v/>
      </c>
      <c r="G329" s="120">
        <f>IF($C329=0,0,$F329/$C329)</f>
        <v/>
      </c>
      <c r="H329" s="119">
        <f>IF($E329=0,0,$F329/$E329)</f>
        <v/>
      </c>
      <c r="I329" s="121">
        <f>IF($B329="","",IF($F329&lt;0,"ZARAR",IF($G329&lt;IsMarjEsik,"RİSK","KÂRLI")))</f>
        <v/>
      </c>
      <c r="J329" s="122" t="n"/>
    </row>
    <row r="330" ht="15" customHeight="1" s="76">
      <c r="A330" s="122" t="n"/>
      <c r="B330" s="122" t="n"/>
      <c r="C330" s="123" t="n"/>
      <c r="D330" s="123" t="n"/>
      <c r="E330" s="124" t="n"/>
      <c r="F330" s="119">
        <f>$C330-$D330</f>
        <v/>
      </c>
      <c r="G330" s="120">
        <f>IF($C330=0,0,$F330/$C330)</f>
        <v/>
      </c>
      <c r="H330" s="119">
        <f>IF($E330=0,0,$F330/$E330)</f>
        <v/>
      </c>
      <c r="I330" s="121">
        <f>IF($B330="","",IF($F330&lt;0,"ZARAR",IF($G330&lt;IsMarjEsik,"RİSK","KÂRLI")))</f>
        <v/>
      </c>
      <c r="J330" s="122" t="n"/>
    </row>
    <row r="331" ht="15" customHeight="1" s="76">
      <c r="A331" s="122" t="n"/>
      <c r="B331" s="122" t="n"/>
      <c r="C331" s="123" t="n"/>
      <c r="D331" s="123" t="n"/>
      <c r="E331" s="124" t="n"/>
      <c r="F331" s="119">
        <f>$C331-$D331</f>
        <v/>
      </c>
      <c r="G331" s="120">
        <f>IF($C331=0,0,$F331/$C331)</f>
        <v/>
      </c>
      <c r="H331" s="119">
        <f>IF($E331=0,0,$F331/$E331)</f>
        <v/>
      </c>
      <c r="I331" s="121">
        <f>IF($B331="","",IF($F331&lt;0,"ZARAR",IF($G331&lt;IsMarjEsik,"RİSK","KÂRLI")))</f>
        <v/>
      </c>
      <c r="J331" s="122" t="n"/>
    </row>
    <row r="332" ht="15" customHeight="1" s="76">
      <c r="A332" s="122" t="n"/>
      <c r="B332" s="122" t="n"/>
      <c r="C332" s="123" t="n"/>
      <c r="D332" s="123" t="n"/>
      <c r="E332" s="124" t="n"/>
      <c r="F332" s="119">
        <f>$C332-$D332</f>
        <v/>
      </c>
      <c r="G332" s="120">
        <f>IF($C332=0,0,$F332/$C332)</f>
        <v/>
      </c>
      <c r="H332" s="119">
        <f>IF($E332=0,0,$F332/$E332)</f>
        <v/>
      </c>
      <c r="I332" s="121">
        <f>IF($B332="","",IF($F332&lt;0,"ZARAR",IF($G332&lt;IsMarjEsik,"RİSK","KÂRLI")))</f>
        <v/>
      </c>
      <c r="J332" s="122" t="n"/>
    </row>
    <row r="333" ht="15" customHeight="1" s="76">
      <c r="A333" s="122" t="n"/>
      <c r="B333" s="122" t="n"/>
      <c r="C333" s="123" t="n"/>
      <c r="D333" s="123" t="n"/>
      <c r="E333" s="124" t="n"/>
      <c r="F333" s="119">
        <f>$C333-$D333</f>
        <v/>
      </c>
      <c r="G333" s="120">
        <f>IF($C333=0,0,$F333/$C333)</f>
        <v/>
      </c>
      <c r="H333" s="119">
        <f>IF($E333=0,0,$F333/$E333)</f>
        <v/>
      </c>
      <c r="I333" s="121">
        <f>IF($B333="","",IF($F333&lt;0,"ZARAR",IF($G333&lt;IsMarjEsik,"RİSK","KÂRLI")))</f>
        <v/>
      </c>
      <c r="J333" s="122" t="n"/>
    </row>
    <row r="334" ht="15" customHeight="1" s="76">
      <c r="A334" s="122" t="n"/>
      <c r="B334" s="122" t="n"/>
      <c r="C334" s="123" t="n"/>
      <c r="D334" s="123" t="n"/>
      <c r="E334" s="124" t="n"/>
      <c r="F334" s="119">
        <f>$C334-$D334</f>
        <v/>
      </c>
      <c r="G334" s="120">
        <f>IF($C334=0,0,$F334/$C334)</f>
        <v/>
      </c>
      <c r="H334" s="119">
        <f>IF($E334=0,0,$F334/$E334)</f>
        <v/>
      </c>
      <c r="I334" s="121">
        <f>IF($B334="","",IF($F334&lt;0,"ZARAR",IF($G334&lt;IsMarjEsik,"RİSK","KÂRLI")))</f>
        <v/>
      </c>
      <c r="J334" s="122" t="n"/>
    </row>
    <row r="335" ht="15" customHeight="1" s="76">
      <c r="A335" s="122" t="n"/>
      <c r="B335" s="122" t="n"/>
      <c r="C335" s="123" t="n"/>
      <c r="D335" s="123" t="n"/>
      <c r="E335" s="124" t="n"/>
      <c r="F335" s="119">
        <f>$C335-$D335</f>
        <v/>
      </c>
      <c r="G335" s="120">
        <f>IF($C335=0,0,$F335/$C335)</f>
        <v/>
      </c>
      <c r="H335" s="119">
        <f>IF($E335=0,0,$F335/$E335)</f>
        <v/>
      </c>
      <c r="I335" s="121">
        <f>IF($B335="","",IF($F335&lt;0,"ZARAR",IF($G335&lt;IsMarjEsik,"RİSK","KÂRLI")))</f>
        <v/>
      </c>
      <c r="J335" s="122" t="n"/>
    </row>
    <row r="336" ht="15" customHeight="1" s="76">
      <c r="A336" s="122" t="n"/>
      <c r="B336" s="122" t="n"/>
      <c r="C336" s="123" t="n"/>
      <c r="D336" s="123" t="n"/>
      <c r="E336" s="124" t="n"/>
      <c r="F336" s="119">
        <f>$C336-$D336</f>
        <v/>
      </c>
      <c r="G336" s="120">
        <f>IF($C336=0,0,$F336/$C336)</f>
        <v/>
      </c>
      <c r="H336" s="119">
        <f>IF($E336=0,0,$F336/$E336)</f>
        <v/>
      </c>
      <c r="I336" s="121">
        <f>IF($B336="","",IF($F336&lt;0,"ZARAR",IF($G336&lt;IsMarjEsik,"RİSK","KÂRLI")))</f>
        <v/>
      </c>
      <c r="J336" s="122" t="n"/>
    </row>
    <row r="337" ht="15" customHeight="1" s="76">
      <c r="A337" s="122" t="n"/>
      <c r="B337" s="122" t="n"/>
      <c r="C337" s="123" t="n"/>
      <c r="D337" s="123" t="n"/>
      <c r="E337" s="124" t="n"/>
      <c r="F337" s="119">
        <f>$C337-$D337</f>
        <v/>
      </c>
      <c r="G337" s="120">
        <f>IF($C337=0,0,$F337/$C337)</f>
        <v/>
      </c>
      <c r="H337" s="119">
        <f>IF($E337=0,0,$F337/$E337)</f>
        <v/>
      </c>
      <c r="I337" s="121">
        <f>IF($B337="","",IF($F337&lt;0,"ZARAR",IF($G337&lt;IsMarjEsik,"RİSK","KÂRLI")))</f>
        <v/>
      </c>
      <c r="J337" s="122" t="n"/>
    </row>
    <row r="338" ht="15" customHeight="1" s="76">
      <c r="A338" s="122" t="n"/>
      <c r="B338" s="122" t="n"/>
      <c r="C338" s="123" t="n"/>
      <c r="D338" s="123" t="n"/>
      <c r="E338" s="124" t="n"/>
      <c r="F338" s="119">
        <f>$C338-$D338</f>
        <v/>
      </c>
      <c r="G338" s="120">
        <f>IF($C338=0,0,$F338/$C338)</f>
        <v/>
      </c>
      <c r="H338" s="119">
        <f>IF($E338=0,0,$F338/$E338)</f>
        <v/>
      </c>
      <c r="I338" s="121">
        <f>IF($B338="","",IF($F338&lt;0,"ZARAR",IF($G338&lt;IsMarjEsik,"RİSK","KÂRLI")))</f>
        <v/>
      </c>
      <c r="J338" s="122" t="n"/>
    </row>
    <row r="339" ht="15" customHeight="1" s="76">
      <c r="A339" s="122" t="n"/>
      <c r="B339" s="122" t="n"/>
      <c r="C339" s="123" t="n"/>
      <c r="D339" s="123" t="n"/>
      <c r="E339" s="124" t="n"/>
      <c r="F339" s="119">
        <f>$C339-$D339</f>
        <v/>
      </c>
      <c r="G339" s="120">
        <f>IF($C339=0,0,$F339/$C339)</f>
        <v/>
      </c>
      <c r="H339" s="119">
        <f>IF($E339=0,0,$F339/$E339)</f>
        <v/>
      </c>
      <c r="I339" s="121">
        <f>IF($B339="","",IF($F339&lt;0,"ZARAR",IF($G339&lt;IsMarjEsik,"RİSK","KÂRLI")))</f>
        <v/>
      </c>
      <c r="J339" s="122" t="n"/>
    </row>
    <row r="340" ht="15" customHeight="1" s="76">
      <c r="A340" s="122" t="n"/>
      <c r="B340" s="122" t="n"/>
      <c r="C340" s="123" t="n"/>
      <c r="D340" s="123" t="n"/>
      <c r="E340" s="124" t="n"/>
      <c r="F340" s="119">
        <f>$C340-$D340</f>
        <v/>
      </c>
      <c r="G340" s="120">
        <f>IF($C340=0,0,$F340/$C340)</f>
        <v/>
      </c>
      <c r="H340" s="119">
        <f>IF($E340=0,0,$F340/$E340)</f>
        <v/>
      </c>
      <c r="I340" s="121">
        <f>IF($B340="","",IF($F340&lt;0,"ZARAR",IF($G340&lt;IsMarjEsik,"RİSK","KÂRLI")))</f>
        <v/>
      </c>
      <c r="J340" s="122" t="n"/>
    </row>
    <row r="341" ht="15" customHeight="1" s="76">
      <c r="A341" s="122" t="n"/>
      <c r="B341" s="122" t="n"/>
      <c r="C341" s="123" t="n"/>
      <c r="D341" s="123" t="n"/>
      <c r="E341" s="124" t="n"/>
      <c r="F341" s="119">
        <f>$C341-$D341</f>
        <v/>
      </c>
      <c r="G341" s="120">
        <f>IF($C341=0,0,$F341/$C341)</f>
        <v/>
      </c>
      <c r="H341" s="119">
        <f>IF($E341=0,0,$F341/$E341)</f>
        <v/>
      </c>
      <c r="I341" s="121">
        <f>IF($B341="","",IF($F341&lt;0,"ZARAR",IF($G341&lt;IsMarjEsik,"RİSK","KÂRLI")))</f>
        <v/>
      </c>
      <c r="J341" s="122" t="n"/>
    </row>
    <row r="342" ht="15" customHeight="1" s="76">
      <c r="A342" s="122" t="n"/>
      <c r="B342" s="122" t="n"/>
      <c r="C342" s="123" t="n"/>
      <c r="D342" s="123" t="n"/>
      <c r="E342" s="124" t="n"/>
      <c r="F342" s="119">
        <f>$C342-$D342</f>
        <v/>
      </c>
      <c r="G342" s="120">
        <f>IF($C342=0,0,$F342/$C342)</f>
        <v/>
      </c>
      <c r="H342" s="119">
        <f>IF($E342=0,0,$F342/$E342)</f>
        <v/>
      </c>
      <c r="I342" s="121">
        <f>IF($B342="","",IF($F342&lt;0,"ZARAR",IF($G342&lt;IsMarjEsik,"RİSK","KÂRLI")))</f>
        <v/>
      </c>
      <c r="J342" s="122" t="n"/>
    </row>
    <row r="343" ht="15" customHeight="1" s="76">
      <c r="A343" s="122" t="n"/>
      <c r="B343" s="122" t="n"/>
      <c r="C343" s="123" t="n"/>
      <c r="D343" s="123" t="n"/>
      <c r="E343" s="124" t="n"/>
      <c r="F343" s="119">
        <f>$C343-$D343</f>
        <v/>
      </c>
      <c r="G343" s="120">
        <f>IF($C343=0,0,$F343/$C343)</f>
        <v/>
      </c>
      <c r="H343" s="119">
        <f>IF($E343=0,0,$F343/$E343)</f>
        <v/>
      </c>
      <c r="I343" s="121">
        <f>IF($B343="","",IF($F343&lt;0,"ZARAR",IF($G343&lt;IsMarjEsik,"RİSK","KÂRLI")))</f>
        <v/>
      </c>
      <c r="J343" s="122" t="n"/>
    </row>
    <row r="344" ht="15" customHeight="1" s="76">
      <c r="A344" s="122" t="n"/>
      <c r="B344" s="122" t="n"/>
      <c r="C344" s="123" t="n"/>
      <c r="D344" s="123" t="n"/>
      <c r="E344" s="124" t="n"/>
      <c r="F344" s="119">
        <f>$C344-$D344</f>
        <v/>
      </c>
      <c r="G344" s="120">
        <f>IF($C344=0,0,$F344/$C344)</f>
        <v/>
      </c>
      <c r="H344" s="119">
        <f>IF($E344=0,0,$F344/$E344)</f>
        <v/>
      </c>
      <c r="I344" s="121">
        <f>IF($B344="","",IF($F344&lt;0,"ZARAR",IF($G344&lt;IsMarjEsik,"RİSK","KÂRLI")))</f>
        <v/>
      </c>
      <c r="J344" s="122" t="n"/>
    </row>
    <row r="345" ht="15" customHeight="1" s="76">
      <c r="A345" s="122" t="n"/>
      <c r="B345" s="122" t="n"/>
      <c r="C345" s="123" t="n"/>
      <c r="D345" s="123" t="n"/>
      <c r="E345" s="124" t="n"/>
      <c r="F345" s="119">
        <f>$C345-$D345</f>
        <v/>
      </c>
      <c r="G345" s="120">
        <f>IF($C345=0,0,$F345/$C345)</f>
        <v/>
      </c>
      <c r="H345" s="119">
        <f>IF($E345=0,0,$F345/$E345)</f>
        <v/>
      </c>
      <c r="I345" s="121">
        <f>IF($B345="","",IF($F345&lt;0,"ZARAR",IF($G345&lt;IsMarjEsik,"RİSK","KÂRLI")))</f>
        <v/>
      </c>
      <c r="J345" s="122" t="n"/>
    </row>
    <row r="346" ht="15" customHeight="1" s="76">
      <c r="A346" s="122" t="n"/>
      <c r="B346" s="122" t="n"/>
      <c r="C346" s="123" t="n"/>
      <c r="D346" s="123" t="n"/>
      <c r="E346" s="124" t="n"/>
      <c r="F346" s="119">
        <f>$C346-$D346</f>
        <v/>
      </c>
      <c r="G346" s="120">
        <f>IF($C346=0,0,$F346/$C346)</f>
        <v/>
      </c>
      <c r="H346" s="119">
        <f>IF($E346=0,0,$F346/$E346)</f>
        <v/>
      </c>
      <c r="I346" s="121">
        <f>IF($B346="","",IF($F346&lt;0,"ZARAR",IF($G346&lt;IsMarjEsik,"RİSK","KÂRLI")))</f>
        <v/>
      </c>
      <c r="J346" s="122" t="n"/>
    </row>
    <row r="347" ht="15" customHeight="1" s="76">
      <c r="A347" s="122" t="n"/>
      <c r="B347" s="122" t="n"/>
      <c r="C347" s="123" t="n"/>
      <c r="D347" s="123" t="n"/>
      <c r="E347" s="124" t="n"/>
      <c r="F347" s="119">
        <f>$C347-$D347</f>
        <v/>
      </c>
      <c r="G347" s="120">
        <f>IF($C347=0,0,$F347/$C347)</f>
        <v/>
      </c>
      <c r="H347" s="119">
        <f>IF($E347=0,0,$F347/$E347)</f>
        <v/>
      </c>
      <c r="I347" s="121">
        <f>IF($B347="","",IF($F347&lt;0,"ZARAR",IF($G347&lt;IsMarjEsik,"RİSK","KÂRLI")))</f>
        <v/>
      </c>
      <c r="J347" s="122" t="n"/>
    </row>
    <row r="348" ht="15" customHeight="1" s="76">
      <c r="A348" s="122" t="n"/>
      <c r="B348" s="122" t="n"/>
      <c r="C348" s="123" t="n"/>
      <c r="D348" s="123" t="n"/>
      <c r="E348" s="124" t="n"/>
      <c r="F348" s="119">
        <f>$C348-$D348</f>
        <v/>
      </c>
      <c r="G348" s="120">
        <f>IF($C348=0,0,$F348/$C348)</f>
        <v/>
      </c>
      <c r="H348" s="119">
        <f>IF($E348=0,0,$F348/$E348)</f>
        <v/>
      </c>
      <c r="I348" s="121">
        <f>IF($B348="","",IF($F348&lt;0,"ZARAR",IF($G348&lt;IsMarjEsik,"RİSK","KÂRLI")))</f>
        <v/>
      </c>
      <c r="J348" s="122" t="n"/>
    </row>
    <row r="349" ht="15" customHeight="1" s="76">
      <c r="A349" s="122" t="n"/>
      <c r="B349" s="122" t="n"/>
      <c r="C349" s="123" t="n"/>
      <c r="D349" s="123" t="n"/>
      <c r="E349" s="124" t="n"/>
      <c r="F349" s="119">
        <f>$C349-$D349</f>
        <v/>
      </c>
      <c r="G349" s="120">
        <f>IF($C349=0,0,$F349/$C349)</f>
        <v/>
      </c>
      <c r="H349" s="119">
        <f>IF($E349=0,0,$F349/$E349)</f>
        <v/>
      </c>
      <c r="I349" s="121">
        <f>IF($B349="","",IF($F349&lt;0,"ZARAR",IF($G349&lt;IsMarjEsik,"RİSK","KÂRLI")))</f>
        <v/>
      </c>
      <c r="J349" s="122" t="n"/>
    </row>
    <row r="350" ht="15" customHeight="1" s="76">
      <c r="A350" s="122" t="n"/>
      <c r="B350" s="122" t="n"/>
      <c r="C350" s="123" t="n"/>
      <c r="D350" s="123" t="n"/>
      <c r="E350" s="124" t="n"/>
      <c r="F350" s="119">
        <f>$C350-$D350</f>
        <v/>
      </c>
      <c r="G350" s="120">
        <f>IF($C350=0,0,$F350/$C350)</f>
        <v/>
      </c>
      <c r="H350" s="119">
        <f>IF($E350=0,0,$F350/$E350)</f>
        <v/>
      </c>
      <c r="I350" s="121">
        <f>IF($B350="","",IF($F350&lt;0,"ZARAR",IF($G350&lt;IsMarjEsik,"RİSK","KÂRLI")))</f>
        <v/>
      </c>
      <c r="J350" s="122" t="n"/>
    </row>
    <row r="351" ht="15" customHeight="1" s="76">
      <c r="A351" s="122" t="n"/>
      <c r="B351" s="122" t="n"/>
      <c r="C351" s="123" t="n"/>
      <c r="D351" s="123" t="n"/>
      <c r="E351" s="124" t="n"/>
      <c r="F351" s="119">
        <f>$C351-$D351</f>
        <v/>
      </c>
      <c r="G351" s="120">
        <f>IF($C351=0,0,$F351/$C351)</f>
        <v/>
      </c>
      <c r="H351" s="119">
        <f>IF($E351=0,0,$F351/$E351)</f>
        <v/>
      </c>
      <c r="I351" s="121">
        <f>IF($B351="","",IF($F351&lt;0,"ZARAR",IF($G351&lt;IsMarjEsik,"RİSK","KÂRLI")))</f>
        <v/>
      </c>
      <c r="J351" s="122" t="n"/>
    </row>
    <row r="352" ht="15" customHeight="1" s="76">
      <c r="A352" s="122" t="n"/>
      <c r="B352" s="122" t="n"/>
      <c r="C352" s="123" t="n"/>
      <c r="D352" s="123" t="n"/>
      <c r="E352" s="124" t="n"/>
      <c r="F352" s="119">
        <f>$C352-$D352</f>
        <v/>
      </c>
      <c r="G352" s="120">
        <f>IF($C352=0,0,$F352/$C352)</f>
        <v/>
      </c>
      <c r="H352" s="119">
        <f>IF($E352=0,0,$F352/$E352)</f>
        <v/>
      </c>
      <c r="I352" s="121">
        <f>IF($B352="","",IF($F352&lt;0,"ZARAR",IF($G352&lt;IsMarjEsik,"RİSK","KÂRLI")))</f>
        <v/>
      </c>
      <c r="J352" s="122" t="n"/>
    </row>
    <row r="353" ht="15" customHeight="1" s="76">
      <c r="A353" s="122" t="n"/>
      <c r="B353" s="122" t="n"/>
      <c r="C353" s="123" t="n"/>
      <c r="D353" s="123" t="n"/>
      <c r="E353" s="124" t="n"/>
      <c r="F353" s="119">
        <f>$C353-$D353</f>
        <v/>
      </c>
      <c r="G353" s="120">
        <f>IF($C353=0,0,$F353/$C353)</f>
        <v/>
      </c>
      <c r="H353" s="119">
        <f>IF($E353=0,0,$F353/$E353)</f>
        <v/>
      </c>
      <c r="I353" s="121">
        <f>IF($B353="","",IF($F353&lt;0,"ZARAR",IF($G353&lt;IsMarjEsik,"RİSK","KÂRLI")))</f>
        <v/>
      </c>
      <c r="J353" s="122" t="n"/>
    </row>
    <row r="354" ht="15" customHeight="1" s="76">
      <c r="A354" s="122" t="n"/>
      <c r="B354" s="122" t="n"/>
      <c r="C354" s="123" t="n"/>
      <c r="D354" s="123" t="n"/>
      <c r="E354" s="124" t="n"/>
      <c r="F354" s="119">
        <f>$C354-$D354</f>
        <v/>
      </c>
      <c r="G354" s="120">
        <f>IF($C354=0,0,$F354/$C354)</f>
        <v/>
      </c>
      <c r="H354" s="119">
        <f>IF($E354=0,0,$F354/$E354)</f>
        <v/>
      </c>
      <c r="I354" s="121">
        <f>IF($B354="","",IF($F354&lt;0,"ZARAR",IF($G354&lt;IsMarjEsik,"RİSK","KÂRLI")))</f>
        <v/>
      </c>
      <c r="J354" s="122" t="n"/>
    </row>
    <row r="355" ht="15" customHeight="1" s="76">
      <c r="A355" s="122" t="n"/>
      <c r="B355" s="122" t="n"/>
      <c r="C355" s="123" t="n"/>
      <c r="D355" s="123" t="n"/>
      <c r="E355" s="124" t="n"/>
      <c r="F355" s="119">
        <f>$C355-$D355</f>
        <v/>
      </c>
      <c r="G355" s="120">
        <f>IF($C355=0,0,$F355/$C355)</f>
        <v/>
      </c>
      <c r="H355" s="119">
        <f>IF($E355=0,0,$F355/$E355)</f>
        <v/>
      </c>
      <c r="I355" s="121">
        <f>IF($B355="","",IF($F355&lt;0,"ZARAR",IF($G355&lt;IsMarjEsik,"RİSK","KÂRLI")))</f>
        <v/>
      </c>
      <c r="J355" s="122" t="n"/>
    </row>
    <row r="356" ht="15" customHeight="1" s="76">
      <c r="A356" s="122" t="n"/>
      <c r="B356" s="122" t="n"/>
      <c r="C356" s="123" t="n"/>
      <c r="D356" s="123" t="n"/>
      <c r="E356" s="124" t="n"/>
      <c r="F356" s="119">
        <f>$C356-$D356</f>
        <v/>
      </c>
      <c r="G356" s="120">
        <f>IF($C356=0,0,$F356/$C356)</f>
        <v/>
      </c>
      <c r="H356" s="119">
        <f>IF($E356=0,0,$F356/$E356)</f>
        <v/>
      </c>
      <c r="I356" s="121">
        <f>IF($B356="","",IF($F356&lt;0,"ZARAR",IF($G356&lt;IsMarjEsik,"RİSK","KÂRLI")))</f>
        <v/>
      </c>
      <c r="J356" s="122" t="n"/>
    </row>
    <row r="357" ht="15" customHeight="1" s="76">
      <c r="A357" s="122" t="n"/>
      <c r="B357" s="122" t="n"/>
      <c r="C357" s="123" t="n"/>
      <c r="D357" s="123" t="n"/>
      <c r="E357" s="124" t="n"/>
      <c r="F357" s="119">
        <f>$C357-$D357</f>
        <v/>
      </c>
      <c r="G357" s="120">
        <f>IF($C357=0,0,$F357/$C357)</f>
        <v/>
      </c>
      <c r="H357" s="119">
        <f>IF($E357=0,0,$F357/$E357)</f>
        <v/>
      </c>
      <c r="I357" s="121">
        <f>IF($B357="","",IF($F357&lt;0,"ZARAR",IF($G357&lt;IsMarjEsik,"RİSK","KÂRLI")))</f>
        <v/>
      </c>
      <c r="J357" s="122" t="n"/>
    </row>
    <row r="358" ht="15" customHeight="1" s="76">
      <c r="A358" s="122" t="n"/>
      <c r="B358" s="122" t="n"/>
      <c r="C358" s="123" t="n"/>
      <c r="D358" s="123" t="n"/>
      <c r="E358" s="124" t="n"/>
      <c r="F358" s="119">
        <f>$C358-$D358</f>
        <v/>
      </c>
      <c r="G358" s="120">
        <f>IF($C358=0,0,$F358/$C358)</f>
        <v/>
      </c>
      <c r="H358" s="119">
        <f>IF($E358=0,0,$F358/$E358)</f>
        <v/>
      </c>
      <c r="I358" s="121">
        <f>IF($B358="","",IF($F358&lt;0,"ZARAR",IF($G358&lt;IsMarjEsik,"RİSK","KÂRLI")))</f>
        <v/>
      </c>
      <c r="J358" s="122" t="n"/>
    </row>
    <row r="359" ht="15" customHeight="1" s="76">
      <c r="A359" s="122" t="n"/>
      <c r="B359" s="122" t="n"/>
      <c r="C359" s="123" t="n"/>
      <c r="D359" s="123" t="n"/>
      <c r="E359" s="124" t="n"/>
      <c r="F359" s="119">
        <f>$C359-$D359</f>
        <v/>
      </c>
      <c r="G359" s="120">
        <f>IF($C359=0,0,$F359/$C359)</f>
        <v/>
      </c>
      <c r="H359" s="119">
        <f>IF($E359=0,0,$F359/$E359)</f>
        <v/>
      </c>
      <c r="I359" s="121">
        <f>IF($B359="","",IF($F359&lt;0,"ZARAR",IF($G359&lt;IsMarjEsik,"RİSK","KÂRLI")))</f>
        <v/>
      </c>
      <c r="J359" s="122" t="n"/>
    </row>
    <row r="360" ht="15" customHeight="1" s="76">
      <c r="A360" s="122" t="n"/>
      <c r="B360" s="122" t="n"/>
      <c r="C360" s="123" t="n"/>
      <c r="D360" s="123" t="n"/>
      <c r="E360" s="124" t="n"/>
      <c r="F360" s="119">
        <f>$C360-$D360</f>
        <v/>
      </c>
      <c r="G360" s="120">
        <f>IF($C360=0,0,$F360/$C360)</f>
        <v/>
      </c>
      <c r="H360" s="119">
        <f>IF($E360=0,0,$F360/$E360)</f>
        <v/>
      </c>
      <c r="I360" s="121">
        <f>IF($B360="","",IF($F360&lt;0,"ZARAR",IF($G360&lt;IsMarjEsik,"RİSK","KÂRLI")))</f>
        <v/>
      </c>
      <c r="J360" s="122" t="n"/>
    </row>
    <row r="361" ht="15" customHeight="1" s="76">
      <c r="A361" s="122" t="n"/>
      <c r="B361" s="122" t="n"/>
      <c r="C361" s="123" t="n"/>
      <c r="D361" s="123" t="n"/>
      <c r="E361" s="124" t="n"/>
      <c r="F361" s="119">
        <f>$C361-$D361</f>
        <v/>
      </c>
      <c r="G361" s="120">
        <f>IF($C361=0,0,$F361/$C361)</f>
        <v/>
      </c>
      <c r="H361" s="119">
        <f>IF($E361=0,0,$F361/$E361)</f>
        <v/>
      </c>
      <c r="I361" s="121">
        <f>IF($B361="","",IF($F361&lt;0,"ZARAR",IF($G361&lt;IsMarjEsik,"RİSK","KÂRLI")))</f>
        <v/>
      </c>
      <c r="J361" s="122" t="n"/>
    </row>
    <row r="362" ht="15" customHeight="1" s="76">
      <c r="A362" s="122" t="n"/>
      <c r="B362" s="122" t="n"/>
      <c r="C362" s="123" t="n"/>
      <c r="D362" s="123" t="n"/>
      <c r="E362" s="124" t="n"/>
      <c r="F362" s="119">
        <f>$C362-$D362</f>
        <v/>
      </c>
      <c r="G362" s="120">
        <f>IF($C362=0,0,$F362/$C362)</f>
        <v/>
      </c>
      <c r="H362" s="119">
        <f>IF($E362=0,0,$F362/$E362)</f>
        <v/>
      </c>
      <c r="I362" s="121">
        <f>IF($B362="","",IF($F362&lt;0,"ZARAR",IF($G362&lt;IsMarjEsik,"RİSK","KÂRLI")))</f>
        <v/>
      </c>
      <c r="J362" s="122" t="n"/>
    </row>
    <row r="363" ht="15" customHeight="1" s="76">
      <c r="A363" s="122" t="n"/>
      <c r="B363" s="122" t="n"/>
      <c r="C363" s="123" t="n"/>
      <c r="D363" s="123" t="n"/>
      <c r="E363" s="124" t="n"/>
      <c r="F363" s="119">
        <f>$C363-$D363</f>
        <v/>
      </c>
      <c r="G363" s="120">
        <f>IF($C363=0,0,$F363/$C363)</f>
        <v/>
      </c>
      <c r="H363" s="119">
        <f>IF($E363=0,0,$F363/$E363)</f>
        <v/>
      </c>
      <c r="I363" s="121">
        <f>IF($B363="","",IF($F363&lt;0,"ZARAR",IF($G363&lt;IsMarjEsik,"RİSK","KÂRLI")))</f>
        <v/>
      </c>
      <c r="J363" s="122" t="n"/>
    </row>
    <row r="364" ht="15" customHeight="1" s="76">
      <c r="A364" s="122" t="n"/>
      <c r="B364" s="122" t="n"/>
      <c r="C364" s="123" t="n"/>
      <c r="D364" s="123" t="n"/>
      <c r="E364" s="124" t="n"/>
      <c r="F364" s="119">
        <f>$C364-$D364</f>
        <v/>
      </c>
      <c r="G364" s="120">
        <f>IF($C364=0,0,$F364/$C364)</f>
        <v/>
      </c>
      <c r="H364" s="119">
        <f>IF($E364=0,0,$F364/$E364)</f>
        <v/>
      </c>
      <c r="I364" s="121">
        <f>IF($B364="","",IF($F364&lt;0,"ZARAR",IF($G364&lt;IsMarjEsik,"RİSK","KÂRLI")))</f>
        <v/>
      </c>
      <c r="J364" s="122" t="n"/>
    </row>
    <row r="365" ht="15" customHeight="1" s="76">
      <c r="A365" s="122" t="n"/>
      <c r="B365" s="122" t="n"/>
      <c r="C365" s="123" t="n"/>
      <c r="D365" s="123" t="n"/>
      <c r="E365" s="124" t="n"/>
      <c r="F365" s="119">
        <f>$C365-$D365</f>
        <v/>
      </c>
      <c r="G365" s="120">
        <f>IF($C365=0,0,$F365/$C365)</f>
        <v/>
      </c>
      <c r="H365" s="119">
        <f>IF($E365=0,0,$F365/$E365)</f>
        <v/>
      </c>
      <c r="I365" s="121">
        <f>IF($B365="","",IF($F365&lt;0,"ZARAR",IF($G365&lt;IsMarjEsik,"RİSK","KÂRLI")))</f>
        <v/>
      </c>
      <c r="J365" s="122" t="n"/>
    </row>
    <row r="366" ht="15" customHeight="1" s="76">
      <c r="A366" s="122" t="n"/>
      <c r="B366" s="122" t="n"/>
      <c r="C366" s="123" t="n"/>
      <c r="D366" s="123" t="n"/>
      <c r="E366" s="124" t="n"/>
      <c r="F366" s="119">
        <f>$C366-$D366</f>
        <v/>
      </c>
      <c r="G366" s="120">
        <f>IF($C366=0,0,$F366/$C366)</f>
        <v/>
      </c>
      <c r="H366" s="119">
        <f>IF($E366=0,0,$F366/$E366)</f>
        <v/>
      </c>
      <c r="I366" s="121">
        <f>IF($B366="","",IF($F366&lt;0,"ZARAR",IF($G366&lt;IsMarjEsik,"RİSK","KÂRLI")))</f>
        <v/>
      </c>
      <c r="J366" s="122" t="n"/>
    </row>
    <row r="367" ht="15" customHeight="1" s="76">
      <c r="A367" s="122" t="n"/>
      <c r="B367" s="122" t="n"/>
      <c r="C367" s="123" t="n"/>
      <c r="D367" s="123" t="n"/>
      <c r="E367" s="124" t="n"/>
      <c r="F367" s="119">
        <f>$C367-$D367</f>
        <v/>
      </c>
      <c r="G367" s="120">
        <f>IF($C367=0,0,$F367/$C367)</f>
        <v/>
      </c>
      <c r="H367" s="119">
        <f>IF($E367=0,0,$F367/$E367)</f>
        <v/>
      </c>
      <c r="I367" s="121">
        <f>IF($B367="","",IF($F367&lt;0,"ZARAR",IF($G367&lt;IsMarjEsik,"RİSK","KÂRLI")))</f>
        <v/>
      </c>
      <c r="J367" s="122" t="n"/>
    </row>
    <row r="368" ht="15" customHeight="1" s="76">
      <c r="A368" s="122" t="n"/>
      <c r="B368" s="122" t="n"/>
      <c r="C368" s="123" t="n"/>
      <c r="D368" s="123" t="n"/>
      <c r="E368" s="124" t="n"/>
      <c r="F368" s="119">
        <f>$C368-$D368</f>
        <v/>
      </c>
      <c r="G368" s="120">
        <f>IF($C368=0,0,$F368/$C368)</f>
        <v/>
      </c>
      <c r="H368" s="119">
        <f>IF($E368=0,0,$F368/$E368)</f>
        <v/>
      </c>
      <c r="I368" s="121">
        <f>IF($B368="","",IF($F368&lt;0,"ZARAR",IF($G368&lt;IsMarjEsik,"RİSK","KÂRLI")))</f>
        <v/>
      </c>
      <c r="J368" s="122" t="n"/>
    </row>
    <row r="369" ht="15" customHeight="1" s="76">
      <c r="A369" s="122" t="n"/>
      <c r="B369" s="122" t="n"/>
      <c r="C369" s="123" t="n"/>
      <c r="D369" s="123" t="n"/>
      <c r="E369" s="124" t="n"/>
      <c r="F369" s="119">
        <f>$C369-$D369</f>
        <v/>
      </c>
      <c r="G369" s="120">
        <f>IF($C369=0,0,$F369/$C369)</f>
        <v/>
      </c>
      <c r="H369" s="119">
        <f>IF($E369=0,0,$F369/$E369)</f>
        <v/>
      </c>
      <c r="I369" s="121">
        <f>IF($B369="","",IF($F369&lt;0,"ZARAR",IF($G369&lt;IsMarjEsik,"RİSK","KÂRLI")))</f>
        <v/>
      </c>
      <c r="J369" s="122" t="n"/>
    </row>
    <row r="370" ht="15" customHeight="1" s="76">
      <c r="A370" s="122" t="n"/>
      <c r="B370" s="122" t="n"/>
      <c r="C370" s="123" t="n"/>
      <c r="D370" s="123" t="n"/>
      <c r="E370" s="124" t="n"/>
      <c r="F370" s="119">
        <f>$C370-$D370</f>
        <v/>
      </c>
      <c r="G370" s="120">
        <f>IF($C370=0,0,$F370/$C370)</f>
        <v/>
      </c>
      <c r="H370" s="119">
        <f>IF($E370=0,0,$F370/$E370)</f>
        <v/>
      </c>
      <c r="I370" s="121">
        <f>IF($B370="","",IF($F370&lt;0,"ZARAR",IF($G370&lt;IsMarjEsik,"RİSK","KÂRLI")))</f>
        <v/>
      </c>
      <c r="J370" s="122" t="n"/>
    </row>
    <row r="371" ht="15" customHeight="1" s="76">
      <c r="A371" s="122" t="n"/>
      <c r="B371" s="122" t="n"/>
      <c r="C371" s="123" t="n"/>
      <c r="D371" s="123" t="n"/>
      <c r="E371" s="124" t="n"/>
      <c r="F371" s="119">
        <f>$C371-$D371</f>
        <v/>
      </c>
      <c r="G371" s="120">
        <f>IF($C371=0,0,$F371/$C371)</f>
        <v/>
      </c>
      <c r="H371" s="119">
        <f>IF($E371=0,0,$F371/$E371)</f>
        <v/>
      </c>
      <c r="I371" s="121">
        <f>IF($B371="","",IF($F371&lt;0,"ZARAR",IF($G371&lt;IsMarjEsik,"RİSK","KÂRLI")))</f>
        <v/>
      </c>
      <c r="J371" s="122" t="n"/>
    </row>
    <row r="372" ht="15" customHeight="1" s="76">
      <c r="A372" s="122" t="n"/>
      <c r="B372" s="122" t="n"/>
      <c r="C372" s="123" t="n"/>
      <c r="D372" s="123" t="n"/>
      <c r="E372" s="124" t="n"/>
      <c r="F372" s="119">
        <f>$C372-$D372</f>
        <v/>
      </c>
      <c r="G372" s="120">
        <f>IF($C372=0,0,$F372/$C372)</f>
        <v/>
      </c>
      <c r="H372" s="119">
        <f>IF($E372=0,0,$F372/$E372)</f>
        <v/>
      </c>
      <c r="I372" s="121">
        <f>IF($B372="","",IF($F372&lt;0,"ZARAR",IF($G372&lt;IsMarjEsik,"RİSK","KÂRLI")))</f>
        <v/>
      </c>
      <c r="J372" s="122" t="n"/>
    </row>
    <row r="373" ht="15" customHeight="1" s="76">
      <c r="A373" s="122" t="n"/>
      <c r="B373" s="122" t="n"/>
      <c r="C373" s="123" t="n"/>
      <c r="D373" s="123" t="n"/>
      <c r="E373" s="124" t="n"/>
      <c r="F373" s="119">
        <f>$C373-$D373</f>
        <v/>
      </c>
      <c r="G373" s="120">
        <f>IF($C373=0,0,$F373/$C373)</f>
        <v/>
      </c>
      <c r="H373" s="119">
        <f>IF($E373=0,0,$F373/$E373)</f>
        <v/>
      </c>
      <c r="I373" s="121">
        <f>IF($B373="","",IF($F373&lt;0,"ZARAR",IF($G373&lt;IsMarjEsik,"RİSK","KÂRLI")))</f>
        <v/>
      </c>
      <c r="J373" s="122" t="n"/>
    </row>
    <row r="374" ht="15" customHeight="1" s="76">
      <c r="A374" s="122" t="n"/>
      <c r="B374" s="122" t="n"/>
      <c r="C374" s="123" t="n"/>
      <c r="D374" s="123" t="n"/>
      <c r="E374" s="124" t="n"/>
      <c r="F374" s="119">
        <f>$C374-$D374</f>
        <v/>
      </c>
      <c r="G374" s="120">
        <f>IF($C374=0,0,$F374/$C374)</f>
        <v/>
      </c>
      <c r="H374" s="119">
        <f>IF($E374=0,0,$F374/$E374)</f>
        <v/>
      </c>
      <c r="I374" s="121">
        <f>IF($B374="","",IF($F374&lt;0,"ZARAR",IF($G374&lt;IsMarjEsik,"RİSK","KÂRLI")))</f>
        <v/>
      </c>
      <c r="J374" s="122" t="n"/>
    </row>
    <row r="375" ht="15" customHeight="1" s="76">
      <c r="A375" s="122" t="n"/>
      <c r="B375" s="122" t="n"/>
      <c r="C375" s="123" t="n"/>
      <c r="D375" s="123" t="n"/>
      <c r="E375" s="124" t="n"/>
      <c r="F375" s="119">
        <f>$C375-$D375</f>
        <v/>
      </c>
      <c r="G375" s="120">
        <f>IF($C375=0,0,$F375/$C375)</f>
        <v/>
      </c>
      <c r="H375" s="119">
        <f>IF($E375=0,0,$F375/$E375)</f>
        <v/>
      </c>
      <c r="I375" s="121">
        <f>IF($B375="","",IF($F375&lt;0,"ZARAR",IF($G375&lt;IsMarjEsik,"RİSK","KÂRLI")))</f>
        <v/>
      </c>
      <c r="J375" s="122" t="n"/>
    </row>
    <row r="376" ht="15" customHeight="1" s="76">
      <c r="A376" s="122" t="n"/>
      <c r="B376" s="122" t="n"/>
      <c r="C376" s="123" t="n"/>
      <c r="D376" s="123" t="n"/>
      <c r="E376" s="124" t="n"/>
      <c r="F376" s="119">
        <f>$C376-$D376</f>
        <v/>
      </c>
      <c r="G376" s="120">
        <f>IF($C376=0,0,$F376/$C376)</f>
        <v/>
      </c>
      <c r="H376" s="119">
        <f>IF($E376=0,0,$F376/$E376)</f>
        <v/>
      </c>
      <c r="I376" s="121">
        <f>IF($B376="","",IF($F376&lt;0,"ZARAR",IF($G376&lt;IsMarjEsik,"RİSK","KÂRLI")))</f>
        <v/>
      </c>
      <c r="J376" s="122" t="n"/>
    </row>
    <row r="377" ht="15" customHeight="1" s="76">
      <c r="A377" s="122" t="n"/>
      <c r="B377" s="122" t="n"/>
      <c r="C377" s="123" t="n"/>
      <c r="D377" s="123" t="n"/>
      <c r="E377" s="124" t="n"/>
      <c r="F377" s="119">
        <f>$C377-$D377</f>
        <v/>
      </c>
      <c r="G377" s="120">
        <f>IF($C377=0,0,$F377/$C377)</f>
        <v/>
      </c>
      <c r="H377" s="119">
        <f>IF($E377=0,0,$F377/$E377)</f>
        <v/>
      </c>
      <c r="I377" s="121">
        <f>IF($B377="","",IF($F377&lt;0,"ZARAR",IF($G377&lt;IsMarjEsik,"RİSK","KÂRLI")))</f>
        <v/>
      </c>
      <c r="J377" s="122" t="n"/>
    </row>
    <row r="378" ht="15" customHeight="1" s="76">
      <c r="A378" s="122" t="n"/>
      <c r="B378" s="122" t="n"/>
      <c r="C378" s="123" t="n"/>
      <c r="D378" s="123" t="n"/>
      <c r="E378" s="124" t="n"/>
      <c r="F378" s="119">
        <f>$C378-$D378</f>
        <v/>
      </c>
      <c r="G378" s="120">
        <f>IF($C378=0,0,$F378/$C378)</f>
        <v/>
      </c>
      <c r="H378" s="119">
        <f>IF($E378=0,0,$F378/$E378)</f>
        <v/>
      </c>
      <c r="I378" s="121">
        <f>IF($B378="","",IF($F378&lt;0,"ZARAR",IF($G378&lt;IsMarjEsik,"RİSK","KÂRLI")))</f>
        <v/>
      </c>
      <c r="J378" s="122" t="n"/>
    </row>
    <row r="379" ht="15" customHeight="1" s="76">
      <c r="A379" s="122" t="n"/>
      <c r="B379" s="122" t="n"/>
      <c r="C379" s="123" t="n"/>
      <c r="D379" s="123" t="n"/>
      <c r="E379" s="124" t="n"/>
      <c r="F379" s="119">
        <f>$C379-$D379</f>
        <v/>
      </c>
      <c r="G379" s="120">
        <f>IF($C379=0,0,$F379/$C379)</f>
        <v/>
      </c>
      <c r="H379" s="119">
        <f>IF($E379=0,0,$F379/$E379)</f>
        <v/>
      </c>
      <c r="I379" s="121">
        <f>IF($B379="","",IF($F379&lt;0,"ZARAR",IF($G379&lt;IsMarjEsik,"RİSK","KÂRLI")))</f>
        <v/>
      </c>
      <c r="J379" s="122" t="n"/>
    </row>
    <row r="380" ht="15" customHeight="1" s="76">
      <c r="A380" s="122" t="n"/>
      <c r="B380" s="122" t="n"/>
      <c r="C380" s="123" t="n"/>
      <c r="D380" s="123" t="n"/>
      <c r="E380" s="124" t="n"/>
      <c r="F380" s="119">
        <f>$C380-$D380</f>
        <v/>
      </c>
      <c r="G380" s="120">
        <f>IF($C380=0,0,$F380/$C380)</f>
        <v/>
      </c>
      <c r="H380" s="119">
        <f>IF($E380=0,0,$F380/$E380)</f>
        <v/>
      </c>
      <c r="I380" s="121">
        <f>IF($B380="","",IF($F380&lt;0,"ZARAR",IF($G380&lt;IsMarjEsik,"RİSK","KÂRLI")))</f>
        <v/>
      </c>
      <c r="J380" s="122" t="n"/>
    </row>
    <row r="381" ht="15" customHeight="1" s="76">
      <c r="A381" s="122" t="n"/>
      <c r="B381" s="122" t="n"/>
      <c r="C381" s="123" t="n"/>
      <c r="D381" s="123" t="n"/>
      <c r="E381" s="124" t="n"/>
      <c r="F381" s="119">
        <f>$C381-$D381</f>
        <v/>
      </c>
      <c r="G381" s="120">
        <f>IF($C381=0,0,$F381/$C381)</f>
        <v/>
      </c>
      <c r="H381" s="119">
        <f>IF($E381=0,0,$F381/$E381)</f>
        <v/>
      </c>
      <c r="I381" s="121">
        <f>IF($B381="","",IF($F381&lt;0,"ZARAR",IF($G381&lt;IsMarjEsik,"RİSK","KÂRLI")))</f>
        <v/>
      </c>
      <c r="J381" s="122" t="n"/>
    </row>
    <row r="382" ht="15" customHeight="1" s="76">
      <c r="A382" s="122" t="n"/>
      <c r="B382" s="122" t="n"/>
      <c r="C382" s="123" t="n"/>
      <c r="D382" s="123" t="n"/>
      <c r="E382" s="124" t="n"/>
      <c r="F382" s="119">
        <f>$C382-$D382</f>
        <v/>
      </c>
      <c r="G382" s="120">
        <f>IF($C382=0,0,$F382/$C382)</f>
        <v/>
      </c>
      <c r="H382" s="119">
        <f>IF($E382=0,0,$F382/$E382)</f>
        <v/>
      </c>
      <c r="I382" s="121">
        <f>IF($B382="","",IF($F382&lt;0,"ZARAR",IF($G382&lt;IsMarjEsik,"RİSK","KÂRLI")))</f>
        <v/>
      </c>
      <c r="J382" s="122" t="n"/>
    </row>
    <row r="383" ht="15" customHeight="1" s="76">
      <c r="A383" s="122" t="n"/>
      <c r="B383" s="122" t="n"/>
      <c r="C383" s="123" t="n"/>
      <c r="D383" s="123" t="n"/>
      <c r="E383" s="124" t="n"/>
      <c r="F383" s="119">
        <f>$C383-$D383</f>
        <v/>
      </c>
      <c r="G383" s="120">
        <f>IF($C383=0,0,$F383/$C383)</f>
        <v/>
      </c>
      <c r="H383" s="119">
        <f>IF($E383=0,0,$F383/$E383)</f>
        <v/>
      </c>
      <c r="I383" s="121">
        <f>IF($B383="","",IF($F383&lt;0,"ZARAR",IF($G383&lt;IsMarjEsik,"RİSK","KÂRLI")))</f>
        <v/>
      </c>
      <c r="J383" s="122" t="n"/>
    </row>
    <row r="384" ht="15" customHeight="1" s="76">
      <c r="A384" s="122" t="n"/>
      <c r="B384" s="122" t="n"/>
      <c r="C384" s="123" t="n"/>
      <c r="D384" s="123" t="n"/>
      <c r="E384" s="124" t="n"/>
      <c r="F384" s="119">
        <f>$C384-$D384</f>
        <v/>
      </c>
      <c r="G384" s="120">
        <f>IF($C384=0,0,$F384/$C384)</f>
        <v/>
      </c>
      <c r="H384" s="119">
        <f>IF($E384=0,0,$F384/$E384)</f>
        <v/>
      </c>
      <c r="I384" s="121">
        <f>IF($B384="","",IF($F384&lt;0,"ZARAR",IF($G384&lt;IsMarjEsik,"RİSK","KÂRLI")))</f>
        <v/>
      </c>
      <c r="J384" s="122" t="n"/>
    </row>
    <row r="385" ht="15" customHeight="1" s="76">
      <c r="A385" s="122" t="n"/>
      <c r="B385" s="122" t="n"/>
      <c r="C385" s="123" t="n"/>
      <c r="D385" s="123" t="n"/>
      <c r="E385" s="124" t="n"/>
      <c r="F385" s="119">
        <f>$C385-$D385</f>
        <v/>
      </c>
      <c r="G385" s="120">
        <f>IF($C385=0,0,$F385/$C385)</f>
        <v/>
      </c>
      <c r="H385" s="119">
        <f>IF($E385=0,0,$F385/$E385)</f>
        <v/>
      </c>
      <c r="I385" s="121">
        <f>IF($B385="","",IF($F385&lt;0,"ZARAR",IF($G385&lt;IsMarjEsik,"RİSK","KÂRLI")))</f>
        <v/>
      </c>
      <c r="J385" s="122" t="n"/>
    </row>
    <row r="386" ht="15" customHeight="1" s="76">
      <c r="A386" s="122" t="n"/>
      <c r="B386" s="122" t="n"/>
      <c r="C386" s="123" t="n"/>
      <c r="D386" s="123" t="n"/>
      <c r="E386" s="124" t="n"/>
      <c r="F386" s="119">
        <f>$C386-$D386</f>
        <v/>
      </c>
      <c r="G386" s="120">
        <f>IF($C386=0,0,$F386/$C386)</f>
        <v/>
      </c>
      <c r="H386" s="119">
        <f>IF($E386=0,0,$F386/$E386)</f>
        <v/>
      </c>
      <c r="I386" s="121">
        <f>IF($B386="","",IF($F386&lt;0,"ZARAR",IF($G386&lt;IsMarjEsik,"RİSK","KÂRLI")))</f>
        <v/>
      </c>
      <c r="J386" s="122" t="n"/>
    </row>
    <row r="387" ht="15" customHeight="1" s="76">
      <c r="A387" s="122" t="n"/>
      <c r="B387" s="122" t="n"/>
      <c r="C387" s="123" t="n"/>
      <c r="D387" s="123" t="n"/>
      <c r="E387" s="124" t="n"/>
      <c r="F387" s="119">
        <f>$C387-$D387</f>
        <v/>
      </c>
      <c r="G387" s="120">
        <f>IF($C387=0,0,$F387/$C387)</f>
        <v/>
      </c>
      <c r="H387" s="119">
        <f>IF($E387=0,0,$F387/$E387)</f>
        <v/>
      </c>
      <c r="I387" s="121">
        <f>IF($B387="","",IF($F387&lt;0,"ZARAR",IF($G387&lt;IsMarjEsik,"RİSK","KÂRLI")))</f>
        <v/>
      </c>
      <c r="J387" s="122" t="n"/>
    </row>
    <row r="388" ht="15" customHeight="1" s="76">
      <c r="A388" s="122" t="n"/>
      <c r="B388" s="122" t="n"/>
      <c r="C388" s="123" t="n"/>
      <c r="D388" s="123" t="n"/>
      <c r="E388" s="124" t="n"/>
      <c r="F388" s="119">
        <f>$C388-$D388</f>
        <v/>
      </c>
      <c r="G388" s="120">
        <f>IF($C388=0,0,$F388/$C388)</f>
        <v/>
      </c>
      <c r="H388" s="119">
        <f>IF($E388=0,0,$F388/$E388)</f>
        <v/>
      </c>
      <c r="I388" s="121">
        <f>IF($B388="","",IF($F388&lt;0,"ZARAR",IF($G388&lt;IsMarjEsik,"RİSK","KÂRLI")))</f>
        <v/>
      </c>
      <c r="J388" s="122" t="n"/>
    </row>
    <row r="389" ht="15" customHeight="1" s="76">
      <c r="A389" s="122" t="n"/>
      <c r="B389" s="122" t="n"/>
      <c r="C389" s="123" t="n"/>
      <c r="D389" s="123" t="n"/>
      <c r="E389" s="124" t="n"/>
      <c r="F389" s="119">
        <f>$C389-$D389</f>
        <v/>
      </c>
      <c r="G389" s="120">
        <f>IF($C389=0,0,$F389/$C389)</f>
        <v/>
      </c>
      <c r="H389" s="119">
        <f>IF($E389=0,0,$F389/$E389)</f>
        <v/>
      </c>
      <c r="I389" s="121">
        <f>IF($B389="","",IF($F389&lt;0,"ZARAR",IF($G389&lt;IsMarjEsik,"RİSK","KÂRLI")))</f>
        <v/>
      </c>
      <c r="J389" s="122" t="n"/>
    </row>
    <row r="390" ht="15" customHeight="1" s="76">
      <c r="A390" s="122" t="n"/>
      <c r="B390" s="122" t="n"/>
      <c r="C390" s="123" t="n"/>
      <c r="D390" s="123" t="n"/>
      <c r="E390" s="124" t="n"/>
      <c r="F390" s="119">
        <f>$C390-$D390</f>
        <v/>
      </c>
      <c r="G390" s="120">
        <f>IF($C390=0,0,$F390/$C390)</f>
        <v/>
      </c>
      <c r="H390" s="119">
        <f>IF($E390=0,0,$F390/$E390)</f>
        <v/>
      </c>
      <c r="I390" s="121">
        <f>IF($B390="","",IF($F390&lt;0,"ZARAR",IF($G390&lt;IsMarjEsik,"RİSK","KÂRLI")))</f>
        <v/>
      </c>
      <c r="J390" s="122" t="n"/>
    </row>
    <row r="391" ht="15" customHeight="1" s="76">
      <c r="A391" s="122" t="n"/>
      <c r="B391" s="122" t="n"/>
      <c r="C391" s="123" t="n"/>
      <c r="D391" s="123" t="n"/>
      <c r="E391" s="124" t="n"/>
      <c r="F391" s="119">
        <f>$C391-$D391</f>
        <v/>
      </c>
      <c r="G391" s="120">
        <f>IF($C391=0,0,$F391/$C391)</f>
        <v/>
      </c>
      <c r="H391" s="119">
        <f>IF($E391=0,0,$F391/$E391)</f>
        <v/>
      </c>
      <c r="I391" s="121">
        <f>IF($B391="","",IF($F391&lt;0,"ZARAR",IF($G391&lt;IsMarjEsik,"RİSK","KÂRLI")))</f>
        <v/>
      </c>
      <c r="J391" s="122" t="n"/>
    </row>
    <row r="392" ht="15" customHeight="1" s="76">
      <c r="A392" s="122" t="n"/>
      <c r="B392" s="122" t="n"/>
      <c r="C392" s="123" t="n"/>
      <c r="D392" s="123" t="n"/>
      <c r="E392" s="124" t="n"/>
      <c r="F392" s="119">
        <f>$C392-$D392</f>
        <v/>
      </c>
      <c r="G392" s="120">
        <f>IF($C392=0,0,$F392/$C392)</f>
        <v/>
      </c>
      <c r="H392" s="119">
        <f>IF($E392=0,0,$F392/$E392)</f>
        <v/>
      </c>
      <c r="I392" s="121">
        <f>IF($B392="","",IF($F392&lt;0,"ZARAR",IF($G392&lt;IsMarjEsik,"RİSK","KÂRLI")))</f>
        <v/>
      </c>
      <c r="J392" s="122" t="n"/>
    </row>
    <row r="393" ht="15" customHeight="1" s="76">
      <c r="A393" s="122" t="n"/>
      <c r="B393" s="122" t="n"/>
      <c r="C393" s="123" t="n"/>
      <c r="D393" s="123" t="n"/>
      <c r="E393" s="124" t="n"/>
      <c r="F393" s="119">
        <f>$C393-$D393</f>
        <v/>
      </c>
      <c r="G393" s="120">
        <f>IF($C393=0,0,$F393/$C393)</f>
        <v/>
      </c>
      <c r="H393" s="119">
        <f>IF($E393=0,0,$F393/$E393)</f>
        <v/>
      </c>
      <c r="I393" s="121">
        <f>IF($B393="","",IF($F393&lt;0,"ZARAR",IF($G393&lt;IsMarjEsik,"RİSK","KÂRLI")))</f>
        <v/>
      </c>
      <c r="J393" s="122" t="n"/>
    </row>
    <row r="394" ht="15" customHeight="1" s="76">
      <c r="A394" s="122" t="n"/>
      <c r="B394" s="122" t="n"/>
      <c r="C394" s="123" t="n"/>
      <c r="D394" s="123" t="n"/>
      <c r="E394" s="124" t="n"/>
      <c r="F394" s="119">
        <f>$C394-$D394</f>
        <v/>
      </c>
      <c r="G394" s="120">
        <f>IF($C394=0,0,$F394/$C394)</f>
        <v/>
      </c>
      <c r="H394" s="119">
        <f>IF($E394=0,0,$F394/$E394)</f>
        <v/>
      </c>
      <c r="I394" s="121">
        <f>IF($B394="","",IF($F394&lt;0,"ZARAR",IF($G394&lt;IsMarjEsik,"RİSK","KÂRLI")))</f>
        <v/>
      </c>
      <c r="J394" s="122" t="n"/>
    </row>
    <row r="395" ht="15" customHeight="1" s="76">
      <c r="A395" s="122" t="n"/>
      <c r="B395" s="122" t="n"/>
      <c r="C395" s="123" t="n"/>
      <c r="D395" s="123" t="n"/>
      <c r="E395" s="124" t="n"/>
      <c r="F395" s="119">
        <f>$C395-$D395</f>
        <v/>
      </c>
      <c r="G395" s="120">
        <f>IF($C395=0,0,$F395/$C395)</f>
        <v/>
      </c>
      <c r="H395" s="119">
        <f>IF($E395=0,0,$F395/$E395)</f>
        <v/>
      </c>
      <c r="I395" s="121">
        <f>IF($B395="","",IF($F395&lt;0,"ZARAR",IF($G395&lt;IsMarjEsik,"RİSK","KÂRLI")))</f>
        <v/>
      </c>
      <c r="J395" s="122" t="n"/>
    </row>
    <row r="396" ht="15" customHeight="1" s="76">
      <c r="A396" s="122" t="n"/>
      <c r="B396" s="122" t="n"/>
      <c r="C396" s="123" t="n"/>
      <c r="D396" s="123" t="n"/>
      <c r="E396" s="124" t="n"/>
      <c r="F396" s="119">
        <f>$C396-$D396</f>
        <v/>
      </c>
      <c r="G396" s="120">
        <f>IF($C396=0,0,$F396/$C396)</f>
        <v/>
      </c>
      <c r="H396" s="119">
        <f>IF($E396=0,0,$F396/$E396)</f>
        <v/>
      </c>
      <c r="I396" s="121">
        <f>IF($B396="","",IF($F396&lt;0,"ZARAR",IF($G396&lt;IsMarjEsik,"RİSK","KÂRLI")))</f>
        <v/>
      </c>
      <c r="J396" s="122" t="n"/>
    </row>
    <row r="397" ht="15" customHeight="1" s="76">
      <c r="A397" s="122" t="n"/>
      <c r="B397" s="122" t="n"/>
      <c r="C397" s="123" t="n"/>
      <c r="D397" s="123" t="n"/>
      <c r="E397" s="124" t="n"/>
      <c r="F397" s="119">
        <f>$C397-$D397</f>
        <v/>
      </c>
      <c r="G397" s="120">
        <f>IF($C397=0,0,$F397/$C397)</f>
        <v/>
      </c>
      <c r="H397" s="119">
        <f>IF($E397=0,0,$F397/$E397)</f>
        <v/>
      </c>
      <c r="I397" s="121">
        <f>IF($B397="","",IF($F397&lt;0,"ZARAR",IF($G397&lt;IsMarjEsik,"RİSK","KÂRLI")))</f>
        <v/>
      </c>
      <c r="J397" s="122" t="n"/>
    </row>
    <row r="398" ht="15" customHeight="1" s="76">
      <c r="A398" s="122" t="n"/>
      <c r="B398" s="122" t="n"/>
      <c r="C398" s="123" t="n"/>
      <c r="D398" s="123" t="n"/>
      <c r="E398" s="124" t="n"/>
      <c r="F398" s="119">
        <f>$C398-$D398</f>
        <v/>
      </c>
      <c r="G398" s="120">
        <f>IF($C398=0,0,$F398/$C398)</f>
        <v/>
      </c>
      <c r="H398" s="119">
        <f>IF($E398=0,0,$F398/$E398)</f>
        <v/>
      </c>
      <c r="I398" s="121">
        <f>IF($B398="","",IF($F398&lt;0,"ZARAR",IF($G398&lt;IsMarjEsik,"RİSK","KÂRLI")))</f>
        <v/>
      </c>
      <c r="J398" s="122" t="n"/>
    </row>
    <row r="399" ht="15" customHeight="1" s="76">
      <c r="A399" s="122" t="n"/>
      <c r="B399" s="122" t="n"/>
      <c r="C399" s="123" t="n"/>
      <c r="D399" s="123" t="n"/>
      <c r="E399" s="124" t="n"/>
      <c r="F399" s="119">
        <f>$C399-$D399</f>
        <v/>
      </c>
      <c r="G399" s="120">
        <f>IF($C399=0,0,$F399/$C399)</f>
        <v/>
      </c>
      <c r="H399" s="119">
        <f>IF($E399=0,0,$F399/$E399)</f>
        <v/>
      </c>
      <c r="I399" s="121">
        <f>IF($B399="","",IF($F399&lt;0,"ZARAR",IF($G399&lt;IsMarjEsik,"RİSK","KÂRLI")))</f>
        <v/>
      </c>
      <c r="J399" s="122" t="n"/>
    </row>
    <row r="400" ht="15" customHeight="1" s="76">
      <c r="A400" s="122" t="n"/>
      <c r="B400" s="122" t="n"/>
      <c r="C400" s="123" t="n"/>
      <c r="D400" s="123" t="n"/>
      <c r="E400" s="124" t="n"/>
      <c r="F400" s="119">
        <f>$C400-$D400</f>
        <v/>
      </c>
      <c r="G400" s="120">
        <f>IF($C400=0,0,$F400/$C400)</f>
        <v/>
      </c>
      <c r="H400" s="119">
        <f>IF($E400=0,0,$F400/$E400)</f>
        <v/>
      </c>
      <c r="I400" s="121">
        <f>IF($B400="","",IF($F400&lt;0,"ZARAR",IF($G400&lt;IsMarjEsik,"RİSK","KÂRLI")))</f>
        <v/>
      </c>
      <c r="J400" s="122" t="n"/>
    </row>
    <row r="401" ht="15" customHeight="1" s="76">
      <c r="A401" s="122" t="n"/>
      <c r="B401" s="122" t="n"/>
      <c r="C401" s="123" t="n"/>
      <c r="D401" s="123" t="n"/>
      <c r="E401" s="124" t="n"/>
      <c r="F401" s="119">
        <f>$C401-$D401</f>
        <v/>
      </c>
      <c r="G401" s="120">
        <f>IF($C401=0,0,$F401/$C401)</f>
        <v/>
      </c>
      <c r="H401" s="119">
        <f>IF($E401=0,0,$F401/$E401)</f>
        <v/>
      </c>
      <c r="I401" s="121">
        <f>IF($B401="","",IF($F401&lt;0,"ZARAR",IF($G401&lt;IsMarjEsik,"RİSK","KÂRLI")))</f>
        <v/>
      </c>
      <c r="J401" s="122" t="n"/>
    </row>
    <row r="402" ht="15" customHeight="1" s="76">
      <c r="A402" s="122" t="n"/>
      <c r="B402" s="122" t="n"/>
      <c r="C402" s="123" t="n"/>
      <c r="D402" s="123" t="n"/>
      <c r="E402" s="124" t="n"/>
      <c r="F402" s="119">
        <f>$C402-$D402</f>
        <v/>
      </c>
      <c r="G402" s="120">
        <f>IF($C402=0,0,$F402/$C402)</f>
        <v/>
      </c>
      <c r="H402" s="119">
        <f>IF($E402=0,0,$F402/$E402)</f>
        <v/>
      </c>
      <c r="I402" s="121">
        <f>IF($B402="","",IF($F402&lt;0,"ZARAR",IF($G402&lt;IsMarjEsik,"RİSK","KÂRLI")))</f>
        <v/>
      </c>
      <c r="J402" s="122" t="n"/>
    </row>
    <row r="403" ht="15" customHeight="1" s="76">
      <c r="A403" s="122" t="n"/>
      <c r="B403" s="122" t="n"/>
      <c r="C403" s="123" t="n"/>
      <c r="D403" s="123" t="n"/>
      <c r="E403" s="124" t="n"/>
      <c r="F403" s="119">
        <f>$C403-$D403</f>
        <v/>
      </c>
      <c r="G403" s="120">
        <f>IF($C403=0,0,$F403/$C403)</f>
        <v/>
      </c>
      <c r="H403" s="119">
        <f>IF($E403=0,0,$F403/$E403)</f>
        <v/>
      </c>
      <c r="I403" s="121">
        <f>IF($B403="","",IF($F403&lt;0,"ZARAR",IF($G403&lt;IsMarjEsik,"RİSK","KÂRLI")))</f>
        <v/>
      </c>
      <c r="J403" s="122" t="n"/>
    </row>
    <row r="404" ht="15" customHeight="1" s="76">
      <c r="A404" s="122" t="n"/>
      <c r="B404" s="122" t="n"/>
      <c r="C404" s="123" t="n"/>
      <c r="D404" s="123" t="n"/>
      <c r="E404" s="124" t="n"/>
      <c r="F404" s="119">
        <f>$C404-$D404</f>
        <v/>
      </c>
      <c r="G404" s="120">
        <f>IF($C404=0,0,$F404/$C404)</f>
        <v/>
      </c>
      <c r="H404" s="119">
        <f>IF($E404=0,0,$F404/$E404)</f>
        <v/>
      </c>
      <c r="I404" s="121">
        <f>IF($B404="","",IF($F404&lt;0,"ZARAR",IF($G404&lt;IsMarjEsik,"RİSK","KÂRLI")))</f>
        <v/>
      </c>
      <c r="J404" s="122" t="n"/>
    </row>
    <row r="405" ht="15" customHeight="1" s="76">
      <c r="A405" s="122" t="n"/>
      <c r="B405" s="122" t="n"/>
      <c r="C405" s="123" t="n"/>
      <c r="D405" s="123" t="n"/>
      <c r="E405" s="124" t="n"/>
      <c r="F405" s="119">
        <f>$C405-$D405</f>
        <v/>
      </c>
      <c r="G405" s="120">
        <f>IF($C405=0,0,$F405/$C405)</f>
        <v/>
      </c>
      <c r="H405" s="119">
        <f>IF($E405=0,0,$F405/$E405)</f>
        <v/>
      </c>
      <c r="I405" s="121">
        <f>IF($B405="","",IF($F405&lt;0,"ZARAR",IF($G405&lt;IsMarjEsik,"RİSK","KÂRLI")))</f>
        <v/>
      </c>
      <c r="J405" s="122" t="n"/>
    </row>
    <row r="406" ht="15" customHeight="1" s="76">
      <c r="A406" s="122" t="n"/>
      <c r="B406" s="122" t="n"/>
      <c r="C406" s="123" t="n"/>
      <c r="D406" s="123" t="n"/>
      <c r="E406" s="124" t="n"/>
      <c r="F406" s="119">
        <f>$C406-$D406</f>
        <v/>
      </c>
      <c r="G406" s="120">
        <f>IF($C406=0,0,$F406/$C406)</f>
        <v/>
      </c>
      <c r="H406" s="119">
        <f>IF($E406=0,0,$F406/$E406)</f>
        <v/>
      </c>
      <c r="I406" s="121">
        <f>IF($B406="","",IF($F406&lt;0,"ZARAR",IF($G406&lt;IsMarjEsik,"RİSK","KÂRLI")))</f>
        <v/>
      </c>
      <c r="J406" s="122" t="n"/>
    </row>
    <row r="407" ht="15" customHeight="1" s="76">
      <c r="A407" s="122" t="n"/>
      <c r="B407" s="122" t="n"/>
      <c r="C407" s="123" t="n"/>
      <c r="D407" s="123" t="n"/>
      <c r="E407" s="124" t="n"/>
      <c r="F407" s="119">
        <f>$C407-$D407</f>
        <v/>
      </c>
      <c r="G407" s="120">
        <f>IF($C407=0,0,$F407/$C407)</f>
        <v/>
      </c>
      <c r="H407" s="119">
        <f>IF($E407=0,0,$F407/$E407)</f>
        <v/>
      </c>
      <c r="I407" s="121">
        <f>IF($B407="","",IF($F407&lt;0,"ZARAR",IF($G407&lt;IsMarjEsik,"RİSK","KÂRLI")))</f>
        <v/>
      </c>
      <c r="J407" s="122" t="n"/>
    </row>
    <row r="408" ht="15" customHeight="1" s="76">
      <c r="A408" s="122" t="n"/>
      <c r="B408" s="122" t="n"/>
      <c r="C408" s="123" t="n"/>
      <c r="D408" s="123" t="n"/>
      <c r="E408" s="124" t="n"/>
      <c r="F408" s="119">
        <f>$C408-$D408</f>
        <v/>
      </c>
      <c r="G408" s="120">
        <f>IF($C408=0,0,$F408/$C408)</f>
        <v/>
      </c>
      <c r="H408" s="119">
        <f>IF($E408=0,0,$F408/$E408)</f>
        <v/>
      </c>
      <c r="I408" s="121">
        <f>IF($B408="","",IF($F408&lt;0,"ZARAR",IF($G408&lt;IsMarjEsik,"RİSK","KÂRLI")))</f>
        <v/>
      </c>
      <c r="J408" s="122" t="n"/>
    </row>
    <row r="409" ht="15" customHeight="1" s="76">
      <c r="A409" s="122" t="n"/>
      <c r="B409" s="122" t="n"/>
      <c r="C409" s="123" t="n"/>
      <c r="D409" s="123" t="n"/>
      <c r="E409" s="124" t="n"/>
      <c r="F409" s="119">
        <f>$C409-$D409</f>
        <v/>
      </c>
      <c r="G409" s="120">
        <f>IF($C409=0,0,$F409/$C409)</f>
        <v/>
      </c>
      <c r="H409" s="119">
        <f>IF($E409=0,0,$F409/$E409)</f>
        <v/>
      </c>
      <c r="I409" s="121">
        <f>IF($B409="","",IF($F409&lt;0,"ZARAR",IF($G409&lt;IsMarjEsik,"RİSK","KÂRLI")))</f>
        <v/>
      </c>
      <c r="J409" s="122" t="n"/>
    </row>
    <row r="410" ht="15" customHeight="1" s="76">
      <c r="A410" s="122" t="n"/>
      <c r="B410" s="122" t="n"/>
      <c r="C410" s="123" t="n"/>
      <c r="D410" s="123" t="n"/>
      <c r="E410" s="124" t="n"/>
      <c r="F410" s="119">
        <f>$C410-$D410</f>
        <v/>
      </c>
      <c r="G410" s="120">
        <f>IF($C410=0,0,$F410/$C410)</f>
        <v/>
      </c>
      <c r="H410" s="119">
        <f>IF($E410=0,0,$F410/$E410)</f>
        <v/>
      </c>
      <c r="I410" s="121">
        <f>IF($B410="","",IF($F410&lt;0,"ZARAR",IF($G410&lt;IsMarjEsik,"RİSK","KÂRLI")))</f>
        <v/>
      </c>
      <c r="J410" s="122" t="n"/>
    </row>
    <row r="411" ht="15" customHeight="1" s="76">
      <c r="A411" s="122" t="n"/>
      <c r="B411" s="122" t="n"/>
      <c r="C411" s="123" t="n"/>
      <c r="D411" s="123" t="n"/>
      <c r="E411" s="124" t="n"/>
      <c r="F411" s="119">
        <f>$C411-$D411</f>
        <v/>
      </c>
      <c r="G411" s="120">
        <f>IF($C411=0,0,$F411/$C411)</f>
        <v/>
      </c>
      <c r="H411" s="119">
        <f>IF($E411=0,0,$F411/$E411)</f>
        <v/>
      </c>
      <c r="I411" s="121">
        <f>IF($B411="","",IF($F411&lt;0,"ZARAR",IF($G411&lt;IsMarjEsik,"RİSK","KÂRLI")))</f>
        <v/>
      </c>
      <c r="J411" s="122" t="n"/>
    </row>
    <row r="412" ht="15" customHeight="1" s="76">
      <c r="A412" s="122" t="n"/>
      <c r="B412" s="122" t="n"/>
      <c r="C412" s="123" t="n"/>
      <c r="D412" s="123" t="n"/>
      <c r="E412" s="124" t="n"/>
      <c r="F412" s="119">
        <f>$C412-$D412</f>
        <v/>
      </c>
      <c r="G412" s="120">
        <f>IF($C412=0,0,$F412/$C412)</f>
        <v/>
      </c>
      <c r="H412" s="119">
        <f>IF($E412=0,0,$F412/$E412)</f>
        <v/>
      </c>
      <c r="I412" s="121">
        <f>IF($B412="","",IF($F412&lt;0,"ZARAR",IF($G412&lt;IsMarjEsik,"RİSK","KÂRLI")))</f>
        <v/>
      </c>
      <c r="J412" s="122" t="n"/>
    </row>
    <row r="413" ht="15" customHeight="1" s="76">
      <c r="A413" s="122" t="n"/>
      <c r="B413" s="122" t="n"/>
      <c r="C413" s="123" t="n"/>
      <c r="D413" s="123" t="n"/>
      <c r="E413" s="124" t="n"/>
      <c r="F413" s="119">
        <f>$C413-$D413</f>
        <v/>
      </c>
      <c r="G413" s="120">
        <f>IF($C413=0,0,$F413/$C413)</f>
        <v/>
      </c>
      <c r="H413" s="119">
        <f>IF($E413=0,0,$F413/$E413)</f>
        <v/>
      </c>
      <c r="I413" s="121">
        <f>IF($B413="","",IF($F413&lt;0,"ZARAR",IF($G413&lt;IsMarjEsik,"RİSK","KÂRLI")))</f>
        <v/>
      </c>
      <c r="J413" s="122" t="n"/>
    </row>
    <row r="414" ht="15" customHeight="1" s="76">
      <c r="A414" s="122" t="n"/>
      <c r="B414" s="122" t="n"/>
      <c r="C414" s="123" t="n"/>
      <c r="D414" s="123" t="n"/>
      <c r="E414" s="124" t="n"/>
      <c r="F414" s="119">
        <f>$C414-$D414</f>
        <v/>
      </c>
      <c r="G414" s="120">
        <f>IF($C414=0,0,$F414/$C414)</f>
        <v/>
      </c>
      <c r="H414" s="119">
        <f>IF($E414=0,0,$F414/$E414)</f>
        <v/>
      </c>
      <c r="I414" s="121">
        <f>IF($B414="","",IF($F414&lt;0,"ZARAR",IF($G414&lt;IsMarjEsik,"RİSK","KÂRLI")))</f>
        <v/>
      </c>
      <c r="J414" s="122" t="n"/>
    </row>
    <row r="415" ht="15" customHeight="1" s="76">
      <c r="A415" s="122" t="n"/>
      <c r="B415" s="122" t="n"/>
      <c r="C415" s="123" t="n"/>
      <c r="D415" s="123" t="n"/>
      <c r="E415" s="124" t="n"/>
      <c r="F415" s="119">
        <f>$C415-$D415</f>
        <v/>
      </c>
      <c r="G415" s="120">
        <f>IF($C415=0,0,$F415/$C415)</f>
        <v/>
      </c>
      <c r="H415" s="119">
        <f>IF($E415=0,0,$F415/$E415)</f>
        <v/>
      </c>
      <c r="I415" s="121">
        <f>IF($B415="","",IF($F415&lt;0,"ZARAR",IF($G415&lt;IsMarjEsik,"RİSK","KÂRLI")))</f>
        <v/>
      </c>
      <c r="J415" s="122" t="n"/>
    </row>
    <row r="416" ht="15" customHeight="1" s="76">
      <c r="A416" s="122" t="n"/>
      <c r="B416" s="122" t="n"/>
      <c r="C416" s="123" t="n"/>
      <c r="D416" s="123" t="n"/>
      <c r="E416" s="124" t="n"/>
      <c r="F416" s="119">
        <f>$C416-$D416</f>
        <v/>
      </c>
      <c r="G416" s="120">
        <f>IF($C416=0,0,$F416/$C416)</f>
        <v/>
      </c>
      <c r="H416" s="119">
        <f>IF($E416=0,0,$F416/$E416)</f>
        <v/>
      </c>
      <c r="I416" s="121">
        <f>IF($B416="","",IF($F416&lt;0,"ZARAR",IF($G416&lt;IsMarjEsik,"RİSK","KÂRLI")))</f>
        <v/>
      </c>
      <c r="J416" s="122" t="n"/>
    </row>
    <row r="417" ht="15" customHeight="1" s="76">
      <c r="A417" s="122" t="n"/>
      <c r="B417" s="122" t="n"/>
      <c r="C417" s="123" t="n"/>
      <c r="D417" s="123" t="n"/>
      <c r="E417" s="124" t="n"/>
      <c r="F417" s="119">
        <f>$C417-$D417</f>
        <v/>
      </c>
      <c r="G417" s="120">
        <f>IF($C417=0,0,$F417/$C417)</f>
        <v/>
      </c>
      <c r="H417" s="119">
        <f>IF($E417=0,0,$F417/$E417)</f>
        <v/>
      </c>
      <c r="I417" s="121">
        <f>IF($B417="","",IF($F417&lt;0,"ZARAR",IF($G417&lt;IsMarjEsik,"RİSK","KÂRLI")))</f>
        <v/>
      </c>
      <c r="J417" s="122" t="n"/>
    </row>
    <row r="418" ht="15" customHeight="1" s="76">
      <c r="A418" s="122" t="n"/>
      <c r="B418" s="122" t="n"/>
      <c r="C418" s="123" t="n"/>
      <c r="D418" s="123" t="n"/>
      <c r="E418" s="124" t="n"/>
      <c r="F418" s="119">
        <f>$C418-$D418</f>
        <v/>
      </c>
      <c r="G418" s="120">
        <f>IF($C418=0,0,$F418/$C418)</f>
        <v/>
      </c>
      <c r="H418" s="119">
        <f>IF($E418=0,0,$F418/$E418)</f>
        <v/>
      </c>
      <c r="I418" s="121">
        <f>IF($B418="","",IF($F418&lt;0,"ZARAR",IF($G418&lt;IsMarjEsik,"RİSK","KÂRLI")))</f>
        <v/>
      </c>
      <c r="J418" s="122" t="n"/>
    </row>
    <row r="419" ht="15" customHeight="1" s="76">
      <c r="A419" s="122" t="n"/>
      <c r="B419" s="122" t="n"/>
      <c r="C419" s="123" t="n"/>
      <c r="D419" s="123" t="n"/>
      <c r="E419" s="124" t="n"/>
      <c r="F419" s="119">
        <f>$C419-$D419</f>
        <v/>
      </c>
      <c r="G419" s="120">
        <f>IF($C419=0,0,$F419/$C419)</f>
        <v/>
      </c>
      <c r="H419" s="119">
        <f>IF($E419=0,0,$F419/$E419)</f>
        <v/>
      </c>
      <c r="I419" s="121">
        <f>IF($B419="","",IF($F419&lt;0,"ZARAR",IF($G419&lt;IsMarjEsik,"RİSK","KÂRLI")))</f>
        <v/>
      </c>
      <c r="J419" s="122" t="n"/>
    </row>
    <row r="420" ht="15" customHeight="1" s="76">
      <c r="A420" s="122" t="n"/>
      <c r="B420" s="122" t="n"/>
      <c r="C420" s="123" t="n"/>
      <c r="D420" s="123" t="n"/>
      <c r="E420" s="124" t="n"/>
      <c r="F420" s="119">
        <f>$C420-$D420</f>
        <v/>
      </c>
      <c r="G420" s="120">
        <f>IF($C420=0,0,$F420/$C420)</f>
        <v/>
      </c>
      <c r="H420" s="119">
        <f>IF($E420=0,0,$F420/$E420)</f>
        <v/>
      </c>
      <c r="I420" s="121">
        <f>IF($B420="","",IF($F420&lt;0,"ZARAR",IF($G420&lt;IsMarjEsik,"RİSK","KÂRLI")))</f>
        <v/>
      </c>
      <c r="J420" s="122" t="n"/>
    </row>
    <row r="421" ht="15" customHeight="1" s="76">
      <c r="A421" s="122" t="n"/>
      <c r="B421" s="122" t="n"/>
      <c r="C421" s="123" t="n"/>
      <c r="D421" s="123" t="n"/>
      <c r="E421" s="124" t="n"/>
      <c r="F421" s="119">
        <f>$C421-$D421</f>
        <v/>
      </c>
      <c r="G421" s="120">
        <f>IF($C421=0,0,$F421/$C421)</f>
        <v/>
      </c>
      <c r="H421" s="119">
        <f>IF($E421=0,0,$F421/$E421)</f>
        <v/>
      </c>
      <c r="I421" s="121">
        <f>IF($B421="","",IF($F421&lt;0,"ZARAR",IF($G421&lt;IsMarjEsik,"RİSK","KÂRLI")))</f>
        <v/>
      </c>
      <c r="J421" s="122" t="n"/>
    </row>
    <row r="422" ht="15" customHeight="1" s="76">
      <c r="A422" s="122" t="n"/>
      <c r="B422" s="122" t="n"/>
      <c r="C422" s="123" t="n"/>
      <c r="D422" s="123" t="n"/>
      <c r="E422" s="124" t="n"/>
      <c r="F422" s="119">
        <f>$C422-$D422</f>
        <v/>
      </c>
      <c r="G422" s="120">
        <f>IF($C422=0,0,$F422/$C422)</f>
        <v/>
      </c>
      <c r="H422" s="119">
        <f>IF($E422=0,0,$F422/$E422)</f>
        <v/>
      </c>
      <c r="I422" s="121">
        <f>IF($B422="","",IF($F422&lt;0,"ZARAR",IF($G422&lt;IsMarjEsik,"RİSK","KÂRLI")))</f>
        <v/>
      </c>
      <c r="J422" s="122" t="n"/>
    </row>
    <row r="423" ht="15" customHeight="1" s="76">
      <c r="A423" s="122" t="n"/>
      <c r="B423" s="122" t="n"/>
      <c r="C423" s="123" t="n"/>
      <c r="D423" s="123" t="n"/>
      <c r="E423" s="124" t="n"/>
      <c r="F423" s="119">
        <f>$C423-$D423</f>
        <v/>
      </c>
      <c r="G423" s="120">
        <f>IF($C423=0,0,$F423/$C423)</f>
        <v/>
      </c>
      <c r="H423" s="119">
        <f>IF($E423=0,0,$F423/$E423)</f>
        <v/>
      </c>
      <c r="I423" s="121">
        <f>IF($B423="","",IF($F423&lt;0,"ZARAR",IF($G423&lt;IsMarjEsik,"RİSK","KÂRLI")))</f>
        <v/>
      </c>
      <c r="J423" s="122" t="n"/>
    </row>
    <row r="424" ht="15" customHeight="1" s="76">
      <c r="A424" s="122" t="n"/>
      <c r="B424" s="122" t="n"/>
      <c r="C424" s="123" t="n"/>
      <c r="D424" s="123" t="n"/>
      <c r="E424" s="124" t="n"/>
      <c r="F424" s="119">
        <f>$C424-$D424</f>
        <v/>
      </c>
      <c r="G424" s="120">
        <f>IF($C424=0,0,$F424/$C424)</f>
        <v/>
      </c>
      <c r="H424" s="119">
        <f>IF($E424=0,0,$F424/$E424)</f>
        <v/>
      </c>
      <c r="I424" s="121">
        <f>IF($B424="","",IF($F424&lt;0,"ZARAR",IF($G424&lt;IsMarjEsik,"RİSK","KÂRLI")))</f>
        <v/>
      </c>
      <c r="J424" s="122" t="n"/>
    </row>
    <row r="425" ht="15" customHeight="1" s="76">
      <c r="A425" s="122" t="n"/>
      <c r="B425" s="122" t="n"/>
      <c r="C425" s="123" t="n"/>
      <c r="D425" s="123" t="n"/>
      <c r="E425" s="124" t="n"/>
      <c r="F425" s="119">
        <f>$C425-$D425</f>
        <v/>
      </c>
      <c r="G425" s="120">
        <f>IF($C425=0,0,$F425/$C425)</f>
        <v/>
      </c>
      <c r="H425" s="119">
        <f>IF($E425=0,0,$F425/$E425)</f>
        <v/>
      </c>
      <c r="I425" s="121">
        <f>IF($B425="","",IF($F425&lt;0,"ZARAR",IF($G425&lt;IsMarjEsik,"RİSK","KÂRLI")))</f>
        <v/>
      </c>
      <c r="J425" s="122" t="n"/>
    </row>
    <row r="426" ht="15" customHeight="1" s="76">
      <c r="A426" s="122" t="n"/>
      <c r="B426" s="122" t="n"/>
      <c r="C426" s="123" t="n"/>
      <c r="D426" s="123" t="n"/>
      <c r="E426" s="124" t="n"/>
      <c r="F426" s="119">
        <f>$C426-$D426</f>
        <v/>
      </c>
      <c r="G426" s="120">
        <f>IF($C426=0,0,$F426/$C426)</f>
        <v/>
      </c>
      <c r="H426" s="119">
        <f>IF($E426=0,0,$F426/$E426)</f>
        <v/>
      </c>
      <c r="I426" s="121">
        <f>IF($B426="","",IF($F426&lt;0,"ZARAR",IF($G426&lt;IsMarjEsik,"RİSK","KÂRLI")))</f>
        <v/>
      </c>
      <c r="J426" s="122" t="n"/>
    </row>
    <row r="427" ht="15" customHeight="1" s="76">
      <c r="A427" s="122" t="n"/>
      <c r="B427" s="122" t="n"/>
      <c r="C427" s="123" t="n"/>
      <c r="D427" s="123" t="n"/>
      <c r="E427" s="124" t="n"/>
      <c r="F427" s="119">
        <f>$C427-$D427</f>
        <v/>
      </c>
      <c r="G427" s="120">
        <f>IF($C427=0,0,$F427/$C427)</f>
        <v/>
      </c>
      <c r="H427" s="119">
        <f>IF($E427=0,0,$F427/$E427)</f>
        <v/>
      </c>
      <c r="I427" s="121">
        <f>IF($B427="","",IF($F427&lt;0,"ZARAR",IF($G427&lt;IsMarjEsik,"RİSK","KÂRLI")))</f>
        <v/>
      </c>
      <c r="J427" s="122" t="n"/>
    </row>
    <row r="428" ht="15" customHeight="1" s="76">
      <c r="A428" s="122" t="n"/>
      <c r="B428" s="122" t="n"/>
      <c r="C428" s="123" t="n"/>
      <c r="D428" s="123" t="n"/>
      <c r="E428" s="124" t="n"/>
      <c r="F428" s="119">
        <f>$C428-$D428</f>
        <v/>
      </c>
      <c r="G428" s="120">
        <f>IF($C428=0,0,$F428/$C428)</f>
        <v/>
      </c>
      <c r="H428" s="119">
        <f>IF($E428=0,0,$F428/$E428)</f>
        <v/>
      </c>
      <c r="I428" s="121">
        <f>IF($B428="","",IF($F428&lt;0,"ZARAR",IF($G428&lt;IsMarjEsik,"RİSK","KÂRLI")))</f>
        <v/>
      </c>
      <c r="J428" s="122" t="n"/>
    </row>
    <row r="429" ht="15" customHeight="1" s="76">
      <c r="A429" s="122" t="n"/>
      <c r="B429" s="122" t="n"/>
      <c r="C429" s="123" t="n"/>
      <c r="D429" s="123" t="n"/>
      <c r="E429" s="124" t="n"/>
      <c r="F429" s="119">
        <f>$C429-$D429</f>
        <v/>
      </c>
      <c r="G429" s="120">
        <f>IF($C429=0,0,$F429/$C429)</f>
        <v/>
      </c>
      <c r="H429" s="119">
        <f>IF($E429=0,0,$F429/$E429)</f>
        <v/>
      </c>
      <c r="I429" s="121">
        <f>IF($B429="","",IF($F429&lt;0,"ZARAR",IF($G429&lt;IsMarjEsik,"RİSK","KÂRLI")))</f>
        <v/>
      </c>
      <c r="J429" s="122" t="n"/>
    </row>
    <row r="430" ht="15" customHeight="1" s="76">
      <c r="A430" s="122" t="n"/>
      <c r="B430" s="122" t="n"/>
      <c r="C430" s="123" t="n"/>
      <c r="D430" s="123" t="n"/>
      <c r="E430" s="124" t="n"/>
      <c r="F430" s="119">
        <f>$C430-$D430</f>
        <v/>
      </c>
      <c r="G430" s="120">
        <f>IF($C430=0,0,$F430/$C430)</f>
        <v/>
      </c>
      <c r="H430" s="119">
        <f>IF($E430=0,0,$F430/$E430)</f>
        <v/>
      </c>
      <c r="I430" s="121">
        <f>IF($B430="","",IF($F430&lt;0,"ZARAR",IF($G430&lt;IsMarjEsik,"RİSK","KÂRLI")))</f>
        <v/>
      </c>
      <c r="J430" s="122" t="n"/>
    </row>
    <row r="431" ht="15" customHeight="1" s="76">
      <c r="A431" s="122" t="n"/>
      <c r="B431" s="122" t="n"/>
      <c r="C431" s="123" t="n"/>
      <c r="D431" s="123" t="n"/>
      <c r="E431" s="124" t="n"/>
      <c r="F431" s="119">
        <f>$C431-$D431</f>
        <v/>
      </c>
      <c r="G431" s="120">
        <f>IF($C431=0,0,$F431/$C431)</f>
        <v/>
      </c>
      <c r="H431" s="119">
        <f>IF($E431=0,0,$F431/$E431)</f>
        <v/>
      </c>
      <c r="I431" s="121">
        <f>IF($B431="","",IF($F431&lt;0,"ZARAR",IF($G431&lt;IsMarjEsik,"RİSK","KÂRLI")))</f>
        <v/>
      </c>
      <c r="J431" s="122" t="n"/>
    </row>
    <row r="432" ht="15" customHeight="1" s="76">
      <c r="A432" s="122" t="n"/>
      <c r="B432" s="122" t="n"/>
      <c r="C432" s="123" t="n"/>
      <c r="D432" s="123" t="n"/>
      <c r="E432" s="124" t="n"/>
      <c r="F432" s="119">
        <f>$C432-$D432</f>
        <v/>
      </c>
      <c r="G432" s="120">
        <f>IF($C432=0,0,$F432/$C432)</f>
        <v/>
      </c>
      <c r="H432" s="119">
        <f>IF($E432=0,0,$F432/$E432)</f>
        <v/>
      </c>
      <c r="I432" s="121">
        <f>IF($B432="","",IF($F432&lt;0,"ZARAR",IF($G432&lt;IsMarjEsik,"RİSK","KÂRLI")))</f>
        <v/>
      </c>
      <c r="J432" s="122" t="n"/>
    </row>
    <row r="433" ht="15" customHeight="1" s="76">
      <c r="A433" s="122" t="n"/>
      <c r="B433" s="122" t="n"/>
      <c r="C433" s="123" t="n"/>
      <c r="D433" s="123" t="n"/>
      <c r="E433" s="124" t="n"/>
      <c r="F433" s="119">
        <f>$C433-$D433</f>
        <v/>
      </c>
      <c r="G433" s="120">
        <f>IF($C433=0,0,$F433/$C433)</f>
        <v/>
      </c>
      <c r="H433" s="119">
        <f>IF($E433=0,0,$F433/$E433)</f>
        <v/>
      </c>
      <c r="I433" s="121">
        <f>IF($B433="","",IF($F433&lt;0,"ZARAR",IF($G433&lt;IsMarjEsik,"RİSK","KÂRLI")))</f>
        <v/>
      </c>
      <c r="J433" s="122" t="n"/>
    </row>
    <row r="434" ht="15" customHeight="1" s="76">
      <c r="A434" s="122" t="n"/>
      <c r="B434" s="122" t="n"/>
      <c r="C434" s="123" t="n"/>
      <c r="D434" s="123" t="n"/>
      <c r="E434" s="124" t="n"/>
      <c r="F434" s="119">
        <f>$C434-$D434</f>
        <v/>
      </c>
      <c r="G434" s="120">
        <f>IF($C434=0,0,$F434/$C434)</f>
        <v/>
      </c>
      <c r="H434" s="119">
        <f>IF($E434=0,0,$F434/$E434)</f>
        <v/>
      </c>
      <c r="I434" s="121">
        <f>IF($B434="","",IF($F434&lt;0,"ZARAR",IF($G434&lt;IsMarjEsik,"RİSK","KÂRLI")))</f>
        <v/>
      </c>
      <c r="J434" s="122" t="n"/>
    </row>
    <row r="435" ht="15" customHeight="1" s="76">
      <c r="A435" s="122" t="n"/>
      <c r="B435" s="122" t="n"/>
      <c r="C435" s="123" t="n"/>
      <c r="D435" s="123" t="n"/>
      <c r="E435" s="124" t="n"/>
      <c r="F435" s="119">
        <f>$C435-$D435</f>
        <v/>
      </c>
      <c r="G435" s="120">
        <f>IF($C435=0,0,$F435/$C435)</f>
        <v/>
      </c>
      <c r="H435" s="119">
        <f>IF($E435=0,0,$F435/$E435)</f>
        <v/>
      </c>
      <c r="I435" s="121">
        <f>IF($B435="","",IF($F435&lt;0,"ZARAR",IF($G435&lt;IsMarjEsik,"RİSK","KÂRLI")))</f>
        <v/>
      </c>
      <c r="J435" s="122" t="n"/>
    </row>
    <row r="436" ht="15" customHeight="1" s="76">
      <c r="A436" s="122" t="n"/>
      <c r="B436" s="122" t="n"/>
      <c r="C436" s="123" t="n"/>
      <c r="D436" s="123" t="n"/>
      <c r="E436" s="124" t="n"/>
      <c r="F436" s="119">
        <f>$C436-$D436</f>
        <v/>
      </c>
      <c r="G436" s="120">
        <f>IF($C436=0,0,$F436/$C436)</f>
        <v/>
      </c>
      <c r="H436" s="119">
        <f>IF($E436=0,0,$F436/$E436)</f>
        <v/>
      </c>
      <c r="I436" s="121">
        <f>IF($B436="","",IF($F436&lt;0,"ZARAR",IF($G436&lt;IsMarjEsik,"RİSK","KÂRLI")))</f>
        <v/>
      </c>
      <c r="J436" s="122" t="n"/>
    </row>
    <row r="437" ht="15" customHeight="1" s="76">
      <c r="A437" s="122" t="n"/>
      <c r="B437" s="122" t="n"/>
      <c r="C437" s="123" t="n"/>
      <c r="D437" s="123" t="n"/>
      <c r="E437" s="124" t="n"/>
      <c r="F437" s="119">
        <f>$C437-$D437</f>
        <v/>
      </c>
      <c r="G437" s="120">
        <f>IF($C437=0,0,$F437/$C437)</f>
        <v/>
      </c>
      <c r="H437" s="119">
        <f>IF($E437=0,0,$F437/$E437)</f>
        <v/>
      </c>
      <c r="I437" s="121">
        <f>IF($B437="","",IF($F437&lt;0,"ZARAR",IF($G437&lt;IsMarjEsik,"RİSK","KÂRLI")))</f>
        <v/>
      </c>
      <c r="J437" s="122" t="n"/>
    </row>
    <row r="438" ht="15" customHeight="1" s="76">
      <c r="A438" s="122" t="n"/>
      <c r="B438" s="122" t="n"/>
      <c r="C438" s="123" t="n"/>
      <c r="D438" s="123" t="n"/>
      <c r="E438" s="124" t="n"/>
      <c r="F438" s="119">
        <f>$C438-$D438</f>
        <v/>
      </c>
      <c r="G438" s="120">
        <f>IF($C438=0,0,$F438/$C438)</f>
        <v/>
      </c>
      <c r="H438" s="119">
        <f>IF($E438=0,0,$F438/$E438)</f>
        <v/>
      </c>
      <c r="I438" s="121">
        <f>IF($B438="","",IF($F438&lt;0,"ZARAR",IF($G438&lt;IsMarjEsik,"RİSK","KÂRLI")))</f>
        <v/>
      </c>
      <c r="J438" s="122" t="n"/>
    </row>
    <row r="439" ht="15" customHeight="1" s="76">
      <c r="A439" s="122" t="n"/>
      <c r="B439" s="122" t="n"/>
      <c r="C439" s="123" t="n"/>
      <c r="D439" s="123" t="n"/>
      <c r="E439" s="124" t="n"/>
      <c r="F439" s="119">
        <f>$C439-$D439</f>
        <v/>
      </c>
      <c r="G439" s="120">
        <f>IF($C439=0,0,$F439/$C439)</f>
        <v/>
      </c>
      <c r="H439" s="119">
        <f>IF($E439=0,0,$F439/$E439)</f>
        <v/>
      </c>
      <c r="I439" s="121">
        <f>IF($B439="","",IF($F439&lt;0,"ZARAR",IF($G439&lt;IsMarjEsik,"RİSK","KÂRLI")))</f>
        <v/>
      </c>
      <c r="J439" s="122" t="n"/>
    </row>
    <row r="440" ht="15" customHeight="1" s="76">
      <c r="A440" s="122" t="n"/>
      <c r="B440" s="122" t="n"/>
      <c r="C440" s="123" t="n"/>
      <c r="D440" s="123" t="n"/>
      <c r="E440" s="124" t="n"/>
      <c r="F440" s="119">
        <f>$C440-$D440</f>
        <v/>
      </c>
      <c r="G440" s="120">
        <f>IF($C440=0,0,$F440/$C440)</f>
        <v/>
      </c>
      <c r="H440" s="119">
        <f>IF($E440=0,0,$F440/$E440)</f>
        <v/>
      </c>
      <c r="I440" s="121">
        <f>IF($B440="","",IF($F440&lt;0,"ZARAR",IF($G440&lt;IsMarjEsik,"RİSK","KÂRLI")))</f>
        <v/>
      </c>
      <c r="J440" s="122" t="n"/>
    </row>
    <row r="441" ht="15" customHeight="1" s="76">
      <c r="A441" s="122" t="n"/>
      <c r="B441" s="122" t="n"/>
      <c r="C441" s="123" t="n"/>
      <c r="D441" s="123" t="n"/>
      <c r="E441" s="124" t="n"/>
      <c r="F441" s="119">
        <f>$C441-$D441</f>
        <v/>
      </c>
      <c r="G441" s="120">
        <f>IF($C441=0,0,$F441/$C441)</f>
        <v/>
      </c>
      <c r="H441" s="119">
        <f>IF($E441=0,0,$F441/$E441)</f>
        <v/>
      </c>
      <c r="I441" s="121">
        <f>IF($B441="","",IF($F441&lt;0,"ZARAR",IF($G441&lt;IsMarjEsik,"RİSK","KÂRLI")))</f>
        <v/>
      </c>
      <c r="J441" s="122" t="n"/>
    </row>
    <row r="442" ht="15" customHeight="1" s="76">
      <c r="A442" s="122" t="n"/>
      <c r="B442" s="122" t="n"/>
      <c r="C442" s="123" t="n"/>
      <c r="D442" s="123" t="n"/>
      <c r="E442" s="124" t="n"/>
      <c r="F442" s="119">
        <f>$C442-$D442</f>
        <v/>
      </c>
      <c r="G442" s="120">
        <f>IF($C442=0,0,$F442/$C442)</f>
        <v/>
      </c>
      <c r="H442" s="119">
        <f>IF($E442=0,0,$F442/$E442)</f>
        <v/>
      </c>
      <c r="I442" s="121">
        <f>IF($B442="","",IF($F442&lt;0,"ZARAR",IF($G442&lt;IsMarjEsik,"RİSK","KÂRLI")))</f>
        <v/>
      </c>
      <c r="J442" s="122" t="n"/>
    </row>
    <row r="443" ht="15" customHeight="1" s="76">
      <c r="A443" s="122" t="n"/>
      <c r="B443" s="122" t="n"/>
      <c r="C443" s="123" t="n"/>
      <c r="D443" s="123" t="n"/>
      <c r="E443" s="124" t="n"/>
      <c r="F443" s="119">
        <f>$C443-$D443</f>
        <v/>
      </c>
      <c r="G443" s="120">
        <f>IF($C443=0,0,$F443/$C443)</f>
        <v/>
      </c>
      <c r="H443" s="119">
        <f>IF($E443=0,0,$F443/$E443)</f>
        <v/>
      </c>
      <c r="I443" s="121">
        <f>IF($B443="","",IF($F443&lt;0,"ZARAR",IF($G443&lt;IsMarjEsik,"RİSK","KÂRLI")))</f>
        <v/>
      </c>
      <c r="J443" s="122" t="n"/>
    </row>
    <row r="444" ht="15" customHeight="1" s="76">
      <c r="A444" s="122" t="n"/>
      <c r="B444" s="122" t="n"/>
      <c r="C444" s="123" t="n"/>
      <c r="D444" s="123" t="n"/>
      <c r="E444" s="124" t="n"/>
      <c r="F444" s="119">
        <f>$C444-$D444</f>
        <v/>
      </c>
      <c r="G444" s="120">
        <f>IF($C444=0,0,$F444/$C444)</f>
        <v/>
      </c>
      <c r="H444" s="119">
        <f>IF($E444=0,0,$F444/$E444)</f>
        <v/>
      </c>
      <c r="I444" s="121">
        <f>IF($B444="","",IF($F444&lt;0,"ZARAR",IF($G444&lt;IsMarjEsik,"RİSK","KÂRLI")))</f>
        <v/>
      </c>
      <c r="J444" s="122" t="n"/>
    </row>
    <row r="445" ht="15" customHeight="1" s="76">
      <c r="A445" s="122" t="n"/>
      <c r="B445" s="122" t="n"/>
      <c r="C445" s="123" t="n"/>
      <c r="D445" s="123" t="n"/>
      <c r="E445" s="124" t="n"/>
      <c r="F445" s="119">
        <f>$C445-$D445</f>
        <v/>
      </c>
      <c r="G445" s="120">
        <f>IF($C445=0,0,$F445/$C445)</f>
        <v/>
      </c>
      <c r="H445" s="119">
        <f>IF($E445=0,0,$F445/$E445)</f>
        <v/>
      </c>
      <c r="I445" s="121">
        <f>IF($B445="","",IF($F445&lt;0,"ZARAR",IF($G445&lt;IsMarjEsik,"RİSK","KÂRLI")))</f>
        <v/>
      </c>
      <c r="J445" s="122" t="n"/>
    </row>
    <row r="446" ht="15" customHeight="1" s="76">
      <c r="A446" s="122" t="n"/>
      <c r="B446" s="122" t="n"/>
      <c r="C446" s="123" t="n"/>
      <c r="D446" s="123" t="n"/>
      <c r="E446" s="124" t="n"/>
      <c r="F446" s="119">
        <f>$C446-$D446</f>
        <v/>
      </c>
      <c r="G446" s="120">
        <f>IF($C446=0,0,$F446/$C446)</f>
        <v/>
      </c>
      <c r="H446" s="119">
        <f>IF($E446=0,0,$F446/$E446)</f>
        <v/>
      </c>
      <c r="I446" s="121">
        <f>IF($B446="","",IF($F446&lt;0,"ZARAR",IF($G446&lt;IsMarjEsik,"RİSK","KÂRLI")))</f>
        <v/>
      </c>
      <c r="J446" s="122" t="n"/>
    </row>
    <row r="447" ht="15" customHeight="1" s="76">
      <c r="A447" s="122" t="n"/>
      <c r="B447" s="122" t="n"/>
      <c r="C447" s="123" t="n"/>
      <c r="D447" s="123" t="n"/>
      <c r="E447" s="124" t="n"/>
      <c r="F447" s="119">
        <f>$C447-$D447</f>
        <v/>
      </c>
      <c r="G447" s="120">
        <f>IF($C447=0,0,$F447/$C447)</f>
        <v/>
      </c>
      <c r="H447" s="119">
        <f>IF($E447=0,0,$F447/$E447)</f>
        <v/>
      </c>
      <c r="I447" s="121">
        <f>IF($B447="","",IF($F447&lt;0,"ZARAR",IF($G447&lt;IsMarjEsik,"RİSK","KÂRLI")))</f>
        <v/>
      </c>
      <c r="J447" s="122" t="n"/>
    </row>
    <row r="448" ht="15" customHeight="1" s="76">
      <c r="A448" s="122" t="n"/>
      <c r="B448" s="122" t="n"/>
      <c r="C448" s="123" t="n"/>
      <c r="D448" s="123" t="n"/>
      <c r="E448" s="124" t="n"/>
      <c r="F448" s="119">
        <f>$C448-$D448</f>
        <v/>
      </c>
      <c r="G448" s="120">
        <f>IF($C448=0,0,$F448/$C448)</f>
        <v/>
      </c>
      <c r="H448" s="119">
        <f>IF($E448=0,0,$F448/$E448)</f>
        <v/>
      </c>
      <c r="I448" s="121">
        <f>IF($B448="","",IF($F448&lt;0,"ZARAR",IF($G448&lt;IsMarjEsik,"RİSK","KÂRLI")))</f>
        <v/>
      </c>
      <c r="J448" s="122" t="n"/>
    </row>
    <row r="449" ht="15" customHeight="1" s="76">
      <c r="A449" s="122" t="n"/>
      <c r="B449" s="122" t="n"/>
      <c r="C449" s="123" t="n"/>
      <c r="D449" s="123" t="n"/>
      <c r="E449" s="124" t="n"/>
      <c r="F449" s="119">
        <f>$C449-$D449</f>
        <v/>
      </c>
      <c r="G449" s="120">
        <f>IF($C449=0,0,$F449/$C449)</f>
        <v/>
      </c>
      <c r="H449" s="119">
        <f>IF($E449=0,0,$F449/$E449)</f>
        <v/>
      </c>
      <c r="I449" s="121">
        <f>IF($B449="","",IF($F449&lt;0,"ZARAR",IF($G449&lt;IsMarjEsik,"RİSK","KÂRLI")))</f>
        <v/>
      </c>
      <c r="J449" s="122" t="n"/>
    </row>
    <row r="450" ht="15" customHeight="1" s="76">
      <c r="A450" s="122" t="n"/>
      <c r="B450" s="122" t="n"/>
      <c r="C450" s="123" t="n"/>
      <c r="D450" s="123" t="n"/>
      <c r="E450" s="124" t="n"/>
      <c r="F450" s="119">
        <f>$C450-$D450</f>
        <v/>
      </c>
      <c r="G450" s="120">
        <f>IF($C450=0,0,$F450/$C450)</f>
        <v/>
      </c>
      <c r="H450" s="119">
        <f>IF($E450=0,0,$F450/$E450)</f>
        <v/>
      </c>
      <c r="I450" s="121">
        <f>IF($B450="","",IF($F450&lt;0,"ZARAR",IF($G450&lt;IsMarjEsik,"RİSK","KÂRLI")))</f>
        <v/>
      </c>
      <c r="J450" s="122" t="n"/>
    </row>
    <row r="451" ht="15" customHeight="1" s="76">
      <c r="A451" s="122" t="n"/>
      <c r="B451" s="122" t="n"/>
      <c r="C451" s="123" t="n"/>
      <c r="D451" s="123" t="n"/>
      <c r="E451" s="124" t="n"/>
      <c r="F451" s="119">
        <f>$C451-$D451</f>
        <v/>
      </c>
      <c r="G451" s="120">
        <f>IF($C451=0,0,$F451/$C451)</f>
        <v/>
      </c>
      <c r="H451" s="119">
        <f>IF($E451=0,0,$F451/$E451)</f>
        <v/>
      </c>
      <c r="I451" s="121">
        <f>IF($B451="","",IF($F451&lt;0,"ZARAR",IF($G451&lt;IsMarjEsik,"RİSK","KÂRLI")))</f>
        <v/>
      </c>
      <c r="J451" s="122" t="n"/>
    </row>
    <row r="452" ht="15" customHeight="1" s="76">
      <c r="A452" s="122" t="n"/>
      <c r="B452" s="122" t="n"/>
      <c r="C452" s="123" t="n"/>
      <c r="D452" s="123" t="n"/>
      <c r="E452" s="124" t="n"/>
      <c r="F452" s="119">
        <f>$C452-$D452</f>
        <v/>
      </c>
      <c r="G452" s="120">
        <f>IF($C452=0,0,$F452/$C452)</f>
        <v/>
      </c>
      <c r="H452" s="119">
        <f>IF($E452=0,0,$F452/$E452)</f>
        <v/>
      </c>
      <c r="I452" s="121">
        <f>IF($B452="","",IF($F452&lt;0,"ZARAR",IF($G452&lt;IsMarjEsik,"RİSK","KÂRLI")))</f>
        <v/>
      </c>
      <c r="J452" s="122" t="n"/>
    </row>
    <row r="453" ht="15" customHeight="1" s="76">
      <c r="A453" s="122" t="n"/>
      <c r="B453" s="122" t="n"/>
      <c r="C453" s="123" t="n"/>
      <c r="D453" s="123" t="n"/>
      <c r="E453" s="124" t="n"/>
      <c r="F453" s="119">
        <f>$C453-$D453</f>
        <v/>
      </c>
      <c r="G453" s="120">
        <f>IF($C453=0,0,$F453/$C453)</f>
        <v/>
      </c>
      <c r="H453" s="119">
        <f>IF($E453=0,0,$F453/$E453)</f>
        <v/>
      </c>
      <c r="I453" s="121">
        <f>IF($B453="","",IF($F453&lt;0,"ZARAR",IF($G453&lt;IsMarjEsik,"RİSK","KÂRLI")))</f>
        <v/>
      </c>
      <c r="J453" s="122" t="n"/>
    </row>
    <row r="454" ht="15" customHeight="1" s="76">
      <c r="A454" s="122" t="n"/>
      <c r="B454" s="122" t="n"/>
      <c r="C454" s="123" t="n"/>
      <c r="D454" s="123" t="n"/>
      <c r="E454" s="124" t="n"/>
      <c r="F454" s="119">
        <f>$C454-$D454</f>
        <v/>
      </c>
      <c r="G454" s="120">
        <f>IF($C454=0,0,$F454/$C454)</f>
        <v/>
      </c>
      <c r="H454" s="119">
        <f>IF($E454=0,0,$F454/$E454)</f>
        <v/>
      </c>
      <c r="I454" s="121">
        <f>IF($B454="","",IF($F454&lt;0,"ZARAR",IF($G454&lt;IsMarjEsik,"RİSK","KÂRLI")))</f>
        <v/>
      </c>
      <c r="J454" s="122" t="n"/>
    </row>
    <row r="455" ht="15" customHeight="1" s="76">
      <c r="A455" s="122" t="n"/>
      <c r="B455" s="122" t="n"/>
      <c r="C455" s="123" t="n"/>
      <c r="D455" s="123" t="n"/>
      <c r="E455" s="124" t="n"/>
      <c r="F455" s="119">
        <f>$C455-$D455</f>
        <v/>
      </c>
      <c r="G455" s="120">
        <f>IF($C455=0,0,$F455/$C455)</f>
        <v/>
      </c>
      <c r="H455" s="119">
        <f>IF($E455=0,0,$F455/$E455)</f>
        <v/>
      </c>
      <c r="I455" s="121">
        <f>IF($B455="","",IF($F455&lt;0,"ZARAR",IF($G455&lt;IsMarjEsik,"RİSK","KÂRLI")))</f>
        <v/>
      </c>
      <c r="J455" s="122" t="n"/>
    </row>
    <row r="456" ht="15" customHeight="1" s="76">
      <c r="A456" s="122" t="n"/>
      <c r="B456" s="122" t="n"/>
      <c r="C456" s="123" t="n"/>
      <c r="D456" s="123" t="n"/>
      <c r="E456" s="124" t="n"/>
      <c r="F456" s="119">
        <f>$C456-$D456</f>
        <v/>
      </c>
      <c r="G456" s="120">
        <f>IF($C456=0,0,$F456/$C456)</f>
        <v/>
      </c>
      <c r="H456" s="119">
        <f>IF($E456=0,0,$F456/$E456)</f>
        <v/>
      </c>
      <c r="I456" s="121">
        <f>IF($B456="","",IF($F456&lt;0,"ZARAR",IF($G456&lt;IsMarjEsik,"RİSK","KÂRLI")))</f>
        <v/>
      </c>
      <c r="J456" s="122" t="n"/>
    </row>
    <row r="457" ht="15" customHeight="1" s="76">
      <c r="A457" s="122" t="n"/>
      <c r="B457" s="122" t="n"/>
      <c r="C457" s="123" t="n"/>
      <c r="D457" s="123" t="n"/>
      <c r="E457" s="124" t="n"/>
      <c r="F457" s="119">
        <f>$C457-$D457</f>
        <v/>
      </c>
      <c r="G457" s="120">
        <f>IF($C457=0,0,$F457/$C457)</f>
        <v/>
      </c>
      <c r="H457" s="119">
        <f>IF($E457=0,0,$F457/$E457)</f>
        <v/>
      </c>
      <c r="I457" s="121">
        <f>IF($B457="","",IF($F457&lt;0,"ZARAR",IF($G457&lt;IsMarjEsik,"RİSK","KÂRLI")))</f>
        <v/>
      </c>
      <c r="J457" s="122" t="n"/>
    </row>
    <row r="458" ht="15" customHeight="1" s="76">
      <c r="A458" s="122" t="n"/>
      <c r="B458" s="122" t="n"/>
      <c r="C458" s="123" t="n"/>
      <c r="D458" s="123" t="n"/>
      <c r="E458" s="124" t="n"/>
      <c r="F458" s="119">
        <f>$C458-$D458</f>
        <v/>
      </c>
      <c r="G458" s="120">
        <f>IF($C458=0,0,$F458/$C458)</f>
        <v/>
      </c>
      <c r="H458" s="119">
        <f>IF($E458=0,0,$F458/$E458)</f>
        <v/>
      </c>
      <c r="I458" s="121">
        <f>IF($B458="","",IF($F458&lt;0,"ZARAR",IF($G458&lt;IsMarjEsik,"RİSK","KÂRLI")))</f>
        <v/>
      </c>
      <c r="J458" s="122" t="n"/>
    </row>
    <row r="459" ht="15" customHeight="1" s="76">
      <c r="A459" s="122" t="n"/>
      <c r="B459" s="122" t="n"/>
      <c r="C459" s="123" t="n"/>
      <c r="D459" s="123" t="n"/>
      <c r="E459" s="124" t="n"/>
      <c r="F459" s="119">
        <f>$C459-$D459</f>
        <v/>
      </c>
      <c r="G459" s="120">
        <f>IF($C459=0,0,$F459/$C459)</f>
        <v/>
      </c>
      <c r="H459" s="119">
        <f>IF($E459=0,0,$F459/$E459)</f>
        <v/>
      </c>
      <c r="I459" s="121">
        <f>IF($B459="","",IF($F459&lt;0,"ZARAR",IF($G459&lt;IsMarjEsik,"RİSK","KÂRLI")))</f>
        <v/>
      </c>
      <c r="J459" s="122" t="n"/>
    </row>
    <row r="460" ht="15" customHeight="1" s="76">
      <c r="A460" s="122" t="n"/>
      <c r="B460" s="122" t="n"/>
      <c r="C460" s="123" t="n"/>
      <c r="D460" s="123" t="n"/>
      <c r="E460" s="124" t="n"/>
      <c r="F460" s="119">
        <f>$C460-$D460</f>
        <v/>
      </c>
      <c r="G460" s="120">
        <f>IF($C460=0,0,$F460/$C460)</f>
        <v/>
      </c>
      <c r="H460" s="119">
        <f>IF($E460=0,0,$F460/$E460)</f>
        <v/>
      </c>
      <c r="I460" s="121">
        <f>IF($B460="","",IF($F460&lt;0,"ZARAR",IF($G460&lt;IsMarjEsik,"RİSK","KÂRLI")))</f>
        <v/>
      </c>
      <c r="J460" s="122" t="n"/>
    </row>
    <row r="461" ht="15" customHeight="1" s="76">
      <c r="A461" s="122" t="n"/>
      <c r="B461" s="122" t="n"/>
      <c r="C461" s="123" t="n"/>
      <c r="D461" s="123" t="n"/>
      <c r="E461" s="124" t="n"/>
      <c r="F461" s="119">
        <f>$C461-$D461</f>
        <v/>
      </c>
      <c r="G461" s="120">
        <f>IF($C461=0,0,$F461/$C461)</f>
        <v/>
      </c>
      <c r="H461" s="119">
        <f>IF($E461=0,0,$F461/$E461)</f>
        <v/>
      </c>
      <c r="I461" s="121">
        <f>IF($B461="","",IF($F461&lt;0,"ZARAR",IF($G461&lt;IsMarjEsik,"RİSK","KÂRLI")))</f>
        <v/>
      </c>
      <c r="J461" s="122" t="n"/>
    </row>
    <row r="462" ht="15" customHeight="1" s="76">
      <c r="A462" s="122" t="n"/>
      <c r="B462" s="122" t="n"/>
      <c r="C462" s="123" t="n"/>
      <c r="D462" s="123" t="n"/>
      <c r="E462" s="124" t="n"/>
      <c r="F462" s="119">
        <f>$C462-$D462</f>
        <v/>
      </c>
      <c r="G462" s="120">
        <f>IF($C462=0,0,$F462/$C462)</f>
        <v/>
      </c>
      <c r="H462" s="119">
        <f>IF($E462=0,0,$F462/$E462)</f>
        <v/>
      </c>
      <c r="I462" s="121">
        <f>IF($B462="","",IF($F462&lt;0,"ZARAR",IF($G462&lt;IsMarjEsik,"RİSK","KÂRLI")))</f>
        <v/>
      </c>
      <c r="J462" s="122" t="n"/>
    </row>
    <row r="463" ht="15" customHeight="1" s="76">
      <c r="A463" s="122" t="n"/>
      <c r="B463" s="122" t="n"/>
      <c r="C463" s="123" t="n"/>
      <c r="D463" s="123" t="n"/>
      <c r="E463" s="124" t="n"/>
      <c r="F463" s="119">
        <f>$C463-$D463</f>
        <v/>
      </c>
      <c r="G463" s="120">
        <f>IF($C463=0,0,$F463/$C463)</f>
        <v/>
      </c>
      <c r="H463" s="119">
        <f>IF($E463=0,0,$F463/$E463)</f>
        <v/>
      </c>
      <c r="I463" s="121">
        <f>IF($B463="","",IF($F463&lt;0,"ZARAR",IF($G463&lt;IsMarjEsik,"RİSK","KÂRLI")))</f>
        <v/>
      </c>
      <c r="J463" s="122" t="n"/>
    </row>
    <row r="464" ht="15" customHeight="1" s="76">
      <c r="A464" s="122" t="n"/>
      <c r="B464" s="122" t="n"/>
      <c r="C464" s="123" t="n"/>
      <c r="D464" s="123" t="n"/>
      <c r="E464" s="124" t="n"/>
      <c r="F464" s="119">
        <f>$C464-$D464</f>
        <v/>
      </c>
      <c r="G464" s="120">
        <f>IF($C464=0,0,$F464/$C464)</f>
        <v/>
      </c>
      <c r="H464" s="119">
        <f>IF($E464=0,0,$F464/$E464)</f>
        <v/>
      </c>
      <c r="I464" s="121">
        <f>IF($B464="","",IF($F464&lt;0,"ZARAR",IF($G464&lt;IsMarjEsik,"RİSK","KÂRLI")))</f>
        <v/>
      </c>
      <c r="J464" s="122" t="n"/>
    </row>
    <row r="465" ht="15" customHeight="1" s="76">
      <c r="A465" s="122" t="n"/>
      <c r="B465" s="122" t="n"/>
      <c r="C465" s="123" t="n"/>
      <c r="D465" s="123" t="n"/>
      <c r="E465" s="124" t="n"/>
      <c r="F465" s="119">
        <f>$C465-$D465</f>
        <v/>
      </c>
      <c r="G465" s="120">
        <f>IF($C465=0,0,$F465/$C465)</f>
        <v/>
      </c>
      <c r="H465" s="119">
        <f>IF($E465=0,0,$F465/$E465)</f>
        <v/>
      </c>
      <c r="I465" s="121">
        <f>IF($B465="","",IF($F465&lt;0,"ZARAR",IF($G465&lt;IsMarjEsik,"RİSK","KÂRLI")))</f>
        <v/>
      </c>
      <c r="J465" s="122" t="n"/>
    </row>
    <row r="466" ht="15" customHeight="1" s="76">
      <c r="A466" s="122" t="n"/>
      <c r="B466" s="122" t="n"/>
      <c r="C466" s="123" t="n"/>
      <c r="D466" s="123" t="n"/>
      <c r="E466" s="124" t="n"/>
      <c r="F466" s="119">
        <f>$C466-$D466</f>
        <v/>
      </c>
      <c r="G466" s="120">
        <f>IF($C466=0,0,$F466/$C466)</f>
        <v/>
      </c>
      <c r="H466" s="119">
        <f>IF($E466=0,0,$F466/$E466)</f>
        <v/>
      </c>
      <c r="I466" s="121">
        <f>IF($B466="","",IF($F466&lt;0,"ZARAR",IF($G466&lt;IsMarjEsik,"RİSK","KÂRLI")))</f>
        <v/>
      </c>
      <c r="J466" s="122" t="n"/>
    </row>
    <row r="467" ht="15" customHeight="1" s="76">
      <c r="A467" s="122" t="n"/>
      <c r="B467" s="122" t="n"/>
      <c r="C467" s="123" t="n"/>
      <c r="D467" s="123" t="n"/>
      <c r="E467" s="124" t="n"/>
      <c r="F467" s="119">
        <f>$C467-$D467</f>
        <v/>
      </c>
      <c r="G467" s="120">
        <f>IF($C467=0,0,$F467/$C467)</f>
        <v/>
      </c>
      <c r="H467" s="119">
        <f>IF($E467=0,0,$F467/$E467)</f>
        <v/>
      </c>
      <c r="I467" s="121">
        <f>IF($B467="","",IF($F467&lt;0,"ZARAR",IF($G467&lt;IsMarjEsik,"RİSK","KÂRLI")))</f>
        <v/>
      </c>
      <c r="J467" s="122" t="n"/>
    </row>
    <row r="468" ht="15" customHeight="1" s="76">
      <c r="A468" s="122" t="n"/>
      <c r="B468" s="122" t="n"/>
      <c r="C468" s="123" t="n"/>
      <c r="D468" s="123" t="n"/>
      <c r="E468" s="124" t="n"/>
      <c r="F468" s="119">
        <f>$C468-$D468</f>
        <v/>
      </c>
      <c r="G468" s="120">
        <f>IF($C468=0,0,$F468/$C468)</f>
        <v/>
      </c>
      <c r="H468" s="119">
        <f>IF($E468=0,0,$F468/$E468)</f>
        <v/>
      </c>
      <c r="I468" s="121">
        <f>IF($B468="","",IF($F468&lt;0,"ZARAR",IF($G468&lt;IsMarjEsik,"RİSK","KÂRLI")))</f>
        <v/>
      </c>
      <c r="J468" s="122" t="n"/>
    </row>
    <row r="469" ht="15" customHeight="1" s="76">
      <c r="A469" s="122" t="n"/>
      <c r="B469" s="122" t="n"/>
      <c r="C469" s="123" t="n"/>
      <c r="D469" s="123" t="n"/>
      <c r="E469" s="124" t="n"/>
      <c r="F469" s="119">
        <f>$C469-$D469</f>
        <v/>
      </c>
      <c r="G469" s="120">
        <f>IF($C469=0,0,$F469/$C469)</f>
        <v/>
      </c>
      <c r="H469" s="119">
        <f>IF($E469=0,0,$F469/$E469)</f>
        <v/>
      </c>
      <c r="I469" s="121">
        <f>IF($B469="","",IF($F469&lt;0,"ZARAR",IF($G469&lt;IsMarjEsik,"RİSK","KÂRLI")))</f>
        <v/>
      </c>
      <c r="J469" s="122" t="n"/>
    </row>
    <row r="470" ht="15" customHeight="1" s="76">
      <c r="A470" s="122" t="n"/>
      <c r="B470" s="122" t="n"/>
      <c r="C470" s="123" t="n"/>
      <c r="D470" s="123" t="n"/>
      <c r="E470" s="124" t="n"/>
      <c r="F470" s="119">
        <f>$C470-$D470</f>
        <v/>
      </c>
      <c r="G470" s="120">
        <f>IF($C470=0,0,$F470/$C470)</f>
        <v/>
      </c>
      <c r="H470" s="119">
        <f>IF($E470=0,0,$F470/$E470)</f>
        <v/>
      </c>
      <c r="I470" s="121">
        <f>IF($B470="","",IF($F470&lt;0,"ZARAR",IF($G470&lt;IsMarjEsik,"RİSK","KÂRLI")))</f>
        <v/>
      </c>
      <c r="J470" s="122" t="n"/>
    </row>
    <row r="471" ht="15" customHeight="1" s="76">
      <c r="A471" s="122" t="n"/>
      <c r="B471" s="122" t="n"/>
      <c r="C471" s="123" t="n"/>
      <c r="D471" s="123" t="n"/>
      <c r="E471" s="124" t="n"/>
      <c r="F471" s="119">
        <f>$C471-$D471</f>
        <v/>
      </c>
      <c r="G471" s="120">
        <f>IF($C471=0,0,$F471/$C471)</f>
        <v/>
      </c>
      <c r="H471" s="119">
        <f>IF($E471=0,0,$F471/$E471)</f>
        <v/>
      </c>
      <c r="I471" s="121">
        <f>IF($B471="","",IF($F471&lt;0,"ZARAR",IF($G471&lt;IsMarjEsik,"RİSK","KÂRLI")))</f>
        <v/>
      </c>
      <c r="J471" s="122" t="n"/>
    </row>
    <row r="472" ht="15" customHeight="1" s="76">
      <c r="A472" s="122" t="n"/>
      <c r="B472" s="122" t="n"/>
      <c r="C472" s="123" t="n"/>
      <c r="D472" s="123" t="n"/>
      <c r="E472" s="124" t="n"/>
      <c r="F472" s="119">
        <f>$C472-$D472</f>
        <v/>
      </c>
      <c r="G472" s="120">
        <f>IF($C472=0,0,$F472/$C472)</f>
        <v/>
      </c>
      <c r="H472" s="119">
        <f>IF($E472=0,0,$F472/$E472)</f>
        <v/>
      </c>
      <c r="I472" s="121">
        <f>IF($B472="","",IF($F472&lt;0,"ZARAR",IF($G472&lt;IsMarjEsik,"RİSK","KÂRLI")))</f>
        <v/>
      </c>
      <c r="J472" s="122" t="n"/>
    </row>
    <row r="473" ht="15" customHeight="1" s="76">
      <c r="A473" s="122" t="n"/>
      <c r="B473" s="122" t="n"/>
      <c r="C473" s="123" t="n"/>
      <c r="D473" s="123" t="n"/>
      <c r="E473" s="124" t="n"/>
      <c r="F473" s="119">
        <f>$C473-$D473</f>
        <v/>
      </c>
      <c r="G473" s="120">
        <f>IF($C473=0,0,$F473/$C473)</f>
        <v/>
      </c>
      <c r="H473" s="119">
        <f>IF($E473=0,0,$F473/$E473)</f>
        <v/>
      </c>
      <c r="I473" s="121">
        <f>IF($B473="","",IF($F473&lt;0,"ZARAR",IF($G473&lt;IsMarjEsik,"RİSK","KÂRLI")))</f>
        <v/>
      </c>
      <c r="J473" s="122" t="n"/>
    </row>
    <row r="474" ht="15" customHeight="1" s="76">
      <c r="A474" s="122" t="n"/>
      <c r="B474" s="122" t="n"/>
      <c r="C474" s="123" t="n"/>
      <c r="D474" s="123" t="n"/>
      <c r="E474" s="124" t="n"/>
      <c r="F474" s="119">
        <f>$C474-$D474</f>
        <v/>
      </c>
      <c r="G474" s="120">
        <f>IF($C474=0,0,$F474/$C474)</f>
        <v/>
      </c>
      <c r="H474" s="119">
        <f>IF($E474=0,0,$F474/$E474)</f>
        <v/>
      </c>
      <c r="I474" s="121">
        <f>IF($B474="","",IF($F474&lt;0,"ZARAR",IF($G474&lt;IsMarjEsik,"RİSK","KÂRLI")))</f>
        <v/>
      </c>
      <c r="J474" s="122" t="n"/>
    </row>
    <row r="475" ht="15" customHeight="1" s="76">
      <c r="A475" s="122" t="n"/>
      <c r="B475" s="122" t="n"/>
      <c r="C475" s="123" t="n"/>
      <c r="D475" s="123" t="n"/>
      <c r="E475" s="124" t="n"/>
      <c r="F475" s="119">
        <f>$C475-$D475</f>
        <v/>
      </c>
      <c r="G475" s="120">
        <f>IF($C475=0,0,$F475/$C475)</f>
        <v/>
      </c>
      <c r="H475" s="119">
        <f>IF($E475=0,0,$F475/$E475)</f>
        <v/>
      </c>
      <c r="I475" s="121">
        <f>IF($B475="","",IF($F475&lt;0,"ZARAR",IF($G475&lt;IsMarjEsik,"RİSK","KÂRLI")))</f>
        <v/>
      </c>
      <c r="J475" s="122" t="n"/>
    </row>
    <row r="476" ht="15" customHeight="1" s="76">
      <c r="A476" s="122" t="n"/>
      <c r="B476" s="122" t="n"/>
      <c r="C476" s="123" t="n"/>
      <c r="D476" s="123" t="n"/>
      <c r="E476" s="124" t="n"/>
      <c r="F476" s="119">
        <f>$C476-$D476</f>
        <v/>
      </c>
      <c r="G476" s="120">
        <f>IF($C476=0,0,$F476/$C476)</f>
        <v/>
      </c>
      <c r="H476" s="119">
        <f>IF($E476=0,0,$F476/$E476)</f>
        <v/>
      </c>
      <c r="I476" s="121">
        <f>IF($B476="","",IF($F476&lt;0,"ZARAR",IF($G476&lt;IsMarjEsik,"RİSK","KÂRLI")))</f>
        <v/>
      </c>
      <c r="J476" s="122" t="n"/>
    </row>
    <row r="477" ht="15" customHeight="1" s="76">
      <c r="A477" s="122" t="n"/>
      <c r="B477" s="122" t="n"/>
      <c r="C477" s="123" t="n"/>
      <c r="D477" s="123" t="n"/>
      <c r="E477" s="124" t="n"/>
      <c r="F477" s="119">
        <f>$C477-$D477</f>
        <v/>
      </c>
      <c r="G477" s="120">
        <f>IF($C477=0,0,$F477/$C477)</f>
        <v/>
      </c>
      <c r="H477" s="119">
        <f>IF($E477=0,0,$F477/$E477)</f>
        <v/>
      </c>
      <c r="I477" s="121">
        <f>IF($B477="","",IF($F477&lt;0,"ZARAR",IF($G477&lt;IsMarjEsik,"RİSK","KÂRLI")))</f>
        <v/>
      </c>
      <c r="J477" s="122" t="n"/>
    </row>
    <row r="478" ht="15" customHeight="1" s="76">
      <c r="A478" s="122" t="n"/>
      <c r="B478" s="122" t="n"/>
      <c r="C478" s="123" t="n"/>
      <c r="D478" s="123" t="n"/>
      <c r="E478" s="124" t="n"/>
      <c r="F478" s="119">
        <f>$C478-$D478</f>
        <v/>
      </c>
      <c r="G478" s="120">
        <f>IF($C478=0,0,$F478/$C478)</f>
        <v/>
      </c>
      <c r="H478" s="119">
        <f>IF($E478=0,0,$F478/$E478)</f>
        <v/>
      </c>
      <c r="I478" s="121">
        <f>IF($B478="","",IF($F478&lt;0,"ZARAR",IF($G478&lt;IsMarjEsik,"RİSK","KÂRLI")))</f>
        <v/>
      </c>
      <c r="J478" s="122" t="n"/>
    </row>
    <row r="479" ht="15" customHeight="1" s="76">
      <c r="A479" s="122" t="n"/>
      <c r="B479" s="122" t="n"/>
      <c r="C479" s="123" t="n"/>
      <c r="D479" s="123" t="n"/>
      <c r="E479" s="124" t="n"/>
      <c r="F479" s="119">
        <f>$C479-$D479</f>
        <v/>
      </c>
      <c r="G479" s="120">
        <f>IF($C479=0,0,$F479/$C479)</f>
        <v/>
      </c>
      <c r="H479" s="119">
        <f>IF($E479=0,0,$F479/$E479)</f>
        <v/>
      </c>
      <c r="I479" s="121">
        <f>IF($B479="","",IF($F479&lt;0,"ZARAR",IF($G479&lt;IsMarjEsik,"RİSK","KÂRLI")))</f>
        <v/>
      </c>
      <c r="J479" s="122" t="n"/>
    </row>
    <row r="480" ht="15" customHeight="1" s="76">
      <c r="A480" s="122" t="n"/>
      <c r="B480" s="122" t="n"/>
      <c r="C480" s="123" t="n"/>
      <c r="D480" s="123" t="n"/>
      <c r="E480" s="124" t="n"/>
      <c r="F480" s="119">
        <f>$C480-$D480</f>
        <v/>
      </c>
      <c r="G480" s="120">
        <f>IF($C480=0,0,$F480/$C480)</f>
        <v/>
      </c>
      <c r="H480" s="119">
        <f>IF($E480=0,0,$F480/$E480)</f>
        <v/>
      </c>
      <c r="I480" s="121">
        <f>IF($B480="","",IF($F480&lt;0,"ZARAR",IF($G480&lt;IsMarjEsik,"RİSK","KÂRLI")))</f>
        <v/>
      </c>
      <c r="J480" s="122" t="n"/>
    </row>
    <row r="481" ht="15" customHeight="1" s="76">
      <c r="A481" s="122" t="n"/>
      <c r="B481" s="122" t="n"/>
      <c r="C481" s="123" t="n"/>
      <c r="D481" s="123" t="n"/>
      <c r="E481" s="124" t="n"/>
      <c r="F481" s="119">
        <f>$C481-$D481</f>
        <v/>
      </c>
      <c r="G481" s="120">
        <f>IF($C481=0,0,$F481/$C481)</f>
        <v/>
      </c>
      <c r="H481" s="119">
        <f>IF($E481=0,0,$F481/$E481)</f>
        <v/>
      </c>
      <c r="I481" s="121">
        <f>IF($B481="","",IF($F481&lt;0,"ZARAR",IF($G481&lt;IsMarjEsik,"RİSK","KÂRLI")))</f>
        <v/>
      </c>
      <c r="J481" s="122" t="n"/>
    </row>
    <row r="482" ht="15" customHeight="1" s="76">
      <c r="A482" s="122" t="n"/>
      <c r="B482" s="122" t="n"/>
      <c r="C482" s="123" t="n"/>
      <c r="D482" s="123" t="n"/>
      <c r="E482" s="124" t="n"/>
      <c r="F482" s="119">
        <f>$C482-$D482</f>
        <v/>
      </c>
      <c r="G482" s="120">
        <f>IF($C482=0,0,$F482/$C482)</f>
        <v/>
      </c>
      <c r="H482" s="119">
        <f>IF($E482=0,0,$F482/$E482)</f>
        <v/>
      </c>
      <c r="I482" s="121">
        <f>IF($B482="","",IF($F482&lt;0,"ZARAR",IF($G482&lt;IsMarjEsik,"RİSK","KÂRLI")))</f>
        <v/>
      </c>
      <c r="J482" s="122" t="n"/>
    </row>
    <row r="483" ht="15" customHeight="1" s="76">
      <c r="A483" s="122" t="n"/>
      <c r="B483" s="122" t="n"/>
      <c r="C483" s="123" t="n"/>
      <c r="D483" s="123" t="n"/>
      <c r="E483" s="124" t="n"/>
      <c r="F483" s="119">
        <f>$C483-$D483</f>
        <v/>
      </c>
      <c r="G483" s="120">
        <f>IF($C483=0,0,$F483/$C483)</f>
        <v/>
      </c>
      <c r="H483" s="119">
        <f>IF($E483=0,0,$F483/$E483)</f>
        <v/>
      </c>
      <c r="I483" s="121">
        <f>IF($B483="","",IF($F483&lt;0,"ZARAR",IF($G483&lt;IsMarjEsik,"RİSK","KÂRLI")))</f>
        <v/>
      </c>
      <c r="J483" s="122" t="n"/>
    </row>
    <row r="484" ht="15" customHeight="1" s="76">
      <c r="A484" s="122" t="n"/>
      <c r="B484" s="122" t="n"/>
      <c r="C484" s="123" t="n"/>
      <c r="D484" s="123" t="n"/>
      <c r="E484" s="124" t="n"/>
      <c r="F484" s="119">
        <f>$C484-$D484</f>
        <v/>
      </c>
      <c r="G484" s="120">
        <f>IF($C484=0,0,$F484/$C484)</f>
        <v/>
      </c>
      <c r="H484" s="119">
        <f>IF($E484=0,0,$F484/$E484)</f>
        <v/>
      </c>
      <c r="I484" s="121">
        <f>IF($B484="","",IF($F484&lt;0,"ZARAR",IF($G484&lt;IsMarjEsik,"RİSK","KÂRLI")))</f>
        <v/>
      </c>
      <c r="J484" s="122" t="n"/>
    </row>
    <row r="485" ht="15" customHeight="1" s="76">
      <c r="A485" s="122" t="n"/>
      <c r="B485" s="122" t="n"/>
      <c r="C485" s="123" t="n"/>
      <c r="D485" s="123" t="n"/>
      <c r="E485" s="124" t="n"/>
      <c r="F485" s="119">
        <f>$C485-$D485</f>
        <v/>
      </c>
      <c r="G485" s="120">
        <f>IF($C485=0,0,$F485/$C485)</f>
        <v/>
      </c>
      <c r="H485" s="119">
        <f>IF($E485=0,0,$F485/$E485)</f>
        <v/>
      </c>
      <c r="I485" s="121">
        <f>IF($B485="","",IF($F485&lt;0,"ZARAR",IF($G485&lt;IsMarjEsik,"RİSK","KÂRLI")))</f>
        <v/>
      </c>
      <c r="J485" s="122" t="n"/>
    </row>
    <row r="486" ht="15" customHeight="1" s="76">
      <c r="A486" s="122" t="n"/>
      <c r="B486" s="122" t="n"/>
      <c r="C486" s="123" t="n"/>
      <c r="D486" s="123" t="n"/>
      <c r="E486" s="124" t="n"/>
      <c r="F486" s="119">
        <f>$C486-$D486</f>
        <v/>
      </c>
      <c r="G486" s="120">
        <f>IF($C486=0,0,$F486/$C486)</f>
        <v/>
      </c>
      <c r="H486" s="119">
        <f>IF($E486=0,0,$F486/$E486)</f>
        <v/>
      </c>
      <c r="I486" s="121">
        <f>IF($B486="","",IF($F486&lt;0,"ZARAR",IF($G486&lt;IsMarjEsik,"RİSK","KÂRLI")))</f>
        <v/>
      </c>
      <c r="J486" s="122" t="n"/>
    </row>
    <row r="487" ht="15" customHeight="1" s="76">
      <c r="A487" s="122" t="n"/>
      <c r="B487" s="122" t="n"/>
      <c r="C487" s="123" t="n"/>
      <c r="D487" s="123" t="n"/>
      <c r="E487" s="124" t="n"/>
      <c r="F487" s="119">
        <f>$C487-$D487</f>
        <v/>
      </c>
      <c r="G487" s="120">
        <f>IF($C487=0,0,$F487/$C487)</f>
        <v/>
      </c>
      <c r="H487" s="119">
        <f>IF($E487=0,0,$F487/$E487)</f>
        <v/>
      </c>
      <c r="I487" s="121">
        <f>IF($B487="","",IF($F487&lt;0,"ZARAR",IF($G487&lt;IsMarjEsik,"RİSK","KÂRLI")))</f>
        <v/>
      </c>
      <c r="J487" s="122" t="n"/>
    </row>
    <row r="488" ht="15" customHeight="1" s="76">
      <c r="A488" s="122" t="n"/>
      <c r="B488" s="122" t="n"/>
      <c r="C488" s="123" t="n"/>
      <c r="D488" s="123" t="n"/>
      <c r="E488" s="124" t="n"/>
      <c r="F488" s="119">
        <f>$C488-$D488</f>
        <v/>
      </c>
      <c r="G488" s="120">
        <f>IF($C488=0,0,$F488/$C488)</f>
        <v/>
      </c>
      <c r="H488" s="119">
        <f>IF($E488=0,0,$F488/$E488)</f>
        <v/>
      </c>
      <c r="I488" s="121">
        <f>IF($B488="","",IF($F488&lt;0,"ZARAR",IF($G488&lt;IsMarjEsik,"RİSK","KÂRLI")))</f>
        <v/>
      </c>
      <c r="J488" s="122" t="n"/>
    </row>
    <row r="489" ht="15" customHeight="1" s="76">
      <c r="A489" s="122" t="n"/>
      <c r="B489" s="122" t="n"/>
      <c r="C489" s="123" t="n"/>
      <c r="D489" s="123" t="n"/>
      <c r="E489" s="124" t="n"/>
      <c r="F489" s="119">
        <f>$C489-$D489</f>
        <v/>
      </c>
      <c r="G489" s="120">
        <f>IF($C489=0,0,$F489/$C489)</f>
        <v/>
      </c>
      <c r="H489" s="119">
        <f>IF($E489=0,0,$F489/$E489)</f>
        <v/>
      </c>
      <c r="I489" s="121">
        <f>IF($B489="","",IF($F489&lt;0,"ZARAR",IF($G489&lt;IsMarjEsik,"RİSK","KÂRLI")))</f>
        <v/>
      </c>
      <c r="J489" s="122" t="n"/>
    </row>
    <row r="490" ht="15" customHeight="1" s="76">
      <c r="A490" s="122" t="n"/>
      <c r="B490" s="122" t="n"/>
      <c r="C490" s="123" t="n"/>
      <c r="D490" s="123" t="n"/>
      <c r="E490" s="124" t="n"/>
      <c r="F490" s="119">
        <f>$C490-$D490</f>
        <v/>
      </c>
      <c r="G490" s="120">
        <f>IF($C490=0,0,$F490/$C490)</f>
        <v/>
      </c>
      <c r="H490" s="119">
        <f>IF($E490=0,0,$F490/$E490)</f>
        <v/>
      </c>
      <c r="I490" s="121">
        <f>IF($B490="","",IF($F490&lt;0,"ZARAR",IF($G490&lt;IsMarjEsik,"RİSK","KÂRLI")))</f>
        <v/>
      </c>
      <c r="J490" s="122" t="n"/>
    </row>
    <row r="491" ht="15" customHeight="1" s="76">
      <c r="A491" s="122" t="n"/>
      <c r="B491" s="122" t="n"/>
      <c r="C491" s="123" t="n"/>
      <c r="D491" s="123" t="n"/>
      <c r="E491" s="124" t="n"/>
      <c r="F491" s="119">
        <f>$C491-$D491</f>
        <v/>
      </c>
      <c r="G491" s="120">
        <f>IF($C491=0,0,$F491/$C491)</f>
        <v/>
      </c>
      <c r="H491" s="119">
        <f>IF($E491=0,0,$F491/$E491)</f>
        <v/>
      </c>
      <c r="I491" s="121">
        <f>IF($B491="","",IF($F491&lt;0,"ZARAR",IF($G491&lt;IsMarjEsik,"RİSK","KÂRLI")))</f>
        <v/>
      </c>
      <c r="J491" s="122" t="n"/>
    </row>
    <row r="492" ht="15" customHeight="1" s="76">
      <c r="A492" s="122" t="n"/>
      <c r="B492" s="122" t="n"/>
      <c r="C492" s="123" t="n"/>
      <c r="D492" s="123" t="n"/>
      <c r="E492" s="124" t="n"/>
      <c r="F492" s="119">
        <f>$C492-$D492</f>
        <v/>
      </c>
      <c r="G492" s="120">
        <f>IF($C492=0,0,$F492/$C492)</f>
        <v/>
      </c>
      <c r="H492" s="119">
        <f>IF($E492=0,0,$F492/$E492)</f>
        <v/>
      </c>
      <c r="I492" s="121">
        <f>IF($B492="","",IF($F492&lt;0,"ZARAR",IF($G492&lt;IsMarjEsik,"RİSK","KÂRLI")))</f>
        <v/>
      </c>
      <c r="J492" s="122" t="n"/>
    </row>
    <row r="493" ht="15" customHeight="1" s="76">
      <c r="A493" s="122" t="n"/>
      <c r="B493" s="122" t="n"/>
      <c r="C493" s="123" t="n"/>
      <c r="D493" s="123" t="n"/>
      <c r="E493" s="124" t="n"/>
      <c r="F493" s="119">
        <f>$C493-$D493</f>
        <v/>
      </c>
      <c r="G493" s="120">
        <f>IF($C493=0,0,$F493/$C493)</f>
        <v/>
      </c>
      <c r="H493" s="119">
        <f>IF($E493=0,0,$F493/$E493)</f>
        <v/>
      </c>
      <c r="I493" s="121">
        <f>IF($B493="","",IF($F493&lt;0,"ZARAR",IF($G493&lt;IsMarjEsik,"RİSK","KÂRLI")))</f>
        <v/>
      </c>
      <c r="J493" s="122" t="n"/>
    </row>
    <row r="494" ht="15" customHeight="1" s="76">
      <c r="A494" s="122" t="n"/>
      <c r="B494" s="122" t="n"/>
      <c r="C494" s="123" t="n"/>
      <c r="D494" s="123" t="n"/>
      <c r="E494" s="124" t="n"/>
      <c r="F494" s="119">
        <f>$C494-$D494</f>
        <v/>
      </c>
      <c r="G494" s="120">
        <f>IF($C494=0,0,$F494/$C494)</f>
        <v/>
      </c>
      <c r="H494" s="119">
        <f>IF($E494=0,0,$F494/$E494)</f>
        <v/>
      </c>
      <c r="I494" s="121">
        <f>IF($B494="","",IF($F494&lt;0,"ZARAR",IF($G494&lt;IsMarjEsik,"RİSK","KÂRLI")))</f>
        <v/>
      </c>
      <c r="J494" s="122" t="n"/>
    </row>
    <row r="495" ht="15" customHeight="1" s="76">
      <c r="A495" s="122" t="n"/>
      <c r="B495" s="122" t="n"/>
      <c r="C495" s="123" t="n"/>
      <c r="D495" s="123" t="n"/>
      <c r="E495" s="124" t="n"/>
      <c r="F495" s="119">
        <f>$C495-$D495</f>
        <v/>
      </c>
      <c r="G495" s="120">
        <f>IF($C495=0,0,$F495/$C495)</f>
        <v/>
      </c>
      <c r="H495" s="119">
        <f>IF($E495=0,0,$F495/$E495)</f>
        <v/>
      </c>
      <c r="I495" s="121">
        <f>IF($B495="","",IF($F495&lt;0,"ZARAR",IF($G495&lt;IsMarjEsik,"RİSK","KÂRLI")))</f>
        <v/>
      </c>
      <c r="J495" s="122" t="n"/>
    </row>
    <row r="496" ht="15" customHeight="1" s="76">
      <c r="A496" s="122" t="n"/>
      <c r="B496" s="122" t="n"/>
      <c r="C496" s="123" t="n"/>
      <c r="D496" s="123" t="n"/>
      <c r="E496" s="124" t="n"/>
      <c r="F496" s="119">
        <f>$C496-$D496</f>
        <v/>
      </c>
      <c r="G496" s="120">
        <f>IF($C496=0,0,$F496/$C496)</f>
        <v/>
      </c>
      <c r="H496" s="119">
        <f>IF($E496=0,0,$F496/$E496)</f>
        <v/>
      </c>
      <c r="I496" s="121">
        <f>IF($B496="","",IF($F496&lt;0,"ZARAR",IF($G496&lt;IsMarjEsik,"RİSK","KÂRLI")))</f>
        <v/>
      </c>
      <c r="J496" s="122" t="n"/>
    </row>
    <row r="497" ht="15" customHeight="1" s="76">
      <c r="A497" s="122" t="n"/>
      <c r="B497" s="122" t="n"/>
      <c r="C497" s="123" t="n"/>
      <c r="D497" s="123" t="n"/>
      <c r="E497" s="124" t="n"/>
      <c r="F497" s="119">
        <f>$C497-$D497</f>
        <v/>
      </c>
      <c r="G497" s="120">
        <f>IF($C497=0,0,$F497/$C497)</f>
        <v/>
      </c>
      <c r="H497" s="119">
        <f>IF($E497=0,0,$F497/$E497)</f>
        <v/>
      </c>
      <c r="I497" s="121">
        <f>IF($B497="","",IF($F497&lt;0,"ZARAR",IF($G497&lt;IsMarjEsik,"RİSK","KÂRLI")))</f>
        <v/>
      </c>
      <c r="J497" s="122" t="n"/>
    </row>
    <row r="498" ht="15" customHeight="1" s="76">
      <c r="A498" s="122" t="n"/>
      <c r="B498" s="122" t="n"/>
      <c r="C498" s="123" t="n"/>
      <c r="D498" s="123" t="n"/>
      <c r="E498" s="124" t="n"/>
      <c r="F498" s="119">
        <f>$C498-$D498</f>
        <v/>
      </c>
      <c r="G498" s="120">
        <f>IF($C498=0,0,$F498/$C498)</f>
        <v/>
      </c>
      <c r="H498" s="119">
        <f>IF($E498=0,0,$F498/$E498)</f>
        <v/>
      </c>
      <c r="I498" s="121">
        <f>IF($B498="","",IF($F498&lt;0,"ZARAR",IF($G498&lt;IsMarjEsik,"RİSK","KÂRLI")))</f>
        <v/>
      </c>
      <c r="J498" s="122" t="n"/>
    </row>
    <row r="499" ht="15" customHeight="1" s="76">
      <c r="A499" s="122" t="n"/>
      <c r="B499" s="122" t="n"/>
      <c r="C499" s="123" t="n"/>
      <c r="D499" s="123" t="n"/>
      <c r="E499" s="124" t="n"/>
      <c r="F499" s="119">
        <f>$C499-$D499</f>
        <v/>
      </c>
      <c r="G499" s="120">
        <f>IF($C499=0,0,$F499/$C499)</f>
        <v/>
      </c>
      <c r="H499" s="119">
        <f>IF($E499=0,0,$F499/$E499)</f>
        <v/>
      </c>
      <c r="I499" s="121">
        <f>IF($B499="","",IF($F499&lt;0,"ZARAR",IF($G499&lt;IsMarjEsik,"RİSK","KÂRLI")))</f>
        <v/>
      </c>
      <c r="J499" s="122" t="n"/>
    </row>
    <row r="500" ht="15" customHeight="1" s="76">
      <c r="A500" s="122" t="n"/>
      <c r="B500" s="122" t="n"/>
      <c r="C500" s="123" t="n"/>
      <c r="D500" s="123" t="n"/>
      <c r="E500" s="124" t="n"/>
      <c r="F500" s="119">
        <f>$C500-$D500</f>
        <v/>
      </c>
      <c r="G500" s="120">
        <f>IF($C500=0,0,$F500/$C500)</f>
        <v/>
      </c>
      <c r="H500" s="119">
        <f>IF($E500=0,0,$F500/$E500)</f>
        <v/>
      </c>
      <c r="I500" s="121">
        <f>IF($B500="","",IF($F500&lt;0,"ZARAR",IF($G500&lt;IsMarjEsik,"RİSK","KÂRLI")))</f>
        <v/>
      </c>
      <c r="J500" s="122" t="n"/>
    </row>
    <row r="501" ht="15" customHeight="1" s="76">
      <c r="A501" s="122" t="n"/>
      <c r="B501" s="122" t="n"/>
      <c r="C501" s="123" t="n"/>
      <c r="D501" s="123" t="n"/>
      <c r="E501" s="124" t="n"/>
      <c r="F501" s="119">
        <f>$C501-$D501</f>
        <v/>
      </c>
      <c r="G501" s="120">
        <f>IF($C501=0,0,$F501/$C501)</f>
        <v/>
      </c>
      <c r="H501" s="119">
        <f>IF($E501=0,0,$F501/$E501)</f>
        <v/>
      </c>
      <c r="I501" s="121">
        <f>IF($B501="","",IF($F501&lt;0,"ZARAR",IF($G501&lt;IsMarjEsik,"RİSK","KÂRLI")))</f>
        <v/>
      </c>
      <c r="J501" s="122" t="n"/>
    </row>
    <row r="502" ht="15" customHeight="1" s="76">
      <c r="A502" s="122" t="n"/>
      <c r="B502" s="122" t="n"/>
      <c r="C502" s="123" t="n"/>
      <c r="D502" s="123" t="n"/>
      <c r="E502" s="124" t="n"/>
      <c r="F502" s="119">
        <f>$C502-$D502</f>
        <v/>
      </c>
      <c r="G502" s="120">
        <f>IF($C502=0,0,$F502/$C502)</f>
        <v/>
      </c>
      <c r="H502" s="119">
        <f>IF($E502=0,0,$F502/$E502)</f>
        <v/>
      </c>
      <c r="I502" s="121">
        <f>IF($B502="","",IF($F502&lt;0,"ZARAR",IF($G502&lt;IsMarjEsik,"RİSK","KÂRLI")))</f>
        <v/>
      </c>
      <c r="J502" s="122" t="n"/>
    </row>
    <row r="503" ht="15" customHeight="1" s="76">
      <c r="A503" s="122" t="n"/>
      <c r="B503" s="122" t="n"/>
      <c r="C503" s="123" t="n"/>
      <c r="D503" s="123" t="n"/>
      <c r="E503" s="124" t="n"/>
      <c r="F503" s="119">
        <f>$C503-$D503</f>
        <v/>
      </c>
      <c r="G503" s="120">
        <f>IF($C503=0,0,$F503/$C503)</f>
        <v/>
      </c>
      <c r="H503" s="119">
        <f>IF($E503=0,0,$F503/$E503)</f>
        <v/>
      </c>
      <c r="I503" s="121">
        <f>IF($B503="","",IF($F503&lt;0,"ZARAR",IF($G503&lt;IsMarjEsik,"RİSK","KÂRLI")))</f>
        <v/>
      </c>
      <c r="J503" s="122" t="n"/>
    </row>
    <row r="504" ht="15" customHeight="1" s="76">
      <c r="A504" s="122" t="n"/>
      <c r="B504" s="122" t="n"/>
      <c r="C504" s="123" t="n"/>
      <c r="D504" s="123" t="n"/>
      <c r="E504" s="124" t="n"/>
      <c r="F504" s="119">
        <f>$C504-$D504</f>
        <v/>
      </c>
      <c r="G504" s="120">
        <f>IF($C504=0,0,$F504/$C504)</f>
        <v/>
      </c>
      <c r="H504" s="119">
        <f>IF($E504=0,0,$F504/$E504)</f>
        <v/>
      </c>
      <c r="I504" s="121">
        <f>IF($B504="","",IF($F504&lt;0,"ZARAR",IF($G504&lt;IsMarjEsik,"RİSK","KÂRLI")))</f>
        <v/>
      </c>
      <c r="J504" s="122" t="n"/>
    </row>
    <row r="505" ht="15" customHeight="1" s="76">
      <c r="A505" s="122" t="n"/>
      <c r="B505" s="122" t="n"/>
      <c r="C505" s="123" t="n"/>
      <c r="D505" s="123" t="n"/>
      <c r="E505" s="124" t="n"/>
      <c r="F505" s="119">
        <f>$C505-$D505</f>
        <v/>
      </c>
      <c r="G505" s="120">
        <f>IF($C505=0,0,$F505/$C505)</f>
        <v/>
      </c>
      <c r="H505" s="119">
        <f>IF($E505=0,0,$F505/$E505)</f>
        <v/>
      </c>
      <c r="I505" s="121">
        <f>IF($B505="","",IF($F505&lt;0,"ZARAR",IF($G505&lt;IsMarjEsik,"RİSK","KÂRLI")))</f>
        <v/>
      </c>
      <c r="J505" s="122" t="n"/>
    </row>
    <row r="506" ht="15" customHeight="1" s="76">
      <c r="A506" s="122" t="n"/>
      <c r="B506" s="122" t="n"/>
      <c r="C506" s="123" t="n"/>
      <c r="D506" s="123" t="n"/>
      <c r="E506" s="124" t="n"/>
      <c r="F506" s="119">
        <f>$C506-$D506</f>
        <v/>
      </c>
      <c r="G506" s="120">
        <f>IF($C506=0,0,$F506/$C506)</f>
        <v/>
      </c>
      <c r="H506" s="119">
        <f>IF($E506=0,0,$F506/$E506)</f>
        <v/>
      </c>
      <c r="I506" s="121">
        <f>IF($B506="","",IF($F506&lt;0,"ZARAR",IF($G506&lt;IsMarjEsik,"RİSK","KÂRLI")))</f>
        <v/>
      </c>
      <c r="J506" s="122" t="n"/>
    </row>
    <row r="507" ht="15" customHeight="1" s="76">
      <c r="A507" s="122" t="n"/>
      <c r="B507" s="122" t="n"/>
      <c r="C507" s="123" t="n"/>
      <c r="D507" s="123" t="n"/>
      <c r="E507" s="124" t="n"/>
      <c r="F507" s="119">
        <f>$C507-$D507</f>
        <v/>
      </c>
      <c r="G507" s="120">
        <f>IF($C507=0,0,$F507/$C507)</f>
        <v/>
      </c>
      <c r="H507" s="119">
        <f>IF($E507=0,0,$F507/$E507)</f>
        <v/>
      </c>
      <c r="I507" s="121">
        <f>IF($B507="","",IF($F507&lt;0,"ZARAR",IF($G507&lt;IsMarjEsik,"RİSK","KÂRLI")))</f>
        <v/>
      </c>
      <c r="J507" s="122" t="n"/>
    </row>
    <row r="508" ht="15" customHeight="1" s="76">
      <c r="A508" s="122" t="n"/>
      <c r="B508" s="122" t="n"/>
      <c r="C508" s="123" t="n"/>
      <c r="D508" s="123" t="n"/>
      <c r="E508" s="124" t="n"/>
      <c r="F508" s="119">
        <f>$C508-$D508</f>
        <v/>
      </c>
      <c r="G508" s="120">
        <f>IF($C508=0,0,$F508/$C508)</f>
        <v/>
      </c>
      <c r="H508" s="119">
        <f>IF($E508=0,0,$F508/$E508)</f>
        <v/>
      </c>
      <c r="I508" s="121">
        <f>IF($B508="","",IF($F508&lt;0,"ZARAR",IF($G508&lt;IsMarjEsik,"RİSK","KÂRLI")))</f>
        <v/>
      </c>
      <c r="J508" s="122" t="n"/>
    </row>
    <row r="509" ht="15" customHeight="1" s="76">
      <c r="A509" s="122" t="n"/>
      <c r="B509" s="122" t="n"/>
      <c r="C509" s="123" t="n"/>
      <c r="D509" s="123" t="n"/>
      <c r="E509" s="124" t="n"/>
      <c r="F509" s="119">
        <f>$C509-$D509</f>
        <v/>
      </c>
      <c r="G509" s="120">
        <f>IF($C509=0,0,$F509/$C509)</f>
        <v/>
      </c>
      <c r="H509" s="119">
        <f>IF($E509=0,0,$F509/$E509)</f>
        <v/>
      </c>
      <c r="I509" s="121">
        <f>IF($B509="","",IF($F509&lt;0,"ZARAR",IF($G509&lt;IsMarjEsik,"RİSK","KÂRLI")))</f>
        <v/>
      </c>
      <c r="J509" s="122" t="n"/>
    </row>
    <row r="510" ht="15" customHeight="1" s="76">
      <c r="A510" s="122" t="n"/>
      <c r="B510" s="122" t="n"/>
      <c r="C510" s="123" t="n"/>
      <c r="D510" s="123" t="n"/>
      <c r="E510" s="124" t="n"/>
      <c r="F510" s="119">
        <f>$C510-$D510</f>
        <v/>
      </c>
      <c r="G510" s="120">
        <f>IF($C510=0,0,$F510/$C510)</f>
        <v/>
      </c>
      <c r="H510" s="119">
        <f>IF($E510=0,0,$F510/$E510)</f>
        <v/>
      </c>
      <c r="I510" s="121">
        <f>IF($B510="","",IF($F510&lt;0,"ZARAR",IF($G510&lt;IsMarjEsik,"RİSK","KÂRLI")))</f>
        <v/>
      </c>
      <c r="J510" s="122" t="n"/>
    </row>
    <row r="511" ht="15" customHeight="1" s="76">
      <c r="A511" s="122" t="n"/>
      <c r="B511" s="122" t="n"/>
      <c r="C511" s="123" t="n"/>
      <c r="D511" s="123" t="n"/>
      <c r="E511" s="124" t="n"/>
      <c r="F511" s="119">
        <f>$C511-$D511</f>
        <v/>
      </c>
      <c r="G511" s="120">
        <f>IF($C511=0,0,$F511/$C511)</f>
        <v/>
      </c>
      <c r="H511" s="119">
        <f>IF($E511=0,0,$F511/$E511)</f>
        <v/>
      </c>
      <c r="I511" s="121">
        <f>IF($B511="","",IF($F511&lt;0,"ZARAR",IF($G511&lt;IsMarjEsik,"RİSK","KÂRLI")))</f>
        <v/>
      </c>
      <c r="J511" s="122" t="n"/>
    </row>
    <row r="512" ht="15" customHeight="1" s="76">
      <c r="A512" s="122" t="n"/>
      <c r="B512" s="122" t="n"/>
      <c r="C512" s="123" t="n"/>
      <c r="D512" s="123" t="n"/>
      <c r="E512" s="124" t="n"/>
      <c r="F512" s="119">
        <f>$C512-$D512</f>
        <v/>
      </c>
      <c r="G512" s="120">
        <f>IF($C512=0,0,$F512/$C512)</f>
        <v/>
      </c>
      <c r="H512" s="119">
        <f>IF($E512=0,0,$F512/$E512)</f>
        <v/>
      </c>
      <c r="I512" s="121">
        <f>IF($B512="","",IF($F512&lt;0,"ZARAR",IF($G512&lt;IsMarjEsik,"RİSK","KÂRLI")))</f>
        <v/>
      </c>
      <c r="J512" s="122" t="n"/>
    </row>
    <row r="513" ht="15" customHeight="1" s="76">
      <c r="A513" s="122" t="n"/>
      <c r="B513" s="122" t="n"/>
      <c r="C513" s="123" t="n"/>
      <c r="D513" s="123" t="n"/>
      <c r="E513" s="124" t="n"/>
      <c r="F513" s="119">
        <f>$C513-$D513</f>
        <v/>
      </c>
      <c r="G513" s="120">
        <f>IF($C513=0,0,$F513/$C513)</f>
        <v/>
      </c>
      <c r="H513" s="119">
        <f>IF($E513=0,0,$F513/$E513)</f>
        <v/>
      </c>
      <c r="I513" s="121">
        <f>IF($B513="","",IF($F513&lt;0,"ZARAR",IF($G513&lt;IsMarjEsik,"RİSK","KÂRLI")))</f>
        <v/>
      </c>
      <c r="J513" s="122" t="n"/>
    </row>
    <row r="514" ht="15" customHeight="1" s="76">
      <c r="A514" s="122" t="n"/>
      <c r="B514" s="122" t="n"/>
      <c r="C514" s="123" t="n"/>
      <c r="D514" s="123" t="n"/>
      <c r="E514" s="124" t="n"/>
      <c r="F514" s="119">
        <f>$C514-$D514</f>
        <v/>
      </c>
      <c r="G514" s="120">
        <f>IF($C514=0,0,$F514/$C514)</f>
        <v/>
      </c>
      <c r="H514" s="119">
        <f>IF($E514=0,0,$F514/$E514)</f>
        <v/>
      </c>
      <c r="I514" s="121">
        <f>IF($B514="","",IF($F514&lt;0,"ZARAR",IF($G514&lt;IsMarjEsik,"RİSK","KÂRLI")))</f>
        <v/>
      </c>
      <c r="J514" s="122" t="n"/>
    </row>
    <row r="515" ht="15" customHeight="1" s="76">
      <c r="A515" s="122" t="n"/>
      <c r="B515" s="122" t="n"/>
      <c r="C515" s="123" t="n"/>
      <c r="D515" s="123" t="n"/>
      <c r="E515" s="124" t="n"/>
      <c r="F515" s="119">
        <f>$C515-$D515</f>
        <v/>
      </c>
      <c r="G515" s="120">
        <f>IF($C515=0,0,$F515/$C515)</f>
        <v/>
      </c>
      <c r="H515" s="119">
        <f>IF($E515=0,0,$F515/$E515)</f>
        <v/>
      </c>
      <c r="I515" s="121">
        <f>IF($B515="","",IF($F515&lt;0,"ZARAR",IF($G515&lt;IsMarjEsik,"RİSK","KÂRLI")))</f>
        <v/>
      </c>
      <c r="J515" s="122" t="n"/>
    </row>
    <row r="516" ht="15" customHeight="1" s="76">
      <c r="A516" s="122" t="n"/>
      <c r="B516" s="122" t="n"/>
      <c r="C516" s="123" t="n"/>
      <c r="D516" s="123" t="n"/>
      <c r="E516" s="124" t="n"/>
      <c r="F516" s="119">
        <f>$C516-$D516</f>
        <v/>
      </c>
      <c r="G516" s="120">
        <f>IF($C516=0,0,$F516/$C516)</f>
        <v/>
      </c>
      <c r="H516" s="119">
        <f>IF($E516=0,0,$F516/$E516)</f>
        <v/>
      </c>
      <c r="I516" s="121">
        <f>IF($B516="","",IF($F516&lt;0,"ZARAR",IF($G516&lt;IsMarjEsik,"RİSK","KÂRLI")))</f>
        <v/>
      </c>
      <c r="J516" s="122" t="n"/>
    </row>
    <row r="517" ht="15" customHeight="1" s="76">
      <c r="A517" s="122" t="n"/>
      <c r="B517" s="122" t="n"/>
      <c r="C517" s="123" t="n"/>
      <c r="D517" s="123" t="n"/>
      <c r="E517" s="124" t="n"/>
      <c r="F517" s="119">
        <f>$C517-$D517</f>
        <v/>
      </c>
      <c r="G517" s="120">
        <f>IF($C517=0,0,$F517/$C517)</f>
        <v/>
      </c>
      <c r="H517" s="119">
        <f>IF($E517=0,0,$F517/$E517)</f>
        <v/>
      </c>
      <c r="I517" s="121">
        <f>IF($B517="","",IF($F517&lt;0,"ZARAR",IF($G517&lt;IsMarjEsik,"RİSK","KÂRLI")))</f>
        <v/>
      </c>
      <c r="J517" s="122" t="n"/>
    </row>
    <row r="518" ht="15" customHeight="1" s="76">
      <c r="A518" s="122" t="n"/>
      <c r="B518" s="122" t="n"/>
      <c r="C518" s="123" t="n"/>
      <c r="D518" s="123" t="n"/>
      <c r="E518" s="124" t="n"/>
      <c r="F518" s="119">
        <f>$C518-$D518</f>
        <v/>
      </c>
      <c r="G518" s="120">
        <f>IF($C518=0,0,$F518/$C518)</f>
        <v/>
      </c>
      <c r="H518" s="119">
        <f>IF($E518=0,0,$F518/$E518)</f>
        <v/>
      </c>
      <c r="I518" s="121">
        <f>IF($B518="","",IF($F518&lt;0,"ZARAR",IF($G518&lt;IsMarjEsik,"RİSK","KÂRLI")))</f>
        <v/>
      </c>
      <c r="J518" s="122" t="n"/>
    </row>
    <row r="519" ht="15" customHeight="1" s="76">
      <c r="A519" s="122" t="n"/>
      <c r="B519" s="122" t="n"/>
      <c r="C519" s="123" t="n"/>
      <c r="D519" s="123" t="n"/>
      <c r="E519" s="124" t="n"/>
      <c r="F519" s="119">
        <f>$C519-$D519</f>
        <v/>
      </c>
      <c r="G519" s="120">
        <f>IF($C519=0,0,$F519/$C519)</f>
        <v/>
      </c>
      <c r="H519" s="119">
        <f>IF($E519=0,0,$F519/$E519)</f>
        <v/>
      </c>
      <c r="I519" s="121">
        <f>IF($B519="","",IF($F519&lt;0,"ZARAR",IF($G519&lt;IsMarjEsik,"RİSK","KÂRLI")))</f>
        <v/>
      </c>
      <c r="J519" s="122" t="n"/>
    </row>
    <row r="520" ht="15" customHeight="1" s="76">
      <c r="A520" s="122" t="n"/>
      <c r="B520" s="122" t="n"/>
      <c r="C520" s="123" t="n"/>
      <c r="D520" s="123" t="n"/>
      <c r="E520" s="124" t="n"/>
      <c r="F520" s="119">
        <f>$C520-$D520</f>
        <v/>
      </c>
      <c r="G520" s="120">
        <f>IF($C520=0,0,$F520/$C520)</f>
        <v/>
      </c>
      <c r="H520" s="119">
        <f>IF($E520=0,0,$F520/$E520)</f>
        <v/>
      </c>
      <c r="I520" s="121">
        <f>IF($B520="","",IF($F520&lt;0,"ZARAR",IF($G520&lt;IsMarjEsik,"RİSK","KÂRLI")))</f>
        <v/>
      </c>
      <c r="J520" s="122" t="n"/>
    </row>
    <row r="521" ht="15" customHeight="1" s="76">
      <c r="A521" s="122" t="n"/>
      <c r="B521" s="122" t="n"/>
      <c r="C521" s="123" t="n"/>
      <c r="D521" s="123" t="n"/>
      <c r="E521" s="124" t="n"/>
      <c r="F521" s="119">
        <f>$C521-$D521</f>
        <v/>
      </c>
      <c r="G521" s="120">
        <f>IF($C521=0,0,$F521/$C521)</f>
        <v/>
      </c>
      <c r="H521" s="119">
        <f>IF($E521=0,0,$F521/$E521)</f>
        <v/>
      </c>
      <c r="I521" s="121">
        <f>IF($B521="","",IF($F521&lt;0,"ZARAR",IF($G521&lt;IsMarjEsik,"RİSK","KÂRLI")))</f>
        <v/>
      </c>
      <c r="J521" s="122" t="n"/>
    </row>
    <row r="522" ht="15" customHeight="1" s="76">
      <c r="A522" s="122" t="n"/>
      <c r="B522" s="122" t="n"/>
      <c r="C522" s="123" t="n"/>
      <c r="D522" s="123" t="n"/>
      <c r="E522" s="124" t="n"/>
      <c r="F522" s="119">
        <f>$C522-$D522</f>
        <v/>
      </c>
      <c r="G522" s="120">
        <f>IF($C522=0,0,$F522/$C522)</f>
        <v/>
      </c>
      <c r="H522" s="119">
        <f>IF($E522=0,0,$F522/$E522)</f>
        <v/>
      </c>
      <c r="I522" s="121">
        <f>IF($B522="","",IF($F522&lt;0,"ZARAR",IF($G522&lt;IsMarjEsik,"RİSK","KÂRLI")))</f>
        <v/>
      </c>
      <c r="J522" s="122" t="n"/>
    </row>
    <row r="523" ht="15" customHeight="1" s="76">
      <c r="A523" s="122" t="n"/>
      <c r="B523" s="122" t="n"/>
      <c r="C523" s="123" t="n"/>
      <c r="D523" s="123" t="n"/>
      <c r="E523" s="124" t="n"/>
      <c r="F523" s="119">
        <f>$C523-$D523</f>
        <v/>
      </c>
      <c r="G523" s="120">
        <f>IF($C523=0,0,$F523/$C523)</f>
        <v/>
      </c>
      <c r="H523" s="119">
        <f>IF($E523=0,0,$F523/$E523)</f>
        <v/>
      </c>
      <c r="I523" s="121">
        <f>IF($B523="","",IF($F523&lt;0,"ZARAR",IF($G523&lt;IsMarjEsik,"RİSK","KÂRLI")))</f>
        <v/>
      </c>
      <c r="J523" s="122" t="n"/>
    </row>
    <row r="524" ht="15" customHeight="1" s="76">
      <c r="A524" s="122" t="n"/>
      <c r="B524" s="122" t="n"/>
      <c r="C524" s="123" t="n"/>
      <c r="D524" s="123" t="n"/>
      <c r="E524" s="124" t="n"/>
      <c r="F524" s="119">
        <f>$C524-$D524</f>
        <v/>
      </c>
      <c r="G524" s="120">
        <f>IF($C524=0,0,$F524/$C524)</f>
        <v/>
      </c>
      <c r="H524" s="119">
        <f>IF($E524=0,0,$F524/$E524)</f>
        <v/>
      </c>
      <c r="I524" s="121">
        <f>IF($B524="","",IF($F524&lt;0,"ZARAR",IF($G524&lt;IsMarjEsik,"RİSK","KÂRLI")))</f>
        <v/>
      </c>
      <c r="J524" s="122" t="n"/>
    </row>
    <row r="525" ht="15" customHeight="1" s="76">
      <c r="A525" s="122" t="n"/>
      <c r="B525" s="122" t="n"/>
      <c r="C525" s="123" t="n"/>
      <c r="D525" s="123" t="n"/>
      <c r="E525" s="124" t="n"/>
      <c r="F525" s="119">
        <f>$C525-$D525</f>
        <v/>
      </c>
      <c r="G525" s="120">
        <f>IF($C525=0,0,$F525/$C525)</f>
        <v/>
      </c>
      <c r="H525" s="119">
        <f>IF($E525=0,0,$F525/$E525)</f>
        <v/>
      </c>
      <c r="I525" s="121">
        <f>IF($B525="","",IF($F525&lt;0,"ZARAR",IF($G525&lt;IsMarjEsik,"RİSK","KÂRLI")))</f>
        <v/>
      </c>
      <c r="J525" s="122" t="n"/>
    </row>
    <row r="526" ht="15" customHeight="1" s="76">
      <c r="A526" s="122" t="n"/>
      <c r="B526" s="122" t="n"/>
      <c r="C526" s="123" t="n"/>
      <c r="D526" s="123" t="n"/>
      <c r="E526" s="124" t="n"/>
      <c r="F526" s="119">
        <f>$C526-$D526</f>
        <v/>
      </c>
      <c r="G526" s="120">
        <f>IF($C526=0,0,$F526/$C526)</f>
        <v/>
      </c>
      <c r="H526" s="119">
        <f>IF($E526=0,0,$F526/$E526)</f>
        <v/>
      </c>
      <c r="I526" s="121">
        <f>IF($B526="","",IF($F526&lt;0,"ZARAR",IF($G526&lt;IsMarjEsik,"RİSK","KÂRLI")))</f>
        <v/>
      </c>
      <c r="J526" s="122" t="n"/>
    </row>
    <row r="527" ht="15" customHeight="1" s="76">
      <c r="A527" s="122" t="n"/>
      <c r="B527" s="122" t="n"/>
      <c r="C527" s="123" t="n"/>
      <c r="D527" s="123" t="n"/>
      <c r="E527" s="124" t="n"/>
      <c r="F527" s="119">
        <f>$C527-$D527</f>
        <v/>
      </c>
      <c r="G527" s="120">
        <f>IF($C527=0,0,$F527/$C527)</f>
        <v/>
      </c>
      <c r="H527" s="119">
        <f>IF($E527=0,0,$F527/$E527)</f>
        <v/>
      </c>
      <c r="I527" s="121">
        <f>IF($B527="","",IF($F527&lt;0,"ZARAR",IF($G527&lt;IsMarjEsik,"RİSK","KÂRLI")))</f>
        <v/>
      </c>
      <c r="J527" s="122" t="n"/>
    </row>
    <row r="528" ht="15" customHeight="1" s="76">
      <c r="A528" s="122" t="n"/>
      <c r="B528" s="122" t="n"/>
      <c r="C528" s="123" t="n"/>
      <c r="D528" s="123" t="n"/>
      <c r="E528" s="124" t="n"/>
      <c r="F528" s="119">
        <f>$C528-$D528</f>
        <v/>
      </c>
      <c r="G528" s="120">
        <f>IF($C528=0,0,$F528/$C528)</f>
        <v/>
      </c>
      <c r="H528" s="119">
        <f>IF($E528=0,0,$F528/$E528)</f>
        <v/>
      </c>
      <c r="I528" s="121">
        <f>IF($B528="","",IF($F528&lt;0,"ZARAR",IF($G528&lt;IsMarjEsik,"RİSK","KÂRLI")))</f>
        <v/>
      </c>
      <c r="J528" s="122" t="n"/>
    </row>
    <row r="529" ht="15" customHeight="1" s="76">
      <c r="A529" s="122" t="n"/>
      <c r="B529" s="122" t="n"/>
      <c r="C529" s="123" t="n"/>
      <c r="D529" s="123" t="n"/>
      <c r="E529" s="124" t="n"/>
      <c r="F529" s="119">
        <f>$C529-$D529</f>
        <v/>
      </c>
      <c r="G529" s="120">
        <f>IF($C529=0,0,$F529/$C529)</f>
        <v/>
      </c>
      <c r="H529" s="119">
        <f>IF($E529=0,0,$F529/$E529)</f>
        <v/>
      </c>
      <c r="I529" s="121">
        <f>IF($B529="","",IF($F529&lt;0,"ZARAR",IF($G529&lt;IsMarjEsik,"RİSK","KÂRLI")))</f>
        <v/>
      </c>
      <c r="J529" s="122" t="n"/>
    </row>
    <row r="530" ht="15" customHeight="1" s="76">
      <c r="A530" s="122" t="n"/>
      <c r="B530" s="122" t="n"/>
      <c r="C530" s="123" t="n"/>
      <c r="D530" s="123" t="n"/>
      <c r="E530" s="124" t="n"/>
      <c r="F530" s="119">
        <f>$C530-$D530</f>
        <v/>
      </c>
      <c r="G530" s="120">
        <f>IF($C530=0,0,$F530/$C530)</f>
        <v/>
      </c>
      <c r="H530" s="119">
        <f>IF($E530=0,0,$F530/$E530)</f>
        <v/>
      </c>
      <c r="I530" s="121">
        <f>IF($B530="","",IF($F530&lt;0,"ZARAR",IF($G530&lt;IsMarjEsik,"RİSK","KÂRLI")))</f>
        <v/>
      </c>
      <c r="J530" s="122" t="n"/>
    </row>
    <row r="531" ht="15" customHeight="1" s="76">
      <c r="A531" s="122" t="n"/>
      <c r="B531" s="122" t="n"/>
      <c r="C531" s="123" t="n"/>
      <c r="D531" s="123" t="n"/>
      <c r="E531" s="124" t="n"/>
      <c r="F531" s="119">
        <f>$C531-$D531</f>
        <v/>
      </c>
      <c r="G531" s="120">
        <f>IF($C531=0,0,$F531/$C531)</f>
        <v/>
      </c>
      <c r="H531" s="119">
        <f>IF($E531=0,0,$F531/$E531)</f>
        <v/>
      </c>
      <c r="I531" s="121">
        <f>IF($B531="","",IF($F531&lt;0,"ZARAR",IF($G531&lt;IsMarjEsik,"RİSK","KÂRLI")))</f>
        <v/>
      </c>
      <c r="J531" s="122" t="n"/>
    </row>
    <row r="532" ht="15" customHeight="1" s="76">
      <c r="A532" s="122" t="n"/>
      <c r="B532" s="122" t="n"/>
      <c r="C532" s="123" t="n"/>
      <c r="D532" s="123" t="n"/>
      <c r="E532" s="124" t="n"/>
      <c r="F532" s="119">
        <f>$C532-$D532</f>
        <v/>
      </c>
      <c r="G532" s="120">
        <f>IF($C532=0,0,$F532/$C532)</f>
        <v/>
      </c>
      <c r="H532" s="119">
        <f>IF($E532=0,0,$F532/$E532)</f>
        <v/>
      </c>
      <c r="I532" s="121">
        <f>IF($B532="","",IF($F532&lt;0,"ZARAR",IF($G532&lt;IsMarjEsik,"RİSK","KÂRLI")))</f>
        <v/>
      </c>
      <c r="J532" s="122" t="n"/>
    </row>
    <row r="533" ht="15" customHeight="1" s="76">
      <c r="A533" s="122" t="n"/>
      <c r="B533" s="122" t="n"/>
      <c r="C533" s="123" t="n"/>
      <c r="D533" s="123" t="n"/>
      <c r="E533" s="124" t="n"/>
      <c r="F533" s="119">
        <f>$C533-$D533</f>
        <v/>
      </c>
      <c r="G533" s="120">
        <f>IF($C533=0,0,$F533/$C533)</f>
        <v/>
      </c>
      <c r="H533" s="119">
        <f>IF($E533=0,0,$F533/$E533)</f>
        <v/>
      </c>
      <c r="I533" s="121">
        <f>IF($B533="","",IF($F533&lt;0,"ZARAR",IF($G533&lt;IsMarjEsik,"RİSK","KÂRLI")))</f>
        <v/>
      </c>
      <c r="J533" s="122" t="n"/>
    </row>
    <row r="534" ht="15" customHeight="1" s="76">
      <c r="A534" s="122" t="n"/>
      <c r="B534" s="122" t="n"/>
      <c r="C534" s="123" t="n"/>
      <c r="D534" s="123" t="n"/>
      <c r="E534" s="124" t="n"/>
      <c r="F534" s="119">
        <f>$C534-$D534</f>
        <v/>
      </c>
      <c r="G534" s="120">
        <f>IF($C534=0,0,$F534/$C534)</f>
        <v/>
      </c>
      <c r="H534" s="119">
        <f>IF($E534=0,0,$F534/$E534)</f>
        <v/>
      </c>
      <c r="I534" s="121">
        <f>IF($B534="","",IF($F534&lt;0,"ZARAR",IF($G534&lt;IsMarjEsik,"RİSK","KÂRLI")))</f>
        <v/>
      </c>
      <c r="J534" s="122" t="n"/>
    </row>
    <row r="535" ht="15" customHeight="1" s="76">
      <c r="A535" s="122" t="n"/>
      <c r="B535" s="122" t="n"/>
      <c r="C535" s="123" t="n"/>
      <c r="D535" s="123" t="n"/>
      <c r="E535" s="124" t="n"/>
      <c r="F535" s="119">
        <f>$C535-$D535</f>
        <v/>
      </c>
      <c r="G535" s="120">
        <f>IF($C535=0,0,$F535/$C535)</f>
        <v/>
      </c>
      <c r="H535" s="119">
        <f>IF($E535=0,0,$F535/$E535)</f>
        <v/>
      </c>
      <c r="I535" s="121">
        <f>IF($B535="","",IF($F535&lt;0,"ZARAR",IF($G535&lt;IsMarjEsik,"RİSK","KÂRLI")))</f>
        <v/>
      </c>
      <c r="J535" s="122" t="n"/>
    </row>
    <row r="536" ht="15" customHeight="1" s="76">
      <c r="A536" s="122" t="n"/>
      <c r="B536" s="122" t="n"/>
      <c r="C536" s="123" t="n"/>
      <c r="D536" s="123" t="n"/>
      <c r="E536" s="124" t="n"/>
      <c r="F536" s="119">
        <f>$C536-$D536</f>
        <v/>
      </c>
      <c r="G536" s="120">
        <f>IF($C536=0,0,$F536/$C536)</f>
        <v/>
      </c>
      <c r="H536" s="119">
        <f>IF($E536=0,0,$F536/$E536)</f>
        <v/>
      </c>
      <c r="I536" s="121">
        <f>IF($B536="","",IF($F536&lt;0,"ZARAR",IF($G536&lt;IsMarjEsik,"RİSK","KÂRLI")))</f>
        <v/>
      </c>
      <c r="J536" s="122" t="n"/>
    </row>
    <row r="537" ht="15" customHeight="1" s="76">
      <c r="A537" s="122" t="n"/>
      <c r="B537" s="122" t="n"/>
      <c r="C537" s="123" t="n"/>
      <c r="D537" s="123" t="n"/>
      <c r="E537" s="124" t="n"/>
      <c r="F537" s="119">
        <f>$C537-$D537</f>
        <v/>
      </c>
      <c r="G537" s="120">
        <f>IF($C537=0,0,$F537/$C537)</f>
        <v/>
      </c>
      <c r="H537" s="119">
        <f>IF($E537=0,0,$F537/$E537)</f>
        <v/>
      </c>
      <c r="I537" s="121">
        <f>IF($B537="","",IF($F537&lt;0,"ZARAR",IF($G537&lt;IsMarjEsik,"RİSK","KÂRLI")))</f>
        <v/>
      </c>
      <c r="J537" s="122" t="n"/>
    </row>
    <row r="538" ht="15" customHeight="1" s="76">
      <c r="A538" s="122" t="n"/>
      <c r="B538" s="122" t="n"/>
      <c r="C538" s="123" t="n"/>
      <c r="D538" s="123" t="n"/>
      <c r="E538" s="124" t="n"/>
      <c r="F538" s="119">
        <f>$C538-$D538</f>
        <v/>
      </c>
      <c r="G538" s="120">
        <f>IF($C538=0,0,$F538/$C538)</f>
        <v/>
      </c>
      <c r="H538" s="119">
        <f>IF($E538=0,0,$F538/$E538)</f>
        <v/>
      </c>
      <c r="I538" s="121">
        <f>IF($B538="","",IF($F538&lt;0,"ZARAR",IF($G538&lt;IsMarjEsik,"RİSK","KÂRLI")))</f>
        <v/>
      </c>
      <c r="J538" s="122" t="n"/>
    </row>
    <row r="539" ht="15" customHeight="1" s="76">
      <c r="A539" s="122" t="n"/>
      <c r="B539" s="122" t="n"/>
      <c r="C539" s="123" t="n"/>
      <c r="D539" s="123" t="n"/>
      <c r="E539" s="124" t="n"/>
      <c r="F539" s="119">
        <f>$C539-$D539</f>
        <v/>
      </c>
      <c r="G539" s="120">
        <f>IF($C539=0,0,$F539/$C539)</f>
        <v/>
      </c>
      <c r="H539" s="119">
        <f>IF($E539=0,0,$F539/$E539)</f>
        <v/>
      </c>
      <c r="I539" s="121">
        <f>IF($B539="","",IF($F539&lt;0,"ZARAR",IF($G539&lt;IsMarjEsik,"RİSK","KÂRLI")))</f>
        <v/>
      </c>
      <c r="J539" s="122" t="n"/>
    </row>
    <row r="540" ht="15" customHeight="1" s="76">
      <c r="A540" s="122" t="n"/>
      <c r="B540" s="122" t="n"/>
      <c r="C540" s="123" t="n"/>
      <c r="D540" s="123" t="n"/>
      <c r="E540" s="124" t="n"/>
      <c r="F540" s="119">
        <f>$C540-$D540</f>
        <v/>
      </c>
      <c r="G540" s="120">
        <f>IF($C540=0,0,$F540/$C540)</f>
        <v/>
      </c>
      <c r="H540" s="119">
        <f>IF($E540=0,0,$F540/$E540)</f>
        <v/>
      </c>
      <c r="I540" s="121">
        <f>IF($B540="","",IF($F540&lt;0,"ZARAR",IF($G540&lt;IsMarjEsik,"RİSK","KÂRLI")))</f>
        <v/>
      </c>
      <c r="J540" s="122" t="n"/>
    </row>
    <row r="541" ht="15" customHeight="1" s="76">
      <c r="A541" s="122" t="n"/>
      <c r="B541" s="122" t="n"/>
      <c r="C541" s="123" t="n"/>
      <c r="D541" s="123" t="n"/>
      <c r="E541" s="124" t="n"/>
      <c r="F541" s="119">
        <f>$C541-$D541</f>
        <v/>
      </c>
      <c r="G541" s="120">
        <f>IF($C541=0,0,$F541/$C541)</f>
        <v/>
      </c>
      <c r="H541" s="119">
        <f>IF($E541=0,0,$F541/$E541)</f>
        <v/>
      </c>
      <c r="I541" s="121">
        <f>IF($B541="","",IF($F541&lt;0,"ZARAR",IF($G541&lt;IsMarjEsik,"RİSK","KÂRLI")))</f>
        <v/>
      </c>
      <c r="J541" s="122" t="n"/>
    </row>
    <row r="542" ht="15" customHeight="1" s="76">
      <c r="A542" s="122" t="n"/>
      <c r="B542" s="122" t="n"/>
      <c r="C542" s="123" t="n"/>
      <c r="D542" s="123" t="n"/>
      <c r="E542" s="124" t="n"/>
      <c r="F542" s="119">
        <f>$C542-$D542</f>
        <v/>
      </c>
      <c r="G542" s="120">
        <f>IF($C542=0,0,$F542/$C542)</f>
        <v/>
      </c>
      <c r="H542" s="119">
        <f>IF($E542=0,0,$F542/$E542)</f>
        <v/>
      </c>
      <c r="I542" s="121">
        <f>IF($B542="","",IF($F542&lt;0,"ZARAR",IF($G542&lt;IsMarjEsik,"RİSK","KÂRLI")))</f>
        <v/>
      </c>
      <c r="J542" s="122" t="n"/>
    </row>
    <row r="543" ht="15" customHeight="1" s="76">
      <c r="A543" s="122" t="n"/>
      <c r="B543" s="122" t="n"/>
      <c r="C543" s="123" t="n"/>
      <c r="D543" s="123" t="n"/>
      <c r="E543" s="124" t="n"/>
      <c r="F543" s="119">
        <f>$C543-$D543</f>
        <v/>
      </c>
      <c r="G543" s="120">
        <f>IF($C543=0,0,$F543/$C543)</f>
        <v/>
      </c>
      <c r="H543" s="119">
        <f>IF($E543=0,0,$F543/$E543)</f>
        <v/>
      </c>
      <c r="I543" s="121">
        <f>IF($B543="","",IF($F543&lt;0,"ZARAR",IF($G543&lt;IsMarjEsik,"RİSK","KÂRLI")))</f>
        <v/>
      </c>
      <c r="J543" s="122" t="n"/>
    </row>
    <row r="544" ht="15" customHeight="1" s="76">
      <c r="A544" s="122" t="n"/>
      <c r="B544" s="122" t="n"/>
      <c r="C544" s="123" t="n"/>
      <c r="D544" s="123" t="n"/>
      <c r="E544" s="124" t="n"/>
      <c r="F544" s="119">
        <f>$C544-$D544</f>
        <v/>
      </c>
      <c r="G544" s="120">
        <f>IF($C544=0,0,$F544/$C544)</f>
        <v/>
      </c>
      <c r="H544" s="119">
        <f>IF($E544=0,0,$F544/$E544)</f>
        <v/>
      </c>
      <c r="I544" s="121">
        <f>IF($B544="","",IF($F544&lt;0,"ZARAR",IF($G544&lt;IsMarjEsik,"RİSK","KÂRLI")))</f>
        <v/>
      </c>
      <c r="J544" s="122" t="n"/>
    </row>
    <row r="545" ht="15" customHeight="1" s="76">
      <c r="A545" s="122" t="n"/>
      <c r="B545" s="122" t="n"/>
      <c r="C545" s="123" t="n"/>
      <c r="D545" s="123" t="n"/>
      <c r="E545" s="124" t="n"/>
      <c r="F545" s="119">
        <f>$C545-$D545</f>
        <v/>
      </c>
      <c r="G545" s="120">
        <f>IF($C545=0,0,$F545/$C545)</f>
        <v/>
      </c>
      <c r="H545" s="119">
        <f>IF($E545=0,0,$F545/$E545)</f>
        <v/>
      </c>
      <c r="I545" s="121">
        <f>IF($B545="","",IF($F545&lt;0,"ZARAR",IF($G545&lt;IsMarjEsik,"RİSK","KÂRLI")))</f>
        <v/>
      </c>
      <c r="J545" s="122" t="n"/>
    </row>
    <row r="546" ht="15" customHeight="1" s="76">
      <c r="A546" s="122" t="n"/>
      <c r="B546" s="122" t="n"/>
      <c r="C546" s="123" t="n"/>
      <c r="D546" s="123" t="n"/>
      <c r="E546" s="124" t="n"/>
      <c r="F546" s="119">
        <f>$C546-$D546</f>
        <v/>
      </c>
      <c r="G546" s="120">
        <f>IF($C546=0,0,$F546/$C546)</f>
        <v/>
      </c>
      <c r="H546" s="119">
        <f>IF($E546=0,0,$F546/$E546)</f>
        <v/>
      </c>
      <c r="I546" s="121">
        <f>IF($B546="","",IF($F546&lt;0,"ZARAR",IF($G546&lt;IsMarjEsik,"RİSK","KÂRLI")))</f>
        <v/>
      </c>
      <c r="J546" s="122" t="n"/>
    </row>
    <row r="547" ht="15" customHeight="1" s="76">
      <c r="A547" s="122" t="n"/>
      <c r="B547" s="122" t="n"/>
      <c r="C547" s="123" t="n"/>
      <c r="D547" s="123" t="n"/>
      <c r="E547" s="124" t="n"/>
      <c r="F547" s="119">
        <f>$C547-$D547</f>
        <v/>
      </c>
      <c r="G547" s="120">
        <f>IF($C547=0,0,$F547/$C547)</f>
        <v/>
      </c>
      <c r="H547" s="119">
        <f>IF($E547=0,0,$F547/$E547)</f>
        <v/>
      </c>
      <c r="I547" s="121">
        <f>IF($B547="","",IF($F547&lt;0,"ZARAR",IF($G547&lt;IsMarjEsik,"RİSK","KÂRLI")))</f>
        <v/>
      </c>
      <c r="J547" s="122" t="n"/>
    </row>
    <row r="548" ht="15" customHeight="1" s="76">
      <c r="A548" s="122" t="n"/>
      <c r="B548" s="122" t="n"/>
      <c r="C548" s="123" t="n"/>
      <c r="D548" s="123" t="n"/>
      <c r="E548" s="124" t="n"/>
      <c r="F548" s="119">
        <f>$C548-$D548</f>
        <v/>
      </c>
      <c r="G548" s="120">
        <f>IF($C548=0,0,$F548/$C548)</f>
        <v/>
      </c>
      <c r="H548" s="119">
        <f>IF($E548=0,0,$F548/$E548)</f>
        <v/>
      </c>
      <c r="I548" s="121">
        <f>IF($B548="","",IF($F548&lt;0,"ZARAR",IF($G548&lt;IsMarjEsik,"RİSK","KÂRLI")))</f>
        <v/>
      </c>
      <c r="J548" s="122" t="n"/>
    </row>
    <row r="549" ht="15" customHeight="1" s="76">
      <c r="A549" s="122" t="n"/>
      <c r="B549" s="122" t="n"/>
      <c r="C549" s="123" t="n"/>
      <c r="D549" s="123" t="n"/>
      <c r="E549" s="124" t="n"/>
      <c r="F549" s="119">
        <f>$C549-$D549</f>
        <v/>
      </c>
      <c r="G549" s="120">
        <f>IF($C549=0,0,$F549/$C549)</f>
        <v/>
      </c>
      <c r="H549" s="119">
        <f>IF($E549=0,0,$F549/$E549)</f>
        <v/>
      </c>
      <c r="I549" s="121">
        <f>IF($B549="","",IF($F549&lt;0,"ZARAR",IF($G549&lt;IsMarjEsik,"RİSK","KÂRLI")))</f>
        <v/>
      </c>
      <c r="J549" s="122" t="n"/>
    </row>
    <row r="550" ht="15" customHeight="1" s="76">
      <c r="A550" s="122" t="n"/>
      <c r="B550" s="122" t="n"/>
      <c r="C550" s="123" t="n"/>
      <c r="D550" s="123" t="n"/>
      <c r="E550" s="124" t="n"/>
      <c r="F550" s="119">
        <f>$C550-$D550</f>
        <v/>
      </c>
      <c r="G550" s="120">
        <f>IF($C550=0,0,$F550/$C550)</f>
        <v/>
      </c>
      <c r="H550" s="119">
        <f>IF($E550=0,0,$F550/$E550)</f>
        <v/>
      </c>
      <c r="I550" s="121">
        <f>IF($B550="","",IF($F550&lt;0,"ZARAR",IF($G550&lt;IsMarjEsik,"RİSK","KÂRLI")))</f>
        <v/>
      </c>
      <c r="J550" s="122" t="n"/>
    </row>
    <row r="551" ht="15" customHeight="1" s="76">
      <c r="A551" s="122" t="n"/>
      <c r="B551" s="122" t="n"/>
      <c r="C551" s="123" t="n"/>
      <c r="D551" s="123" t="n"/>
      <c r="E551" s="124" t="n"/>
      <c r="F551" s="119">
        <f>$C551-$D551</f>
        <v/>
      </c>
      <c r="G551" s="120">
        <f>IF($C551=0,0,$F551/$C551)</f>
        <v/>
      </c>
      <c r="H551" s="119">
        <f>IF($E551=0,0,$F551/$E551)</f>
        <v/>
      </c>
      <c r="I551" s="121">
        <f>IF($B551="","",IF($F551&lt;0,"ZARAR",IF($G551&lt;IsMarjEsik,"RİSK","KÂRLI")))</f>
        <v/>
      </c>
      <c r="J551" s="122" t="n"/>
    </row>
    <row r="552" ht="15" customHeight="1" s="76">
      <c r="A552" s="122" t="n"/>
      <c r="B552" s="122" t="n"/>
      <c r="C552" s="123" t="n"/>
      <c r="D552" s="123" t="n"/>
      <c r="E552" s="124" t="n"/>
      <c r="F552" s="119">
        <f>$C552-$D552</f>
        <v/>
      </c>
      <c r="G552" s="120">
        <f>IF($C552=0,0,$F552/$C552)</f>
        <v/>
      </c>
      <c r="H552" s="119">
        <f>IF($E552=0,0,$F552/$E552)</f>
        <v/>
      </c>
      <c r="I552" s="121">
        <f>IF($B552="","",IF($F552&lt;0,"ZARAR",IF($G552&lt;IsMarjEsik,"RİSK","KÂRLI")))</f>
        <v/>
      </c>
      <c r="J552" s="122" t="n"/>
    </row>
    <row r="553" ht="15" customHeight="1" s="76">
      <c r="A553" s="122" t="n"/>
      <c r="B553" s="122" t="n"/>
      <c r="C553" s="123" t="n"/>
      <c r="D553" s="123" t="n"/>
      <c r="E553" s="124" t="n"/>
      <c r="F553" s="119">
        <f>$C553-$D553</f>
        <v/>
      </c>
      <c r="G553" s="120">
        <f>IF($C553=0,0,$F553/$C553)</f>
        <v/>
      </c>
      <c r="H553" s="119">
        <f>IF($E553=0,0,$F553/$E553)</f>
        <v/>
      </c>
      <c r="I553" s="121">
        <f>IF($B553="","",IF($F553&lt;0,"ZARAR",IF($G553&lt;IsMarjEsik,"RİSK","KÂRLI")))</f>
        <v/>
      </c>
      <c r="J553" s="122" t="n"/>
    </row>
    <row r="554" ht="15" customHeight="1" s="76">
      <c r="A554" s="122" t="n"/>
      <c r="B554" s="122" t="n"/>
      <c r="C554" s="123" t="n"/>
      <c r="D554" s="123" t="n"/>
      <c r="E554" s="124" t="n"/>
      <c r="F554" s="119">
        <f>$C554-$D554</f>
        <v/>
      </c>
      <c r="G554" s="120">
        <f>IF($C554=0,0,$F554/$C554)</f>
        <v/>
      </c>
      <c r="H554" s="119">
        <f>IF($E554=0,0,$F554/$E554)</f>
        <v/>
      </c>
      <c r="I554" s="121">
        <f>IF($B554="","",IF($F554&lt;0,"ZARAR",IF($G554&lt;IsMarjEsik,"RİSK","KÂRLI")))</f>
        <v/>
      </c>
      <c r="J554" s="122" t="n"/>
    </row>
    <row r="555" ht="15" customHeight="1" s="76">
      <c r="A555" s="122" t="n"/>
      <c r="B555" s="122" t="n"/>
      <c r="C555" s="123" t="n"/>
      <c r="D555" s="123" t="n"/>
      <c r="E555" s="124" t="n"/>
      <c r="F555" s="119">
        <f>$C555-$D555</f>
        <v/>
      </c>
      <c r="G555" s="120">
        <f>IF($C555=0,0,$F555/$C555)</f>
        <v/>
      </c>
      <c r="H555" s="119">
        <f>IF($E555=0,0,$F555/$E555)</f>
        <v/>
      </c>
      <c r="I555" s="121">
        <f>IF($B555="","",IF($F555&lt;0,"ZARAR",IF($G555&lt;IsMarjEsik,"RİSK","KÂRLI")))</f>
        <v/>
      </c>
      <c r="J555" s="122" t="n"/>
    </row>
    <row r="556" ht="15" customHeight="1" s="76">
      <c r="A556" s="122" t="n"/>
      <c r="B556" s="122" t="n"/>
      <c r="C556" s="123" t="n"/>
      <c r="D556" s="123" t="n"/>
      <c r="E556" s="124" t="n"/>
      <c r="F556" s="119">
        <f>$C556-$D556</f>
        <v/>
      </c>
      <c r="G556" s="120">
        <f>IF($C556=0,0,$F556/$C556)</f>
        <v/>
      </c>
      <c r="H556" s="119">
        <f>IF($E556=0,0,$F556/$E556)</f>
        <v/>
      </c>
      <c r="I556" s="121">
        <f>IF($B556="","",IF($F556&lt;0,"ZARAR",IF($G556&lt;IsMarjEsik,"RİSK","KÂRLI")))</f>
        <v/>
      </c>
      <c r="J556" s="122" t="n"/>
    </row>
    <row r="557" ht="15" customHeight="1" s="76">
      <c r="A557" s="122" t="n"/>
      <c r="B557" s="122" t="n"/>
      <c r="C557" s="123" t="n"/>
      <c r="D557" s="123" t="n"/>
      <c r="E557" s="124" t="n"/>
      <c r="F557" s="119">
        <f>$C557-$D557</f>
        <v/>
      </c>
      <c r="G557" s="120">
        <f>IF($C557=0,0,$F557/$C557)</f>
        <v/>
      </c>
      <c r="H557" s="119">
        <f>IF($E557=0,0,$F557/$E557)</f>
        <v/>
      </c>
      <c r="I557" s="121">
        <f>IF($B557="","",IF($F557&lt;0,"ZARAR",IF($G557&lt;IsMarjEsik,"RİSK","KÂRLI")))</f>
        <v/>
      </c>
      <c r="J557" s="122" t="n"/>
    </row>
    <row r="558" ht="15" customHeight="1" s="76">
      <c r="A558" s="122" t="n"/>
      <c r="B558" s="122" t="n"/>
      <c r="C558" s="123" t="n"/>
      <c r="D558" s="123" t="n"/>
      <c r="E558" s="124" t="n"/>
      <c r="F558" s="119">
        <f>$C558-$D558</f>
        <v/>
      </c>
      <c r="G558" s="120">
        <f>IF($C558=0,0,$F558/$C558)</f>
        <v/>
      </c>
      <c r="H558" s="119">
        <f>IF($E558=0,0,$F558/$E558)</f>
        <v/>
      </c>
      <c r="I558" s="121">
        <f>IF($B558="","",IF($F558&lt;0,"ZARAR",IF($G558&lt;IsMarjEsik,"RİSK","KÂRLI")))</f>
        <v/>
      </c>
      <c r="J558" s="122" t="n"/>
    </row>
    <row r="559" ht="15" customHeight="1" s="76">
      <c r="A559" s="122" t="n"/>
      <c r="B559" s="122" t="n"/>
      <c r="C559" s="123" t="n"/>
      <c r="D559" s="123" t="n"/>
      <c r="E559" s="124" t="n"/>
      <c r="F559" s="119">
        <f>$C559-$D559</f>
        <v/>
      </c>
      <c r="G559" s="120">
        <f>IF($C559=0,0,$F559/$C559)</f>
        <v/>
      </c>
      <c r="H559" s="119">
        <f>IF($E559=0,0,$F559/$E559)</f>
        <v/>
      </c>
      <c r="I559" s="121">
        <f>IF($B559="","",IF($F559&lt;0,"ZARAR",IF($G559&lt;IsMarjEsik,"RİSK","KÂRLI")))</f>
        <v/>
      </c>
      <c r="J559" s="122" t="n"/>
    </row>
    <row r="560" ht="15" customHeight="1" s="76">
      <c r="A560" s="122" t="n"/>
      <c r="B560" s="122" t="n"/>
      <c r="C560" s="123" t="n"/>
      <c r="D560" s="123" t="n"/>
      <c r="E560" s="124" t="n"/>
      <c r="F560" s="119">
        <f>$C560-$D560</f>
        <v/>
      </c>
      <c r="G560" s="120">
        <f>IF($C560=0,0,$F560/$C560)</f>
        <v/>
      </c>
      <c r="H560" s="119">
        <f>IF($E560=0,0,$F560/$E560)</f>
        <v/>
      </c>
      <c r="I560" s="121">
        <f>IF($B560="","",IF($F560&lt;0,"ZARAR",IF($G560&lt;IsMarjEsik,"RİSK","KÂRLI")))</f>
        <v/>
      </c>
      <c r="J560" s="122" t="n"/>
    </row>
    <row r="561" ht="15" customHeight="1" s="76">
      <c r="A561" s="122" t="n"/>
      <c r="B561" s="122" t="n"/>
      <c r="C561" s="123" t="n"/>
      <c r="D561" s="123" t="n"/>
      <c r="E561" s="124" t="n"/>
      <c r="F561" s="119">
        <f>$C561-$D561</f>
        <v/>
      </c>
      <c r="G561" s="120">
        <f>IF($C561=0,0,$F561/$C561)</f>
        <v/>
      </c>
      <c r="H561" s="119">
        <f>IF($E561=0,0,$F561/$E561)</f>
        <v/>
      </c>
      <c r="I561" s="121">
        <f>IF($B561="","",IF($F561&lt;0,"ZARAR",IF($G561&lt;IsMarjEsik,"RİSK","KÂRLI")))</f>
        <v/>
      </c>
      <c r="J561" s="122" t="n"/>
    </row>
    <row r="562" ht="15" customHeight="1" s="76">
      <c r="A562" s="122" t="n"/>
      <c r="B562" s="122" t="n"/>
      <c r="C562" s="123" t="n"/>
      <c r="D562" s="123" t="n"/>
      <c r="E562" s="124" t="n"/>
      <c r="F562" s="119">
        <f>$C562-$D562</f>
        <v/>
      </c>
      <c r="G562" s="120">
        <f>IF($C562=0,0,$F562/$C562)</f>
        <v/>
      </c>
      <c r="H562" s="119">
        <f>IF($E562=0,0,$F562/$E562)</f>
        <v/>
      </c>
      <c r="I562" s="121">
        <f>IF($B562="","",IF($F562&lt;0,"ZARAR",IF($G562&lt;IsMarjEsik,"RİSK","KÂRLI")))</f>
        <v/>
      </c>
      <c r="J562" s="122" t="n"/>
    </row>
    <row r="563" ht="15" customHeight="1" s="76">
      <c r="A563" s="122" t="n"/>
      <c r="B563" s="122" t="n"/>
      <c r="C563" s="123" t="n"/>
      <c r="D563" s="123" t="n"/>
      <c r="E563" s="124" t="n"/>
      <c r="F563" s="119">
        <f>$C563-$D563</f>
        <v/>
      </c>
      <c r="G563" s="120">
        <f>IF($C563=0,0,$F563/$C563)</f>
        <v/>
      </c>
      <c r="H563" s="119">
        <f>IF($E563=0,0,$F563/$E563)</f>
        <v/>
      </c>
      <c r="I563" s="121">
        <f>IF($B563="","",IF($F563&lt;0,"ZARAR",IF($G563&lt;IsMarjEsik,"RİSK","KÂRLI")))</f>
        <v/>
      </c>
      <c r="J563" s="122" t="n"/>
    </row>
    <row r="564" ht="15" customHeight="1" s="76">
      <c r="A564" s="122" t="n"/>
      <c r="B564" s="122" t="n"/>
      <c r="C564" s="123" t="n"/>
      <c r="D564" s="123" t="n"/>
      <c r="E564" s="124" t="n"/>
      <c r="F564" s="119">
        <f>$C564-$D564</f>
        <v/>
      </c>
      <c r="G564" s="120">
        <f>IF($C564=0,0,$F564/$C564)</f>
        <v/>
      </c>
      <c r="H564" s="119">
        <f>IF($E564=0,0,$F564/$E564)</f>
        <v/>
      </c>
      <c r="I564" s="121">
        <f>IF($B564="","",IF($F564&lt;0,"ZARAR",IF($G564&lt;IsMarjEsik,"RİSK","KÂRLI")))</f>
        <v/>
      </c>
      <c r="J564" s="122" t="n"/>
    </row>
    <row r="565" ht="15" customHeight="1" s="76">
      <c r="A565" s="122" t="n"/>
      <c r="B565" s="122" t="n"/>
      <c r="C565" s="123" t="n"/>
      <c r="D565" s="123" t="n"/>
      <c r="E565" s="124" t="n"/>
      <c r="F565" s="119">
        <f>$C565-$D565</f>
        <v/>
      </c>
      <c r="G565" s="120">
        <f>IF($C565=0,0,$F565/$C565)</f>
        <v/>
      </c>
      <c r="H565" s="119">
        <f>IF($E565=0,0,$F565/$E565)</f>
        <v/>
      </c>
      <c r="I565" s="121">
        <f>IF($B565="","",IF($F565&lt;0,"ZARAR",IF($G565&lt;IsMarjEsik,"RİSK","KÂRLI")))</f>
        <v/>
      </c>
      <c r="J565" s="122" t="n"/>
    </row>
    <row r="566" ht="15" customHeight="1" s="76">
      <c r="A566" s="122" t="n"/>
      <c r="B566" s="122" t="n"/>
      <c r="C566" s="123" t="n"/>
      <c r="D566" s="123" t="n"/>
      <c r="E566" s="124" t="n"/>
      <c r="F566" s="119">
        <f>$C566-$D566</f>
        <v/>
      </c>
      <c r="G566" s="120">
        <f>IF($C566=0,0,$F566/$C566)</f>
        <v/>
      </c>
      <c r="H566" s="119">
        <f>IF($E566=0,0,$F566/$E566)</f>
        <v/>
      </c>
      <c r="I566" s="121">
        <f>IF($B566="","",IF($F566&lt;0,"ZARAR",IF($G566&lt;IsMarjEsik,"RİSK","KÂRLI")))</f>
        <v/>
      </c>
      <c r="J566" s="122" t="n"/>
    </row>
    <row r="567" ht="15" customHeight="1" s="76">
      <c r="A567" s="122" t="n"/>
      <c r="B567" s="122" t="n"/>
      <c r="C567" s="123" t="n"/>
      <c r="D567" s="123" t="n"/>
      <c r="E567" s="124" t="n"/>
      <c r="F567" s="119">
        <f>$C567-$D567</f>
        <v/>
      </c>
      <c r="G567" s="120">
        <f>IF($C567=0,0,$F567/$C567)</f>
        <v/>
      </c>
      <c r="H567" s="119">
        <f>IF($E567=0,0,$F567/$E567)</f>
        <v/>
      </c>
      <c r="I567" s="121">
        <f>IF($B567="","",IF($F567&lt;0,"ZARAR",IF($G567&lt;IsMarjEsik,"RİSK","KÂRLI")))</f>
        <v/>
      </c>
      <c r="J567" s="122" t="n"/>
    </row>
    <row r="568" ht="15" customHeight="1" s="76">
      <c r="A568" s="122" t="n"/>
      <c r="B568" s="122" t="n"/>
      <c r="C568" s="123" t="n"/>
      <c r="D568" s="123" t="n"/>
      <c r="E568" s="124" t="n"/>
      <c r="F568" s="119">
        <f>$C568-$D568</f>
        <v/>
      </c>
      <c r="G568" s="120">
        <f>IF($C568=0,0,$F568/$C568)</f>
        <v/>
      </c>
      <c r="H568" s="119">
        <f>IF($E568=0,0,$F568/$E568)</f>
        <v/>
      </c>
      <c r="I568" s="121">
        <f>IF($B568="","",IF($F568&lt;0,"ZARAR",IF($G568&lt;IsMarjEsik,"RİSK","KÂRLI")))</f>
        <v/>
      </c>
      <c r="J568" s="122" t="n"/>
    </row>
    <row r="569" ht="15" customHeight="1" s="76">
      <c r="A569" s="122" t="n"/>
      <c r="B569" s="122" t="n"/>
      <c r="C569" s="123" t="n"/>
      <c r="D569" s="123" t="n"/>
      <c r="E569" s="124" t="n"/>
      <c r="F569" s="119">
        <f>$C569-$D569</f>
        <v/>
      </c>
      <c r="G569" s="120">
        <f>IF($C569=0,0,$F569/$C569)</f>
        <v/>
      </c>
      <c r="H569" s="119">
        <f>IF($E569=0,0,$F569/$E569)</f>
        <v/>
      </c>
      <c r="I569" s="121">
        <f>IF($B569="","",IF($F569&lt;0,"ZARAR",IF($G569&lt;IsMarjEsik,"RİSK","KÂRLI")))</f>
        <v/>
      </c>
      <c r="J569" s="122" t="n"/>
    </row>
    <row r="570" ht="15" customHeight="1" s="76">
      <c r="A570" s="122" t="n"/>
      <c r="B570" s="122" t="n"/>
      <c r="C570" s="123" t="n"/>
      <c r="D570" s="123" t="n"/>
      <c r="E570" s="124" t="n"/>
      <c r="F570" s="119">
        <f>$C570-$D570</f>
        <v/>
      </c>
      <c r="G570" s="120">
        <f>IF($C570=0,0,$F570/$C570)</f>
        <v/>
      </c>
      <c r="H570" s="119">
        <f>IF($E570=0,0,$F570/$E570)</f>
        <v/>
      </c>
      <c r="I570" s="121">
        <f>IF($B570="","",IF($F570&lt;0,"ZARAR",IF($G570&lt;IsMarjEsik,"RİSK","KÂRLI")))</f>
        <v/>
      </c>
      <c r="J570" s="122" t="n"/>
    </row>
    <row r="571" ht="15" customHeight="1" s="76">
      <c r="A571" s="122" t="n"/>
      <c r="B571" s="122" t="n"/>
      <c r="C571" s="123" t="n"/>
      <c r="D571" s="123" t="n"/>
      <c r="E571" s="124" t="n"/>
      <c r="F571" s="119">
        <f>$C571-$D571</f>
        <v/>
      </c>
      <c r="G571" s="120">
        <f>IF($C571=0,0,$F571/$C571)</f>
        <v/>
      </c>
      <c r="H571" s="119">
        <f>IF($E571=0,0,$F571/$E571)</f>
        <v/>
      </c>
      <c r="I571" s="121">
        <f>IF($B571="","",IF($F571&lt;0,"ZARAR",IF($G571&lt;IsMarjEsik,"RİSK","KÂRLI")))</f>
        <v/>
      </c>
      <c r="J571" s="122" t="n"/>
    </row>
    <row r="572" ht="15" customHeight="1" s="76">
      <c r="A572" s="122" t="n"/>
      <c r="B572" s="122" t="n"/>
      <c r="C572" s="123" t="n"/>
      <c r="D572" s="123" t="n"/>
      <c r="E572" s="124" t="n"/>
      <c r="F572" s="119">
        <f>$C572-$D572</f>
        <v/>
      </c>
      <c r="G572" s="120">
        <f>IF($C572=0,0,$F572/$C572)</f>
        <v/>
      </c>
      <c r="H572" s="119">
        <f>IF($E572=0,0,$F572/$E572)</f>
        <v/>
      </c>
      <c r="I572" s="121">
        <f>IF($B572="","",IF($F572&lt;0,"ZARAR",IF($G572&lt;IsMarjEsik,"RİSK","KÂRLI")))</f>
        <v/>
      </c>
      <c r="J572" s="122" t="n"/>
    </row>
    <row r="573" ht="15" customHeight="1" s="76">
      <c r="A573" s="122" t="n"/>
      <c r="B573" s="122" t="n"/>
      <c r="C573" s="123" t="n"/>
      <c r="D573" s="123" t="n"/>
      <c r="E573" s="124" t="n"/>
      <c r="F573" s="119">
        <f>$C573-$D573</f>
        <v/>
      </c>
      <c r="G573" s="120">
        <f>IF($C573=0,0,$F573/$C573)</f>
        <v/>
      </c>
      <c r="H573" s="119">
        <f>IF($E573=0,0,$F573/$E573)</f>
        <v/>
      </c>
      <c r="I573" s="121">
        <f>IF($B573="","",IF($F573&lt;0,"ZARAR",IF($G573&lt;IsMarjEsik,"RİSK","KÂRLI")))</f>
        <v/>
      </c>
      <c r="J573" s="122" t="n"/>
    </row>
    <row r="574" ht="15" customHeight="1" s="76">
      <c r="A574" s="122" t="n"/>
      <c r="B574" s="122" t="n"/>
      <c r="C574" s="123" t="n"/>
      <c r="D574" s="123" t="n"/>
      <c r="E574" s="124" t="n"/>
      <c r="F574" s="119">
        <f>$C574-$D574</f>
        <v/>
      </c>
      <c r="G574" s="120">
        <f>IF($C574=0,0,$F574/$C574)</f>
        <v/>
      </c>
      <c r="H574" s="119">
        <f>IF($E574=0,0,$F574/$E574)</f>
        <v/>
      </c>
      <c r="I574" s="121">
        <f>IF($B574="","",IF($F574&lt;0,"ZARAR",IF($G574&lt;IsMarjEsik,"RİSK","KÂRLI")))</f>
        <v/>
      </c>
      <c r="J574" s="122" t="n"/>
    </row>
    <row r="575" ht="15" customHeight="1" s="76">
      <c r="A575" s="122" t="n"/>
      <c r="B575" s="122" t="n"/>
      <c r="C575" s="123" t="n"/>
      <c r="D575" s="123" t="n"/>
      <c r="E575" s="124" t="n"/>
      <c r="F575" s="119">
        <f>$C575-$D575</f>
        <v/>
      </c>
      <c r="G575" s="120">
        <f>IF($C575=0,0,$F575/$C575)</f>
        <v/>
      </c>
      <c r="H575" s="119">
        <f>IF($E575=0,0,$F575/$E575)</f>
        <v/>
      </c>
      <c r="I575" s="121">
        <f>IF($B575="","",IF($F575&lt;0,"ZARAR",IF($G575&lt;IsMarjEsik,"RİSK","KÂRLI")))</f>
        <v/>
      </c>
      <c r="J575" s="122" t="n"/>
    </row>
    <row r="576" ht="15" customHeight="1" s="76">
      <c r="A576" s="122" t="n"/>
      <c r="B576" s="122" t="n"/>
      <c r="C576" s="123" t="n"/>
      <c r="D576" s="123" t="n"/>
      <c r="E576" s="124" t="n"/>
      <c r="F576" s="119">
        <f>$C576-$D576</f>
        <v/>
      </c>
      <c r="G576" s="120">
        <f>IF($C576=0,0,$F576/$C576)</f>
        <v/>
      </c>
      <c r="H576" s="119">
        <f>IF($E576=0,0,$F576/$E576)</f>
        <v/>
      </c>
      <c r="I576" s="121">
        <f>IF($B576="","",IF($F576&lt;0,"ZARAR",IF($G576&lt;IsMarjEsik,"RİSK","KÂRLI")))</f>
        <v/>
      </c>
      <c r="J576" s="122" t="n"/>
    </row>
    <row r="577" ht="15" customHeight="1" s="76">
      <c r="A577" s="122" t="n"/>
      <c r="B577" s="122" t="n"/>
      <c r="C577" s="123" t="n"/>
      <c r="D577" s="123" t="n"/>
      <c r="E577" s="124" t="n"/>
      <c r="F577" s="119">
        <f>$C577-$D577</f>
        <v/>
      </c>
      <c r="G577" s="120">
        <f>IF($C577=0,0,$F577/$C577)</f>
        <v/>
      </c>
      <c r="H577" s="119">
        <f>IF($E577=0,0,$F577/$E577)</f>
        <v/>
      </c>
      <c r="I577" s="121">
        <f>IF($B577="","",IF($F577&lt;0,"ZARAR",IF($G577&lt;IsMarjEsik,"RİSK","KÂRLI")))</f>
        <v/>
      </c>
      <c r="J577" s="122" t="n"/>
    </row>
    <row r="578" ht="15" customHeight="1" s="76">
      <c r="A578" s="122" t="n"/>
      <c r="B578" s="122" t="n"/>
      <c r="C578" s="123" t="n"/>
      <c r="D578" s="123" t="n"/>
      <c r="E578" s="124" t="n"/>
      <c r="F578" s="119">
        <f>$C578-$D578</f>
        <v/>
      </c>
      <c r="G578" s="120">
        <f>IF($C578=0,0,$F578/$C578)</f>
        <v/>
      </c>
      <c r="H578" s="119">
        <f>IF($E578=0,0,$F578/$E578)</f>
        <v/>
      </c>
      <c r="I578" s="121">
        <f>IF($B578="","",IF($F578&lt;0,"ZARAR",IF($G578&lt;IsMarjEsik,"RİSK","KÂRLI")))</f>
        <v/>
      </c>
      <c r="J578" s="122" t="n"/>
    </row>
    <row r="579" ht="15" customHeight="1" s="76">
      <c r="A579" s="122" t="n"/>
      <c r="B579" s="122" t="n"/>
      <c r="C579" s="123" t="n"/>
      <c r="D579" s="123" t="n"/>
      <c r="E579" s="124" t="n"/>
      <c r="F579" s="119">
        <f>$C579-$D579</f>
        <v/>
      </c>
      <c r="G579" s="120">
        <f>IF($C579=0,0,$F579/$C579)</f>
        <v/>
      </c>
      <c r="H579" s="119">
        <f>IF($E579=0,0,$F579/$E579)</f>
        <v/>
      </c>
      <c r="I579" s="121">
        <f>IF($B579="","",IF($F579&lt;0,"ZARAR",IF($G579&lt;IsMarjEsik,"RİSK","KÂRLI")))</f>
        <v/>
      </c>
      <c r="J579" s="122" t="n"/>
    </row>
    <row r="580" ht="15" customHeight="1" s="76">
      <c r="A580" s="122" t="n"/>
      <c r="B580" s="122" t="n"/>
      <c r="C580" s="123" t="n"/>
      <c r="D580" s="123" t="n"/>
      <c r="E580" s="124" t="n"/>
      <c r="F580" s="119">
        <f>$C580-$D580</f>
        <v/>
      </c>
      <c r="G580" s="120">
        <f>IF($C580=0,0,$F580/$C580)</f>
        <v/>
      </c>
      <c r="H580" s="119">
        <f>IF($E580=0,0,$F580/$E580)</f>
        <v/>
      </c>
      <c r="I580" s="121">
        <f>IF($B580="","",IF($F580&lt;0,"ZARAR",IF($G580&lt;IsMarjEsik,"RİSK","KÂRLI")))</f>
        <v/>
      </c>
      <c r="J580" s="122" t="n"/>
    </row>
    <row r="581" ht="15" customHeight="1" s="76">
      <c r="A581" s="122" t="n"/>
      <c r="B581" s="122" t="n"/>
      <c r="C581" s="123" t="n"/>
      <c r="D581" s="123" t="n"/>
      <c r="E581" s="124" t="n"/>
      <c r="F581" s="119">
        <f>$C581-$D581</f>
        <v/>
      </c>
      <c r="G581" s="120">
        <f>IF($C581=0,0,$F581/$C581)</f>
        <v/>
      </c>
      <c r="H581" s="119">
        <f>IF($E581=0,0,$F581/$E581)</f>
        <v/>
      </c>
      <c r="I581" s="121">
        <f>IF($B581="","",IF($F581&lt;0,"ZARAR",IF($G581&lt;IsMarjEsik,"RİSK","KÂRLI")))</f>
        <v/>
      </c>
      <c r="J581" s="122" t="n"/>
    </row>
    <row r="582" ht="15" customHeight="1" s="76">
      <c r="A582" s="122" t="n"/>
      <c r="B582" s="122" t="n"/>
      <c r="C582" s="123" t="n"/>
      <c r="D582" s="123" t="n"/>
      <c r="E582" s="124" t="n"/>
      <c r="F582" s="119">
        <f>$C582-$D582</f>
        <v/>
      </c>
      <c r="G582" s="120">
        <f>IF($C582=0,0,$F582/$C582)</f>
        <v/>
      </c>
      <c r="H582" s="119">
        <f>IF($E582=0,0,$F582/$E582)</f>
        <v/>
      </c>
      <c r="I582" s="121">
        <f>IF($B582="","",IF($F582&lt;0,"ZARAR",IF($G582&lt;IsMarjEsik,"RİSK","KÂRLI")))</f>
        <v/>
      </c>
      <c r="J582" s="122" t="n"/>
    </row>
    <row r="583" ht="15" customHeight="1" s="76">
      <c r="A583" s="122" t="n"/>
      <c r="B583" s="122" t="n"/>
      <c r="C583" s="123" t="n"/>
      <c r="D583" s="123" t="n"/>
      <c r="E583" s="124" t="n"/>
      <c r="F583" s="119">
        <f>$C583-$D583</f>
        <v/>
      </c>
      <c r="G583" s="120">
        <f>IF($C583=0,0,$F583/$C583)</f>
        <v/>
      </c>
      <c r="H583" s="119">
        <f>IF($E583=0,0,$F583/$E583)</f>
        <v/>
      </c>
      <c r="I583" s="121">
        <f>IF($B583="","",IF($F583&lt;0,"ZARAR",IF($G583&lt;IsMarjEsik,"RİSK","KÂRLI")))</f>
        <v/>
      </c>
      <c r="J583" s="122" t="n"/>
    </row>
    <row r="584" ht="15" customHeight="1" s="76">
      <c r="A584" s="122" t="n"/>
      <c r="B584" s="122" t="n"/>
      <c r="C584" s="123" t="n"/>
      <c r="D584" s="123" t="n"/>
      <c r="E584" s="124" t="n"/>
      <c r="F584" s="119">
        <f>$C584-$D584</f>
        <v/>
      </c>
      <c r="G584" s="120">
        <f>IF($C584=0,0,$F584/$C584)</f>
        <v/>
      </c>
      <c r="H584" s="119">
        <f>IF($E584=0,0,$F584/$E584)</f>
        <v/>
      </c>
      <c r="I584" s="121">
        <f>IF($B584="","",IF($F584&lt;0,"ZARAR",IF($G584&lt;IsMarjEsik,"RİSK","KÂRLI")))</f>
        <v/>
      </c>
      <c r="J584" s="122" t="n"/>
    </row>
    <row r="585" ht="15" customHeight="1" s="76">
      <c r="A585" s="122" t="n"/>
      <c r="B585" s="122" t="n"/>
      <c r="C585" s="123" t="n"/>
      <c r="D585" s="123" t="n"/>
      <c r="E585" s="124" t="n"/>
      <c r="F585" s="119">
        <f>$C585-$D585</f>
        <v/>
      </c>
      <c r="G585" s="120">
        <f>IF($C585=0,0,$F585/$C585)</f>
        <v/>
      </c>
      <c r="H585" s="119">
        <f>IF($E585=0,0,$F585/$E585)</f>
        <v/>
      </c>
      <c r="I585" s="121">
        <f>IF($B585="","",IF($F585&lt;0,"ZARAR",IF($G585&lt;IsMarjEsik,"RİSK","KÂRLI")))</f>
        <v/>
      </c>
      <c r="J585" s="122" t="n"/>
    </row>
    <row r="586" ht="15" customHeight="1" s="76">
      <c r="A586" s="122" t="n"/>
      <c r="B586" s="122" t="n"/>
      <c r="C586" s="123" t="n"/>
      <c r="D586" s="123" t="n"/>
      <c r="E586" s="124" t="n"/>
      <c r="F586" s="119">
        <f>$C586-$D586</f>
        <v/>
      </c>
      <c r="G586" s="120">
        <f>IF($C586=0,0,$F586/$C586)</f>
        <v/>
      </c>
      <c r="H586" s="119">
        <f>IF($E586=0,0,$F586/$E586)</f>
        <v/>
      </c>
      <c r="I586" s="121">
        <f>IF($B586="","",IF($F586&lt;0,"ZARAR",IF($G586&lt;IsMarjEsik,"RİSK","KÂRLI")))</f>
        <v/>
      </c>
      <c r="J586" s="122" t="n"/>
    </row>
    <row r="587" ht="15" customHeight="1" s="76">
      <c r="A587" s="122" t="n"/>
      <c r="B587" s="122" t="n"/>
      <c r="C587" s="123" t="n"/>
      <c r="D587" s="123" t="n"/>
      <c r="E587" s="124" t="n"/>
      <c r="F587" s="119">
        <f>$C587-$D587</f>
        <v/>
      </c>
      <c r="G587" s="120">
        <f>IF($C587=0,0,$F587/$C587)</f>
        <v/>
      </c>
      <c r="H587" s="119">
        <f>IF($E587=0,0,$F587/$E587)</f>
        <v/>
      </c>
      <c r="I587" s="121">
        <f>IF($B587="","",IF($F587&lt;0,"ZARAR",IF($G587&lt;IsMarjEsik,"RİSK","KÂRLI")))</f>
        <v/>
      </c>
      <c r="J587" s="122" t="n"/>
    </row>
    <row r="588" ht="15" customHeight="1" s="76">
      <c r="A588" s="122" t="n"/>
      <c r="B588" s="122" t="n"/>
      <c r="C588" s="123" t="n"/>
      <c r="D588" s="123" t="n"/>
      <c r="E588" s="124" t="n"/>
      <c r="F588" s="119">
        <f>$C588-$D588</f>
        <v/>
      </c>
      <c r="G588" s="120">
        <f>IF($C588=0,0,$F588/$C588)</f>
        <v/>
      </c>
      <c r="H588" s="119">
        <f>IF($E588=0,0,$F588/$E588)</f>
        <v/>
      </c>
      <c r="I588" s="121">
        <f>IF($B588="","",IF($F588&lt;0,"ZARAR",IF($G588&lt;IsMarjEsik,"RİSK","KÂRLI")))</f>
        <v/>
      </c>
      <c r="J588" s="122" t="n"/>
    </row>
    <row r="589" ht="15" customHeight="1" s="76">
      <c r="A589" s="122" t="n"/>
      <c r="B589" s="122" t="n"/>
      <c r="C589" s="123" t="n"/>
      <c r="D589" s="123" t="n"/>
      <c r="E589" s="124" t="n"/>
      <c r="F589" s="119">
        <f>$C589-$D589</f>
        <v/>
      </c>
      <c r="G589" s="120">
        <f>IF($C589=0,0,$F589/$C589)</f>
        <v/>
      </c>
      <c r="H589" s="119">
        <f>IF($E589=0,0,$F589/$E589)</f>
        <v/>
      </c>
      <c r="I589" s="121">
        <f>IF($B589="","",IF($F589&lt;0,"ZARAR",IF($G589&lt;IsMarjEsik,"RİSK","KÂRLI")))</f>
        <v/>
      </c>
      <c r="J589" s="122" t="n"/>
    </row>
    <row r="590" ht="15" customHeight="1" s="76">
      <c r="A590" s="122" t="n"/>
      <c r="B590" s="122" t="n"/>
      <c r="C590" s="123" t="n"/>
      <c r="D590" s="123" t="n"/>
      <c r="E590" s="124" t="n"/>
      <c r="F590" s="119">
        <f>$C590-$D590</f>
        <v/>
      </c>
      <c r="G590" s="120">
        <f>IF($C590=0,0,$F590/$C590)</f>
        <v/>
      </c>
      <c r="H590" s="119">
        <f>IF($E590=0,0,$F590/$E590)</f>
        <v/>
      </c>
      <c r="I590" s="121">
        <f>IF($B590="","",IF($F590&lt;0,"ZARAR",IF($G590&lt;IsMarjEsik,"RİSK","KÂRLI")))</f>
        <v/>
      </c>
      <c r="J590" s="122" t="n"/>
    </row>
    <row r="591" ht="15" customHeight="1" s="76">
      <c r="A591" s="122" t="n"/>
      <c r="B591" s="122" t="n"/>
      <c r="C591" s="123" t="n"/>
      <c r="D591" s="123" t="n"/>
      <c r="E591" s="124" t="n"/>
      <c r="F591" s="119">
        <f>$C591-$D591</f>
        <v/>
      </c>
      <c r="G591" s="120">
        <f>IF($C591=0,0,$F591/$C591)</f>
        <v/>
      </c>
      <c r="H591" s="119">
        <f>IF($E591=0,0,$F591/$E591)</f>
        <v/>
      </c>
      <c r="I591" s="121">
        <f>IF($B591="","",IF($F591&lt;0,"ZARAR",IF($G591&lt;IsMarjEsik,"RİSK","KÂRLI")))</f>
        <v/>
      </c>
      <c r="J591" s="122" t="n"/>
    </row>
    <row r="592" ht="15" customHeight="1" s="76">
      <c r="A592" s="122" t="n"/>
      <c r="B592" s="122" t="n"/>
      <c r="C592" s="123" t="n"/>
      <c r="D592" s="123" t="n"/>
      <c r="E592" s="124" t="n"/>
      <c r="F592" s="119">
        <f>$C592-$D592</f>
        <v/>
      </c>
      <c r="G592" s="120">
        <f>IF($C592=0,0,$F592/$C592)</f>
        <v/>
      </c>
      <c r="H592" s="119">
        <f>IF($E592=0,0,$F592/$E592)</f>
        <v/>
      </c>
      <c r="I592" s="121">
        <f>IF($B592="","",IF($F592&lt;0,"ZARAR",IF($G592&lt;IsMarjEsik,"RİSK","KÂRLI")))</f>
        <v/>
      </c>
      <c r="J592" s="122" t="n"/>
    </row>
    <row r="593" ht="15" customHeight="1" s="76">
      <c r="A593" s="122" t="n"/>
      <c r="B593" s="122" t="n"/>
      <c r="C593" s="123" t="n"/>
      <c r="D593" s="123" t="n"/>
      <c r="E593" s="124" t="n"/>
      <c r="F593" s="119">
        <f>$C593-$D593</f>
        <v/>
      </c>
      <c r="G593" s="120">
        <f>IF($C593=0,0,$F593/$C593)</f>
        <v/>
      </c>
      <c r="H593" s="119">
        <f>IF($E593=0,0,$F593/$E593)</f>
        <v/>
      </c>
      <c r="I593" s="121">
        <f>IF($B593="","",IF($F593&lt;0,"ZARAR",IF($G593&lt;IsMarjEsik,"RİSK","KÂRLI")))</f>
        <v/>
      </c>
      <c r="J593" s="122" t="n"/>
    </row>
    <row r="594" ht="15" customHeight="1" s="76">
      <c r="A594" s="122" t="n"/>
      <c r="B594" s="122" t="n"/>
      <c r="C594" s="123" t="n"/>
      <c r="D594" s="123" t="n"/>
      <c r="E594" s="124" t="n"/>
      <c r="F594" s="119">
        <f>$C594-$D594</f>
        <v/>
      </c>
      <c r="G594" s="120">
        <f>IF($C594=0,0,$F594/$C594)</f>
        <v/>
      </c>
      <c r="H594" s="119">
        <f>IF($E594=0,0,$F594/$E594)</f>
        <v/>
      </c>
      <c r="I594" s="121">
        <f>IF($B594="","",IF($F594&lt;0,"ZARAR",IF($G594&lt;IsMarjEsik,"RİSK","KÂRLI")))</f>
        <v/>
      </c>
      <c r="J594" s="122" t="n"/>
    </row>
    <row r="595" ht="15" customHeight="1" s="76">
      <c r="A595" s="122" t="n"/>
      <c r="B595" s="122" t="n"/>
      <c r="C595" s="123" t="n"/>
      <c r="D595" s="123" t="n"/>
      <c r="E595" s="124" t="n"/>
      <c r="F595" s="119">
        <f>$C595-$D595</f>
        <v/>
      </c>
      <c r="G595" s="120">
        <f>IF($C595=0,0,$F595/$C595)</f>
        <v/>
      </c>
      <c r="H595" s="119">
        <f>IF($E595=0,0,$F595/$E595)</f>
        <v/>
      </c>
      <c r="I595" s="121">
        <f>IF($B595="","",IF($F595&lt;0,"ZARAR",IF($G595&lt;IsMarjEsik,"RİSK","KÂRLI")))</f>
        <v/>
      </c>
      <c r="J595" s="122" t="n"/>
    </row>
    <row r="596" ht="15" customHeight="1" s="76">
      <c r="A596" s="122" t="n"/>
      <c r="B596" s="122" t="n"/>
      <c r="C596" s="123" t="n"/>
      <c r="D596" s="123" t="n"/>
      <c r="E596" s="124" t="n"/>
      <c r="F596" s="119">
        <f>$C596-$D596</f>
        <v/>
      </c>
      <c r="G596" s="120">
        <f>IF($C596=0,0,$F596/$C596)</f>
        <v/>
      </c>
      <c r="H596" s="119">
        <f>IF($E596=0,0,$F596/$E596)</f>
        <v/>
      </c>
      <c r="I596" s="121">
        <f>IF($B596="","",IF($F596&lt;0,"ZARAR",IF($G596&lt;IsMarjEsik,"RİSK","KÂRLI")))</f>
        <v/>
      </c>
      <c r="J596" s="122" t="n"/>
    </row>
    <row r="597" ht="15" customHeight="1" s="76">
      <c r="A597" s="122" t="n"/>
      <c r="B597" s="122" t="n"/>
      <c r="C597" s="123" t="n"/>
      <c r="D597" s="123" t="n"/>
      <c r="E597" s="124" t="n"/>
      <c r="F597" s="119">
        <f>$C597-$D597</f>
        <v/>
      </c>
      <c r="G597" s="120">
        <f>IF($C597=0,0,$F597/$C597)</f>
        <v/>
      </c>
      <c r="H597" s="119">
        <f>IF($E597=0,0,$F597/$E597)</f>
        <v/>
      </c>
      <c r="I597" s="121">
        <f>IF($B597="","",IF($F597&lt;0,"ZARAR",IF($G597&lt;IsMarjEsik,"RİSK","KÂRLI")))</f>
        <v/>
      </c>
      <c r="J597" s="122" t="n"/>
    </row>
    <row r="598" ht="15" customHeight="1" s="76">
      <c r="A598" s="122" t="n"/>
      <c r="B598" s="122" t="n"/>
      <c r="C598" s="123" t="n"/>
      <c r="D598" s="123" t="n"/>
      <c r="E598" s="124" t="n"/>
      <c r="F598" s="119">
        <f>$C598-$D598</f>
        <v/>
      </c>
      <c r="G598" s="120">
        <f>IF($C598=0,0,$F598/$C598)</f>
        <v/>
      </c>
      <c r="H598" s="119">
        <f>IF($E598=0,0,$F598/$E598)</f>
        <v/>
      </c>
      <c r="I598" s="121">
        <f>IF($B598="","",IF($F598&lt;0,"ZARAR",IF($G598&lt;IsMarjEsik,"RİSK","KÂRLI")))</f>
        <v/>
      </c>
      <c r="J598" s="122" t="n"/>
    </row>
    <row r="599" ht="15" customHeight="1" s="76">
      <c r="A599" s="122" t="n"/>
      <c r="B599" s="122" t="n"/>
      <c r="C599" s="123" t="n"/>
      <c r="D599" s="123" t="n"/>
      <c r="E599" s="124" t="n"/>
      <c r="F599" s="119">
        <f>$C599-$D599</f>
        <v/>
      </c>
      <c r="G599" s="120">
        <f>IF($C599=0,0,$F599/$C599)</f>
        <v/>
      </c>
      <c r="H599" s="119">
        <f>IF($E599=0,0,$F599/$E599)</f>
        <v/>
      </c>
      <c r="I599" s="121">
        <f>IF($B599="","",IF($F599&lt;0,"ZARAR",IF($G599&lt;IsMarjEsik,"RİSK","KÂRLI")))</f>
        <v/>
      </c>
      <c r="J599" s="122" t="n"/>
    </row>
    <row r="600" ht="15" customHeight="1" s="76">
      <c r="A600" s="122" t="n"/>
      <c r="B600" s="122" t="n"/>
      <c r="C600" s="123" t="n"/>
      <c r="D600" s="123" t="n"/>
      <c r="E600" s="124" t="n"/>
      <c r="F600" s="119">
        <f>$C600-$D600</f>
        <v/>
      </c>
      <c r="G600" s="120">
        <f>IF($C600=0,0,$F600/$C600)</f>
        <v/>
      </c>
      <c r="H600" s="119">
        <f>IF($E600=0,0,$F600/$E600)</f>
        <v/>
      </c>
      <c r="I600" s="121">
        <f>IF($B600="","",IF($F600&lt;0,"ZARAR",IF($G600&lt;IsMarjEsik,"RİSK","KÂRLI")))</f>
        <v/>
      </c>
      <c r="J600" s="122" t="n"/>
    </row>
    <row r="601" ht="15" customHeight="1" s="76">
      <c r="A601" s="122" t="n"/>
      <c r="B601" s="122" t="n"/>
      <c r="C601" s="123" t="n"/>
      <c r="D601" s="123" t="n"/>
      <c r="E601" s="124" t="n"/>
      <c r="F601" s="119">
        <f>$C601-$D601</f>
        <v/>
      </c>
      <c r="G601" s="120">
        <f>IF($C601=0,0,$F601/$C601)</f>
        <v/>
      </c>
      <c r="H601" s="119">
        <f>IF($E601=0,0,$F601/$E601)</f>
        <v/>
      </c>
      <c r="I601" s="121">
        <f>IF($B601="","",IF($F601&lt;0,"ZARAR",IF($G601&lt;IsMarjEsik,"RİSK","KÂRLI")))</f>
        <v/>
      </c>
      <c r="J601" s="122" t="n"/>
    </row>
    <row r="602" ht="15" customHeight="1" s="76">
      <c r="A602" s="122" t="n"/>
      <c r="B602" s="122" t="n"/>
      <c r="C602" s="123" t="n"/>
      <c r="D602" s="123" t="n"/>
      <c r="E602" s="124" t="n"/>
      <c r="F602" s="119">
        <f>$C602-$D602</f>
        <v/>
      </c>
      <c r="G602" s="120">
        <f>IF($C602=0,0,$F602/$C602)</f>
        <v/>
      </c>
      <c r="H602" s="119">
        <f>IF($E602=0,0,$F602/$E602)</f>
        <v/>
      </c>
      <c r="I602" s="121">
        <f>IF($B602="","",IF($F602&lt;0,"ZARAR",IF($G602&lt;IsMarjEsik,"RİSK","KÂRLI")))</f>
        <v/>
      </c>
      <c r="J602" s="122" t="n"/>
    </row>
    <row r="603" ht="15" customHeight="1" s="76">
      <c r="A603" s="122" t="n"/>
      <c r="B603" s="122" t="n"/>
      <c r="C603" s="123" t="n"/>
      <c r="D603" s="123" t="n"/>
      <c r="E603" s="124" t="n"/>
      <c r="F603" s="119">
        <f>$C603-$D603</f>
        <v/>
      </c>
      <c r="G603" s="120">
        <f>IF($C603=0,0,$F603/$C603)</f>
        <v/>
      </c>
      <c r="H603" s="119">
        <f>IF($E603=0,0,$F603/$E603)</f>
        <v/>
      </c>
      <c r="I603" s="121">
        <f>IF($B603="","",IF($F603&lt;0,"ZARAR",IF($G603&lt;IsMarjEsik,"RİSK","KÂRLI")))</f>
        <v/>
      </c>
      <c r="J603" s="122" t="n"/>
    </row>
    <row r="604" ht="15" customHeight="1" s="76">
      <c r="A604" s="122" t="n"/>
      <c r="B604" s="122" t="n"/>
      <c r="C604" s="123" t="n"/>
      <c r="D604" s="123" t="n"/>
      <c r="E604" s="124" t="n"/>
      <c r="F604" s="119">
        <f>$C604-$D604</f>
        <v/>
      </c>
      <c r="G604" s="120">
        <f>IF($C604=0,0,$F604/$C604)</f>
        <v/>
      </c>
      <c r="H604" s="119">
        <f>IF($E604=0,0,$F604/$E604)</f>
        <v/>
      </c>
      <c r="I604" s="121">
        <f>IF($B604="","",IF($F604&lt;0,"ZARAR",IF($G604&lt;IsMarjEsik,"RİSK","KÂRLI")))</f>
        <v/>
      </c>
      <c r="J604" s="122" t="n"/>
    </row>
    <row r="605" ht="15" customHeight="1" s="76">
      <c r="A605" s="122" t="n"/>
      <c r="B605" s="122" t="n"/>
      <c r="C605" s="123" t="n"/>
      <c r="D605" s="123" t="n"/>
      <c r="E605" s="124" t="n"/>
      <c r="F605" s="119">
        <f>$C605-$D605</f>
        <v/>
      </c>
      <c r="G605" s="120">
        <f>IF($C605=0,0,$F605/$C605)</f>
        <v/>
      </c>
      <c r="H605" s="119">
        <f>IF($E605=0,0,$F605/$E605)</f>
        <v/>
      </c>
      <c r="I605" s="121">
        <f>IF($B605="","",IF($F605&lt;0,"ZARAR",IF($G605&lt;IsMarjEsik,"RİSK","KÂRLI")))</f>
        <v/>
      </c>
      <c r="J605" s="122" t="n"/>
    </row>
    <row r="606" ht="15" customHeight="1" s="76">
      <c r="A606" s="122" t="n"/>
      <c r="B606" s="122" t="n"/>
      <c r="C606" s="123" t="n"/>
      <c r="D606" s="123" t="n"/>
      <c r="E606" s="124" t="n"/>
      <c r="F606" s="119">
        <f>$C606-$D606</f>
        <v/>
      </c>
      <c r="G606" s="120">
        <f>IF($C606=0,0,$F606/$C606)</f>
        <v/>
      </c>
      <c r="H606" s="119">
        <f>IF($E606=0,0,$F606/$E606)</f>
        <v/>
      </c>
      <c r="I606" s="121">
        <f>IF($B606="","",IF($F606&lt;0,"ZARAR",IF($G606&lt;IsMarjEsik,"RİSK","KÂRLI")))</f>
        <v/>
      </c>
      <c r="J606" s="122" t="n"/>
    </row>
    <row r="607" ht="15" customHeight="1" s="76">
      <c r="A607" s="122" t="n"/>
      <c r="B607" s="122" t="n"/>
      <c r="C607" s="123" t="n"/>
      <c r="D607" s="123" t="n"/>
      <c r="E607" s="124" t="n"/>
      <c r="F607" s="119">
        <f>$C607-$D607</f>
        <v/>
      </c>
      <c r="G607" s="120">
        <f>IF($C607=0,0,$F607/$C607)</f>
        <v/>
      </c>
      <c r="H607" s="119">
        <f>IF($E607=0,0,$F607/$E607)</f>
        <v/>
      </c>
      <c r="I607" s="121">
        <f>IF($B607="","",IF($F607&lt;0,"ZARAR",IF($G607&lt;IsMarjEsik,"RİSK","KÂRLI")))</f>
        <v/>
      </c>
      <c r="J607" s="122" t="n"/>
    </row>
    <row r="608" ht="15" customHeight="1" s="76">
      <c r="A608" s="122" t="n"/>
      <c r="B608" s="122" t="n"/>
      <c r="C608" s="123" t="n"/>
      <c r="D608" s="123" t="n"/>
      <c r="E608" s="124" t="n"/>
      <c r="F608" s="119">
        <f>$C608-$D608</f>
        <v/>
      </c>
      <c r="G608" s="120">
        <f>IF($C608=0,0,$F608/$C608)</f>
        <v/>
      </c>
      <c r="H608" s="119">
        <f>IF($E608=0,0,$F608/$E608)</f>
        <v/>
      </c>
      <c r="I608" s="121">
        <f>IF($B608="","",IF($F608&lt;0,"ZARAR",IF($G608&lt;IsMarjEsik,"RİSK","KÂRLI")))</f>
        <v/>
      </c>
      <c r="J608" s="122" t="n"/>
    </row>
    <row r="609" ht="15" customHeight="1" s="76">
      <c r="A609" s="122" t="n"/>
      <c r="B609" s="122" t="n"/>
      <c r="C609" s="123" t="n"/>
      <c r="D609" s="123" t="n"/>
      <c r="E609" s="124" t="n"/>
      <c r="F609" s="119">
        <f>$C609-$D609</f>
        <v/>
      </c>
      <c r="G609" s="120">
        <f>IF($C609=0,0,$F609/$C609)</f>
        <v/>
      </c>
      <c r="H609" s="119">
        <f>IF($E609=0,0,$F609/$E609)</f>
        <v/>
      </c>
      <c r="I609" s="121">
        <f>IF($B609="","",IF($F609&lt;0,"ZARAR",IF($G609&lt;IsMarjEsik,"RİSK","KÂRLI")))</f>
        <v/>
      </c>
      <c r="J609" s="122" t="n"/>
    </row>
    <row r="610" ht="15" customHeight="1" s="76">
      <c r="A610" s="122" t="n"/>
      <c r="B610" s="122" t="n"/>
      <c r="C610" s="123" t="n"/>
      <c r="D610" s="123" t="n"/>
      <c r="E610" s="124" t="n"/>
      <c r="F610" s="119">
        <f>$C610-$D610</f>
        <v/>
      </c>
      <c r="G610" s="120">
        <f>IF($C610=0,0,$F610/$C610)</f>
        <v/>
      </c>
      <c r="H610" s="119">
        <f>IF($E610=0,0,$F610/$E610)</f>
        <v/>
      </c>
      <c r="I610" s="121">
        <f>IF($B610="","",IF($F610&lt;0,"ZARAR",IF($G610&lt;IsMarjEsik,"RİSK","KÂRLI")))</f>
        <v/>
      </c>
      <c r="J610" s="122" t="n"/>
    </row>
    <row r="611" ht="15" customHeight="1" s="76">
      <c r="A611" s="122" t="n"/>
      <c r="B611" s="122" t="n"/>
      <c r="C611" s="123" t="n"/>
      <c r="D611" s="123" t="n"/>
      <c r="E611" s="124" t="n"/>
      <c r="F611" s="119">
        <f>$C611-$D611</f>
        <v/>
      </c>
      <c r="G611" s="120">
        <f>IF($C611=0,0,$F611/$C611)</f>
        <v/>
      </c>
      <c r="H611" s="119">
        <f>IF($E611=0,0,$F611/$E611)</f>
        <v/>
      </c>
      <c r="I611" s="121">
        <f>IF($B611="","",IF($F611&lt;0,"ZARAR",IF($G611&lt;IsMarjEsik,"RİSK","KÂRLI")))</f>
        <v/>
      </c>
      <c r="J611" s="122" t="n"/>
    </row>
    <row r="612" ht="15" customHeight="1" s="76">
      <c r="A612" s="122" t="n"/>
      <c r="B612" s="122" t="n"/>
      <c r="C612" s="123" t="n"/>
      <c r="D612" s="123" t="n"/>
      <c r="E612" s="124" t="n"/>
      <c r="F612" s="119">
        <f>$C612-$D612</f>
        <v/>
      </c>
      <c r="G612" s="120">
        <f>IF($C612=0,0,$F612/$C612)</f>
        <v/>
      </c>
      <c r="H612" s="119">
        <f>IF($E612=0,0,$F612/$E612)</f>
        <v/>
      </c>
      <c r="I612" s="121">
        <f>IF($B612="","",IF($F612&lt;0,"ZARAR",IF($G612&lt;IsMarjEsik,"RİSK","KÂRLI")))</f>
        <v/>
      </c>
      <c r="J612" s="122" t="n"/>
    </row>
    <row r="613" ht="15" customHeight="1" s="76">
      <c r="A613" s="122" t="n"/>
      <c r="B613" s="122" t="n"/>
      <c r="C613" s="123" t="n"/>
      <c r="D613" s="123" t="n"/>
      <c r="E613" s="124" t="n"/>
      <c r="F613" s="119">
        <f>$C613-$D613</f>
        <v/>
      </c>
      <c r="G613" s="120">
        <f>IF($C613=0,0,$F613/$C613)</f>
        <v/>
      </c>
      <c r="H613" s="119">
        <f>IF($E613=0,0,$F613/$E613)</f>
        <v/>
      </c>
      <c r="I613" s="121">
        <f>IF($B613="","",IF($F613&lt;0,"ZARAR",IF($G613&lt;IsMarjEsik,"RİSK","KÂRLI")))</f>
        <v/>
      </c>
      <c r="J613" s="122" t="n"/>
    </row>
    <row r="614" ht="15" customHeight="1" s="76">
      <c r="A614" s="122" t="n"/>
      <c r="B614" s="122" t="n"/>
      <c r="C614" s="123" t="n"/>
      <c r="D614" s="123" t="n"/>
      <c r="E614" s="124" t="n"/>
      <c r="F614" s="119">
        <f>$C614-$D614</f>
        <v/>
      </c>
      <c r="G614" s="120">
        <f>IF($C614=0,0,$F614/$C614)</f>
        <v/>
      </c>
      <c r="H614" s="119">
        <f>IF($E614=0,0,$F614/$E614)</f>
        <v/>
      </c>
      <c r="I614" s="121">
        <f>IF($B614="","",IF($F614&lt;0,"ZARAR",IF($G614&lt;IsMarjEsik,"RİSK","KÂRLI")))</f>
        <v/>
      </c>
      <c r="J614" s="122" t="n"/>
    </row>
    <row r="615" ht="15" customHeight="1" s="76">
      <c r="A615" s="122" t="n"/>
      <c r="B615" s="122" t="n"/>
      <c r="C615" s="123" t="n"/>
      <c r="D615" s="123" t="n"/>
      <c r="E615" s="124" t="n"/>
      <c r="F615" s="119">
        <f>$C615-$D615</f>
        <v/>
      </c>
      <c r="G615" s="120">
        <f>IF($C615=0,0,$F615/$C615)</f>
        <v/>
      </c>
      <c r="H615" s="119">
        <f>IF($E615=0,0,$F615/$E615)</f>
        <v/>
      </c>
      <c r="I615" s="121">
        <f>IF($B615="","",IF($F615&lt;0,"ZARAR",IF($G615&lt;IsMarjEsik,"RİSK","KÂRLI")))</f>
        <v/>
      </c>
      <c r="J615" s="122" t="n"/>
    </row>
    <row r="616" ht="15" customHeight="1" s="76">
      <c r="A616" s="122" t="n"/>
      <c r="B616" s="122" t="n"/>
      <c r="C616" s="123" t="n"/>
      <c r="D616" s="123" t="n"/>
      <c r="E616" s="124" t="n"/>
      <c r="F616" s="119">
        <f>$C616-$D616</f>
        <v/>
      </c>
      <c r="G616" s="120">
        <f>IF($C616=0,0,$F616/$C616)</f>
        <v/>
      </c>
      <c r="H616" s="119">
        <f>IF($E616=0,0,$F616/$E616)</f>
        <v/>
      </c>
      <c r="I616" s="121">
        <f>IF($B616="","",IF($F616&lt;0,"ZARAR",IF($G616&lt;IsMarjEsik,"RİSK","KÂRLI")))</f>
        <v/>
      </c>
      <c r="J616" s="122" t="n"/>
    </row>
    <row r="617" ht="15" customHeight="1" s="76">
      <c r="A617" s="122" t="n"/>
      <c r="B617" s="122" t="n"/>
      <c r="C617" s="123" t="n"/>
      <c r="D617" s="123" t="n"/>
      <c r="E617" s="124" t="n"/>
      <c r="F617" s="119">
        <f>$C617-$D617</f>
        <v/>
      </c>
      <c r="G617" s="120">
        <f>IF($C617=0,0,$F617/$C617)</f>
        <v/>
      </c>
      <c r="H617" s="119">
        <f>IF($E617=0,0,$F617/$E617)</f>
        <v/>
      </c>
      <c r="I617" s="121">
        <f>IF($B617="","",IF($F617&lt;0,"ZARAR",IF($G617&lt;IsMarjEsik,"RİSK","KÂRLI")))</f>
        <v/>
      </c>
      <c r="J617" s="122" t="n"/>
    </row>
    <row r="618" ht="15" customHeight="1" s="76">
      <c r="A618" s="122" t="n"/>
      <c r="B618" s="122" t="n"/>
      <c r="C618" s="123" t="n"/>
      <c r="D618" s="123" t="n"/>
      <c r="E618" s="124" t="n"/>
      <c r="F618" s="119">
        <f>$C618-$D618</f>
        <v/>
      </c>
      <c r="G618" s="120">
        <f>IF($C618=0,0,$F618/$C618)</f>
        <v/>
      </c>
      <c r="H618" s="119">
        <f>IF($E618=0,0,$F618/$E618)</f>
        <v/>
      </c>
      <c r="I618" s="121">
        <f>IF($B618="","",IF($F618&lt;0,"ZARAR",IF($G618&lt;IsMarjEsik,"RİSK","KÂRLI")))</f>
        <v/>
      </c>
      <c r="J618" s="122" t="n"/>
    </row>
    <row r="619" ht="15" customHeight="1" s="76">
      <c r="A619" s="122" t="n"/>
      <c r="B619" s="122" t="n"/>
      <c r="C619" s="123" t="n"/>
      <c r="D619" s="123" t="n"/>
      <c r="E619" s="124" t="n"/>
      <c r="F619" s="119">
        <f>$C619-$D619</f>
        <v/>
      </c>
      <c r="G619" s="120">
        <f>IF($C619=0,0,$F619/$C619)</f>
        <v/>
      </c>
      <c r="H619" s="119">
        <f>IF($E619=0,0,$F619/$E619)</f>
        <v/>
      </c>
      <c r="I619" s="121">
        <f>IF($B619="","",IF($F619&lt;0,"ZARAR",IF($G619&lt;IsMarjEsik,"RİSK","KÂRLI")))</f>
        <v/>
      </c>
      <c r="J619" s="122" t="n"/>
    </row>
    <row r="620" ht="15" customHeight="1" s="76">
      <c r="A620" s="122" t="n"/>
      <c r="B620" s="122" t="n"/>
      <c r="C620" s="123" t="n"/>
      <c r="D620" s="123" t="n"/>
      <c r="E620" s="124" t="n"/>
      <c r="F620" s="119">
        <f>$C620-$D620</f>
        <v/>
      </c>
      <c r="G620" s="120">
        <f>IF($C620=0,0,$F620/$C620)</f>
        <v/>
      </c>
      <c r="H620" s="119">
        <f>IF($E620=0,0,$F620/$E620)</f>
        <v/>
      </c>
      <c r="I620" s="121">
        <f>IF($B620="","",IF($F620&lt;0,"ZARAR",IF($G620&lt;IsMarjEsik,"RİSK","KÂRLI")))</f>
        <v/>
      </c>
      <c r="J620" s="122" t="n"/>
    </row>
    <row r="621" ht="15" customHeight="1" s="76">
      <c r="A621" s="122" t="n"/>
      <c r="B621" s="122" t="n"/>
      <c r="C621" s="123" t="n"/>
      <c r="D621" s="123" t="n"/>
      <c r="E621" s="124" t="n"/>
      <c r="F621" s="119">
        <f>$C621-$D621</f>
        <v/>
      </c>
      <c r="G621" s="120">
        <f>IF($C621=0,0,$F621/$C621)</f>
        <v/>
      </c>
      <c r="H621" s="119">
        <f>IF($E621=0,0,$F621/$E621)</f>
        <v/>
      </c>
      <c r="I621" s="121">
        <f>IF($B621="","",IF($F621&lt;0,"ZARAR",IF($G621&lt;IsMarjEsik,"RİSK","KÂRLI")))</f>
        <v/>
      </c>
      <c r="J621" s="122" t="n"/>
    </row>
    <row r="622" ht="15" customHeight="1" s="76">
      <c r="A622" s="122" t="n"/>
      <c r="B622" s="122" t="n"/>
      <c r="C622" s="123" t="n"/>
      <c r="D622" s="123" t="n"/>
      <c r="E622" s="124" t="n"/>
      <c r="F622" s="119">
        <f>$C622-$D622</f>
        <v/>
      </c>
      <c r="G622" s="120">
        <f>IF($C622=0,0,$F622/$C622)</f>
        <v/>
      </c>
      <c r="H622" s="119">
        <f>IF($E622=0,0,$F622/$E622)</f>
        <v/>
      </c>
      <c r="I622" s="121">
        <f>IF($B622="","",IF($F622&lt;0,"ZARAR",IF($G622&lt;IsMarjEsik,"RİSK","KÂRLI")))</f>
        <v/>
      </c>
      <c r="J622" s="122" t="n"/>
    </row>
    <row r="623" ht="15" customHeight="1" s="76">
      <c r="A623" s="122" t="n"/>
      <c r="B623" s="122" t="n"/>
      <c r="C623" s="123" t="n"/>
      <c r="D623" s="123" t="n"/>
      <c r="E623" s="124" t="n"/>
      <c r="F623" s="119">
        <f>$C623-$D623</f>
        <v/>
      </c>
      <c r="G623" s="120">
        <f>IF($C623=0,0,$F623/$C623)</f>
        <v/>
      </c>
      <c r="H623" s="119">
        <f>IF($E623=0,0,$F623/$E623)</f>
        <v/>
      </c>
      <c r="I623" s="121">
        <f>IF($B623="","",IF($F623&lt;0,"ZARAR",IF($G623&lt;IsMarjEsik,"RİSK","KÂRLI")))</f>
        <v/>
      </c>
      <c r="J623" s="122" t="n"/>
    </row>
    <row r="624" ht="15" customHeight="1" s="76">
      <c r="A624" s="122" t="n"/>
      <c r="B624" s="122" t="n"/>
      <c r="C624" s="123" t="n"/>
      <c r="D624" s="123" t="n"/>
      <c r="E624" s="124" t="n"/>
      <c r="F624" s="119">
        <f>$C624-$D624</f>
        <v/>
      </c>
      <c r="G624" s="120">
        <f>IF($C624=0,0,$F624/$C624)</f>
        <v/>
      </c>
      <c r="H624" s="119">
        <f>IF($E624=0,0,$F624/$E624)</f>
        <v/>
      </c>
      <c r="I624" s="121">
        <f>IF($B624="","",IF($F624&lt;0,"ZARAR",IF($G624&lt;IsMarjEsik,"RİSK","KÂRLI")))</f>
        <v/>
      </c>
      <c r="J624" s="122" t="n"/>
    </row>
    <row r="625" ht="15" customHeight="1" s="76">
      <c r="A625" s="122" t="n"/>
      <c r="B625" s="122" t="n"/>
      <c r="C625" s="123" t="n"/>
      <c r="D625" s="123" t="n"/>
      <c r="E625" s="124" t="n"/>
      <c r="F625" s="119">
        <f>$C625-$D625</f>
        <v/>
      </c>
      <c r="G625" s="120">
        <f>IF($C625=0,0,$F625/$C625)</f>
        <v/>
      </c>
      <c r="H625" s="119">
        <f>IF($E625=0,0,$F625/$E625)</f>
        <v/>
      </c>
      <c r="I625" s="121">
        <f>IF($B625="","",IF($F625&lt;0,"ZARAR",IF($G625&lt;IsMarjEsik,"RİSK","KÂRLI")))</f>
        <v/>
      </c>
      <c r="J625" s="122" t="n"/>
    </row>
    <row r="626" ht="15" customHeight="1" s="76">
      <c r="A626" s="122" t="n"/>
      <c r="B626" s="122" t="n"/>
      <c r="C626" s="123" t="n"/>
      <c r="D626" s="123" t="n"/>
      <c r="E626" s="124" t="n"/>
      <c r="F626" s="119">
        <f>$C626-$D626</f>
        <v/>
      </c>
      <c r="G626" s="120">
        <f>IF($C626=0,0,$F626/$C626)</f>
        <v/>
      </c>
      <c r="H626" s="119">
        <f>IF($E626=0,0,$F626/$E626)</f>
        <v/>
      </c>
      <c r="I626" s="121">
        <f>IF($B626="","",IF($F626&lt;0,"ZARAR",IF($G626&lt;IsMarjEsik,"RİSK","KÂRLI")))</f>
        <v/>
      </c>
      <c r="J626" s="122" t="n"/>
    </row>
    <row r="627" ht="15" customHeight="1" s="76">
      <c r="A627" s="122" t="n"/>
      <c r="B627" s="122" t="n"/>
      <c r="C627" s="123" t="n"/>
      <c r="D627" s="123" t="n"/>
      <c r="E627" s="124" t="n"/>
      <c r="F627" s="119">
        <f>$C627-$D627</f>
        <v/>
      </c>
      <c r="G627" s="120">
        <f>IF($C627=0,0,$F627/$C627)</f>
        <v/>
      </c>
      <c r="H627" s="119">
        <f>IF($E627=0,0,$F627/$E627)</f>
        <v/>
      </c>
      <c r="I627" s="121">
        <f>IF($B627="","",IF($F627&lt;0,"ZARAR",IF($G627&lt;IsMarjEsik,"RİSK","KÂRLI")))</f>
        <v/>
      </c>
      <c r="J627" s="122" t="n"/>
    </row>
    <row r="628" ht="15" customHeight="1" s="76">
      <c r="A628" s="122" t="n"/>
      <c r="B628" s="122" t="n"/>
      <c r="C628" s="123" t="n"/>
      <c r="D628" s="123" t="n"/>
      <c r="E628" s="124" t="n"/>
      <c r="F628" s="119">
        <f>$C628-$D628</f>
        <v/>
      </c>
      <c r="G628" s="120">
        <f>IF($C628=0,0,$F628/$C628)</f>
        <v/>
      </c>
      <c r="H628" s="119">
        <f>IF($E628=0,0,$F628/$E628)</f>
        <v/>
      </c>
      <c r="I628" s="121">
        <f>IF($B628="","",IF($F628&lt;0,"ZARAR",IF($G628&lt;IsMarjEsik,"RİSK","KÂRLI")))</f>
        <v/>
      </c>
      <c r="J628" s="122" t="n"/>
    </row>
    <row r="629" ht="15" customHeight="1" s="76">
      <c r="A629" s="122" t="n"/>
      <c r="B629" s="122" t="n"/>
      <c r="C629" s="123" t="n"/>
      <c r="D629" s="123" t="n"/>
      <c r="E629" s="124" t="n"/>
      <c r="F629" s="119">
        <f>$C629-$D629</f>
        <v/>
      </c>
      <c r="G629" s="120">
        <f>IF($C629=0,0,$F629/$C629)</f>
        <v/>
      </c>
      <c r="H629" s="119">
        <f>IF($E629=0,0,$F629/$E629)</f>
        <v/>
      </c>
      <c r="I629" s="121">
        <f>IF($B629="","",IF($F629&lt;0,"ZARAR",IF($G629&lt;IsMarjEsik,"RİSK","KÂRLI")))</f>
        <v/>
      </c>
      <c r="J629" s="122" t="n"/>
    </row>
    <row r="630" ht="15" customHeight="1" s="76">
      <c r="A630" s="122" t="n"/>
      <c r="B630" s="122" t="n"/>
      <c r="C630" s="123" t="n"/>
      <c r="D630" s="123" t="n"/>
      <c r="E630" s="124" t="n"/>
      <c r="F630" s="119">
        <f>$C630-$D630</f>
        <v/>
      </c>
      <c r="G630" s="120">
        <f>IF($C630=0,0,$F630/$C630)</f>
        <v/>
      </c>
      <c r="H630" s="119">
        <f>IF($E630=0,0,$F630/$E630)</f>
        <v/>
      </c>
      <c r="I630" s="121">
        <f>IF($B630="","",IF($F630&lt;0,"ZARAR",IF($G630&lt;IsMarjEsik,"RİSK","KÂRLI")))</f>
        <v/>
      </c>
      <c r="J630" s="122" t="n"/>
    </row>
    <row r="631" ht="15" customHeight="1" s="76">
      <c r="A631" s="122" t="n"/>
      <c r="B631" s="122" t="n"/>
      <c r="C631" s="123" t="n"/>
      <c r="D631" s="123" t="n"/>
      <c r="E631" s="124" t="n"/>
      <c r="F631" s="119">
        <f>$C631-$D631</f>
        <v/>
      </c>
      <c r="G631" s="120">
        <f>IF($C631=0,0,$F631/$C631)</f>
        <v/>
      </c>
      <c r="H631" s="119">
        <f>IF($E631=0,0,$F631/$E631)</f>
        <v/>
      </c>
      <c r="I631" s="121">
        <f>IF($B631="","",IF($F631&lt;0,"ZARAR",IF($G631&lt;IsMarjEsik,"RİSK","KÂRLI")))</f>
        <v/>
      </c>
      <c r="J631" s="122" t="n"/>
    </row>
    <row r="632" ht="15" customHeight="1" s="76">
      <c r="A632" s="122" t="n"/>
      <c r="B632" s="122" t="n"/>
      <c r="C632" s="123" t="n"/>
      <c r="D632" s="123" t="n"/>
      <c r="E632" s="124" t="n"/>
      <c r="F632" s="119">
        <f>$C632-$D632</f>
        <v/>
      </c>
      <c r="G632" s="120">
        <f>IF($C632=0,0,$F632/$C632)</f>
        <v/>
      </c>
      <c r="H632" s="119">
        <f>IF($E632=0,0,$F632/$E632)</f>
        <v/>
      </c>
      <c r="I632" s="121">
        <f>IF($B632="","",IF($F632&lt;0,"ZARAR",IF($G632&lt;IsMarjEsik,"RİSK","KÂRLI")))</f>
        <v/>
      </c>
      <c r="J632" s="122" t="n"/>
    </row>
    <row r="633" ht="15" customHeight="1" s="76">
      <c r="A633" s="122" t="n"/>
      <c r="B633" s="122" t="n"/>
      <c r="C633" s="123" t="n"/>
      <c r="D633" s="123" t="n"/>
      <c r="E633" s="124" t="n"/>
      <c r="F633" s="119">
        <f>$C633-$D633</f>
        <v/>
      </c>
      <c r="G633" s="120">
        <f>IF($C633=0,0,$F633/$C633)</f>
        <v/>
      </c>
      <c r="H633" s="119">
        <f>IF($E633=0,0,$F633/$E633)</f>
        <v/>
      </c>
      <c r="I633" s="121">
        <f>IF($B633="","",IF($F633&lt;0,"ZARAR",IF($G633&lt;IsMarjEsik,"RİSK","KÂRLI")))</f>
        <v/>
      </c>
      <c r="J633" s="122" t="n"/>
    </row>
    <row r="634" ht="15" customHeight="1" s="76">
      <c r="A634" s="122" t="n"/>
      <c r="B634" s="122" t="n"/>
      <c r="C634" s="123" t="n"/>
      <c r="D634" s="123" t="n"/>
      <c r="E634" s="124" t="n"/>
      <c r="F634" s="119">
        <f>$C634-$D634</f>
        <v/>
      </c>
      <c r="G634" s="120">
        <f>IF($C634=0,0,$F634/$C634)</f>
        <v/>
      </c>
      <c r="H634" s="119">
        <f>IF($E634=0,0,$F634/$E634)</f>
        <v/>
      </c>
      <c r="I634" s="121">
        <f>IF($B634="","",IF($F634&lt;0,"ZARAR",IF($G634&lt;IsMarjEsik,"RİSK","KÂRLI")))</f>
        <v/>
      </c>
      <c r="J634" s="122" t="n"/>
    </row>
    <row r="635" ht="15" customHeight="1" s="76">
      <c r="A635" s="122" t="n"/>
      <c r="B635" s="122" t="n"/>
      <c r="C635" s="123" t="n"/>
      <c r="D635" s="123" t="n"/>
      <c r="E635" s="124" t="n"/>
      <c r="F635" s="119">
        <f>$C635-$D635</f>
        <v/>
      </c>
      <c r="G635" s="120">
        <f>IF($C635=0,0,$F635/$C635)</f>
        <v/>
      </c>
      <c r="H635" s="119">
        <f>IF($E635=0,0,$F635/$E635)</f>
        <v/>
      </c>
      <c r="I635" s="121">
        <f>IF($B635="","",IF($F635&lt;0,"ZARAR",IF($G635&lt;IsMarjEsik,"RİSK","KÂRLI")))</f>
        <v/>
      </c>
      <c r="J635" s="122" t="n"/>
    </row>
    <row r="636" ht="15" customHeight="1" s="76">
      <c r="A636" s="122" t="n"/>
      <c r="B636" s="122" t="n"/>
      <c r="C636" s="123" t="n"/>
      <c r="D636" s="123" t="n"/>
      <c r="E636" s="124" t="n"/>
      <c r="F636" s="119">
        <f>$C636-$D636</f>
        <v/>
      </c>
      <c r="G636" s="120">
        <f>IF($C636=0,0,$F636/$C636)</f>
        <v/>
      </c>
      <c r="H636" s="119">
        <f>IF($E636=0,0,$F636/$E636)</f>
        <v/>
      </c>
      <c r="I636" s="121">
        <f>IF($B636="","",IF($F636&lt;0,"ZARAR",IF($G636&lt;IsMarjEsik,"RİSK","KÂRLI")))</f>
        <v/>
      </c>
      <c r="J636" s="122" t="n"/>
    </row>
    <row r="637" ht="15" customHeight="1" s="76">
      <c r="A637" s="122" t="n"/>
      <c r="B637" s="122" t="n"/>
      <c r="C637" s="123" t="n"/>
      <c r="D637" s="123" t="n"/>
      <c r="E637" s="124" t="n"/>
      <c r="F637" s="119">
        <f>$C637-$D637</f>
        <v/>
      </c>
      <c r="G637" s="120">
        <f>IF($C637=0,0,$F637/$C637)</f>
        <v/>
      </c>
      <c r="H637" s="119">
        <f>IF($E637=0,0,$F637/$E637)</f>
        <v/>
      </c>
      <c r="I637" s="121">
        <f>IF($B637="","",IF($F637&lt;0,"ZARAR",IF($G637&lt;IsMarjEsik,"RİSK","KÂRLI")))</f>
        <v/>
      </c>
      <c r="J637" s="122" t="n"/>
    </row>
    <row r="638" ht="15" customHeight="1" s="76">
      <c r="A638" s="122" t="n"/>
      <c r="B638" s="122" t="n"/>
      <c r="C638" s="123" t="n"/>
      <c r="D638" s="123" t="n"/>
      <c r="E638" s="124" t="n"/>
      <c r="F638" s="119">
        <f>$C638-$D638</f>
        <v/>
      </c>
      <c r="G638" s="120">
        <f>IF($C638=0,0,$F638/$C638)</f>
        <v/>
      </c>
      <c r="H638" s="119">
        <f>IF($E638=0,0,$F638/$E638)</f>
        <v/>
      </c>
      <c r="I638" s="121">
        <f>IF($B638="","",IF($F638&lt;0,"ZARAR",IF($G638&lt;IsMarjEsik,"RİSK","KÂRLI")))</f>
        <v/>
      </c>
      <c r="J638" s="122" t="n"/>
    </row>
    <row r="639" ht="15" customHeight="1" s="76">
      <c r="A639" s="122" t="n"/>
      <c r="B639" s="122" t="n"/>
      <c r="C639" s="123" t="n"/>
      <c r="D639" s="123" t="n"/>
      <c r="E639" s="124" t="n"/>
      <c r="F639" s="119">
        <f>$C639-$D639</f>
        <v/>
      </c>
      <c r="G639" s="120">
        <f>IF($C639=0,0,$F639/$C639)</f>
        <v/>
      </c>
      <c r="H639" s="119">
        <f>IF($E639=0,0,$F639/$E639)</f>
        <v/>
      </c>
      <c r="I639" s="121">
        <f>IF($B639="","",IF($F639&lt;0,"ZARAR",IF($G639&lt;IsMarjEsik,"RİSK","KÂRLI")))</f>
        <v/>
      </c>
      <c r="J639" s="122" t="n"/>
    </row>
    <row r="640" ht="15" customHeight="1" s="76">
      <c r="A640" s="122" t="n"/>
      <c r="B640" s="122" t="n"/>
      <c r="C640" s="123" t="n"/>
      <c r="D640" s="123" t="n"/>
      <c r="E640" s="124" t="n"/>
      <c r="F640" s="119">
        <f>$C640-$D640</f>
        <v/>
      </c>
      <c r="G640" s="120">
        <f>IF($C640=0,0,$F640/$C640)</f>
        <v/>
      </c>
      <c r="H640" s="119">
        <f>IF($E640=0,0,$F640/$E640)</f>
        <v/>
      </c>
      <c r="I640" s="121">
        <f>IF($B640="","",IF($F640&lt;0,"ZARAR",IF($G640&lt;IsMarjEsik,"RİSK","KÂRLI")))</f>
        <v/>
      </c>
      <c r="J640" s="122" t="n"/>
    </row>
    <row r="641" ht="15" customHeight="1" s="76">
      <c r="A641" s="122" t="n"/>
      <c r="B641" s="122" t="n"/>
      <c r="C641" s="123" t="n"/>
      <c r="D641" s="123" t="n"/>
      <c r="E641" s="124" t="n"/>
      <c r="F641" s="119">
        <f>$C641-$D641</f>
        <v/>
      </c>
      <c r="G641" s="120">
        <f>IF($C641=0,0,$F641/$C641)</f>
        <v/>
      </c>
      <c r="H641" s="119">
        <f>IF($E641=0,0,$F641/$E641)</f>
        <v/>
      </c>
      <c r="I641" s="121">
        <f>IF($B641="","",IF($F641&lt;0,"ZARAR",IF($G641&lt;IsMarjEsik,"RİSK","KÂRLI")))</f>
        <v/>
      </c>
      <c r="J641" s="122" t="n"/>
    </row>
    <row r="642" ht="15" customHeight="1" s="76">
      <c r="A642" s="122" t="n"/>
      <c r="B642" s="122" t="n"/>
      <c r="C642" s="123" t="n"/>
      <c r="D642" s="123" t="n"/>
      <c r="E642" s="124" t="n"/>
      <c r="F642" s="119">
        <f>$C642-$D642</f>
        <v/>
      </c>
      <c r="G642" s="120">
        <f>IF($C642=0,0,$F642/$C642)</f>
        <v/>
      </c>
      <c r="H642" s="119">
        <f>IF($E642=0,0,$F642/$E642)</f>
        <v/>
      </c>
      <c r="I642" s="121">
        <f>IF($B642="","",IF($F642&lt;0,"ZARAR",IF($G642&lt;IsMarjEsik,"RİSK","KÂRLI")))</f>
        <v/>
      </c>
      <c r="J642" s="122" t="n"/>
    </row>
    <row r="643" ht="15" customHeight="1" s="76">
      <c r="A643" s="122" t="n"/>
      <c r="B643" s="122" t="n"/>
      <c r="C643" s="123" t="n"/>
      <c r="D643" s="123" t="n"/>
      <c r="E643" s="124" t="n"/>
      <c r="F643" s="119">
        <f>$C643-$D643</f>
        <v/>
      </c>
      <c r="G643" s="120">
        <f>IF($C643=0,0,$F643/$C643)</f>
        <v/>
      </c>
      <c r="H643" s="119">
        <f>IF($E643=0,0,$F643/$E643)</f>
        <v/>
      </c>
      <c r="I643" s="121">
        <f>IF($B643="","",IF($F643&lt;0,"ZARAR",IF($G643&lt;IsMarjEsik,"RİSK","KÂRLI")))</f>
        <v/>
      </c>
      <c r="J643" s="122" t="n"/>
    </row>
    <row r="644" ht="15" customHeight="1" s="76">
      <c r="A644" s="122" t="n"/>
      <c r="B644" s="122" t="n"/>
      <c r="C644" s="123" t="n"/>
      <c r="D644" s="123" t="n"/>
      <c r="E644" s="124" t="n"/>
      <c r="F644" s="119">
        <f>$C644-$D644</f>
        <v/>
      </c>
      <c r="G644" s="120">
        <f>IF($C644=0,0,$F644/$C644)</f>
        <v/>
      </c>
      <c r="H644" s="119">
        <f>IF($E644=0,0,$F644/$E644)</f>
        <v/>
      </c>
      <c r="I644" s="121">
        <f>IF($B644="","",IF($F644&lt;0,"ZARAR",IF($G644&lt;IsMarjEsik,"RİSK","KÂRLI")))</f>
        <v/>
      </c>
      <c r="J644" s="122" t="n"/>
    </row>
    <row r="645" ht="15" customHeight="1" s="76">
      <c r="A645" s="122" t="n"/>
      <c r="B645" s="122" t="n"/>
      <c r="C645" s="123" t="n"/>
      <c r="D645" s="123" t="n"/>
      <c r="E645" s="124" t="n"/>
      <c r="F645" s="119">
        <f>$C645-$D645</f>
        <v/>
      </c>
      <c r="G645" s="120">
        <f>IF($C645=0,0,$F645/$C645)</f>
        <v/>
      </c>
      <c r="H645" s="119">
        <f>IF($E645=0,0,$F645/$E645)</f>
        <v/>
      </c>
      <c r="I645" s="121">
        <f>IF($B645="","",IF($F645&lt;0,"ZARAR",IF($G645&lt;IsMarjEsik,"RİSK","KÂRLI")))</f>
        <v/>
      </c>
      <c r="J645" s="122" t="n"/>
    </row>
    <row r="646" ht="15" customHeight="1" s="76">
      <c r="A646" s="122" t="n"/>
      <c r="B646" s="122" t="n"/>
      <c r="C646" s="123" t="n"/>
      <c r="D646" s="123" t="n"/>
      <c r="E646" s="124" t="n"/>
      <c r="F646" s="119">
        <f>$C646-$D646</f>
        <v/>
      </c>
      <c r="G646" s="120">
        <f>IF($C646=0,0,$F646/$C646)</f>
        <v/>
      </c>
      <c r="H646" s="119">
        <f>IF($E646=0,0,$F646/$E646)</f>
        <v/>
      </c>
      <c r="I646" s="121">
        <f>IF($B646="","",IF($F646&lt;0,"ZARAR",IF($G646&lt;IsMarjEsik,"RİSK","KÂRLI")))</f>
        <v/>
      </c>
      <c r="J646" s="122" t="n"/>
    </row>
    <row r="647" ht="15" customHeight="1" s="76">
      <c r="A647" s="122" t="n"/>
      <c r="B647" s="122" t="n"/>
      <c r="C647" s="123" t="n"/>
      <c r="D647" s="123" t="n"/>
      <c r="E647" s="124" t="n"/>
      <c r="F647" s="119">
        <f>$C647-$D647</f>
        <v/>
      </c>
      <c r="G647" s="120">
        <f>IF($C647=0,0,$F647/$C647)</f>
        <v/>
      </c>
      <c r="H647" s="119">
        <f>IF($E647=0,0,$F647/$E647)</f>
        <v/>
      </c>
      <c r="I647" s="121">
        <f>IF($B647="","",IF($F647&lt;0,"ZARAR",IF($G647&lt;IsMarjEsik,"RİSK","KÂRLI")))</f>
        <v/>
      </c>
      <c r="J647" s="122" t="n"/>
    </row>
    <row r="648" ht="15" customHeight="1" s="76">
      <c r="A648" s="122" t="n"/>
      <c r="B648" s="122" t="n"/>
      <c r="C648" s="123" t="n"/>
      <c r="D648" s="123" t="n"/>
      <c r="E648" s="124" t="n"/>
      <c r="F648" s="119">
        <f>$C648-$D648</f>
        <v/>
      </c>
      <c r="G648" s="120">
        <f>IF($C648=0,0,$F648/$C648)</f>
        <v/>
      </c>
      <c r="H648" s="119">
        <f>IF($E648=0,0,$F648/$E648)</f>
        <v/>
      </c>
      <c r="I648" s="121">
        <f>IF($B648="","",IF($F648&lt;0,"ZARAR",IF($G648&lt;IsMarjEsik,"RİSK","KÂRLI")))</f>
        <v/>
      </c>
      <c r="J648" s="122" t="n"/>
    </row>
    <row r="649" ht="15" customHeight="1" s="76">
      <c r="A649" s="122" t="n"/>
      <c r="B649" s="122" t="n"/>
      <c r="C649" s="123" t="n"/>
      <c r="D649" s="123" t="n"/>
      <c r="E649" s="124" t="n"/>
      <c r="F649" s="119">
        <f>$C649-$D649</f>
        <v/>
      </c>
      <c r="G649" s="120">
        <f>IF($C649=0,0,$F649/$C649)</f>
        <v/>
      </c>
      <c r="H649" s="119">
        <f>IF($E649=0,0,$F649/$E649)</f>
        <v/>
      </c>
      <c r="I649" s="121">
        <f>IF($B649="","",IF($F649&lt;0,"ZARAR",IF($G649&lt;IsMarjEsik,"RİSK","KÂRLI")))</f>
        <v/>
      </c>
      <c r="J649" s="122" t="n"/>
    </row>
    <row r="650" ht="15" customHeight="1" s="76">
      <c r="A650" s="122" t="n"/>
      <c r="B650" s="122" t="n"/>
      <c r="C650" s="123" t="n"/>
      <c r="D650" s="123" t="n"/>
      <c r="E650" s="124" t="n"/>
      <c r="F650" s="119">
        <f>$C650-$D650</f>
        <v/>
      </c>
      <c r="G650" s="120">
        <f>IF($C650=0,0,$F650/$C650)</f>
        <v/>
      </c>
      <c r="H650" s="119">
        <f>IF($E650=0,0,$F650/$E650)</f>
        <v/>
      </c>
      <c r="I650" s="121">
        <f>IF($B650="","",IF($F650&lt;0,"ZARAR",IF($G650&lt;IsMarjEsik,"RİSK","KÂRLI")))</f>
        <v/>
      </c>
      <c r="J650" s="122" t="n"/>
    </row>
    <row r="651" ht="15" customHeight="1" s="76">
      <c r="A651" s="122" t="n"/>
      <c r="B651" s="122" t="n"/>
      <c r="C651" s="123" t="n"/>
      <c r="D651" s="123" t="n"/>
      <c r="E651" s="124" t="n"/>
      <c r="F651" s="119">
        <f>$C651-$D651</f>
        <v/>
      </c>
      <c r="G651" s="120">
        <f>IF($C651=0,0,$F651/$C651)</f>
        <v/>
      </c>
      <c r="H651" s="119">
        <f>IF($E651=0,0,$F651/$E651)</f>
        <v/>
      </c>
      <c r="I651" s="121">
        <f>IF($B651="","",IF($F651&lt;0,"ZARAR",IF($G651&lt;IsMarjEsik,"RİSK","KÂRLI")))</f>
        <v/>
      </c>
      <c r="J651" s="122" t="n"/>
    </row>
    <row r="652" ht="15" customHeight="1" s="76">
      <c r="A652" s="122" t="n"/>
      <c r="B652" s="122" t="n"/>
      <c r="C652" s="123" t="n"/>
      <c r="D652" s="123" t="n"/>
      <c r="E652" s="124" t="n"/>
      <c r="F652" s="119">
        <f>$C652-$D652</f>
        <v/>
      </c>
      <c r="G652" s="120">
        <f>IF($C652=0,0,$F652/$C652)</f>
        <v/>
      </c>
      <c r="H652" s="119">
        <f>IF($E652=0,0,$F652/$E652)</f>
        <v/>
      </c>
      <c r="I652" s="121">
        <f>IF($B652="","",IF($F652&lt;0,"ZARAR",IF($G652&lt;IsMarjEsik,"RİSK","KÂRLI")))</f>
        <v/>
      </c>
      <c r="J652" s="122" t="n"/>
    </row>
    <row r="653" ht="15" customHeight="1" s="76">
      <c r="A653" s="122" t="n"/>
      <c r="B653" s="122" t="n"/>
      <c r="C653" s="123" t="n"/>
      <c r="D653" s="123" t="n"/>
      <c r="E653" s="124" t="n"/>
      <c r="F653" s="119">
        <f>$C653-$D653</f>
        <v/>
      </c>
      <c r="G653" s="120">
        <f>IF($C653=0,0,$F653/$C653)</f>
        <v/>
      </c>
      <c r="H653" s="119">
        <f>IF($E653=0,0,$F653/$E653)</f>
        <v/>
      </c>
      <c r="I653" s="121">
        <f>IF($B653="","",IF($F653&lt;0,"ZARAR",IF($G653&lt;IsMarjEsik,"RİSK","KÂRLI")))</f>
        <v/>
      </c>
      <c r="J653" s="122" t="n"/>
    </row>
    <row r="654" ht="15" customHeight="1" s="76">
      <c r="A654" s="122" t="n"/>
      <c r="B654" s="122" t="n"/>
      <c r="C654" s="123" t="n"/>
      <c r="D654" s="123" t="n"/>
      <c r="E654" s="124" t="n"/>
      <c r="F654" s="119">
        <f>$C654-$D654</f>
        <v/>
      </c>
      <c r="G654" s="120">
        <f>IF($C654=0,0,$F654/$C654)</f>
        <v/>
      </c>
      <c r="H654" s="119">
        <f>IF($E654=0,0,$F654/$E654)</f>
        <v/>
      </c>
      <c r="I654" s="121">
        <f>IF($B654="","",IF($F654&lt;0,"ZARAR",IF($G654&lt;IsMarjEsik,"RİSK","KÂRLI")))</f>
        <v/>
      </c>
      <c r="J654" s="122" t="n"/>
    </row>
    <row r="655" ht="15" customHeight="1" s="76">
      <c r="A655" s="122" t="n"/>
      <c r="B655" s="122" t="n"/>
      <c r="C655" s="123" t="n"/>
      <c r="D655" s="123" t="n"/>
      <c r="E655" s="124" t="n"/>
      <c r="F655" s="119">
        <f>$C655-$D655</f>
        <v/>
      </c>
      <c r="G655" s="120">
        <f>IF($C655=0,0,$F655/$C655)</f>
        <v/>
      </c>
      <c r="H655" s="119">
        <f>IF($E655=0,0,$F655/$E655)</f>
        <v/>
      </c>
      <c r="I655" s="121">
        <f>IF($B655="","",IF($F655&lt;0,"ZARAR",IF($G655&lt;IsMarjEsik,"RİSK","KÂRLI")))</f>
        <v/>
      </c>
      <c r="J655" s="122" t="n"/>
    </row>
    <row r="656" ht="15" customHeight="1" s="76">
      <c r="A656" s="122" t="n"/>
      <c r="B656" s="122" t="n"/>
      <c r="C656" s="123" t="n"/>
      <c r="D656" s="123" t="n"/>
      <c r="E656" s="124" t="n"/>
      <c r="F656" s="119">
        <f>$C656-$D656</f>
        <v/>
      </c>
      <c r="G656" s="120">
        <f>IF($C656=0,0,$F656/$C656)</f>
        <v/>
      </c>
      <c r="H656" s="119">
        <f>IF($E656=0,0,$F656/$E656)</f>
        <v/>
      </c>
      <c r="I656" s="121">
        <f>IF($B656="","",IF($F656&lt;0,"ZARAR",IF($G656&lt;IsMarjEsik,"RİSK","KÂRLI")))</f>
        <v/>
      </c>
      <c r="J656" s="122" t="n"/>
    </row>
    <row r="657" ht="15" customHeight="1" s="76">
      <c r="A657" s="122" t="n"/>
      <c r="B657" s="122" t="n"/>
      <c r="C657" s="123" t="n"/>
      <c r="D657" s="123" t="n"/>
      <c r="E657" s="124" t="n"/>
      <c r="F657" s="119">
        <f>$C657-$D657</f>
        <v/>
      </c>
      <c r="G657" s="120">
        <f>IF($C657=0,0,$F657/$C657)</f>
        <v/>
      </c>
      <c r="H657" s="119">
        <f>IF($E657=0,0,$F657/$E657)</f>
        <v/>
      </c>
      <c r="I657" s="121">
        <f>IF($B657="","",IF($F657&lt;0,"ZARAR",IF($G657&lt;IsMarjEsik,"RİSK","KÂRLI")))</f>
        <v/>
      </c>
      <c r="J657" s="122" t="n"/>
    </row>
    <row r="658" ht="15" customHeight="1" s="76">
      <c r="A658" s="122" t="n"/>
      <c r="B658" s="122" t="n"/>
      <c r="C658" s="123" t="n"/>
      <c r="D658" s="123" t="n"/>
      <c r="E658" s="124" t="n"/>
      <c r="F658" s="119">
        <f>$C658-$D658</f>
        <v/>
      </c>
      <c r="G658" s="120">
        <f>IF($C658=0,0,$F658/$C658)</f>
        <v/>
      </c>
      <c r="H658" s="119">
        <f>IF($E658=0,0,$F658/$E658)</f>
        <v/>
      </c>
      <c r="I658" s="121">
        <f>IF($B658="","",IF($F658&lt;0,"ZARAR",IF($G658&lt;IsMarjEsik,"RİSK","KÂRLI")))</f>
        <v/>
      </c>
      <c r="J658" s="122" t="n"/>
    </row>
    <row r="659" ht="15" customHeight="1" s="76">
      <c r="A659" s="122" t="n"/>
      <c r="B659" s="122" t="n"/>
      <c r="C659" s="123" t="n"/>
      <c r="D659" s="123" t="n"/>
      <c r="E659" s="124" t="n"/>
      <c r="F659" s="119">
        <f>$C659-$D659</f>
        <v/>
      </c>
      <c r="G659" s="120">
        <f>IF($C659=0,0,$F659/$C659)</f>
        <v/>
      </c>
      <c r="H659" s="119">
        <f>IF($E659=0,0,$F659/$E659)</f>
        <v/>
      </c>
      <c r="I659" s="121">
        <f>IF($B659="","",IF($F659&lt;0,"ZARAR",IF($G659&lt;IsMarjEsik,"RİSK","KÂRLI")))</f>
        <v/>
      </c>
      <c r="J659" s="122" t="n"/>
    </row>
    <row r="660" ht="15" customHeight="1" s="76">
      <c r="A660" s="122" t="n"/>
      <c r="B660" s="122" t="n"/>
      <c r="C660" s="123" t="n"/>
      <c r="D660" s="123" t="n"/>
      <c r="E660" s="124" t="n"/>
      <c r="F660" s="119">
        <f>$C660-$D660</f>
        <v/>
      </c>
      <c r="G660" s="120">
        <f>IF($C660=0,0,$F660/$C660)</f>
        <v/>
      </c>
      <c r="H660" s="119">
        <f>IF($E660=0,0,$F660/$E660)</f>
        <v/>
      </c>
      <c r="I660" s="121">
        <f>IF($B660="","",IF($F660&lt;0,"ZARAR",IF($G660&lt;IsMarjEsik,"RİSK","KÂRLI")))</f>
        <v/>
      </c>
      <c r="J660" s="122" t="n"/>
    </row>
    <row r="661" ht="15" customHeight="1" s="76">
      <c r="A661" s="122" t="n"/>
      <c r="B661" s="122" t="n"/>
      <c r="C661" s="123" t="n"/>
      <c r="D661" s="123" t="n"/>
      <c r="E661" s="124" t="n"/>
      <c r="F661" s="119">
        <f>$C661-$D661</f>
        <v/>
      </c>
      <c r="G661" s="120">
        <f>IF($C661=0,0,$F661/$C661)</f>
        <v/>
      </c>
      <c r="H661" s="119">
        <f>IF($E661=0,0,$F661/$E661)</f>
        <v/>
      </c>
      <c r="I661" s="121">
        <f>IF($B661="","",IF($F661&lt;0,"ZARAR",IF($G661&lt;IsMarjEsik,"RİSK","KÂRLI")))</f>
        <v/>
      </c>
      <c r="J661" s="122" t="n"/>
    </row>
    <row r="662" ht="15" customHeight="1" s="76">
      <c r="A662" s="122" t="n"/>
      <c r="B662" s="122" t="n"/>
      <c r="C662" s="123" t="n"/>
      <c r="D662" s="123" t="n"/>
      <c r="E662" s="124" t="n"/>
      <c r="F662" s="119">
        <f>$C662-$D662</f>
        <v/>
      </c>
      <c r="G662" s="120">
        <f>IF($C662=0,0,$F662/$C662)</f>
        <v/>
      </c>
      <c r="H662" s="119">
        <f>IF($E662=0,0,$F662/$E662)</f>
        <v/>
      </c>
      <c r="I662" s="121">
        <f>IF($B662="","",IF($F662&lt;0,"ZARAR",IF($G662&lt;IsMarjEsik,"RİSK","KÂRLI")))</f>
        <v/>
      </c>
      <c r="J662" s="122" t="n"/>
    </row>
    <row r="663" ht="15" customHeight="1" s="76">
      <c r="A663" s="122" t="n"/>
      <c r="B663" s="122" t="n"/>
      <c r="C663" s="123" t="n"/>
      <c r="D663" s="123" t="n"/>
      <c r="E663" s="124" t="n"/>
      <c r="F663" s="119">
        <f>$C663-$D663</f>
        <v/>
      </c>
      <c r="G663" s="120">
        <f>IF($C663=0,0,$F663/$C663)</f>
        <v/>
      </c>
      <c r="H663" s="119">
        <f>IF($E663=0,0,$F663/$E663)</f>
        <v/>
      </c>
      <c r="I663" s="121">
        <f>IF($B663="","",IF($F663&lt;0,"ZARAR",IF($G663&lt;IsMarjEsik,"RİSK","KÂRLI")))</f>
        <v/>
      </c>
      <c r="J663" s="122" t="n"/>
    </row>
    <row r="664" ht="15" customHeight="1" s="76">
      <c r="A664" s="122" t="n"/>
      <c r="B664" s="122" t="n"/>
      <c r="C664" s="123" t="n"/>
      <c r="D664" s="123" t="n"/>
      <c r="E664" s="124" t="n"/>
      <c r="F664" s="119">
        <f>$C664-$D664</f>
        <v/>
      </c>
      <c r="G664" s="120">
        <f>IF($C664=0,0,$F664/$C664)</f>
        <v/>
      </c>
      <c r="H664" s="119">
        <f>IF($E664=0,0,$F664/$E664)</f>
        <v/>
      </c>
      <c r="I664" s="121">
        <f>IF($B664="","",IF($F664&lt;0,"ZARAR",IF($G664&lt;IsMarjEsik,"RİSK","KÂRLI")))</f>
        <v/>
      </c>
      <c r="J664" s="122" t="n"/>
    </row>
    <row r="665" ht="15" customHeight="1" s="76">
      <c r="A665" s="122" t="n"/>
      <c r="B665" s="122" t="n"/>
      <c r="C665" s="123" t="n"/>
      <c r="D665" s="123" t="n"/>
      <c r="E665" s="124" t="n"/>
      <c r="F665" s="119">
        <f>$C665-$D665</f>
        <v/>
      </c>
      <c r="G665" s="120">
        <f>IF($C665=0,0,$F665/$C665)</f>
        <v/>
      </c>
      <c r="H665" s="119">
        <f>IF($E665=0,0,$F665/$E665)</f>
        <v/>
      </c>
      <c r="I665" s="121">
        <f>IF($B665="","",IF($F665&lt;0,"ZARAR",IF($G665&lt;IsMarjEsik,"RİSK","KÂRLI")))</f>
        <v/>
      </c>
      <c r="J665" s="122" t="n"/>
    </row>
    <row r="666" ht="15" customHeight="1" s="76">
      <c r="A666" s="122" t="n"/>
      <c r="B666" s="122" t="n"/>
      <c r="C666" s="123" t="n"/>
      <c r="D666" s="123" t="n"/>
      <c r="E666" s="124" t="n"/>
      <c r="F666" s="119">
        <f>$C666-$D666</f>
        <v/>
      </c>
      <c r="G666" s="120">
        <f>IF($C666=0,0,$F666/$C666)</f>
        <v/>
      </c>
      <c r="H666" s="119">
        <f>IF($E666=0,0,$F666/$E666)</f>
        <v/>
      </c>
      <c r="I666" s="121">
        <f>IF($B666="","",IF($F666&lt;0,"ZARAR",IF($G666&lt;IsMarjEsik,"RİSK","KÂRLI")))</f>
        <v/>
      </c>
      <c r="J666" s="122" t="n"/>
    </row>
    <row r="667" ht="15" customHeight="1" s="76">
      <c r="A667" s="122" t="n"/>
      <c r="B667" s="122" t="n"/>
      <c r="C667" s="123" t="n"/>
      <c r="D667" s="123" t="n"/>
      <c r="E667" s="124" t="n"/>
      <c r="F667" s="119">
        <f>$C667-$D667</f>
        <v/>
      </c>
      <c r="G667" s="120">
        <f>IF($C667=0,0,$F667/$C667)</f>
        <v/>
      </c>
      <c r="H667" s="119">
        <f>IF($E667=0,0,$F667/$E667)</f>
        <v/>
      </c>
      <c r="I667" s="121">
        <f>IF($B667="","",IF($F667&lt;0,"ZARAR",IF($G667&lt;IsMarjEsik,"RİSK","KÂRLI")))</f>
        <v/>
      </c>
      <c r="J667" s="122" t="n"/>
    </row>
    <row r="668" ht="15" customHeight="1" s="76">
      <c r="A668" s="122" t="n"/>
      <c r="B668" s="122" t="n"/>
      <c r="C668" s="123" t="n"/>
      <c r="D668" s="123" t="n"/>
      <c r="E668" s="124" t="n"/>
      <c r="F668" s="119">
        <f>$C668-$D668</f>
        <v/>
      </c>
      <c r="G668" s="120">
        <f>IF($C668=0,0,$F668/$C668)</f>
        <v/>
      </c>
      <c r="H668" s="119">
        <f>IF($E668=0,0,$F668/$E668)</f>
        <v/>
      </c>
      <c r="I668" s="121">
        <f>IF($B668="","",IF($F668&lt;0,"ZARAR",IF($G668&lt;IsMarjEsik,"RİSK","KÂRLI")))</f>
        <v/>
      </c>
      <c r="J668" s="122" t="n"/>
    </row>
    <row r="669" ht="15" customHeight="1" s="76">
      <c r="A669" s="122" t="n"/>
      <c r="B669" s="122" t="n"/>
      <c r="C669" s="123" t="n"/>
      <c r="D669" s="123" t="n"/>
      <c r="E669" s="124" t="n"/>
      <c r="F669" s="119">
        <f>$C669-$D669</f>
        <v/>
      </c>
      <c r="G669" s="120">
        <f>IF($C669=0,0,$F669/$C669)</f>
        <v/>
      </c>
      <c r="H669" s="119">
        <f>IF($E669=0,0,$F669/$E669)</f>
        <v/>
      </c>
      <c r="I669" s="121">
        <f>IF($B669="","",IF($F669&lt;0,"ZARAR",IF($G669&lt;IsMarjEsik,"RİSK","KÂRLI")))</f>
        <v/>
      </c>
      <c r="J669" s="122" t="n"/>
    </row>
    <row r="670" ht="15" customHeight="1" s="76">
      <c r="A670" s="122" t="n"/>
      <c r="B670" s="122" t="n"/>
      <c r="C670" s="123" t="n"/>
      <c r="D670" s="123" t="n"/>
      <c r="E670" s="124" t="n"/>
      <c r="F670" s="119">
        <f>$C670-$D670</f>
        <v/>
      </c>
      <c r="G670" s="120">
        <f>IF($C670=0,0,$F670/$C670)</f>
        <v/>
      </c>
      <c r="H670" s="119">
        <f>IF($E670=0,0,$F670/$E670)</f>
        <v/>
      </c>
      <c r="I670" s="121">
        <f>IF($B670="","",IF($F670&lt;0,"ZARAR",IF($G670&lt;IsMarjEsik,"RİSK","KÂRLI")))</f>
        <v/>
      </c>
      <c r="J670" s="122" t="n"/>
    </row>
    <row r="671" ht="15" customHeight="1" s="76">
      <c r="A671" s="122" t="n"/>
      <c r="B671" s="122" t="n"/>
      <c r="C671" s="123" t="n"/>
      <c r="D671" s="123" t="n"/>
      <c r="E671" s="124" t="n"/>
      <c r="F671" s="119">
        <f>$C671-$D671</f>
        <v/>
      </c>
      <c r="G671" s="120">
        <f>IF($C671=0,0,$F671/$C671)</f>
        <v/>
      </c>
      <c r="H671" s="119">
        <f>IF($E671=0,0,$F671/$E671)</f>
        <v/>
      </c>
      <c r="I671" s="121">
        <f>IF($B671="","",IF($F671&lt;0,"ZARAR",IF($G671&lt;IsMarjEsik,"RİSK","KÂRLI")))</f>
        <v/>
      </c>
      <c r="J671" s="122" t="n"/>
    </row>
    <row r="672" ht="15" customHeight="1" s="76">
      <c r="A672" s="122" t="n"/>
      <c r="B672" s="122" t="n"/>
      <c r="C672" s="123" t="n"/>
      <c r="D672" s="123" t="n"/>
      <c r="E672" s="124" t="n"/>
      <c r="F672" s="119">
        <f>$C672-$D672</f>
        <v/>
      </c>
      <c r="G672" s="120">
        <f>IF($C672=0,0,$F672/$C672)</f>
        <v/>
      </c>
      <c r="H672" s="119">
        <f>IF($E672=0,0,$F672/$E672)</f>
        <v/>
      </c>
      <c r="I672" s="121">
        <f>IF($B672="","",IF($F672&lt;0,"ZARAR",IF($G672&lt;IsMarjEsik,"RİSK","KÂRLI")))</f>
        <v/>
      </c>
      <c r="J672" s="122" t="n"/>
    </row>
    <row r="673" ht="15" customHeight="1" s="76">
      <c r="A673" s="122" t="n"/>
      <c r="B673" s="122" t="n"/>
      <c r="C673" s="123" t="n"/>
      <c r="D673" s="123" t="n"/>
      <c r="E673" s="124" t="n"/>
      <c r="F673" s="119">
        <f>$C673-$D673</f>
        <v/>
      </c>
      <c r="G673" s="120">
        <f>IF($C673=0,0,$F673/$C673)</f>
        <v/>
      </c>
      <c r="H673" s="119">
        <f>IF($E673=0,0,$F673/$E673)</f>
        <v/>
      </c>
      <c r="I673" s="121">
        <f>IF($B673="","",IF($F673&lt;0,"ZARAR",IF($G673&lt;IsMarjEsik,"RİSK","KÂRLI")))</f>
        <v/>
      </c>
      <c r="J673" s="122" t="n"/>
    </row>
    <row r="674" ht="15" customHeight="1" s="76">
      <c r="A674" s="122" t="n"/>
      <c r="B674" s="122" t="n"/>
      <c r="C674" s="123" t="n"/>
      <c r="D674" s="123" t="n"/>
      <c r="E674" s="124" t="n"/>
      <c r="F674" s="119">
        <f>$C674-$D674</f>
        <v/>
      </c>
      <c r="G674" s="120">
        <f>IF($C674=0,0,$F674/$C674)</f>
        <v/>
      </c>
      <c r="H674" s="119">
        <f>IF($E674=0,0,$F674/$E674)</f>
        <v/>
      </c>
      <c r="I674" s="121">
        <f>IF($B674="","",IF($F674&lt;0,"ZARAR",IF($G674&lt;IsMarjEsik,"RİSK","KÂRLI")))</f>
        <v/>
      </c>
      <c r="J674" s="122" t="n"/>
    </row>
    <row r="675" ht="15" customHeight="1" s="76">
      <c r="A675" s="122" t="n"/>
      <c r="B675" s="122" t="n"/>
      <c r="C675" s="123" t="n"/>
      <c r="D675" s="123" t="n"/>
      <c r="E675" s="124" t="n"/>
      <c r="F675" s="119">
        <f>$C675-$D675</f>
        <v/>
      </c>
      <c r="G675" s="120">
        <f>IF($C675=0,0,$F675/$C675)</f>
        <v/>
      </c>
      <c r="H675" s="119">
        <f>IF($E675=0,0,$F675/$E675)</f>
        <v/>
      </c>
      <c r="I675" s="121">
        <f>IF($B675="","",IF($F675&lt;0,"ZARAR",IF($G675&lt;IsMarjEsik,"RİSK","KÂRLI")))</f>
        <v/>
      </c>
      <c r="J675" s="122" t="n"/>
    </row>
    <row r="676" ht="15" customHeight="1" s="76">
      <c r="A676" s="122" t="n"/>
      <c r="B676" s="122" t="n"/>
      <c r="C676" s="123" t="n"/>
      <c r="D676" s="123" t="n"/>
      <c r="E676" s="124" t="n"/>
      <c r="F676" s="119">
        <f>$C676-$D676</f>
        <v/>
      </c>
      <c r="G676" s="120">
        <f>IF($C676=0,0,$F676/$C676)</f>
        <v/>
      </c>
      <c r="H676" s="119">
        <f>IF($E676=0,0,$F676/$E676)</f>
        <v/>
      </c>
      <c r="I676" s="121">
        <f>IF($B676="","",IF($F676&lt;0,"ZARAR",IF($G676&lt;IsMarjEsik,"RİSK","KÂRLI")))</f>
        <v/>
      </c>
      <c r="J676" s="122" t="n"/>
    </row>
    <row r="677" ht="15" customHeight="1" s="76">
      <c r="A677" s="122" t="n"/>
      <c r="B677" s="122" t="n"/>
      <c r="C677" s="123" t="n"/>
      <c r="D677" s="123" t="n"/>
      <c r="E677" s="124" t="n"/>
      <c r="F677" s="119">
        <f>$C677-$D677</f>
        <v/>
      </c>
      <c r="G677" s="120">
        <f>IF($C677=0,0,$F677/$C677)</f>
        <v/>
      </c>
      <c r="H677" s="119">
        <f>IF($E677=0,0,$F677/$E677)</f>
        <v/>
      </c>
      <c r="I677" s="121">
        <f>IF($B677="","",IF($F677&lt;0,"ZARAR",IF($G677&lt;IsMarjEsik,"RİSK","KÂRLI")))</f>
        <v/>
      </c>
      <c r="J677" s="122" t="n"/>
    </row>
    <row r="678" ht="15" customHeight="1" s="76">
      <c r="A678" s="122" t="n"/>
      <c r="B678" s="122" t="n"/>
      <c r="C678" s="123" t="n"/>
      <c r="D678" s="123" t="n"/>
      <c r="E678" s="124" t="n"/>
      <c r="F678" s="119">
        <f>$C678-$D678</f>
        <v/>
      </c>
      <c r="G678" s="120">
        <f>IF($C678=0,0,$F678/$C678)</f>
        <v/>
      </c>
      <c r="H678" s="119">
        <f>IF($E678=0,0,$F678/$E678)</f>
        <v/>
      </c>
      <c r="I678" s="121">
        <f>IF($B678="","",IF($F678&lt;0,"ZARAR",IF($G678&lt;IsMarjEsik,"RİSK","KÂRLI")))</f>
        <v/>
      </c>
      <c r="J678" s="122" t="n"/>
    </row>
    <row r="679" ht="15" customHeight="1" s="76">
      <c r="A679" s="122" t="n"/>
      <c r="B679" s="122" t="n"/>
      <c r="C679" s="123" t="n"/>
      <c r="D679" s="123" t="n"/>
      <c r="E679" s="124" t="n"/>
      <c r="F679" s="119">
        <f>$C679-$D679</f>
        <v/>
      </c>
      <c r="G679" s="120">
        <f>IF($C679=0,0,$F679/$C679)</f>
        <v/>
      </c>
      <c r="H679" s="119">
        <f>IF($E679=0,0,$F679/$E679)</f>
        <v/>
      </c>
      <c r="I679" s="121">
        <f>IF($B679="","",IF($F679&lt;0,"ZARAR",IF($G679&lt;IsMarjEsik,"RİSK","KÂRLI")))</f>
        <v/>
      </c>
      <c r="J679" s="122" t="n"/>
    </row>
    <row r="680" ht="15" customHeight="1" s="76">
      <c r="A680" s="122" t="n"/>
      <c r="B680" s="122" t="n"/>
      <c r="C680" s="123" t="n"/>
      <c r="D680" s="123" t="n"/>
      <c r="E680" s="124" t="n"/>
      <c r="F680" s="119">
        <f>$C680-$D680</f>
        <v/>
      </c>
      <c r="G680" s="120">
        <f>IF($C680=0,0,$F680/$C680)</f>
        <v/>
      </c>
      <c r="H680" s="119">
        <f>IF($E680=0,0,$F680/$E680)</f>
        <v/>
      </c>
      <c r="I680" s="121">
        <f>IF($B680="","",IF($F680&lt;0,"ZARAR",IF($G680&lt;IsMarjEsik,"RİSK","KÂRLI")))</f>
        <v/>
      </c>
      <c r="J680" s="122" t="n"/>
    </row>
    <row r="681" ht="15" customHeight="1" s="76">
      <c r="A681" s="122" t="n"/>
      <c r="B681" s="122" t="n"/>
      <c r="C681" s="123" t="n"/>
      <c r="D681" s="123" t="n"/>
      <c r="E681" s="124" t="n"/>
      <c r="F681" s="119">
        <f>$C681-$D681</f>
        <v/>
      </c>
      <c r="G681" s="120">
        <f>IF($C681=0,0,$F681/$C681)</f>
        <v/>
      </c>
      <c r="H681" s="119">
        <f>IF($E681=0,0,$F681/$E681)</f>
        <v/>
      </c>
      <c r="I681" s="121">
        <f>IF($B681="","",IF($F681&lt;0,"ZARAR",IF($G681&lt;IsMarjEsik,"RİSK","KÂRLI")))</f>
        <v/>
      </c>
      <c r="J681" s="122" t="n"/>
    </row>
    <row r="682" ht="15" customHeight="1" s="76">
      <c r="A682" s="122" t="n"/>
      <c r="B682" s="122" t="n"/>
      <c r="C682" s="123" t="n"/>
      <c r="D682" s="123" t="n"/>
      <c r="E682" s="124" t="n"/>
      <c r="F682" s="119">
        <f>$C682-$D682</f>
        <v/>
      </c>
      <c r="G682" s="120">
        <f>IF($C682=0,0,$F682/$C682)</f>
        <v/>
      </c>
      <c r="H682" s="119">
        <f>IF($E682=0,0,$F682/$E682)</f>
        <v/>
      </c>
      <c r="I682" s="121">
        <f>IF($B682="","",IF($F682&lt;0,"ZARAR",IF($G682&lt;IsMarjEsik,"RİSK","KÂRLI")))</f>
        <v/>
      </c>
      <c r="J682" s="122" t="n"/>
    </row>
    <row r="683" ht="15" customHeight="1" s="76">
      <c r="A683" s="122" t="n"/>
      <c r="B683" s="122" t="n"/>
      <c r="C683" s="123" t="n"/>
      <c r="D683" s="123" t="n"/>
      <c r="E683" s="124" t="n"/>
      <c r="F683" s="119">
        <f>$C683-$D683</f>
        <v/>
      </c>
      <c r="G683" s="120">
        <f>IF($C683=0,0,$F683/$C683)</f>
        <v/>
      </c>
      <c r="H683" s="119">
        <f>IF($E683=0,0,$F683/$E683)</f>
        <v/>
      </c>
      <c r="I683" s="121">
        <f>IF($B683="","",IF($F683&lt;0,"ZARAR",IF($G683&lt;IsMarjEsik,"RİSK","KÂRLI")))</f>
        <v/>
      </c>
      <c r="J683" s="122" t="n"/>
    </row>
    <row r="684" ht="15" customHeight="1" s="76">
      <c r="A684" s="122" t="n"/>
      <c r="B684" s="122" t="n"/>
      <c r="C684" s="123" t="n"/>
      <c r="D684" s="123" t="n"/>
      <c r="E684" s="124" t="n"/>
      <c r="F684" s="119">
        <f>$C684-$D684</f>
        <v/>
      </c>
      <c r="G684" s="120">
        <f>IF($C684=0,0,$F684/$C684)</f>
        <v/>
      </c>
      <c r="H684" s="119">
        <f>IF($E684=0,0,$F684/$E684)</f>
        <v/>
      </c>
      <c r="I684" s="121">
        <f>IF($B684="","",IF($F684&lt;0,"ZARAR",IF($G684&lt;IsMarjEsik,"RİSK","KÂRLI")))</f>
        <v/>
      </c>
      <c r="J684" s="122" t="n"/>
    </row>
    <row r="685" ht="15" customHeight="1" s="76">
      <c r="A685" s="122" t="n"/>
      <c r="B685" s="122" t="n"/>
      <c r="C685" s="123" t="n"/>
      <c r="D685" s="123" t="n"/>
      <c r="E685" s="124" t="n"/>
      <c r="F685" s="119">
        <f>$C685-$D685</f>
        <v/>
      </c>
      <c r="G685" s="120">
        <f>IF($C685=0,0,$F685/$C685)</f>
        <v/>
      </c>
      <c r="H685" s="119">
        <f>IF($E685=0,0,$F685/$E685)</f>
        <v/>
      </c>
      <c r="I685" s="121">
        <f>IF($B685="","",IF($F685&lt;0,"ZARAR",IF($G685&lt;IsMarjEsik,"RİSK","KÂRLI")))</f>
        <v/>
      </c>
      <c r="J685" s="122" t="n"/>
    </row>
    <row r="686" ht="15" customHeight="1" s="76">
      <c r="A686" s="122" t="n"/>
      <c r="B686" s="122" t="n"/>
      <c r="C686" s="123" t="n"/>
      <c r="D686" s="123" t="n"/>
      <c r="E686" s="124" t="n"/>
      <c r="F686" s="119">
        <f>$C686-$D686</f>
        <v/>
      </c>
      <c r="G686" s="120">
        <f>IF($C686=0,0,$F686/$C686)</f>
        <v/>
      </c>
      <c r="H686" s="119">
        <f>IF($E686=0,0,$F686/$E686)</f>
        <v/>
      </c>
      <c r="I686" s="121">
        <f>IF($B686="","",IF($F686&lt;0,"ZARAR",IF($G686&lt;IsMarjEsik,"RİSK","KÂRLI")))</f>
        <v/>
      </c>
      <c r="J686" s="122" t="n"/>
    </row>
    <row r="687" ht="15" customHeight="1" s="76">
      <c r="A687" s="122" t="n"/>
      <c r="B687" s="122" t="n"/>
      <c r="C687" s="123" t="n"/>
      <c r="D687" s="123" t="n"/>
      <c r="E687" s="124" t="n"/>
      <c r="F687" s="119">
        <f>$C687-$D687</f>
        <v/>
      </c>
      <c r="G687" s="120">
        <f>IF($C687=0,0,$F687/$C687)</f>
        <v/>
      </c>
      <c r="H687" s="119">
        <f>IF($E687=0,0,$F687/$E687)</f>
        <v/>
      </c>
      <c r="I687" s="121">
        <f>IF($B687="","",IF($F687&lt;0,"ZARAR",IF($G687&lt;IsMarjEsik,"RİSK","KÂRLI")))</f>
        <v/>
      </c>
      <c r="J687" s="122" t="n"/>
    </row>
    <row r="688" ht="15" customHeight="1" s="76">
      <c r="A688" s="122" t="n"/>
      <c r="B688" s="122" t="n"/>
      <c r="C688" s="123" t="n"/>
      <c r="D688" s="123" t="n"/>
      <c r="E688" s="124" t="n"/>
      <c r="F688" s="119">
        <f>$C688-$D688</f>
        <v/>
      </c>
      <c r="G688" s="120">
        <f>IF($C688=0,0,$F688/$C688)</f>
        <v/>
      </c>
      <c r="H688" s="119">
        <f>IF($E688=0,0,$F688/$E688)</f>
        <v/>
      </c>
      <c r="I688" s="121">
        <f>IF($B688="","",IF($F688&lt;0,"ZARAR",IF($G688&lt;IsMarjEsik,"RİSK","KÂRLI")))</f>
        <v/>
      </c>
      <c r="J688" s="122" t="n"/>
    </row>
    <row r="689" ht="15" customHeight="1" s="76">
      <c r="A689" s="122" t="n"/>
      <c r="B689" s="122" t="n"/>
      <c r="C689" s="123" t="n"/>
      <c r="D689" s="123" t="n"/>
      <c r="E689" s="124" t="n"/>
      <c r="F689" s="119">
        <f>$C689-$D689</f>
        <v/>
      </c>
      <c r="G689" s="120">
        <f>IF($C689=0,0,$F689/$C689)</f>
        <v/>
      </c>
      <c r="H689" s="119">
        <f>IF($E689=0,0,$F689/$E689)</f>
        <v/>
      </c>
      <c r="I689" s="121">
        <f>IF($B689="","",IF($F689&lt;0,"ZARAR",IF($G689&lt;IsMarjEsik,"RİSK","KÂRLI")))</f>
        <v/>
      </c>
      <c r="J689" s="122" t="n"/>
    </row>
    <row r="690" ht="15" customHeight="1" s="76">
      <c r="A690" s="122" t="n"/>
      <c r="B690" s="122" t="n"/>
      <c r="C690" s="123" t="n"/>
      <c r="D690" s="123" t="n"/>
      <c r="E690" s="124" t="n"/>
      <c r="F690" s="119">
        <f>$C690-$D690</f>
        <v/>
      </c>
      <c r="G690" s="120">
        <f>IF($C690=0,0,$F690/$C690)</f>
        <v/>
      </c>
      <c r="H690" s="119">
        <f>IF($E690=0,0,$F690/$E690)</f>
        <v/>
      </c>
      <c r="I690" s="121">
        <f>IF($B690="","",IF($F690&lt;0,"ZARAR",IF($G690&lt;IsMarjEsik,"RİSK","KÂRLI")))</f>
        <v/>
      </c>
      <c r="J690" s="122" t="n"/>
    </row>
    <row r="691" ht="15" customHeight="1" s="76">
      <c r="A691" s="122" t="n"/>
      <c r="B691" s="122" t="n"/>
      <c r="C691" s="123" t="n"/>
      <c r="D691" s="123" t="n"/>
      <c r="E691" s="124" t="n"/>
      <c r="F691" s="119">
        <f>$C691-$D691</f>
        <v/>
      </c>
      <c r="G691" s="120">
        <f>IF($C691=0,0,$F691/$C691)</f>
        <v/>
      </c>
      <c r="H691" s="119">
        <f>IF($E691=0,0,$F691/$E691)</f>
        <v/>
      </c>
      <c r="I691" s="121">
        <f>IF($B691="","",IF($F691&lt;0,"ZARAR",IF($G691&lt;IsMarjEsik,"RİSK","KÂRLI")))</f>
        <v/>
      </c>
      <c r="J691" s="122" t="n"/>
    </row>
    <row r="692" ht="15" customHeight="1" s="76">
      <c r="A692" s="122" t="n"/>
      <c r="B692" s="122" t="n"/>
      <c r="C692" s="123" t="n"/>
      <c r="D692" s="123" t="n"/>
      <c r="E692" s="124" t="n"/>
      <c r="F692" s="119">
        <f>$C692-$D692</f>
        <v/>
      </c>
      <c r="G692" s="120">
        <f>IF($C692=0,0,$F692/$C692)</f>
        <v/>
      </c>
      <c r="H692" s="119">
        <f>IF($E692=0,0,$F692/$E692)</f>
        <v/>
      </c>
      <c r="I692" s="121">
        <f>IF($B692="","",IF($F692&lt;0,"ZARAR",IF($G692&lt;IsMarjEsik,"RİSK","KÂRLI")))</f>
        <v/>
      </c>
      <c r="J692" s="122" t="n"/>
    </row>
    <row r="693" ht="15" customHeight="1" s="76">
      <c r="A693" s="122" t="n"/>
      <c r="B693" s="122" t="n"/>
      <c r="C693" s="123" t="n"/>
      <c r="D693" s="123" t="n"/>
      <c r="E693" s="124" t="n"/>
      <c r="F693" s="119">
        <f>$C693-$D693</f>
        <v/>
      </c>
      <c r="G693" s="120">
        <f>IF($C693=0,0,$F693/$C693)</f>
        <v/>
      </c>
      <c r="H693" s="119">
        <f>IF($E693=0,0,$F693/$E693)</f>
        <v/>
      </c>
      <c r="I693" s="121">
        <f>IF($B693="","",IF($F693&lt;0,"ZARAR",IF($G693&lt;IsMarjEsik,"RİSK","KÂRLI")))</f>
        <v/>
      </c>
      <c r="J693" s="122" t="n"/>
    </row>
    <row r="694" ht="15" customHeight="1" s="76">
      <c r="A694" s="122" t="n"/>
      <c r="B694" s="122" t="n"/>
      <c r="C694" s="123" t="n"/>
      <c r="D694" s="123" t="n"/>
      <c r="E694" s="124" t="n"/>
      <c r="F694" s="119">
        <f>$C694-$D694</f>
        <v/>
      </c>
      <c r="G694" s="120">
        <f>IF($C694=0,0,$F694/$C694)</f>
        <v/>
      </c>
      <c r="H694" s="119">
        <f>IF($E694=0,0,$F694/$E694)</f>
        <v/>
      </c>
      <c r="I694" s="121">
        <f>IF($B694="","",IF($F694&lt;0,"ZARAR",IF($G694&lt;IsMarjEsik,"RİSK","KÂRLI")))</f>
        <v/>
      </c>
      <c r="J694" s="122" t="n"/>
    </row>
    <row r="695" ht="15" customHeight="1" s="76">
      <c r="A695" s="122" t="n"/>
      <c r="B695" s="122" t="n"/>
      <c r="C695" s="123" t="n"/>
      <c r="D695" s="123" t="n"/>
      <c r="E695" s="124" t="n"/>
      <c r="F695" s="119">
        <f>$C695-$D695</f>
        <v/>
      </c>
      <c r="G695" s="120">
        <f>IF($C695=0,0,$F695/$C695)</f>
        <v/>
      </c>
      <c r="H695" s="119">
        <f>IF($E695=0,0,$F695/$E695)</f>
        <v/>
      </c>
      <c r="I695" s="121">
        <f>IF($B695="","",IF($F695&lt;0,"ZARAR",IF($G695&lt;IsMarjEsik,"RİSK","KÂRLI")))</f>
        <v/>
      </c>
      <c r="J695" s="122" t="n"/>
    </row>
    <row r="696" ht="15" customHeight="1" s="76">
      <c r="A696" s="122" t="n"/>
      <c r="B696" s="122" t="n"/>
      <c r="C696" s="123" t="n"/>
      <c r="D696" s="123" t="n"/>
      <c r="E696" s="124" t="n"/>
      <c r="F696" s="119">
        <f>$C696-$D696</f>
        <v/>
      </c>
      <c r="G696" s="120">
        <f>IF($C696=0,0,$F696/$C696)</f>
        <v/>
      </c>
      <c r="H696" s="119">
        <f>IF($E696=0,0,$F696/$E696)</f>
        <v/>
      </c>
      <c r="I696" s="121">
        <f>IF($B696="","",IF($F696&lt;0,"ZARAR",IF($G696&lt;IsMarjEsik,"RİSK","KÂRLI")))</f>
        <v/>
      </c>
      <c r="J696" s="122" t="n"/>
    </row>
    <row r="697" ht="15" customHeight="1" s="76">
      <c r="A697" s="122" t="n"/>
      <c r="B697" s="122" t="n"/>
      <c r="C697" s="123" t="n"/>
      <c r="D697" s="123" t="n"/>
      <c r="E697" s="124" t="n"/>
      <c r="F697" s="119">
        <f>$C697-$D697</f>
        <v/>
      </c>
      <c r="G697" s="120">
        <f>IF($C697=0,0,$F697/$C697)</f>
        <v/>
      </c>
      <c r="H697" s="119">
        <f>IF($E697=0,0,$F697/$E697)</f>
        <v/>
      </c>
      <c r="I697" s="121">
        <f>IF($B697="","",IF($F697&lt;0,"ZARAR",IF($G697&lt;IsMarjEsik,"RİSK","KÂRLI")))</f>
        <v/>
      </c>
      <c r="J697" s="122" t="n"/>
    </row>
    <row r="698" ht="15" customHeight="1" s="76">
      <c r="A698" s="122" t="n"/>
      <c r="B698" s="122" t="n"/>
      <c r="C698" s="123" t="n"/>
      <c r="D698" s="123" t="n"/>
      <c r="E698" s="124" t="n"/>
      <c r="F698" s="119">
        <f>$C698-$D698</f>
        <v/>
      </c>
      <c r="G698" s="120">
        <f>IF($C698=0,0,$F698/$C698)</f>
        <v/>
      </c>
      <c r="H698" s="119">
        <f>IF($E698=0,0,$F698/$E698)</f>
        <v/>
      </c>
      <c r="I698" s="121">
        <f>IF($B698="","",IF($F698&lt;0,"ZARAR",IF($G698&lt;IsMarjEsik,"RİSK","KÂRLI")))</f>
        <v/>
      </c>
      <c r="J698" s="122" t="n"/>
    </row>
    <row r="699" ht="15" customHeight="1" s="76">
      <c r="A699" s="122" t="n"/>
      <c r="B699" s="122" t="n"/>
      <c r="C699" s="123" t="n"/>
      <c r="D699" s="123" t="n"/>
      <c r="E699" s="124" t="n"/>
      <c r="F699" s="119">
        <f>$C699-$D699</f>
        <v/>
      </c>
      <c r="G699" s="120">
        <f>IF($C699=0,0,$F699/$C699)</f>
        <v/>
      </c>
      <c r="H699" s="119">
        <f>IF($E699=0,0,$F699/$E699)</f>
        <v/>
      </c>
      <c r="I699" s="121">
        <f>IF($B699="","",IF($F699&lt;0,"ZARAR",IF($G699&lt;IsMarjEsik,"RİSK","KÂRLI")))</f>
        <v/>
      </c>
      <c r="J699" s="122" t="n"/>
    </row>
    <row r="700" ht="15" customHeight="1" s="76">
      <c r="A700" s="122" t="n"/>
      <c r="B700" s="122" t="n"/>
      <c r="C700" s="123" t="n"/>
      <c r="D700" s="123" t="n"/>
      <c r="E700" s="124" t="n"/>
      <c r="F700" s="119">
        <f>$C700-$D700</f>
        <v/>
      </c>
      <c r="G700" s="120">
        <f>IF($C700=0,0,$F700/$C700)</f>
        <v/>
      </c>
      <c r="H700" s="119">
        <f>IF($E700=0,0,$F700/$E700)</f>
        <v/>
      </c>
      <c r="I700" s="121">
        <f>IF($B700="","",IF($F700&lt;0,"ZARAR",IF($G700&lt;IsMarjEsik,"RİSK","KÂRLI")))</f>
        <v/>
      </c>
      <c r="J700" s="122" t="n"/>
    </row>
    <row r="701" ht="15" customHeight="1" s="76">
      <c r="A701" s="122" t="n"/>
      <c r="B701" s="122" t="n"/>
      <c r="C701" s="123" t="n"/>
      <c r="D701" s="123" t="n"/>
      <c r="E701" s="124" t="n"/>
      <c r="F701" s="119">
        <f>$C701-$D701</f>
        <v/>
      </c>
      <c r="G701" s="120">
        <f>IF($C701=0,0,$F701/$C701)</f>
        <v/>
      </c>
      <c r="H701" s="119">
        <f>IF($E701=0,0,$F701/$E701)</f>
        <v/>
      </c>
      <c r="I701" s="121">
        <f>IF($B701="","",IF($F701&lt;0,"ZARAR",IF($G701&lt;IsMarjEsik,"RİSK","KÂRLI")))</f>
        <v/>
      </c>
      <c r="J701" s="122" t="n"/>
    </row>
    <row r="702" ht="15" customHeight="1" s="76">
      <c r="A702" s="122" t="n"/>
      <c r="B702" s="122" t="n"/>
      <c r="C702" s="123" t="n"/>
      <c r="D702" s="123" t="n"/>
      <c r="E702" s="124" t="n"/>
      <c r="F702" s="119">
        <f>$C702-$D702</f>
        <v/>
      </c>
      <c r="G702" s="120">
        <f>IF($C702=0,0,$F702/$C702)</f>
        <v/>
      </c>
      <c r="H702" s="119">
        <f>IF($E702=0,0,$F702/$E702)</f>
        <v/>
      </c>
      <c r="I702" s="121">
        <f>IF($B702="","",IF($F702&lt;0,"ZARAR",IF($G702&lt;IsMarjEsik,"RİSK","KÂRLI")))</f>
        <v/>
      </c>
      <c r="J702" s="122" t="n"/>
    </row>
    <row r="703" ht="15" customHeight="1" s="76">
      <c r="A703" s="122" t="n"/>
      <c r="B703" s="122" t="n"/>
      <c r="C703" s="123" t="n"/>
      <c r="D703" s="123" t="n"/>
      <c r="E703" s="124" t="n"/>
      <c r="F703" s="119">
        <f>$C703-$D703</f>
        <v/>
      </c>
      <c r="G703" s="120">
        <f>IF($C703=0,0,$F703/$C703)</f>
        <v/>
      </c>
      <c r="H703" s="119">
        <f>IF($E703=0,0,$F703/$E703)</f>
        <v/>
      </c>
      <c r="I703" s="121">
        <f>IF($B703="","",IF($F703&lt;0,"ZARAR",IF($G703&lt;IsMarjEsik,"RİSK","KÂRLI")))</f>
        <v/>
      </c>
      <c r="J703" s="122" t="n"/>
    </row>
    <row r="704" ht="15" customHeight="1" s="76">
      <c r="A704" s="122" t="n"/>
      <c r="B704" s="122" t="n"/>
      <c r="C704" s="123" t="n"/>
      <c r="D704" s="123" t="n"/>
      <c r="E704" s="124" t="n"/>
      <c r="F704" s="119">
        <f>$C704-$D704</f>
        <v/>
      </c>
      <c r="G704" s="120">
        <f>IF($C704=0,0,$F704/$C704)</f>
        <v/>
      </c>
      <c r="H704" s="119">
        <f>IF($E704=0,0,$F704/$E704)</f>
        <v/>
      </c>
      <c r="I704" s="121">
        <f>IF($B704="","",IF($F704&lt;0,"ZARAR",IF($G704&lt;IsMarjEsik,"RİSK","KÂRLI")))</f>
        <v/>
      </c>
      <c r="J704" s="122" t="n"/>
    </row>
    <row r="705" ht="15" customHeight="1" s="76">
      <c r="A705" s="122" t="n"/>
      <c r="B705" s="122" t="n"/>
      <c r="C705" s="123" t="n"/>
      <c r="D705" s="123" t="n"/>
      <c r="E705" s="124" t="n"/>
      <c r="F705" s="119">
        <f>$C705-$D705</f>
        <v/>
      </c>
      <c r="G705" s="120">
        <f>IF($C705=0,0,$F705/$C705)</f>
        <v/>
      </c>
      <c r="H705" s="119">
        <f>IF($E705=0,0,$F705/$E705)</f>
        <v/>
      </c>
      <c r="I705" s="121">
        <f>IF($B705="","",IF($F705&lt;0,"ZARAR",IF($G705&lt;IsMarjEsik,"RİSK","KÂRLI")))</f>
        <v/>
      </c>
      <c r="J705" s="122" t="n"/>
    </row>
    <row r="706" ht="15" customHeight="1" s="76">
      <c r="A706" s="122" t="n"/>
      <c r="B706" s="122" t="n"/>
      <c r="C706" s="123" t="n"/>
      <c r="D706" s="123" t="n"/>
      <c r="E706" s="124" t="n"/>
      <c r="F706" s="119">
        <f>$C706-$D706</f>
        <v/>
      </c>
      <c r="G706" s="120">
        <f>IF($C706=0,0,$F706/$C706)</f>
        <v/>
      </c>
      <c r="H706" s="119">
        <f>IF($E706=0,0,$F706/$E706)</f>
        <v/>
      </c>
      <c r="I706" s="121">
        <f>IF($B706="","",IF($F706&lt;0,"ZARAR",IF($G706&lt;IsMarjEsik,"RİSK","KÂRLI")))</f>
        <v/>
      </c>
      <c r="J706" s="122" t="n"/>
    </row>
    <row r="707" ht="15" customHeight="1" s="76">
      <c r="A707" s="122" t="n"/>
      <c r="B707" s="122" t="n"/>
      <c r="C707" s="123" t="n"/>
      <c r="D707" s="123" t="n"/>
      <c r="E707" s="124" t="n"/>
      <c r="F707" s="119">
        <f>$C707-$D707</f>
        <v/>
      </c>
      <c r="G707" s="120">
        <f>IF($C707=0,0,$F707/$C707)</f>
        <v/>
      </c>
      <c r="H707" s="119">
        <f>IF($E707=0,0,$F707/$E707)</f>
        <v/>
      </c>
      <c r="I707" s="121">
        <f>IF($B707="","",IF($F707&lt;0,"ZARAR",IF($G707&lt;IsMarjEsik,"RİSK","KÂRLI")))</f>
        <v/>
      </c>
      <c r="J707" s="122" t="n"/>
    </row>
    <row r="708" ht="15" customHeight="1" s="76">
      <c r="A708" s="122" t="n"/>
      <c r="B708" s="122" t="n"/>
      <c r="C708" s="123" t="n"/>
      <c r="D708" s="123" t="n"/>
      <c r="E708" s="124" t="n"/>
      <c r="F708" s="119">
        <f>$C708-$D708</f>
        <v/>
      </c>
      <c r="G708" s="120">
        <f>IF($C708=0,0,$F708/$C708)</f>
        <v/>
      </c>
      <c r="H708" s="119">
        <f>IF($E708=0,0,$F708/$E708)</f>
        <v/>
      </c>
      <c r="I708" s="121">
        <f>IF($B708="","",IF($F708&lt;0,"ZARAR",IF($G708&lt;IsMarjEsik,"RİSK","KÂRLI")))</f>
        <v/>
      </c>
      <c r="J708" s="122" t="n"/>
    </row>
    <row r="709" ht="15" customHeight="1" s="76">
      <c r="A709" s="122" t="n"/>
      <c r="B709" s="122" t="n"/>
      <c r="C709" s="123" t="n"/>
      <c r="D709" s="123" t="n"/>
      <c r="E709" s="124" t="n"/>
      <c r="F709" s="119">
        <f>$C709-$D709</f>
        <v/>
      </c>
      <c r="G709" s="120">
        <f>IF($C709=0,0,$F709/$C709)</f>
        <v/>
      </c>
      <c r="H709" s="119">
        <f>IF($E709=0,0,$F709/$E709)</f>
        <v/>
      </c>
      <c r="I709" s="121">
        <f>IF($B709="","",IF($F709&lt;0,"ZARAR",IF($G709&lt;IsMarjEsik,"RİSK","KÂRLI")))</f>
        <v/>
      </c>
      <c r="J709" s="122" t="n"/>
    </row>
    <row r="710" ht="15" customHeight="1" s="76">
      <c r="A710" s="122" t="n"/>
      <c r="B710" s="122" t="n"/>
      <c r="C710" s="123" t="n"/>
      <c r="D710" s="123" t="n"/>
      <c r="E710" s="124" t="n"/>
      <c r="F710" s="119">
        <f>$C710-$D710</f>
        <v/>
      </c>
      <c r="G710" s="120">
        <f>IF($C710=0,0,$F710/$C710)</f>
        <v/>
      </c>
      <c r="H710" s="119">
        <f>IF($E710=0,0,$F710/$E710)</f>
        <v/>
      </c>
      <c r="I710" s="121">
        <f>IF($B710="","",IF($F710&lt;0,"ZARAR",IF($G710&lt;IsMarjEsik,"RİSK","KÂRLI")))</f>
        <v/>
      </c>
      <c r="J710" s="122" t="n"/>
    </row>
    <row r="711" ht="15" customHeight="1" s="76">
      <c r="A711" s="122" t="n"/>
      <c r="B711" s="122" t="n"/>
      <c r="C711" s="123" t="n"/>
      <c r="D711" s="123" t="n"/>
      <c r="E711" s="124" t="n"/>
      <c r="F711" s="119">
        <f>$C711-$D711</f>
        <v/>
      </c>
      <c r="G711" s="120">
        <f>IF($C711=0,0,$F711/$C711)</f>
        <v/>
      </c>
      <c r="H711" s="119">
        <f>IF($E711=0,0,$F711/$E711)</f>
        <v/>
      </c>
      <c r="I711" s="121">
        <f>IF($B711="","",IF($F711&lt;0,"ZARAR",IF($G711&lt;IsMarjEsik,"RİSK","KÂRLI")))</f>
        <v/>
      </c>
      <c r="J711" s="122" t="n"/>
    </row>
    <row r="712" ht="15" customHeight="1" s="76">
      <c r="A712" s="122" t="n"/>
      <c r="B712" s="122" t="n"/>
      <c r="C712" s="123" t="n"/>
      <c r="D712" s="123" t="n"/>
      <c r="E712" s="124" t="n"/>
      <c r="F712" s="119">
        <f>$C712-$D712</f>
        <v/>
      </c>
      <c r="G712" s="120">
        <f>IF($C712=0,0,$F712/$C712)</f>
        <v/>
      </c>
      <c r="H712" s="119">
        <f>IF($E712=0,0,$F712/$E712)</f>
        <v/>
      </c>
      <c r="I712" s="121">
        <f>IF($B712="","",IF($F712&lt;0,"ZARAR",IF($G712&lt;IsMarjEsik,"RİSK","KÂRLI")))</f>
        <v/>
      </c>
      <c r="J712" s="122" t="n"/>
    </row>
    <row r="713" ht="15" customHeight="1" s="76">
      <c r="A713" s="122" t="n"/>
      <c r="B713" s="122" t="n"/>
      <c r="C713" s="123" t="n"/>
      <c r="D713" s="123" t="n"/>
      <c r="E713" s="124" t="n"/>
      <c r="F713" s="119">
        <f>$C713-$D713</f>
        <v/>
      </c>
      <c r="G713" s="120">
        <f>IF($C713=0,0,$F713/$C713)</f>
        <v/>
      </c>
      <c r="H713" s="119">
        <f>IF($E713=0,0,$F713/$E713)</f>
        <v/>
      </c>
      <c r="I713" s="121">
        <f>IF($B713="","",IF($F713&lt;0,"ZARAR",IF($G713&lt;IsMarjEsik,"RİSK","KÂRLI")))</f>
        <v/>
      </c>
      <c r="J713" s="122" t="n"/>
    </row>
    <row r="714" ht="15" customHeight="1" s="76">
      <c r="A714" s="122" t="n"/>
      <c r="B714" s="122" t="n"/>
      <c r="C714" s="123" t="n"/>
      <c r="D714" s="123" t="n"/>
      <c r="E714" s="124" t="n"/>
      <c r="F714" s="119">
        <f>$C714-$D714</f>
        <v/>
      </c>
      <c r="G714" s="120">
        <f>IF($C714=0,0,$F714/$C714)</f>
        <v/>
      </c>
      <c r="H714" s="119">
        <f>IF($E714=0,0,$F714/$E714)</f>
        <v/>
      </c>
      <c r="I714" s="121">
        <f>IF($B714="","",IF($F714&lt;0,"ZARAR",IF($G714&lt;IsMarjEsik,"RİSK","KÂRLI")))</f>
        <v/>
      </c>
      <c r="J714" s="122" t="n"/>
    </row>
    <row r="715" ht="15" customHeight="1" s="76">
      <c r="A715" s="122" t="n"/>
      <c r="B715" s="122" t="n"/>
      <c r="C715" s="123" t="n"/>
      <c r="D715" s="123" t="n"/>
      <c r="E715" s="124" t="n"/>
      <c r="F715" s="119">
        <f>$C715-$D715</f>
        <v/>
      </c>
      <c r="G715" s="120">
        <f>IF($C715=0,0,$F715/$C715)</f>
        <v/>
      </c>
      <c r="H715" s="119">
        <f>IF($E715=0,0,$F715/$E715)</f>
        <v/>
      </c>
      <c r="I715" s="121">
        <f>IF($B715="","",IF($F715&lt;0,"ZARAR",IF($G715&lt;IsMarjEsik,"RİSK","KÂRLI")))</f>
        <v/>
      </c>
      <c r="J715" s="122" t="n"/>
    </row>
    <row r="716" ht="15" customHeight="1" s="76">
      <c r="A716" s="122" t="n"/>
      <c r="B716" s="122" t="n"/>
      <c r="C716" s="123" t="n"/>
      <c r="D716" s="123" t="n"/>
      <c r="E716" s="124" t="n"/>
      <c r="F716" s="119">
        <f>$C716-$D716</f>
        <v/>
      </c>
      <c r="G716" s="120">
        <f>IF($C716=0,0,$F716/$C716)</f>
        <v/>
      </c>
      <c r="H716" s="119">
        <f>IF($E716=0,0,$F716/$E716)</f>
        <v/>
      </c>
      <c r="I716" s="121">
        <f>IF($B716="","",IF($F716&lt;0,"ZARAR",IF($G716&lt;IsMarjEsik,"RİSK","KÂRLI")))</f>
        <v/>
      </c>
      <c r="J716" s="122" t="n"/>
    </row>
    <row r="717" ht="15" customHeight="1" s="76">
      <c r="A717" s="122" t="n"/>
      <c r="B717" s="122" t="n"/>
      <c r="C717" s="123" t="n"/>
      <c r="D717" s="123" t="n"/>
      <c r="E717" s="124" t="n"/>
      <c r="F717" s="119">
        <f>$C717-$D717</f>
        <v/>
      </c>
      <c r="G717" s="120">
        <f>IF($C717=0,0,$F717/$C717)</f>
        <v/>
      </c>
      <c r="H717" s="119">
        <f>IF($E717=0,0,$F717/$E717)</f>
        <v/>
      </c>
      <c r="I717" s="121">
        <f>IF($B717="","",IF($F717&lt;0,"ZARAR",IF($G717&lt;IsMarjEsik,"RİSK","KÂRLI")))</f>
        <v/>
      </c>
      <c r="J717" s="122" t="n"/>
    </row>
    <row r="718" ht="15" customHeight="1" s="76">
      <c r="A718" s="122" t="n"/>
      <c r="B718" s="122" t="n"/>
      <c r="C718" s="123" t="n"/>
      <c r="D718" s="123" t="n"/>
      <c r="E718" s="124" t="n"/>
      <c r="F718" s="119">
        <f>$C718-$D718</f>
        <v/>
      </c>
      <c r="G718" s="120">
        <f>IF($C718=0,0,$F718/$C718)</f>
        <v/>
      </c>
      <c r="H718" s="119">
        <f>IF($E718=0,0,$F718/$E718)</f>
        <v/>
      </c>
      <c r="I718" s="121">
        <f>IF($B718="","",IF($F718&lt;0,"ZARAR",IF($G718&lt;IsMarjEsik,"RİSK","KÂRLI")))</f>
        <v/>
      </c>
      <c r="J718" s="122" t="n"/>
    </row>
    <row r="719" ht="15" customHeight="1" s="76">
      <c r="A719" s="122" t="n"/>
      <c r="B719" s="122" t="n"/>
      <c r="C719" s="123" t="n"/>
      <c r="D719" s="123" t="n"/>
      <c r="E719" s="124" t="n"/>
      <c r="F719" s="119">
        <f>$C719-$D719</f>
        <v/>
      </c>
      <c r="G719" s="120">
        <f>IF($C719=0,0,$F719/$C719)</f>
        <v/>
      </c>
      <c r="H719" s="119">
        <f>IF($E719=0,0,$F719/$E719)</f>
        <v/>
      </c>
      <c r="I719" s="121">
        <f>IF($B719="","",IF($F719&lt;0,"ZARAR",IF($G719&lt;IsMarjEsik,"RİSK","KÂRLI")))</f>
        <v/>
      </c>
      <c r="J719" s="122" t="n"/>
    </row>
    <row r="720" ht="15" customHeight="1" s="76">
      <c r="A720" s="122" t="n"/>
      <c r="B720" s="122" t="n"/>
      <c r="C720" s="123" t="n"/>
      <c r="D720" s="123" t="n"/>
      <c r="E720" s="124" t="n"/>
      <c r="F720" s="119">
        <f>$C720-$D720</f>
        <v/>
      </c>
      <c r="G720" s="120">
        <f>IF($C720=0,0,$F720/$C720)</f>
        <v/>
      </c>
      <c r="H720" s="119">
        <f>IF($E720=0,0,$F720/$E720)</f>
        <v/>
      </c>
      <c r="I720" s="121">
        <f>IF($B720="","",IF($F720&lt;0,"ZARAR",IF($G720&lt;IsMarjEsik,"RİSK","KÂRLI")))</f>
        <v/>
      </c>
      <c r="J720" s="122" t="n"/>
    </row>
    <row r="721" ht="15" customHeight="1" s="76">
      <c r="A721" s="122" t="n"/>
      <c r="B721" s="122" t="n"/>
      <c r="C721" s="123" t="n"/>
      <c r="D721" s="123" t="n"/>
      <c r="E721" s="124" t="n"/>
      <c r="F721" s="119">
        <f>$C721-$D721</f>
        <v/>
      </c>
      <c r="G721" s="120">
        <f>IF($C721=0,0,$F721/$C721)</f>
        <v/>
      </c>
      <c r="H721" s="119">
        <f>IF($E721=0,0,$F721/$E721)</f>
        <v/>
      </c>
      <c r="I721" s="121">
        <f>IF($B721="","",IF($F721&lt;0,"ZARAR",IF($G721&lt;IsMarjEsik,"RİSK","KÂRLI")))</f>
        <v/>
      </c>
      <c r="J721" s="122" t="n"/>
    </row>
    <row r="722" ht="15" customHeight="1" s="76">
      <c r="A722" s="122" t="n"/>
      <c r="B722" s="122" t="n"/>
      <c r="C722" s="123" t="n"/>
      <c r="D722" s="123" t="n"/>
      <c r="E722" s="124" t="n"/>
      <c r="F722" s="119">
        <f>$C722-$D722</f>
        <v/>
      </c>
      <c r="G722" s="120">
        <f>IF($C722=0,0,$F722/$C722)</f>
        <v/>
      </c>
      <c r="H722" s="119">
        <f>IF($E722=0,0,$F722/$E722)</f>
        <v/>
      </c>
      <c r="I722" s="121">
        <f>IF($B722="","",IF($F722&lt;0,"ZARAR",IF($G722&lt;IsMarjEsik,"RİSK","KÂRLI")))</f>
        <v/>
      </c>
      <c r="J722" s="122" t="n"/>
    </row>
    <row r="723" ht="15" customHeight="1" s="76">
      <c r="A723" s="122" t="n"/>
      <c r="B723" s="122" t="n"/>
      <c r="C723" s="123" t="n"/>
      <c r="D723" s="123" t="n"/>
      <c r="E723" s="124" t="n"/>
      <c r="F723" s="119">
        <f>$C723-$D723</f>
        <v/>
      </c>
      <c r="G723" s="120">
        <f>IF($C723=0,0,$F723/$C723)</f>
        <v/>
      </c>
      <c r="H723" s="119">
        <f>IF($E723=0,0,$F723/$E723)</f>
        <v/>
      </c>
      <c r="I723" s="121">
        <f>IF($B723="","",IF($F723&lt;0,"ZARAR",IF($G723&lt;IsMarjEsik,"RİSK","KÂRLI")))</f>
        <v/>
      </c>
      <c r="J723" s="122" t="n"/>
    </row>
    <row r="724" ht="15" customHeight="1" s="76">
      <c r="A724" s="122" t="n"/>
      <c r="B724" s="122" t="n"/>
      <c r="C724" s="123" t="n"/>
      <c r="D724" s="123" t="n"/>
      <c r="E724" s="124" t="n"/>
      <c r="F724" s="119">
        <f>$C724-$D724</f>
        <v/>
      </c>
      <c r="G724" s="120">
        <f>IF($C724=0,0,$F724/$C724)</f>
        <v/>
      </c>
      <c r="H724" s="119">
        <f>IF($E724=0,0,$F724/$E724)</f>
        <v/>
      </c>
      <c r="I724" s="121">
        <f>IF($B724="","",IF($F724&lt;0,"ZARAR",IF($G724&lt;IsMarjEsik,"RİSK","KÂRLI")))</f>
        <v/>
      </c>
      <c r="J724" s="122" t="n"/>
    </row>
    <row r="725" ht="15" customHeight="1" s="76">
      <c r="A725" s="122" t="n"/>
      <c r="B725" s="122" t="n"/>
      <c r="C725" s="123" t="n"/>
      <c r="D725" s="123" t="n"/>
      <c r="E725" s="124" t="n"/>
      <c r="F725" s="119">
        <f>$C725-$D725</f>
        <v/>
      </c>
      <c r="G725" s="120">
        <f>IF($C725=0,0,$F725/$C725)</f>
        <v/>
      </c>
      <c r="H725" s="119">
        <f>IF($E725=0,0,$F725/$E725)</f>
        <v/>
      </c>
      <c r="I725" s="121">
        <f>IF($B725="","",IF($F725&lt;0,"ZARAR",IF($G725&lt;IsMarjEsik,"RİSK","KÂRLI")))</f>
        <v/>
      </c>
      <c r="J725" s="122" t="n"/>
    </row>
    <row r="726" ht="15" customHeight="1" s="76">
      <c r="A726" s="122" t="n"/>
      <c r="B726" s="122" t="n"/>
      <c r="C726" s="123" t="n"/>
      <c r="D726" s="123" t="n"/>
      <c r="E726" s="124" t="n"/>
      <c r="F726" s="119">
        <f>$C726-$D726</f>
        <v/>
      </c>
      <c r="G726" s="120">
        <f>IF($C726=0,0,$F726/$C726)</f>
        <v/>
      </c>
      <c r="H726" s="119">
        <f>IF($E726=0,0,$F726/$E726)</f>
        <v/>
      </c>
      <c r="I726" s="121">
        <f>IF($B726="","",IF($F726&lt;0,"ZARAR",IF($G726&lt;IsMarjEsik,"RİSK","KÂRLI")))</f>
        <v/>
      </c>
      <c r="J726" s="122" t="n"/>
    </row>
    <row r="727" ht="15" customHeight="1" s="76">
      <c r="A727" s="122" t="n"/>
      <c r="B727" s="122" t="n"/>
      <c r="C727" s="123" t="n"/>
      <c r="D727" s="123" t="n"/>
      <c r="E727" s="124" t="n"/>
      <c r="F727" s="119">
        <f>$C727-$D727</f>
        <v/>
      </c>
      <c r="G727" s="120">
        <f>IF($C727=0,0,$F727/$C727)</f>
        <v/>
      </c>
      <c r="H727" s="119">
        <f>IF($E727=0,0,$F727/$E727)</f>
        <v/>
      </c>
      <c r="I727" s="121">
        <f>IF($B727="","",IF($F727&lt;0,"ZARAR",IF($G727&lt;IsMarjEsik,"RİSK","KÂRLI")))</f>
        <v/>
      </c>
      <c r="J727" s="122" t="n"/>
    </row>
    <row r="728" ht="15" customHeight="1" s="76">
      <c r="A728" s="122" t="n"/>
      <c r="B728" s="122" t="n"/>
      <c r="C728" s="123" t="n"/>
      <c r="D728" s="123" t="n"/>
      <c r="E728" s="124" t="n"/>
      <c r="F728" s="119">
        <f>$C728-$D728</f>
        <v/>
      </c>
      <c r="G728" s="120">
        <f>IF($C728=0,0,$F728/$C728)</f>
        <v/>
      </c>
      <c r="H728" s="119">
        <f>IF($E728=0,0,$F728/$E728)</f>
        <v/>
      </c>
      <c r="I728" s="121">
        <f>IF($B728="","",IF($F728&lt;0,"ZARAR",IF($G728&lt;IsMarjEsik,"RİSK","KÂRLI")))</f>
        <v/>
      </c>
      <c r="J728" s="122" t="n"/>
    </row>
    <row r="729" ht="15" customHeight="1" s="76">
      <c r="A729" s="122" t="n"/>
      <c r="B729" s="122" t="n"/>
      <c r="C729" s="123" t="n"/>
      <c r="D729" s="123" t="n"/>
      <c r="E729" s="124" t="n"/>
      <c r="F729" s="119">
        <f>$C729-$D729</f>
        <v/>
      </c>
      <c r="G729" s="120">
        <f>IF($C729=0,0,$F729/$C729)</f>
        <v/>
      </c>
      <c r="H729" s="119">
        <f>IF($E729=0,0,$F729/$E729)</f>
        <v/>
      </c>
      <c r="I729" s="121">
        <f>IF($B729="","",IF($F729&lt;0,"ZARAR",IF($G729&lt;IsMarjEsik,"RİSK","KÂRLI")))</f>
        <v/>
      </c>
      <c r="J729" s="122" t="n"/>
    </row>
    <row r="730" ht="15" customHeight="1" s="76">
      <c r="A730" s="122" t="n"/>
      <c r="B730" s="122" t="n"/>
      <c r="C730" s="123" t="n"/>
      <c r="D730" s="123" t="n"/>
      <c r="E730" s="124" t="n"/>
      <c r="F730" s="119">
        <f>$C730-$D730</f>
        <v/>
      </c>
      <c r="G730" s="120">
        <f>IF($C730=0,0,$F730/$C730)</f>
        <v/>
      </c>
      <c r="H730" s="119">
        <f>IF($E730=0,0,$F730/$E730)</f>
        <v/>
      </c>
      <c r="I730" s="121">
        <f>IF($B730="","",IF($F730&lt;0,"ZARAR",IF($G730&lt;IsMarjEsik,"RİSK","KÂRLI")))</f>
        <v/>
      </c>
      <c r="J730" s="122" t="n"/>
    </row>
    <row r="731" ht="15" customHeight="1" s="76">
      <c r="A731" s="122" t="n"/>
      <c r="B731" s="122" t="n"/>
      <c r="C731" s="123" t="n"/>
      <c r="D731" s="123" t="n"/>
      <c r="E731" s="124" t="n"/>
      <c r="F731" s="119">
        <f>$C731-$D731</f>
        <v/>
      </c>
      <c r="G731" s="120">
        <f>IF($C731=0,0,$F731/$C731)</f>
        <v/>
      </c>
      <c r="H731" s="119">
        <f>IF($E731=0,0,$F731/$E731)</f>
        <v/>
      </c>
      <c r="I731" s="121">
        <f>IF($B731="","",IF($F731&lt;0,"ZARAR",IF($G731&lt;IsMarjEsik,"RİSK","KÂRLI")))</f>
        <v/>
      </c>
      <c r="J731" s="122" t="n"/>
    </row>
    <row r="732" ht="15" customHeight="1" s="76">
      <c r="A732" s="122" t="n"/>
      <c r="B732" s="122" t="n"/>
      <c r="C732" s="123" t="n"/>
      <c r="D732" s="123" t="n"/>
      <c r="E732" s="124" t="n"/>
      <c r="F732" s="119">
        <f>$C732-$D732</f>
        <v/>
      </c>
      <c r="G732" s="120">
        <f>IF($C732=0,0,$F732/$C732)</f>
        <v/>
      </c>
      <c r="H732" s="119">
        <f>IF($E732=0,0,$F732/$E732)</f>
        <v/>
      </c>
      <c r="I732" s="121">
        <f>IF($B732="","",IF($F732&lt;0,"ZARAR",IF($G732&lt;IsMarjEsik,"RİSK","KÂRLI")))</f>
        <v/>
      </c>
      <c r="J732" s="122" t="n"/>
    </row>
    <row r="733" ht="15" customHeight="1" s="76">
      <c r="A733" s="122" t="n"/>
      <c r="B733" s="122" t="n"/>
      <c r="C733" s="123" t="n"/>
      <c r="D733" s="123" t="n"/>
      <c r="E733" s="124" t="n"/>
      <c r="F733" s="119">
        <f>$C733-$D733</f>
        <v/>
      </c>
      <c r="G733" s="120">
        <f>IF($C733=0,0,$F733/$C733)</f>
        <v/>
      </c>
      <c r="H733" s="119">
        <f>IF($E733=0,0,$F733/$E733)</f>
        <v/>
      </c>
      <c r="I733" s="121">
        <f>IF($B733="","",IF($F733&lt;0,"ZARAR",IF($G733&lt;IsMarjEsik,"RİSK","KÂRLI")))</f>
        <v/>
      </c>
      <c r="J733" s="122" t="n"/>
    </row>
    <row r="734" ht="15" customHeight="1" s="76">
      <c r="A734" s="122" t="n"/>
      <c r="B734" s="122" t="n"/>
      <c r="C734" s="123" t="n"/>
      <c r="D734" s="123" t="n"/>
      <c r="E734" s="124" t="n"/>
      <c r="F734" s="119">
        <f>$C734-$D734</f>
        <v/>
      </c>
      <c r="G734" s="120">
        <f>IF($C734=0,0,$F734/$C734)</f>
        <v/>
      </c>
      <c r="H734" s="119">
        <f>IF($E734=0,0,$F734/$E734)</f>
        <v/>
      </c>
      <c r="I734" s="121">
        <f>IF($B734="","",IF($F734&lt;0,"ZARAR",IF($G734&lt;IsMarjEsik,"RİSK","KÂRLI")))</f>
        <v/>
      </c>
      <c r="J734" s="122" t="n"/>
    </row>
    <row r="735" ht="15" customHeight="1" s="76">
      <c r="A735" s="122" t="n"/>
      <c r="B735" s="122" t="n"/>
      <c r="C735" s="123" t="n"/>
      <c r="D735" s="123" t="n"/>
      <c r="E735" s="124" t="n"/>
      <c r="F735" s="119">
        <f>$C735-$D735</f>
        <v/>
      </c>
      <c r="G735" s="120">
        <f>IF($C735=0,0,$F735/$C735)</f>
        <v/>
      </c>
      <c r="H735" s="119">
        <f>IF($E735=0,0,$F735/$E735)</f>
        <v/>
      </c>
      <c r="I735" s="121">
        <f>IF($B735="","",IF($F735&lt;0,"ZARAR",IF($G735&lt;IsMarjEsik,"RİSK","KÂRLI")))</f>
        <v/>
      </c>
      <c r="J735" s="122" t="n"/>
    </row>
    <row r="736" ht="15" customHeight="1" s="76">
      <c r="A736" s="122" t="n"/>
      <c r="B736" s="122" t="n"/>
      <c r="C736" s="123" t="n"/>
      <c r="D736" s="123" t="n"/>
      <c r="E736" s="124" t="n"/>
      <c r="F736" s="119">
        <f>$C736-$D736</f>
        <v/>
      </c>
      <c r="G736" s="120">
        <f>IF($C736=0,0,$F736/$C736)</f>
        <v/>
      </c>
      <c r="H736" s="119">
        <f>IF($E736=0,0,$F736/$E736)</f>
        <v/>
      </c>
      <c r="I736" s="121">
        <f>IF($B736="","",IF($F736&lt;0,"ZARAR",IF($G736&lt;IsMarjEsik,"RİSK","KÂRLI")))</f>
        <v/>
      </c>
      <c r="J736" s="122" t="n"/>
    </row>
    <row r="737" ht="15" customHeight="1" s="76">
      <c r="A737" s="122" t="n"/>
      <c r="B737" s="122" t="n"/>
      <c r="C737" s="123" t="n"/>
      <c r="D737" s="123" t="n"/>
      <c r="E737" s="124" t="n"/>
      <c r="F737" s="119">
        <f>$C737-$D737</f>
        <v/>
      </c>
      <c r="G737" s="120">
        <f>IF($C737=0,0,$F737/$C737)</f>
        <v/>
      </c>
      <c r="H737" s="119">
        <f>IF($E737=0,0,$F737/$E737)</f>
        <v/>
      </c>
      <c r="I737" s="121">
        <f>IF($B737="","",IF($F737&lt;0,"ZARAR",IF($G737&lt;IsMarjEsik,"RİSK","KÂRLI")))</f>
        <v/>
      </c>
      <c r="J737" s="122" t="n"/>
    </row>
    <row r="738" ht="15" customHeight="1" s="76">
      <c r="A738" s="122" t="n"/>
      <c r="B738" s="122" t="n"/>
      <c r="C738" s="123" t="n"/>
      <c r="D738" s="123" t="n"/>
      <c r="E738" s="124" t="n"/>
      <c r="F738" s="119">
        <f>$C738-$D738</f>
        <v/>
      </c>
      <c r="G738" s="120">
        <f>IF($C738=0,0,$F738/$C738)</f>
        <v/>
      </c>
      <c r="H738" s="119">
        <f>IF($E738=0,0,$F738/$E738)</f>
        <v/>
      </c>
      <c r="I738" s="121">
        <f>IF($B738="","",IF($F738&lt;0,"ZARAR",IF($G738&lt;IsMarjEsik,"RİSK","KÂRLI")))</f>
        <v/>
      </c>
      <c r="J738" s="122" t="n"/>
    </row>
    <row r="739" ht="15" customHeight="1" s="76">
      <c r="A739" s="122" t="n"/>
      <c r="B739" s="122" t="n"/>
      <c r="C739" s="123" t="n"/>
      <c r="D739" s="123" t="n"/>
      <c r="E739" s="124" t="n"/>
      <c r="F739" s="119">
        <f>$C739-$D739</f>
        <v/>
      </c>
      <c r="G739" s="120">
        <f>IF($C739=0,0,$F739/$C739)</f>
        <v/>
      </c>
      <c r="H739" s="119">
        <f>IF($E739=0,0,$F739/$E739)</f>
        <v/>
      </c>
      <c r="I739" s="121">
        <f>IF($B739="","",IF($F739&lt;0,"ZARAR",IF($G739&lt;IsMarjEsik,"RİSK","KÂRLI")))</f>
        <v/>
      </c>
      <c r="J739" s="122" t="n"/>
    </row>
    <row r="740" ht="15" customHeight="1" s="76">
      <c r="A740" s="122" t="n"/>
      <c r="B740" s="122" t="n"/>
      <c r="C740" s="123" t="n"/>
      <c r="D740" s="123" t="n"/>
      <c r="E740" s="124" t="n"/>
      <c r="F740" s="119">
        <f>$C740-$D740</f>
        <v/>
      </c>
      <c r="G740" s="120">
        <f>IF($C740=0,0,$F740/$C740)</f>
        <v/>
      </c>
      <c r="H740" s="119">
        <f>IF($E740=0,0,$F740/$E740)</f>
        <v/>
      </c>
      <c r="I740" s="121">
        <f>IF($B740="","",IF($F740&lt;0,"ZARAR",IF($G740&lt;IsMarjEsik,"RİSK","KÂRLI")))</f>
        <v/>
      </c>
      <c r="J740" s="122" t="n"/>
    </row>
    <row r="741" ht="15" customHeight="1" s="76">
      <c r="A741" s="122" t="n"/>
      <c r="B741" s="122" t="n"/>
      <c r="C741" s="123" t="n"/>
      <c r="D741" s="123" t="n"/>
      <c r="E741" s="124" t="n"/>
      <c r="F741" s="119">
        <f>$C741-$D741</f>
        <v/>
      </c>
      <c r="G741" s="120">
        <f>IF($C741=0,0,$F741/$C741)</f>
        <v/>
      </c>
      <c r="H741" s="119">
        <f>IF($E741=0,0,$F741/$E741)</f>
        <v/>
      </c>
      <c r="I741" s="121">
        <f>IF($B741="","",IF($F741&lt;0,"ZARAR",IF($G741&lt;IsMarjEsik,"RİSK","KÂRLI")))</f>
        <v/>
      </c>
      <c r="J741" s="122" t="n"/>
    </row>
    <row r="742" ht="15" customHeight="1" s="76">
      <c r="A742" s="122" t="n"/>
      <c r="B742" s="122" t="n"/>
      <c r="C742" s="123" t="n"/>
      <c r="D742" s="123" t="n"/>
      <c r="E742" s="124" t="n"/>
      <c r="F742" s="119">
        <f>$C742-$D742</f>
        <v/>
      </c>
      <c r="G742" s="120">
        <f>IF($C742=0,0,$F742/$C742)</f>
        <v/>
      </c>
      <c r="H742" s="119">
        <f>IF($E742=0,0,$F742/$E742)</f>
        <v/>
      </c>
      <c r="I742" s="121">
        <f>IF($B742="","",IF($F742&lt;0,"ZARAR",IF($G742&lt;IsMarjEsik,"RİSK","KÂRLI")))</f>
        <v/>
      </c>
      <c r="J742" s="122" t="n"/>
    </row>
    <row r="743" ht="15" customHeight="1" s="76">
      <c r="A743" s="122" t="n"/>
      <c r="B743" s="122" t="n"/>
      <c r="C743" s="123" t="n"/>
      <c r="D743" s="123" t="n"/>
      <c r="E743" s="124" t="n"/>
      <c r="F743" s="119">
        <f>$C743-$D743</f>
        <v/>
      </c>
      <c r="G743" s="120">
        <f>IF($C743=0,0,$F743/$C743)</f>
        <v/>
      </c>
      <c r="H743" s="119">
        <f>IF($E743=0,0,$F743/$E743)</f>
        <v/>
      </c>
      <c r="I743" s="121">
        <f>IF($B743="","",IF($F743&lt;0,"ZARAR",IF($G743&lt;IsMarjEsik,"RİSK","KÂRLI")))</f>
        <v/>
      </c>
      <c r="J743" s="122" t="n"/>
    </row>
    <row r="744" ht="15" customHeight="1" s="76">
      <c r="A744" s="122" t="n"/>
      <c r="B744" s="122" t="n"/>
      <c r="C744" s="123" t="n"/>
      <c r="D744" s="123" t="n"/>
      <c r="E744" s="124" t="n"/>
      <c r="F744" s="119">
        <f>$C744-$D744</f>
        <v/>
      </c>
      <c r="G744" s="120">
        <f>IF($C744=0,0,$F744/$C744)</f>
        <v/>
      </c>
      <c r="H744" s="119">
        <f>IF($E744=0,0,$F744/$E744)</f>
        <v/>
      </c>
      <c r="I744" s="121">
        <f>IF($B744="","",IF($F744&lt;0,"ZARAR",IF($G744&lt;IsMarjEsik,"RİSK","KÂRLI")))</f>
        <v/>
      </c>
      <c r="J744" s="122" t="n"/>
    </row>
    <row r="745" ht="15" customHeight="1" s="76">
      <c r="A745" s="122" t="n"/>
      <c r="B745" s="122" t="n"/>
      <c r="C745" s="123" t="n"/>
      <c r="D745" s="123" t="n"/>
      <c r="E745" s="124" t="n"/>
      <c r="F745" s="119">
        <f>$C745-$D745</f>
        <v/>
      </c>
      <c r="G745" s="120">
        <f>IF($C745=0,0,$F745/$C745)</f>
        <v/>
      </c>
      <c r="H745" s="119">
        <f>IF($E745=0,0,$F745/$E745)</f>
        <v/>
      </c>
      <c r="I745" s="121">
        <f>IF($B745="","",IF($F745&lt;0,"ZARAR",IF($G745&lt;IsMarjEsik,"RİSK","KÂRLI")))</f>
        <v/>
      </c>
      <c r="J745" s="122" t="n"/>
    </row>
    <row r="746" ht="15" customHeight="1" s="76">
      <c r="A746" s="122" t="n"/>
      <c r="B746" s="122" t="n"/>
      <c r="C746" s="123" t="n"/>
      <c r="D746" s="123" t="n"/>
      <c r="E746" s="124" t="n"/>
      <c r="F746" s="119">
        <f>$C746-$D746</f>
        <v/>
      </c>
      <c r="G746" s="120">
        <f>IF($C746=0,0,$F746/$C746)</f>
        <v/>
      </c>
      <c r="H746" s="119">
        <f>IF($E746=0,0,$F746/$E746)</f>
        <v/>
      </c>
      <c r="I746" s="121">
        <f>IF($B746="","",IF($F746&lt;0,"ZARAR",IF($G746&lt;IsMarjEsik,"RİSK","KÂRLI")))</f>
        <v/>
      </c>
      <c r="J746" s="122" t="n"/>
    </row>
    <row r="747" ht="15" customHeight="1" s="76">
      <c r="A747" s="122" t="n"/>
      <c r="B747" s="122" t="n"/>
      <c r="C747" s="123" t="n"/>
      <c r="D747" s="123" t="n"/>
      <c r="E747" s="124" t="n"/>
      <c r="F747" s="119">
        <f>$C747-$D747</f>
        <v/>
      </c>
      <c r="G747" s="120">
        <f>IF($C747=0,0,$F747/$C747)</f>
        <v/>
      </c>
      <c r="H747" s="119">
        <f>IF($E747=0,0,$F747/$E747)</f>
        <v/>
      </c>
      <c r="I747" s="121">
        <f>IF($B747="","",IF($F747&lt;0,"ZARAR",IF($G747&lt;IsMarjEsik,"RİSK","KÂRLI")))</f>
        <v/>
      </c>
      <c r="J747" s="122" t="n"/>
    </row>
    <row r="748" ht="15" customHeight="1" s="76">
      <c r="A748" s="122" t="n"/>
      <c r="B748" s="122" t="n"/>
      <c r="C748" s="123" t="n"/>
      <c r="D748" s="123" t="n"/>
      <c r="E748" s="124" t="n"/>
      <c r="F748" s="119">
        <f>$C748-$D748</f>
        <v/>
      </c>
      <c r="G748" s="120">
        <f>IF($C748=0,0,$F748/$C748)</f>
        <v/>
      </c>
      <c r="H748" s="119">
        <f>IF($E748=0,0,$F748/$E748)</f>
        <v/>
      </c>
      <c r="I748" s="121">
        <f>IF($B748="","",IF($F748&lt;0,"ZARAR",IF($G748&lt;IsMarjEsik,"RİSK","KÂRLI")))</f>
        <v/>
      </c>
      <c r="J748" s="122" t="n"/>
    </row>
    <row r="749" ht="15" customHeight="1" s="76">
      <c r="A749" s="122" t="n"/>
      <c r="B749" s="122" t="n"/>
      <c r="C749" s="123" t="n"/>
      <c r="D749" s="123" t="n"/>
      <c r="E749" s="124" t="n"/>
      <c r="F749" s="119">
        <f>$C749-$D749</f>
        <v/>
      </c>
      <c r="G749" s="120">
        <f>IF($C749=0,0,$F749/$C749)</f>
        <v/>
      </c>
      <c r="H749" s="119">
        <f>IF($E749=0,0,$F749/$E749)</f>
        <v/>
      </c>
      <c r="I749" s="121">
        <f>IF($B749="","",IF($F749&lt;0,"ZARAR",IF($G749&lt;IsMarjEsik,"RİSK","KÂRLI")))</f>
        <v/>
      </c>
      <c r="J749" s="122" t="n"/>
    </row>
    <row r="750" ht="15" customHeight="1" s="76">
      <c r="A750" s="122" t="n"/>
      <c r="B750" s="122" t="n"/>
      <c r="C750" s="123" t="n"/>
      <c r="D750" s="123" t="n"/>
      <c r="E750" s="124" t="n"/>
      <c r="F750" s="119">
        <f>$C750-$D750</f>
        <v/>
      </c>
      <c r="G750" s="120">
        <f>IF($C750=0,0,$F750/$C750)</f>
        <v/>
      </c>
      <c r="H750" s="119">
        <f>IF($E750=0,0,$F750/$E750)</f>
        <v/>
      </c>
      <c r="I750" s="121">
        <f>IF($B750="","",IF($F750&lt;0,"ZARAR",IF($G750&lt;IsMarjEsik,"RİSK","KÂRLI")))</f>
        <v/>
      </c>
      <c r="J750" s="122" t="n"/>
    </row>
    <row r="751" ht="15" customHeight="1" s="76">
      <c r="A751" s="122" t="n"/>
      <c r="B751" s="122" t="n"/>
      <c r="C751" s="123" t="n"/>
      <c r="D751" s="123" t="n"/>
      <c r="E751" s="124" t="n"/>
      <c r="F751" s="119">
        <f>$C751-$D751</f>
        <v/>
      </c>
      <c r="G751" s="120">
        <f>IF($C751=0,0,$F751/$C751)</f>
        <v/>
      </c>
      <c r="H751" s="119">
        <f>IF($E751=0,0,$F751/$E751)</f>
        <v/>
      </c>
      <c r="I751" s="121">
        <f>IF($B751="","",IF($F751&lt;0,"ZARAR",IF($G751&lt;IsMarjEsik,"RİSK","KÂRLI")))</f>
        <v/>
      </c>
      <c r="J751" s="122" t="n"/>
    </row>
    <row r="752" ht="15" customHeight="1" s="76">
      <c r="A752" s="122" t="n"/>
      <c r="B752" s="122" t="n"/>
      <c r="C752" s="123" t="n"/>
      <c r="D752" s="123" t="n"/>
      <c r="E752" s="124" t="n"/>
      <c r="F752" s="119">
        <f>$C752-$D752</f>
        <v/>
      </c>
      <c r="G752" s="120">
        <f>IF($C752=0,0,$F752/$C752)</f>
        <v/>
      </c>
      <c r="H752" s="119">
        <f>IF($E752=0,0,$F752/$E752)</f>
        <v/>
      </c>
      <c r="I752" s="121">
        <f>IF($B752="","",IF($F752&lt;0,"ZARAR",IF($G752&lt;IsMarjEsik,"RİSK","KÂRLI")))</f>
        <v/>
      </c>
      <c r="J752" s="122" t="n"/>
    </row>
    <row r="753" ht="15" customHeight="1" s="76">
      <c r="A753" s="122" t="n"/>
      <c r="B753" s="122" t="n"/>
      <c r="C753" s="123" t="n"/>
      <c r="D753" s="123" t="n"/>
      <c r="E753" s="124" t="n"/>
      <c r="F753" s="119">
        <f>$C753-$D753</f>
        <v/>
      </c>
      <c r="G753" s="120">
        <f>IF($C753=0,0,$F753/$C753)</f>
        <v/>
      </c>
      <c r="H753" s="119">
        <f>IF($E753=0,0,$F753/$E753)</f>
        <v/>
      </c>
      <c r="I753" s="121">
        <f>IF($B753="","",IF($F753&lt;0,"ZARAR",IF($G753&lt;IsMarjEsik,"RİSK","KÂRLI")))</f>
        <v/>
      </c>
      <c r="J753" s="122" t="n"/>
    </row>
    <row r="754" ht="15" customHeight="1" s="76">
      <c r="A754" s="122" t="n"/>
      <c r="B754" s="122" t="n"/>
      <c r="C754" s="123" t="n"/>
      <c r="D754" s="123" t="n"/>
      <c r="E754" s="124" t="n"/>
      <c r="F754" s="119">
        <f>$C754-$D754</f>
        <v/>
      </c>
      <c r="G754" s="120">
        <f>IF($C754=0,0,$F754/$C754)</f>
        <v/>
      </c>
      <c r="H754" s="119">
        <f>IF($E754=0,0,$F754/$E754)</f>
        <v/>
      </c>
      <c r="I754" s="121">
        <f>IF($B754="","",IF($F754&lt;0,"ZARAR",IF($G754&lt;IsMarjEsik,"RİSK","KÂRLI")))</f>
        <v/>
      </c>
      <c r="J754" s="122" t="n"/>
    </row>
    <row r="755" ht="15" customHeight="1" s="76">
      <c r="A755" s="122" t="n"/>
      <c r="B755" s="122" t="n"/>
      <c r="C755" s="123" t="n"/>
      <c r="D755" s="123" t="n"/>
      <c r="E755" s="124" t="n"/>
      <c r="F755" s="119">
        <f>$C755-$D755</f>
        <v/>
      </c>
      <c r="G755" s="120">
        <f>IF($C755=0,0,$F755/$C755)</f>
        <v/>
      </c>
      <c r="H755" s="119">
        <f>IF($E755=0,0,$F755/$E755)</f>
        <v/>
      </c>
      <c r="I755" s="121">
        <f>IF($B755="","",IF($F755&lt;0,"ZARAR",IF($G755&lt;IsMarjEsik,"RİSK","KÂRLI")))</f>
        <v/>
      </c>
      <c r="J755" s="122" t="n"/>
    </row>
    <row r="756" ht="15" customHeight="1" s="76">
      <c r="A756" s="122" t="n"/>
      <c r="B756" s="122" t="n"/>
      <c r="C756" s="123" t="n"/>
      <c r="D756" s="123" t="n"/>
      <c r="E756" s="124" t="n"/>
      <c r="F756" s="119">
        <f>$C756-$D756</f>
        <v/>
      </c>
      <c r="G756" s="120">
        <f>IF($C756=0,0,$F756/$C756)</f>
        <v/>
      </c>
      <c r="H756" s="119">
        <f>IF($E756=0,0,$F756/$E756)</f>
        <v/>
      </c>
      <c r="I756" s="121">
        <f>IF($B756="","",IF($F756&lt;0,"ZARAR",IF($G756&lt;IsMarjEsik,"RİSK","KÂRLI")))</f>
        <v/>
      </c>
      <c r="J756" s="122" t="n"/>
    </row>
    <row r="757" ht="15" customHeight="1" s="76">
      <c r="A757" s="122" t="n"/>
      <c r="B757" s="122" t="n"/>
      <c r="C757" s="123" t="n"/>
      <c r="D757" s="123" t="n"/>
      <c r="E757" s="124" t="n"/>
      <c r="F757" s="119">
        <f>$C757-$D757</f>
        <v/>
      </c>
      <c r="G757" s="120">
        <f>IF($C757=0,0,$F757/$C757)</f>
        <v/>
      </c>
      <c r="H757" s="119">
        <f>IF($E757=0,0,$F757/$E757)</f>
        <v/>
      </c>
      <c r="I757" s="121">
        <f>IF($B757="","",IF($F757&lt;0,"ZARAR",IF($G757&lt;IsMarjEsik,"RİSK","KÂRLI")))</f>
        <v/>
      </c>
      <c r="J757" s="122" t="n"/>
    </row>
    <row r="758" ht="15" customHeight="1" s="76">
      <c r="A758" s="122" t="n"/>
      <c r="B758" s="122" t="n"/>
      <c r="C758" s="123" t="n"/>
      <c r="D758" s="123" t="n"/>
      <c r="E758" s="124" t="n"/>
      <c r="F758" s="119">
        <f>$C758-$D758</f>
        <v/>
      </c>
      <c r="G758" s="120">
        <f>IF($C758=0,0,$F758/$C758)</f>
        <v/>
      </c>
      <c r="H758" s="119">
        <f>IF($E758=0,0,$F758/$E758)</f>
        <v/>
      </c>
      <c r="I758" s="121">
        <f>IF($B758="","",IF($F758&lt;0,"ZARAR",IF($G758&lt;IsMarjEsik,"RİSK","KÂRLI")))</f>
        <v/>
      </c>
      <c r="J758" s="122" t="n"/>
    </row>
    <row r="759" ht="15" customHeight="1" s="76">
      <c r="A759" s="122" t="n"/>
      <c r="B759" s="122" t="n"/>
      <c r="C759" s="123" t="n"/>
      <c r="D759" s="123" t="n"/>
      <c r="E759" s="124" t="n"/>
      <c r="F759" s="119">
        <f>$C759-$D759</f>
        <v/>
      </c>
      <c r="G759" s="120">
        <f>IF($C759=0,0,$F759/$C759)</f>
        <v/>
      </c>
      <c r="H759" s="119">
        <f>IF($E759=0,0,$F759/$E759)</f>
        <v/>
      </c>
      <c r="I759" s="121">
        <f>IF($B759="","",IF($F759&lt;0,"ZARAR",IF($G759&lt;IsMarjEsik,"RİSK","KÂRLI")))</f>
        <v/>
      </c>
      <c r="J759" s="122" t="n"/>
    </row>
    <row r="760" ht="15" customHeight="1" s="76">
      <c r="A760" s="122" t="n"/>
      <c r="B760" s="122" t="n"/>
      <c r="C760" s="123" t="n"/>
      <c r="D760" s="123" t="n"/>
      <c r="E760" s="124" t="n"/>
      <c r="F760" s="119">
        <f>$C760-$D760</f>
        <v/>
      </c>
      <c r="G760" s="120">
        <f>IF($C760=0,0,$F760/$C760)</f>
        <v/>
      </c>
      <c r="H760" s="119">
        <f>IF($E760=0,0,$F760/$E760)</f>
        <v/>
      </c>
      <c r="I760" s="121">
        <f>IF($B760="","",IF($F760&lt;0,"ZARAR",IF($G760&lt;IsMarjEsik,"RİSK","KÂRLI")))</f>
        <v/>
      </c>
      <c r="J760" s="122" t="n"/>
    </row>
    <row r="761" ht="15" customHeight="1" s="76">
      <c r="A761" s="122" t="n"/>
      <c r="B761" s="122" t="n"/>
      <c r="C761" s="123" t="n"/>
      <c r="D761" s="123" t="n"/>
      <c r="E761" s="124" t="n"/>
      <c r="F761" s="119">
        <f>$C761-$D761</f>
        <v/>
      </c>
      <c r="G761" s="120">
        <f>IF($C761=0,0,$F761/$C761)</f>
        <v/>
      </c>
      <c r="H761" s="119">
        <f>IF($E761=0,0,$F761/$E761)</f>
        <v/>
      </c>
      <c r="I761" s="121">
        <f>IF($B761="","",IF($F761&lt;0,"ZARAR",IF($G761&lt;IsMarjEsik,"RİSK","KÂRLI")))</f>
        <v/>
      </c>
      <c r="J761" s="122" t="n"/>
    </row>
    <row r="762" ht="15" customHeight="1" s="76">
      <c r="A762" s="122" t="n"/>
      <c r="B762" s="122" t="n"/>
      <c r="C762" s="123" t="n"/>
      <c r="D762" s="123" t="n"/>
      <c r="E762" s="124" t="n"/>
      <c r="F762" s="119">
        <f>$C762-$D762</f>
        <v/>
      </c>
      <c r="G762" s="120">
        <f>IF($C762=0,0,$F762/$C762)</f>
        <v/>
      </c>
      <c r="H762" s="119">
        <f>IF($E762=0,0,$F762/$E762)</f>
        <v/>
      </c>
      <c r="I762" s="121">
        <f>IF($B762="","",IF($F762&lt;0,"ZARAR",IF($G762&lt;IsMarjEsik,"RİSK","KÂRLI")))</f>
        <v/>
      </c>
      <c r="J762" s="122" t="n"/>
    </row>
    <row r="763" ht="15" customHeight="1" s="76">
      <c r="A763" s="122" t="n"/>
      <c r="B763" s="122" t="n"/>
      <c r="C763" s="123" t="n"/>
      <c r="D763" s="123" t="n"/>
      <c r="E763" s="124" t="n"/>
      <c r="F763" s="119">
        <f>$C763-$D763</f>
        <v/>
      </c>
      <c r="G763" s="120">
        <f>IF($C763=0,0,$F763/$C763)</f>
        <v/>
      </c>
      <c r="H763" s="119">
        <f>IF($E763=0,0,$F763/$E763)</f>
        <v/>
      </c>
      <c r="I763" s="121">
        <f>IF($B763="","",IF($F763&lt;0,"ZARAR",IF($G763&lt;IsMarjEsik,"RİSK","KÂRLI")))</f>
        <v/>
      </c>
      <c r="J763" s="122" t="n"/>
    </row>
    <row r="764" ht="15" customHeight="1" s="76">
      <c r="A764" s="122" t="n"/>
      <c r="B764" s="122" t="n"/>
      <c r="C764" s="123" t="n"/>
      <c r="D764" s="123" t="n"/>
      <c r="E764" s="124" t="n"/>
      <c r="F764" s="119">
        <f>$C764-$D764</f>
        <v/>
      </c>
      <c r="G764" s="120">
        <f>IF($C764=0,0,$F764/$C764)</f>
        <v/>
      </c>
      <c r="H764" s="119">
        <f>IF($E764=0,0,$F764/$E764)</f>
        <v/>
      </c>
      <c r="I764" s="121">
        <f>IF($B764="","",IF($F764&lt;0,"ZARAR",IF($G764&lt;IsMarjEsik,"RİSK","KÂRLI")))</f>
        <v/>
      </c>
      <c r="J764" s="122" t="n"/>
    </row>
    <row r="765" ht="15" customHeight="1" s="76">
      <c r="A765" s="122" t="n"/>
      <c r="B765" s="122" t="n"/>
      <c r="C765" s="123" t="n"/>
      <c r="D765" s="123" t="n"/>
      <c r="E765" s="124" t="n"/>
      <c r="F765" s="119">
        <f>$C765-$D765</f>
        <v/>
      </c>
      <c r="G765" s="120">
        <f>IF($C765=0,0,$F765/$C765)</f>
        <v/>
      </c>
      <c r="H765" s="119">
        <f>IF($E765=0,0,$F765/$E765)</f>
        <v/>
      </c>
      <c r="I765" s="121">
        <f>IF($B765="","",IF($F765&lt;0,"ZARAR",IF($G765&lt;IsMarjEsik,"RİSK","KÂRLI")))</f>
        <v/>
      </c>
      <c r="J765" s="122" t="n"/>
    </row>
    <row r="766" ht="15" customHeight="1" s="76">
      <c r="A766" s="122" t="n"/>
      <c r="B766" s="122" t="n"/>
      <c r="C766" s="123" t="n"/>
      <c r="D766" s="123" t="n"/>
      <c r="E766" s="124" t="n"/>
      <c r="F766" s="119">
        <f>$C766-$D766</f>
        <v/>
      </c>
      <c r="G766" s="120">
        <f>IF($C766=0,0,$F766/$C766)</f>
        <v/>
      </c>
      <c r="H766" s="119">
        <f>IF($E766=0,0,$F766/$E766)</f>
        <v/>
      </c>
      <c r="I766" s="121">
        <f>IF($B766="","",IF($F766&lt;0,"ZARAR",IF($G766&lt;IsMarjEsik,"RİSK","KÂRLI")))</f>
        <v/>
      </c>
      <c r="J766" s="122" t="n"/>
    </row>
    <row r="767" ht="15" customHeight="1" s="76">
      <c r="A767" s="122" t="n"/>
      <c r="B767" s="122" t="n"/>
      <c r="C767" s="123" t="n"/>
      <c r="D767" s="123" t="n"/>
      <c r="E767" s="124" t="n"/>
      <c r="F767" s="119">
        <f>$C767-$D767</f>
        <v/>
      </c>
      <c r="G767" s="120">
        <f>IF($C767=0,0,$F767/$C767)</f>
        <v/>
      </c>
      <c r="H767" s="119">
        <f>IF($E767=0,0,$F767/$E767)</f>
        <v/>
      </c>
      <c r="I767" s="121">
        <f>IF($B767="","",IF($F767&lt;0,"ZARAR",IF($G767&lt;IsMarjEsik,"RİSK","KÂRLI")))</f>
        <v/>
      </c>
      <c r="J767" s="122" t="n"/>
    </row>
    <row r="768" ht="15" customHeight="1" s="76">
      <c r="A768" s="122" t="n"/>
      <c r="B768" s="122" t="n"/>
      <c r="C768" s="123" t="n"/>
      <c r="D768" s="123" t="n"/>
      <c r="E768" s="124" t="n"/>
      <c r="F768" s="119">
        <f>$C768-$D768</f>
        <v/>
      </c>
      <c r="G768" s="120">
        <f>IF($C768=0,0,$F768/$C768)</f>
        <v/>
      </c>
      <c r="H768" s="119">
        <f>IF($E768=0,0,$F768/$E768)</f>
        <v/>
      </c>
      <c r="I768" s="121">
        <f>IF($B768="","",IF($F768&lt;0,"ZARAR",IF($G768&lt;IsMarjEsik,"RİSK","KÂRLI")))</f>
        <v/>
      </c>
      <c r="J768" s="122" t="n"/>
    </row>
    <row r="769" ht="15" customHeight="1" s="76">
      <c r="A769" s="122" t="n"/>
      <c r="B769" s="122" t="n"/>
      <c r="C769" s="123" t="n"/>
      <c r="D769" s="123" t="n"/>
      <c r="E769" s="124" t="n"/>
      <c r="F769" s="119">
        <f>$C769-$D769</f>
        <v/>
      </c>
      <c r="G769" s="120">
        <f>IF($C769=0,0,$F769/$C769)</f>
        <v/>
      </c>
      <c r="H769" s="119">
        <f>IF($E769=0,0,$F769/$E769)</f>
        <v/>
      </c>
      <c r="I769" s="121">
        <f>IF($B769="","",IF($F769&lt;0,"ZARAR",IF($G769&lt;IsMarjEsik,"RİSK","KÂRLI")))</f>
        <v/>
      </c>
      <c r="J769" s="122" t="n"/>
    </row>
    <row r="770" ht="15" customHeight="1" s="76">
      <c r="A770" s="122" t="n"/>
      <c r="B770" s="122" t="n"/>
      <c r="C770" s="123" t="n"/>
      <c r="D770" s="123" t="n"/>
      <c r="E770" s="124" t="n"/>
      <c r="F770" s="119">
        <f>$C770-$D770</f>
        <v/>
      </c>
      <c r="G770" s="120">
        <f>IF($C770=0,0,$F770/$C770)</f>
        <v/>
      </c>
      <c r="H770" s="119">
        <f>IF($E770=0,0,$F770/$E770)</f>
        <v/>
      </c>
      <c r="I770" s="121">
        <f>IF($B770="","",IF($F770&lt;0,"ZARAR",IF($G770&lt;IsMarjEsik,"RİSK","KÂRLI")))</f>
        <v/>
      </c>
      <c r="J770" s="122" t="n"/>
    </row>
    <row r="771" ht="15" customHeight="1" s="76">
      <c r="A771" s="122" t="n"/>
      <c r="B771" s="122" t="n"/>
      <c r="C771" s="123" t="n"/>
      <c r="D771" s="123" t="n"/>
      <c r="E771" s="124" t="n"/>
      <c r="F771" s="119">
        <f>$C771-$D771</f>
        <v/>
      </c>
      <c r="G771" s="120">
        <f>IF($C771=0,0,$F771/$C771)</f>
        <v/>
      </c>
      <c r="H771" s="119">
        <f>IF($E771=0,0,$F771/$E771)</f>
        <v/>
      </c>
      <c r="I771" s="121">
        <f>IF($B771="","",IF($F771&lt;0,"ZARAR",IF($G771&lt;IsMarjEsik,"RİSK","KÂRLI")))</f>
        <v/>
      </c>
      <c r="J771" s="122" t="n"/>
    </row>
    <row r="772" ht="15" customHeight="1" s="76">
      <c r="A772" s="122" t="n"/>
      <c r="B772" s="122" t="n"/>
      <c r="C772" s="123" t="n"/>
      <c r="D772" s="123" t="n"/>
      <c r="E772" s="124" t="n"/>
      <c r="F772" s="119">
        <f>$C772-$D772</f>
        <v/>
      </c>
      <c r="G772" s="120">
        <f>IF($C772=0,0,$F772/$C772)</f>
        <v/>
      </c>
      <c r="H772" s="119">
        <f>IF($E772=0,0,$F772/$E772)</f>
        <v/>
      </c>
      <c r="I772" s="121">
        <f>IF($B772="","",IF($F772&lt;0,"ZARAR",IF($G772&lt;IsMarjEsik,"RİSK","KÂRLI")))</f>
        <v/>
      </c>
      <c r="J772" s="122" t="n"/>
    </row>
    <row r="773" ht="15" customHeight="1" s="76">
      <c r="A773" s="122" t="n"/>
      <c r="B773" s="122" t="n"/>
      <c r="C773" s="123" t="n"/>
      <c r="D773" s="123" t="n"/>
      <c r="E773" s="124" t="n"/>
      <c r="F773" s="119">
        <f>$C773-$D773</f>
        <v/>
      </c>
      <c r="G773" s="120">
        <f>IF($C773=0,0,$F773/$C773)</f>
        <v/>
      </c>
      <c r="H773" s="119">
        <f>IF($E773=0,0,$F773/$E773)</f>
        <v/>
      </c>
      <c r="I773" s="121">
        <f>IF($B773="","",IF($F773&lt;0,"ZARAR",IF($G773&lt;IsMarjEsik,"RİSK","KÂRLI")))</f>
        <v/>
      </c>
      <c r="J773" s="122" t="n"/>
    </row>
    <row r="774" ht="15" customHeight="1" s="76">
      <c r="A774" s="122" t="n"/>
      <c r="B774" s="122" t="n"/>
      <c r="C774" s="123" t="n"/>
      <c r="D774" s="123" t="n"/>
      <c r="E774" s="124" t="n"/>
      <c r="F774" s="119">
        <f>$C774-$D774</f>
        <v/>
      </c>
      <c r="G774" s="120">
        <f>IF($C774=0,0,$F774/$C774)</f>
        <v/>
      </c>
      <c r="H774" s="119">
        <f>IF($E774=0,0,$F774/$E774)</f>
        <v/>
      </c>
      <c r="I774" s="121">
        <f>IF($B774="","",IF($F774&lt;0,"ZARAR",IF($G774&lt;IsMarjEsik,"RİSK","KÂRLI")))</f>
        <v/>
      </c>
      <c r="J774" s="122" t="n"/>
    </row>
    <row r="775" ht="15" customHeight="1" s="76">
      <c r="A775" s="122" t="n"/>
      <c r="B775" s="122" t="n"/>
      <c r="C775" s="123" t="n"/>
      <c r="D775" s="123" t="n"/>
      <c r="E775" s="124" t="n"/>
      <c r="F775" s="119">
        <f>$C775-$D775</f>
        <v/>
      </c>
      <c r="G775" s="120">
        <f>IF($C775=0,0,$F775/$C775)</f>
        <v/>
      </c>
      <c r="H775" s="119">
        <f>IF($E775=0,0,$F775/$E775)</f>
        <v/>
      </c>
      <c r="I775" s="121">
        <f>IF($B775="","",IF($F775&lt;0,"ZARAR",IF($G775&lt;IsMarjEsik,"RİSK","KÂRLI")))</f>
        <v/>
      </c>
      <c r="J775" s="122" t="n"/>
    </row>
    <row r="776" ht="15" customHeight="1" s="76">
      <c r="A776" s="122" t="n"/>
      <c r="B776" s="122" t="n"/>
      <c r="C776" s="123" t="n"/>
      <c r="D776" s="123" t="n"/>
      <c r="E776" s="124" t="n"/>
      <c r="F776" s="119">
        <f>$C776-$D776</f>
        <v/>
      </c>
      <c r="G776" s="120">
        <f>IF($C776=0,0,$F776/$C776)</f>
        <v/>
      </c>
      <c r="H776" s="119">
        <f>IF($E776=0,0,$F776/$E776)</f>
        <v/>
      </c>
      <c r="I776" s="121">
        <f>IF($B776="","",IF($F776&lt;0,"ZARAR",IF($G776&lt;IsMarjEsik,"RİSK","KÂRLI")))</f>
        <v/>
      </c>
      <c r="J776" s="122" t="n"/>
    </row>
    <row r="777" ht="15" customHeight="1" s="76">
      <c r="A777" s="122" t="n"/>
      <c r="B777" s="122" t="n"/>
      <c r="C777" s="123" t="n"/>
      <c r="D777" s="123" t="n"/>
      <c r="E777" s="124" t="n"/>
      <c r="F777" s="119">
        <f>$C777-$D777</f>
        <v/>
      </c>
      <c r="G777" s="120">
        <f>IF($C777=0,0,$F777/$C777)</f>
        <v/>
      </c>
      <c r="H777" s="119">
        <f>IF($E777=0,0,$F777/$E777)</f>
        <v/>
      </c>
      <c r="I777" s="121">
        <f>IF($B777="","",IF($F777&lt;0,"ZARAR",IF($G777&lt;IsMarjEsik,"RİSK","KÂRLI")))</f>
        <v/>
      </c>
      <c r="J777" s="122" t="n"/>
    </row>
    <row r="778" ht="15" customHeight="1" s="76">
      <c r="A778" s="122" t="n"/>
      <c r="B778" s="122" t="n"/>
      <c r="C778" s="123" t="n"/>
      <c r="D778" s="123" t="n"/>
      <c r="E778" s="124" t="n"/>
      <c r="F778" s="119">
        <f>$C778-$D778</f>
        <v/>
      </c>
      <c r="G778" s="120">
        <f>IF($C778=0,0,$F778/$C778)</f>
        <v/>
      </c>
      <c r="H778" s="119">
        <f>IF($E778=0,0,$F778/$E778)</f>
        <v/>
      </c>
      <c r="I778" s="121">
        <f>IF($B778="","",IF($F778&lt;0,"ZARAR",IF($G778&lt;IsMarjEsik,"RİSK","KÂRLI")))</f>
        <v/>
      </c>
      <c r="J778" s="122" t="n"/>
    </row>
    <row r="779" ht="15" customHeight="1" s="76">
      <c r="A779" s="122" t="n"/>
      <c r="B779" s="122" t="n"/>
      <c r="C779" s="123" t="n"/>
      <c r="D779" s="123" t="n"/>
      <c r="E779" s="124" t="n"/>
      <c r="F779" s="119">
        <f>$C779-$D779</f>
        <v/>
      </c>
      <c r="G779" s="120">
        <f>IF($C779=0,0,$F779/$C779)</f>
        <v/>
      </c>
      <c r="H779" s="119">
        <f>IF($E779=0,0,$F779/$E779)</f>
        <v/>
      </c>
      <c r="I779" s="121">
        <f>IF($B779="","",IF($F779&lt;0,"ZARAR",IF($G779&lt;IsMarjEsik,"RİSK","KÂRLI")))</f>
        <v/>
      </c>
      <c r="J779" s="122" t="n"/>
    </row>
    <row r="780" ht="15" customHeight="1" s="76">
      <c r="A780" s="122" t="n"/>
      <c r="B780" s="122" t="n"/>
      <c r="C780" s="123" t="n"/>
      <c r="D780" s="123" t="n"/>
      <c r="E780" s="124" t="n"/>
      <c r="F780" s="119">
        <f>$C780-$D780</f>
        <v/>
      </c>
      <c r="G780" s="120">
        <f>IF($C780=0,0,$F780/$C780)</f>
        <v/>
      </c>
      <c r="H780" s="119">
        <f>IF($E780=0,0,$F780/$E780)</f>
        <v/>
      </c>
      <c r="I780" s="121">
        <f>IF($B780="","",IF($F780&lt;0,"ZARAR",IF($G780&lt;IsMarjEsik,"RİSK","KÂRLI")))</f>
        <v/>
      </c>
      <c r="J780" s="122" t="n"/>
    </row>
    <row r="781" ht="15" customHeight="1" s="76">
      <c r="A781" s="122" t="n"/>
      <c r="B781" s="122" t="n"/>
      <c r="C781" s="123" t="n"/>
      <c r="D781" s="123" t="n"/>
      <c r="E781" s="124" t="n"/>
      <c r="F781" s="119">
        <f>$C781-$D781</f>
        <v/>
      </c>
      <c r="G781" s="120">
        <f>IF($C781=0,0,$F781/$C781)</f>
        <v/>
      </c>
      <c r="H781" s="119">
        <f>IF($E781=0,0,$F781/$E781)</f>
        <v/>
      </c>
      <c r="I781" s="121">
        <f>IF($B781="","",IF($F781&lt;0,"ZARAR",IF($G781&lt;IsMarjEsik,"RİSK","KÂRLI")))</f>
        <v/>
      </c>
      <c r="J781" s="122" t="n"/>
    </row>
    <row r="782" ht="15" customHeight="1" s="76">
      <c r="A782" s="122" t="n"/>
      <c r="B782" s="122" t="n"/>
      <c r="C782" s="123" t="n"/>
      <c r="D782" s="123" t="n"/>
      <c r="E782" s="124" t="n"/>
      <c r="F782" s="119">
        <f>$C782-$D782</f>
        <v/>
      </c>
      <c r="G782" s="120">
        <f>IF($C782=0,0,$F782/$C782)</f>
        <v/>
      </c>
      <c r="H782" s="119">
        <f>IF($E782=0,0,$F782/$E782)</f>
        <v/>
      </c>
      <c r="I782" s="121">
        <f>IF($B782="","",IF($F782&lt;0,"ZARAR",IF($G782&lt;IsMarjEsik,"RİSK","KÂRLI")))</f>
        <v/>
      </c>
      <c r="J782" s="122" t="n"/>
    </row>
    <row r="783" ht="15" customHeight="1" s="76">
      <c r="A783" s="122" t="n"/>
      <c r="B783" s="122" t="n"/>
      <c r="C783" s="123" t="n"/>
      <c r="D783" s="123" t="n"/>
      <c r="E783" s="124" t="n"/>
      <c r="F783" s="119">
        <f>$C783-$D783</f>
        <v/>
      </c>
      <c r="G783" s="120">
        <f>IF($C783=0,0,$F783/$C783)</f>
        <v/>
      </c>
      <c r="H783" s="119">
        <f>IF($E783=0,0,$F783/$E783)</f>
        <v/>
      </c>
      <c r="I783" s="121">
        <f>IF($B783="","",IF($F783&lt;0,"ZARAR",IF($G783&lt;IsMarjEsik,"RİSK","KÂRLI")))</f>
        <v/>
      </c>
      <c r="J783" s="122" t="n"/>
    </row>
    <row r="784" ht="15" customHeight="1" s="76">
      <c r="A784" s="122" t="n"/>
      <c r="B784" s="122" t="n"/>
      <c r="C784" s="123" t="n"/>
      <c r="D784" s="123" t="n"/>
      <c r="E784" s="124" t="n"/>
      <c r="F784" s="119">
        <f>$C784-$D784</f>
        <v/>
      </c>
      <c r="G784" s="120">
        <f>IF($C784=0,0,$F784/$C784)</f>
        <v/>
      </c>
      <c r="H784" s="119">
        <f>IF($E784=0,0,$F784/$E784)</f>
        <v/>
      </c>
      <c r="I784" s="121">
        <f>IF($B784="","",IF($F784&lt;0,"ZARAR",IF($G784&lt;IsMarjEsik,"RİSK","KÂRLI")))</f>
        <v/>
      </c>
      <c r="J784" s="122" t="n"/>
    </row>
    <row r="785" ht="15" customHeight="1" s="76">
      <c r="A785" s="122" t="n"/>
      <c r="B785" s="122" t="n"/>
      <c r="C785" s="123" t="n"/>
      <c r="D785" s="123" t="n"/>
      <c r="E785" s="124" t="n"/>
      <c r="F785" s="119">
        <f>$C785-$D785</f>
        <v/>
      </c>
      <c r="G785" s="120">
        <f>IF($C785=0,0,$F785/$C785)</f>
        <v/>
      </c>
      <c r="H785" s="119">
        <f>IF($E785=0,0,$F785/$E785)</f>
        <v/>
      </c>
      <c r="I785" s="121">
        <f>IF($B785="","",IF($F785&lt;0,"ZARAR",IF($G785&lt;IsMarjEsik,"RİSK","KÂRLI")))</f>
        <v/>
      </c>
      <c r="J785" s="122" t="n"/>
    </row>
    <row r="786" ht="15" customHeight="1" s="76">
      <c r="A786" s="122" t="n"/>
      <c r="B786" s="122" t="n"/>
      <c r="C786" s="123" t="n"/>
      <c r="D786" s="123" t="n"/>
      <c r="E786" s="124" t="n"/>
      <c r="F786" s="119">
        <f>$C786-$D786</f>
        <v/>
      </c>
      <c r="G786" s="120">
        <f>IF($C786=0,0,$F786/$C786)</f>
        <v/>
      </c>
      <c r="H786" s="119">
        <f>IF($E786=0,0,$F786/$E786)</f>
        <v/>
      </c>
      <c r="I786" s="121">
        <f>IF($B786="","",IF($F786&lt;0,"ZARAR",IF($G786&lt;IsMarjEsik,"RİSK","KÂRLI")))</f>
        <v/>
      </c>
      <c r="J786" s="122" t="n"/>
    </row>
    <row r="787" ht="15" customHeight="1" s="76">
      <c r="A787" s="122" t="n"/>
      <c r="B787" s="122" t="n"/>
      <c r="C787" s="123" t="n"/>
      <c r="D787" s="123" t="n"/>
      <c r="E787" s="124" t="n"/>
      <c r="F787" s="119">
        <f>$C787-$D787</f>
        <v/>
      </c>
      <c r="G787" s="120">
        <f>IF($C787=0,0,$F787/$C787)</f>
        <v/>
      </c>
      <c r="H787" s="119">
        <f>IF($E787=0,0,$F787/$E787)</f>
        <v/>
      </c>
      <c r="I787" s="121">
        <f>IF($B787="","",IF($F787&lt;0,"ZARAR",IF($G787&lt;IsMarjEsik,"RİSK","KÂRLI")))</f>
        <v/>
      </c>
      <c r="J787" s="122" t="n"/>
    </row>
    <row r="788" ht="15" customHeight="1" s="76">
      <c r="A788" s="122" t="n"/>
      <c r="B788" s="122" t="n"/>
      <c r="C788" s="123" t="n"/>
      <c r="D788" s="123" t="n"/>
      <c r="E788" s="124" t="n"/>
      <c r="F788" s="119">
        <f>$C788-$D788</f>
        <v/>
      </c>
      <c r="G788" s="120">
        <f>IF($C788=0,0,$F788/$C788)</f>
        <v/>
      </c>
      <c r="H788" s="119">
        <f>IF($E788=0,0,$F788/$E788)</f>
        <v/>
      </c>
      <c r="I788" s="121">
        <f>IF($B788="","",IF($F788&lt;0,"ZARAR",IF($G788&lt;IsMarjEsik,"RİSK","KÂRLI")))</f>
        <v/>
      </c>
      <c r="J788" s="122" t="n"/>
    </row>
    <row r="789" ht="15" customHeight="1" s="76">
      <c r="A789" s="122" t="n"/>
      <c r="B789" s="122" t="n"/>
      <c r="C789" s="123" t="n"/>
      <c r="D789" s="123" t="n"/>
      <c r="E789" s="124" t="n"/>
      <c r="F789" s="119">
        <f>$C789-$D789</f>
        <v/>
      </c>
      <c r="G789" s="120">
        <f>IF($C789=0,0,$F789/$C789)</f>
        <v/>
      </c>
      <c r="H789" s="119">
        <f>IF($E789=0,0,$F789/$E789)</f>
        <v/>
      </c>
      <c r="I789" s="121">
        <f>IF($B789="","",IF($F789&lt;0,"ZARAR",IF($G789&lt;IsMarjEsik,"RİSK","KÂRLI")))</f>
        <v/>
      </c>
      <c r="J789" s="122" t="n"/>
    </row>
    <row r="790" ht="15" customHeight="1" s="76">
      <c r="A790" s="122" t="n"/>
      <c r="B790" s="122" t="n"/>
      <c r="C790" s="123" t="n"/>
      <c r="D790" s="123" t="n"/>
      <c r="E790" s="124" t="n"/>
      <c r="F790" s="119">
        <f>$C790-$D790</f>
        <v/>
      </c>
      <c r="G790" s="120">
        <f>IF($C790=0,0,$F790/$C790)</f>
        <v/>
      </c>
      <c r="H790" s="119">
        <f>IF($E790=0,0,$F790/$E790)</f>
        <v/>
      </c>
      <c r="I790" s="121">
        <f>IF($B790="","",IF($F790&lt;0,"ZARAR",IF($G790&lt;IsMarjEsik,"RİSK","KÂRLI")))</f>
        <v/>
      </c>
      <c r="J790" s="122" t="n"/>
    </row>
    <row r="791" ht="15" customHeight="1" s="76">
      <c r="A791" s="122" t="n"/>
      <c r="B791" s="122" t="n"/>
      <c r="C791" s="123" t="n"/>
      <c r="D791" s="123" t="n"/>
      <c r="E791" s="124" t="n"/>
      <c r="F791" s="119">
        <f>$C791-$D791</f>
        <v/>
      </c>
      <c r="G791" s="120">
        <f>IF($C791=0,0,$F791/$C791)</f>
        <v/>
      </c>
      <c r="H791" s="119">
        <f>IF($E791=0,0,$F791/$E791)</f>
        <v/>
      </c>
      <c r="I791" s="121">
        <f>IF($B791="","",IF($F791&lt;0,"ZARAR",IF($G791&lt;IsMarjEsik,"RİSK","KÂRLI")))</f>
        <v/>
      </c>
      <c r="J791" s="122" t="n"/>
    </row>
    <row r="792" ht="15" customHeight="1" s="76">
      <c r="A792" s="122" t="n"/>
      <c r="B792" s="122" t="n"/>
      <c r="C792" s="123" t="n"/>
      <c r="D792" s="123" t="n"/>
      <c r="E792" s="124" t="n"/>
      <c r="F792" s="119">
        <f>$C792-$D792</f>
        <v/>
      </c>
      <c r="G792" s="120">
        <f>IF($C792=0,0,$F792/$C792)</f>
        <v/>
      </c>
      <c r="H792" s="119">
        <f>IF($E792=0,0,$F792/$E792)</f>
        <v/>
      </c>
      <c r="I792" s="121">
        <f>IF($B792="","",IF($F792&lt;0,"ZARAR",IF($G792&lt;IsMarjEsik,"RİSK","KÂRLI")))</f>
        <v/>
      </c>
      <c r="J792" s="122" t="n"/>
    </row>
    <row r="793" ht="15" customHeight="1" s="76">
      <c r="A793" s="122" t="n"/>
      <c r="B793" s="122" t="n"/>
      <c r="C793" s="123" t="n"/>
      <c r="D793" s="123" t="n"/>
      <c r="E793" s="124" t="n"/>
      <c r="F793" s="119">
        <f>$C793-$D793</f>
        <v/>
      </c>
      <c r="G793" s="120">
        <f>IF($C793=0,0,$F793/$C793)</f>
        <v/>
      </c>
      <c r="H793" s="119">
        <f>IF($E793=0,0,$F793/$E793)</f>
        <v/>
      </c>
      <c r="I793" s="121">
        <f>IF($B793="","",IF($F793&lt;0,"ZARAR",IF($G793&lt;IsMarjEsik,"RİSK","KÂRLI")))</f>
        <v/>
      </c>
      <c r="J793" s="122" t="n"/>
    </row>
    <row r="794" ht="15" customHeight="1" s="76">
      <c r="A794" s="122" t="n"/>
      <c r="B794" s="122" t="n"/>
      <c r="C794" s="123" t="n"/>
      <c r="D794" s="123" t="n"/>
      <c r="E794" s="124" t="n"/>
      <c r="F794" s="119">
        <f>$C794-$D794</f>
        <v/>
      </c>
      <c r="G794" s="120">
        <f>IF($C794=0,0,$F794/$C794)</f>
        <v/>
      </c>
      <c r="H794" s="119">
        <f>IF($E794=0,0,$F794/$E794)</f>
        <v/>
      </c>
      <c r="I794" s="121">
        <f>IF($B794="","",IF($F794&lt;0,"ZARAR",IF($G794&lt;IsMarjEsik,"RİSK","KÂRLI")))</f>
        <v/>
      </c>
      <c r="J794" s="122" t="n"/>
    </row>
    <row r="795" ht="15" customHeight="1" s="76">
      <c r="A795" s="122" t="n"/>
      <c r="B795" s="122" t="n"/>
      <c r="C795" s="123" t="n"/>
      <c r="D795" s="123" t="n"/>
      <c r="E795" s="124" t="n"/>
      <c r="F795" s="119">
        <f>$C795-$D795</f>
        <v/>
      </c>
      <c r="G795" s="120">
        <f>IF($C795=0,0,$F795/$C795)</f>
        <v/>
      </c>
      <c r="H795" s="119">
        <f>IF($E795=0,0,$F795/$E795)</f>
        <v/>
      </c>
      <c r="I795" s="121">
        <f>IF($B795="","",IF($F795&lt;0,"ZARAR",IF($G795&lt;IsMarjEsik,"RİSK","KÂRLI")))</f>
        <v/>
      </c>
      <c r="J795" s="122" t="n"/>
    </row>
    <row r="796" ht="15" customHeight="1" s="76">
      <c r="A796" s="122" t="n"/>
      <c r="B796" s="122" t="n"/>
      <c r="C796" s="123" t="n"/>
      <c r="D796" s="123" t="n"/>
      <c r="E796" s="124" t="n"/>
      <c r="F796" s="119">
        <f>$C796-$D796</f>
        <v/>
      </c>
      <c r="G796" s="120">
        <f>IF($C796=0,0,$F796/$C796)</f>
        <v/>
      </c>
      <c r="H796" s="119">
        <f>IF($E796=0,0,$F796/$E796)</f>
        <v/>
      </c>
      <c r="I796" s="121">
        <f>IF($B796="","",IF($F796&lt;0,"ZARAR",IF($G796&lt;IsMarjEsik,"RİSK","KÂRLI")))</f>
        <v/>
      </c>
      <c r="J796" s="122" t="n"/>
    </row>
    <row r="797" ht="15" customHeight="1" s="76">
      <c r="A797" s="122" t="n"/>
      <c r="B797" s="122" t="n"/>
      <c r="C797" s="123" t="n"/>
      <c r="D797" s="123" t="n"/>
      <c r="E797" s="124" t="n"/>
      <c r="F797" s="119">
        <f>$C797-$D797</f>
        <v/>
      </c>
      <c r="G797" s="120">
        <f>IF($C797=0,0,$F797/$C797)</f>
        <v/>
      </c>
      <c r="H797" s="119">
        <f>IF($E797=0,0,$F797/$E797)</f>
        <v/>
      </c>
      <c r="I797" s="121">
        <f>IF($B797="","",IF($F797&lt;0,"ZARAR",IF($G797&lt;IsMarjEsik,"RİSK","KÂRLI")))</f>
        <v/>
      </c>
      <c r="J797" s="122" t="n"/>
    </row>
    <row r="798" ht="15" customHeight="1" s="76">
      <c r="A798" s="122" t="n"/>
      <c r="B798" s="122" t="n"/>
      <c r="C798" s="123" t="n"/>
      <c r="D798" s="123" t="n"/>
      <c r="E798" s="124" t="n"/>
      <c r="F798" s="119">
        <f>$C798-$D798</f>
        <v/>
      </c>
      <c r="G798" s="120">
        <f>IF($C798=0,0,$F798/$C798)</f>
        <v/>
      </c>
      <c r="H798" s="119">
        <f>IF($E798=0,0,$F798/$E798)</f>
        <v/>
      </c>
      <c r="I798" s="121">
        <f>IF($B798="","",IF($F798&lt;0,"ZARAR",IF($G798&lt;IsMarjEsik,"RİSK","KÂRLI")))</f>
        <v/>
      </c>
      <c r="J798" s="122" t="n"/>
    </row>
    <row r="799" ht="15" customHeight="1" s="76">
      <c r="A799" s="122" t="n"/>
      <c r="B799" s="122" t="n"/>
      <c r="C799" s="123" t="n"/>
      <c r="D799" s="123" t="n"/>
      <c r="E799" s="124" t="n"/>
      <c r="F799" s="119">
        <f>$C799-$D799</f>
        <v/>
      </c>
      <c r="G799" s="120">
        <f>IF($C799=0,0,$F799/$C799)</f>
        <v/>
      </c>
      <c r="H799" s="119">
        <f>IF($E799=0,0,$F799/$E799)</f>
        <v/>
      </c>
      <c r="I799" s="121">
        <f>IF($B799="","",IF($F799&lt;0,"ZARAR",IF($G799&lt;IsMarjEsik,"RİSK","KÂRLI")))</f>
        <v/>
      </c>
      <c r="J799" s="122" t="n"/>
    </row>
    <row r="800" ht="15" customHeight="1" s="76">
      <c r="A800" s="122" t="n"/>
      <c r="B800" s="122" t="n"/>
      <c r="C800" s="123" t="n"/>
      <c r="D800" s="123" t="n"/>
      <c r="E800" s="124" t="n"/>
      <c r="F800" s="119">
        <f>$C800-$D800</f>
        <v/>
      </c>
      <c r="G800" s="120">
        <f>IF($C800=0,0,$F800/$C800)</f>
        <v/>
      </c>
      <c r="H800" s="119">
        <f>IF($E800=0,0,$F800/$E800)</f>
        <v/>
      </c>
      <c r="I800" s="121">
        <f>IF($B800="","",IF($F800&lt;0,"ZARAR",IF($G800&lt;IsMarjEsik,"RİSK","KÂRLI")))</f>
        <v/>
      </c>
      <c r="J800" s="122" t="n"/>
    </row>
    <row r="801" ht="15" customHeight="1" s="76">
      <c r="A801" s="122" t="n"/>
      <c r="B801" s="122" t="n"/>
      <c r="C801" s="123" t="n"/>
      <c r="D801" s="123" t="n"/>
      <c r="E801" s="124" t="n"/>
      <c r="F801" s="119">
        <f>$C801-$D801</f>
        <v/>
      </c>
      <c r="G801" s="120">
        <f>IF($C801=0,0,$F801/$C801)</f>
        <v/>
      </c>
      <c r="H801" s="119">
        <f>IF($E801=0,0,$F801/$E801)</f>
        <v/>
      </c>
      <c r="I801" s="121">
        <f>IF($B801="","",IF($F801&lt;0,"ZARAR",IF($G801&lt;IsMarjEsik,"RİSK","KÂRLI")))</f>
        <v/>
      </c>
      <c r="J801" s="122" t="n"/>
    </row>
    <row r="802" ht="15" customHeight="1" s="76">
      <c r="A802" s="122" t="n"/>
      <c r="B802" s="122" t="n"/>
      <c r="C802" s="123" t="n"/>
      <c r="D802" s="123" t="n"/>
      <c r="E802" s="124" t="n"/>
      <c r="F802" s="119">
        <f>$C802-$D802</f>
        <v/>
      </c>
      <c r="G802" s="120">
        <f>IF($C802=0,0,$F802/$C802)</f>
        <v/>
      </c>
      <c r="H802" s="119">
        <f>IF($E802=0,0,$F802/$E802)</f>
        <v/>
      </c>
      <c r="I802" s="121">
        <f>IF($B802="","",IF($F802&lt;0,"ZARAR",IF($G802&lt;IsMarjEsik,"RİSK","KÂRLI")))</f>
        <v/>
      </c>
      <c r="J802" s="122" t="n"/>
    </row>
    <row r="803" ht="15" customHeight="1" s="76">
      <c r="A803" s="122" t="n"/>
      <c r="B803" s="122" t="n"/>
      <c r="C803" s="123" t="n"/>
      <c r="D803" s="123" t="n"/>
      <c r="E803" s="124" t="n"/>
      <c r="F803" s="119">
        <f>$C803-$D803</f>
        <v/>
      </c>
      <c r="G803" s="120">
        <f>IF($C803=0,0,$F803/$C803)</f>
        <v/>
      </c>
      <c r="H803" s="119">
        <f>IF($E803=0,0,$F803/$E803)</f>
        <v/>
      </c>
      <c r="I803" s="121">
        <f>IF($B803="","",IF($F803&lt;0,"ZARAR",IF($G803&lt;IsMarjEsik,"RİSK","KÂRLI")))</f>
        <v/>
      </c>
      <c r="J803" s="122" t="n"/>
    </row>
    <row r="804" ht="15" customHeight="1" s="76">
      <c r="A804" s="122" t="n"/>
      <c r="B804" s="122" t="n"/>
      <c r="C804" s="123" t="n"/>
      <c r="D804" s="123" t="n"/>
      <c r="E804" s="124" t="n"/>
      <c r="F804" s="119">
        <f>$C804-$D804</f>
        <v/>
      </c>
      <c r="G804" s="120">
        <f>IF($C804=0,0,$F804/$C804)</f>
        <v/>
      </c>
      <c r="H804" s="119">
        <f>IF($E804=0,0,$F804/$E804)</f>
        <v/>
      </c>
      <c r="I804" s="121">
        <f>IF($B804="","",IF($F804&lt;0,"ZARAR",IF($G804&lt;IsMarjEsik,"RİSK","KÂRLI")))</f>
        <v/>
      </c>
      <c r="J804" s="122" t="n"/>
    </row>
    <row r="805" ht="15" customHeight="1" s="76">
      <c r="A805" s="122" t="n"/>
      <c r="B805" s="122" t="n"/>
      <c r="C805" s="123" t="n"/>
      <c r="D805" s="123" t="n"/>
      <c r="E805" s="124" t="n"/>
      <c r="F805" s="119">
        <f>$C805-$D805</f>
        <v/>
      </c>
      <c r="G805" s="120">
        <f>IF($C805=0,0,$F805/$C805)</f>
        <v/>
      </c>
      <c r="H805" s="119">
        <f>IF($E805=0,0,$F805/$E805)</f>
        <v/>
      </c>
      <c r="I805" s="121">
        <f>IF($B805="","",IF($F805&lt;0,"ZARAR",IF($G805&lt;IsMarjEsik,"RİSK","KÂRLI")))</f>
        <v/>
      </c>
      <c r="J805" s="122" t="n"/>
    </row>
    <row r="806" ht="15" customHeight="1" s="76">
      <c r="A806" s="122" t="n"/>
      <c r="B806" s="122" t="n"/>
      <c r="C806" s="123" t="n"/>
      <c r="D806" s="123" t="n"/>
      <c r="E806" s="124" t="n"/>
      <c r="F806" s="119">
        <f>$C806-$D806</f>
        <v/>
      </c>
      <c r="G806" s="120">
        <f>IF($C806=0,0,$F806/$C806)</f>
        <v/>
      </c>
      <c r="H806" s="119">
        <f>IF($E806=0,0,$F806/$E806)</f>
        <v/>
      </c>
      <c r="I806" s="121">
        <f>IF($B806="","",IF($F806&lt;0,"ZARAR",IF($G806&lt;IsMarjEsik,"RİSK","KÂRLI")))</f>
        <v/>
      </c>
      <c r="J806" s="122" t="n"/>
    </row>
    <row r="807" ht="15" customHeight="1" s="76">
      <c r="A807" s="122" t="n"/>
      <c r="B807" s="122" t="n"/>
      <c r="C807" s="123" t="n"/>
      <c r="D807" s="123" t="n"/>
      <c r="E807" s="124" t="n"/>
      <c r="F807" s="119">
        <f>$C807-$D807</f>
        <v/>
      </c>
      <c r="G807" s="120">
        <f>IF($C807=0,0,$F807/$C807)</f>
        <v/>
      </c>
      <c r="H807" s="119">
        <f>IF($E807=0,0,$F807/$E807)</f>
        <v/>
      </c>
      <c r="I807" s="121">
        <f>IF($B807="","",IF($F807&lt;0,"ZARAR",IF($G807&lt;IsMarjEsik,"RİSK","KÂRLI")))</f>
        <v/>
      </c>
      <c r="J807" s="122" t="n"/>
    </row>
    <row r="808" ht="15" customHeight="1" s="76">
      <c r="A808" s="122" t="n"/>
      <c r="B808" s="122" t="n"/>
      <c r="C808" s="123" t="n"/>
      <c r="D808" s="123" t="n"/>
      <c r="E808" s="124" t="n"/>
      <c r="F808" s="119">
        <f>$C808-$D808</f>
        <v/>
      </c>
      <c r="G808" s="120">
        <f>IF($C808=0,0,$F808/$C808)</f>
        <v/>
      </c>
      <c r="H808" s="119">
        <f>IF($E808=0,0,$F808/$E808)</f>
        <v/>
      </c>
      <c r="I808" s="121">
        <f>IF($B808="","",IF($F808&lt;0,"ZARAR",IF($G808&lt;IsMarjEsik,"RİSK","KÂRLI")))</f>
        <v/>
      </c>
      <c r="J808" s="122" t="n"/>
    </row>
    <row r="809" ht="15" customHeight="1" s="76">
      <c r="A809" s="122" t="n"/>
      <c r="B809" s="122" t="n"/>
      <c r="C809" s="123" t="n"/>
      <c r="D809" s="123" t="n"/>
      <c r="E809" s="124" t="n"/>
      <c r="F809" s="119">
        <f>$C809-$D809</f>
        <v/>
      </c>
      <c r="G809" s="120">
        <f>IF($C809=0,0,$F809/$C809)</f>
        <v/>
      </c>
      <c r="H809" s="119">
        <f>IF($E809=0,0,$F809/$E809)</f>
        <v/>
      </c>
      <c r="I809" s="121">
        <f>IF($B809="","",IF($F809&lt;0,"ZARAR",IF($G809&lt;IsMarjEsik,"RİSK","KÂRLI")))</f>
        <v/>
      </c>
      <c r="J809" s="122" t="n"/>
    </row>
    <row r="810" ht="15" customHeight="1" s="76">
      <c r="A810" s="122" t="n"/>
      <c r="B810" s="122" t="n"/>
      <c r="C810" s="123" t="n"/>
      <c r="D810" s="123" t="n"/>
      <c r="E810" s="124" t="n"/>
      <c r="F810" s="119">
        <f>$C810-$D810</f>
        <v/>
      </c>
      <c r="G810" s="120">
        <f>IF($C810=0,0,$F810/$C810)</f>
        <v/>
      </c>
      <c r="H810" s="119">
        <f>IF($E810=0,0,$F810/$E810)</f>
        <v/>
      </c>
      <c r="I810" s="121">
        <f>IF($B810="","",IF($F810&lt;0,"ZARAR",IF($G810&lt;IsMarjEsik,"RİSK","KÂRLI")))</f>
        <v/>
      </c>
      <c r="J810" s="122" t="n"/>
    </row>
    <row r="811" ht="15" customHeight="1" s="76">
      <c r="A811" s="122" t="n"/>
      <c r="B811" s="122" t="n"/>
      <c r="C811" s="123" t="n"/>
      <c r="D811" s="123" t="n"/>
      <c r="E811" s="124" t="n"/>
      <c r="F811" s="119">
        <f>$C811-$D811</f>
        <v/>
      </c>
      <c r="G811" s="120">
        <f>IF($C811=0,0,$F811/$C811)</f>
        <v/>
      </c>
      <c r="H811" s="119">
        <f>IF($E811=0,0,$F811/$E811)</f>
        <v/>
      </c>
      <c r="I811" s="121">
        <f>IF($B811="","",IF($F811&lt;0,"ZARAR",IF($G811&lt;IsMarjEsik,"RİSK","KÂRLI")))</f>
        <v/>
      </c>
      <c r="J811" s="122" t="n"/>
    </row>
    <row r="812" ht="15" customHeight="1" s="76">
      <c r="A812" s="122" t="n"/>
      <c r="B812" s="122" t="n"/>
      <c r="C812" s="123" t="n"/>
      <c r="D812" s="123" t="n"/>
      <c r="E812" s="124" t="n"/>
      <c r="F812" s="119">
        <f>$C812-$D812</f>
        <v/>
      </c>
      <c r="G812" s="120">
        <f>IF($C812=0,0,$F812/$C812)</f>
        <v/>
      </c>
      <c r="H812" s="119">
        <f>IF($E812=0,0,$F812/$E812)</f>
        <v/>
      </c>
      <c r="I812" s="121">
        <f>IF($B812="","",IF($F812&lt;0,"ZARAR",IF($G812&lt;IsMarjEsik,"RİSK","KÂRLI")))</f>
        <v/>
      </c>
      <c r="J812" s="122" t="n"/>
    </row>
    <row r="813" ht="15" customHeight="1" s="76">
      <c r="A813" s="122" t="n"/>
      <c r="B813" s="122" t="n"/>
      <c r="C813" s="123" t="n"/>
      <c r="D813" s="123" t="n"/>
      <c r="E813" s="124" t="n"/>
      <c r="F813" s="119">
        <f>$C813-$D813</f>
        <v/>
      </c>
      <c r="G813" s="120">
        <f>IF($C813=0,0,$F813/$C813)</f>
        <v/>
      </c>
      <c r="H813" s="119">
        <f>IF($E813=0,0,$F813/$E813)</f>
        <v/>
      </c>
      <c r="I813" s="121">
        <f>IF($B813="","",IF($F813&lt;0,"ZARAR",IF($G813&lt;IsMarjEsik,"RİSK","KÂRLI")))</f>
        <v/>
      </c>
      <c r="J813" s="122" t="n"/>
    </row>
    <row r="814" ht="15" customHeight="1" s="76">
      <c r="A814" s="122" t="n"/>
      <c r="B814" s="122" t="n"/>
      <c r="C814" s="123" t="n"/>
      <c r="D814" s="123" t="n"/>
      <c r="E814" s="124" t="n"/>
      <c r="F814" s="119">
        <f>$C814-$D814</f>
        <v/>
      </c>
      <c r="G814" s="120">
        <f>IF($C814=0,0,$F814/$C814)</f>
        <v/>
      </c>
      <c r="H814" s="119">
        <f>IF($E814=0,0,$F814/$E814)</f>
        <v/>
      </c>
      <c r="I814" s="121">
        <f>IF($B814="","",IF($F814&lt;0,"ZARAR",IF($G814&lt;IsMarjEsik,"RİSK","KÂRLI")))</f>
        <v/>
      </c>
      <c r="J814" s="122" t="n"/>
    </row>
    <row r="815" ht="15" customHeight="1" s="76">
      <c r="A815" s="122" t="n"/>
      <c r="B815" s="122" t="n"/>
      <c r="C815" s="123" t="n"/>
      <c r="D815" s="123" t="n"/>
      <c r="E815" s="124" t="n"/>
      <c r="F815" s="119">
        <f>$C815-$D815</f>
        <v/>
      </c>
      <c r="G815" s="120">
        <f>IF($C815=0,0,$F815/$C815)</f>
        <v/>
      </c>
      <c r="H815" s="119">
        <f>IF($E815=0,0,$F815/$E815)</f>
        <v/>
      </c>
      <c r="I815" s="121">
        <f>IF($B815="","",IF($F815&lt;0,"ZARAR",IF($G815&lt;IsMarjEsik,"RİSK","KÂRLI")))</f>
        <v/>
      </c>
      <c r="J815" s="122" t="n"/>
    </row>
    <row r="816" ht="15" customHeight="1" s="76">
      <c r="A816" s="122" t="n"/>
      <c r="B816" s="122" t="n"/>
      <c r="C816" s="123" t="n"/>
      <c r="D816" s="123" t="n"/>
      <c r="E816" s="124" t="n"/>
      <c r="F816" s="119">
        <f>$C816-$D816</f>
        <v/>
      </c>
      <c r="G816" s="120">
        <f>IF($C816=0,0,$F816/$C816)</f>
        <v/>
      </c>
      <c r="H816" s="119">
        <f>IF($E816=0,0,$F816/$E816)</f>
        <v/>
      </c>
      <c r="I816" s="121">
        <f>IF($B816="","",IF($F816&lt;0,"ZARAR",IF($G816&lt;IsMarjEsik,"RİSK","KÂRLI")))</f>
        <v/>
      </c>
      <c r="J816" s="122" t="n"/>
    </row>
    <row r="817" ht="15" customHeight="1" s="76">
      <c r="A817" s="122" t="n"/>
      <c r="B817" s="122" t="n"/>
      <c r="C817" s="123" t="n"/>
      <c r="D817" s="123" t="n"/>
      <c r="E817" s="124" t="n"/>
      <c r="F817" s="119">
        <f>$C817-$D817</f>
        <v/>
      </c>
      <c r="G817" s="120">
        <f>IF($C817=0,0,$F817/$C817)</f>
        <v/>
      </c>
      <c r="H817" s="119">
        <f>IF($E817=0,0,$F817/$E817)</f>
        <v/>
      </c>
      <c r="I817" s="121">
        <f>IF($B817="","",IF($F817&lt;0,"ZARAR",IF($G817&lt;IsMarjEsik,"RİSK","KÂRLI")))</f>
        <v/>
      </c>
      <c r="J817" s="122" t="n"/>
    </row>
    <row r="818" ht="15" customHeight="1" s="76">
      <c r="A818" s="122" t="n"/>
      <c r="B818" s="122" t="n"/>
      <c r="C818" s="123" t="n"/>
      <c r="D818" s="123" t="n"/>
      <c r="E818" s="124" t="n"/>
      <c r="F818" s="119">
        <f>$C818-$D818</f>
        <v/>
      </c>
      <c r="G818" s="120">
        <f>IF($C818=0,0,$F818/$C818)</f>
        <v/>
      </c>
      <c r="H818" s="119">
        <f>IF($E818=0,0,$F818/$E818)</f>
        <v/>
      </c>
      <c r="I818" s="121">
        <f>IF($B818="","",IF($F818&lt;0,"ZARAR",IF($G818&lt;IsMarjEsik,"RİSK","KÂRLI")))</f>
        <v/>
      </c>
      <c r="J818" s="122" t="n"/>
    </row>
    <row r="819" ht="15" customHeight="1" s="76">
      <c r="A819" s="122" t="n"/>
      <c r="B819" s="122" t="n"/>
      <c r="C819" s="123" t="n"/>
      <c r="D819" s="123" t="n"/>
      <c r="E819" s="124" t="n"/>
      <c r="F819" s="119">
        <f>$C819-$D819</f>
        <v/>
      </c>
      <c r="G819" s="120">
        <f>IF($C819=0,0,$F819/$C819)</f>
        <v/>
      </c>
      <c r="H819" s="119">
        <f>IF($E819=0,0,$F819/$E819)</f>
        <v/>
      </c>
      <c r="I819" s="121">
        <f>IF($B819="","",IF($F819&lt;0,"ZARAR",IF($G819&lt;IsMarjEsik,"RİSK","KÂRLI")))</f>
        <v/>
      </c>
      <c r="J819" s="122" t="n"/>
    </row>
    <row r="820" ht="15" customHeight="1" s="76">
      <c r="A820" s="122" t="n"/>
      <c r="B820" s="122" t="n"/>
      <c r="C820" s="123" t="n"/>
      <c r="D820" s="123" t="n"/>
      <c r="E820" s="124" t="n"/>
      <c r="F820" s="119">
        <f>$C820-$D820</f>
        <v/>
      </c>
      <c r="G820" s="120">
        <f>IF($C820=0,0,$F820/$C820)</f>
        <v/>
      </c>
      <c r="H820" s="119">
        <f>IF($E820=0,0,$F820/$E820)</f>
        <v/>
      </c>
      <c r="I820" s="121">
        <f>IF($B820="","",IF($F820&lt;0,"ZARAR",IF($G820&lt;IsMarjEsik,"RİSK","KÂRLI")))</f>
        <v/>
      </c>
      <c r="J820" s="122" t="n"/>
    </row>
    <row r="821" ht="15" customHeight="1" s="76">
      <c r="A821" s="122" t="n"/>
      <c r="B821" s="122" t="n"/>
      <c r="C821" s="123" t="n"/>
      <c r="D821" s="123" t="n"/>
      <c r="E821" s="124" t="n"/>
      <c r="F821" s="119">
        <f>$C821-$D821</f>
        <v/>
      </c>
      <c r="G821" s="120">
        <f>IF($C821=0,0,$F821/$C821)</f>
        <v/>
      </c>
      <c r="H821" s="119">
        <f>IF($E821=0,0,$F821/$E821)</f>
        <v/>
      </c>
      <c r="I821" s="121">
        <f>IF($B821="","",IF($F821&lt;0,"ZARAR",IF($G821&lt;IsMarjEsik,"RİSK","KÂRLI")))</f>
        <v/>
      </c>
      <c r="J821" s="122" t="n"/>
    </row>
    <row r="822" ht="15" customHeight="1" s="76">
      <c r="A822" s="122" t="n"/>
      <c r="B822" s="122" t="n"/>
      <c r="C822" s="123" t="n"/>
      <c r="D822" s="123" t="n"/>
      <c r="E822" s="124" t="n"/>
      <c r="F822" s="119">
        <f>$C822-$D822</f>
        <v/>
      </c>
      <c r="G822" s="120">
        <f>IF($C822=0,0,$F822/$C822)</f>
        <v/>
      </c>
      <c r="H822" s="119">
        <f>IF($E822=0,0,$F822/$E822)</f>
        <v/>
      </c>
      <c r="I822" s="121">
        <f>IF($B822="","",IF($F822&lt;0,"ZARAR",IF($G822&lt;IsMarjEsik,"RİSK","KÂRLI")))</f>
        <v/>
      </c>
      <c r="J822" s="122" t="n"/>
    </row>
    <row r="823" ht="15" customHeight="1" s="76">
      <c r="A823" s="122" t="n"/>
      <c r="B823" s="122" t="n"/>
      <c r="C823" s="123" t="n"/>
      <c r="D823" s="123" t="n"/>
      <c r="E823" s="124" t="n"/>
      <c r="F823" s="119">
        <f>$C823-$D823</f>
        <v/>
      </c>
      <c r="G823" s="120">
        <f>IF($C823=0,0,$F823/$C823)</f>
        <v/>
      </c>
      <c r="H823" s="119">
        <f>IF($E823=0,0,$F823/$E823)</f>
        <v/>
      </c>
      <c r="I823" s="121">
        <f>IF($B823="","",IF($F823&lt;0,"ZARAR",IF($G823&lt;IsMarjEsik,"RİSK","KÂRLI")))</f>
        <v/>
      </c>
      <c r="J823" s="122" t="n"/>
    </row>
    <row r="824" ht="15" customHeight="1" s="76">
      <c r="A824" s="122" t="n"/>
      <c r="B824" s="122" t="n"/>
      <c r="C824" s="123" t="n"/>
      <c r="D824" s="123" t="n"/>
      <c r="E824" s="124" t="n"/>
      <c r="F824" s="119">
        <f>$C824-$D824</f>
        <v/>
      </c>
      <c r="G824" s="120">
        <f>IF($C824=0,0,$F824/$C824)</f>
        <v/>
      </c>
      <c r="H824" s="119">
        <f>IF($E824=0,0,$F824/$E824)</f>
        <v/>
      </c>
      <c r="I824" s="121">
        <f>IF($B824="","",IF($F824&lt;0,"ZARAR",IF($G824&lt;IsMarjEsik,"RİSK","KÂRLI")))</f>
        <v/>
      </c>
      <c r="J824" s="122" t="n"/>
    </row>
    <row r="825" ht="15" customHeight="1" s="76">
      <c r="A825" s="122" t="n"/>
      <c r="B825" s="122" t="n"/>
      <c r="C825" s="123" t="n"/>
      <c r="D825" s="123" t="n"/>
      <c r="E825" s="124" t="n"/>
      <c r="F825" s="119">
        <f>$C825-$D825</f>
        <v/>
      </c>
      <c r="G825" s="120">
        <f>IF($C825=0,0,$F825/$C825)</f>
        <v/>
      </c>
      <c r="H825" s="119">
        <f>IF($E825=0,0,$F825/$E825)</f>
        <v/>
      </c>
      <c r="I825" s="121">
        <f>IF($B825="","",IF($F825&lt;0,"ZARAR",IF($G825&lt;IsMarjEsik,"RİSK","KÂRLI")))</f>
        <v/>
      </c>
      <c r="J825" s="122" t="n"/>
    </row>
    <row r="826" ht="15" customHeight="1" s="76">
      <c r="A826" s="122" t="n"/>
      <c r="B826" s="122" t="n"/>
      <c r="C826" s="123" t="n"/>
      <c r="D826" s="123" t="n"/>
      <c r="E826" s="124" t="n"/>
      <c r="F826" s="119">
        <f>$C826-$D826</f>
        <v/>
      </c>
      <c r="G826" s="120">
        <f>IF($C826=0,0,$F826/$C826)</f>
        <v/>
      </c>
      <c r="H826" s="119">
        <f>IF($E826=0,0,$F826/$E826)</f>
        <v/>
      </c>
      <c r="I826" s="121">
        <f>IF($B826="","",IF($F826&lt;0,"ZARAR",IF($G826&lt;IsMarjEsik,"RİSK","KÂRLI")))</f>
        <v/>
      </c>
      <c r="J826" s="122" t="n"/>
    </row>
    <row r="827" ht="15" customHeight="1" s="76">
      <c r="A827" s="122" t="n"/>
      <c r="B827" s="122" t="n"/>
      <c r="C827" s="123" t="n"/>
      <c r="D827" s="123" t="n"/>
      <c r="E827" s="124" t="n"/>
      <c r="F827" s="119">
        <f>$C827-$D827</f>
        <v/>
      </c>
      <c r="G827" s="120">
        <f>IF($C827=0,0,$F827/$C827)</f>
        <v/>
      </c>
      <c r="H827" s="119">
        <f>IF($E827=0,0,$F827/$E827)</f>
        <v/>
      </c>
      <c r="I827" s="121">
        <f>IF($B827="","",IF($F827&lt;0,"ZARAR",IF($G827&lt;IsMarjEsik,"RİSK","KÂRLI")))</f>
        <v/>
      </c>
      <c r="J827" s="122" t="n"/>
    </row>
    <row r="828" ht="15" customHeight="1" s="76">
      <c r="A828" s="122" t="n"/>
      <c r="B828" s="122" t="n"/>
      <c r="C828" s="123" t="n"/>
      <c r="D828" s="123" t="n"/>
      <c r="E828" s="124" t="n"/>
      <c r="F828" s="119">
        <f>$C828-$D828</f>
        <v/>
      </c>
      <c r="G828" s="120">
        <f>IF($C828=0,0,$F828/$C828)</f>
        <v/>
      </c>
      <c r="H828" s="119">
        <f>IF($E828=0,0,$F828/$E828)</f>
        <v/>
      </c>
      <c r="I828" s="121">
        <f>IF($B828="","",IF($F828&lt;0,"ZARAR",IF($G828&lt;IsMarjEsik,"RİSK","KÂRLI")))</f>
        <v/>
      </c>
      <c r="J828" s="122" t="n"/>
    </row>
    <row r="829" ht="15" customHeight="1" s="76">
      <c r="A829" s="122" t="n"/>
      <c r="B829" s="122" t="n"/>
      <c r="C829" s="123" t="n"/>
      <c r="D829" s="123" t="n"/>
      <c r="E829" s="124" t="n"/>
      <c r="F829" s="119">
        <f>$C829-$D829</f>
        <v/>
      </c>
      <c r="G829" s="120">
        <f>IF($C829=0,0,$F829/$C829)</f>
        <v/>
      </c>
      <c r="H829" s="119">
        <f>IF($E829=0,0,$F829/$E829)</f>
        <v/>
      </c>
      <c r="I829" s="121">
        <f>IF($B829="","",IF($F829&lt;0,"ZARAR",IF($G829&lt;IsMarjEsik,"RİSK","KÂRLI")))</f>
        <v/>
      </c>
      <c r="J829" s="122" t="n"/>
    </row>
    <row r="830" ht="15" customHeight="1" s="76">
      <c r="A830" s="122" t="n"/>
      <c r="B830" s="122" t="n"/>
      <c r="C830" s="123" t="n"/>
      <c r="D830" s="123" t="n"/>
      <c r="E830" s="124" t="n"/>
      <c r="F830" s="119">
        <f>$C830-$D830</f>
        <v/>
      </c>
      <c r="G830" s="120">
        <f>IF($C830=0,0,$F830/$C830)</f>
        <v/>
      </c>
      <c r="H830" s="119">
        <f>IF($E830=0,0,$F830/$E830)</f>
        <v/>
      </c>
      <c r="I830" s="121">
        <f>IF($B830="","",IF($F830&lt;0,"ZARAR",IF($G830&lt;IsMarjEsik,"RİSK","KÂRLI")))</f>
        <v/>
      </c>
      <c r="J830" s="122" t="n"/>
    </row>
    <row r="831" ht="15" customHeight="1" s="76">
      <c r="A831" s="122" t="n"/>
      <c r="B831" s="122" t="n"/>
      <c r="C831" s="123" t="n"/>
      <c r="D831" s="123" t="n"/>
      <c r="E831" s="124" t="n"/>
      <c r="F831" s="119">
        <f>$C831-$D831</f>
        <v/>
      </c>
      <c r="G831" s="120">
        <f>IF($C831=0,0,$F831/$C831)</f>
        <v/>
      </c>
      <c r="H831" s="119">
        <f>IF($E831=0,0,$F831/$E831)</f>
        <v/>
      </c>
      <c r="I831" s="121">
        <f>IF($B831="","",IF($F831&lt;0,"ZARAR",IF($G831&lt;IsMarjEsik,"RİSK","KÂRLI")))</f>
        <v/>
      </c>
      <c r="J831" s="122" t="n"/>
    </row>
    <row r="832" ht="15" customHeight="1" s="76">
      <c r="A832" s="122" t="n"/>
      <c r="B832" s="122" t="n"/>
      <c r="C832" s="123" t="n"/>
      <c r="D832" s="123" t="n"/>
      <c r="E832" s="124" t="n"/>
      <c r="F832" s="119">
        <f>$C832-$D832</f>
        <v/>
      </c>
      <c r="G832" s="120">
        <f>IF($C832=0,0,$F832/$C832)</f>
        <v/>
      </c>
      <c r="H832" s="119">
        <f>IF($E832=0,0,$F832/$E832)</f>
        <v/>
      </c>
      <c r="I832" s="121">
        <f>IF($B832="","",IF($F832&lt;0,"ZARAR",IF($G832&lt;IsMarjEsik,"RİSK","KÂRLI")))</f>
        <v/>
      </c>
      <c r="J832" s="122" t="n"/>
    </row>
    <row r="833" ht="15" customHeight="1" s="76">
      <c r="A833" s="122" t="n"/>
      <c r="B833" s="122" t="n"/>
      <c r="C833" s="123" t="n"/>
      <c r="D833" s="123" t="n"/>
      <c r="E833" s="124" t="n"/>
      <c r="F833" s="119">
        <f>$C833-$D833</f>
        <v/>
      </c>
      <c r="G833" s="120">
        <f>IF($C833=0,0,$F833/$C833)</f>
        <v/>
      </c>
      <c r="H833" s="119">
        <f>IF($E833=0,0,$F833/$E833)</f>
        <v/>
      </c>
      <c r="I833" s="121">
        <f>IF($B833="","",IF($F833&lt;0,"ZARAR",IF($G833&lt;IsMarjEsik,"RİSK","KÂRLI")))</f>
        <v/>
      </c>
      <c r="J833" s="122" t="n"/>
    </row>
    <row r="834" ht="15" customHeight="1" s="76">
      <c r="A834" s="122" t="n"/>
      <c r="B834" s="122" t="n"/>
      <c r="C834" s="123" t="n"/>
      <c r="D834" s="123" t="n"/>
      <c r="E834" s="124" t="n"/>
      <c r="F834" s="119">
        <f>$C834-$D834</f>
        <v/>
      </c>
      <c r="G834" s="120">
        <f>IF($C834=0,0,$F834/$C834)</f>
        <v/>
      </c>
      <c r="H834" s="119">
        <f>IF($E834=0,0,$F834/$E834)</f>
        <v/>
      </c>
      <c r="I834" s="121">
        <f>IF($B834="","",IF($F834&lt;0,"ZARAR",IF($G834&lt;IsMarjEsik,"RİSK","KÂRLI")))</f>
        <v/>
      </c>
      <c r="J834" s="122" t="n"/>
    </row>
    <row r="835" ht="15" customHeight="1" s="76">
      <c r="A835" s="122" t="n"/>
      <c r="B835" s="122" t="n"/>
      <c r="C835" s="123" t="n"/>
      <c r="D835" s="123" t="n"/>
      <c r="E835" s="124" t="n"/>
      <c r="F835" s="119">
        <f>$C835-$D835</f>
        <v/>
      </c>
      <c r="G835" s="120">
        <f>IF($C835=0,0,$F835/$C835)</f>
        <v/>
      </c>
      <c r="H835" s="119">
        <f>IF($E835=0,0,$F835/$E835)</f>
        <v/>
      </c>
      <c r="I835" s="121">
        <f>IF($B835="","",IF($F835&lt;0,"ZARAR",IF($G835&lt;IsMarjEsik,"RİSK","KÂRLI")))</f>
        <v/>
      </c>
      <c r="J835" s="122" t="n"/>
    </row>
    <row r="836" ht="15" customHeight="1" s="76">
      <c r="A836" s="122" t="n"/>
      <c r="B836" s="122" t="n"/>
      <c r="C836" s="123" t="n"/>
      <c r="D836" s="123" t="n"/>
      <c r="E836" s="124" t="n"/>
      <c r="F836" s="119">
        <f>$C836-$D836</f>
        <v/>
      </c>
      <c r="G836" s="120">
        <f>IF($C836=0,0,$F836/$C836)</f>
        <v/>
      </c>
      <c r="H836" s="119">
        <f>IF($E836=0,0,$F836/$E836)</f>
        <v/>
      </c>
      <c r="I836" s="121">
        <f>IF($B836="","",IF($F836&lt;0,"ZARAR",IF($G836&lt;IsMarjEsik,"RİSK","KÂRLI")))</f>
        <v/>
      </c>
      <c r="J836" s="122" t="n"/>
    </row>
    <row r="837" ht="15" customHeight="1" s="76">
      <c r="A837" s="122" t="n"/>
      <c r="B837" s="122" t="n"/>
      <c r="C837" s="123" t="n"/>
      <c r="D837" s="123" t="n"/>
      <c r="E837" s="124" t="n"/>
      <c r="F837" s="119">
        <f>$C837-$D837</f>
        <v/>
      </c>
      <c r="G837" s="120">
        <f>IF($C837=0,0,$F837/$C837)</f>
        <v/>
      </c>
      <c r="H837" s="119">
        <f>IF($E837=0,0,$F837/$E837)</f>
        <v/>
      </c>
      <c r="I837" s="121">
        <f>IF($B837="","",IF($F837&lt;0,"ZARAR",IF($G837&lt;IsMarjEsik,"RİSK","KÂRLI")))</f>
        <v/>
      </c>
      <c r="J837" s="122" t="n"/>
    </row>
    <row r="838" ht="15" customHeight="1" s="76">
      <c r="A838" s="122" t="n"/>
      <c r="B838" s="122" t="n"/>
      <c r="C838" s="123" t="n"/>
      <c r="D838" s="123" t="n"/>
      <c r="E838" s="124" t="n"/>
      <c r="F838" s="119">
        <f>$C838-$D838</f>
        <v/>
      </c>
      <c r="G838" s="120">
        <f>IF($C838=0,0,$F838/$C838)</f>
        <v/>
      </c>
      <c r="H838" s="119">
        <f>IF($E838=0,0,$F838/$E838)</f>
        <v/>
      </c>
      <c r="I838" s="121">
        <f>IF($B838="","",IF($F838&lt;0,"ZARAR",IF($G838&lt;IsMarjEsik,"RİSK","KÂRLI")))</f>
        <v/>
      </c>
      <c r="J838" s="122" t="n"/>
    </row>
    <row r="839" ht="15" customHeight="1" s="76">
      <c r="A839" s="122" t="n"/>
      <c r="B839" s="122" t="n"/>
      <c r="C839" s="123" t="n"/>
      <c r="D839" s="123" t="n"/>
      <c r="E839" s="124" t="n"/>
      <c r="F839" s="119">
        <f>$C839-$D839</f>
        <v/>
      </c>
      <c r="G839" s="120">
        <f>IF($C839=0,0,$F839/$C839)</f>
        <v/>
      </c>
      <c r="H839" s="119">
        <f>IF($E839=0,0,$F839/$E839)</f>
        <v/>
      </c>
      <c r="I839" s="121">
        <f>IF($B839="","",IF($F839&lt;0,"ZARAR",IF($G839&lt;IsMarjEsik,"RİSK","KÂRLI")))</f>
        <v/>
      </c>
      <c r="J839" s="122" t="n"/>
    </row>
    <row r="840" ht="15" customHeight="1" s="76">
      <c r="A840" s="122" t="n"/>
      <c r="B840" s="122" t="n"/>
      <c r="C840" s="123" t="n"/>
      <c r="D840" s="123" t="n"/>
      <c r="E840" s="124" t="n"/>
      <c r="F840" s="119">
        <f>$C840-$D840</f>
        <v/>
      </c>
      <c r="G840" s="120">
        <f>IF($C840=0,0,$F840/$C840)</f>
        <v/>
      </c>
      <c r="H840" s="119">
        <f>IF($E840=0,0,$F840/$E840)</f>
        <v/>
      </c>
      <c r="I840" s="121">
        <f>IF($B840="","",IF($F840&lt;0,"ZARAR",IF($G840&lt;IsMarjEsik,"RİSK","KÂRLI")))</f>
        <v/>
      </c>
      <c r="J840" s="122" t="n"/>
    </row>
    <row r="841" ht="15" customHeight="1" s="76">
      <c r="A841" s="122" t="n"/>
      <c r="B841" s="122" t="n"/>
      <c r="C841" s="123" t="n"/>
      <c r="D841" s="123" t="n"/>
      <c r="E841" s="124" t="n"/>
      <c r="F841" s="119">
        <f>$C841-$D841</f>
        <v/>
      </c>
      <c r="G841" s="120">
        <f>IF($C841=0,0,$F841/$C841)</f>
        <v/>
      </c>
      <c r="H841" s="119">
        <f>IF($E841=0,0,$F841/$E841)</f>
        <v/>
      </c>
      <c r="I841" s="121">
        <f>IF($B841="","",IF($F841&lt;0,"ZARAR",IF($G841&lt;IsMarjEsik,"RİSK","KÂRLI")))</f>
        <v/>
      </c>
      <c r="J841" s="122" t="n"/>
    </row>
    <row r="842" ht="15" customHeight="1" s="76">
      <c r="A842" s="122" t="n"/>
      <c r="B842" s="122" t="n"/>
      <c r="C842" s="123" t="n"/>
      <c r="D842" s="123" t="n"/>
      <c r="E842" s="124" t="n"/>
      <c r="F842" s="119">
        <f>$C842-$D842</f>
        <v/>
      </c>
      <c r="G842" s="120">
        <f>IF($C842=0,0,$F842/$C842)</f>
        <v/>
      </c>
      <c r="H842" s="119">
        <f>IF($E842=0,0,$F842/$E842)</f>
        <v/>
      </c>
      <c r="I842" s="121">
        <f>IF($B842="","",IF($F842&lt;0,"ZARAR",IF($G842&lt;IsMarjEsik,"RİSK","KÂRLI")))</f>
        <v/>
      </c>
      <c r="J842" s="122" t="n"/>
    </row>
    <row r="843" ht="15" customHeight="1" s="76">
      <c r="A843" s="122" t="n"/>
      <c r="B843" s="122" t="n"/>
      <c r="C843" s="123" t="n"/>
      <c r="D843" s="123" t="n"/>
      <c r="E843" s="124" t="n"/>
      <c r="F843" s="119">
        <f>$C843-$D843</f>
        <v/>
      </c>
      <c r="G843" s="120">
        <f>IF($C843=0,0,$F843/$C843)</f>
        <v/>
      </c>
      <c r="H843" s="119">
        <f>IF($E843=0,0,$F843/$E843)</f>
        <v/>
      </c>
      <c r="I843" s="121">
        <f>IF($B843="","",IF($F843&lt;0,"ZARAR",IF($G843&lt;IsMarjEsik,"RİSK","KÂRLI")))</f>
        <v/>
      </c>
      <c r="J843" s="122" t="n"/>
    </row>
    <row r="844" ht="15" customHeight="1" s="76">
      <c r="A844" s="122" t="n"/>
      <c r="B844" s="122" t="n"/>
      <c r="C844" s="123" t="n"/>
      <c r="D844" s="123" t="n"/>
      <c r="E844" s="124" t="n"/>
      <c r="F844" s="119">
        <f>$C844-$D844</f>
        <v/>
      </c>
      <c r="G844" s="120">
        <f>IF($C844=0,0,$F844/$C844)</f>
        <v/>
      </c>
      <c r="H844" s="119">
        <f>IF($E844=0,0,$F844/$E844)</f>
        <v/>
      </c>
      <c r="I844" s="121">
        <f>IF($B844="","",IF($F844&lt;0,"ZARAR",IF($G844&lt;IsMarjEsik,"RİSK","KÂRLI")))</f>
        <v/>
      </c>
      <c r="J844" s="122" t="n"/>
    </row>
    <row r="845" ht="15" customHeight="1" s="76">
      <c r="A845" s="122" t="n"/>
      <c r="B845" s="122" t="n"/>
      <c r="C845" s="123" t="n"/>
      <c r="D845" s="123" t="n"/>
      <c r="E845" s="124" t="n"/>
      <c r="F845" s="119">
        <f>$C845-$D845</f>
        <v/>
      </c>
      <c r="G845" s="120">
        <f>IF($C845=0,0,$F845/$C845)</f>
        <v/>
      </c>
      <c r="H845" s="119">
        <f>IF($E845=0,0,$F845/$E845)</f>
        <v/>
      </c>
      <c r="I845" s="121">
        <f>IF($B845="","",IF($F845&lt;0,"ZARAR",IF($G845&lt;IsMarjEsik,"RİSK","KÂRLI")))</f>
        <v/>
      </c>
      <c r="J845" s="122" t="n"/>
    </row>
    <row r="846" ht="15" customHeight="1" s="76">
      <c r="A846" s="122" t="n"/>
      <c r="B846" s="122" t="n"/>
      <c r="C846" s="123" t="n"/>
      <c r="D846" s="123" t="n"/>
      <c r="E846" s="124" t="n"/>
      <c r="F846" s="119">
        <f>$C846-$D846</f>
        <v/>
      </c>
      <c r="G846" s="120">
        <f>IF($C846=0,0,$F846/$C846)</f>
        <v/>
      </c>
      <c r="H846" s="119">
        <f>IF($E846=0,0,$F846/$E846)</f>
        <v/>
      </c>
      <c r="I846" s="121">
        <f>IF($B846="","",IF($F846&lt;0,"ZARAR",IF($G846&lt;IsMarjEsik,"RİSK","KÂRLI")))</f>
        <v/>
      </c>
      <c r="J846" s="122" t="n"/>
    </row>
    <row r="847" ht="15" customHeight="1" s="76">
      <c r="A847" s="122" t="n"/>
      <c r="B847" s="122" t="n"/>
      <c r="C847" s="123" t="n"/>
      <c r="D847" s="123" t="n"/>
      <c r="E847" s="124" t="n"/>
      <c r="F847" s="119">
        <f>$C847-$D847</f>
        <v/>
      </c>
      <c r="G847" s="120">
        <f>IF($C847=0,0,$F847/$C847)</f>
        <v/>
      </c>
      <c r="H847" s="119">
        <f>IF($E847=0,0,$F847/$E847)</f>
        <v/>
      </c>
      <c r="I847" s="121">
        <f>IF($B847="","",IF($F847&lt;0,"ZARAR",IF($G847&lt;IsMarjEsik,"RİSK","KÂRLI")))</f>
        <v/>
      </c>
      <c r="J847" s="122" t="n"/>
    </row>
    <row r="848" ht="15" customHeight="1" s="76">
      <c r="A848" s="122" t="n"/>
      <c r="B848" s="122" t="n"/>
      <c r="C848" s="123" t="n"/>
      <c r="D848" s="123" t="n"/>
      <c r="E848" s="124" t="n"/>
      <c r="F848" s="119">
        <f>$C848-$D848</f>
        <v/>
      </c>
      <c r="G848" s="120">
        <f>IF($C848=0,0,$F848/$C848)</f>
        <v/>
      </c>
      <c r="H848" s="119">
        <f>IF($E848=0,0,$F848/$E848)</f>
        <v/>
      </c>
      <c r="I848" s="121">
        <f>IF($B848="","",IF($F848&lt;0,"ZARAR",IF($G848&lt;IsMarjEsik,"RİSK","KÂRLI")))</f>
        <v/>
      </c>
      <c r="J848" s="122" t="n"/>
    </row>
    <row r="849" ht="15" customHeight="1" s="76">
      <c r="A849" s="122" t="n"/>
      <c r="B849" s="122" t="n"/>
      <c r="C849" s="123" t="n"/>
      <c r="D849" s="123" t="n"/>
      <c r="E849" s="124" t="n"/>
      <c r="F849" s="119">
        <f>$C849-$D849</f>
        <v/>
      </c>
      <c r="G849" s="120">
        <f>IF($C849=0,0,$F849/$C849)</f>
        <v/>
      </c>
      <c r="H849" s="119">
        <f>IF($E849=0,0,$F849/$E849)</f>
        <v/>
      </c>
      <c r="I849" s="121">
        <f>IF($B849="","",IF($F849&lt;0,"ZARAR",IF($G849&lt;IsMarjEsik,"RİSK","KÂRLI")))</f>
        <v/>
      </c>
      <c r="J849" s="122" t="n"/>
    </row>
    <row r="850" ht="15" customHeight="1" s="76">
      <c r="A850" s="122" t="n"/>
      <c r="B850" s="122" t="n"/>
      <c r="C850" s="123" t="n"/>
      <c r="D850" s="123" t="n"/>
      <c r="E850" s="124" t="n"/>
      <c r="F850" s="119">
        <f>$C850-$D850</f>
        <v/>
      </c>
      <c r="G850" s="120">
        <f>IF($C850=0,0,$F850/$C850)</f>
        <v/>
      </c>
      <c r="H850" s="119">
        <f>IF($E850=0,0,$F850/$E850)</f>
        <v/>
      </c>
      <c r="I850" s="121">
        <f>IF($B850="","",IF($F850&lt;0,"ZARAR",IF($G850&lt;IsMarjEsik,"RİSK","KÂRLI")))</f>
        <v/>
      </c>
      <c r="J850" s="122" t="n"/>
    </row>
    <row r="851" ht="15" customHeight="1" s="76">
      <c r="A851" s="122" t="n"/>
      <c r="B851" s="122" t="n"/>
      <c r="C851" s="123" t="n"/>
      <c r="D851" s="123" t="n"/>
      <c r="E851" s="124" t="n"/>
      <c r="F851" s="119">
        <f>$C851-$D851</f>
        <v/>
      </c>
      <c r="G851" s="120">
        <f>IF($C851=0,0,$F851/$C851)</f>
        <v/>
      </c>
      <c r="H851" s="119">
        <f>IF($E851=0,0,$F851/$E851)</f>
        <v/>
      </c>
      <c r="I851" s="121">
        <f>IF($B851="","",IF($F851&lt;0,"ZARAR",IF($G851&lt;IsMarjEsik,"RİSK","KÂRLI")))</f>
        <v/>
      </c>
      <c r="J851" s="122" t="n"/>
    </row>
    <row r="852" ht="15" customHeight="1" s="76">
      <c r="A852" s="122" t="n"/>
      <c r="B852" s="122" t="n"/>
      <c r="C852" s="123" t="n"/>
      <c r="D852" s="123" t="n"/>
      <c r="E852" s="124" t="n"/>
      <c r="F852" s="119">
        <f>$C852-$D852</f>
        <v/>
      </c>
      <c r="G852" s="120">
        <f>IF($C852=0,0,$F852/$C852)</f>
        <v/>
      </c>
      <c r="H852" s="119">
        <f>IF($E852=0,0,$F852/$E852)</f>
        <v/>
      </c>
      <c r="I852" s="121">
        <f>IF($B852="","",IF($F852&lt;0,"ZARAR",IF($G852&lt;IsMarjEsik,"RİSK","KÂRLI")))</f>
        <v/>
      </c>
      <c r="J852" s="122" t="n"/>
    </row>
    <row r="853" ht="15" customHeight="1" s="76">
      <c r="A853" s="122" t="n"/>
      <c r="B853" s="122" t="n"/>
      <c r="C853" s="123" t="n"/>
      <c r="D853" s="123" t="n"/>
      <c r="E853" s="124" t="n"/>
      <c r="F853" s="119">
        <f>$C853-$D853</f>
        <v/>
      </c>
      <c r="G853" s="120">
        <f>IF($C853=0,0,$F853/$C853)</f>
        <v/>
      </c>
      <c r="H853" s="119">
        <f>IF($E853=0,0,$F853/$E853)</f>
        <v/>
      </c>
      <c r="I853" s="121">
        <f>IF($B853="","",IF($F853&lt;0,"ZARAR",IF($G853&lt;IsMarjEsik,"RİSK","KÂRLI")))</f>
        <v/>
      </c>
      <c r="J853" s="122" t="n"/>
    </row>
    <row r="854" ht="15" customHeight="1" s="76">
      <c r="A854" s="122" t="n"/>
      <c r="B854" s="122" t="n"/>
      <c r="C854" s="123" t="n"/>
      <c r="D854" s="123" t="n"/>
      <c r="E854" s="124" t="n"/>
      <c r="F854" s="119">
        <f>$C854-$D854</f>
        <v/>
      </c>
      <c r="G854" s="120">
        <f>IF($C854=0,0,$F854/$C854)</f>
        <v/>
      </c>
      <c r="H854" s="119">
        <f>IF($E854=0,0,$F854/$E854)</f>
        <v/>
      </c>
      <c r="I854" s="121">
        <f>IF($B854="","",IF($F854&lt;0,"ZARAR",IF($G854&lt;IsMarjEsik,"RİSK","KÂRLI")))</f>
        <v/>
      </c>
      <c r="J854" s="122" t="n"/>
    </row>
    <row r="855" ht="15" customHeight="1" s="76">
      <c r="A855" s="122" t="n"/>
      <c r="B855" s="122" t="n"/>
      <c r="C855" s="123" t="n"/>
      <c r="D855" s="123" t="n"/>
      <c r="E855" s="124" t="n"/>
      <c r="F855" s="119">
        <f>$C855-$D855</f>
        <v/>
      </c>
      <c r="G855" s="120">
        <f>IF($C855=0,0,$F855/$C855)</f>
        <v/>
      </c>
      <c r="H855" s="119">
        <f>IF($E855=0,0,$F855/$E855)</f>
        <v/>
      </c>
      <c r="I855" s="121">
        <f>IF($B855="","",IF($F855&lt;0,"ZARAR",IF($G855&lt;IsMarjEsik,"RİSK","KÂRLI")))</f>
        <v/>
      </c>
      <c r="J855" s="122" t="n"/>
    </row>
    <row r="856" ht="15" customHeight="1" s="76">
      <c r="A856" s="122" t="n"/>
      <c r="B856" s="122" t="n"/>
      <c r="C856" s="123" t="n"/>
      <c r="D856" s="123" t="n"/>
      <c r="E856" s="124" t="n"/>
      <c r="F856" s="119">
        <f>$C856-$D856</f>
        <v/>
      </c>
      <c r="G856" s="120">
        <f>IF($C856=0,0,$F856/$C856)</f>
        <v/>
      </c>
      <c r="H856" s="119">
        <f>IF($E856=0,0,$F856/$E856)</f>
        <v/>
      </c>
      <c r="I856" s="121">
        <f>IF($B856="","",IF($F856&lt;0,"ZARAR",IF($G856&lt;IsMarjEsik,"RİSK","KÂRLI")))</f>
        <v/>
      </c>
      <c r="J856" s="122" t="n"/>
    </row>
    <row r="857" ht="15" customHeight="1" s="76">
      <c r="A857" s="122" t="n"/>
      <c r="B857" s="122" t="n"/>
      <c r="C857" s="123" t="n"/>
      <c r="D857" s="123" t="n"/>
      <c r="E857" s="124" t="n"/>
      <c r="F857" s="119">
        <f>$C857-$D857</f>
        <v/>
      </c>
      <c r="G857" s="120">
        <f>IF($C857=0,0,$F857/$C857)</f>
        <v/>
      </c>
      <c r="H857" s="119">
        <f>IF($E857=0,0,$F857/$E857)</f>
        <v/>
      </c>
      <c r="I857" s="121">
        <f>IF($B857="","",IF($F857&lt;0,"ZARAR",IF($G857&lt;IsMarjEsik,"RİSK","KÂRLI")))</f>
        <v/>
      </c>
      <c r="J857" s="122" t="n"/>
    </row>
    <row r="858" ht="15" customHeight="1" s="76">
      <c r="A858" s="122" t="n"/>
      <c r="B858" s="122" t="n"/>
      <c r="C858" s="123" t="n"/>
      <c r="D858" s="123" t="n"/>
      <c r="E858" s="124" t="n"/>
      <c r="F858" s="119">
        <f>$C858-$D858</f>
        <v/>
      </c>
      <c r="G858" s="120">
        <f>IF($C858=0,0,$F858/$C858)</f>
        <v/>
      </c>
      <c r="H858" s="119">
        <f>IF($E858=0,0,$F858/$E858)</f>
        <v/>
      </c>
      <c r="I858" s="121">
        <f>IF($B858="","",IF($F858&lt;0,"ZARAR",IF($G858&lt;IsMarjEsik,"RİSK","KÂRLI")))</f>
        <v/>
      </c>
      <c r="J858" s="122" t="n"/>
    </row>
    <row r="859" ht="15" customHeight="1" s="76">
      <c r="A859" s="122" t="n"/>
      <c r="B859" s="122" t="n"/>
      <c r="C859" s="123" t="n"/>
      <c r="D859" s="123" t="n"/>
      <c r="E859" s="124" t="n"/>
      <c r="F859" s="119">
        <f>$C859-$D859</f>
        <v/>
      </c>
      <c r="G859" s="120">
        <f>IF($C859=0,0,$F859/$C859)</f>
        <v/>
      </c>
      <c r="H859" s="119">
        <f>IF($E859=0,0,$F859/$E859)</f>
        <v/>
      </c>
      <c r="I859" s="121">
        <f>IF($B859="","",IF($F859&lt;0,"ZARAR",IF($G859&lt;IsMarjEsik,"RİSK","KÂRLI")))</f>
        <v/>
      </c>
      <c r="J859" s="122" t="n"/>
    </row>
    <row r="860" ht="15" customHeight="1" s="76">
      <c r="A860" s="122" t="n"/>
      <c r="B860" s="122" t="n"/>
      <c r="C860" s="123" t="n"/>
      <c r="D860" s="123" t="n"/>
      <c r="E860" s="124" t="n"/>
      <c r="F860" s="119">
        <f>$C860-$D860</f>
        <v/>
      </c>
      <c r="G860" s="120">
        <f>IF($C860=0,0,$F860/$C860)</f>
        <v/>
      </c>
      <c r="H860" s="119">
        <f>IF($E860=0,0,$F860/$E860)</f>
        <v/>
      </c>
      <c r="I860" s="121">
        <f>IF($B860="","",IF($F860&lt;0,"ZARAR",IF($G860&lt;IsMarjEsik,"RİSK","KÂRLI")))</f>
        <v/>
      </c>
      <c r="J860" s="122" t="n"/>
    </row>
    <row r="861" ht="15" customHeight="1" s="76">
      <c r="A861" s="122" t="n"/>
      <c r="B861" s="122" t="n"/>
      <c r="C861" s="123" t="n"/>
      <c r="D861" s="123" t="n"/>
      <c r="E861" s="124" t="n"/>
      <c r="F861" s="119">
        <f>$C861-$D861</f>
        <v/>
      </c>
      <c r="G861" s="120">
        <f>IF($C861=0,0,$F861/$C861)</f>
        <v/>
      </c>
      <c r="H861" s="119">
        <f>IF($E861=0,0,$F861/$E861)</f>
        <v/>
      </c>
      <c r="I861" s="121">
        <f>IF($B861="","",IF($F861&lt;0,"ZARAR",IF($G861&lt;IsMarjEsik,"RİSK","KÂRLI")))</f>
        <v/>
      </c>
      <c r="J861" s="122" t="n"/>
    </row>
    <row r="862" ht="15" customHeight="1" s="76">
      <c r="A862" s="122" t="n"/>
      <c r="B862" s="122" t="n"/>
      <c r="C862" s="123" t="n"/>
      <c r="D862" s="123" t="n"/>
      <c r="E862" s="124" t="n"/>
      <c r="F862" s="119">
        <f>$C862-$D862</f>
        <v/>
      </c>
      <c r="G862" s="120">
        <f>IF($C862=0,0,$F862/$C862)</f>
        <v/>
      </c>
      <c r="H862" s="119">
        <f>IF($E862=0,0,$F862/$E862)</f>
        <v/>
      </c>
      <c r="I862" s="121">
        <f>IF($B862="","",IF($F862&lt;0,"ZARAR",IF($G862&lt;IsMarjEsik,"RİSK","KÂRLI")))</f>
        <v/>
      </c>
      <c r="J862" s="122" t="n"/>
    </row>
    <row r="863" ht="15" customHeight="1" s="76">
      <c r="A863" s="122" t="n"/>
      <c r="B863" s="122" t="n"/>
      <c r="C863" s="123" t="n"/>
      <c r="D863" s="123" t="n"/>
      <c r="E863" s="124" t="n"/>
      <c r="F863" s="119">
        <f>$C863-$D863</f>
        <v/>
      </c>
      <c r="G863" s="120">
        <f>IF($C863=0,0,$F863/$C863)</f>
        <v/>
      </c>
      <c r="H863" s="119">
        <f>IF($E863=0,0,$F863/$E863)</f>
        <v/>
      </c>
      <c r="I863" s="121">
        <f>IF($B863="","",IF($F863&lt;0,"ZARAR",IF($G863&lt;IsMarjEsik,"RİSK","KÂRLI")))</f>
        <v/>
      </c>
      <c r="J863" s="122" t="n"/>
    </row>
    <row r="864" ht="15" customHeight="1" s="76">
      <c r="A864" s="122" t="n"/>
      <c r="B864" s="122" t="n"/>
      <c r="C864" s="123" t="n"/>
      <c r="D864" s="123" t="n"/>
      <c r="E864" s="124" t="n"/>
      <c r="F864" s="119">
        <f>$C864-$D864</f>
        <v/>
      </c>
      <c r="G864" s="120">
        <f>IF($C864=0,0,$F864/$C864)</f>
        <v/>
      </c>
      <c r="H864" s="119">
        <f>IF($E864=0,0,$F864/$E864)</f>
        <v/>
      </c>
      <c r="I864" s="121">
        <f>IF($B864="","",IF($F864&lt;0,"ZARAR",IF($G864&lt;IsMarjEsik,"RİSK","KÂRLI")))</f>
        <v/>
      </c>
      <c r="J864" s="122" t="n"/>
    </row>
    <row r="865" ht="15" customHeight="1" s="76">
      <c r="A865" s="122" t="n"/>
      <c r="B865" s="122" t="n"/>
      <c r="C865" s="123" t="n"/>
      <c r="D865" s="123" t="n"/>
      <c r="E865" s="124" t="n"/>
      <c r="F865" s="119">
        <f>$C865-$D865</f>
        <v/>
      </c>
      <c r="G865" s="120">
        <f>IF($C865=0,0,$F865/$C865)</f>
        <v/>
      </c>
      <c r="H865" s="119">
        <f>IF($E865=0,0,$F865/$E865)</f>
        <v/>
      </c>
      <c r="I865" s="121">
        <f>IF($B865="","",IF($F865&lt;0,"ZARAR",IF($G865&lt;IsMarjEsik,"RİSK","KÂRLI")))</f>
        <v/>
      </c>
      <c r="J865" s="122" t="n"/>
    </row>
    <row r="866" ht="15" customHeight="1" s="76">
      <c r="A866" s="122" t="n"/>
      <c r="B866" s="122" t="n"/>
      <c r="C866" s="123" t="n"/>
      <c r="D866" s="123" t="n"/>
      <c r="E866" s="124" t="n"/>
      <c r="F866" s="119">
        <f>$C866-$D866</f>
        <v/>
      </c>
      <c r="G866" s="120">
        <f>IF($C866=0,0,$F866/$C866)</f>
        <v/>
      </c>
      <c r="H866" s="119">
        <f>IF($E866=0,0,$F866/$E866)</f>
        <v/>
      </c>
      <c r="I866" s="121">
        <f>IF($B866="","",IF($F866&lt;0,"ZARAR",IF($G866&lt;IsMarjEsik,"RİSK","KÂRLI")))</f>
        <v/>
      </c>
      <c r="J866" s="122" t="n"/>
    </row>
    <row r="867" ht="15" customHeight="1" s="76">
      <c r="A867" s="122" t="n"/>
      <c r="B867" s="122" t="n"/>
      <c r="C867" s="123" t="n"/>
      <c r="D867" s="123" t="n"/>
      <c r="E867" s="124" t="n"/>
      <c r="F867" s="119">
        <f>$C867-$D867</f>
        <v/>
      </c>
      <c r="G867" s="120">
        <f>IF($C867=0,0,$F867/$C867)</f>
        <v/>
      </c>
      <c r="H867" s="119">
        <f>IF($E867=0,0,$F867/$E867)</f>
        <v/>
      </c>
      <c r="I867" s="121">
        <f>IF($B867="","",IF($F867&lt;0,"ZARAR",IF($G867&lt;IsMarjEsik,"RİSK","KÂRLI")))</f>
        <v/>
      </c>
      <c r="J867" s="122" t="n"/>
    </row>
    <row r="868" ht="15" customHeight="1" s="76">
      <c r="A868" s="122" t="n"/>
      <c r="B868" s="122" t="n"/>
      <c r="C868" s="123" t="n"/>
      <c r="D868" s="123" t="n"/>
      <c r="E868" s="124" t="n"/>
      <c r="F868" s="119">
        <f>$C868-$D868</f>
        <v/>
      </c>
      <c r="G868" s="120">
        <f>IF($C868=0,0,$F868/$C868)</f>
        <v/>
      </c>
      <c r="H868" s="119">
        <f>IF($E868=0,0,$F868/$E868)</f>
        <v/>
      </c>
      <c r="I868" s="121">
        <f>IF($B868="","",IF($F868&lt;0,"ZARAR",IF($G868&lt;IsMarjEsik,"RİSK","KÂRLI")))</f>
        <v/>
      </c>
      <c r="J868" s="122" t="n"/>
    </row>
    <row r="869" ht="15" customHeight="1" s="76">
      <c r="A869" s="122" t="n"/>
      <c r="B869" s="122" t="n"/>
      <c r="C869" s="123" t="n"/>
      <c r="D869" s="123" t="n"/>
      <c r="E869" s="124" t="n"/>
      <c r="F869" s="119">
        <f>$C869-$D869</f>
        <v/>
      </c>
      <c r="G869" s="120">
        <f>IF($C869=0,0,$F869/$C869)</f>
        <v/>
      </c>
      <c r="H869" s="119">
        <f>IF($E869=0,0,$F869/$E869)</f>
        <v/>
      </c>
      <c r="I869" s="121">
        <f>IF($B869="","",IF($F869&lt;0,"ZARAR",IF($G869&lt;IsMarjEsik,"RİSK","KÂRLI")))</f>
        <v/>
      </c>
      <c r="J869" s="122" t="n"/>
    </row>
    <row r="870" ht="15" customHeight="1" s="76">
      <c r="A870" s="122" t="n"/>
      <c r="B870" s="122" t="n"/>
      <c r="C870" s="123" t="n"/>
      <c r="D870" s="123" t="n"/>
      <c r="E870" s="124" t="n"/>
      <c r="F870" s="119">
        <f>$C870-$D870</f>
        <v/>
      </c>
      <c r="G870" s="120">
        <f>IF($C870=0,0,$F870/$C870)</f>
        <v/>
      </c>
      <c r="H870" s="119">
        <f>IF($E870=0,0,$F870/$E870)</f>
        <v/>
      </c>
      <c r="I870" s="121">
        <f>IF($B870="","",IF($F870&lt;0,"ZARAR",IF($G870&lt;IsMarjEsik,"RİSK","KÂRLI")))</f>
        <v/>
      </c>
      <c r="J870" s="122" t="n"/>
    </row>
    <row r="871" ht="15" customHeight="1" s="76">
      <c r="A871" s="122" t="n"/>
      <c r="B871" s="122" t="n"/>
      <c r="C871" s="123" t="n"/>
      <c r="D871" s="123" t="n"/>
      <c r="E871" s="124" t="n"/>
      <c r="F871" s="119">
        <f>$C871-$D871</f>
        <v/>
      </c>
      <c r="G871" s="120">
        <f>IF($C871=0,0,$F871/$C871)</f>
        <v/>
      </c>
      <c r="H871" s="119">
        <f>IF($E871=0,0,$F871/$E871)</f>
        <v/>
      </c>
      <c r="I871" s="121">
        <f>IF($B871="","",IF($F871&lt;0,"ZARAR",IF($G871&lt;IsMarjEsik,"RİSK","KÂRLI")))</f>
        <v/>
      </c>
      <c r="J871" s="122" t="n"/>
    </row>
    <row r="872" ht="15" customHeight="1" s="76">
      <c r="A872" s="122" t="n"/>
      <c r="B872" s="122" t="n"/>
      <c r="C872" s="123" t="n"/>
      <c r="D872" s="123" t="n"/>
      <c r="E872" s="124" t="n"/>
      <c r="F872" s="119">
        <f>$C872-$D872</f>
        <v/>
      </c>
      <c r="G872" s="120">
        <f>IF($C872=0,0,$F872/$C872)</f>
        <v/>
      </c>
      <c r="H872" s="119">
        <f>IF($E872=0,0,$F872/$E872)</f>
        <v/>
      </c>
      <c r="I872" s="121">
        <f>IF($B872="","",IF($F872&lt;0,"ZARAR",IF($G872&lt;IsMarjEsik,"RİSK","KÂRLI")))</f>
        <v/>
      </c>
      <c r="J872" s="122" t="n"/>
    </row>
    <row r="873" ht="15" customHeight="1" s="76">
      <c r="A873" s="122" t="n"/>
      <c r="B873" s="122" t="n"/>
      <c r="C873" s="123" t="n"/>
      <c r="D873" s="123" t="n"/>
      <c r="E873" s="124" t="n"/>
      <c r="F873" s="119">
        <f>$C873-$D873</f>
        <v/>
      </c>
      <c r="G873" s="120">
        <f>IF($C873=0,0,$F873/$C873)</f>
        <v/>
      </c>
      <c r="H873" s="119">
        <f>IF($E873=0,0,$F873/$E873)</f>
        <v/>
      </c>
      <c r="I873" s="121">
        <f>IF($B873="","",IF($F873&lt;0,"ZARAR",IF($G873&lt;IsMarjEsik,"RİSK","KÂRLI")))</f>
        <v/>
      </c>
      <c r="J873" s="122" t="n"/>
    </row>
    <row r="874" ht="15" customHeight="1" s="76">
      <c r="A874" s="122" t="n"/>
      <c r="B874" s="122" t="n"/>
      <c r="C874" s="123" t="n"/>
      <c r="D874" s="123" t="n"/>
      <c r="E874" s="124" t="n"/>
      <c r="F874" s="119">
        <f>$C874-$D874</f>
        <v/>
      </c>
      <c r="G874" s="120">
        <f>IF($C874=0,0,$F874/$C874)</f>
        <v/>
      </c>
      <c r="H874" s="119">
        <f>IF($E874=0,0,$F874/$E874)</f>
        <v/>
      </c>
      <c r="I874" s="121">
        <f>IF($B874="","",IF($F874&lt;0,"ZARAR",IF($G874&lt;IsMarjEsik,"RİSK","KÂRLI")))</f>
        <v/>
      </c>
      <c r="J874" s="122" t="n"/>
    </row>
    <row r="875" ht="15" customHeight="1" s="76">
      <c r="A875" s="122" t="n"/>
      <c r="B875" s="122" t="n"/>
      <c r="C875" s="123" t="n"/>
      <c r="D875" s="123" t="n"/>
      <c r="E875" s="124" t="n"/>
      <c r="F875" s="119">
        <f>$C875-$D875</f>
        <v/>
      </c>
      <c r="G875" s="120">
        <f>IF($C875=0,0,$F875/$C875)</f>
        <v/>
      </c>
      <c r="H875" s="119">
        <f>IF($E875=0,0,$F875/$E875)</f>
        <v/>
      </c>
      <c r="I875" s="121">
        <f>IF($B875="","",IF($F875&lt;0,"ZARAR",IF($G875&lt;IsMarjEsik,"RİSK","KÂRLI")))</f>
        <v/>
      </c>
      <c r="J875" s="122" t="n"/>
    </row>
    <row r="876" ht="15" customHeight="1" s="76">
      <c r="A876" s="122" t="n"/>
      <c r="B876" s="122" t="n"/>
      <c r="C876" s="123" t="n"/>
      <c r="D876" s="123" t="n"/>
      <c r="E876" s="124" t="n"/>
      <c r="F876" s="119">
        <f>$C876-$D876</f>
        <v/>
      </c>
      <c r="G876" s="120">
        <f>IF($C876=0,0,$F876/$C876)</f>
        <v/>
      </c>
      <c r="H876" s="119">
        <f>IF($E876=0,0,$F876/$E876)</f>
        <v/>
      </c>
      <c r="I876" s="121">
        <f>IF($B876="","",IF($F876&lt;0,"ZARAR",IF($G876&lt;IsMarjEsik,"RİSK","KÂRLI")))</f>
        <v/>
      </c>
      <c r="J876" s="122" t="n"/>
    </row>
    <row r="877" ht="15" customHeight="1" s="76">
      <c r="A877" s="122" t="n"/>
      <c r="B877" s="122" t="n"/>
      <c r="C877" s="123" t="n"/>
      <c r="D877" s="123" t="n"/>
      <c r="E877" s="124" t="n"/>
      <c r="F877" s="119">
        <f>$C877-$D877</f>
        <v/>
      </c>
      <c r="G877" s="120">
        <f>IF($C877=0,0,$F877/$C877)</f>
        <v/>
      </c>
      <c r="H877" s="119">
        <f>IF($E877=0,0,$F877/$E877)</f>
        <v/>
      </c>
      <c r="I877" s="121">
        <f>IF($B877="","",IF($F877&lt;0,"ZARAR",IF($G877&lt;IsMarjEsik,"RİSK","KÂRLI")))</f>
        <v/>
      </c>
      <c r="J877" s="122" t="n"/>
    </row>
    <row r="878" ht="15" customHeight="1" s="76">
      <c r="A878" s="122" t="n"/>
      <c r="B878" s="122" t="n"/>
      <c r="C878" s="123" t="n"/>
      <c r="D878" s="123" t="n"/>
      <c r="E878" s="124" t="n"/>
      <c r="F878" s="119">
        <f>$C878-$D878</f>
        <v/>
      </c>
      <c r="G878" s="120">
        <f>IF($C878=0,0,$F878/$C878)</f>
        <v/>
      </c>
      <c r="H878" s="119">
        <f>IF($E878=0,0,$F878/$E878)</f>
        <v/>
      </c>
      <c r="I878" s="121">
        <f>IF($B878="","",IF($F878&lt;0,"ZARAR",IF($G878&lt;IsMarjEsik,"RİSK","KÂRLI")))</f>
        <v/>
      </c>
      <c r="J878" s="122" t="n"/>
    </row>
    <row r="879" ht="15" customHeight="1" s="76">
      <c r="A879" s="122" t="n"/>
      <c r="B879" s="122" t="n"/>
      <c r="C879" s="123" t="n"/>
      <c r="D879" s="123" t="n"/>
      <c r="E879" s="124" t="n"/>
      <c r="F879" s="119">
        <f>$C879-$D879</f>
        <v/>
      </c>
      <c r="G879" s="120">
        <f>IF($C879=0,0,$F879/$C879)</f>
        <v/>
      </c>
      <c r="H879" s="119">
        <f>IF($E879=0,0,$F879/$E879)</f>
        <v/>
      </c>
      <c r="I879" s="121">
        <f>IF($B879="","",IF($F879&lt;0,"ZARAR",IF($G879&lt;IsMarjEsik,"RİSK","KÂRLI")))</f>
        <v/>
      </c>
      <c r="J879" s="122" t="n"/>
    </row>
    <row r="880" ht="15" customHeight="1" s="76">
      <c r="A880" s="122" t="n"/>
      <c r="B880" s="122" t="n"/>
      <c r="C880" s="123" t="n"/>
      <c r="D880" s="123" t="n"/>
      <c r="E880" s="124" t="n"/>
      <c r="F880" s="119">
        <f>$C880-$D880</f>
        <v/>
      </c>
      <c r="G880" s="120">
        <f>IF($C880=0,0,$F880/$C880)</f>
        <v/>
      </c>
      <c r="H880" s="119">
        <f>IF($E880=0,0,$F880/$E880)</f>
        <v/>
      </c>
      <c r="I880" s="121">
        <f>IF($B880="","",IF($F880&lt;0,"ZARAR",IF($G880&lt;IsMarjEsik,"RİSK","KÂRLI")))</f>
        <v/>
      </c>
      <c r="J880" s="122" t="n"/>
    </row>
    <row r="881" ht="15" customHeight="1" s="76">
      <c r="A881" s="122" t="n"/>
      <c r="B881" s="122" t="n"/>
      <c r="C881" s="123" t="n"/>
      <c r="D881" s="123" t="n"/>
      <c r="E881" s="124" t="n"/>
      <c r="F881" s="119">
        <f>$C881-$D881</f>
        <v/>
      </c>
      <c r="G881" s="120">
        <f>IF($C881=0,0,$F881/$C881)</f>
        <v/>
      </c>
      <c r="H881" s="119">
        <f>IF($E881=0,0,$F881/$E881)</f>
        <v/>
      </c>
      <c r="I881" s="121">
        <f>IF($B881="","",IF($F881&lt;0,"ZARAR",IF($G881&lt;IsMarjEsik,"RİSK","KÂRLI")))</f>
        <v/>
      </c>
      <c r="J881" s="122" t="n"/>
    </row>
    <row r="882" ht="15" customHeight="1" s="76">
      <c r="A882" s="122" t="n"/>
      <c r="B882" s="122" t="n"/>
      <c r="C882" s="123" t="n"/>
      <c r="D882" s="123" t="n"/>
      <c r="E882" s="124" t="n"/>
      <c r="F882" s="119">
        <f>$C882-$D882</f>
        <v/>
      </c>
      <c r="G882" s="120">
        <f>IF($C882=0,0,$F882/$C882)</f>
        <v/>
      </c>
      <c r="H882" s="119">
        <f>IF($E882=0,0,$F882/$E882)</f>
        <v/>
      </c>
      <c r="I882" s="121">
        <f>IF($B882="","",IF($F882&lt;0,"ZARAR",IF($G882&lt;IsMarjEsik,"RİSK","KÂRLI")))</f>
        <v/>
      </c>
      <c r="J882" s="122" t="n"/>
    </row>
    <row r="883" ht="15" customHeight="1" s="76">
      <c r="A883" s="122" t="n"/>
      <c r="B883" s="122" t="n"/>
      <c r="C883" s="123" t="n"/>
      <c r="D883" s="123" t="n"/>
      <c r="E883" s="124" t="n"/>
      <c r="F883" s="119">
        <f>$C883-$D883</f>
        <v/>
      </c>
      <c r="G883" s="120">
        <f>IF($C883=0,0,$F883/$C883)</f>
        <v/>
      </c>
      <c r="H883" s="119">
        <f>IF($E883=0,0,$F883/$E883)</f>
        <v/>
      </c>
      <c r="I883" s="121">
        <f>IF($B883="","",IF($F883&lt;0,"ZARAR",IF($G883&lt;IsMarjEsik,"RİSK","KÂRLI")))</f>
        <v/>
      </c>
      <c r="J883" s="122" t="n"/>
    </row>
    <row r="884" ht="15" customHeight="1" s="76">
      <c r="A884" s="122" t="n"/>
      <c r="B884" s="122" t="n"/>
      <c r="C884" s="123" t="n"/>
      <c r="D884" s="123" t="n"/>
      <c r="E884" s="124" t="n"/>
      <c r="F884" s="119">
        <f>$C884-$D884</f>
        <v/>
      </c>
      <c r="G884" s="120">
        <f>IF($C884=0,0,$F884/$C884)</f>
        <v/>
      </c>
      <c r="H884" s="119">
        <f>IF($E884=0,0,$F884/$E884)</f>
        <v/>
      </c>
      <c r="I884" s="121">
        <f>IF($B884="","",IF($F884&lt;0,"ZARAR",IF($G884&lt;IsMarjEsik,"RİSK","KÂRLI")))</f>
        <v/>
      </c>
      <c r="J884" s="122" t="n"/>
    </row>
    <row r="885" ht="15" customHeight="1" s="76">
      <c r="A885" s="122" t="n"/>
      <c r="B885" s="122" t="n"/>
      <c r="C885" s="123" t="n"/>
      <c r="D885" s="123" t="n"/>
      <c r="E885" s="124" t="n"/>
      <c r="F885" s="119">
        <f>$C885-$D885</f>
        <v/>
      </c>
      <c r="G885" s="120">
        <f>IF($C885=0,0,$F885/$C885)</f>
        <v/>
      </c>
      <c r="H885" s="119">
        <f>IF($E885=0,0,$F885/$E885)</f>
        <v/>
      </c>
      <c r="I885" s="121">
        <f>IF($B885="","",IF($F885&lt;0,"ZARAR",IF($G885&lt;IsMarjEsik,"RİSK","KÂRLI")))</f>
        <v/>
      </c>
      <c r="J885" s="122" t="n"/>
    </row>
    <row r="886" ht="15" customHeight="1" s="76">
      <c r="A886" s="122" t="n"/>
      <c r="B886" s="122" t="n"/>
      <c r="C886" s="123" t="n"/>
      <c r="D886" s="123" t="n"/>
      <c r="E886" s="124" t="n"/>
      <c r="F886" s="119">
        <f>$C886-$D886</f>
        <v/>
      </c>
      <c r="G886" s="120">
        <f>IF($C886=0,0,$F886/$C886)</f>
        <v/>
      </c>
      <c r="H886" s="119">
        <f>IF($E886=0,0,$F886/$E886)</f>
        <v/>
      </c>
      <c r="I886" s="121">
        <f>IF($B886="","",IF($F886&lt;0,"ZARAR",IF($G886&lt;IsMarjEsik,"RİSK","KÂRLI")))</f>
        <v/>
      </c>
      <c r="J886" s="122" t="n"/>
    </row>
    <row r="887" ht="15" customHeight="1" s="76">
      <c r="A887" s="122" t="n"/>
      <c r="B887" s="122" t="n"/>
      <c r="C887" s="123" t="n"/>
      <c r="D887" s="123" t="n"/>
      <c r="E887" s="124" t="n"/>
      <c r="F887" s="119">
        <f>$C887-$D887</f>
        <v/>
      </c>
      <c r="G887" s="120">
        <f>IF($C887=0,0,$F887/$C887)</f>
        <v/>
      </c>
      <c r="H887" s="119">
        <f>IF($E887=0,0,$F887/$E887)</f>
        <v/>
      </c>
      <c r="I887" s="121">
        <f>IF($B887="","",IF($F887&lt;0,"ZARAR",IF($G887&lt;IsMarjEsik,"RİSK","KÂRLI")))</f>
        <v/>
      </c>
      <c r="J887" s="122" t="n"/>
    </row>
    <row r="888" ht="15" customHeight="1" s="76">
      <c r="A888" s="122" t="n"/>
      <c r="B888" s="122" t="n"/>
      <c r="C888" s="123" t="n"/>
      <c r="D888" s="123" t="n"/>
      <c r="E888" s="124" t="n"/>
      <c r="F888" s="119">
        <f>$C888-$D888</f>
        <v/>
      </c>
      <c r="G888" s="120">
        <f>IF($C888=0,0,$F888/$C888)</f>
        <v/>
      </c>
      <c r="H888" s="119">
        <f>IF($E888=0,0,$F888/$E888)</f>
        <v/>
      </c>
      <c r="I888" s="121">
        <f>IF($B888="","",IF($F888&lt;0,"ZARAR",IF($G888&lt;IsMarjEsik,"RİSK","KÂRLI")))</f>
        <v/>
      </c>
      <c r="J888" s="122" t="n"/>
    </row>
    <row r="889" ht="15" customHeight="1" s="76">
      <c r="A889" s="122" t="n"/>
      <c r="B889" s="122" t="n"/>
      <c r="C889" s="123" t="n"/>
      <c r="D889" s="123" t="n"/>
      <c r="E889" s="124" t="n"/>
      <c r="F889" s="119">
        <f>$C889-$D889</f>
        <v/>
      </c>
      <c r="G889" s="120">
        <f>IF($C889=0,0,$F889/$C889)</f>
        <v/>
      </c>
      <c r="H889" s="119">
        <f>IF($E889=0,0,$F889/$E889)</f>
        <v/>
      </c>
      <c r="I889" s="121">
        <f>IF($B889="","",IF($F889&lt;0,"ZARAR",IF($G889&lt;IsMarjEsik,"RİSK","KÂRLI")))</f>
        <v/>
      </c>
      <c r="J889" s="122" t="n"/>
    </row>
    <row r="890" ht="15" customHeight="1" s="76">
      <c r="A890" s="122" t="n"/>
      <c r="B890" s="122" t="n"/>
      <c r="C890" s="123" t="n"/>
      <c r="D890" s="123" t="n"/>
      <c r="E890" s="124" t="n"/>
      <c r="F890" s="119">
        <f>$C890-$D890</f>
        <v/>
      </c>
      <c r="G890" s="120">
        <f>IF($C890=0,0,$F890/$C890)</f>
        <v/>
      </c>
      <c r="H890" s="119">
        <f>IF($E890=0,0,$F890/$E890)</f>
        <v/>
      </c>
      <c r="I890" s="121">
        <f>IF($B890="","",IF($F890&lt;0,"ZARAR",IF($G890&lt;IsMarjEsik,"RİSK","KÂRLI")))</f>
        <v/>
      </c>
      <c r="J890" s="122" t="n"/>
    </row>
    <row r="891" ht="15" customHeight="1" s="76">
      <c r="A891" s="122" t="n"/>
      <c r="B891" s="122" t="n"/>
      <c r="C891" s="123" t="n"/>
      <c r="D891" s="123" t="n"/>
      <c r="E891" s="124" t="n"/>
      <c r="F891" s="119">
        <f>$C891-$D891</f>
        <v/>
      </c>
      <c r="G891" s="120">
        <f>IF($C891=0,0,$F891/$C891)</f>
        <v/>
      </c>
      <c r="H891" s="119">
        <f>IF($E891=0,0,$F891/$E891)</f>
        <v/>
      </c>
      <c r="I891" s="121">
        <f>IF($B891="","",IF($F891&lt;0,"ZARAR",IF($G891&lt;IsMarjEsik,"RİSK","KÂRLI")))</f>
        <v/>
      </c>
      <c r="J891" s="122" t="n"/>
    </row>
    <row r="892" ht="15" customHeight="1" s="76">
      <c r="A892" s="122" t="n"/>
      <c r="B892" s="122" t="n"/>
      <c r="C892" s="123" t="n"/>
      <c r="D892" s="123" t="n"/>
      <c r="E892" s="124" t="n"/>
      <c r="F892" s="119">
        <f>$C892-$D892</f>
        <v/>
      </c>
      <c r="G892" s="120">
        <f>IF($C892=0,0,$F892/$C892)</f>
        <v/>
      </c>
      <c r="H892" s="119">
        <f>IF($E892=0,0,$F892/$E892)</f>
        <v/>
      </c>
      <c r="I892" s="121">
        <f>IF($B892="","",IF($F892&lt;0,"ZARAR",IF($G892&lt;IsMarjEsik,"RİSK","KÂRLI")))</f>
        <v/>
      </c>
      <c r="J892" s="122" t="n"/>
    </row>
    <row r="893" ht="15" customHeight="1" s="76">
      <c r="A893" s="122" t="n"/>
      <c r="B893" s="122" t="n"/>
      <c r="C893" s="123" t="n"/>
      <c r="D893" s="123" t="n"/>
      <c r="E893" s="124" t="n"/>
      <c r="F893" s="119">
        <f>$C893-$D893</f>
        <v/>
      </c>
      <c r="G893" s="120">
        <f>IF($C893=0,0,$F893/$C893)</f>
        <v/>
      </c>
      <c r="H893" s="119">
        <f>IF($E893=0,0,$F893/$E893)</f>
        <v/>
      </c>
      <c r="I893" s="121">
        <f>IF($B893="","",IF($F893&lt;0,"ZARAR",IF($G893&lt;IsMarjEsik,"RİSK","KÂRLI")))</f>
        <v/>
      </c>
      <c r="J893" s="122" t="n"/>
    </row>
    <row r="894" ht="15" customHeight="1" s="76">
      <c r="A894" s="122" t="n"/>
      <c r="B894" s="122" t="n"/>
      <c r="C894" s="123" t="n"/>
      <c r="D894" s="123" t="n"/>
      <c r="E894" s="124" t="n"/>
      <c r="F894" s="119">
        <f>$C894-$D894</f>
        <v/>
      </c>
      <c r="G894" s="120">
        <f>IF($C894=0,0,$F894/$C894)</f>
        <v/>
      </c>
      <c r="H894" s="119">
        <f>IF($E894=0,0,$F894/$E894)</f>
        <v/>
      </c>
      <c r="I894" s="121">
        <f>IF($B894="","",IF($F894&lt;0,"ZARAR",IF($G894&lt;IsMarjEsik,"RİSK","KÂRLI")))</f>
        <v/>
      </c>
      <c r="J894" s="122" t="n"/>
    </row>
    <row r="895" ht="15" customHeight="1" s="76">
      <c r="A895" s="122" t="n"/>
      <c r="B895" s="122" t="n"/>
      <c r="C895" s="123" t="n"/>
      <c r="D895" s="123" t="n"/>
      <c r="E895" s="124" t="n"/>
      <c r="F895" s="119">
        <f>$C895-$D895</f>
        <v/>
      </c>
      <c r="G895" s="120">
        <f>IF($C895=0,0,$F895/$C895)</f>
        <v/>
      </c>
      <c r="H895" s="119">
        <f>IF($E895=0,0,$F895/$E895)</f>
        <v/>
      </c>
      <c r="I895" s="121">
        <f>IF($B895="","",IF($F895&lt;0,"ZARAR",IF($G895&lt;IsMarjEsik,"RİSK","KÂRLI")))</f>
        <v/>
      </c>
      <c r="J895" s="122" t="n"/>
    </row>
    <row r="896" ht="15" customHeight="1" s="76">
      <c r="A896" s="122" t="n"/>
      <c r="B896" s="122" t="n"/>
      <c r="C896" s="123" t="n"/>
      <c r="D896" s="123" t="n"/>
      <c r="E896" s="124" t="n"/>
      <c r="F896" s="119">
        <f>$C896-$D896</f>
        <v/>
      </c>
      <c r="G896" s="120">
        <f>IF($C896=0,0,$F896/$C896)</f>
        <v/>
      </c>
      <c r="H896" s="119">
        <f>IF($E896=0,0,$F896/$E896)</f>
        <v/>
      </c>
      <c r="I896" s="121">
        <f>IF($B896="","",IF($F896&lt;0,"ZARAR",IF($G896&lt;IsMarjEsik,"RİSK","KÂRLI")))</f>
        <v/>
      </c>
      <c r="J896" s="122" t="n"/>
    </row>
    <row r="897" ht="15" customHeight="1" s="76">
      <c r="A897" s="122" t="n"/>
      <c r="B897" s="122" t="n"/>
      <c r="C897" s="123" t="n"/>
      <c r="D897" s="123" t="n"/>
      <c r="E897" s="124" t="n"/>
      <c r="F897" s="119">
        <f>$C897-$D897</f>
        <v/>
      </c>
      <c r="G897" s="120">
        <f>IF($C897=0,0,$F897/$C897)</f>
        <v/>
      </c>
      <c r="H897" s="119">
        <f>IF($E897=0,0,$F897/$E897)</f>
        <v/>
      </c>
      <c r="I897" s="121">
        <f>IF($B897="","",IF($F897&lt;0,"ZARAR",IF($G897&lt;IsMarjEsik,"RİSK","KÂRLI")))</f>
        <v/>
      </c>
      <c r="J897" s="122" t="n"/>
    </row>
    <row r="898" ht="15" customHeight="1" s="76">
      <c r="A898" s="122" t="n"/>
      <c r="B898" s="122" t="n"/>
      <c r="C898" s="123" t="n"/>
      <c r="D898" s="123" t="n"/>
      <c r="E898" s="124" t="n"/>
      <c r="F898" s="119">
        <f>$C898-$D898</f>
        <v/>
      </c>
      <c r="G898" s="120">
        <f>IF($C898=0,0,$F898/$C898)</f>
        <v/>
      </c>
      <c r="H898" s="119">
        <f>IF($E898=0,0,$F898/$E898)</f>
        <v/>
      </c>
      <c r="I898" s="121">
        <f>IF($B898="","",IF($F898&lt;0,"ZARAR",IF($G898&lt;IsMarjEsik,"RİSK","KÂRLI")))</f>
        <v/>
      </c>
      <c r="J898" s="122" t="n"/>
    </row>
    <row r="899" ht="15" customHeight="1" s="76">
      <c r="A899" s="122" t="n"/>
      <c r="B899" s="122" t="n"/>
      <c r="C899" s="123" t="n"/>
      <c r="D899" s="123" t="n"/>
      <c r="E899" s="124" t="n"/>
      <c r="F899" s="119">
        <f>$C899-$D899</f>
        <v/>
      </c>
      <c r="G899" s="120">
        <f>IF($C899=0,0,$F899/$C899)</f>
        <v/>
      </c>
      <c r="H899" s="119">
        <f>IF($E899=0,0,$F899/$E899)</f>
        <v/>
      </c>
      <c r="I899" s="121">
        <f>IF($B899="","",IF($F899&lt;0,"ZARAR",IF($G899&lt;IsMarjEsik,"RİSK","KÂRLI")))</f>
        <v/>
      </c>
      <c r="J899" s="122" t="n"/>
    </row>
    <row r="900" ht="15" customHeight="1" s="76">
      <c r="A900" s="122" t="n"/>
      <c r="B900" s="122" t="n"/>
      <c r="C900" s="123" t="n"/>
      <c r="D900" s="123" t="n"/>
      <c r="E900" s="124" t="n"/>
      <c r="F900" s="119">
        <f>$C900-$D900</f>
        <v/>
      </c>
      <c r="G900" s="120">
        <f>IF($C900=0,0,$F900/$C900)</f>
        <v/>
      </c>
      <c r="H900" s="119">
        <f>IF($E900=0,0,$F900/$E900)</f>
        <v/>
      </c>
      <c r="I900" s="121">
        <f>IF($B900="","",IF($F900&lt;0,"ZARAR",IF($G900&lt;IsMarjEsik,"RİSK","KÂRLI")))</f>
        <v/>
      </c>
      <c r="J900" s="122" t="n"/>
    </row>
    <row r="901" ht="15" customHeight="1" s="76">
      <c r="A901" s="122" t="n"/>
      <c r="B901" s="122" t="n"/>
      <c r="C901" s="123" t="n"/>
      <c r="D901" s="123" t="n"/>
      <c r="E901" s="124" t="n"/>
      <c r="F901" s="119">
        <f>$C901-$D901</f>
        <v/>
      </c>
      <c r="G901" s="120">
        <f>IF($C901=0,0,$F901/$C901)</f>
        <v/>
      </c>
      <c r="H901" s="119">
        <f>IF($E901=0,0,$F901/$E901)</f>
        <v/>
      </c>
      <c r="I901" s="121">
        <f>IF($B901="","",IF($F901&lt;0,"ZARAR",IF($G901&lt;IsMarjEsik,"RİSK","KÂRLI")))</f>
        <v/>
      </c>
      <c r="J901" s="122" t="n"/>
    </row>
    <row r="902" ht="15" customHeight="1" s="76">
      <c r="A902" s="122" t="n"/>
      <c r="B902" s="122" t="n"/>
      <c r="C902" s="123" t="n"/>
      <c r="D902" s="123" t="n"/>
      <c r="E902" s="124" t="n"/>
      <c r="F902" s="119">
        <f>$C902-$D902</f>
        <v/>
      </c>
      <c r="G902" s="120">
        <f>IF($C902=0,0,$F902/$C902)</f>
        <v/>
      </c>
      <c r="H902" s="119">
        <f>IF($E902=0,0,$F902/$E902)</f>
        <v/>
      </c>
      <c r="I902" s="121">
        <f>IF($B902="","",IF($F902&lt;0,"ZARAR",IF($G902&lt;IsMarjEsik,"RİSK","KÂRLI")))</f>
        <v/>
      </c>
      <c r="J902" s="122" t="n"/>
    </row>
    <row r="903" ht="15" customHeight="1" s="76">
      <c r="A903" s="122" t="n"/>
      <c r="B903" s="122" t="n"/>
      <c r="C903" s="123" t="n"/>
      <c r="D903" s="123" t="n"/>
      <c r="E903" s="124" t="n"/>
      <c r="F903" s="119">
        <f>$C903-$D903</f>
        <v/>
      </c>
      <c r="G903" s="120">
        <f>IF($C903=0,0,$F903/$C903)</f>
        <v/>
      </c>
      <c r="H903" s="119">
        <f>IF($E903=0,0,$F903/$E903)</f>
        <v/>
      </c>
      <c r="I903" s="121">
        <f>IF($B903="","",IF($F903&lt;0,"ZARAR",IF($G903&lt;IsMarjEsik,"RİSK","KÂRLI")))</f>
        <v/>
      </c>
      <c r="J903" s="122" t="n"/>
    </row>
    <row r="904" ht="15" customHeight="1" s="76">
      <c r="A904" s="122" t="n"/>
      <c r="B904" s="122" t="n"/>
      <c r="C904" s="123" t="n"/>
      <c r="D904" s="123" t="n"/>
      <c r="E904" s="124" t="n"/>
      <c r="F904" s="119">
        <f>$C904-$D904</f>
        <v/>
      </c>
      <c r="G904" s="120">
        <f>IF($C904=0,0,$F904/$C904)</f>
        <v/>
      </c>
      <c r="H904" s="119">
        <f>IF($E904=0,0,$F904/$E904)</f>
        <v/>
      </c>
      <c r="I904" s="121">
        <f>IF($B904="","",IF($F904&lt;0,"ZARAR",IF($G904&lt;IsMarjEsik,"RİSK","KÂRLI")))</f>
        <v/>
      </c>
      <c r="J904" s="122" t="n"/>
    </row>
    <row r="905" ht="15" customHeight="1" s="76">
      <c r="A905" s="122" t="n"/>
      <c r="B905" s="122" t="n"/>
      <c r="C905" s="123" t="n"/>
      <c r="D905" s="123" t="n"/>
      <c r="E905" s="124" t="n"/>
      <c r="F905" s="119">
        <f>$C905-$D905</f>
        <v/>
      </c>
      <c r="G905" s="120">
        <f>IF($C905=0,0,$F905/$C905)</f>
        <v/>
      </c>
      <c r="H905" s="119">
        <f>IF($E905=0,0,$F905/$E905)</f>
        <v/>
      </c>
      <c r="I905" s="121">
        <f>IF($B905="","",IF($F905&lt;0,"ZARAR",IF($G905&lt;IsMarjEsik,"RİSK","KÂRLI")))</f>
        <v/>
      </c>
      <c r="J905" s="122" t="n"/>
    </row>
    <row r="906" ht="15" customHeight="1" s="76">
      <c r="A906" s="122" t="n"/>
      <c r="B906" s="122" t="n"/>
      <c r="C906" s="123" t="n"/>
      <c r="D906" s="123" t="n"/>
      <c r="E906" s="124" t="n"/>
      <c r="F906" s="119">
        <f>$C906-$D906</f>
        <v/>
      </c>
      <c r="G906" s="120">
        <f>IF($C906=0,0,$F906/$C906)</f>
        <v/>
      </c>
      <c r="H906" s="119">
        <f>IF($E906=0,0,$F906/$E906)</f>
        <v/>
      </c>
      <c r="I906" s="121">
        <f>IF($B906="","",IF($F906&lt;0,"ZARAR",IF($G906&lt;IsMarjEsik,"RİSK","KÂRLI")))</f>
        <v/>
      </c>
      <c r="J906" s="122" t="n"/>
    </row>
    <row r="907" ht="15" customHeight="1" s="76">
      <c r="A907" s="122" t="n"/>
      <c r="B907" s="122" t="n"/>
      <c r="C907" s="123" t="n"/>
      <c r="D907" s="123" t="n"/>
      <c r="E907" s="124" t="n"/>
      <c r="F907" s="119">
        <f>$C907-$D907</f>
        <v/>
      </c>
      <c r="G907" s="120">
        <f>IF($C907=0,0,$F907/$C907)</f>
        <v/>
      </c>
      <c r="H907" s="119">
        <f>IF($E907=0,0,$F907/$E907)</f>
        <v/>
      </c>
      <c r="I907" s="121">
        <f>IF($B907="","",IF($F907&lt;0,"ZARAR",IF($G907&lt;IsMarjEsik,"RİSK","KÂRLI")))</f>
        <v/>
      </c>
      <c r="J907" s="122" t="n"/>
    </row>
    <row r="908" ht="15" customHeight="1" s="76">
      <c r="A908" s="122" t="n"/>
      <c r="B908" s="122" t="n"/>
      <c r="C908" s="123" t="n"/>
      <c r="D908" s="123" t="n"/>
      <c r="E908" s="124" t="n"/>
      <c r="F908" s="119">
        <f>$C908-$D908</f>
        <v/>
      </c>
      <c r="G908" s="120">
        <f>IF($C908=0,0,$F908/$C908)</f>
        <v/>
      </c>
      <c r="H908" s="119">
        <f>IF($E908=0,0,$F908/$E908)</f>
        <v/>
      </c>
      <c r="I908" s="121">
        <f>IF($B908="","",IF($F908&lt;0,"ZARAR",IF($G908&lt;IsMarjEsik,"RİSK","KÂRLI")))</f>
        <v/>
      </c>
      <c r="J908" s="122" t="n"/>
    </row>
    <row r="909" ht="15" customHeight="1" s="76">
      <c r="A909" s="122" t="n"/>
      <c r="B909" s="122" t="n"/>
      <c r="C909" s="123" t="n"/>
      <c r="D909" s="123" t="n"/>
      <c r="E909" s="124" t="n"/>
      <c r="F909" s="119">
        <f>$C909-$D909</f>
        <v/>
      </c>
      <c r="G909" s="120">
        <f>IF($C909=0,0,$F909/$C909)</f>
        <v/>
      </c>
      <c r="H909" s="119">
        <f>IF($E909=0,0,$F909/$E909)</f>
        <v/>
      </c>
      <c r="I909" s="121">
        <f>IF($B909="","",IF($F909&lt;0,"ZARAR",IF($G909&lt;IsMarjEsik,"RİSK","KÂRLI")))</f>
        <v/>
      </c>
      <c r="J909" s="122" t="n"/>
    </row>
    <row r="910" ht="15" customHeight="1" s="76">
      <c r="A910" s="122" t="n"/>
      <c r="B910" s="122" t="n"/>
      <c r="C910" s="123" t="n"/>
      <c r="D910" s="123" t="n"/>
      <c r="E910" s="124" t="n"/>
      <c r="F910" s="119">
        <f>$C910-$D910</f>
        <v/>
      </c>
      <c r="G910" s="120">
        <f>IF($C910=0,0,$F910/$C910)</f>
        <v/>
      </c>
      <c r="H910" s="119">
        <f>IF($E910=0,0,$F910/$E910)</f>
        <v/>
      </c>
      <c r="I910" s="121">
        <f>IF($B910="","",IF($F910&lt;0,"ZARAR",IF($G910&lt;IsMarjEsik,"RİSK","KÂRLI")))</f>
        <v/>
      </c>
      <c r="J910" s="122" t="n"/>
    </row>
    <row r="911" ht="15" customHeight="1" s="76">
      <c r="A911" s="122" t="n"/>
      <c r="B911" s="122" t="n"/>
      <c r="C911" s="123" t="n"/>
      <c r="D911" s="123" t="n"/>
      <c r="E911" s="124" t="n"/>
      <c r="F911" s="119">
        <f>$C911-$D911</f>
        <v/>
      </c>
      <c r="G911" s="120">
        <f>IF($C911=0,0,$F911/$C911)</f>
        <v/>
      </c>
      <c r="H911" s="119">
        <f>IF($E911=0,0,$F911/$E911)</f>
        <v/>
      </c>
      <c r="I911" s="121">
        <f>IF($B911="","",IF($F911&lt;0,"ZARAR",IF($G911&lt;IsMarjEsik,"RİSK","KÂRLI")))</f>
        <v/>
      </c>
      <c r="J911" s="122" t="n"/>
    </row>
    <row r="912" ht="15" customHeight="1" s="76">
      <c r="A912" s="122" t="n"/>
      <c r="B912" s="122" t="n"/>
      <c r="C912" s="123" t="n"/>
      <c r="D912" s="123" t="n"/>
      <c r="E912" s="124" t="n"/>
      <c r="F912" s="119">
        <f>$C912-$D912</f>
        <v/>
      </c>
      <c r="G912" s="120">
        <f>IF($C912=0,0,$F912/$C912)</f>
        <v/>
      </c>
      <c r="H912" s="119">
        <f>IF($E912=0,0,$F912/$E912)</f>
        <v/>
      </c>
      <c r="I912" s="121">
        <f>IF($B912="","",IF($F912&lt;0,"ZARAR",IF($G912&lt;IsMarjEsik,"RİSK","KÂRLI")))</f>
        <v/>
      </c>
      <c r="J912" s="122" t="n"/>
    </row>
    <row r="913" ht="15" customHeight="1" s="76">
      <c r="A913" s="122" t="n"/>
      <c r="B913" s="122" t="n"/>
      <c r="C913" s="123" t="n"/>
      <c r="D913" s="123" t="n"/>
      <c r="E913" s="124" t="n"/>
      <c r="F913" s="119">
        <f>$C913-$D913</f>
        <v/>
      </c>
      <c r="G913" s="120">
        <f>IF($C913=0,0,$F913/$C913)</f>
        <v/>
      </c>
      <c r="H913" s="119">
        <f>IF($E913=0,0,$F913/$E913)</f>
        <v/>
      </c>
      <c r="I913" s="121">
        <f>IF($B913="","",IF($F913&lt;0,"ZARAR",IF($G913&lt;IsMarjEsik,"RİSK","KÂRLI")))</f>
        <v/>
      </c>
      <c r="J913" s="122" t="n"/>
    </row>
    <row r="914" ht="15" customHeight="1" s="76">
      <c r="A914" s="122" t="n"/>
      <c r="B914" s="122" t="n"/>
      <c r="C914" s="123" t="n"/>
      <c r="D914" s="123" t="n"/>
      <c r="E914" s="124" t="n"/>
      <c r="F914" s="119">
        <f>$C914-$D914</f>
        <v/>
      </c>
      <c r="G914" s="120">
        <f>IF($C914=0,0,$F914/$C914)</f>
        <v/>
      </c>
      <c r="H914" s="119">
        <f>IF($E914=0,0,$F914/$E914)</f>
        <v/>
      </c>
      <c r="I914" s="121">
        <f>IF($B914="","",IF($F914&lt;0,"ZARAR",IF($G914&lt;IsMarjEsik,"RİSK","KÂRLI")))</f>
        <v/>
      </c>
      <c r="J914" s="122" t="n"/>
    </row>
    <row r="915" ht="15" customHeight="1" s="76">
      <c r="A915" s="122" t="n"/>
      <c r="B915" s="122" t="n"/>
      <c r="C915" s="123" t="n"/>
      <c r="D915" s="123" t="n"/>
      <c r="E915" s="124" t="n"/>
      <c r="F915" s="119">
        <f>$C915-$D915</f>
        <v/>
      </c>
      <c r="G915" s="120">
        <f>IF($C915=0,0,$F915/$C915)</f>
        <v/>
      </c>
      <c r="H915" s="119">
        <f>IF($E915=0,0,$F915/$E915)</f>
        <v/>
      </c>
      <c r="I915" s="121">
        <f>IF($B915="","",IF($F915&lt;0,"ZARAR",IF($G915&lt;IsMarjEsik,"RİSK","KÂRLI")))</f>
        <v/>
      </c>
      <c r="J915" s="122" t="n"/>
    </row>
    <row r="916" ht="15" customHeight="1" s="76">
      <c r="A916" s="122" t="n"/>
      <c r="B916" s="122" t="n"/>
      <c r="C916" s="123" t="n"/>
      <c r="D916" s="123" t="n"/>
      <c r="E916" s="124" t="n"/>
      <c r="F916" s="119">
        <f>$C916-$D916</f>
        <v/>
      </c>
      <c r="G916" s="120">
        <f>IF($C916=0,0,$F916/$C916)</f>
        <v/>
      </c>
      <c r="H916" s="119">
        <f>IF($E916=0,0,$F916/$E916)</f>
        <v/>
      </c>
      <c r="I916" s="121">
        <f>IF($B916="","",IF($F916&lt;0,"ZARAR",IF($G916&lt;IsMarjEsik,"RİSK","KÂRLI")))</f>
        <v/>
      </c>
      <c r="J916" s="122" t="n"/>
    </row>
    <row r="917" ht="15" customHeight="1" s="76">
      <c r="A917" s="122" t="n"/>
      <c r="B917" s="122" t="n"/>
      <c r="C917" s="123" t="n"/>
      <c r="D917" s="123" t="n"/>
      <c r="E917" s="124" t="n"/>
      <c r="F917" s="119">
        <f>$C917-$D917</f>
        <v/>
      </c>
      <c r="G917" s="120">
        <f>IF($C917=0,0,$F917/$C917)</f>
        <v/>
      </c>
      <c r="H917" s="119">
        <f>IF($E917=0,0,$F917/$E917)</f>
        <v/>
      </c>
      <c r="I917" s="121">
        <f>IF($B917="","",IF($F917&lt;0,"ZARAR",IF($G917&lt;IsMarjEsik,"RİSK","KÂRLI")))</f>
        <v/>
      </c>
      <c r="J917" s="122" t="n"/>
    </row>
    <row r="918" ht="15" customHeight="1" s="76">
      <c r="A918" s="122" t="n"/>
      <c r="B918" s="122" t="n"/>
      <c r="C918" s="123" t="n"/>
      <c r="D918" s="123" t="n"/>
      <c r="E918" s="124" t="n"/>
      <c r="F918" s="119">
        <f>$C918-$D918</f>
        <v/>
      </c>
      <c r="G918" s="120">
        <f>IF($C918=0,0,$F918/$C918)</f>
        <v/>
      </c>
      <c r="H918" s="119">
        <f>IF($E918=0,0,$F918/$E918)</f>
        <v/>
      </c>
      <c r="I918" s="121">
        <f>IF($B918="","",IF($F918&lt;0,"ZARAR",IF($G918&lt;IsMarjEsik,"RİSK","KÂRLI")))</f>
        <v/>
      </c>
      <c r="J918" s="122" t="n"/>
    </row>
    <row r="919" ht="15" customHeight="1" s="76">
      <c r="A919" s="122" t="n"/>
      <c r="B919" s="122" t="n"/>
      <c r="C919" s="123" t="n"/>
      <c r="D919" s="123" t="n"/>
      <c r="E919" s="124" t="n"/>
      <c r="F919" s="119">
        <f>$C919-$D919</f>
        <v/>
      </c>
      <c r="G919" s="120">
        <f>IF($C919=0,0,$F919/$C919)</f>
        <v/>
      </c>
      <c r="H919" s="119">
        <f>IF($E919=0,0,$F919/$E919)</f>
        <v/>
      </c>
      <c r="I919" s="121">
        <f>IF($B919="","",IF($F919&lt;0,"ZARAR",IF($G919&lt;IsMarjEsik,"RİSK","KÂRLI")))</f>
        <v/>
      </c>
      <c r="J919" s="122" t="n"/>
    </row>
    <row r="920" ht="15" customHeight="1" s="76">
      <c r="A920" s="122" t="n"/>
      <c r="B920" s="122" t="n"/>
      <c r="C920" s="123" t="n"/>
      <c r="D920" s="123" t="n"/>
      <c r="E920" s="124" t="n"/>
      <c r="F920" s="119">
        <f>$C920-$D920</f>
        <v/>
      </c>
      <c r="G920" s="120">
        <f>IF($C920=0,0,$F920/$C920)</f>
        <v/>
      </c>
      <c r="H920" s="119">
        <f>IF($E920=0,0,$F920/$E920)</f>
        <v/>
      </c>
      <c r="I920" s="121">
        <f>IF($B920="","",IF($F920&lt;0,"ZARAR",IF($G920&lt;IsMarjEsik,"RİSK","KÂRLI")))</f>
        <v/>
      </c>
      <c r="J920" s="122" t="n"/>
    </row>
    <row r="921" ht="15" customHeight="1" s="76">
      <c r="A921" s="122" t="n"/>
      <c r="B921" s="122" t="n"/>
      <c r="C921" s="123" t="n"/>
      <c r="D921" s="123" t="n"/>
      <c r="E921" s="124" t="n"/>
      <c r="F921" s="119">
        <f>$C921-$D921</f>
        <v/>
      </c>
      <c r="G921" s="120">
        <f>IF($C921=0,0,$F921/$C921)</f>
        <v/>
      </c>
      <c r="H921" s="119">
        <f>IF($E921=0,0,$F921/$E921)</f>
        <v/>
      </c>
      <c r="I921" s="121">
        <f>IF($B921="","",IF($F921&lt;0,"ZARAR",IF($G921&lt;IsMarjEsik,"RİSK","KÂRLI")))</f>
        <v/>
      </c>
      <c r="J921" s="122" t="n"/>
    </row>
    <row r="922" ht="15" customHeight="1" s="76">
      <c r="A922" s="122" t="n"/>
      <c r="B922" s="122" t="n"/>
      <c r="C922" s="123" t="n"/>
      <c r="D922" s="123" t="n"/>
      <c r="E922" s="124" t="n"/>
      <c r="F922" s="119">
        <f>$C922-$D922</f>
        <v/>
      </c>
      <c r="G922" s="120">
        <f>IF($C922=0,0,$F922/$C922)</f>
        <v/>
      </c>
      <c r="H922" s="119">
        <f>IF($E922=0,0,$F922/$E922)</f>
        <v/>
      </c>
      <c r="I922" s="121">
        <f>IF($B922="","",IF($F922&lt;0,"ZARAR",IF($G922&lt;IsMarjEsik,"RİSK","KÂRLI")))</f>
        <v/>
      </c>
      <c r="J922" s="122" t="n"/>
    </row>
    <row r="923" ht="15" customHeight="1" s="76">
      <c r="A923" s="122" t="n"/>
      <c r="B923" s="122" t="n"/>
      <c r="C923" s="123" t="n"/>
      <c r="D923" s="123" t="n"/>
      <c r="E923" s="124" t="n"/>
      <c r="F923" s="119">
        <f>$C923-$D923</f>
        <v/>
      </c>
      <c r="G923" s="120">
        <f>IF($C923=0,0,$F923/$C923)</f>
        <v/>
      </c>
      <c r="H923" s="119">
        <f>IF($E923=0,0,$F923/$E923)</f>
        <v/>
      </c>
      <c r="I923" s="121">
        <f>IF($B923="","",IF($F923&lt;0,"ZARAR",IF($G923&lt;IsMarjEsik,"RİSK","KÂRLI")))</f>
        <v/>
      </c>
      <c r="J923" s="122" t="n"/>
    </row>
    <row r="924" ht="15" customHeight="1" s="76">
      <c r="A924" s="122" t="n"/>
      <c r="B924" s="122" t="n"/>
      <c r="C924" s="123" t="n"/>
      <c r="D924" s="123" t="n"/>
      <c r="E924" s="124" t="n"/>
      <c r="F924" s="119">
        <f>$C924-$D924</f>
        <v/>
      </c>
      <c r="G924" s="120">
        <f>IF($C924=0,0,$F924/$C924)</f>
        <v/>
      </c>
      <c r="H924" s="119">
        <f>IF($E924=0,0,$F924/$E924)</f>
        <v/>
      </c>
      <c r="I924" s="121">
        <f>IF($B924="","",IF($F924&lt;0,"ZARAR",IF($G924&lt;IsMarjEsik,"RİSK","KÂRLI")))</f>
        <v/>
      </c>
      <c r="J924" s="122" t="n"/>
    </row>
    <row r="925" ht="15" customHeight="1" s="76">
      <c r="A925" s="122" t="n"/>
      <c r="B925" s="122" t="n"/>
      <c r="C925" s="123" t="n"/>
      <c r="D925" s="123" t="n"/>
      <c r="E925" s="124" t="n"/>
      <c r="F925" s="119">
        <f>$C925-$D925</f>
        <v/>
      </c>
      <c r="G925" s="120">
        <f>IF($C925=0,0,$F925/$C925)</f>
        <v/>
      </c>
      <c r="H925" s="119">
        <f>IF($E925=0,0,$F925/$E925)</f>
        <v/>
      </c>
      <c r="I925" s="121">
        <f>IF($B925="","",IF($F925&lt;0,"ZARAR",IF($G925&lt;IsMarjEsik,"RİSK","KÂRLI")))</f>
        <v/>
      </c>
      <c r="J925" s="122" t="n"/>
    </row>
    <row r="926" ht="15" customHeight="1" s="76">
      <c r="A926" s="122" t="n"/>
      <c r="B926" s="122" t="n"/>
      <c r="C926" s="123" t="n"/>
      <c r="D926" s="123" t="n"/>
      <c r="E926" s="124" t="n"/>
      <c r="F926" s="119">
        <f>$C926-$D926</f>
        <v/>
      </c>
      <c r="G926" s="120">
        <f>IF($C926=0,0,$F926/$C926)</f>
        <v/>
      </c>
      <c r="H926" s="119">
        <f>IF($E926=0,0,$F926/$E926)</f>
        <v/>
      </c>
      <c r="I926" s="121">
        <f>IF($B926="","",IF($F926&lt;0,"ZARAR",IF($G926&lt;IsMarjEsik,"RİSK","KÂRLI")))</f>
        <v/>
      </c>
      <c r="J926" s="122" t="n"/>
    </row>
    <row r="927" ht="15" customHeight="1" s="76">
      <c r="A927" s="122" t="n"/>
      <c r="B927" s="122" t="n"/>
      <c r="C927" s="123" t="n"/>
      <c r="D927" s="123" t="n"/>
      <c r="E927" s="124" t="n"/>
      <c r="F927" s="119">
        <f>$C927-$D927</f>
        <v/>
      </c>
      <c r="G927" s="120">
        <f>IF($C927=0,0,$F927/$C927)</f>
        <v/>
      </c>
      <c r="H927" s="119">
        <f>IF($E927=0,0,$F927/$E927)</f>
        <v/>
      </c>
      <c r="I927" s="121">
        <f>IF($B927="","",IF($F927&lt;0,"ZARAR",IF($G927&lt;IsMarjEsik,"RİSK","KÂRLI")))</f>
        <v/>
      </c>
      <c r="J927" s="122" t="n"/>
    </row>
    <row r="928" ht="15" customHeight="1" s="76">
      <c r="A928" s="122" t="n"/>
      <c r="B928" s="122" t="n"/>
      <c r="C928" s="123" t="n"/>
      <c r="D928" s="123" t="n"/>
      <c r="E928" s="124" t="n"/>
      <c r="F928" s="119">
        <f>$C928-$D928</f>
        <v/>
      </c>
      <c r="G928" s="120">
        <f>IF($C928=0,0,$F928/$C928)</f>
        <v/>
      </c>
      <c r="H928" s="119">
        <f>IF($E928=0,0,$F928/$E928)</f>
        <v/>
      </c>
      <c r="I928" s="121">
        <f>IF($B928="","",IF($F928&lt;0,"ZARAR",IF($G928&lt;IsMarjEsik,"RİSK","KÂRLI")))</f>
        <v/>
      </c>
      <c r="J928" s="122" t="n"/>
    </row>
    <row r="929" ht="15" customHeight="1" s="76">
      <c r="A929" s="122" t="n"/>
      <c r="B929" s="122" t="n"/>
      <c r="C929" s="123" t="n"/>
      <c r="D929" s="123" t="n"/>
      <c r="E929" s="124" t="n"/>
      <c r="F929" s="119">
        <f>$C929-$D929</f>
        <v/>
      </c>
      <c r="G929" s="120">
        <f>IF($C929=0,0,$F929/$C929)</f>
        <v/>
      </c>
      <c r="H929" s="119">
        <f>IF($E929=0,0,$F929/$E929)</f>
        <v/>
      </c>
      <c r="I929" s="121">
        <f>IF($B929="","",IF($F929&lt;0,"ZARAR",IF($G929&lt;IsMarjEsik,"RİSK","KÂRLI")))</f>
        <v/>
      </c>
      <c r="J929" s="122" t="n"/>
    </row>
    <row r="930" ht="15" customHeight="1" s="76">
      <c r="A930" s="122" t="n"/>
      <c r="B930" s="122" t="n"/>
      <c r="C930" s="123" t="n"/>
      <c r="D930" s="123" t="n"/>
      <c r="E930" s="124" t="n"/>
      <c r="F930" s="119">
        <f>$C930-$D930</f>
        <v/>
      </c>
      <c r="G930" s="120">
        <f>IF($C930=0,0,$F930/$C930)</f>
        <v/>
      </c>
      <c r="H930" s="119">
        <f>IF($E930=0,0,$F930/$E930)</f>
        <v/>
      </c>
      <c r="I930" s="121">
        <f>IF($B930="","",IF($F930&lt;0,"ZARAR",IF($G930&lt;IsMarjEsik,"RİSK","KÂRLI")))</f>
        <v/>
      </c>
      <c r="J930" s="122" t="n"/>
    </row>
    <row r="931" ht="15" customHeight="1" s="76">
      <c r="A931" s="122" t="n"/>
      <c r="B931" s="122" t="n"/>
      <c r="C931" s="123" t="n"/>
      <c r="D931" s="123" t="n"/>
      <c r="E931" s="124" t="n"/>
      <c r="F931" s="119">
        <f>$C931-$D931</f>
        <v/>
      </c>
      <c r="G931" s="120">
        <f>IF($C931=0,0,$F931/$C931)</f>
        <v/>
      </c>
      <c r="H931" s="119">
        <f>IF($E931=0,0,$F931/$E931)</f>
        <v/>
      </c>
      <c r="I931" s="121">
        <f>IF($B931="","",IF($F931&lt;0,"ZARAR",IF($G931&lt;IsMarjEsik,"RİSK","KÂRLI")))</f>
        <v/>
      </c>
      <c r="J931" s="122" t="n"/>
    </row>
    <row r="932" ht="15" customHeight="1" s="76">
      <c r="A932" s="122" t="n"/>
      <c r="B932" s="122" t="n"/>
      <c r="C932" s="123" t="n"/>
      <c r="D932" s="123" t="n"/>
      <c r="E932" s="124" t="n"/>
      <c r="F932" s="119">
        <f>$C932-$D932</f>
        <v/>
      </c>
      <c r="G932" s="120">
        <f>IF($C932=0,0,$F932/$C932)</f>
        <v/>
      </c>
      <c r="H932" s="119">
        <f>IF($E932=0,0,$F932/$E932)</f>
        <v/>
      </c>
      <c r="I932" s="121">
        <f>IF($B932="","",IF($F932&lt;0,"ZARAR",IF($G932&lt;IsMarjEsik,"RİSK","KÂRLI")))</f>
        <v/>
      </c>
      <c r="J932" s="122" t="n"/>
    </row>
    <row r="933" ht="15" customHeight="1" s="76">
      <c r="A933" s="122" t="n"/>
      <c r="B933" s="122" t="n"/>
      <c r="C933" s="123" t="n"/>
      <c r="D933" s="123" t="n"/>
      <c r="E933" s="124" t="n"/>
      <c r="F933" s="119">
        <f>$C933-$D933</f>
        <v/>
      </c>
      <c r="G933" s="120">
        <f>IF($C933=0,0,$F933/$C933)</f>
        <v/>
      </c>
      <c r="H933" s="119">
        <f>IF($E933=0,0,$F933/$E933)</f>
        <v/>
      </c>
      <c r="I933" s="121">
        <f>IF($B933="","",IF($F933&lt;0,"ZARAR",IF($G933&lt;IsMarjEsik,"RİSK","KÂRLI")))</f>
        <v/>
      </c>
      <c r="J933" s="122" t="n"/>
    </row>
    <row r="934" ht="15" customHeight="1" s="76">
      <c r="A934" s="122" t="n"/>
      <c r="B934" s="122" t="n"/>
      <c r="C934" s="123" t="n"/>
      <c r="D934" s="123" t="n"/>
      <c r="E934" s="124" t="n"/>
      <c r="F934" s="119">
        <f>$C934-$D934</f>
        <v/>
      </c>
      <c r="G934" s="120">
        <f>IF($C934=0,0,$F934/$C934)</f>
        <v/>
      </c>
      <c r="H934" s="119">
        <f>IF($E934=0,0,$F934/$E934)</f>
        <v/>
      </c>
      <c r="I934" s="121">
        <f>IF($B934="","",IF($F934&lt;0,"ZARAR",IF($G934&lt;IsMarjEsik,"RİSK","KÂRLI")))</f>
        <v/>
      </c>
      <c r="J934" s="122" t="n"/>
    </row>
    <row r="935" ht="15" customHeight="1" s="76">
      <c r="A935" s="122" t="n"/>
      <c r="B935" s="122" t="n"/>
      <c r="C935" s="123" t="n"/>
      <c r="D935" s="123" t="n"/>
      <c r="E935" s="124" t="n"/>
      <c r="F935" s="119">
        <f>$C935-$D935</f>
        <v/>
      </c>
      <c r="G935" s="120">
        <f>IF($C935=0,0,$F935/$C935)</f>
        <v/>
      </c>
      <c r="H935" s="119">
        <f>IF($E935=0,0,$F935/$E935)</f>
        <v/>
      </c>
      <c r="I935" s="121">
        <f>IF($B935="","",IF($F935&lt;0,"ZARAR",IF($G935&lt;IsMarjEsik,"RİSK","KÂRLI")))</f>
        <v/>
      </c>
      <c r="J935" s="122" t="n"/>
    </row>
    <row r="936" ht="15" customHeight="1" s="76">
      <c r="A936" s="122" t="n"/>
      <c r="B936" s="122" t="n"/>
      <c r="C936" s="123" t="n"/>
      <c r="D936" s="123" t="n"/>
      <c r="E936" s="124" t="n"/>
      <c r="F936" s="119">
        <f>$C936-$D936</f>
        <v/>
      </c>
      <c r="G936" s="120">
        <f>IF($C936=0,0,$F936/$C936)</f>
        <v/>
      </c>
      <c r="H936" s="119">
        <f>IF($E936=0,0,$F936/$E936)</f>
        <v/>
      </c>
      <c r="I936" s="121">
        <f>IF($B936="","",IF($F936&lt;0,"ZARAR",IF($G936&lt;IsMarjEsik,"RİSK","KÂRLI")))</f>
        <v/>
      </c>
      <c r="J936" s="122" t="n"/>
    </row>
    <row r="937" ht="15" customHeight="1" s="76">
      <c r="A937" s="122" t="n"/>
      <c r="B937" s="122" t="n"/>
      <c r="C937" s="123" t="n"/>
      <c r="D937" s="123" t="n"/>
      <c r="E937" s="124" t="n"/>
      <c r="F937" s="119">
        <f>$C937-$D937</f>
        <v/>
      </c>
      <c r="G937" s="120">
        <f>IF($C937=0,0,$F937/$C937)</f>
        <v/>
      </c>
      <c r="H937" s="119">
        <f>IF($E937=0,0,$F937/$E937)</f>
        <v/>
      </c>
      <c r="I937" s="121">
        <f>IF($B937="","",IF($F937&lt;0,"ZARAR",IF($G937&lt;IsMarjEsik,"RİSK","KÂRLI")))</f>
        <v/>
      </c>
      <c r="J937" s="122" t="n"/>
    </row>
    <row r="938" ht="15" customHeight="1" s="76">
      <c r="A938" s="122" t="n"/>
      <c r="B938" s="122" t="n"/>
      <c r="C938" s="123" t="n"/>
      <c r="D938" s="123" t="n"/>
      <c r="E938" s="124" t="n"/>
      <c r="F938" s="119">
        <f>$C938-$D938</f>
        <v/>
      </c>
      <c r="G938" s="120">
        <f>IF($C938=0,0,$F938/$C938)</f>
        <v/>
      </c>
      <c r="H938" s="119">
        <f>IF($E938=0,0,$F938/$E938)</f>
        <v/>
      </c>
      <c r="I938" s="121">
        <f>IF($B938="","",IF($F938&lt;0,"ZARAR",IF($G938&lt;IsMarjEsik,"RİSK","KÂRLI")))</f>
        <v/>
      </c>
      <c r="J938" s="122" t="n"/>
    </row>
    <row r="939" ht="15" customHeight="1" s="76">
      <c r="A939" s="122" t="n"/>
      <c r="B939" s="122" t="n"/>
      <c r="C939" s="123" t="n"/>
      <c r="D939" s="123" t="n"/>
      <c r="E939" s="124" t="n"/>
      <c r="F939" s="119">
        <f>$C939-$D939</f>
        <v/>
      </c>
      <c r="G939" s="120">
        <f>IF($C939=0,0,$F939/$C939)</f>
        <v/>
      </c>
      <c r="H939" s="119">
        <f>IF($E939=0,0,$F939/$E939)</f>
        <v/>
      </c>
      <c r="I939" s="121">
        <f>IF($B939="","",IF($F939&lt;0,"ZARAR",IF($G939&lt;IsMarjEsik,"RİSK","KÂRLI")))</f>
        <v/>
      </c>
      <c r="J939" s="122" t="n"/>
    </row>
    <row r="940" ht="15" customHeight="1" s="76">
      <c r="A940" s="122" t="n"/>
      <c r="B940" s="122" t="n"/>
      <c r="C940" s="123" t="n"/>
      <c r="D940" s="123" t="n"/>
      <c r="E940" s="124" t="n"/>
      <c r="F940" s="119">
        <f>$C940-$D940</f>
        <v/>
      </c>
      <c r="G940" s="120">
        <f>IF($C940=0,0,$F940/$C940)</f>
        <v/>
      </c>
      <c r="H940" s="119">
        <f>IF($E940=0,0,$F940/$E940)</f>
        <v/>
      </c>
      <c r="I940" s="121">
        <f>IF($B940="","",IF($F940&lt;0,"ZARAR",IF($G940&lt;IsMarjEsik,"RİSK","KÂRLI")))</f>
        <v/>
      </c>
      <c r="J940" s="122" t="n"/>
    </row>
    <row r="941" ht="15" customHeight="1" s="76">
      <c r="A941" s="122" t="n"/>
      <c r="B941" s="122" t="n"/>
      <c r="C941" s="123" t="n"/>
      <c r="D941" s="123" t="n"/>
      <c r="E941" s="124" t="n"/>
      <c r="F941" s="119">
        <f>$C941-$D941</f>
        <v/>
      </c>
      <c r="G941" s="120">
        <f>IF($C941=0,0,$F941/$C941)</f>
        <v/>
      </c>
      <c r="H941" s="119">
        <f>IF($E941=0,0,$F941/$E941)</f>
        <v/>
      </c>
      <c r="I941" s="121">
        <f>IF($B941="","",IF($F941&lt;0,"ZARAR",IF($G941&lt;IsMarjEsik,"RİSK","KÂRLI")))</f>
        <v/>
      </c>
      <c r="J941" s="122" t="n"/>
    </row>
    <row r="942" ht="15" customHeight="1" s="76">
      <c r="A942" s="122" t="n"/>
      <c r="B942" s="122" t="n"/>
      <c r="C942" s="123" t="n"/>
      <c r="D942" s="123" t="n"/>
      <c r="E942" s="124" t="n"/>
      <c r="F942" s="119">
        <f>$C942-$D942</f>
        <v/>
      </c>
      <c r="G942" s="120">
        <f>IF($C942=0,0,$F942/$C942)</f>
        <v/>
      </c>
      <c r="H942" s="119">
        <f>IF($E942=0,0,$F942/$E942)</f>
        <v/>
      </c>
      <c r="I942" s="121">
        <f>IF($B942="","",IF($F942&lt;0,"ZARAR",IF($G942&lt;IsMarjEsik,"RİSK","KÂRLI")))</f>
        <v/>
      </c>
      <c r="J942" s="122" t="n"/>
    </row>
    <row r="943" ht="15" customHeight="1" s="76">
      <c r="A943" s="122" t="n"/>
      <c r="B943" s="122" t="n"/>
      <c r="C943" s="123" t="n"/>
      <c r="D943" s="123" t="n"/>
      <c r="E943" s="124" t="n"/>
      <c r="F943" s="119">
        <f>$C943-$D943</f>
        <v/>
      </c>
      <c r="G943" s="120">
        <f>IF($C943=0,0,$F943/$C943)</f>
        <v/>
      </c>
      <c r="H943" s="119">
        <f>IF($E943=0,0,$F943/$E943)</f>
        <v/>
      </c>
      <c r="I943" s="121">
        <f>IF($B943="","",IF($F943&lt;0,"ZARAR",IF($G943&lt;IsMarjEsik,"RİSK","KÂRLI")))</f>
        <v/>
      </c>
      <c r="J943" s="122" t="n"/>
    </row>
    <row r="944" ht="15" customHeight="1" s="76">
      <c r="A944" s="122" t="n"/>
      <c r="B944" s="122" t="n"/>
      <c r="C944" s="123" t="n"/>
      <c r="D944" s="123" t="n"/>
      <c r="E944" s="124" t="n"/>
      <c r="F944" s="119">
        <f>$C944-$D944</f>
        <v/>
      </c>
      <c r="G944" s="120">
        <f>IF($C944=0,0,$F944/$C944)</f>
        <v/>
      </c>
      <c r="H944" s="119">
        <f>IF($E944=0,0,$F944/$E944)</f>
        <v/>
      </c>
      <c r="I944" s="121">
        <f>IF($B944="","",IF($F944&lt;0,"ZARAR",IF($G944&lt;IsMarjEsik,"RİSK","KÂRLI")))</f>
        <v/>
      </c>
      <c r="J944" s="122" t="n"/>
    </row>
    <row r="945" ht="15" customHeight="1" s="76">
      <c r="A945" s="122" t="n"/>
      <c r="B945" s="122" t="n"/>
      <c r="C945" s="123" t="n"/>
      <c r="D945" s="123" t="n"/>
      <c r="E945" s="124" t="n"/>
      <c r="F945" s="119">
        <f>$C945-$D945</f>
        <v/>
      </c>
      <c r="G945" s="120">
        <f>IF($C945=0,0,$F945/$C945)</f>
        <v/>
      </c>
      <c r="H945" s="119">
        <f>IF($E945=0,0,$F945/$E945)</f>
        <v/>
      </c>
      <c r="I945" s="121">
        <f>IF($B945="","",IF($F945&lt;0,"ZARAR",IF($G945&lt;IsMarjEsik,"RİSK","KÂRLI")))</f>
        <v/>
      </c>
      <c r="J945" s="122" t="n"/>
    </row>
    <row r="946" ht="15" customHeight="1" s="76">
      <c r="A946" s="122" t="n"/>
      <c r="B946" s="122" t="n"/>
      <c r="C946" s="123" t="n"/>
      <c r="D946" s="123" t="n"/>
      <c r="E946" s="124" t="n"/>
      <c r="F946" s="119">
        <f>$C946-$D946</f>
        <v/>
      </c>
      <c r="G946" s="120">
        <f>IF($C946=0,0,$F946/$C946)</f>
        <v/>
      </c>
      <c r="H946" s="119">
        <f>IF($E946=0,0,$F946/$E946)</f>
        <v/>
      </c>
      <c r="I946" s="121">
        <f>IF($B946="","",IF($F946&lt;0,"ZARAR",IF($G946&lt;IsMarjEsik,"RİSK","KÂRLI")))</f>
        <v/>
      </c>
      <c r="J946" s="122" t="n"/>
    </row>
    <row r="947" ht="15" customHeight="1" s="76">
      <c r="A947" s="122" t="n"/>
      <c r="B947" s="122" t="n"/>
      <c r="C947" s="123" t="n"/>
      <c r="D947" s="123" t="n"/>
      <c r="E947" s="124" t="n"/>
      <c r="F947" s="119">
        <f>$C947-$D947</f>
        <v/>
      </c>
      <c r="G947" s="120">
        <f>IF($C947=0,0,$F947/$C947)</f>
        <v/>
      </c>
      <c r="H947" s="119">
        <f>IF($E947=0,0,$F947/$E947)</f>
        <v/>
      </c>
      <c r="I947" s="121">
        <f>IF($B947="","",IF($F947&lt;0,"ZARAR",IF($G947&lt;IsMarjEsik,"RİSK","KÂRLI")))</f>
        <v/>
      </c>
      <c r="J947" s="122" t="n"/>
    </row>
    <row r="948" ht="15" customHeight="1" s="76">
      <c r="A948" s="122" t="n"/>
      <c r="B948" s="122" t="n"/>
      <c r="C948" s="123" t="n"/>
      <c r="D948" s="123" t="n"/>
      <c r="E948" s="124" t="n"/>
      <c r="F948" s="119">
        <f>$C948-$D948</f>
        <v/>
      </c>
      <c r="G948" s="120">
        <f>IF($C948=0,0,$F948/$C948)</f>
        <v/>
      </c>
      <c r="H948" s="119">
        <f>IF($E948=0,0,$F948/$E948)</f>
        <v/>
      </c>
      <c r="I948" s="121">
        <f>IF($B948="","",IF($F948&lt;0,"ZARAR",IF($G948&lt;IsMarjEsik,"RİSK","KÂRLI")))</f>
        <v/>
      </c>
      <c r="J948" s="122" t="n"/>
    </row>
    <row r="949" ht="15" customHeight="1" s="76">
      <c r="A949" s="122" t="n"/>
      <c r="B949" s="122" t="n"/>
      <c r="C949" s="123" t="n"/>
      <c r="D949" s="123" t="n"/>
      <c r="E949" s="124" t="n"/>
      <c r="F949" s="119">
        <f>$C949-$D949</f>
        <v/>
      </c>
      <c r="G949" s="120">
        <f>IF($C949=0,0,$F949/$C949)</f>
        <v/>
      </c>
      <c r="H949" s="119">
        <f>IF($E949=0,0,$F949/$E949)</f>
        <v/>
      </c>
      <c r="I949" s="121">
        <f>IF($B949="","",IF($F949&lt;0,"ZARAR",IF($G949&lt;IsMarjEsik,"RİSK","KÂRLI")))</f>
        <v/>
      </c>
      <c r="J949" s="122" t="n"/>
    </row>
    <row r="950" ht="15" customHeight="1" s="76">
      <c r="A950" s="122" t="n"/>
      <c r="B950" s="122" t="n"/>
      <c r="C950" s="123" t="n"/>
      <c r="D950" s="123" t="n"/>
      <c r="E950" s="124" t="n"/>
      <c r="F950" s="119">
        <f>$C950-$D950</f>
        <v/>
      </c>
      <c r="G950" s="120">
        <f>IF($C950=0,0,$F950/$C950)</f>
        <v/>
      </c>
      <c r="H950" s="119">
        <f>IF($E950=0,0,$F950/$E950)</f>
        <v/>
      </c>
      <c r="I950" s="121">
        <f>IF($B950="","",IF($F950&lt;0,"ZARAR",IF($G950&lt;IsMarjEsik,"RİSK","KÂRLI")))</f>
        <v/>
      </c>
      <c r="J950" s="122" t="n"/>
    </row>
    <row r="951" ht="15" customHeight="1" s="76">
      <c r="A951" s="122" t="n"/>
      <c r="B951" s="122" t="n"/>
      <c r="C951" s="123" t="n"/>
      <c r="D951" s="123" t="n"/>
      <c r="E951" s="124" t="n"/>
      <c r="F951" s="119">
        <f>$C951-$D951</f>
        <v/>
      </c>
      <c r="G951" s="120">
        <f>IF($C951=0,0,$F951/$C951)</f>
        <v/>
      </c>
      <c r="H951" s="119">
        <f>IF($E951=0,0,$F951/$E951)</f>
        <v/>
      </c>
      <c r="I951" s="121">
        <f>IF($B951="","",IF($F951&lt;0,"ZARAR",IF($G951&lt;IsMarjEsik,"RİSK","KÂRLI")))</f>
        <v/>
      </c>
      <c r="J951" s="122" t="n"/>
    </row>
    <row r="952" ht="15" customHeight="1" s="76">
      <c r="A952" s="122" t="n"/>
      <c r="B952" s="122" t="n"/>
      <c r="C952" s="123" t="n"/>
      <c r="D952" s="123" t="n"/>
      <c r="E952" s="124" t="n"/>
      <c r="F952" s="119">
        <f>$C952-$D952</f>
        <v/>
      </c>
      <c r="G952" s="120">
        <f>IF($C952=0,0,$F952/$C952)</f>
        <v/>
      </c>
      <c r="H952" s="119">
        <f>IF($E952=0,0,$F952/$E952)</f>
        <v/>
      </c>
      <c r="I952" s="121">
        <f>IF($B952="","",IF($F952&lt;0,"ZARAR",IF($G952&lt;IsMarjEsik,"RİSK","KÂRLI")))</f>
        <v/>
      </c>
      <c r="J952" s="122" t="n"/>
    </row>
    <row r="953" ht="15" customHeight="1" s="76">
      <c r="A953" s="122" t="n"/>
      <c r="B953" s="122" t="n"/>
      <c r="C953" s="123" t="n"/>
      <c r="D953" s="123" t="n"/>
      <c r="E953" s="124" t="n"/>
      <c r="F953" s="119">
        <f>$C953-$D953</f>
        <v/>
      </c>
      <c r="G953" s="120">
        <f>IF($C953=0,0,$F953/$C953)</f>
        <v/>
      </c>
      <c r="H953" s="119">
        <f>IF($E953=0,0,$F953/$E953)</f>
        <v/>
      </c>
      <c r="I953" s="121">
        <f>IF($B953="","",IF($F953&lt;0,"ZARAR",IF($G953&lt;IsMarjEsik,"RİSK","KÂRLI")))</f>
        <v/>
      </c>
      <c r="J953" s="122" t="n"/>
    </row>
    <row r="954" ht="15" customHeight="1" s="76">
      <c r="A954" s="122" t="n"/>
      <c r="B954" s="122" t="n"/>
      <c r="C954" s="123" t="n"/>
      <c r="D954" s="123" t="n"/>
      <c r="E954" s="124" t="n"/>
      <c r="F954" s="119">
        <f>$C954-$D954</f>
        <v/>
      </c>
      <c r="G954" s="120">
        <f>IF($C954=0,0,$F954/$C954)</f>
        <v/>
      </c>
      <c r="H954" s="119">
        <f>IF($E954=0,0,$F954/$E954)</f>
        <v/>
      </c>
      <c r="I954" s="121">
        <f>IF($B954="","",IF($F954&lt;0,"ZARAR",IF($G954&lt;IsMarjEsik,"RİSK","KÂRLI")))</f>
        <v/>
      </c>
      <c r="J954" s="122" t="n"/>
    </row>
    <row r="955" ht="15" customHeight="1" s="76">
      <c r="A955" s="122" t="n"/>
      <c r="B955" s="122" t="n"/>
      <c r="C955" s="123" t="n"/>
      <c r="D955" s="123" t="n"/>
      <c r="E955" s="124" t="n"/>
      <c r="F955" s="119">
        <f>$C955-$D955</f>
        <v/>
      </c>
      <c r="G955" s="120">
        <f>IF($C955=0,0,$F955/$C955)</f>
        <v/>
      </c>
      <c r="H955" s="119">
        <f>IF($E955=0,0,$F955/$E955)</f>
        <v/>
      </c>
      <c r="I955" s="121">
        <f>IF($B955="","",IF($F955&lt;0,"ZARAR",IF($G955&lt;IsMarjEsik,"RİSK","KÂRLI")))</f>
        <v/>
      </c>
      <c r="J955" s="122" t="n"/>
    </row>
    <row r="956" ht="15" customHeight="1" s="76">
      <c r="A956" s="122" t="n"/>
      <c r="B956" s="122" t="n"/>
      <c r="C956" s="123" t="n"/>
      <c r="D956" s="123" t="n"/>
      <c r="E956" s="124" t="n"/>
      <c r="F956" s="119">
        <f>$C956-$D956</f>
        <v/>
      </c>
      <c r="G956" s="120">
        <f>IF($C956=0,0,$F956/$C956)</f>
        <v/>
      </c>
      <c r="H956" s="119">
        <f>IF($E956=0,0,$F956/$E956)</f>
        <v/>
      </c>
      <c r="I956" s="121">
        <f>IF($B956="","",IF($F956&lt;0,"ZARAR",IF($G956&lt;IsMarjEsik,"RİSK","KÂRLI")))</f>
        <v/>
      </c>
      <c r="J956" s="122" t="n"/>
    </row>
    <row r="957" ht="15" customHeight="1" s="76">
      <c r="A957" s="122" t="n"/>
      <c r="B957" s="122" t="n"/>
      <c r="C957" s="123" t="n"/>
      <c r="D957" s="123" t="n"/>
      <c r="E957" s="124" t="n"/>
      <c r="F957" s="119">
        <f>$C957-$D957</f>
        <v/>
      </c>
      <c r="G957" s="120">
        <f>IF($C957=0,0,$F957/$C957)</f>
        <v/>
      </c>
      <c r="H957" s="119">
        <f>IF($E957=0,0,$F957/$E957)</f>
        <v/>
      </c>
      <c r="I957" s="121">
        <f>IF($B957="","",IF($F957&lt;0,"ZARAR",IF($G957&lt;IsMarjEsik,"RİSK","KÂRLI")))</f>
        <v/>
      </c>
      <c r="J957" s="122" t="n"/>
    </row>
    <row r="958" ht="15" customHeight="1" s="76">
      <c r="A958" s="122" t="n"/>
      <c r="B958" s="122" t="n"/>
      <c r="C958" s="123" t="n"/>
      <c r="D958" s="123" t="n"/>
      <c r="E958" s="124" t="n"/>
      <c r="F958" s="119">
        <f>$C958-$D958</f>
        <v/>
      </c>
      <c r="G958" s="120">
        <f>IF($C958=0,0,$F958/$C958)</f>
        <v/>
      </c>
      <c r="H958" s="119">
        <f>IF($E958=0,0,$F958/$E958)</f>
        <v/>
      </c>
      <c r="I958" s="121">
        <f>IF($B958="","",IF($F958&lt;0,"ZARAR",IF($G958&lt;IsMarjEsik,"RİSK","KÂRLI")))</f>
        <v/>
      </c>
      <c r="J958" s="122" t="n"/>
    </row>
    <row r="959" ht="15" customHeight="1" s="76">
      <c r="A959" s="122" t="n"/>
      <c r="B959" s="122" t="n"/>
      <c r="C959" s="123" t="n"/>
      <c r="D959" s="123" t="n"/>
      <c r="E959" s="124" t="n"/>
      <c r="F959" s="119">
        <f>$C959-$D959</f>
        <v/>
      </c>
      <c r="G959" s="120">
        <f>IF($C959=0,0,$F959/$C959)</f>
        <v/>
      </c>
      <c r="H959" s="119">
        <f>IF($E959=0,0,$F959/$E959)</f>
        <v/>
      </c>
      <c r="I959" s="121">
        <f>IF($B959="","",IF($F959&lt;0,"ZARAR",IF($G959&lt;IsMarjEsik,"RİSK","KÂRLI")))</f>
        <v/>
      </c>
      <c r="J959" s="122" t="n"/>
    </row>
    <row r="960" ht="15" customHeight="1" s="76">
      <c r="A960" s="122" t="n"/>
      <c r="B960" s="122" t="n"/>
      <c r="C960" s="123" t="n"/>
      <c r="D960" s="123" t="n"/>
      <c r="E960" s="124" t="n"/>
      <c r="F960" s="119">
        <f>$C960-$D960</f>
        <v/>
      </c>
      <c r="G960" s="120">
        <f>IF($C960=0,0,$F960/$C960)</f>
        <v/>
      </c>
      <c r="H960" s="119">
        <f>IF($E960=0,0,$F960/$E960)</f>
        <v/>
      </c>
      <c r="I960" s="121">
        <f>IF($B960="","",IF($F960&lt;0,"ZARAR",IF($G960&lt;IsMarjEsik,"RİSK","KÂRLI")))</f>
        <v/>
      </c>
      <c r="J960" s="122" t="n"/>
    </row>
    <row r="961" ht="15" customHeight="1" s="76">
      <c r="A961" s="122" t="n"/>
      <c r="B961" s="122" t="n"/>
      <c r="C961" s="123" t="n"/>
      <c r="D961" s="123" t="n"/>
      <c r="E961" s="124" t="n"/>
      <c r="F961" s="119">
        <f>$C961-$D961</f>
        <v/>
      </c>
      <c r="G961" s="120">
        <f>IF($C961=0,0,$F961/$C961)</f>
        <v/>
      </c>
      <c r="H961" s="119">
        <f>IF($E961=0,0,$F961/$E961)</f>
        <v/>
      </c>
      <c r="I961" s="121">
        <f>IF($B961="","",IF($F961&lt;0,"ZARAR",IF($G961&lt;IsMarjEsik,"RİSK","KÂRLI")))</f>
        <v/>
      </c>
      <c r="J961" s="122" t="n"/>
    </row>
    <row r="962" ht="15" customHeight="1" s="76">
      <c r="A962" s="122" t="n"/>
      <c r="B962" s="122" t="n"/>
      <c r="C962" s="123" t="n"/>
      <c r="D962" s="123" t="n"/>
      <c r="E962" s="124" t="n"/>
      <c r="F962" s="119">
        <f>$C962-$D962</f>
        <v/>
      </c>
      <c r="G962" s="120">
        <f>IF($C962=0,0,$F962/$C962)</f>
        <v/>
      </c>
      <c r="H962" s="119">
        <f>IF($E962=0,0,$F962/$E962)</f>
        <v/>
      </c>
      <c r="I962" s="121">
        <f>IF($B962="","",IF($F962&lt;0,"ZARAR",IF($G962&lt;IsMarjEsik,"RİSK","KÂRLI")))</f>
        <v/>
      </c>
      <c r="J962" s="122" t="n"/>
    </row>
    <row r="963" ht="15" customHeight="1" s="76">
      <c r="A963" s="122" t="n"/>
      <c r="B963" s="122" t="n"/>
      <c r="C963" s="123" t="n"/>
      <c r="D963" s="123" t="n"/>
      <c r="E963" s="124" t="n"/>
      <c r="F963" s="119">
        <f>$C963-$D963</f>
        <v/>
      </c>
      <c r="G963" s="120">
        <f>IF($C963=0,0,$F963/$C963)</f>
        <v/>
      </c>
      <c r="H963" s="119">
        <f>IF($E963=0,0,$F963/$E963)</f>
        <v/>
      </c>
      <c r="I963" s="121">
        <f>IF($B963="","",IF($F963&lt;0,"ZARAR",IF($G963&lt;IsMarjEsik,"RİSK","KÂRLI")))</f>
        <v/>
      </c>
      <c r="J963" s="122" t="n"/>
    </row>
    <row r="964" ht="15" customHeight="1" s="76">
      <c r="A964" s="122" t="n"/>
      <c r="B964" s="122" t="n"/>
      <c r="C964" s="123" t="n"/>
      <c r="D964" s="123" t="n"/>
      <c r="E964" s="124" t="n"/>
      <c r="F964" s="119">
        <f>$C964-$D964</f>
        <v/>
      </c>
      <c r="G964" s="120">
        <f>IF($C964=0,0,$F964/$C964)</f>
        <v/>
      </c>
      <c r="H964" s="119">
        <f>IF($E964=0,0,$F964/$E964)</f>
        <v/>
      </c>
      <c r="I964" s="121">
        <f>IF($B964="","",IF($F964&lt;0,"ZARAR",IF($G964&lt;IsMarjEsik,"RİSK","KÂRLI")))</f>
        <v/>
      </c>
      <c r="J964" s="122" t="n"/>
    </row>
    <row r="965" ht="15" customHeight="1" s="76">
      <c r="A965" s="122" t="n"/>
      <c r="B965" s="122" t="n"/>
      <c r="C965" s="123" t="n"/>
      <c r="D965" s="123" t="n"/>
      <c r="E965" s="124" t="n"/>
      <c r="F965" s="119">
        <f>$C965-$D965</f>
        <v/>
      </c>
      <c r="G965" s="120">
        <f>IF($C965=0,0,$F965/$C965)</f>
        <v/>
      </c>
      <c r="H965" s="119">
        <f>IF($E965=0,0,$F965/$E965)</f>
        <v/>
      </c>
      <c r="I965" s="121">
        <f>IF($B965="","",IF($F965&lt;0,"ZARAR",IF($G965&lt;IsMarjEsik,"RİSK","KÂRLI")))</f>
        <v/>
      </c>
      <c r="J965" s="122" t="n"/>
    </row>
    <row r="966" ht="15" customHeight="1" s="76">
      <c r="A966" s="122" t="n"/>
      <c r="B966" s="122" t="n"/>
      <c r="C966" s="123" t="n"/>
      <c r="D966" s="123" t="n"/>
      <c r="E966" s="124" t="n"/>
      <c r="F966" s="119">
        <f>$C966-$D966</f>
        <v/>
      </c>
      <c r="G966" s="120">
        <f>IF($C966=0,0,$F966/$C966)</f>
        <v/>
      </c>
      <c r="H966" s="119">
        <f>IF($E966=0,0,$F966/$E966)</f>
        <v/>
      </c>
      <c r="I966" s="121">
        <f>IF($B966="","",IF($F966&lt;0,"ZARAR",IF($G966&lt;IsMarjEsik,"RİSK","KÂRLI")))</f>
        <v/>
      </c>
      <c r="J966" s="122" t="n"/>
    </row>
    <row r="967" ht="15" customHeight="1" s="76">
      <c r="A967" s="122" t="n"/>
      <c r="B967" s="122" t="n"/>
      <c r="C967" s="123" t="n"/>
      <c r="D967" s="123" t="n"/>
      <c r="E967" s="124" t="n"/>
      <c r="F967" s="119">
        <f>$C967-$D967</f>
        <v/>
      </c>
      <c r="G967" s="120">
        <f>IF($C967=0,0,$F967/$C967)</f>
        <v/>
      </c>
      <c r="H967" s="119">
        <f>IF($E967=0,0,$F967/$E967)</f>
        <v/>
      </c>
      <c r="I967" s="121">
        <f>IF($B967="","",IF($F967&lt;0,"ZARAR",IF($G967&lt;IsMarjEsik,"RİSK","KÂRLI")))</f>
        <v/>
      </c>
      <c r="J967" s="122" t="n"/>
    </row>
    <row r="968" ht="15" customHeight="1" s="76">
      <c r="A968" s="122" t="n"/>
      <c r="B968" s="122" t="n"/>
      <c r="C968" s="123" t="n"/>
      <c r="D968" s="123" t="n"/>
      <c r="E968" s="124" t="n"/>
      <c r="F968" s="119">
        <f>$C968-$D968</f>
        <v/>
      </c>
      <c r="G968" s="120">
        <f>IF($C968=0,0,$F968/$C968)</f>
        <v/>
      </c>
      <c r="H968" s="119">
        <f>IF($E968=0,0,$F968/$E968)</f>
        <v/>
      </c>
      <c r="I968" s="121">
        <f>IF($B968="","",IF($F968&lt;0,"ZARAR",IF($G968&lt;IsMarjEsik,"RİSK","KÂRLI")))</f>
        <v/>
      </c>
      <c r="J968" s="122" t="n"/>
    </row>
    <row r="969" ht="15" customHeight="1" s="76">
      <c r="A969" s="122" t="n"/>
      <c r="B969" s="122" t="n"/>
      <c r="C969" s="123" t="n"/>
      <c r="D969" s="123" t="n"/>
      <c r="E969" s="124" t="n"/>
      <c r="F969" s="119">
        <f>$C969-$D969</f>
        <v/>
      </c>
      <c r="G969" s="120">
        <f>IF($C969=0,0,$F969/$C969)</f>
        <v/>
      </c>
      <c r="H969" s="119">
        <f>IF($E969=0,0,$F969/$E969)</f>
        <v/>
      </c>
      <c r="I969" s="121">
        <f>IF($B969="","",IF($F969&lt;0,"ZARAR",IF($G969&lt;IsMarjEsik,"RİSK","KÂRLI")))</f>
        <v/>
      </c>
      <c r="J969" s="122" t="n"/>
    </row>
    <row r="970" ht="15" customHeight="1" s="76">
      <c r="A970" s="122" t="n"/>
      <c r="B970" s="122" t="n"/>
      <c r="C970" s="123" t="n"/>
      <c r="D970" s="123" t="n"/>
      <c r="E970" s="124" t="n"/>
      <c r="F970" s="119">
        <f>$C970-$D970</f>
        <v/>
      </c>
      <c r="G970" s="120">
        <f>IF($C970=0,0,$F970/$C970)</f>
        <v/>
      </c>
      <c r="H970" s="119">
        <f>IF($E970=0,0,$F970/$E970)</f>
        <v/>
      </c>
      <c r="I970" s="121">
        <f>IF($B970="","",IF($F970&lt;0,"ZARAR",IF($G970&lt;IsMarjEsik,"RİSK","KÂRLI")))</f>
        <v/>
      </c>
      <c r="J970" s="122" t="n"/>
    </row>
    <row r="971" ht="15" customHeight="1" s="76">
      <c r="A971" s="122" t="n"/>
      <c r="B971" s="122" t="n"/>
      <c r="C971" s="123" t="n"/>
      <c r="D971" s="123" t="n"/>
      <c r="E971" s="124" t="n"/>
      <c r="F971" s="119">
        <f>$C971-$D971</f>
        <v/>
      </c>
      <c r="G971" s="120">
        <f>IF($C971=0,0,$F971/$C971)</f>
        <v/>
      </c>
      <c r="H971" s="119">
        <f>IF($E971=0,0,$F971/$E971)</f>
        <v/>
      </c>
      <c r="I971" s="121">
        <f>IF($B971="","",IF($F971&lt;0,"ZARAR",IF($G971&lt;IsMarjEsik,"RİSK","KÂRLI")))</f>
        <v/>
      </c>
      <c r="J971" s="122" t="n"/>
    </row>
    <row r="972" ht="15" customHeight="1" s="76">
      <c r="A972" s="122" t="n"/>
      <c r="B972" s="122" t="n"/>
      <c r="C972" s="123" t="n"/>
      <c r="D972" s="123" t="n"/>
      <c r="E972" s="124" t="n"/>
      <c r="F972" s="119">
        <f>$C972-$D972</f>
        <v/>
      </c>
      <c r="G972" s="120">
        <f>IF($C972=0,0,$F972/$C972)</f>
        <v/>
      </c>
      <c r="H972" s="119">
        <f>IF($E972=0,0,$F972/$E972)</f>
        <v/>
      </c>
      <c r="I972" s="121">
        <f>IF($B972="","",IF($F972&lt;0,"ZARAR",IF($G972&lt;IsMarjEsik,"RİSK","KÂRLI")))</f>
        <v/>
      </c>
      <c r="J972" s="122" t="n"/>
    </row>
    <row r="973" ht="15" customHeight="1" s="76">
      <c r="A973" s="122" t="n"/>
      <c r="B973" s="122" t="n"/>
      <c r="C973" s="123" t="n"/>
      <c r="D973" s="123" t="n"/>
      <c r="E973" s="124" t="n"/>
      <c r="F973" s="119">
        <f>$C973-$D973</f>
        <v/>
      </c>
      <c r="G973" s="120">
        <f>IF($C973=0,0,$F973/$C973)</f>
        <v/>
      </c>
      <c r="H973" s="119">
        <f>IF($E973=0,0,$F973/$E973)</f>
        <v/>
      </c>
      <c r="I973" s="121">
        <f>IF($B973="","",IF($F973&lt;0,"ZARAR",IF($G973&lt;IsMarjEsik,"RİSK","KÂRLI")))</f>
        <v/>
      </c>
      <c r="J973" s="122" t="n"/>
    </row>
    <row r="974" ht="15" customHeight="1" s="76">
      <c r="A974" s="122" t="n"/>
      <c r="B974" s="122" t="n"/>
      <c r="C974" s="123" t="n"/>
      <c r="D974" s="123" t="n"/>
      <c r="E974" s="124" t="n"/>
      <c r="F974" s="119">
        <f>$C974-$D974</f>
        <v/>
      </c>
      <c r="G974" s="120">
        <f>IF($C974=0,0,$F974/$C974)</f>
        <v/>
      </c>
      <c r="H974" s="119">
        <f>IF($E974=0,0,$F974/$E974)</f>
        <v/>
      </c>
      <c r="I974" s="121">
        <f>IF($B974="","",IF($F974&lt;0,"ZARAR",IF($G974&lt;IsMarjEsik,"RİSK","KÂRLI")))</f>
        <v/>
      </c>
      <c r="J974" s="122" t="n"/>
    </row>
    <row r="975" ht="15" customHeight="1" s="76">
      <c r="A975" s="122" t="n"/>
      <c r="B975" s="122" t="n"/>
      <c r="C975" s="123" t="n"/>
      <c r="D975" s="123" t="n"/>
      <c r="E975" s="124" t="n"/>
      <c r="F975" s="119">
        <f>$C975-$D975</f>
        <v/>
      </c>
      <c r="G975" s="120">
        <f>IF($C975=0,0,$F975/$C975)</f>
        <v/>
      </c>
      <c r="H975" s="119">
        <f>IF($E975=0,0,$F975/$E975)</f>
        <v/>
      </c>
      <c r="I975" s="121">
        <f>IF($B975="","",IF($F975&lt;0,"ZARAR",IF($G975&lt;IsMarjEsik,"RİSK","KÂRLI")))</f>
        <v/>
      </c>
      <c r="J975" s="122" t="n"/>
    </row>
    <row r="976" ht="15" customHeight="1" s="76">
      <c r="A976" s="122" t="n"/>
      <c r="B976" s="122" t="n"/>
      <c r="C976" s="123" t="n"/>
      <c r="D976" s="123" t="n"/>
      <c r="E976" s="124" t="n"/>
      <c r="F976" s="119">
        <f>$C976-$D976</f>
        <v/>
      </c>
      <c r="G976" s="120">
        <f>IF($C976=0,0,$F976/$C976)</f>
        <v/>
      </c>
      <c r="H976" s="119">
        <f>IF($E976=0,0,$F976/$E976)</f>
        <v/>
      </c>
      <c r="I976" s="121">
        <f>IF($B976="","",IF($F976&lt;0,"ZARAR",IF($G976&lt;IsMarjEsik,"RİSK","KÂRLI")))</f>
        <v/>
      </c>
      <c r="J976" s="122" t="n"/>
    </row>
    <row r="977" ht="15" customHeight="1" s="76">
      <c r="A977" s="122" t="n"/>
      <c r="B977" s="122" t="n"/>
      <c r="C977" s="123" t="n"/>
      <c r="D977" s="123" t="n"/>
      <c r="E977" s="124" t="n"/>
      <c r="F977" s="119">
        <f>$C977-$D977</f>
        <v/>
      </c>
      <c r="G977" s="120">
        <f>IF($C977=0,0,$F977/$C977)</f>
        <v/>
      </c>
      <c r="H977" s="119">
        <f>IF($E977=0,0,$F977/$E977)</f>
        <v/>
      </c>
      <c r="I977" s="121">
        <f>IF($B977="","",IF($F977&lt;0,"ZARAR",IF($G977&lt;IsMarjEsik,"RİSK","KÂRLI")))</f>
        <v/>
      </c>
      <c r="J977" s="122" t="n"/>
    </row>
    <row r="978" ht="15" customHeight="1" s="76">
      <c r="A978" s="122" t="n"/>
      <c r="B978" s="122" t="n"/>
      <c r="C978" s="123" t="n"/>
      <c r="D978" s="123" t="n"/>
      <c r="E978" s="124" t="n"/>
      <c r="F978" s="119">
        <f>$C978-$D978</f>
        <v/>
      </c>
      <c r="G978" s="120">
        <f>IF($C978=0,0,$F978/$C978)</f>
        <v/>
      </c>
      <c r="H978" s="119">
        <f>IF($E978=0,0,$F978/$E978)</f>
        <v/>
      </c>
      <c r="I978" s="121">
        <f>IF($B978="","",IF($F978&lt;0,"ZARAR",IF($G978&lt;IsMarjEsik,"RİSK","KÂRLI")))</f>
        <v/>
      </c>
      <c r="J978" s="122" t="n"/>
    </row>
    <row r="979" ht="15" customHeight="1" s="76">
      <c r="A979" s="122" t="n"/>
      <c r="B979" s="122" t="n"/>
      <c r="C979" s="123" t="n"/>
      <c r="D979" s="123" t="n"/>
      <c r="E979" s="124" t="n"/>
      <c r="F979" s="119">
        <f>$C979-$D979</f>
        <v/>
      </c>
      <c r="G979" s="120">
        <f>IF($C979=0,0,$F979/$C979)</f>
        <v/>
      </c>
      <c r="H979" s="119">
        <f>IF($E979=0,0,$F979/$E979)</f>
        <v/>
      </c>
      <c r="I979" s="121">
        <f>IF($B979="","",IF($F979&lt;0,"ZARAR",IF($G979&lt;IsMarjEsik,"RİSK","KÂRLI")))</f>
        <v/>
      </c>
      <c r="J979" s="122" t="n"/>
    </row>
    <row r="980" ht="15" customHeight="1" s="76">
      <c r="A980" s="122" t="n"/>
      <c r="B980" s="122" t="n"/>
      <c r="C980" s="123" t="n"/>
      <c r="D980" s="123" t="n"/>
      <c r="E980" s="124" t="n"/>
      <c r="F980" s="119">
        <f>$C980-$D980</f>
        <v/>
      </c>
      <c r="G980" s="120">
        <f>IF($C980=0,0,$F980/$C980)</f>
        <v/>
      </c>
      <c r="H980" s="119">
        <f>IF($E980=0,0,$F980/$E980)</f>
        <v/>
      </c>
      <c r="I980" s="121">
        <f>IF($B980="","",IF($F980&lt;0,"ZARAR",IF($G980&lt;IsMarjEsik,"RİSK","KÂRLI")))</f>
        <v/>
      </c>
      <c r="J980" s="122" t="n"/>
    </row>
    <row r="981" ht="15" customHeight="1" s="76">
      <c r="A981" s="122" t="n"/>
      <c r="B981" s="122" t="n"/>
      <c r="C981" s="123" t="n"/>
      <c r="D981" s="123" t="n"/>
      <c r="E981" s="124" t="n"/>
      <c r="F981" s="119">
        <f>$C981-$D981</f>
        <v/>
      </c>
      <c r="G981" s="120">
        <f>IF($C981=0,0,$F981/$C981)</f>
        <v/>
      </c>
      <c r="H981" s="119">
        <f>IF($E981=0,0,$F981/$E981)</f>
        <v/>
      </c>
      <c r="I981" s="121">
        <f>IF($B981="","",IF($F981&lt;0,"ZARAR",IF($G981&lt;IsMarjEsik,"RİSK","KÂRLI")))</f>
        <v/>
      </c>
      <c r="J981" s="122" t="n"/>
    </row>
    <row r="982" ht="15" customHeight="1" s="76">
      <c r="A982" s="122" t="n"/>
      <c r="B982" s="122" t="n"/>
      <c r="C982" s="123" t="n"/>
      <c r="D982" s="123" t="n"/>
      <c r="E982" s="124" t="n"/>
      <c r="F982" s="119">
        <f>$C982-$D982</f>
        <v/>
      </c>
      <c r="G982" s="120">
        <f>IF($C982=0,0,$F982/$C982)</f>
        <v/>
      </c>
      <c r="H982" s="119">
        <f>IF($E982=0,0,$F982/$E982)</f>
        <v/>
      </c>
      <c r="I982" s="121">
        <f>IF($B982="","",IF($F982&lt;0,"ZARAR",IF($G982&lt;IsMarjEsik,"RİSK","KÂRLI")))</f>
        <v/>
      </c>
      <c r="J982" s="122" t="n"/>
    </row>
    <row r="983" ht="15" customHeight="1" s="76">
      <c r="A983" s="122" t="n"/>
      <c r="B983" s="122" t="n"/>
      <c r="C983" s="123" t="n"/>
      <c r="D983" s="123" t="n"/>
      <c r="E983" s="124" t="n"/>
      <c r="F983" s="119">
        <f>$C983-$D983</f>
        <v/>
      </c>
      <c r="G983" s="120">
        <f>IF($C983=0,0,$F983/$C983)</f>
        <v/>
      </c>
      <c r="H983" s="119">
        <f>IF($E983=0,0,$F983/$E983)</f>
        <v/>
      </c>
      <c r="I983" s="121">
        <f>IF($B983="","",IF($F983&lt;0,"ZARAR",IF($G983&lt;IsMarjEsik,"RİSK","KÂRLI")))</f>
        <v/>
      </c>
      <c r="J983" s="122" t="n"/>
    </row>
    <row r="984" ht="15" customHeight="1" s="76">
      <c r="A984" s="122" t="n"/>
      <c r="B984" s="122" t="n"/>
      <c r="C984" s="123" t="n"/>
      <c r="D984" s="123" t="n"/>
      <c r="E984" s="124" t="n"/>
      <c r="F984" s="119">
        <f>$C984-$D984</f>
        <v/>
      </c>
      <c r="G984" s="120">
        <f>IF($C984=0,0,$F984/$C984)</f>
        <v/>
      </c>
      <c r="H984" s="119">
        <f>IF($E984=0,0,$F984/$E984)</f>
        <v/>
      </c>
      <c r="I984" s="121">
        <f>IF($B984="","",IF($F984&lt;0,"ZARAR",IF($G984&lt;IsMarjEsik,"RİSK","KÂRLI")))</f>
        <v/>
      </c>
      <c r="J984" s="122" t="n"/>
    </row>
    <row r="985" ht="15" customHeight="1" s="76">
      <c r="A985" s="122" t="n"/>
      <c r="B985" s="122" t="n"/>
      <c r="C985" s="123" t="n"/>
      <c r="D985" s="123" t="n"/>
      <c r="E985" s="124" t="n"/>
      <c r="F985" s="119">
        <f>$C985-$D985</f>
        <v/>
      </c>
      <c r="G985" s="120">
        <f>IF($C985=0,0,$F985/$C985)</f>
        <v/>
      </c>
      <c r="H985" s="119">
        <f>IF($E985=0,0,$F985/$E985)</f>
        <v/>
      </c>
      <c r="I985" s="121">
        <f>IF($B985="","",IF($F985&lt;0,"ZARAR",IF($G985&lt;IsMarjEsik,"RİSK","KÂRLI")))</f>
        <v/>
      </c>
      <c r="J985" s="122" t="n"/>
    </row>
    <row r="986" ht="15" customHeight="1" s="76">
      <c r="A986" s="122" t="n"/>
      <c r="B986" s="122" t="n"/>
      <c r="C986" s="123" t="n"/>
      <c r="D986" s="123" t="n"/>
      <c r="E986" s="124" t="n"/>
      <c r="F986" s="119">
        <f>$C986-$D986</f>
        <v/>
      </c>
      <c r="G986" s="120">
        <f>IF($C986=0,0,$F986/$C986)</f>
        <v/>
      </c>
      <c r="H986" s="119">
        <f>IF($E986=0,0,$F986/$E986)</f>
        <v/>
      </c>
      <c r="I986" s="121">
        <f>IF($B986="","",IF($F986&lt;0,"ZARAR",IF($G986&lt;IsMarjEsik,"RİSK","KÂRLI")))</f>
        <v/>
      </c>
      <c r="J986" s="122" t="n"/>
    </row>
    <row r="987" ht="15" customHeight="1" s="76">
      <c r="A987" s="122" t="n"/>
      <c r="B987" s="122" t="n"/>
      <c r="C987" s="123" t="n"/>
      <c r="D987" s="123" t="n"/>
      <c r="E987" s="124" t="n"/>
      <c r="F987" s="119">
        <f>$C987-$D987</f>
        <v/>
      </c>
      <c r="G987" s="120">
        <f>IF($C987=0,0,$F987/$C987)</f>
        <v/>
      </c>
      <c r="H987" s="119">
        <f>IF($E987=0,0,$F987/$E987)</f>
        <v/>
      </c>
      <c r="I987" s="121">
        <f>IF($B987="","",IF($F987&lt;0,"ZARAR",IF($G987&lt;IsMarjEsik,"RİSK","KÂRLI")))</f>
        <v/>
      </c>
      <c r="J987" s="122" t="n"/>
    </row>
    <row r="988" ht="15" customHeight="1" s="76">
      <c r="A988" s="122" t="n"/>
      <c r="B988" s="122" t="n"/>
      <c r="C988" s="123" t="n"/>
      <c r="D988" s="123" t="n"/>
      <c r="E988" s="124" t="n"/>
      <c r="F988" s="119">
        <f>$C988-$D988</f>
        <v/>
      </c>
      <c r="G988" s="120">
        <f>IF($C988=0,0,$F988/$C988)</f>
        <v/>
      </c>
      <c r="H988" s="119">
        <f>IF($E988=0,0,$F988/$E988)</f>
        <v/>
      </c>
      <c r="I988" s="121">
        <f>IF($B988="","",IF($F988&lt;0,"ZARAR",IF($G988&lt;IsMarjEsik,"RİSK","KÂRLI")))</f>
        <v/>
      </c>
      <c r="J988" s="122" t="n"/>
    </row>
    <row r="989" ht="15" customHeight="1" s="76">
      <c r="A989" s="122" t="n"/>
      <c r="B989" s="122" t="n"/>
      <c r="C989" s="123" t="n"/>
      <c r="D989" s="123" t="n"/>
      <c r="E989" s="124" t="n"/>
      <c r="F989" s="119">
        <f>$C989-$D989</f>
        <v/>
      </c>
      <c r="G989" s="120">
        <f>IF($C989=0,0,$F989/$C989)</f>
        <v/>
      </c>
      <c r="H989" s="119">
        <f>IF($E989=0,0,$F989/$E989)</f>
        <v/>
      </c>
      <c r="I989" s="121">
        <f>IF($B989="","",IF($F989&lt;0,"ZARAR",IF($G989&lt;IsMarjEsik,"RİSK","KÂRLI")))</f>
        <v/>
      </c>
      <c r="J989" s="122" t="n"/>
    </row>
    <row r="990" ht="15" customHeight="1" s="76">
      <c r="A990" s="122" t="n"/>
      <c r="B990" s="122" t="n"/>
      <c r="C990" s="123" t="n"/>
      <c r="D990" s="123" t="n"/>
      <c r="E990" s="124" t="n"/>
      <c r="F990" s="119">
        <f>$C990-$D990</f>
        <v/>
      </c>
      <c r="G990" s="120">
        <f>IF($C990=0,0,$F990/$C990)</f>
        <v/>
      </c>
      <c r="H990" s="119">
        <f>IF($E990=0,0,$F990/$E990)</f>
        <v/>
      </c>
      <c r="I990" s="121">
        <f>IF($B990="","",IF($F990&lt;0,"ZARAR",IF($G990&lt;IsMarjEsik,"RİSK","KÂRLI")))</f>
        <v/>
      </c>
      <c r="J990" s="122" t="n"/>
    </row>
    <row r="991" ht="15" customHeight="1" s="76">
      <c r="A991" s="122" t="n"/>
      <c r="B991" s="122" t="n"/>
      <c r="C991" s="123" t="n"/>
      <c r="D991" s="123" t="n"/>
      <c r="E991" s="124" t="n"/>
      <c r="F991" s="119">
        <f>$C991-$D991</f>
        <v/>
      </c>
      <c r="G991" s="120">
        <f>IF($C991=0,0,$F991/$C991)</f>
        <v/>
      </c>
      <c r="H991" s="119">
        <f>IF($E991=0,0,$F991/$E991)</f>
        <v/>
      </c>
      <c r="I991" s="121">
        <f>IF($B991="","",IF($F991&lt;0,"ZARAR",IF($G991&lt;IsMarjEsik,"RİSK","KÂRLI")))</f>
        <v/>
      </c>
      <c r="J991" s="122" t="n"/>
    </row>
    <row r="992" ht="15" customHeight="1" s="76">
      <c r="A992" s="122" t="n"/>
      <c r="B992" s="122" t="n"/>
      <c r="C992" s="123" t="n"/>
      <c r="D992" s="123" t="n"/>
      <c r="E992" s="124" t="n"/>
      <c r="F992" s="119">
        <f>$C992-$D992</f>
        <v/>
      </c>
      <c r="G992" s="120">
        <f>IF($C992=0,0,$F992/$C992)</f>
        <v/>
      </c>
      <c r="H992" s="119">
        <f>IF($E992=0,0,$F992/$E992)</f>
        <v/>
      </c>
      <c r="I992" s="121">
        <f>IF($B992="","",IF($F992&lt;0,"ZARAR",IF($G992&lt;IsMarjEsik,"RİSK","KÂRLI")))</f>
        <v/>
      </c>
      <c r="J992" s="122" t="n"/>
    </row>
    <row r="993" ht="15" customHeight="1" s="76">
      <c r="A993" s="122" t="n"/>
      <c r="B993" s="122" t="n"/>
      <c r="C993" s="123" t="n"/>
      <c r="D993" s="123" t="n"/>
      <c r="E993" s="124" t="n"/>
      <c r="F993" s="119">
        <f>$C993-$D993</f>
        <v/>
      </c>
      <c r="G993" s="120">
        <f>IF($C993=0,0,$F993/$C993)</f>
        <v/>
      </c>
      <c r="H993" s="119">
        <f>IF($E993=0,0,$F993/$E993)</f>
        <v/>
      </c>
      <c r="I993" s="121">
        <f>IF($B993="","",IF($F993&lt;0,"ZARAR",IF($G993&lt;IsMarjEsik,"RİSK","KÂRLI")))</f>
        <v/>
      </c>
      <c r="J993" s="122" t="n"/>
    </row>
    <row r="994" ht="15" customHeight="1" s="76">
      <c r="A994" s="122" t="n"/>
      <c r="B994" s="122" t="n"/>
      <c r="C994" s="123" t="n"/>
      <c r="D994" s="123" t="n"/>
      <c r="E994" s="124" t="n"/>
      <c r="F994" s="119">
        <f>$C994-$D994</f>
        <v/>
      </c>
      <c r="G994" s="120">
        <f>IF($C994=0,0,$F994/$C994)</f>
        <v/>
      </c>
      <c r="H994" s="119">
        <f>IF($E994=0,0,$F994/$E994)</f>
        <v/>
      </c>
      <c r="I994" s="121">
        <f>IF($B994="","",IF($F994&lt;0,"ZARAR",IF($G994&lt;IsMarjEsik,"RİSK","KÂRLI")))</f>
        <v/>
      </c>
      <c r="J994" s="122" t="n"/>
    </row>
    <row r="995" ht="15" customHeight="1" s="76">
      <c r="A995" s="122" t="n"/>
      <c r="B995" s="122" t="n"/>
      <c r="C995" s="123" t="n"/>
      <c r="D995" s="123" t="n"/>
      <c r="E995" s="124" t="n"/>
      <c r="F995" s="119">
        <f>$C995-$D995</f>
        <v/>
      </c>
      <c r="G995" s="120">
        <f>IF($C995=0,0,$F995/$C995)</f>
        <v/>
      </c>
      <c r="H995" s="119">
        <f>IF($E995=0,0,$F995/$E995)</f>
        <v/>
      </c>
      <c r="I995" s="121">
        <f>IF($B995="","",IF($F995&lt;0,"ZARAR",IF($G995&lt;IsMarjEsik,"RİSK","KÂRLI")))</f>
        <v/>
      </c>
      <c r="J995" s="122" t="n"/>
    </row>
    <row r="996" ht="15" customHeight="1" s="76">
      <c r="A996" s="122" t="n"/>
      <c r="B996" s="122" t="n"/>
      <c r="C996" s="123" t="n"/>
      <c r="D996" s="123" t="n"/>
      <c r="E996" s="124" t="n"/>
      <c r="F996" s="119">
        <f>$C996-$D996</f>
        <v/>
      </c>
      <c r="G996" s="120">
        <f>IF($C996=0,0,$F996/$C996)</f>
        <v/>
      </c>
      <c r="H996" s="119">
        <f>IF($E996=0,0,$F996/$E996)</f>
        <v/>
      </c>
      <c r="I996" s="121">
        <f>IF($B996="","",IF($F996&lt;0,"ZARAR",IF($G996&lt;IsMarjEsik,"RİSK","KÂRLI")))</f>
        <v/>
      </c>
      <c r="J996" s="122" t="n"/>
    </row>
    <row r="997" ht="15" customHeight="1" s="76">
      <c r="A997" s="122" t="n"/>
      <c r="B997" s="122" t="n"/>
      <c r="C997" s="123" t="n"/>
      <c r="D997" s="123" t="n"/>
      <c r="E997" s="124" t="n"/>
      <c r="F997" s="119">
        <f>$C997-$D997</f>
        <v/>
      </c>
      <c r="G997" s="120">
        <f>IF($C997=0,0,$F997/$C997)</f>
        <v/>
      </c>
      <c r="H997" s="119">
        <f>IF($E997=0,0,$F997/$E997)</f>
        <v/>
      </c>
      <c r="I997" s="121">
        <f>IF($B997="","",IF($F997&lt;0,"ZARAR",IF($G997&lt;IsMarjEsik,"RİSK","KÂRLI")))</f>
        <v/>
      </c>
      <c r="J997" s="122" t="n"/>
    </row>
    <row r="998" ht="15" customHeight="1" s="76">
      <c r="A998" s="122" t="n"/>
      <c r="B998" s="122" t="n"/>
      <c r="C998" s="123" t="n"/>
      <c r="D998" s="123" t="n"/>
      <c r="E998" s="124" t="n"/>
      <c r="F998" s="119">
        <f>$C998-$D998</f>
        <v/>
      </c>
      <c r="G998" s="120">
        <f>IF($C998=0,0,$F998/$C998)</f>
        <v/>
      </c>
      <c r="H998" s="119">
        <f>IF($E998=0,0,$F998/$E998)</f>
        <v/>
      </c>
      <c r="I998" s="121">
        <f>IF($B998="","",IF($F998&lt;0,"ZARAR",IF($G998&lt;IsMarjEsik,"RİSK","KÂRLI")))</f>
        <v/>
      </c>
      <c r="J998" s="122" t="n"/>
    </row>
    <row r="999" ht="15" customHeight="1" s="76">
      <c r="A999" s="122" t="n"/>
      <c r="B999" s="122" t="n"/>
      <c r="C999" s="123" t="n"/>
      <c r="D999" s="123" t="n"/>
      <c r="E999" s="124" t="n"/>
      <c r="F999" s="119">
        <f>$C999-$D999</f>
        <v/>
      </c>
      <c r="G999" s="120">
        <f>IF($C999=0,0,$F999/$C999)</f>
        <v/>
      </c>
      <c r="H999" s="119">
        <f>IF($E999=0,0,$F999/$E999)</f>
        <v/>
      </c>
      <c r="I999" s="121">
        <f>IF($B999="","",IF($F999&lt;0,"ZARAR",IF($G999&lt;IsMarjEsik,"RİSK","KÂRLI")))</f>
        <v/>
      </c>
      <c r="J999" s="122" t="n"/>
    </row>
    <row r="1000" ht="15" customHeight="1" s="76">
      <c r="A1000" s="122" t="n"/>
      <c r="B1000" s="122" t="n"/>
      <c r="C1000" s="123" t="n"/>
      <c r="D1000" s="123" t="n"/>
      <c r="E1000" s="124" t="n"/>
      <c r="F1000" s="119">
        <f>$C1000-$D1000</f>
        <v/>
      </c>
      <c r="G1000" s="120">
        <f>IF($C1000=0,0,$F1000/$C1000)</f>
        <v/>
      </c>
      <c r="H1000" s="119">
        <f>IF($E1000=0,0,$F1000/$E1000)</f>
        <v/>
      </c>
      <c r="I1000" s="121">
        <f>IF($B1000="","",IF($F1000&lt;0,"ZARAR",IF($G1000&lt;IsMarjEsik,"RİSK","KÂRLI")))</f>
        <v/>
      </c>
      <c r="J1000" s="122" t="n"/>
    </row>
    <row r="1001" ht="15" customHeight="1" s="76">
      <c r="A1001" s="122" t="n"/>
      <c r="B1001" s="122" t="n"/>
      <c r="C1001" s="123" t="n"/>
      <c r="D1001" s="123" t="n"/>
      <c r="E1001" s="124" t="n"/>
      <c r="F1001" s="119">
        <f>$C1001-$D1001</f>
        <v/>
      </c>
      <c r="G1001" s="120">
        <f>IF($C1001=0,0,$F1001/$C1001)</f>
        <v/>
      </c>
      <c r="H1001" s="119">
        <f>IF($E1001=0,0,$F1001/$E1001)</f>
        <v/>
      </c>
      <c r="I1001" s="121">
        <f>IF($B1001="","",IF($F1001&lt;0,"ZARAR",IF($G1001&lt;IsMarjEsik,"RİSK","KÂRLI")))</f>
        <v/>
      </c>
      <c r="J1001" s="122" t="n"/>
    </row>
    <row r="1002" ht="15" customHeight="1" s="76">
      <c r="A1002" s="122" t="n"/>
      <c r="B1002" s="122" t="n"/>
      <c r="C1002" s="123" t="n"/>
      <c r="D1002" s="123" t="n"/>
      <c r="E1002" s="124" t="n"/>
      <c r="F1002" s="119">
        <f>$C1002-$D1002</f>
        <v/>
      </c>
      <c r="G1002" s="120">
        <f>IF($C1002=0,0,$F1002/$C1002)</f>
        <v/>
      </c>
      <c r="H1002" s="119">
        <f>IF($E1002=0,0,$F1002/$E1002)</f>
        <v/>
      </c>
      <c r="I1002" s="121">
        <f>IF($B1002="","",IF($F1002&lt;0,"ZARAR",IF($G1002&lt;IsMarjEsik,"RİSK","KÂRLI")))</f>
        <v/>
      </c>
      <c r="J1002" s="122" t="n"/>
    </row>
    <row r="1003" ht="15" customHeight="1" s="76">
      <c r="A1003" s="122" t="n"/>
      <c r="B1003" s="122" t="n"/>
      <c r="C1003" s="123" t="n"/>
      <c r="D1003" s="123" t="n"/>
      <c r="E1003" s="124" t="n"/>
      <c r="F1003" s="119">
        <f>$C1003-$D1003</f>
        <v/>
      </c>
      <c r="G1003" s="120">
        <f>IF($C1003=0,0,$F1003/$C1003)</f>
        <v/>
      </c>
      <c r="H1003" s="119">
        <f>IF($E1003=0,0,$F1003/$E1003)</f>
        <v/>
      </c>
      <c r="I1003" s="121">
        <f>IF($B1003="","",IF($F1003&lt;0,"ZARAR",IF($G1003&lt;IsMarjEsik,"RİSK","KÂRLI")))</f>
        <v/>
      </c>
      <c r="J1003" s="122" t="n"/>
    </row>
    <row r="1004" ht="15" customHeight="1" s="76">
      <c r="A1004" s="122" t="n"/>
      <c r="B1004" s="122" t="n"/>
      <c r="C1004" s="122" t="n"/>
      <c r="D1004" s="122" t="n"/>
      <c r="E1004" s="122" t="n"/>
      <c r="F1004" s="121">
        <f>$C1004-$D1004</f>
        <v/>
      </c>
      <c r="G1004" s="121">
        <f>IF($C1004=0,0,$F1004/$C1004)</f>
        <v/>
      </c>
      <c r="H1004" s="121">
        <f>IF($E1004=0,0,$F1004/$E1004)</f>
        <v/>
      </c>
      <c r="I1004" s="121">
        <f>IF($B1004="","",IF($F1004&lt;0,"ZARAR",IF($G1004&lt;IsMarjEsik,"RİSK","KÂRLI")))</f>
        <v/>
      </c>
      <c r="J1004" s="122" t="n"/>
    </row>
    <row r="1006" ht="19.5" customHeight="1" s="76">
      <c r="A1006" s="125" t="inlineStr">
        <is>
          <t>Sarı hücreler manuel giriştir; formül hücreleri kilitli ve korumalıdır.</t>
        </is>
      </c>
    </row>
  </sheetData>
  <sheetProtection selectLockedCells="0" selectUnlockedCells="0" sheet="1" objects="1" insertRows="1" insertHyperlinks="1" autoFilter="1" scenarios="1" formatColumns="1" deleteColumns="0" insertColumns="1" pivotTables="1" deleteRows="0" formatCells="1" formatRows="1" sort="1" password="cc3d"/>
  <mergeCells count="2">
    <mergeCell ref="A1006:AN1006"/>
    <mergeCell ref="A1:AD1"/>
  </mergeCells>
  <conditionalFormatting sqref="C6:C1004">
    <cfRule type="cellIs" rank="0" priority="2" equalAverage="0" operator="lessThan" aboveAverage="0" dxfId="8" text="" percent="0" bottom="0">
      <formula>0</formula>
    </cfRule>
  </conditionalFormatting>
  <conditionalFormatting sqref="D6:D1004">
    <cfRule type="cellIs" rank="0" priority="3" equalAverage="0" operator="lessThan" aboveAverage="0" dxfId="8" text="" percent="0" bottom="0">
      <formula>0</formula>
    </cfRule>
  </conditionalFormatting>
  <conditionalFormatting sqref="E6:E1004">
    <cfRule type="cellIs" rank="0" priority="4" equalAverage="0" operator="lessThan" aboveAverage="0" dxfId="8" text="" percent="0" bottom="0">
      <formula>0</formula>
    </cfRule>
    <cfRule type="cellIs" rank="0" priority="5" equalAverage="0" operator="greaterThan" aboveAverage="0" dxfId="9" text="" percent="0" bottom="0">
      <formula>3650</formula>
    </cfRule>
  </conditionalFormatting>
  <conditionalFormatting sqref="F6:F1004">
    <cfRule type="cellIs" rank="0" priority="6" equalAverage="0" operator="lessThan" aboveAverage="0" dxfId="10" text="" percent="0" bottom="0">
      <formula>0</formula>
    </cfRule>
    <cfRule type="cellIs" rank="0" priority="7" equalAverage="0" operator="greaterThan" aboveAverage="0" dxfId="11" text="" percent="0" bottom="0">
      <formula>0</formula>
    </cfRule>
  </conditionalFormatting>
  <conditionalFormatting sqref="G6:G1004">
    <cfRule type="cellIs" rank="0" priority="8" equalAverage="0" operator="lessThan" aboveAverage="0" dxfId="8" text="" percent="0" bottom="0">
      <formula>0</formula>
    </cfRule>
  </conditionalFormatting>
  <conditionalFormatting sqref="H6:H1004">
    <cfRule type="cellIs" rank="0" priority="9" equalAverage="0" operator="lessThan" aboveAverage="0" dxfId="8" text="" percent="0" bottom="0">
      <formula>0</formula>
    </cfRule>
  </conditionalFormatting>
  <conditionalFormatting sqref="I6:I1004">
    <cfRule type="cellIs" rank="0" priority="10" equalAverage="0" operator="equal" aboveAverage="0" dxfId="10" text="" percent="0" bottom="0">
      <formula>"ZARAR"</formula>
    </cfRule>
    <cfRule type="cellIs" rank="0" priority="11" equalAverage="0" operator="equal" aboveAverage="0" dxfId="9" text="" percent="0" bottom="0">
      <formula>"RİSK"</formula>
    </cfRule>
    <cfRule type="cellIs" rank="0" priority="12" equalAverage="0" operator="equal" aboveAverage="0" dxfId="11" text="" percent="0" bottom="0">
      <formula>"KÂRLI"</formula>
    </cfRule>
  </conditionalFormatting>
  <dataValidations count="5">
    <dataValidation sqref="A6:A1004" showDropDown="0" showInputMessage="1" showErrorMessage="1" allowBlank="1" errorTitle="Geçersiz numara" error="İş numarası boş bırakılamaz." promptTitle="İş Numarası" prompt="İş numarasını yazın (örnek: IS-001)." type="textLength" errorStyle="stop" operator="greaterThan">
      <formula1>1</formula1>
      <formula2>0</formula2>
    </dataValidation>
    <dataValidation sqref="B6:B1004" showDropDown="0" showInputMessage="1" showErrorMessage="1" allowBlank="1" errorTitle="Geçersiz ad" error="İş adı boş bırakılamaz." promptTitle="İş Adı" prompt="İş adını yazın." type="textLength" errorStyle="stop" operator="greaterThan">
      <formula1>1</formula1>
      <formula2>0</formula2>
    </dataValidation>
    <dataValidation sqref="C6:C1004" showDropDown="0" showInputMessage="1" showErrorMessage="1" allowBlank="1" errorTitle="Geçersiz tutar" error="0 ile 1.000.000.000 ₺ arasında olmalı." promptTitle="Toplam Gelir" prompt="İşin toplam gelirini TL olarak girin." type="decimal" errorStyle="stop" operator="between">
      <formula1>0</formula1>
      <formula2>1000000000</formula2>
    </dataValidation>
    <dataValidation sqref="D6:D1004" showDropDown="0" showInputMessage="1" showErrorMessage="1" allowBlank="1" errorTitle="Geçersiz tutar" error="0 ile 1.000.000.000 ₺ arasında olmalı." promptTitle="Direkt Maliyet" prompt="İşe özel direkt maliyetleri TL olarak girin." type="decimal" errorStyle="stop" operator="between">
      <formula1>0</formula1>
      <formula2>1000000000</formula2>
    </dataValidation>
    <dataValidation sqref="E6:E1004" showDropDown="0" showInputMessage="1" showErrorMessage="1" allowBlank="1" errorTitle="Geçersiz süre" error="1 ile 3650 gün arasında olmalı." promptTitle="Süre (Gün)" prompt="İşin süresini gün cinsinden girin." type="decimal" errorStyle="stop" operator="between">
      <formula1>1</formula1>
      <formula2>3650</formula2>
    </dataValidation>
  </dataValidation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  <legacyDrawing xmlns:r="http://schemas.openxmlformats.org/officeDocument/2006/relationships" r:id="anysvml"/>
  <tableParts count="1">
    <tablePart xmlns:r="http://schemas.openxmlformats.org/officeDocument/2006/relationships" r:id="rId1"/>
  </tableParts>
</worksheet>
</file>

<file path=xl/worksheets/sheet13.xml><?xml version="1.0" encoding="utf-8"?>
<worksheet xmlns="http://schemas.openxmlformats.org/spreadsheetml/2006/main">
  <sheetPr filterMode="0">
    <outlinePr summaryBelow="1" summaryRight="1"/>
    <pageSetUpPr fitToPage="0"/>
  </sheetPr>
  <dimension ref="A1:AN47"/>
  <sheetViews>
    <sheetView showFormulas="0" showGridLines="0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customHeight="0" zeroHeight="0" outlineLevelRow="0"/>
  <cols>
    <col width="40" customWidth="1" style="102" min="1" max="2"/>
  </cols>
  <sheetData>
    <row r="1" ht="25.5" customHeight="1" s="76">
      <c r="A1" s="103" t="inlineStr">
        <is>
          <t>HESAP — Proje ve İş Bazında Gerçek Kârlılık Sistemi</t>
        </is>
      </c>
    </row>
    <row r="3" ht="15.75" customHeight="1" s="76">
      <c r="A3" s="110" t="inlineStr">
        <is>
          <t>İş Bazlı Kârlılık Özeti</t>
        </is>
      </c>
    </row>
    <row r="4" ht="27.75" customHeight="1" s="76">
      <c r="A4" s="105" t="inlineStr">
        <is>
          <t>Aşağıdaki özet iş girişlerinden otomatik beslenir; elle değiştirilmez.</t>
        </is>
      </c>
    </row>
    <row r="6" ht="15" customHeight="1" s="76">
      <c r="A6" s="108" t="inlineStr">
        <is>
          <t>Toplam İş Geliri</t>
        </is>
      </c>
      <c r="B6" s="126">
        <f>SUM(tblIs[Toplam Gelir (₺)])</f>
        <v/>
      </c>
    </row>
    <row r="7" ht="15" customHeight="1" s="76">
      <c r="A7" s="108" t="inlineStr">
        <is>
          <t>Toplam Direkt Maliyet</t>
        </is>
      </c>
      <c r="B7" s="126">
        <f>SUM(tblIs[Direkt Maliyet (₺)])</f>
        <v/>
      </c>
    </row>
    <row r="8" ht="15" customHeight="1" s="76">
      <c r="A8" s="108" t="inlineStr">
        <is>
          <t>Toplam Kâr</t>
        </is>
      </c>
      <c r="B8" s="126">
        <f>SUM(tblIs[Kâr (₺)])</f>
        <v/>
      </c>
    </row>
    <row r="9" ht="15" customHeight="1" s="76">
      <c r="A9" s="108" t="inlineStr">
        <is>
          <t>Ağırlıklı Marj</t>
        </is>
      </c>
      <c r="B9" s="127">
        <f>IF(B6=0,0,B8/B6)</f>
        <v/>
      </c>
    </row>
    <row r="10" ht="15" customHeight="1" s="76">
      <c r="A10" s="108" t="inlineStr">
        <is>
          <t>Ortalama Günlük Kâr</t>
        </is>
      </c>
      <c r="B10" s="126">
        <f>ROUND(IFERROR(AVERAGE(tblIs[Günlük Kâr (₺)]),0),0)</f>
        <v/>
      </c>
    </row>
    <row r="11" ht="15" customHeight="1" s="76">
      <c r="A11" s="108" t="inlineStr">
        <is>
          <t>Kârlı İş Sayısı</t>
        </is>
      </c>
      <c r="B11" s="128">
        <f>COUNTIF(tblIs[Durum],"KÂRLI")</f>
        <v/>
      </c>
    </row>
    <row r="12" ht="15" customHeight="1" s="76">
      <c r="A12" s="108" t="inlineStr">
        <is>
          <t>Riskli İş Sayısı</t>
        </is>
      </c>
      <c r="B12" s="128">
        <f>COUNTIF(tblIs[Durum],"RİSK")</f>
        <v/>
      </c>
    </row>
    <row r="13" ht="15" customHeight="1" s="76">
      <c r="A13" s="108" t="inlineStr">
        <is>
          <t>Zararlı İş Sayısı</t>
        </is>
      </c>
      <c r="B13" s="128">
        <f>COUNTIF(tblIs[Durum],"ZARAR")</f>
        <v/>
      </c>
    </row>
    <row r="14" ht="15" customHeight="1" s="76">
      <c r="A14" s="108" t="inlineStr">
        <is>
          <t>En Kârlı İş</t>
        </is>
      </c>
      <c r="B14" s="129">
        <f>IFERROR(INDEX(tblIs[İş Adı],MATCH(MAX(tblIs[Kâr (₺)]),tblIs[Kâr (₺)],0)),"YOK")</f>
        <v/>
      </c>
    </row>
    <row r="15" ht="15" customHeight="1" s="76">
      <c r="A15" s="108" t="inlineStr">
        <is>
          <t>En Yüksek Günlük Kârlı İş</t>
        </is>
      </c>
      <c r="B15" s="129">
        <f>IFERROR(INDEX(tblIs[İş Adı],MATCH(MAX(tblIs[Günlük Kâr (₺)]),tblIs[Günlük Kâr (₺)],0)),"YOK")</f>
        <v/>
      </c>
    </row>
    <row r="16" ht="15" customHeight="1" s="76">
      <c r="A16" s="108" t="inlineStr">
        <is>
          <t>En Düşük Günlük Kârlı İş</t>
        </is>
      </c>
      <c r="B16" s="129">
        <f>IFERROR(INDEX(tblIs[İş Adı],MATCH(MIN(tblIs[Günlük Kâr (₺)]),tblIs[Günlük Kâr (₺)],0)),"YOK")</f>
        <v/>
      </c>
    </row>
    <row r="17" ht="15" customHeight="1" s="76">
      <c r="A17" s="108" t="inlineStr">
        <is>
          <t>Süre Toplamı (Gün)</t>
        </is>
      </c>
      <c r="B17" s="128">
        <f>IFERROR(SUM(tblIs[Süre (Gün)]),0)</f>
        <v/>
      </c>
    </row>
    <row r="18" ht="15" customHeight="1" s="76">
      <c r="A18" s="108" t="inlineStr">
        <is>
          <t>Ortalama Süre (Gün)</t>
        </is>
      </c>
      <c r="B18" s="128">
        <f>ROUND(IFERROR(AVERAGE(tblIs[Süre (Gün)]),0),0)</f>
        <v/>
      </c>
    </row>
    <row r="19" ht="15" customHeight="1" s="76">
      <c r="A19" s="108" t="inlineStr">
        <is>
          <t>Gelir-Kâr Oranı</t>
        </is>
      </c>
      <c r="B19" s="127">
        <f>IF(B6=0,0,B8/B6)</f>
        <v/>
      </c>
    </row>
    <row r="20" ht="15" customHeight="1" s="76">
      <c r="A20" s="108" t="inlineStr">
        <is>
          <t>Kârlı İş Oranı</t>
        </is>
      </c>
      <c r="B20" s="127">
        <f>IFERROR(COUNTIF(tblIs[Durum],"KÂRLI")/COUNTA(tblIs[İş Adı]),0)</f>
        <v/>
      </c>
    </row>
    <row r="21" ht="15" customHeight="1" s="76">
      <c r="A21" s="108" t="inlineStr">
        <is>
          <t>Riskli İş Oranı</t>
        </is>
      </c>
      <c r="B21" s="127">
        <f>IFERROR(COUNTIF(tblIs[Durum],"RİSK")/COUNTA(tblIs[İş Adı]),0)</f>
        <v/>
      </c>
    </row>
    <row r="22" ht="15" customHeight="1" s="76">
      <c r="A22" s="108" t="inlineStr">
        <is>
          <t>Zararlı İş Oranı</t>
        </is>
      </c>
      <c r="B22" s="127">
        <f>IFERROR(COUNTIF(tblIs[Durum],"ZARAR")/COUNTA(tblIs[İş Adı]),0)</f>
        <v/>
      </c>
    </row>
    <row r="23" ht="15" customHeight="1" s="76">
      <c r="A23" s="108" t="inlineStr">
        <is>
          <t>Medyan İş Kârı</t>
        </is>
      </c>
      <c r="B23" s="126">
        <f>IFERROR(MEDIAN(tblIs[Kâr (₺)]),0)</f>
        <v/>
      </c>
    </row>
    <row r="24" ht="15" customHeight="1" s="76">
      <c r="A24" s="108" t="inlineStr">
        <is>
          <t>İş Kârı Yüzdelik P10</t>
        </is>
      </c>
      <c r="B24" s="126">
        <f>_xlfn.PERCENTILE.INC(tblIs[Kâr (₺)],0.1)</f>
        <v/>
      </c>
    </row>
    <row r="25" ht="15" customHeight="1" s="76">
      <c r="A25" s="108" t="inlineStr">
        <is>
          <t>İş Kârı Yüzdelik P90</t>
        </is>
      </c>
      <c r="B25" s="126">
        <f>_xlfn.PERCENTILE.INC(tblIs[Kâr (₺)],0.9)</f>
        <v/>
      </c>
    </row>
    <row r="26" ht="15" customHeight="1" s="76">
      <c r="A26" s="108" t="inlineStr">
        <is>
          <t>En Düşük İş Kârı</t>
        </is>
      </c>
      <c r="B26" s="126">
        <f>IFERROR(MIN(tblIs[Kâr (₺)]),0)</f>
        <v/>
      </c>
    </row>
    <row r="27" ht="15" customHeight="1" s="76">
      <c r="A27" s="108" t="inlineStr">
        <is>
          <t>En Yüksek İş Kârı</t>
        </is>
      </c>
      <c r="B27" s="126">
        <f>IFERROR(MAX(tblIs[Kâr (₺)]),0)</f>
        <v/>
      </c>
    </row>
    <row r="28" ht="15" customHeight="1" s="76">
      <c r="A28" s="108" t="inlineStr">
        <is>
          <t>Kâr Aralığı (Max-Min)</t>
        </is>
      </c>
      <c r="B28" s="126">
        <f>IFERROR(B27-B26,0)</f>
        <v/>
      </c>
    </row>
    <row r="29" ht="15" customHeight="1" s="76">
      <c r="A29" s="108" t="inlineStr">
        <is>
          <t>Medyan Günlük Kâr</t>
        </is>
      </c>
      <c r="B29" s="126">
        <f>IFERROR(MEDIAN(tblIs[Günlük Kâr (₺)]),0)</f>
        <v/>
      </c>
    </row>
    <row r="30" ht="15" customHeight="1" s="76">
      <c r="A30" s="108" t="inlineStr">
        <is>
          <t>En Düşük Marj</t>
        </is>
      </c>
      <c r="B30" s="127">
        <f>IFERROR(MIN(tblIs[Marj]),0)</f>
        <v/>
      </c>
    </row>
    <row r="31" ht="15" customHeight="1" s="76">
      <c r="A31" s="108" t="inlineStr">
        <is>
          <t>En Yüksek Marj</t>
        </is>
      </c>
      <c r="B31" s="127">
        <f>IFERROR(MAX(tblIs[Marj]),0)</f>
        <v/>
      </c>
    </row>
    <row r="32" ht="15" customHeight="1" s="76">
      <c r="A32" s="108" t="inlineStr">
        <is>
          <t>Ortalama Marj</t>
        </is>
      </c>
      <c r="B32" s="127">
        <f>IFERROR(AVERAGE(tblIs[Marj]),0)</f>
        <v/>
      </c>
    </row>
    <row r="33" ht="15" customHeight="1" s="76">
      <c r="A33" s="108" t="inlineStr">
        <is>
          <t>Marj Standart Sapması</t>
        </is>
      </c>
      <c r="B33" s="127">
        <f>IFERROR(stdev.p(tblIs[Marj]),0)</f>
        <v/>
      </c>
    </row>
    <row r="34" ht="15" customHeight="1" s="76">
      <c r="A34" s="108" t="inlineStr">
        <is>
          <t>Kâr Eğimi (Trend)</t>
        </is>
      </c>
      <c r="B34" s="126">
        <f>IFERROR(SLOPE(tblIs[Kâr (₺)],ROW(tblIs[Kâr (₺)])-ROW(tblIs[[#Headers],[Kâr (₺)]])),0)</f>
        <v/>
      </c>
    </row>
    <row r="35" ht="15" customHeight="1" s="76">
      <c r="A35" s="108" t="inlineStr">
        <is>
          <t>Kâr Kesişimi</t>
        </is>
      </c>
      <c r="B35" s="126">
        <f>IFERROR(INTERCEPT(tblIs[Kâr (₺)],ROW(tblIs[Kâr (₺)])-ROW(tblIs[[#Headers],[Kâr (₺)]])),0)</f>
        <v/>
      </c>
    </row>
    <row r="36" ht="15" customHeight="1" s="76">
      <c r="A36" s="108" t="inlineStr">
        <is>
          <t>Sonraki İş Kârı Tahmini</t>
        </is>
      </c>
      <c r="B36" s="126">
        <f>IFERROR(TREND(tblIs[Kâr (₺)],ROW(tblIs[Kâr (₺)])-ROW(tblIs[[#Headers],[Kâr (₺)]]),COUNTA(tblIs[İş Adı])+1),0)</f>
        <v/>
      </c>
    </row>
    <row r="37" ht="15" customHeight="1" s="76">
      <c r="A37" s="108" t="inlineStr">
        <is>
          <t>İlk Üç İş Kârı Toplamı</t>
        </is>
      </c>
      <c r="B37" s="126">
        <f>IFERROR(SUM(INDEX(tblIs[Kâr (₺)],1):INDEX(tblIs[Kâr (₺)],3)),0)</f>
        <v/>
      </c>
    </row>
    <row r="38" ht="15" customHeight="1" s="76">
      <c r="A38" s="108" t="inlineStr">
        <is>
          <t>Son Üç İş Kârı Toplamı</t>
        </is>
      </c>
      <c r="B38" s="126">
        <f>IFERROR(SUM(INDEX(tblIs[Kâr (₺)],COUNTA(tblIs[İş Adı])-2):INDEX(tblIs[Kâr (₺)],COUNTA(tblIs[İş Adı]))),0)</f>
        <v/>
      </c>
    </row>
    <row r="39" ht="15" customHeight="1" s="76">
      <c r="A39" s="108" t="inlineStr">
        <is>
          <t>İlk-Son Üç İş Farkı</t>
        </is>
      </c>
      <c r="B39" s="126">
        <f>IFERROR(B38-B37,0)</f>
        <v/>
      </c>
    </row>
    <row r="40" ht="15" customHeight="1" s="76">
      <c r="A40" s="108" t="inlineStr">
        <is>
          <t>Dönem Kâr Farkı (İlk-Son)</t>
        </is>
      </c>
      <c r="B40" s="126">
        <f>IFERROR(INDEX(tblIs[Kâr (₺)],COUNTA(tblIs[İş Adı]))-INDEX(tblIs[Kâr (₺)],1),0)</f>
        <v/>
      </c>
    </row>
    <row r="41" ht="15" customHeight="1" s="76">
      <c r="A41" s="108" t="inlineStr">
        <is>
          <t>Süre Başına Gelir (₺/Gün)</t>
        </is>
      </c>
      <c r="B41" s="126">
        <f>IF(B17=0,0,B6/B17)</f>
        <v/>
      </c>
    </row>
    <row r="42" ht="15" customHeight="1" s="76">
      <c r="A42" s="108" t="inlineStr">
        <is>
          <t>Süre Başına Kâr (₺/Gün)</t>
        </is>
      </c>
      <c r="B42" s="126">
        <f>IF(B17=0,0,B8/B17)</f>
        <v/>
      </c>
    </row>
    <row r="43" ht="15" customHeight="1" s="76">
      <c r="A43" s="108" t="inlineStr">
        <is>
          <t>Kârlı İş Sayısı Payı</t>
        </is>
      </c>
      <c r="B43" s="128">
        <f>ROUND(B20*IFERROR(COUNTA(tblIs[İş Adı]),0),0)</f>
        <v/>
      </c>
    </row>
    <row r="44" ht="15" customHeight="1" s="76">
      <c r="A44" s="108" t="inlineStr">
        <is>
          <t>Riskli İş Sayısı Payı</t>
        </is>
      </c>
      <c r="B44" s="128">
        <f>ROUND(B21*IFERROR(COUNTA(tblIs[İş Adı]),0),0)</f>
        <v/>
      </c>
    </row>
    <row r="45" ht="15" customHeight="1" s="76">
      <c r="A45" s="108" t="inlineStr">
        <is>
          <t>Zararlı İş Sayısı Payı</t>
        </is>
      </c>
      <c r="B45" s="128">
        <f>ROUND(B22*IFERROR(COUNTA(tblIs[İş Adı]),0),0)</f>
        <v/>
      </c>
    </row>
    <row r="47" ht="19.5" customHeight="1" s="76">
      <c r="A47" s="125" t="inlineStr">
        <is>
          <t>Gösterge satırları yalnızca iş girişlerinden beslenir; korumalıdır.</t>
        </is>
      </c>
    </row>
  </sheetData>
  <sheetProtection selectLockedCells="0" selectUnlockedCells="0" sheet="1" objects="1" insertRows="1" insertHyperlinks="1" autoFilter="1" scenarios="1" formatColumns="1" deleteColumns="0" insertColumns="1" pivotTables="1" deleteRows="0" formatCells="1" formatRows="1" sort="1" password="cc3d"/>
  <mergeCells count="2">
    <mergeCell ref="A47:AN47"/>
    <mergeCell ref="A1:AD1"/>
  </mergeCells>
  <conditionalFormatting sqref="B6:B18">
    <cfRule type="cellIs" rank="0" priority="2" equalAverage="0" operator="lessThan" aboveAverage="0" dxfId="8" text="" percent="0" bottom="0">
      <formula>0</formula>
    </cfRule>
  </conditionalFormatting>
  <conditionalFormatting sqref="B9">
    <cfRule type="cellIs" rank="0" priority="3" equalAverage="0" operator="lessThan" aboveAverage="0" dxfId="9" text="" percent="0" bottom="0">
      <formula>0.25</formula>
    </cfRule>
    <cfRule type="cellIs" rank="0" priority="4" equalAverage="0" operator="lessThan" aboveAverage="0" dxfId="8" text="" percent="0" bottom="0">
      <formula>0.1</formula>
    </cfRule>
  </conditionalFormatting>
  <conditionalFormatting sqref="B10">
    <cfRule type="cellIs" rank="0" priority="5" equalAverage="0" operator="lessThan" aboveAverage="0" dxfId="9" text="" percent="0" bottom="0">
      <formula>3000</formula>
    </cfRule>
  </conditionalFormatting>
  <conditionalFormatting sqref="B14">
    <cfRule type="cellIs" rank="0" priority="6" equalAverage="0" operator="greaterThan" aboveAverage="0" dxfId="8" text="" percent="0" bottom="0">
      <formula>0</formula>
    </cfRule>
  </conditionalFormatting>
  <conditionalFormatting sqref="B13">
    <cfRule type="cellIs" rank="0" priority="7" equalAverage="0" operator="greaterThan" aboveAverage="0" dxfId="9" text="" percent="0" bottom="0">
      <formula>3</formula>
    </cfRule>
  </conditionalFormatting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  <legacyDrawing xmlns:r="http://schemas.openxmlformats.org/officeDocument/2006/relationships" r:id="anysvml"/>
</worksheet>
</file>

<file path=xl/worksheets/sheet14.xml><?xml version="1.0" encoding="utf-8"?>
<worksheet xmlns="http://schemas.openxmlformats.org/spreadsheetml/2006/main">
  <sheetPr filterMode="0">
    <outlinePr summaryBelow="1" summaryRight="1"/>
    <pageSetUpPr fitToPage="0"/>
  </sheetPr>
  <dimension ref="A1:AD13"/>
  <sheetViews>
    <sheetView showFormulas="0" showGridLines="0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customHeight="0" zeroHeight="0" outlineLevelRow="0"/>
  <cols>
    <col width="6" customWidth="1" style="102" min="1" max="1"/>
    <col width="30" customWidth="1" style="102" min="2" max="2"/>
    <col width="52" customWidth="1" style="102" min="3" max="3"/>
    <col width="72" customWidth="1" style="102" min="4" max="4"/>
  </cols>
  <sheetData>
    <row r="1" ht="25.5" customHeight="1" s="76">
      <c r="A1" s="103" t="inlineStr">
        <is>
          <t>ANALITIK MOTOR — Proje ve İş Bazında Gerçek Kârlılık Sistemi</t>
        </is>
      </c>
    </row>
    <row r="3" ht="15" customHeight="1" s="76">
      <c r="A3" s="106" t="inlineStr">
        <is>
          <t>ANALİTİK MOTOR — DERİNLİK KATMANI</t>
        </is>
      </c>
    </row>
    <row r="5" ht="30" customHeight="1" s="76">
      <c r="A5" s="115" t="inlineStr">
        <is>
          <t>Kod</t>
        </is>
      </c>
      <c r="B5" s="115" t="inlineStr">
        <is>
          <t>Gösterge</t>
        </is>
      </c>
      <c r="C5" s="115" t="inlineStr">
        <is>
          <t>Değer</t>
        </is>
      </c>
      <c r="D5" s="115" t="inlineStr">
        <is>
          <t>Makine Yorumu</t>
        </is>
      </c>
    </row>
    <row r="6" ht="30" customHeight="1" s="76">
      <c r="A6" s="130" t="inlineStr">
        <is>
          <t>T2</t>
        </is>
      </c>
      <c r="B6" s="131" t="inlineStr">
        <is>
          <t>Ortalama İş Kârı</t>
        </is>
      </c>
      <c r="C6" s="126">
        <f>PANO!B29</f>
        <v/>
      </c>
      <c r="D6" s="132">
        <f>_xlfn.TEXTJOIN("; ",TRUE(),"Ortalama iş kârı ",TEXT(C6,"₺ #,##0")," TL — eğilim bu seviyede seyrediyor")</f>
        <v/>
      </c>
    </row>
    <row r="7" ht="30" customHeight="1" s="76">
      <c r="A7" s="130" t="inlineStr">
        <is>
          <t>T4</t>
        </is>
      </c>
      <c r="B7" s="131" t="inlineStr">
        <is>
          <t>İlk-Son İş Kârı Farkı</t>
        </is>
      </c>
      <c r="C7" s="129">
        <f>IFERROR(INDEX(tblIs[Kâr (₺)],COUNTA(tblIs[İş Adı]))-INDEX(tblIs[Kâr (₺)],1),0)</f>
        <v/>
      </c>
      <c r="D7" s="132">
        <f>_xlfn.TEXTJOIN("; ",TRUE(),"İlk ile son işin kâr farkı ",TEXT(C7,"₺ #,##0")," TL — artış kârlılık gücünü gösterir")</f>
        <v/>
      </c>
    </row>
    <row r="8" ht="30" customHeight="1" s="76">
      <c r="A8" s="130" t="inlineStr">
        <is>
          <t>O1</t>
        </is>
      </c>
      <c r="B8" s="131" t="inlineStr">
        <is>
          <t>İş Kârı Sapması (STDEV)</t>
        </is>
      </c>
      <c r="C8" s="126">
        <f>PANO!B30</f>
        <v/>
      </c>
      <c r="D8" s="132">
        <f>_xlfn.TEXTJOIN("; ",TRUE(),"İş kârı sapması ",TEXT(C8,"₺ #,##0")," TL — sapma yüksekse kârlılık öngörülemezdir")</f>
        <v/>
      </c>
    </row>
    <row r="9" ht="30" customHeight="1" s="76">
      <c r="A9" s="130" t="inlineStr">
        <is>
          <t>O2</t>
        </is>
      </c>
      <c r="B9" s="131" t="inlineStr">
        <is>
          <t>Tornado: En Büyük Etki</t>
        </is>
      </c>
      <c r="C9" s="129">
        <f>MAX(SENARYO_DUYARLILIK!B12:B13)</f>
        <v/>
      </c>
      <c r="D9" s="132">
        <f>_xlfn.TEXTJOIN("; ",TRUE(),"Kârlılığı en çok etkileyen değişkenin etkisi ",TEXT(C9,"₺ #,##0")," TL — öncelik bu değişkenin izlenmesinde")</f>
        <v/>
      </c>
    </row>
    <row r="10" ht="30" customHeight="1" s="76">
      <c r="A10" s="130" t="inlineStr">
        <is>
          <t>O3</t>
        </is>
      </c>
      <c r="B10" s="131" t="inlineStr">
        <is>
          <t>Senaryo Bant Genişliği</t>
        </is>
      </c>
      <c r="C10" s="129">
        <f>SENARYO_DUYARLILIK!C7-SENARYO_DUYARLILIK!C9</f>
        <v/>
      </c>
      <c r="D10" s="132">
        <f>_xlfn.TEXTJOIN("; ",TRUE(),"İyimser ile kötümser senaryo kâr farkı ",TEXT(C10,"₺ #,##0")," TL — belirsizlik aralığını gösterir")</f>
        <v/>
      </c>
    </row>
    <row r="11" ht="30" customHeight="1" s="76">
      <c r="A11" s="130" t="inlineStr">
        <is>
          <t>O8</t>
        </is>
      </c>
      <c r="B11" s="131" t="inlineStr">
        <is>
          <t>Veri Kalite Skoru</t>
        </is>
      </c>
      <c r="C11" s="128">
        <f>KONTROLLER!B19</f>
        <v/>
      </c>
      <c r="D11" s="132">
        <f>_xlfn.TEXTJOIN("; ",TRUE(),"Veri kalite skoru ",TEXT(C11,"0")," puan — ",IF(C11&gt;=IsKaliteIyi,"yüksek güven","veri girişi tamamlanmalı"))</f>
        <v/>
      </c>
    </row>
    <row r="12" ht="30" customHeight="1" s="76">
      <c r="A12" s="130" t="inlineStr">
        <is>
          <t>I1</t>
        </is>
      </c>
      <c r="B12" s="131" t="inlineStr">
        <is>
          <t>Gelecek İş Kârı Tahmini</t>
        </is>
      </c>
      <c r="C12" s="126">
        <f>PANO!B28</f>
        <v/>
      </c>
      <c r="D12" s="132">
        <f>_xlfn.TEXTJOIN("; ",TRUE(),"Gelecek işin kâr tahmini ",TEXT(C12,"₺ #,##0")," TL — güven bandı için alt/üst sınır PANO sayfasındadır")</f>
        <v/>
      </c>
    </row>
    <row r="13" ht="30" customHeight="1" s="76">
      <c r="A13" s="130" t="inlineStr">
        <is>
          <t>I2</t>
        </is>
      </c>
      <c r="B13" s="131" t="inlineStr">
        <is>
          <t>İş Kârı Yüzdelik P90</t>
        </is>
      </c>
      <c r="C13" s="129">
        <f>_xlfn.PERCENTILE.INC(tblIs[Kâr (₺)],IsP90Oran)</f>
        <v/>
      </c>
      <c r="D13" s="132">
        <f>_xlfn.TEXTJOIN("; ",TRUE(),"İş kârlarının %90 ı ",TEXT(C13,"₺ #,##0")," TL altında gerçekleşir — üst sınır portföy planı için kullanılabilir")</f>
        <v/>
      </c>
    </row>
  </sheetData>
  <sheetProtection selectLockedCells="0" selectUnlockedCells="0" sheet="1" objects="1" insertRows="1" insertHyperlinks="1" autoFilter="1" scenarios="1" formatColumns="1" deleteColumns="0" insertColumns="1" pivotTables="1" deleteRows="0" formatCells="1" formatRows="1" sort="1" password="cc3d"/>
  <mergeCells count="2">
    <mergeCell ref="A3:D3"/>
    <mergeCell ref="A1:AD1"/>
  </mergeCell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15.xml><?xml version="1.0" encoding="utf-8"?>
<worksheet xmlns="http://schemas.openxmlformats.org/spreadsheetml/2006/main">
  <sheetPr filterMode="0">
    <outlinePr summaryBelow="1" summaryRight="1"/>
    <pageSetUpPr fitToPage="0"/>
  </sheetPr>
  <dimension ref="A1:AN22"/>
  <sheetViews>
    <sheetView showFormulas="0" showGridLines="0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customHeight="0" zeroHeight="0" outlineLevelRow="0"/>
  <cols>
    <col width="45" customWidth="1" style="102" min="1" max="1"/>
    <col width="55" customWidth="1" style="102" min="2" max="2"/>
  </cols>
  <sheetData>
    <row r="1" ht="25.5" customHeight="1" s="76">
      <c r="A1" s="103" t="inlineStr">
        <is>
          <t>KONTROLLER — Proje ve İş Bazında Gerçek Kârlılık Sistemi</t>
        </is>
      </c>
    </row>
    <row r="3" ht="15.75" customHeight="1" s="76">
      <c r="A3" s="110" t="inlineStr">
        <is>
          <t>Giriş Kalite Kontrolleri</t>
        </is>
      </c>
    </row>
    <row r="4" ht="27.75" customHeight="1" s="76">
      <c r="A4" s="105" t="inlineStr">
        <is>
          <t>Aşağıdaki kontroller canlı formüllerle çalışır; sorun varsa uyarı üretir.</t>
        </is>
      </c>
    </row>
    <row r="6" ht="15" customHeight="1" s="76">
      <c r="A6" s="108" t="inlineStr">
        <is>
          <t>Boş iş adı var mı?</t>
        </is>
      </c>
      <c r="B6" s="129">
        <f>IF(COUNTBLANK(tblIs[İş Adı])=0,"TEMİZ","BOŞ VAR")</f>
        <v/>
      </c>
    </row>
    <row r="7" ht="15" customHeight="1" s="76">
      <c r="A7" s="108" t="inlineStr">
        <is>
          <t>Boş gelir var mı?</t>
        </is>
      </c>
      <c r="B7" s="129">
        <f>IF(COUNTBLANK(tblIs[Toplam Gelir (₺)])=0,"TEMİZ","BOŞ VAR")</f>
        <v/>
      </c>
    </row>
    <row r="8" ht="15" customHeight="1" s="76">
      <c r="A8" s="108" t="inlineStr">
        <is>
          <t>Negatif gelir var mı?</t>
        </is>
      </c>
      <c r="B8" s="129">
        <f>IF(COUNTIF(tblIs[Toplam Gelir (₺)],"&lt;0")=0,"TEMİZ","NEGATİF VAR")</f>
        <v/>
      </c>
    </row>
    <row r="9" ht="15" customHeight="1" s="76">
      <c r="A9" s="108" t="inlineStr">
        <is>
          <t>Maliyeti geliri aşan iş var mı?</t>
        </is>
      </c>
      <c r="B9" s="129">
        <f>IF(COUNTIFS(tblIs[Direkt Maliyet (₺)],"&gt;0",tblIs[Toplam Gelir (₺)],"=0")=0,"TEMİZ","FARK VAR")</f>
        <v/>
      </c>
    </row>
    <row r="10" ht="15" customHeight="1" s="76">
      <c r="A10" s="108" t="inlineStr">
        <is>
          <t>Zararlı iş var mı?</t>
        </is>
      </c>
      <c r="B10" s="129">
        <f>IF(COUNTIF(tblIs[Durum],"ZARAR")=0,"YOK","VAR")</f>
        <v/>
      </c>
    </row>
    <row r="11" ht="15" customHeight="1" s="76">
      <c r="A11" s="108" t="inlineStr">
        <is>
          <t>Ağırlıklı marj eşiğin altında mı?</t>
        </is>
      </c>
      <c r="B11" s="129">
        <f>IF(HESAP!B9&lt;IsMarjEsik,"AŞIYOR","NORMAL")</f>
        <v/>
      </c>
    </row>
    <row r="12" ht="15" customHeight="1" s="76">
      <c r="A12" s="108" t="inlineStr">
        <is>
          <t>Günlük kâr eşiği aşılıyor mu?</t>
        </is>
      </c>
      <c r="B12" s="129">
        <f>IF(HESAP!B10&lt;IsGunlukKarEsik,"AŞIYOR","NORMAL")</f>
        <v/>
      </c>
    </row>
    <row r="13" ht="15" customHeight="1" s="76">
      <c r="A13" s="108" t="inlineStr">
        <is>
          <t>Riskli iş sayısı eşiği aşılıyor mu?</t>
        </is>
      </c>
      <c r="B13" s="129">
        <f>IF(HESAP!B13&gt;IsRiskliAdetEsik,"AŞIYOR","NORMAL")</f>
        <v/>
      </c>
    </row>
    <row r="15" ht="15" customHeight="1" s="76">
      <c r="A15" s="106" t="inlineStr">
        <is>
          <t>Veri Kalitesi Skoru (0-100)</t>
        </is>
      </c>
    </row>
    <row r="16" ht="27.75" customHeight="1" s="76">
      <c r="A16" s="105" t="inlineStr">
        <is>
          <t>Boş ve negatif girişlerin oranına göre üretilen kalite skoru.</t>
        </is>
      </c>
    </row>
    <row r="17" ht="15" customHeight="1" s="76">
      <c r="A17" s="108" t="inlineStr">
        <is>
          <t>Toplam Giriş Hücresi</t>
        </is>
      </c>
      <c r="B17" s="128">
        <f>COUNTA(tblIs[İş Adı])*COUNTA(tblIs[#Headers])</f>
        <v/>
      </c>
    </row>
    <row r="18" ht="15" customHeight="1" s="76">
      <c r="A18" s="108" t="inlineStr">
        <is>
          <t>Dolu Giriş Hücresi</t>
        </is>
      </c>
      <c r="B18" s="128">
        <f>COUNTA(tblIs[İş Adı])+COUNTA(tblIs[Toplam Gelir (₺)])+COUNTA(tblIs[Direkt Maliyet (₺)])+COUNTA(tblIs[Süre (Gün)])+COUNTA(tblIs[Not])</f>
        <v/>
      </c>
    </row>
    <row r="19" ht="15" customHeight="1" s="76">
      <c r="A19" s="133" t="inlineStr">
        <is>
          <t>Kalite Skoru</t>
        </is>
      </c>
      <c r="B19" s="134">
        <f>ROUND(IF(IsToplamGiris=0,0,IsDoluGiris/IsToplamGiris*100),0)</f>
        <v/>
      </c>
    </row>
    <row r="20" ht="15" customHeight="1" s="76">
      <c r="A20" s="108" t="inlineStr">
        <is>
          <t>Kalite Seviyesi</t>
        </is>
      </c>
      <c r="B20" s="129">
        <f>IF(B19&gt;=IsKaliteIyi,"YÜKSEK",IF(B19&gt;=IsKaliteOrta,"ORTA","DÜŞÜK"))</f>
        <v/>
      </c>
    </row>
    <row r="22" ht="19.5" customHeight="1" s="76">
      <c r="A22" s="125" t="inlineStr">
        <is>
          <t>Kontroller yalnızca giriş verisini denetler; değerleri değiştirmez.</t>
        </is>
      </c>
    </row>
  </sheetData>
  <sheetProtection selectLockedCells="0" selectUnlockedCells="0" sheet="1" objects="1" insertRows="1" insertHyperlinks="1" autoFilter="1" scenarios="1" formatColumns="1" deleteColumns="0" insertColumns="1" pivotTables="1" deleteRows="0" formatCells="1" formatRows="1" sort="1" password="cc3d"/>
  <mergeCells count="2">
    <mergeCell ref="A22:AN22"/>
    <mergeCell ref="A1:AD1"/>
  </mergeCells>
  <conditionalFormatting sqref="B6:B13">
    <cfRule type="cellIs" rank="0" priority="2" equalAverage="0" operator="equal" aboveAverage="0" dxfId="10" text="" percent="0" bottom="0">
      <formula>"BOŞ VAR"</formula>
    </cfRule>
    <cfRule type="cellIs" rank="0" priority="3" equalAverage="0" operator="equal" aboveAverage="0" dxfId="10" text="" percent="0" bottom="0">
      <formula>"NEGATİF VAR"</formula>
    </cfRule>
    <cfRule type="cellIs" rank="0" priority="4" equalAverage="0" operator="equal" aboveAverage="0" dxfId="10" text="" percent="0" bottom="0">
      <formula>"FARK VAR"</formula>
    </cfRule>
    <cfRule type="cellIs" rank="0" priority="5" equalAverage="0" operator="equal" aboveAverage="0" dxfId="10" text="" percent="0" bottom="0">
      <formula>"AŞIYOR"</formula>
    </cfRule>
    <cfRule type="cellIs" rank="0" priority="6" equalAverage="0" operator="equal" aboveAverage="0" dxfId="10" text="" percent="0" bottom="0">
      <formula>"VAR"</formula>
    </cfRule>
    <cfRule type="cellIs" rank="0" priority="7" equalAverage="0" operator="equal" aboveAverage="0" dxfId="11" text="" percent="0" bottom="0">
      <formula>"TEMİZ"</formula>
    </cfRule>
    <cfRule type="cellIs" rank="0" priority="8" equalAverage="0" operator="equal" aboveAverage="0" dxfId="11" text="" percent="0" bottom="0">
      <formula>"NORMAL"</formula>
    </cfRule>
    <cfRule type="cellIs" rank="0" priority="9" equalAverage="0" operator="equal" aboveAverage="0" dxfId="11" text="" percent="0" bottom="0">
      <formula>"YOK"</formula>
    </cfRule>
  </conditionalFormatting>
  <conditionalFormatting sqref="B19">
    <cfRule type="cellIs" rank="0" priority="10" equalAverage="0" operator="lessThan" aboveAverage="0" dxfId="8" text="" percent="0" bottom="0">
      <formula>70</formula>
    </cfRule>
    <cfRule type="cellIs" rank="0" priority="11" equalAverage="0" operator="between" aboveAverage="0" dxfId="9" text="" percent="0" bottom="0">
      <formula>70</formula>
      <formula>90</formula>
    </cfRule>
    <cfRule type="cellIs" rank="0" priority="12" equalAverage="0" operator="greaterThanOrEqual" aboveAverage="0" dxfId="11" text="" percent="0" bottom="0">
      <formula>90</formula>
    </cfRule>
  </conditionalFormatting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  <legacyDrawing xmlns:r="http://schemas.openxmlformats.org/officeDocument/2006/relationships" r:id="anysvml"/>
</worksheet>
</file>

<file path=xl/worksheets/sheet16.xml><?xml version="1.0" encoding="utf-8"?>
<worksheet xmlns="http://schemas.openxmlformats.org/spreadsheetml/2006/main">
  <sheetPr filterMode="0">
    <outlinePr summaryBelow="1" summaryRight="1"/>
    <pageSetUpPr fitToPage="0"/>
  </sheetPr>
  <dimension ref="A1:AN19"/>
  <sheetViews>
    <sheetView showFormulas="0" showGridLines="0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customHeight="0" zeroHeight="0" outlineLevelRow="0"/>
  <cols>
    <col width="45" customWidth="1" style="102" min="1" max="1"/>
    <col width="60" customWidth="1" style="102" min="2" max="2"/>
  </cols>
  <sheetData>
    <row r="1" ht="25.5" customHeight="1" s="76">
      <c r="A1" s="103" t="inlineStr">
        <is>
          <t>KARAR — Proje ve İş Bazında Gerçek Kârlılık Sistemi</t>
        </is>
      </c>
    </row>
    <row r="3" ht="15.75" customHeight="1" s="76">
      <c r="A3" s="110" t="inlineStr">
        <is>
          <t>Karar Kapısı — İş Kârlılık Yeterliliği</t>
        </is>
      </c>
    </row>
    <row r="4" ht="27.75" customHeight="1" s="76">
      <c r="A4" s="105" t="inlineStr">
        <is>
          <t>Ağırlıklı marj, zararlı iş ve günlük kâr eşiklerine göre üretilen karar.</t>
        </is>
      </c>
    </row>
    <row r="6" ht="15" customHeight="1" s="76">
      <c r="A6" s="108" t="inlineStr">
        <is>
          <t>Toplam Kâr</t>
        </is>
      </c>
      <c r="B6" s="135">
        <f>HESAP!B8</f>
        <v/>
      </c>
    </row>
    <row r="7" ht="15" customHeight="1" s="76">
      <c r="A7" s="108" t="inlineStr">
        <is>
          <t>Ağırlıklı Marj</t>
        </is>
      </c>
      <c r="B7" s="127">
        <f>HESAP!B9</f>
        <v/>
      </c>
    </row>
    <row r="8" ht="15" customHeight="1" s="76">
      <c r="A8" s="108" t="inlineStr">
        <is>
          <t>Ortalama Günlük Kâr</t>
        </is>
      </c>
      <c r="B8" s="126">
        <f>HESAP!B10</f>
        <v/>
      </c>
    </row>
    <row r="9" ht="15" customHeight="1" s="76">
      <c r="A9" s="108" t="inlineStr">
        <is>
          <t>Zararlı İş Sayısı</t>
        </is>
      </c>
      <c r="B9" s="128">
        <f>HESAP!B13</f>
        <v/>
      </c>
    </row>
    <row r="11" ht="21" customHeight="1" s="76">
      <c r="A11" s="136" t="inlineStr">
        <is>
          <t>KARAR</t>
        </is>
      </c>
      <c r="B11" s="137">
        <f>IF(COUNTA(tblIs[İş Adı])=0,"VERİ YOK",IF(HESAP!B13&gt;0,"DURDUR",IF(HESAP!B9&lt;IsMarjEsik,"İNCELE",IF(HESAP!B10&lt;IsGunlukKarEsik,"İNCELE","UYGUN"))))</f>
        <v/>
      </c>
    </row>
    <row r="12" ht="15" customHeight="1" s="76">
      <c r="A12" s="133" t="inlineStr">
        <is>
          <t>Gerekçe</t>
        </is>
      </c>
      <c r="B12" s="132">
        <f>IF(HESAP!B13&gt;0,"Zararlı işler var; fiyatlama ve maliyet tahmini gözden geçirilmeli.",IF(HESAP!B9&lt;IsMarjEsik,"Ağırlıklı marj hedefin altında; fiyat ve direkt maliyet dengesi revize edilmeli.",IF(HESAP!B10&lt;IsGunlukKarEsik,"Günlük kâr eşiğin altında; kaynak tahsisi kârlı işlere kaydırılmalı.","Karar kapısı uygun: iş kârlılık göstergeleri hedef aralıkta.")))</f>
        <v/>
      </c>
    </row>
    <row r="14" ht="15" customHeight="1" s="76">
      <c r="A14" s="106" t="inlineStr">
        <is>
          <t>Önerilen Aksiyonlar</t>
        </is>
      </c>
    </row>
    <row r="15" ht="15" customHeight="1" s="76">
      <c r="A15" s="108" t="inlineStr">
        <is>
          <t>Aksiyon 1</t>
        </is>
      </c>
      <c r="B15" s="132">
        <f>IsAksiyon1_ACIKLAMA</f>
        <v/>
      </c>
    </row>
    <row r="16" ht="15" customHeight="1" s="76">
      <c r="A16" s="108" t="inlineStr">
        <is>
          <t>Aksiyon 2</t>
        </is>
      </c>
      <c r="B16" s="132">
        <f>IsAksiyon2_ACIKLAMA</f>
        <v/>
      </c>
    </row>
    <row r="17" ht="15" customHeight="1" s="76">
      <c r="A17" s="108" t="inlineStr">
        <is>
          <t>Aksiyon 3</t>
        </is>
      </c>
      <c r="B17" s="132">
        <f>IsAksiyon3_ACIKLAMA</f>
        <v/>
      </c>
    </row>
    <row r="19" ht="19.5" customHeight="1" s="76">
      <c r="A19" s="125" t="inlineStr">
        <is>
          <t>Karar yalnızca giriş verisi ve AYARLAR'daki eşiklerden türetilir; kesin finansal tavsiye değildir.</t>
        </is>
      </c>
    </row>
  </sheetData>
  <sheetProtection selectLockedCells="0" selectUnlockedCells="0" sheet="1" objects="1" insertRows="1" insertHyperlinks="1" autoFilter="1" scenarios="1" formatColumns="1" deleteColumns="0" insertColumns="1" pivotTables="1" deleteRows="0" formatCells="1" formatRows="1" sort="1" password="cc3d"/>
  <mergeCells count="6">
    <mergeCell ref="B15:J15"/>
    <mergeCell ref="B16:J16"/>
    <mergeCell ref="B17:J17"/>
    <mergeCell ref="A19:AN19"/>
    <mergeCell ref="B12:J12"/>
    <mergeCell ref="A1:AD1"/>
  </mergeCells>
  <conditionalFormatting sqref="B11">
    <cfRule type="cellIs" rank="0" priority="2" equalAverage="0" operator="equal" aboveAverage="0" dxfId="12" text="" percent="0" bottom="0">
      <formula>"UYGUN"</formula>
    </cfRule>
    <cfRule type="cellIs" rank="0" priority="3" equalAverage="0" operator="equal" aboveAverage="0" dxfId="13" text="" percent="0" bottom="0">
      <formula>"İNCELE"</formula>
    </cfRule>
    <cfRule type="cellIs" rank="0" priority="4" equalAverage="0" operator="equal" aboveAverage="0" dxfId="10" text="" percent="0" bottom="0">
      <formula>"DURDUR"</formula>
    </cfRule>
  </conditionalFormatting>
  <conditionalFormatting sqref="B6">
    <cfRule type="cellIs" rank="0" priority="5" equalAverage="0" operator="lessThan" aboveAverage="0" dxfId="8" text="" percent="0" bottom="0">
      <formula>0</formula>
    </cfRule>
  </conditionalFormatting>
  <conditionalFormatting sqref="B7">
    <cfRule type="cellIs" rank="0" priority="6" equalAverage="0" operator="lessThan" aboveAverage="0" dxfId="8" text="" percent="0" bottom="0">
      <formula>0.1</formula>
    </cfRule>
  </conditionalFormatting>
  <conditionalFormatting sqref="B8">
    <cfRule type="cellIs" rank="0" priority="7" equalAverage="0" operator="lessThan" aboveAverage="0" dxfId="9" text="" percent="0" bottom="0">
      <formula>3000</formula>
    </cfRule>
  </conditionalFormatting>
  <conditionalFormatting sqref="B9">
    <cfRule type="cellIs" rank="0" priority="8" equalAverage="0" operator="greaterThan" aboveAverage="0" dxfId="8" text="" percent="0" bottom="0">
      <formula>0</formula>
    </cfRule>
  </conditionalFormatting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17.xml><?xml version="1.0" encoding="utf-8"?>
<worksheet xmlns="http://schemas.openxmlformats.org/spreadsheetml/2006/main">
  <sheetPr filterMode="0">
    <outlinePr summaryBelow="1" summaryRight="1"/>
    <pageSetUpPr fitToPage="0"/>
  </sheetPr>
  <dimension ref="A1:AN17"/>
  <sheetViews>
    <sheetView showFormulas="0" showGridLines="0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customHeight="0" zeroHeight="0" outlineLevelRow="0"/>
  <cols>
    <col width="45" customWidth="1" style="102" min="1" max="1"/>
    <col width="30" customWidth="1" style="102" min="2" max="2"/>
    <col width="20" customWidth="1" style="102" min="3" max="3"/>
    <col width="18" customWidth="1" style="102" min="4" max="4"/>
  </cols>
  <sheetData>
    <row r="1" ht="25.5" customHeight="1" s="76">
      <c r="A1" s="103" t="inlineStr">
        <is>
          <t>SENARYO DUYARLILIK — Proje ve İş Bazında Gerçek Kârlılık Sistemi</t>
        </is>
      </c>
    </row>
    <row r="3" ht="15.75" customHeight="1" s="76">
      <c r="A3" s="110" t="inlineStr">
        <is>
          <t>Senaryo ve Duyarlılık Analizi</t>
        </is>
      </c>
    </row>
    <row r="4" ht="41.25" customHeight="1" s="76">
      <c r="A4" s="105" t="inlineStr">
        <is>
          <t>İyimser, baz ve kötümser senaryolarda toplam kâr; ardından hangi değişkenin sonucu en çok etkilediğini gösteren tornado analizi.</t>
        </is>
      </c>
    </row>
    <row r="6" ht="15" customHeight="1" s="76">
      <c r="A6" s="147" t="inlineStr">
        <is>
          <t>Senaryo</t>
        </is>
      </c>
      <c r="B6" s="147" t="inlineStr">
        <is>
          <t>Gelir Çarpanı</t>
        </is>
      </c>
      <c r="C6" s="147" t="inlineStr">
        <is>
          <t>Tahmini Toplam Kâr</t>
        </is>
      </c>
      <c r="D6" s="147" t="inlineStr">
        <is>
          <t>Tahmini Marj</t>
        </is>
      </c>
    </row>
    <row r="7" ht="15" customHeight="1" s="76">
      <c r="A7" s="133" t="inlineStr">
        <is>
          <t>İYİMSER</t>
        </is>
      </c>
      <c r="B7" s="127">
        <f>IF(HESAP!B8=0,0,IsIyiSenaryo)</f>
        <v/>
      </c>
      <c r="C7" s="126">
        <f>ROUND(HESAP!B6*IsIyiSenaryo-(HESAP!B6-HESAP!B8),0)</f>
        <v/>
      </c>
      <c r="D7" s="127">
        <f>IF(HESAP!B6=0,0,C7/(HESAP!B6*IsIyiSenaryo))</f>
        <v/>
      </c>
    </row>
    <row r="8" ht="15" customHeight="1" s="76">
      <c r="A8" s="133" t="inlineStr">
        <is>
          <t>BAZ</t>
        </is>
      </c>
      <c r="B8" s="127">
        <f>IF(HESAP!B8=0,0,IsBazSenaryo)</f>
        <v/>
      </c>
      <c r="C8" s="126">
        <f>ROUND(HESAP!B6*IsBazSenaryo-(HESAP!B6-HESAP!B8),0)</f>
        <v/>
      </c>
      <c r="D8" s="127">
        <f>IF(HESAP!B6=0,0,C8/(HESAP!B6*IsBazSenaryo))</f>
        <v/>
      </c>
    </row>
    <row r="9" ht="15" customHeight="1" s="76">
      <c r="A9" s="133" t="inlineStr">
        <is>
          <t>KÖTÜMSER</t>
        </is>
      </c>
      <c r="B9" s="127">
        <f>IF(HESAP!B8=0,0,IsKotuSenaryo)</f>
        <v/>
      </c>
      <c r="C9" s="126">
        <f>ROUND(HESAP!B6*IsKotuSenaryo-(HESAP!B6-HESAP!B8),0)</f>
        <v/>
      </c>
      <c r="D9" s="127">
        <f>IF(HESAP!B6=0,0,C9/(HESAP!B6*IsKotuSenaryo))</f>
        <v/>
      </c>
    </row>
    <row r="11" ht="15" customHeight="1" s="76">
      <c r="A11" s="106" t="inlineStr">
        <is>
          <t>Tornado: Toplam Kâra Etki</t>
        </is>
      </c>
    </row>
    <row r="12" ht="15" customHeight="1" s="76">
      <c r="A12" s="108" t="inlineStr">
        <is>
          <t>Gelir +%1</t>
        </is>
      </c>
      <c r="B12" s="126">
        <f>ROUND(SUM(tblIs[Toplam Gelir (₺)])*IsTornadoGelir,0)</f>
        <v/>
      </c>
    </row>
    <row r="13" ht="15" customHeight="1" s="76">
      <c r="A13" s="108" t="inlineStr">
        <is>
          <t>Maliyet +%1</t>
        </is>
      </c>
      <c r="B13" s="126">
        <f>ROUND(SUM(tblIs[Direkt Maliyet (₺)])*IsTornadoMaliyet,0)</f>
        <v/>
      </c>
    </row>
    <row r="15" ht="15" customHeight="1" s="76">
      <c r="A15" s="144" t="inlineStr">
        <is>
          <t>En Etkili Değişken</t>
        </is>
      </c>
      <c r="B15" s="148">
        <f>IF(B12&gt;=B13,"Gelir","Maliyet")</f>
        <v/>
      </c>
    </row>
    <row r="17" ht="19.5" customHeight="1" s="76">
      <c r="A17" s="125" t="inlineStr">
        <is>
          <t>Tornado etkileri AYARLAR'daki çarpanlardan türetilir.</t>
        </is>
      </c>
    </row>
  </sheetData>
  <sheetProtection selectLockedCells="0" selectUnlockedCells="0" sheet="1" objects="1" insertRows="1" insertHyperlinks="1" autoFilter="1" scenarios="1" formatColumns="1" deleteColumns="0" insertColumns="1" pivotTables="1" deleteRows="0" formatCells="1" formatRows="1" sort="1" password="cc3d"/>
  <mergeCells count="2">
    <mergeCell ref="A17:AN17"/>
    <mergeCell ref="A1:AD1"/>
  </mergeCells>
  <conditionalFormatting sqref="C7:C9">
    <cfRule type="cellIs" rank="0" priority="2" equalAverage="0" operator="lessThan" aboveAverage="0" dxfId="8" text="" percent="0" bottom="0">
      <formula>0</formula>
    </cfRule>
  </conditionalFormatting>
  <conditionalFormatting sqref="D7:D9">
    <cfRule type="cellIs" rank="0" priority="3" equalAverage="0" operator="lessThan" aboveAverage="0" dxfId="8" text="" percent="0" bottom="0">
      <formula>0.1</formula>
    </cfRule>
    <cfRule type="cellIs" rank="0" priority="4" equalAverage="0" operator="lessThan" aboveAverage="0" dxfId="9" text="" percent="0" bottom="0">
      <formula>0.25</formula>
    </cfRule>
  </conditionalFormatting>
  <conditionalFormatting sqref="B12:B13">
    <cfRule type="cellIs" rank="0" priority="5" equalAverage="0" operator="lessThan" aboveAverage="0" dxfId="8" text="" percent="0" bottom="0">
      <formula>0</formula>
    </cfRule>
  </conditionalFormatting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18.xml><?xml version="1.0" encoding="utf-8"?>
<worksheet xmlns="http://schemas.openxmlformats.org/spreadsheetml/2006/main">
  <sheetPr filterMode="0">
    <outlinePr summaryBelow="1" summaryRight="1"/>
    <pageSetUpPr fitToPage="1"/>
  </sheetPr>
  <dimension ref="A1:AN29"/>
  <sheetViews>
    <sheetView showFormulas="0" showGridLines="0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customHeight="0" zeroHeight="0" outlineLevelRow="0"/>
  <cols>
    <col width="45" customWidth="1" style="102" min="1" max="1"/>
    <col width="40" customWidth="1" style="102" min="2" max="2"/>
  </cols>
  <sheetData>
    <row r="1" ht="25.5" customHeight="1" s="76">
      <c r="A1" s="149" t="inlineStr">
        <is>
          <t>PROJE VE İŞ BAZINDA GERÇEK KÂRLILIK SİSTEMİ — YÖNETİCİ ÖZETİ</t>
        </is>
      </c>
    </row>
    <row r="2" ht="15" customHeight="1" s="76">
      <c r="A2" s="150">
        <f>_xlfn.CONCAT("Rapor Tarihi: ",TEXT(RaporTarihi,"dd.mm.yyyy")," | Hazırlayan: ",RaporHazirlayan," | Sürüm: ",DosyaSurumu)</f>
        <v/>
      </c>
    </row>
    <row r="4" ht="17.25" customHeight="1" s="76">
      <c r="A4" s="106" t="inlineStr">
        <is>
          <t>Karar</t>
        </is>
      </c>
      <c r="B4" s="137">
        <f>KARAR!B11</f>
        <v/>
      </c>
    </row>
    <row r="6" ht="15" customHeight="1" s="76">
      <c r="A6" s="108" t="inlineStr">
        <is>
          <t>Toplam İş Geliri</t>
        </is>
      </c>
      <c r="B6" s="126">
        <f>HESAP!B6</f>
        <v/>
      </c>
    </row>
    <row r="7" ht="15" customHeight="1" s="76">
      <c r="A7" s="108" t="inlineStr">
        <is>
          <t>Toplam Direkt Maliyet</t>
        </is>
      </c>
      <c r="B7" s="126">
        <f>HESAP!B7</f>
        <v/>
      </c>
    </row>
    <row r="8" ht="15" customHeight="1" s="76">
      <c r="A8" s="108" t="inlineStr">
        <is>
          <t>Toplam Kâr</t>
        </is>
      </c>
      <c r="B8" s="126">
        <f>HESAP!B8</f>
        <v/>
      </c>
    </row>
    <row r="9" ht="15" customHeight="1" s="76">
      <c r="A9" s="108" t="inlineStr">
        <is>
          <t>Ağırlıklı Marj</t>
        </is>
      </c>
      <c r="B9" s="127">
        <f>HESAP!B9</f>
        <v/>
      </c>
    </row>
    <row r="10" ht="15" customHeight="1" s="76">
      <c r="A10" s="108" t="inlineStr">
        <is>
          <t>Ortalama Günlük Kâr</t>
        </is>
      </c>
      <c r="B10" s="126">
        <f>HESAP!B10</f>
        <v/>
      </c>
    </row>
    <row r="11" ht="15" customHeight="1" s="76">
      <c r="A11" s="108" t="inlineStr">
        <is>
          <t>Kârlı İş Sayısı</t>
        </is>
      </c>
      <c r="B11" s="128">
        <f>HESAP!B11</f>
        <v/>
      </c>
    </row>
    <row r="12" ht="15" customHeight="1" s="76">
      <c r="A12" s="108" t="inlineStr">
        <is>
          <t>Riskli İş Sayısı</t>
        </is>
      </c>
      <c r="B12" s="128">
        <f>HESAP!B12</f>
        <v/>
      </c>
    </row>
    <row r="13" ht="15" customHeight="1" s="76">
      <c r="A13" s="108" t="inlineStr">
        <is>
          <t>Zararlı İş Sayısı</t>
        </is>
      </c>
      <c r="B13" s="128">
        <f>HESAP!B13</f>
        <v/>
      </c>
    </row>
    <row r="14" ht="15" customHeight="1" s="76">
      <c r="A14" s="108" t="inlineStr">
        <is>
          <t>En Kârlı İş</t>
        </is>
      </c>
      <c r="B14" s="129">
        <f>HESAP!B14</f>
        <v/>
      </c>
    </row>
    <row r="15" ht="15" customHeight="1" s="76">
      <c r="A15" s="108" t="inlineStr">
        <is>
          <t>Kalite Skoru</t>
        </is>
      </c>
      <c r="B15" s="128">
        <f>KONTROLLER!B19</f>
        <v/>
      </c>
    </row>
    <row r="17" ht="15" customHeight="1" s="76">
      <c r="A17" s="142" t="inlineStr">
        <is>
          <t>Varsayımlar ve Önemli Notlar</t>
        </is>
      </c>
    </row>
    <row r="18" ht="15" customHeight="1" s="76">
      <c r="A18" s="107" t="inlineStr">
        <is>
          <t>• Bu yapı iş bazlı direkt giderleri esas alır; genel gider dağıtımı ayrı bir satır eklenerek yapılır.</t>
        </is>
      </c>
    </row>
    <row r="19" ht="15" customHeight="1" s="76">
      <c r="A19" s="107" t="inlineStr">
        <is>
          <t>• Günlük kâr, işin toplam kârının süreye bölünmesiyle hesaplanır.</t>
        </is>
      </c>
    </row>
    <row r="20" ht="15" customHeight="1" s="76">
      <c r="A20" s="107" t="inlineStr">
        <is>
          <t>• Eşikler ve senaryo çarpanları AYARLAR sayfasından alınır.</t>
        </is>
      </c>
    </row>
    <row r="21" ht="15" customHeight="1" s="76">
      <c r="A21" s="107" t="inlineStr">
        <is>
          <t>• Bu dosya muhasebe kaydı değildir; kaynak tahsisi karar destek aracıdır.</t>
        </is>
      </c>
    </row>
    <row r="22" ht="15" customHeight="1" s="76">
      <c r="A22" s="107" t="inlineStr">
        <is>
          <t>• Demo veriler gerçek müşteri verisi değildir; kullanımdan önce temizlenmelidir.</t>
        </is>
      </c>
    </row>
    <row r="24" ht="15" customHeight="1" s="76">
      <c r="A24" s="142" t="inlineStr">
        <is>
          <t>Önerilen Aksiyonlar</t>
        </is>
      </c>
    </row>
    <row r="25" ht="15" customHeight="1" s="76">
      <c r="A25" s="107">
        <f>IsAksiyon1_ACIKLAMA</f>
        <v/>
      </c>
    </row>
    <row r="26" ht="15" customHeight="1" s="76">
      <c r="A26" s="107">
        <f>IsAksiyon2_ACIKLAMA</f>
        <v/>
      </c>
    </row>
    <row r="27" ht="15" customHeight="1" s="76">
      <c r="A27" s="107">
        <f>IsAksiyon3_ACIKLAMA</f>
        <v/>
      </c>
    </row>
    <row r="29" ht="15" customHeight="1" s="76">
      <c r="A29" s="151" t="inlineStr">
        <is>
          <t>Bu rapor karar destek amaçlıdır; mali tavsiye niteliği taşımaz.</t>
        </is>
      </c>
    </row>
  </sheetData>
  <sheetProtection selectLockedCells="0" selectUnlockedCells="0" sheet="1" objects="1" insertRows="1" insertHyperlinks="1" autoFilter="1" scenarios="1" formatColumns="1" deleteColumns="0" insertColumns="1" pivotTables="1" deleteRows="0" formatCells="1" formatRows="1" sort="1" password="cc3d"/>
  <mergeCells count="10">
    <mergeCell ref="A20:L20"/>
    <mergeCell ref="A26:L26"/>
    <mergeCell ref="A2:L2"/>
    <mergeCell ref="A25:L25"/>
    <mergeCell ref="A19:L19"/>
    <mergeCell ref="A22:L22"/>
    <mergeCell ref="A18:L18"/>
    <mergeCell ref="A27:L27"/>
    <mergeCell ref="A21:L21"/>
    <mergeCell ref="A1:AN1"/>
  </mergeCells>
  <printOptions horizontalCentered="0" verticalCentered="0" headings="0" gridLines="0" gridLinesSet="1"/>
  <pageMargins left="0.4" right="0.4" top="0.5" bottom="0.5" header="0.511811023622047" footer="0.5"/>
  <pageSetup orientation="landscape" paperSize="9" scale="100" fitToHeight="1" fitToWidth="1" pageOrder="downThenOver" blackAndWhite="0" draft="0" horizontalDpi="300" verticalDpi="300" copies="1"/>
  <headerFooter differentOddEven="0" differentFirst="0">
    <oddHeader/>
    <oddFooter>&amp;LProje ve İş Bazında Gerçek Kârlılık Sistemi&amp;CExcelArşiv&amp;RSayfa &amp;P / &amp;N</oddFooter>
    <evenHeader/>
    <evenFooter/>
    <firstHeader/>
    <firstFooter/>
  </headerFooter>
</worksheet>
</file>

<file path=xl/worksheets/sheet19.xml><?xml version="1.0" encoding="utf-8"?>
<worksheet xmlns="http://schemas.openxmlformats.org/spreadsheetml/2006/main">
  <sheetPr filterMode="0">
    <outlinePr summaryBelow="1" summaryRight="1"/>
    <pageSetUpPr fitToPage="0"/>
  </sheetPr>
  <dimension ref="A1:AN1006"/>
  <sheetViews>
    <sheetView showFormulas="0" showGridLines="0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customHeight="0" zeroHeight="0" outlineLevelRow="0"/>
  <cols>
    <col width="14" customWidth="1" style="102" min="1" max="1"/>
    <col width="22" customWidth="1" style="102" min="2" max="2"/>
    <col width="16" customWidth="1" style="102" min="3" max="3"/>
    <col width="18" customWidth="1" style="102" min="4" max="4"/>
    <col width="13" customWidth="1" style="102" min="5" max="5"/>
    <col width="16" customWidth="1" style="102" min="6" max="6"/>
    <col width="22" customWidth="1" style="102" min="7" max="7"/>
  </cols>
  <sheetData>
    <row r="1" ht="25.5" customHeight="1" s="76">
      <c r="A1" s="103" t="inlineStr">
        <is>
          <t>ORNEK VERI — Proje ve İş Bazında Gerçek Kârlılık Sistemi</t>
        </is>
      </c>
    </row>
    <row r="3" ht="15" customHeight="1" s="76">
      <c r="A3" s="106" t="inlineStr">
        <is>
          <t>Örnek Veri (Demo)</t>
        </is>
      </c>
    </row>
    <row r="4" ht="108.75" customHeight="1" s="76">
      <c r="A4" s="105" t="inlineStr">
        <is>
          <t>Gerçek girişlere başlamadan önce demo veri ile ürünü deneyin. Bu satırlar örnektir; gerçek verilerle değiştirin.</t>
        </is>
      </c>
    </row>
    <row r="5" ht="30" customHeight="1" s="76">
      <c r="A5" s="115" t="inlineStr">
        <is>
          <t>İş Numarası</t>
        </is>
      </c>
      <c r="B5" s="115" t="inlineStr">
        <is>
          <t>İş Adı</t>
        </is>
      </c>
      <c r="C5" s="115" t="inlineStr">
        <is>
          <t>Toplam Gelir (₺)</t>
        </is>
      </c>
      <c r="D5" s="115" t="inlineStr">
        <is>
          <t>Direkt Maliyet (₺)</t>
        </is>
      </c>
      <c r="E5" s="115" t="inlineStr">
        <is>
          <t>Süre (Gün)</t>
        </is>
      </c>
      <c r="F5" s="115" t="inlineStr">
        <is>
          <t>Kâr (₺)</t>
        </is>
      </c>
      <c r="G5" s="115" t="inlineStr">
        <is>
          <t>Not</t>
        </is>
      </c>
    </row>
    <row r="6" ht="15" customHeight="1" s="76">
      <c r="A6" s="152" t="inlineStr">
        <is>
          <t>IS-001</t>
        </is>
      </c>
      <c r="B6" s="152" t="inlineStr">
        <is>
          <t>Web sitesi projesi</t>
        </is>
      </c>
      <c r="C6" s="153" t="n">
        <v>250000</v>
      </c>
      <c r="D6" s="153" t="n">
        <v>140000</v>
      </c>
      <c r="E6" s="154" t="n">
        <v>30</v>
      </c>
      <c r="F6" s="155">
        <f>$C6-$D6</f>
        <v/>
      </c>
      <c r="G6" s="121">
        <f>"Örnek kayıt: "&amp;$A6</f>
        <v/>
      </c>
    </row>
    <row r="7" ht="15" customHeight="1" s="76">
      <c r="A7" s="152" t="inlineStr">
        <is>
          <t>IS-002</t>
        </is>
      </c>
      <c r="B7" s="152" t="inlineStr">
        <is>
          <t>Mobil uygulama</t>
        </is>
      </c>
      <c r="C7" s="153" t="n">
        <v>420000</v>
      </c>
      <c r="D7" s="153" t="n">
        <v>250000</v>
      </c>
      <c r="E7" s="154" t="n">
        <v>60</v>
      </c>
      <c r="F7" s="155">
        <f>$C7-$D7</f>
        <v/>
      </c>
      <c r="G7" s="121">
        <f>"Örnek kayıt: "&amp;$A7</f>
        <v/>
      </c>
    </row>
    <row r="8" ht="15" customHeight="1" s="76">
      <c r="A8" s="152" t="inlineStr">
        <is>
          <t>IS-003</t>
        </is>
      </c>
      <c r="B8" s="152" t="inlineStr">
        <is>
          <t>Danışmanlık</t>
        </is>
      </c>
      <c r="C8" s="153" t="n">
        <v>180000</v>
      </c>
      <c r="D8" s="153" t="n">
        <v>90000</v>
      </c>
      <c r="E8" s="154" t="n">
        <v>20</v>
      </c>
      <c r="F8" s="155">
        <f>$C8-$D8</f>
        <v/>
      </c>
      <c r="G8" s="121">
        <f>"Örnek kayıt: "&amp;$A8</f>
        <v/>
      </c>
    </row>
    <row r="9" ht="15" customHeight="1" s="76">
      <c r="A9" s="152" t="inlineStr">
        <is>
          <t>IS-004</t>
        </is>
      </c>
      <c r="B9" s="152" t="inlineStr">
        <is>
          <t>Eğitim programı</t>
        </is>
      </c>
      <c r="C9" s="153" t="n">
        <v>320000</v>
      </c>
      <c r="D9" s="153" t="n">
        <v>200000</v>
      </c>
      <c r="E9" s="154" t="n">
        <v>45</v>
      </c>
      <c r="F9" s="155">
        <f>$C9-$D9</f>
        <v/>
      </c>
      <c r="G9" s="121">
        <f>"Örnek kayıt: "&amp;$A9</f>
        <v/>
      </c>
    </row>
    <row r="10" ht="15" customHeight="1" s="76">
      <c r="A10" s="152" t="inlineStr">
        <is>
          <t>IS-005</t>
        </is>
      </c>
      <c r="B10" s="152" t="inlineStr">
        <is>
          <t>Bakım sözleşmesi</t>
        </is>
      </c>
      <c r="C10" s="153" t="n">
        <v>60000</v>
      </c>
      <c r="D10" s="153" t="n">
        <v>45000</v>
      </c>
      <c r="E10" s="154" t="n">
        <v>15</v>
      </c>
      <c r="F10" s="155">
        <f>$C10-$D10</f>
        <v/>
      </c>
      <c r="G10" s="121">
        <f>"Örnek kayıt: "&amp;$A10</f>
        <v/>
      </c>
    </row>
    <row r="11" ht="15" customHeight="1" s="76">
      <c r="F11" s="121">
        <f>$C11-$D11</f>
        <v/>
      </c>
      <c r="G11" s="121">
        <f>"Örnek kayıt: "&amp;$A11</f>
        <v/>
      </c>
    </row>
    <row r="12" ht="15" customHeight="1" s="76">
      <c r="F12" s="121">
        <f>$C12-$D12</f>
        <v/>
      </c>
      <c r="G12" s="121">
        <f>"Örnek kayıt: "&amp;$A12</f>
        <v/>
      </c>
    </row>
    <row r="13" ht="15" customHeight="1" s="76">
      <c r="F13" s="121">
        <f>$C13-$D13</f>
        <v/>
      </c>
      <c r="G13" s="121">
        <f>"Örnek kayıt: "&amp;$A13</f>
        <v/>
      </c>
    </row>
    <row r="14" ht="15" customHeight="1" s="76">
      <c r="F14" s="121">
        <f>$C14-$D14</f>
        <v/>
      </c>
      <c r="G14" s="121">
        <f>"Örnek kayıt: "&amp;$A14</f>
        <v/>
      </c>
    </row>
    <row r="15" ht="15" customHeight="1" s="76">
      <c r="F15" s="121">
        <f>$C15-$D15</f>
        <v/>
      </c>
      <c r="G15" s="121">
        <f>"Örnek kayıt: "&amp;$A15</f>
        <v/>
      </c>
    </row>
    <row r="16" ht="15" customHeight="1" s="76">
      <c r="F16" s="121">
        <f>$C16-$D16</f>
        <v/>
      </c>
      <c r="G16" s="121">
        <f>"Örnek kayıt: "&amp;$A16</f>
        <v/>
      </c>
    </row>
    <row r="17" ht="15" customHeight="1" s="76">
      <c r="F17" s="121">
        <f>$C17-$D17</f>
        <v/>
      </c>
      <c r="G17" s="121">
        <f>"Örnek kayıt: "&amp;$A17</f>
        <v/>
      </c>
    </row>
    <row r="18" ht="15" customHeight="1" s="76">
      <c r="F18" s="121">
        <f>$C18-$D18</f>
        <v/>
      </c>
      <c r="G18" s="121">
        <f>"Örnek kayıt: "&amp;$A18</f>
        <v/>
      </c>
    </row>
    <row r="19" ht="15" customHeight="1" s="76">
      <c r="F19" s="121">
        <f>$C19-$D19</f>
        <v/>
      </c>
      <c r="G19" s="121">
        <f>"Örnek kayıt: "&amp;$A19</f>
        <v/>
      </c>
    </row>
    <row r="20" ht="15" customHeight="1" s="76">
      <c r="F20" s="121">
        <f>$C20-$D20</f>
        <v/>
      </c>
      <c r="G20" s="121">
        <f>"Örnek kayıt: "&amp;$A20</f>
        <v/>
      </c>
    </row>
    <row r="21" ht="15" customHeight="1" s="76">
      <c r="F21" s="121">
        <f>$C21-$D21</f>
        <v/>
      </c>
      <c r="G21" s="121">
        <f>"Örnek kayıt: "&amp;$A21</f>
        <v/>
      </c>
    </row>
    <row r="22" ht="15" customHeight="1" s="76">
      <c r="F22" s="121">
        <f>$C22-$D22</f>
        <v/>
      </c>
      <c r="G22" s="121">
        <f>"Örnek kayıt: "&amp;$A22</f>
        <v/>
      </c>
    </row>
    <row r="23" ht="15" customHeight="1" s="76">
      <c r="F23" s="121">
        <f>$C23-$D23</f>
        <v/>
      </c>
      <c r="G23" s="121">
        <f>"Örnek kayıt: "&amp;$A23</f>
        <v/>
      </c>
    </row>
    <row r="24" ht="15" customHeight="1" s="76">
      <c r="F24" s="121">
        <f>$C24-$D24</f>
        <v/>
      </c>
      <c r="G24" s="121">
        <f>"Örnek kayıt: "&amp;$A24</f>
        <v/>
      </c>
    </row>
    <row r="25" ht="15" customHeight="1" s="76">
      <c r="F25" s="121">
        <f>$C25-$D25</f>
        <v/>
      </c>
      <c r="G25" s="121">
        <f>"Örnek kayıt: "&amp;$A25</f>
        <v/>
      </c>
    </row>
    <row r="26" ht="15" customHeight="1" s="76">
      <c r="F26" s="121">
        <f>$C26-$D26</f>
        <v/>
      </c>
      <c r="G26" s="121">
        <f>"Örnek kayıt: "&amp;$A26</f>
        <v/>
      </c>
    </row>
    <row r="27" ht="15" customHeight="1" s="76">
      <c r="F27" s="121">
        <f>$C27-$D27</f>
        <v/>
      </c>
      <c r="G27" s="121">
        <f>"Örnek kayıt: "&amp;$A27</f>
        <v/>
      </c>
    </row>
    <row r="28" ht="15" customHeight="1" s="76">
      <c r="F28" s="121">
        <f>$C28-$D28</f>
        <v/>
      </c>
      <c r="G28" s="121">
        <f>"Örnek kayıt: "&amp;$A28</f>
        <v/>
      </c>
    </row>
    <row r="29" ht="15" customHeight="1" s="76">
      <c r="F29" s="121">
        <f>$C29-$D29</f>
        <v/>
      </c>
      <c r="G29" s="121">
        <f>"Örnek kayıt: "&amp;$A29</f>
        <v/>
      </c>
    </row>
    <row r="30" ht="15" customHeight="1" s="76">
      <c r="F30" s="121">
        <f>$C30-$D30</f>
        <v/>
      </c>
      <c r="G30" s="121">
        <f>"Örnek kayıt: "&amp;$A30</f>
        <v/>
      </c>
    </row>
    <row r="31" ht="15" customHeight="1" s="76">
      <c r="F31" s="121">
        <f>$C31-$D31</f>
        <v/>
      </c>
      <c r="G31" s="121">
        <f>"Örnek kayıt: "&amp;$A31</f>
        <v/>
      </c>
    </row>
    <row r="32" ht="15" customHeight="1" s="76">
      <c r="F32" s="121">
        <f>$C32-$D32</f>
        <v/>
      </c>
      <c r="G32" s="121">
        <f>"Örnek kayıt: "&amp;$A32</f>
        <v/>
      </c>
    </row>
    <row r="33" ht="15" customHeight="1" s="76">
      <c r="F33" s="121">
        <f>$C33-$D33</f>
        <v/>
      </c>
      <c r="G33" s="121">
        <f>"Örnek kayıt: "&amp;$A33</f>
        <v/>
      </c>
    </row>
    <row r="34" ht="15" customHeight="1" s="76">
      <c r="F34" s="121">
        <f>$C34-$D34</f>
        <v/>
      </c>
      <c r="G34" s="121">
        <f>"Örnek kayıt: "&amp;$A34</f>
        <v/>
      </c>
    </row>
    <row r="35" ht="15" customHeight="1" s="76">
      <c r="F35" s="121">
        <f>$C35-$D35</f>
        <v/>
      </c>
      <c r="G35" s="121">
        <f>"Örnek kayıt: "&amp;$A35</f>
        <v/>
      </c>
    </row>
    <row r="36" ht="15" customHeight="1" s="76">
      <c r="F36" s="121">
        <f>$C36-$D36</f>
        <v/>
      </c>
      <c r="G36" s="121">
        <f>"Örnek kayıt: "&amp;$A36</f>
        <v/>
      </c>
    </row>
    <row r="37" ht="15" customHeight="1" s="76">
      <c r="F37" s="121">
        <f>$C37-$D37</f>
        <v/>
      </c>
      <c r="G37" s="121">
        <f>"Örnek kayıt: "&amp;$A37</f>
        <v/>
      </c>
    </row>
    <row r="38" ht="15" customHeight="1" s="76">
      <c r="F38" s="121">
        <f>$C38-$D38</f>
        <v/>
      </c>
      <c r="G38" s="121">
        <f>"Örnek kayıt: "&amp;$A38</f>
        <v/>
      </c>
    </row>
    <row r="39" ht="15" customHeight="1" s="76">
      <c r="F39" s="121">
        <f>$C39-$D39</f>
        <v/>
      </c>
      <c r="G39" s="121">
        <f>"Örnek kayıt: "&amp;$A39</f>
        <v/>
      </c>
    </row>
    <row r="40" ht="15" customHeight="1" s="76">
      <c r="F40" s="121">
        <f>$C40-$D40</f>
        <v/>
      </c>
      <c r="G40" s="121">
        <f>"Örnek kayıt: "&amp;$A40</f>
        <v/>
      </c>
    </row>
    <row r="41" ht="15" customHeight="1" s="76">
      <c r="F41" s="121">
        <f>$C41-$D41</f>
        <v/>
      </c>
      <c r="G41" s="121">
        <f>"Örnek kayıt: "&amp;$A41</f>
        <v/>
      </c>
    </row>
    <row r="42" ht="15" customHeight="1" s="76">
      <c r="F42" s="121">
        <f>$C42-$D42</f>
        <v/>
      </c>
      <c r="G42" s="121">
        <f>"Örnek kayıt: "&amp;$A42</f>
        <v/>
      </c>
    </row>
    <row r="43" ht="15" customHeight="1" s="76">
      <c r="F43" s="121">
        <f>$C43-$D43</f>
        <v/>
      </c>
      <c r="G43" s="121">
        <f>"Örnek kayıt: "&amp;$A43</f>
        <v/>
      </c>
    </row>
    <row r="44" ht="15" customHeight="1" s="76">
      <c r="F44" s="121">
        <f>$C44-$D44</f>
        <v/>
      </c>
      <c r="G44" s="121">
        <f>"Örnek kayıt: "&amp;$A44</f>
        <v/>
      </c>
    </row>
    <row r="45" ht="15" customHeight="1" s="76">
      <c r="F45" s="121">
        <f>$C45-$D45</f>
        <v/>
      </c>
      <c r="G45" s="121">
        <f>"Örnek kayıt: "&amp;$A45</f>
        <v/>
      </c>
    </row>
    <row r="46" ht="15" customHeight="1" s="76">
      <c r="F46" s="121">
        <f>$C46-$D46</f>
        <v/>
      </c>
      <c r="G46" s="121">
        <f>"Örnek kayıt: "&amp;$A46</f>
        <v/>
      </c>
    </row>
    <row r="47" ht="15" customHeight="1" s="76">
      <c r="F47" s="121">
        <f>$C47-$D47</f>
        <v/>
      </c>
      <c r="G47" s="121">
        <f>"Örnek kayıt: "&amp;$A47</f>
        <v/>
      </c>
    </row>
    <row r="48" ht="15" customHeight="1" s="76">
      <c r="F48" s="121">
        <f>$C48-$D48</f>
        <v/>
      </c>
      <c r="G48" s="121">
        <f>"Örnek kayıt: "&amp;$A48</f>
        <v/>
      </c>
    </row>
    <row r="49" ht="15" customHeight="1" s="76">
      <c r="F49" s="121">
        <f>$C49-$D49</f>
        <v/>
      </c>
      <c r="G49" s="121">
        <f>"Örnek kayıt: "&amp;$A49</f>
        <v/>
      </c>
    </row>
    <row r="50" ht="15" customHeight="1" s="76">
      <c r="F50" s="121">
        <f>$C50-$D50</f>
        <v/>
      </c>
      <c r="G50" s="121">
        <f>"Örnek kayıt: "&amp;$A50</f>
        <v/>
      </c>
    </row>
    <row r="51" ht="15" customHeight="1" s="76">
      <c r="F51" s="121">
        <f>$C51-$D51</f>
        <v/>
      </c>
      <c r="G51" s="121">
        <f>"Örnek kayıt: "&amp;$A51</f>
        <v/>
      </c>
    </row>
    <row r="52" ht="15" customHeight="1" s="76">
      <c r="F52" s="121">
        <f>$C52-$D52</f>
        <v/>
      </c>
      <c r="G52" s="121">
        <f>"Örnek kayıt: "&amp;$A52</f>
        <v/>
      </c>
    </row>
    <row r="53" ht="15" customHeight="1" s="76">
      <c r="F53" s="121">
        <f>$C53-$D53</f>
        <v/>
      </c>
      <c r="G53" s="121">
        <f>"Örnek kayıt: "&amp;$A53</f>
        <v/>
      </c>
    </row>
    <row r="54" ht="15" customHeight="1" s="76">
      <c r="F54" s="121">
        <f>$C54-$D54</f>
        <v/>
      </c>
      <c r="G54" s="121">
        <f>"Örnek kayıt: "&amp;$A54</f>
        <v/>
      </c>
    </row>
    <row r="55" ht="15" customHeight="1" s="76">
      <c r="F55" s="121">
        <f>$C55-$D55</f>
        <v/>
      </c>
      <c r="G55" s="121">
        <f>"Örnek kayıt: "&amp;$A55</f>
        <v/>
      </c>
    </row>
    <row r="56" ht="15" customHeight="1" s="76">
      <c r="F56" s="121">
        <f>$C56-$D56</f>
        <v/>
      </c>
      <c r="G56" s="121">
        <f>"Örnek kayıt: "&amp;$A56</f>
        <v/>
      </c>
    </row>
    <row r="57" ht="15" customHeight="1" s="76">
      <c r="F57" s="121">
        <f>$C57-$D57</f>
        <v/>
      </c>
      <c r="G57" s="121">
        <f>"Örnek kayıt: "&amp;$A57</f>
        <v/>
      </c>
    </row>
    <row r="58" ht="15" customHeight="1" s="76">
      <c r="F58" s="121">
        <f>$C58-$D58</f>
        <v/>
      </c>
      <c r="G58" s="121">
        <f>"Örnek kayıt: "&amp;$A58</f>
        <v/>
      </c>
    </row>
    <row r="59" ht="15" customHeight="1" s="76">
      <c r="F59" s="121">
        <f>$C59-$D59</f>
        <v/>
      </c>
      <c r="G59" s="121">
        <f>"Örnek kayıt: "&amp;$A59</f>
        <v/>
      </c>
    </row>
    <row r="60" ht="15" customHeight="1" s="76">
      <c r="F60" s="121">
        <f>$C60-$D60</f>
        <v/>
      </c>
      <c r="G60" s="121">
        <f>"Örnek kayıt: "&amp;$A60</f>
        <v/>
      </c>
    </row>
    <row r="61" ht="15" customHeight="1" s="76">
      <c r="F61" s="121">
        <f>$C61-$D61</f>
        <v/>
      </c>
      <c r="G61" s="121">
        <f>"Örnek kayıt: "&amp;$A61</f>
        <v/>
      </c>
    </row>
    <row r="62" ht="15" customHeight="1" s="76">
      <c r="F62" s="121">
        <f>$C62-$D62</f>
        <v/>
      </c>
      <c r="G62" s="121">
        <f>"Örnek kayıt: "&amp;$A62</f>
        <v/>
      </c>
    </row>
    <row r="63" ht="15" customHeight="1" s="76">
      <c r="F63" s="121">
        <f>$C63-$D63</f>
        <v/>
      </c>
      <c r="G63" s="121">
        <f>"Örnek kayıt: "&amp;$A63</f>
        <v/>
      </c>
    </row>
    <row r="64" ht="15" customHeight="1" s="76">
      <c r="F64" s="121">
        <f>$C64-$D64</f>
        <v/>
      </c>
      <c r="G64" s="121">
        <f>"Örnek kayıt: "&amp;$A64</f>
        <v/>
      </c>
    </row>
    <row r="65" ht="15" customHeight="1" s="76">
      <c r="F65" s="121">
        <f>$C65-$D65</f>
        <v/>
      </c>
      <c r="G65" s="121">
        <f>"Örnek kayıt: "&amp;$A65</f>
        <v/>
      </c>
    </row>
    <row r="66" ht="15" customHeight="1" s="76">
      <c r="F66" s="121">
        <f>$C66-$D66</f>
        <v/>
      </c>
      <c r="G66" s="121">
        <f>"Örnek kayıt: "&amp;$A66</f>
        <v/>
      </c>
    </row>
    <row r="67" ht="15" customHeight="1" s="76">
      <c r="F67" s="121">
        <f>$C67-$D67</f>
        <v/>
      </c>
      <c r="G67" s="121">
        <f>"Örnek kayıt: "&amp;$A67</f>
        <v/>
      </c>
    </row>
    <row r="68" ht="15" customHeight="1" s="76">
      <c r="F68" s="121">
        <f>$C68-$D68</f>
        <v/>
      </c>
      <c r="G68" s="121">
        <f>"Örnek kayıt: "&amp;$A68</f>
        <v/>
      </c>
    </row>
    <row r="69" ht="15" customHeight="1" s="76">
      <c r="F69" s="121">
        <f>$C69-$D69</f>
        <v/>
      </c>
      <c r="G69" s="121">
        <f>"Örnek kayıt: "&amp;$A69</f>
        <v/>
      </c>
    </row>
    <row r="70" ht="15" customHeight="1" s="76">
      <c r="F70" s="121">
        <f>$C70-$D70</f>
        <v/>
      </c>
      <c r="G70" s="121">
        <f>"Örnek kayıt: "&amp;$A70</f>
        <v/>
      </c>
    </row>
    <row r="71" ht="15" customHeight="1" s="76">
      <c r="F71" s="121">
        <f>$C71-$D71</f>
        <v/>
      </c>
      <c r="G71" s="121">
        <f>"Örnek kayıt: "&amp;$A71</f>
        <v/>
      </c>
    </row>
    <row r="72" ht="15" customHeight="1" s="76">
      <c r="F72" s="121">
        <f>$C72-$D72</f>
        <v/>
      </c>
      <c r="G72" s="121">
        <f>"Örnek kayıt: "&amp;$A72</f>
        <v/>
      </c>
    </row>
    <row r="73" ht="15" customHeight="1" s="76">
      <c r="F73" s="121">
        <f>$C73-$D73</f>
        <v/>
      </c>
      <c r="G73" s="121">
        <f>"Örnek kayıt: "&amp;$A73</f>
        <v/>
      </c>
    </row>
    <row r="74" ht="15" customHeight="1" s="76">
      <c r="F74" s="121">
        <f>$C74-$D74</f>
        <v/>
      </c>
      <c r="G74" s="121">
        <f>"Örnek kayıt: "&amp;$A74</f>
        <v/>
      </c>
    </row>
    <row r="75" ht="15" customHeight="1" s="76">
      <c r="F75" s="121">
        <f>$C75-$D75</f>
        <v/>
      </c>
      <c r="G75" s="121">
        <f>"Örnek kayıt: "&amp;$A75</f>
        <v/>
      </c>
    </row>
    <row r="76" ht="15" customHeight="1" s="76">
      <c r="F76" s="121">
        <f>$C76-$D76</f>
        <v/>
      </c>
      <c r="G76" s="121">
        <f>"Örnek kayıt: "&amp;$A76</f>
        <v/>
      </c>
    </row>
    <row r="77" ht="15" customHeight="1" s="76">
      <c r="F77" s="121">
        <f>$C77-$D77</f>
        <v/>
      </c>
      <c r="G77" s="121">
        <f>"Örnek kayıt: "&amp;$A77</f>
        <v/>
      </c>
    </row>
    <row r="78" ht="15" customHeight="1" s="76">
      <c r="F78" s="121">
        <f>$C78-$D78</f>
        <v/>
      </c>
      <c r="G78" s="121">
        <f>"Örnek kayıt: "&amp;$A78</f>
        <v/>
      </c>
    </row>
    <row r="79" ht="15" customHeight="1" s="76">
      <c r="F79" s="121">
        <f>$C79-$D79</f>
        <v/>
      </c>
      <c r="G79" s="121">
        <f>"Örnek kayıt: "&amp;$A79</f>
        <v/>
      </c>
    </row>
    <row r="80" ht="15" customHeight="1" s="76">
      <c r="F80" s="121">
        <f>$C80-$D80</f>
        <v/>
      </c>
      <c r="G80" s="121">
        <f>"Örnek kayıt: "&amp;$A80</f>
        <v/>
      </c>
    </row>
    <row r="81" ht="15" customHeight="1" s="76">
      <c r="F81" s="121">
        <f>$C81-$D81</f>
        <v/>
      </c>
      <c r="G81" s="121">
        <f>"Örnek kayıt: "&amp;$A81</f>
        <v/>
      </c>
    </row>
    <row r="82" ht="15" customHeight="1" s="76">
      <c r="F82" s="121">
        <f>$C82-$D82</f>
        <v/>
      </c>
      <c r="G82" s="121">
        <f>"Örnek kayıt: "&amp;$A82</f>
        <v/>
      </c>
    </row>
    <row r="83" ht="15" customHeight="1" s="76">
      <c r="F83" s="121">
        <f>$C83-$D83</f>
        <v/>
      </c>
      <c r="G83" s="121">
        <f>"Örnek kayıt: "&amp;$A83</f>
        <v/>
      </c>
    </row>
    <row r="84" ht="15" customHeight="1" s="76">
      <c r="F84" s="121">
        <f>$C84-$D84</f>
        <v/>
      </c>
      <c r="G84" s="121">
        <f>"Örnek kayıt: "&amp;$A84</f>
        <v/>
      </c>
    </row>
    <row r="85" ht="15" customHeight="1" s="76">
      <c r="F85" s="121">
        <f>$C85-$D85</f>
        <v/>
      </c>
      <c r="G85" s="121">
        <f>"Örnek kayıt: "&amp;$A85</f>
        <v/>
      </c>
    </row>
    <row r="86" ht="15" customHeight="1" s="76">
      <c r="F86" s="121">
        <f>$C86-$D86</f>
        <v/>
      </c>
      <c r="G86" s="121">
        <f>"Örnek kayıt: "&amp;$A86</f>
        <v/>
      </c>
    </row>
    <row r="87" ht="15" customHeight="1" s="76">
      <c r="F87" s="121">
        <f>$C87-$D87</f>
        <v/>
      </c>
      <c r="G87" s="121">
        <f>"Örnek kayıt: "&amp;$A87</f>
        <v/>
      </c>
    </row>
    <row r="88" ht="15" customHeight="1" s="76">
      <c r="F88" s="121">
        <f>$C88-$D88</f>
        <v/>
      </c>
      <c r="G88" s="121">
        <f>"Örnek kayıt: "&amp;$A88</f>
        <v/>
      </c>
    </row>
    <row r="89" ht="15" customHeight="1" s="76">
      <c r="F89" s="121">
        <f>$C89-$D89</f>
        <v/>
      </c>
      <c r="G89" s="121">
        <f>"Örnek kayıt: "&amp;$A89</f>
        <v/>
      </c>
    </row>
    <row r="90" ht="15" customHeight="1" s="76">
      <c r="F90" s="121">
        <f>$C90-$D90</f>
        <v/>
      </c>
      <c r="G90" s="121">
        <f>"Örnek kayıt: "&amp;$A90</f>
        <v/>
      </c>
    </row>
    <row r="91" ht="15" customHeight="1" s="76">
      <c r="F91" s="121">
        <f>$C91-$D91</f>
        <v/>
      </c>
      <c r="G91" s="121">
        <f>"Örnek kayıt: "&amp;$A91</f>
        <v/>
      </c>
    </row>
    <row r="92" ht="15" customHeight="1" s="76">
      <c r="F92" s="121">
        <f>$C92-$D92</f>
        <v/>
      </c>
      <c r="G92" s="121">
        <f>"Örnek kayıt: "&amp;$A92</f>
        <v/>
      </c>
    </row>
    <row r="93" ht="15" customHeight="1" s="76">
      <c r="F93" s="121">
        <f>$C93-$D93</f>
        <v/>
      </c>
      <c r="G93" s="121">
        <f>"Örnek kayıt: "&amp;$A93</f>
        <v/>
      </c>
    </row>
    <row r="94" ht="15" customHeight="1" s="76">
      <c r="F94" s="121">
        <f>$C94-$D94</f>
        <v/>
      </c>
      <c r="G94" s="121">
        <f>"Örnek kayıt: "&amp;$A94</f>
        <v/>
      </c>
    </row>
    <row r="95" ht="15" customHeight="1" s="76">
      <c r="F95" s="121">
        <f>$C95-$D95</f>
        <v/>
      </c>
      <c r="G95" s="121">
        <f>"Örnek kayıt: "&amp;$A95</f>
        <v/>
      </c>
    </row>
    <row r="96" ht="15" customHeight="1" s="76">
      <c r="F96" s="121">
        <f>$C96-$D96</f>
        <v/>
      </c>
      <c r="G96" s="121">
        <f>"Örnek kayıt: "&amp;$A96</f>
        <v/>
      </c>
    </row>
    <row r="97" ht="15" customHeight="1" s="76">
      <c r="F97" s="121">
        <f>$C97-$D97</f>
        <v/>
      </c>
      <c r="G97" s="121">
        <f>"Örnek kayıt: "&amp;$A97</f>
        <v/>
      </c>
    </row>
    <row r="98" ht="15" customHeight="1" s="76">
      <c r="F98" s="121">
        <f>$C98-$D98</f>
        <v/>
      </c>
      <c r="G98" s="121">
        <f>"Örnek kayıt: "&amp;$A98</f>
        <v/>
      </c>
    </row>
    <row r="99" ht="15" customHeight="1" s="76">
      <c r="F99" s="121">
        <f>$C99-$D99</f>
        <v/>
      </c>
      <c r="G99" s="121">
        <f>"Örnek kayıt: "&amp;$A99</f>
        <v/>
      </c>
    </row>
    <row r="100" ht="15" customHeight="1" s="76">
      <c r="F100" s="121">
        <f>$C100-$D100</f>
        <v/>
      </c>
      <c r="G100" s="121">
        <f>"Örnek kayıt: "&amp;$A100</f>
        <v/>
      </c>
    </row>
    <row r="101" ht="15" customHeight="1" s="76">
      <c r="F101" s="121">
        <f>$C101-$D101</f>
        <v/>
      </c>
      <c r="G101" s="121">
        <f>"Örnek kayıt: "&amp;$A101</f>
        <v/>
      </c>
    </row>
    <row r="102" ht="15" customHeight="1" s="76">
      <c r="F102" s="121">
        <f>$C102-$D102</f>
        <v/>
      </c>
      <c r="G102" s="121">
        <f>"Örnek kayıt: "&amp;$A102</f>
        <v/>
      </c>
    </row>
    <row r="103" ht="15" customHeight="1" s="76">
      <c r="F103" s="121">
        <f>$C103-$D103</f>
        <v/>
      </c>
      <c r="G103" s="121">
        <f>"Örnek kayıt: "&amp;$A103</f>
        <v/>
      </c>
    </row>
    <row r="104" ht="15" customHeight="1" s="76">
      <c r="F104" s="121">
        <f>$C104-$D104</f>
        <v/>
      </c>
      <c r="G104" s="121">
        <f>"Örnek kayıt: "&amp;$A104</f>
        <v/>
      </c>
    </row>
    <row r="105" ht="15" customHeight="1" s="76">
      <c r="F105" s="121">
        <f>$C105-$D105</f>
        <v/>
      </c>
      <c r="G105" s="121">
        <f>"Örnek kayıt: "&amp;$A105</f>
        <v/>
      </c>
    </row>
    <row r="106" ht="15" customHeight="1" s="76">
      <c r="F106" s="121">
        <f>$C106-$D106</f>
        <v/>
      </c>
      <c r="G106" s="121">
        <f>"Örnek kayıt: "&amp;$A106</f>
        <v/>
      </c>
    </row>
    <row r="107" ht="15" customHeight="1" s="76">
      <c r="F107" s="121">
        <f>$C107-$D107</f>
        <v/>
      </c>
      <c r="G107" s="121">
        <f>"Örnek kayıt: "&amp;$A107</f>
        <v/>
      </c>
    </row>
    <row r="108" ht="15" customHeight="1" s="76">
      <c r="F108" s="121">
        <f>$C108-$D108</f>
        <v/>
      </c>
      <c r="G108" s="121">
        <f>"Örnek kayıt: "&amp;$A108</f>
        <v/>
      </c>
    </row>
    <row r="109" ht="15" customHeight="1" s="76">
      <c r="F109" s="121">
        <f>$C109-$D109</f>
        <v/>
      </c>
      <c r="G109" s="121">
        <f>"Örnek kayıt: "&amp;$A109</f>
        <v/>
      </c>
    </row>
    <row r="110" ht="15" customHeight="1" s="76">
      <c r="F110" s="121">
        <f>$C110-$D110</f>
        <v/>
      </c>
      <c r="G110" s="121">
        <f>"Örnek kayıt: "&amp;$A110</f>
        <v/>
      </c>
    </row>
    <row r="111" ht="15" customHeight="1" s="76">
      <c r="F111" s="121">
        <f>$C111-$D111</f>
        <v/>
      </c>
      <c r="G111" s="121">
        <f>"Örnek kayıt: "&amp;$A111</f>
        <v/>
      </c>
    </row>
    <row r="112" ht="15" customHeight="1" s="76">
      <c r="F112" s="121">
        <f>$C112-$D112</f>
        <v/>
      </c>
      <c r="G112" s="121">
        <f>"Örnek kayıt: "&amp;$A112</f>
        <v/>
      </c>
    </row>
    <row r="113" ht="15" customHeight="1" s="76">
      <c r="F113" s="121">
        <f>$C113-$D113</f>
        <v/>
      </c>
      <c r="G113" s="121">
        <f>"Örnek kayıt: "&amp;$A113</f>
        <v/>
      </c>
    </row>
    <row r="114" ht="15" customHeight="1" s="76">
      <c r="F114" s="121">
        <f>$C114-$D114</f>
        <v/>
      </c>
      <c r="G114" s="121">
        <f>"Örnek kayıt: "&amp;$A114</f>
        <v/>
      </c>
    </row>
    <row r="115" ht="15" customHeight="1" s="76">
      <c r="F115" s="121">
        <f>$C115-$D115</f>
        <v/>
      </c>
      <c r="G115" s="121">
        <f>"Örnek kayıt: "&amp;$A115</f>
        <v/>
      </c>
    </row>
    <row r="116" ht="15" customHeight="1" s="76">
      <c r="F116" s="121">
        <f>$C116-$D116</f>
        <v/>
      </c>
      <c r="G116" s="121">
        <f>"Örnek kayıt: "&amp;$A116</f>
        <v/>
      </c>
    </row>
    <row r="117" ht="15" customHeight="1" s="76">
      <c r="F117" s="121">
        <f>$C117-$D117</f>
        <v/>
      </c>
      <c r="G117" s="121">
        <f>"Örnek kayıt: "&amp;$A117</f>
        <v/>
      </c>
    </row>
    <row r="118" ht="15" customHeight="1" s="76">
      <c r="F118" s="121">
        <f>$C118-$D118</f>
        <v/>
      </c>
      <c r="G118" s="121">
        <f>"Örnek kayıt: "&amp;$A118</f>
        <v/>
      </c>
    </row>
    <row r="119" ht="15" customHeight="1" s="76">
      <c r="F119" s="121">
        <f>$C119-$D119</f>
        <v/>
      </c>
      <c r="G119" s="121">
        <f>"Örnek kayıt: "&amp;$A119</f>
        <v/>
      </c>
    </row>
    <row r="120" ht="15" customHeight="1" s="76">
      <c r="F120" s="121">
        <f>$C120-$D120</f>
        <v/>
      </c>
      <c r="G120" s="121">
        <f>"Örnek kayıt: "&amp;$A120</f>
        <v/>
      </c>
    </row>
    <row r="121" ht="15" customHeight="1" s="76">
      <c r="F121" s="121">
        <f>$C121-$D121</f>
        <v/>
      </c>
      <c r="G121" s="121">
        <f>"Örnek kayıt: "&amp;$A121</f>
        <v/>
      </c>
    </row>
    <row r="122" ht="15" customHeight="1" s="76">
      <c r="F122" s="121">
        <f>$C122-$D122</f>
        <v/>
      </c>
      <c r="G122" s="121">
        <f>"Örnek kayıt: "&amp;$A122</f>
        <v/>
      </c>
    </row>
    <row r="123" ht="15" customHeight="1" s="76">
      <c r="F123" s="121">
        <f>$C123-$D123</f>
        <v/>
      </c>
      <c r="G123" s="121">
        <f>"Örnek kayıt: "&amp;$A123</f>
        <v/>
      </c>
    </row>
    <row r="124" ht="15" customHeight="1" s="76">
      <c r="F124" s="121">
        <f>$C124-$D124</f>
        <v/>
      </c>
      <c r="G124" s="121">
        <f>"Örnek kayıt: "&amp;$A124</f>
        <v/>
      </c>
    </row>
    <row r="125" ht="15" customHeight="1" s="76">
      <c r="F125" s="121">
        <f>$C125-$D125</f>
        <v/>
      </c>
      <c r="G125" s="121">
        <f>"Örnek kayıt: "&amp;$A125</f>
        <v/>
      </c>
    </row>
    <row r="126" ht="15" customHeight="1" s="76">
      <c r="F126" s="121">
        <f>$C126-$D126</f>
        <v/>
      </c>
      <c r="G126" s="121">
        <f>"Örnek kayıt: "&amp;$A126</f>
        <v/>
      </c>
    </row>
    <row r="127" ht="15" customHeight="1" s="76">
      <c r="F127" s="121">
        <f>$C127-$D127</f>
        <v/>
      </c>
      <c r="G127" s="121">
        <f>"Örnek kayıt: "&amp;$A127</f>
        <v/>
      </c>
    </row>
    <row r="128" ht="15" customHeight="1" s="76">
      <c r="F128" s="121">
        <f>$C128-$D128</f>
        <v/>
      </c>
      <c r="G128" s="121">
        <f>"Örnek kayıt: "&amp;$A128</f>
        <v/>
      </c>
    </row>
    <row r="129" ht="15" customHeight="1" s="76">
      <c r="F129" s="121">
        <f>$C129-$D129</f>
        <v/>
      </c>
      <c r="G129" s="121">
        <f>"Örnek kayıt: "&amp;$A129</f>
        <v/>
      </c>
    </row>
    <row r="130" ht="15" customHeight="1" s="76">
      <c r="F130" s="121">
        <f>$C130-$D130</f>
        <v/>
      </c>
      <c r="G130" s="121">
        <f>"Örnek kayıt: "&amp;$A130</f>
        <v/>
      </c>
    </row>
    <row r="131" ht="15" customHeight="1" s="76">
      <c r="F131" s="121">
        <f>$C131-$D131</f>
        <v/>
      </c>
      <c r="G131" s="121">
        <f>"Örnek kayıt: "&amp;$A131</f>
        <v/>
      </c>
    </row>
    <row r="132" ht="15" customHeight="1" s="76">
      <c r="F132" s="121">
        <f>$C132-$D132</f>
        <v/>
      </c>
      <c r="G132" s="121">
        <f>"Örnek kayıt: "&amp;$A132</f>
        <v/>
      </c>
    </row>
    <row r="133" ht="15" customHeight="1" s="76">
      <c r="F133" s="121">
        <f>$C133-$D133</f>
        <v/>
      </c>
      <c r="G133" s="121">
        <f>"Örnek kayıt: "&amp;$A133</f>
        <v/>
      </c>
    </row>
    <row r="134" ht="15" customHeight="1" s="76">
      <c r="F134" s="121">
        <f>$C134-$D134</f>
        <v/>
      </c>
      <c r="G134" s="121">
        <f>"Örnek kayıt: "&amp;$A134</f>
        <v/>
      </c>
    </row>
    <row r="135" ht="15" customHeight="1" s="76">
      <c r="F135" s="121">
        <f>$C135-$D135</f>
        <v/>
      </c>
      <c r="G135" s="121">
        <f>"Örnek kayıt: "&amp;$A135</f>
        <v/>
      </c>
    </row>
    <row r="136" ht="15" customHeight="1" s="76">
      <c r="F136" s="121">
        <f>$C136-$D136</f>
        <v/>
      </c>
      <c r="G136" s="121">
        <f>"Örnek kayıt: "&amp;$A136</f>
        <v/>
      </c>
    </row>
    <row r="137" ht="15" customHeight="1" s="76">
      <c r="F137" s="121">
        <f>$C137-$D137</f>
        <v/>
      </c>
      <c r="G137" s="121">
        <f>"Örnek kayıt: "&amp;$A137</f>
        <v/>
      </c>
    </row>
    <row r="138" ht="15" customHeight="1" s="76">
      <c r="F138" s="121">
        <f>$C138-$D138</f>
        <v/>
      </c>
      <c r="G138" s="121">
        <f>"Örnek kayıt: "&amp;$A138</f>
        <v/>
      </c>
    </row>
    <row r="139" ht="15" customHeight="1" s="76">
      <c r="F139" s="121">
        <f>$C139-$D139</f>
        <v/>
      </c>
      <c r="G139" s="121">
        <f>"Örnek kayıt: "&amp;$A139</f>
        <v/>
      </c>
    </row>
    <row r="140" ht="15" customHeight="1" s="76">
      <c r="F140" s="121">
        <f>$C140-$D140</f>
        <v/>
      </c>
      <c r="G140" s="121">
        <f>"Örnek kayıt: "&amp;$A140</f>
        <v/>
      </c>
    </row>
    <row r="141" ht="15" customHeight="1" s="76">
      <c r="F141" s="121">
        <f>$C141-$D141</f>
        <v/>
      </c>
      <c r="G141" s="121">
        <f>"Örnek kayıt: "&amp;$A141</f>
        <v/>
      </c>
    </row>
    <row r="142" ht="15" customHeight="1" s="76">
      <c r="F142" s="121">
        <f>$C142-$D142</f>
        <v/>
      </c>
      <c r="G142" s="121">
        <f>"Örnek kayıt: "&amp;$A142</f>
        <v/>
      </c>
    </row>
    <row r="143" ht="15" customHeight="1" s="76">
      <c r="F143" s="121">
        <f>$C143-$D143</f>
        <v/>
      </c>
      <c r="G143" s="121">
        <f>"Örnek kayıt: "&amp;$A143</f>
        <v/>
      </c>
    </row>
    <row r="144" ht="15" customHeight="1" s="76">
      <c r="F144" s="121">
        <f>$C144-$D144</f>
        <v/>
      </c>
      <c r="G144" s="121">
        <f>"Örnek kayıt: "&amp;$A144</f>
        <v/>
      </c>
    </row>
    <row r="145" ht="15" customHeight="1" s="76">
      <c r="F145" s="121">
        <f>$C145-$D145</f>
        <v/>
      </c>
      <c r="G145" s="121">
        <f>"Örnek kayıt: "&amp;$A145</f>
        <v/>
      </c>
    </row>
    <row r="146" ht="15" customHeight="1" s="76">
      <c r="F146" s="121">
        <f>$C146-$D146</f>
        <v/>
      </c>
      <c r="G146" s="121">
        <f>"Örnek kayıt: "&amp;$A146</f>
        <v/>
      </c>
    </row>
    <row r="147" ht="15" customHeight="1" s="76">
      <c r="F147" s="121">
        <f>$C147-$D147</f>
        <v/>
      </c>
      <c r="G147" s="121">
        <f>"Örnek kayıt: "&amp;$A147</f>
        <v/>
      </c>
    </row>
    <row r="148" ht="15" customHeight="1" s="76">
      <c r="F148" s="121">
        <f>$C148-$D148</f>
        <v/>
      </c>
      <c r="G148" s="121">
        <f>"Örnek kayıt: "&amp;$A148</f>
        <v/>
      </c>
    </row>
    <row r="149" ht="15" customHeight="1" s="76">
      <c r="F149" s="121">
        <f>$C149-$D149</f>
        <v/>
      </c>
      <c r="G149" s="121">
        <f>"Örnek kayıt: "&amp;$A149</f>
        <v/>
      </c>
    </row>
    <row r="150" ht="15" customHeight="1" s="76">
      <c r="F150" s="121">
        <f>$C150-$D150</f>
        <v/>
      </c>
      <c r="G150" s="121">
        <f>"Örnek kayıt: "&amp;$A150</f>
        <v/>
      </c>
    </row>
    <row r="151" ht="15" customHeight="1" s="76">
      <c r="F151" s="121">
        <f>$C151-$D151</f>
        <v/>
      </c>
      <c r="G151" s="121">
        <f>"Örnek kayıt: "&amp;$A151</f>
        <v/>
      </c>
    </row>
    <row r="152" ht="15" customHeight="1" s="76">
      <c r="F152" s="121">
        <f>$C152-$D152</f>
        <v/>
      </c>
      <c r="G152" s="121">
        <f>"Örnek kayıt: "&amp;$A152</f>
        <v/>
      </c>
    </row>
    <row r="153" ht="15" customHeight="1" s="76">
      <c r="F153" s="121">
        <f>$C153-$D153</f>
        <v/>
      </c>
      <c r="G153" s="121">
        <f>"Örnek kayıt: "&amp;$A153</f>
        <v/>
      </c>
    </row>
    <row r="154" ht="15" customHeight="1" s="76">
      <c r="F154" s="121">
        <f>$C154-$D154</f>
        <v/>
      </c>
      <c r="G154" s="121">
        <f>"Örnek kayıt: "&amp;$A154</f>
        <v/>
      </c>
    </row>
    <row r="155" ht="15" customHeight="1" s="76">
      <c r="F155" s="121">
        <f>$C155-$D155</f>
        <v/>
      </c>
      <c r="G155" s="121">
        <f>"Örnek kayıt: "&amp;$A155</f>
        <v/>
      </c>
    </row>
    <row r="156" ht="15" customHeight="1" s="76">
      <c r="F156" s="121">
        <f>$C156-$D156</f>
        <v/>
      </c>
      <c r="G156" s="121">
        <f>"Örnek kayıt: "&amp;$A156</f>
        <v/>
      </c>
    </row>
    <row r="157" ht="15" customHeight="1" s="76">
      <c r="F157" s="121">
        <f>$C157-$D157</f>
        <v/>
      </c>
      <c r="G157" s="121">
        <f>"Örnek kayıt: "&amp;$A157</f>
        <v/>
      </c>
    </row>
    <row r="158" ht="15" customHeight="1" s="76">
      <c r="F158" s="121">
        <f>$C158-$D158</f>
        <v/>
      </c>
      <c r="G158" s="121">
        <f>"Örnek kayıt: "&amp;$A158</f>
        <v/>
      </c>
    </row>
    <row r="159" ht="15" customHeight="1" s="76">
      <c r="F159" s="121">
        <f>$C159-$D159</f>
        <v/>
      </c>
      <c r="G159" s="121">
        <f>"Örnek kayıt: "&amp;$A159</f>
        <v/>
      </c>
    </row>
    <row r="160" ht="15" customHeight="1" s="76">
      <c r="F160" s="121">
        <f>$C160-$D160</f>
        <v/>
      </c>
      <c r="G160" s="121">
        <f>"Örnek kayıt: "&amp;$A160</f>
        <v/>
      </c>
    </row>
    <row r="161" ht="15" customHeight="1" s="76">
      <c r="F161" s="121">
        <f>$C161-$D161</f>
        <v/>
      </c>
      <c r="G161" s="121">
        <f>"Örnek kayıt: "&amp;$A161</f>
        <v/>
      </c>
    </row>
    <row r="162" ht="15" customHeight="1" s="76">
      <c r="F162" s="121">
        <f>$C162-$D162</f>
        <v/>
      </c>
      <c r="G162" s="121">
        <f>"Örnek kayıt: "&amp;$A162</f>
        <v/>
      </c>
    </row>
    <row r="163" ht="15" customHeight="1" s="76">
      <c r="F163" s="121">
        <f>$C163-$D163</f>
        <v/>
      </c>
      <c r="G163" s="121">
        <f>"Örnek kayıt: "&amp;$A163</f>
        <v/>
      </c>
    </row>
    <row r="164" ht="15" customHeight="1" s="76">
      <c r="F164" s="121">
        <f>$C164-$D164</f>
        <v/>
      </c>
      <c r="G164" s="121">
        <f>"Örnek kayıt: "&amp;$A164</f>
        <v/>
      </c>
    </row>
    <row r="165" ht="15" customHeight="1" s="76">
      <c r="F165" s="121">
        <f>$C165-$D165</f>
        <v/>
      </c>
      <c r="G165" s="121">
        <f>"Örnek kayıt: "&amp;$A165</f>
        <v/>
      </c>
    </row>
    <row r="166" ht="15" customHeight="1" s="76">
      <c r="F166" s="121">
        <f>$C166-$D166</f>
        <v/>
      </c>
      <c r="G166" s="121">
        <f>"Örnek kayıt: "&amp;$A166</f>
        <v/>
      </c>
    </row>
    <row r="167" ht="15" customHeight="1" s="76">
      <c r="F167" s="121">
        <f>$C167-$D167</f>
        <v/>
      </c>
      <c r="G167" s="121">
        <f>"Örnek kayıt: "&amp;$A167</f>
        <v/>
      </c>
    </row>
    <row r="168" ht="15" customHeight="1" s="76">
      <c r="F168" s="121">
        <f>$C168-$D168</f>
        <v/>
      </c>
      <c r="G168" s="121">
        <f>"Örnek kayıt: "&amp;$A168</f>
        <v/>
      </c>
    </row>
    <row r="169" ht="15" customHeight="1" s="76">
      <c r="F169" s="121">
        <f>$C169-$D169</f>
        <v/>
      </c>
      <c r="G169" s="121">
        <f>"Örnek kayıt: "&amp;$A169</f>
        <v/>
      </c>
    </row>
    <row r="170" ht="15" customHeight="1" s="76">
      <c r="F170" s="121">
        <f>$C170-$D170</f>
        <v/>
      </c>
      <c r="G170" s="121">
        <f>"Örnek kayıt: "&amp;$A170</f>
        <v/>
      </c>
    </row>
    <row r="171" ht="15" customHeight="1" s="76">
      <c r="F171" s="121">
        <f>$C171-$D171</f>
        <v/>
      </c>
      <c r="G171" s="121">
        <f>"Örnek kayıt: "&amp;$A171</f>
        <v/>
      </c>
    </row>
    <row r="172" ht="15" customHeight="1" s="76">
      <c r="F172" s="121">
        <f>$C172-$D172</f>
        <v/>
      </c>
      <c r="G172" s="121">
        <f>"Örnek kayıt: "&amp;$A172</f>
        <v/>
      </c>
    </row>
    <row r="173" ht="15" customHeight="1" s="76">
      <c r="F173" s="121">
        <f>$C173-$D173</f>
        <v/>
      </c>
      <c r="G173" s="121">
        <f>"Örnek kayıt: "&amp;$A173</f>
        <v/>
      </c>
    </row>
    <row r="174" ht="15" customHeight="1" s="76">
      <c r="F174" s="121">
        <f>$C174-$D174</f>
        <v/>
      </c>
      <c r="G174" s="121">
        <f>"Örnek kayıt: "&amp;$A174</f>
        <v/>
      </c>
    </row>
    <row r="175" ht="15" customHeight="1" s="76">
      <c r="F175" s="121">
        <f>$C175-$D175</f>
        <v/>
      </c>
      <c r="G175" s="121">
        <f>"Örnek kayıt: "&amp;$A175</f>
        <v/>
      </c>
    </row>
    <row r="176" ht="15" customHeight="1" s="76">
      <c r="F176" s="121">
        <f>$C176-$D176</f>
        <v/>
      </c>
      <c r="G176" s="121">
        <f>"Örnek kayıt: "&amp;$A176</f>
        <v/>
      </c>
    </row>
    <row r="177" ht="15" customHeight="1" s="76">
      <c r="F177" s="121">
        <f>$C177-$D177</f>
        <v/>
      </c>
      <c r="G177" s="121">
        <f>"Örnek kayıt: "&amp;$A177</f>
        <v/>
      </c>
    </row>
    <row r="178" ht="15" customHeight="1" s="76">
      <c r="F178" s="121">
        <f>$C178-$D178</f>
        <v/>
      </c>
      <c r="G178" s="121">
        <f>"Örnek kayıt: "&amp;$A178</f>
        <v/>
      </c>
    </row>
    <row r="179" ht="15" customHeight="1" s="76">
      <c r="F179" s="121">
        <f>$C179-$D179</f>
        <v/>
      </c>
      <c r="G179" s="121">
        <f>"Örnek kayıt: "&amp;$A179</f>
        <v/>
      </c>
    </row>
    <row r="180" ht="15" customHeight="1" s="76">
      <c r="F180" s="121">
        <f>$C180-$D180</f>
        <v/>
      </c>
      <c r="G180" s="121">
        <f>"Örnek kayıt: "&amp;$A180</f>
        <v/>
      </c>
    </row>
    <row r="181" ht="15" customHeight="1" s="76">
      <c r="F181" s="121">
        <f>$C181-$D181</f>
        <v/>
      </c>
      <c r="G181" s="121">
        <f>"Örnek kayıt: "&amp;$A181</f>
        <v/>
      </c>
    </row>
    <row r="182" ht="15" customHeight="1" s="76">
      <c r="F182" s="121">
        <f>$C182-$D182</f>
        <v/>
      </c>
      <c r="G182" s="121">
        <f>"Örnek kayıt: "&amp;$A182</f>
        <v/>
      </c>
    </row>
    <row r="183" ht="15" customHeight="1" s="76">
      <c r="F183" s="121">
        <f>$C183-$D183</f>
        <v/>
      </c>
      <c r="G183" s="121">
        <f>"Örnek kayıt: "&amp;$A183</f>
        <v/>
      </c>
    </row>
    <row r="184" ht="15" customHeight="1" s="76">
      <c r="F184" s="121">
        <f>$C184-$D184</f>
        <v/>
      </c>
      <c r="G184" s="121">
        <f>"Örnek kayıt: "&amp;$A184</f>
        <v/>
      </c>
    </row>
    <row r="185" ht="15" customHeight="1" s="76">
      <c r="F185" s="121">
        <f>$C185-$D185</f>
        <v/>
      </c>
      <c r="G185" s="121">
        <f>"Örnek kayıt: "&amp;$A185</f>
        <v/>
      </c>
    </row>
    <row r="186" ht="15" customHeight="1" s="76">
      <c r="F186" s="121">
        <f>$C186-$D186</f>
        <v/>
      </c>
      <c r="G186" s="121">
        <f>"Örnek kayıt: "&amp;$A186</f>
        <v/>
      </c>
    </row>
    <row r="187" ht="15" customHeight="1" s="76">
      <c r="F187" s="121">
        <f>$C187-$D187</f>
        <v/>
      </c>
      <c r="G187" s="121">
        <f>"Örnek kayıt: "&amp;$A187</f>
        <v/>
      </c>
    </row>
    <row r="188" ht="15" customHeight="1" s="76">
      <c r="F188" s="121">
        <f>$C188-$D188</f>
        <v/>
      </c>
      <c r="G188" s="121">
        <f>"Örnek kayıt: "&amp;$A188</f>
        <v/>
      </c>
    </row>
    <row r="189" ht="15" customHeight="1" s="76">
      <c r="F189" s="121">
        <f>$C189-$D189</f>
        <v/>
      </c>
      <c r="G189" s="121">
        <f>"Örnek kayıt: "&amp;$A189</f>
        <v/>
      </c>
    </row>
    <row r="190" ht="15" customHeight="1" s="76">
      <c r="F190" s="121">
        <f>$C190-$D190</f>
        <v/>
      </c>
      <c r="G190" s="121">
        <f>"Örnek kayıt: "&amp;$A190</f>
        <v/>
      </c>
    </row>
    <row r="191" ht="15" customHeight="1" s="76">
      <c r="F191" s="121">
        <f>$C191-$D191</f>
        <v/>
      </c>
      <c r="G191" s="121">
        <f>"Örnek kayıt: "&amp;$A191</f>
        <v/>
      </c>
    </row>
    <row r="192" ht="15" customHeight="1" s="76">
      <c r="F192" s="121">
        <f>$C192-$D192</f>
        <v/>
      </c>
      <c r="G192" s="121">
        <f>"Örnek kayıt: "&amp;$A192</f>
        <v/>
      </c>
    </row>
    <row r="193" ht="15" customHeight="1" s="76">
      <c r="F193" s="121">
        <f>$C193-$D193</f>
        <v/>
      </c>
      <c r="G193" s="121">
        <f>"Örnek kayıt: "&amp;$A193</f>
        <v/>
      </c>
    </row>
    <row r="194" ht="15" customHeight="1" s="76">
      <c r="F194" s="121">
        <f>$C194-$D194</f>
        <v/>
      </c>
      <c r="G194" s="121">
        <f>"Örnek kayıt: "&amp;$A194</f>
        <v/>
      </c>
    </row>
    <row r="195" ht="15" customHeight="1" s="76">
      <c r="F195" s="121">
        <f>$C195-$D195</f>
        <v/>
      </c>
      <c r="G195" s="121">
        <f>"Örnek kayıt: "&amp;$A195</f>
        <v/>
      </c>
    </row>
    <row r="196" ht="15" customHeight="1" s="76">
      <c r="F196" s="121">
        <f>$C196-$D196</f>
        <v/>
      </c>
      <c r="G196" s="121">
        <f>"Örnek kayıt: "&amp;$A196</f>
        <v/>
      </c>
    </row>
    <row r="197" ht="15" customHeight="1" s="76">
      <c r="F197" s="121">
        <f>$C197-$D197</f>
        <v/>
      </c>
      <c r="G197" s="121">
        <f>"Örnek kayıt: "&amp;$A197</f>
        <v/>
      </c>
    </row>
    <row r="198" ht="15" customHeight="1" s="76">
      <c r="F198" s="121">
        <f>$C198-$D198</f>
        <v/>
      </c>
      <c r="G198" s="121">
        <f>"Örnek kayıt: "&amp;$A198</f>
        <v/>
      </c>
    </row>
    <row r="199" ht="15" customHeight="1" s="76">
      <c r="F199" s="121">
        <f>$C199-$D199</f>
        <v/>
      </c>
      <c r="G199" s="121">
        <f>"Örnek kayıt: "&amp;$A199</f>
        <v/>
      </c>
    </row>
    <row r="200" ht="15" customHeight="1" s="76">
      <c r="F200" s="121">
        <f>$C200-$D200</f>
        <v/>
      </c>
      <c r="G200" s="121">
        <f>"Örnek kayıt: "&amp;$A200</f>
        <v/>
      </c>
    </row>
    <row r="201" ht="15" customHeight="1" s="76">
      <c r="F201" s="121">
        <f>$C201-$D201</f>
        <v/>
      </c>
      <c r="G201" s="121">
        <f>"Örnek kayıt: "&amp;$A201</f>
        <v/>
      </c>
    </row>
    <row r="202" ht="15" customHeight="1" s="76">
      <c r="F202" s="121">
        <f>$C202-$D202</f>
        <v/>
      </c>
      <c r="G202" s="121">
        <f>"Örnek kayıt: "&amp;$A202</f>
        <v/>
      </c>
    </row>
    <row r="203" ht="15" customHeight="1" s="76">
      <c r="F203" s="121">
        <f>$C203-$D203</f>
        <v/>
      </c>
      <c r="G203" s="121">
        <f>"Örnek kayıt: "&amp;$A203</f>
        <v/>
      </c>
    </row>
    <row r="204" ht="15" customHeight="1" s="76">
      <c r="F204" s="121">
        <f>$C204-$D204</f>
        <v/>
      </c>
      <c r="G204" s="121">
        <f>"Örnek kayıt: "&amp;$A204</f>
        <v/>
      </c>
    </row>
    <row r="205" ht="15" customHeight="1" s="76">
      <c r="F205" s="121">
        <f>$C205-$D205</f>
        <v/>
      </c>
      <c r="G205" s="121">
        <f>"Örnek kayıt: "&amp;$A205</f>
        <v/>
      </c>
    </row>
    <row r="206" ht="15" customHeight="1" s="76">
      <c r="F206" s="121">
        <f>$C206-$D206</f>
        <v/>
      </c>
      <c r="G206" s="121">
        <f>"Örnek kayıt: "&amp;$A206</f>
        <v/>
      </c>
    </row>
    <row r="207" ht="15" customHeight="1" s="76">
      <c r="F207" s="121">
        <f>$C207-$D207</f>
        <v/>
      </c>
      <c r="G207" s="121">
        <f>"Örnek kayıt: "&amp;$A207</f>
        <v/>
      </c>
    </row>
    <row r="208" ht="15" customHeight="1" s="76">
      <c r="F208" s="121">
        <f>$C208-$D208</f>
        <v/>
      </c>
      <c r="G208" s="121">
        <f>"Örnek kayıt: "&amp;$A208</f>
        <v/>
      </c>
    </row>
    <row r="209" ht="15" customHeight="1" s="76">
      <c r="F209" s="121">
        <f>$C209-$D209</f>
        <v/>
      </c>
      <c r="G209" s="121">
        <f>"Örnek kayıt: "&amp;$A209</f>
        <v/>
      </c>
    </row>
    <row r="210" ht="15" customHeight="1" s="76">
      <c r="F210" s="121">
        <f>$C210-$D210</f>
        <v/>
      </c>
      <c r="G210" s="121">
        <f>"Örnek kayıt: "&amp;$A210</f>
        <v/>
      </c>
    </row>
    <row r="211" ht="15" customHeight="1" s="76">
      <c r="F211" s="121">
        <f>$C211-$D211</f>
        <v/>
      </c>
      <c r="G211" s="121">
        <f>"Örnek kayıt: "&amp;$A211</f>
        <v/>
      </c>
    </row>
    <row r="212" ht="15" customHeight="1" s="76">
      <c r="F212" s="121">
        <f>$C212-$D212</f>
        <v/>
      </c>
      <c r="G212" s="121">
        <f>"Örnek kayıt: "&amp;$A212</f>
        <v/>
      </c>
    </row>
    <row r="213" ht="15" customHeight="1" s="76">
      <c r="F213" s="121">
        <f>$C213-$D213</f>
        <v/>
      </c>
      <c r="G213" s="121">
        <f>"Örnek kayıt: "&amp;$A213</f>
        <v/>
      </c>
    </row>
    <row r="214" ht="15" customHeight="1" s="76">
      <c r="F214" s="121">
        <f>$C214-$D214</f>
        <v/>
      </c>
      <c r="G214" s="121">
        <f>"Örnek kayıt: "&amp;$A214</f>
        <v/>
      </c>
    </row>
    <row r="215" ht="15" customHeight="1" s="76">
      <c r="F215" s="121">
        <f>$C215-$D215</f>
        <v/>
      </c>
      <c r="G215" s="121">
        <f>"Örnek kayıt: "&amp;$A215</f>
        <v/>
      </c>
    </row>
    <row r="216" ht="15" customHeight="1" s="76">
      <c r="F216" s="121">
        <f>$C216-$D216</f>
        <v/>
      </c>
      <c r="G216" s="121">
        <f>"Örnek kayıt: "&amp;$A216</f>
        <v/>
      </c>
    </row>
    <row r="217" ht="15" customHeight="1" s="76">
      <c r="F217" s="121">
        <f>$C217-$D217</f>
        <v/>
      </c>
      <c r="G217" s="121">
        <f>"Örnek kayıt: "&amp;$A217</f>
        <v/>
      </c>
    </row>
    <row r="218" ht="15" customHeight="1" s="76">
      <c r="F218" s="121">
        <f>$C218-$D218</f>
        <v/>
      </c>
      <c r="G218" s="121">
        <f>"Örnek kayıt: "&amp;$A218</f>
        <v/>
      </c>
    </row>
    <row r="219" ht="15" customHeight="1" s="76">
      <c r="F219" s="121">
        <f>$C219-$D219</f>
        <v/>
      </c>
      <c r="G219" s="121">
        <f>"Örnek kayıt: "&amp;$A219</f>
        <v/>
      </c>
    </row>
    <row r="220" ht="15" customHeight="1" s="76">
      <c r="F220" s="121">
        <f>$C220-$D220</f>
        <v/>
      </c>
      <c r="G220" s="121">
        <f>"Örnek kayıt: "&amp;$A220</f>
        <v/>
      </c>
    </row>
    <row r="221" ht="15" customHeight="1" s="76">
      <c r="F221" s="121">
        <f>$C221-$D221</f>
        <v/>
      </c>
      <c r="G221" s="121">
        <f>"Örnek kayıt: "&amp;$A221</f>
        <v/>
      </c>
    </row>
    <row r="222" ht="15" customHeight="1" s="76">
      <c r="F222" s="121">
        <f>$C222-$D222</f>
        <v/>
      </c>
      <c r="G222" s="121">
        <f>"Örnek kayıt: "&amp;$A222</f>
        <v/>
      </c>
    </row>
    <row r="223" ht="15" customHeight="1" s="76">
      <c r="F223" s="121">
        <f>$C223-$D223</f>
        <v/>
      </c>
      <c r="G223" s="121">
        <f>"Örnek kayıt: "&amp;$A223</f>
        <v/>
      </c>
    </row>
    <row r="224" ht="15" customHeight="1" s="76">
      <c r="F224" s="121">
        <f>$C224-$D224</f>
        <v/>
      </c>
      <c r="G224" s="121">
        <f>"Örnek kayıt: "&amp;$A224</f>
        <v/>
      </c>
    </row>
    <row r="225" ht="15" customHeight="1" s="76">
      <c r="F225" s="121">
        <f>$C225-$D225</f>
        <v/>
      </c>
      <c r="G225" s="121">
        <f>"Örnek kayıt: "&amp;$A225</f>
        <v/>
      </c>
    </row>
    <row r="226" ht="15" customHeight="1" s="76">
      <c r="F226" s="121">
        <f>$C226-$D226</f>
        <v/>
      </c>
      <c r="G226" s="121">
        <f>"Örnek kayıt: "&amp;$A226</f>
        <v/>
      </c>
    </row>
    <row r="227" ht="15" customHeight="1" s="76">
      <c r="F227" s="121">
        <f>$C227-$D227</f>
        <v/>
      </c>
      <c r="G227" s="121">
        <f>"Örnek kayıt: "&amp;$A227</f>
        <v/>
      </c>
    </row>
    <row r="228" ht="15" customHeight="1" s="76">
      <c r="F228" s="121">
        <f>$C228-$D228</f>
        <v/>
      </c>
      <c r="G228" s="121">
        <f>"Örnek kayıt: "&amp;$A228</f>
        <v/>
      </c>
    </row>
    <row r="229" ht="15" customHeight="1" s="76">
      <c r="F229" s="121">
        <f>$C229-$D229</f>
        <v/>
      </c>
      <c r="G229" s="121">
        <f>"Örnek kayıt: "&amp;$A229</f>
        <v/>
      </c>
    </row>
    <row r="230" ht="15" customHeight="1" s="76">
      <c r="F230" s="121">
        <f>$C230-$D230</f>
        <v/>
      </c>
      <c r="G230" s="121">
        <f>"Örnek kayıt: "&amp;$A230</f>
        <v/>
      </c>
    </row>
    <row r="231" ht="15" customHeight="1" s="76">
      <c r="F231" s="121">
        <f>$C231-$D231</f>
        <v/>
      </c>
      <c r="G231" s="121">
        <f>"Örnek kayıt: "&amp;$A231</f>
        <v/>
      </c>
    </row>
    <row r="232" ht="15" customHeight="1" s="76">
      <c r="F232" s="121">
        <f>$C232-$D232</f>
        <v/>
      </c>
      <c r="G232" s="121">
        <f>"Örnek kayıt: "&amp;$A232</f>
        <v/>
      </c>
    </row>
    <row r="233" ht="15" customHeight="1" s="76">
      <c r="F233" s="121">
        <f>$C233-$D233</f>
        <v/>
      </c>
      <c r="G233" s="121">
        <f>"Örnek kayıt: "&amp;$A233</f>
        <v/>
      </c>
    </row>
    <row r="234" ht="15" customHeight="1" s="76">
      <c r="F234" s="121">
        <f>$C234-$D234</f>
        <v/>
      </c>
      <c r="G234" s="121">
        <f>"Örnek kayıt: "&amp;$A234</f>
        <v/>
      </c>
    </row>
    <row r="235" ht="15" customHeight="1" s="76">
      <c r="F235" s="121">
        <f>$C235-$D235</f>
        <v/>
      </c>
      <c r="G235" s="121">
        <f>"Örnek kayıt: "&amp;$A235</f>
        <v/>
      </c>
    </row>
    <row r="236" ht="15" customHeight="1" s="76">
      <c r="F236" s="121">
        <f>$C236-$D236</f>
        <v/>
      </c>
      <c r="G236" s="121">
        <f>"Örnek kayıt: "&amp;$A236</f>
        <v/>
      </c>
    </row>
    <row r="237" ht="15" customHeight="1" s="76">
      <c r="F237" s="121">
        <f>$C237-$D237</f>
        <v/>
      </c>
      <c r="G237" s="121">
        <f>"Örnek kayıt: "&amp;$A237</f>
        <v/>
      </c>
    </row>
    <row r="238" ht="15" customHeight="1" s="76">
      <c r="F238" s="121">
        <f>$C238-$D238</f>
        <v/>
      </c>
      <c r="G238" s="121">
        <f>"Örnek kayıt: "&amp;$A238</f>
        <v/>
      </c>
    </row>
    <row r="239" ht="15" customHeight="1" s="76">
      <c r="F239" s="121">
        <f>$C239-$D239</f>
        <v/>
      </c>
      <c r="G239" s="121">
        <f>"Örnek kayıt: "&amp;$A239</f>
        <v/>
      </c>
    </row>
    <row r="240" ht="15" customHeight="1" s="76">
      <c r="F240" s="121">
        <f>$C240-$D240</f>
        <v/>
      </c>
      <c r="G240" s="121">
        <f>"Örnek kayıt: "&amp;$A240</f>
        <v/>
      </c>
    </row>
    <row r="241" ht="15" customHeight="1" s="76">
      <c r="F241" s="121">
        <f>$C241-$D241</f>
        <v/>
      </c>
      <c r="G241" s="121">
        <f>"Örnek kayıt: "&amp;$A241</f>
        <v/>
      </c>
    </row>
    <row r="242" ht="15" customHeight="1" s="76">
      <c r="F242" s="121">
        <f>$C242-$D242</f>
        <v/>
      </c>
      <c r="G242" s="121">
        <f>"Örnek kayıt: "&amp;$A242</f>
        <v/>
      </c>
    </row>
    <row r="243" ht="15" customHeight="1" s="76">
      <c r="F243" s="121">
        <f>$C243-$D243</f>
        <v/>
      </c>
      <c r="G243" s="121">
        <f>"Örnek kayıt: "&amp;$A243</f>
        <v/>
      </c>
    </row>
    <row r="244" ht="15" customHeight="1" s="76">
      <c r="F244" s="121">
        <f>$C244-$D244</f>
        <v/>
      </c>
      <c r="G244" s="121">
        <f>"Örnek kayıt: "&amp;$A244</f>
        <v/>
      </c>
    </row>
    <row r="245" ht="15" customHeight="1" s="76">
      <c r="F245" s="121">
        <f>$C245-$D245</f>
        <v/>
      </c>
      <c r="G245" s="121">
        <f>"Örnek kayıt: "&amp;$A245</f>
        <v/>
      </c>
    </row>
    <row r="246" ht="15" customHeight="1" s="76">
      <c r="F246" s="121">
        <f>$C246-$D246</f>
        <v/>
      </c>
      <c r="G246" s="121">
        <f>"Örnek kayıt: "&amp;$A246</f>
        <v/>
      </c>
    </row>
    <row r="247" ht="15" customHeight="1" s="76">
      <c r="F247" s="121">
        <f>$C247-$D247</f>
        <v/>
      </c>
      <c r="G247" s="121">
        <f>"Örnek kayıt: "&amp;$A247</f>
        <v/>
      </c>
    </row>
    <row r="248" ht="15" customHeight="1" s="76">
      <c r="F248" s="121">
        <f>$C248-$D248</f>
        <v/>
      </c>
      <c r="G248" s="121">
        <f>"Örnek kayıt: "&amp;$A248</f>
        <v/>
      </c>
    </row>
    <row r="249" ht="15" customHeight="1" s="76">
      <c r="F249" s="121">
        <f>$C249-$D249</f>
        <v/>
      </c>
      <c r="G249" s="121">
        <f>"Örnek kayıt: "&amp;$A249</f>
        <v/>
      </c>
    </row>
    <row r="250" ht="15" customHeight="1" s="76">
      <c r="F250" s="121">
        <f>$C250-$D250</f>
        <v/>
      </c>
      <c r="G250" s="121">
        <f>"Örnek kayıt: "&amp;$A250</f>
        <v/>
      </c>
    </row>
    <row r="251" ht="15" customHeight="1" s="76">
      <c r="F251" s="121">
        <f>$C251-$D251</f>
        <v/>
      </c>
      <c r="G251" s="121">
        <f>"Örnek kayıt: "&amp;$A251</f>
        <v/>
      </c>
    </row>
    <row r="252" ht="15" customHeight="1" s="76">
      <c r="F252" s="121">
        <f>$C252-$D252</f>
        <v/>
      </c>
      <c r="G252" s="121">
        <f>"Örnek kayıt: "&amp;$A252</f>
        <v/>
      </c>
    </row>
    <row r="253" ht="15" customHeight="1" s="76">
      <c r="F253" s="121">
        <f>$C253-$D253</f>
        <v/>
      </c>
      <c r="G253" s="121">
        <f>"Örnek kayıt: "&amp;$A253</f>
        <v/>
      </c>
    </row>
    <row r="254" ht="15" customHeight="1" s="76">
      <c r="F254" s="121">
        <f>$C254-$D254</f>
        <v/>
      </c>
      <c r="G254" s="121">
        <f>"Örnek kayıt: "&amp;$A254</f>
        <v/>
      </c>
    </row>
    <row r="255" ht="15" customHeight="1" s="76">
      <c r="F255" s="121">
        <f>$C255-$D255</f>
        <v/>
      </c>
      <c r="G255" s="121">
        <f>"Örnek kayıt: "&amp;$A255</f>
        <v/>
      </c>
    </row>
    <row r="256" ht="15" customHeight="1" s="76">
      <c r="F256" s="121">
        <f>$C256-$D256</f>
        <v/>
      </c>
      <c r="G256" s="121">
        <f>"Örnek kayıt: "&amp;$A256</f>
        <v/>
      </c>
    </row>
    <row r="257" ht="15" customHeight="1" s="76">
      <c r="F257" s="121">
        <f>$C257-$D257</f>
        <v/>
      </c>
      <c r="G257" s="121">
        <f>"Örnek kayıt: "&amp;$A257</f>
        <v/>
      </c>
    </row>
    <row r="258" ht="15" customHeight="1" s="76">
      <c r="F258" s="121">
        <f>$C258-$D258</f>
        <v/>
      </c>
      <c r="G258" s="121">
        <f>"Örnek kayıt: "&amp;$A258</f>
        <v/>
      </c>
    </row>
    <row r="259" ht="15" customHeight="1" s="76">
      <c r="F259" s="121">
        <f>$C259-$D259</f>
        <v/>
      </c>
      <c r="G259" s="121">
        <f>"Örnek kayıt: "&amp;$A259</f>
        <v/>
      </c>
    </row>
    <row r="260" ht="15" customHeight="1" s="76">
      <c r="F260" s="121">
        <f>$C260-$D260</f>
        <v/>
      </c>
      <c r="G260" s="121">
        <f>"Örnek kayıt: "&amp;$A260</f>
        <v/>
      </c>
    </row>
    <row r="261" ht="15" customHeight="1" s="76">
      <c r="F261" s="121">
        <f>$C261-$D261</f>
        <v/>
      </c>
      <c r="G261" s="121">
        <f>"Örnek kayıt: "&amp;$A261</f>
        <v/>
      </c>
    </row>
    <row r="262" ht="15" customHeight="1" s="76">
      <c r="F262" s="121">
        <f>$C262-$D262</f>
        <v/>
      </c>
      <c r="G262" s="121">
        <f>"Örnek kayıt: "&amp;$A262</f>
        <v/>
      </c>
    </row>
    <row r="263" ht="15" customHeight="1" s="76">
      <c r="F263" s="121">
        <f>$C263-$D263</f>
        <v/>
      </c>
      <c r="G263" s="121">
        <f>"Örnek kayıt: "&amp;$A263</f>
        <v/>
      </c>
    </row>
    <row r="264" ht="15" customHeight="1" s="76">
      <c r="F264" s="121">
        <f>$C264-$D264</f>
        <v/>
      </c>
      <c r="G264" s="121">
        <f>"Örnek kayıt: "&amp;$A264</f>
        <v/>
      </c>
    </row>
    <row r="265" ht="15" customHeight="1" s="76">
      <c r="F265" s="121">
        <f>$C265-$D265</f>
        <v/>
      </c>
      <c r="G265" s="121">
        <f>"Örnek kayıt: "&amp;$A265</f>
        <v/>
      </c>
    </row>
    <row r="266" ht="15" customHeight="1" s="76">
      <c r="F266" s="121">
        <f>$C266-$D266</f>
        <v/>
      </c>
      <c r="G266" s="121">
        <f>"Örnek kayıt: "&amp;$A266</f>
        <v/>
      </c>
    </row>
    <row r="267" ht="15" customHeight="1" s="76">
      <c r="F267" s="121">
        <f>$C267-$D267</f>
        <v/>
      </c>
      <c r="G267" s="121">
        <f>"Örnek kayıt: "&amp;$A267</f>
        <v/>
      </c>
    </row>
    <row r="268" ht="15" customHeight="1" s="76">
      <c r="F268" s="121">
        <f>$C268-$D268</f>
        <v/>
      </c>
      <c r="G268" s="121">
        <f>"Örnek kayıt: "&amp;$A268</f>
        <v/>
      </c>
    </row>
    <row r="269" ht="15" customHeight="1" s="76">
      <c r="F269" s="121">
        <f>$C269-$D269</f>
        <v/>
      </c>
      <c r="G269" s="121">
        <f>"Örnek kayıt: "&amp;$A269</f>
        <v/>
      </c>
    </row>
    <row r="270" ht="15" customHeight="1" s="76">
      <c r="F270" s="121">
        <f>$C270-$D270</f>
        <v/>
      </c>
      <c r="G270" s="121">
        <f>"Örnek kayıt: "&amp;$A270</f>
        <v/>
      </c>
    </row>
    <row r="271" ht="15" customHeight="1" s="76">
      <c r="F271" s="121">
        <f>$C271-$D271</f>
        <v/>
      </c>
      <c r="G271" s="121">
        <f>"Örnek kayıt: "&amp;$A271</f>
        <v/>
      </c>
    </row>
    <row r="272" ht="15" customHeight="1" s="76">
      <c r="F272" s="121">
        <f>$C272-$D272</f>
        <v/>
      </c>
      <c r="G272" s="121">
        <f>"Örnek kayıt: "&amp;$A272</f>
        <v/>
      </c>
    </row>
    <row r="273" ht="15" customHeight="1" s="76">
      <c r="F273" s="121">
        <f>$C273-$D273</f>
        <v/>
      </c>
      <c r="G273" s="121">
        <f>"Örnek kayıt: "&amp;$A273</f>
        <v/>
      </c>
    </row>
    <row r="274" ht="15" customHeight="1" s="76">
      <c r="F274" s="121">
        <f>$C274-$D274</f>
        <v/>
      </c>
      <c r="G274" s="121">
        <f>"Örnek kayıt: "&amp;$A274</f>
        <v/>
      </c>
    </row>
    <row r="275" ht="15" customHeight="1" s="76">
      <c r="F275" s="121">
        <f>$C275-$D275</f>
        <v/>
      </c>
      <c r="G275" s="121">
        <f>"Örnek kayıt: "&amp;$A275</f>
        <v/>
      </c>
    </row>
    <row r="276" ht="15" customHeight="1" s="76">
      <c r="F276" s="121">
        <f>$C276-$D276</f>
        <v/>
      </c>
      <c r="G276" s="121">
        <f>"Örnek kayıt: "&amp;$A276</f>
        <v/>
      </c>
    </row>
    <row r="277" ht="15" customHeight="1" s="76">
      <c r="F277" s="121">
        <f>$C277-$D277</f>
        <v/>
      </c>
      <c r="G277" s="121">
        <f>"Örnek kayıt: "&amp;$A277</f>
        <v/>
      </c>
    </row>
    <row r="278" ht="15" customHeight="1" s="76">
      <c r="F278" s="121">
        <f>$C278-$D278</f>
        <v/>
      </c>
      <c r="G278" s="121">
        <f>"Örnek kayıt: "&amp;$A278</f>
        <v/>
      </c>
    </row>
    <row r="279" ht="15" customHeight="1" s="76">
      <c r="F279" s="121">
        <f>$C279-$D279</f>
        <v/>
      </c>
      <c r="G279" s="121">
        <f>"Örnek kayıt: "&amp;$A279</f>
        <v/>
      </c>
    </row>
    <row r="280" ht="15" customHeight="1" s="76">
      <c r="F280" s="121">
        <f>$C280-$D280</f>
        <v/>
      </c>
      <c r="G280" s="121">
        <f>"Örnek kayıt: "&amp;$A280</f>
        <v/>
      </c>
    </row>
    <row r="281" ht="15" customHeight="1" s="76">
      <c r="F281" s="121">
        <f>$C281-$D281</f>
        <v/>
      </c>
      <c r="G281" s="121">
        <f>"Örnek kayıt: "&amp;$A281</f>
        <v/>
      </c>
    </row>
    <row r="282" ht="15" customHeight="1" s="76">
      <c r="F282" s="121">
        <f>$C282-$D282</f>
        <v/>
      </c>
      <c r="G282" s="121">
        <f>"Örnek kayıt: "&amp;$A282</f>
        <v/>
      </c>
    </row>
    <row r="283" ht="15" customHeight="1" s="76">
      <c r="F283" s="121">
        <f>$C283-$D283</f>
        <v/>
      </c>
      <c r="G283" s="121">
        <f>"Örnek kayıt: "&amp;$A283</f>
        <v/>
      </c>
    </row>
    <row r="284" ht="15" customHeight="1" s="76">
      <c r="F284" s="121">
        <f>$C284-$D284</f>
        <v/>
      </c>
      <c r="G284" s="121">
        <f>"Örnek kayıt: "&amp;$A284</f>
        <v/>
      </c>
    </row>
    <row r="285" ht="15" customHeight="1" s="76">
      <c r="F285" s="121">
        <f>$C285-$D285</f>
        <v/>
      </c>
      <c r="G285" s="121">
        <f>"Örnek kayıt: "&amp;$A285</f>
        <v/>
      </c>
    </row>
    <row r="286" ht="15" customHeight="1" s="76">
      <c r="F286" s="121">
        <f>$C286-$D286</f>
        <v/>
      </c>
      <c r="G286" s="121">
        <f>"Örnek kayıt: "&amp;$A286</f>
        <v/>
      </c>
    </row>
    <row r="287" ht="15" customHeight="1" s="76">
      <c r="F287" s="121">
        <f>$C287-$D287</f>
        <v/>
      </c>
      <c r="G287" s="121">
        <f>"Örnek kayıt: "&amp;$A287</f>
        <v/>
      </c>
    </row>
    <row r="288" ht="15" customHeight="1" s="76">
      <c r="F288" s="121">
        <f>$C288-$D288</f>
        <v/>
      </c>
      <c r="G288" s="121">
        <f>"Örnek kayıt: "&amp;$A288</f>
        <v/>
      </c>
    </row>
    <row r="289" ht="15" customHeight="1" s="76">
      <c r="F289" s="121">
        <f>$C289-$D289</f>
        <v/>
      </c>
      <c r="G289" s="121">
        <f>"Örnek kayıt: "&amp;$A289</f>
        <v/>
      </c>
    </row>
    <row r="290" ht="15" customHeight="1" s="76">
      <c r="F290" s="121">
        <f>$C290-$D290</f>
        <v/>
      </c>
      <c r="G290" s="121">
        <f>"Örnek kayıt: "&amp;$A290</f>
        <v/>
      </c>
    </row>
    <row r="291" ht="15" customHeight="1" s="76">
      <c r="F291" s="121">
        <f>$C291-$D291</f>
        <v/>
      </c>
      <c r="G291" s="121">
        <f>"Örnek kayıt: "&amp;$A291</f>
        <v/>
      </c>
    </row>
    <row r="292" ht="15" customHeight="1" s="76">
      <c r="F292" s="121">
        <f>$C292-$D292</f>
        <v/>
      </c>
      <c r="G292" s="121">
        <f>"Örnek kayıt: "&amp;$A292</f>
        <v/>
      </c>
    </row>
    <row r="293" ht="15" customHeight="1" s="76">
      <c r="F293" s="121">
        <f>$C293-$D293</f>
        <v/>
      </c>
      <c r="G293" s="121">
        <f>"Örnek kayıt: "&amp;$A293</f>
        <v/>
      </c>
    </row>
    <row r="294" ht="15" customHeight="1" s="76">
      <c r="F294" s="121">
        <f>$C294-$D294</f>
        <v/>
      </c>
      <c r="G294" s="121">
        <f>"Örnek kayıt: "&amp;$A294</f>
        <v/>
      </c>
    </row>
    <row r="295" ht="15" customHeight="1" s="76">
      <c r="F295" s="121">
        <f>$C295-$D295</f>
        <v/>
      </c>
      <c r="G295" s="121">
        <f>"Örnek kayıt: "&amp;$A295</f>
        <v/>
      </c>
    </row>
    <row r="296" ht="15" customHeight="1" s="76">
      <c r="F296" s="121">
        <f>$C296-$D296</f>
        <v/>
      </c>
      <c r="G296" s="121">
        <f>"Örnek kayıt: "&amp;$A296</f>
        <v/>
      </c>
    </row>
    <row r="297" ht="15" customHeight="1" s="76">
      <c r="F297" s="121">
        <f>$C297-$D297</f>
        <v/>
      </c>
      <c r="G297" s="121">
        <f>"Örnek kayıt: "&amp;$A297</f>
        <v/>
      </c>
    </row>
    <row r="298" ht="15" customHeight="1" s="76">
      <c r="F298" s="121">
        <f>$C298-$D298</f>
        <v/>
      </c>
      <c r="G298" s="121">
        <f>"Örnek kayıt: "&amp;$A298</f>
        <v/>
      </c>
    </row>
    <row r="299" ht="15" customHeight="1" s="76">
      <c r="F299" s="121">
        <f>$C299-$D299</f>
        <v/>
      </c>
      <c r="G299" s="121">
        <f>"Örnek kayıt: "&amp;$A299</f>
        <v/>
      </c>
    </row>
    <row r="300" ht="15" customHeight="1" s="76">
      <c r="F300" s="121">
        <f>$C300-$D300</f>
        <v/>
      </c>
      <c r="G300" s="121">
        <f>"Örnek kayıt: "&amp;$A300</f>
        <v/>
      </c>
    </row>
    <row r="301" ht="15" customHeight="1" s="76">
      <c r="F301" s="121">
        <f>$C301-$D301</f>
        <v/>
      </c>
      <c r="G301" s="121">
        <f>"Örnek kayıt: "&amp;$A301</f>
        <v/>
      </c>
    </row>
    <row r="302" ht="15" customHeight="1" s="76">
      <c r="F302" s="121">
        <f>$C302-$D302</f>
        <v/>
      </c>
      <c r="G302" s="121">
        <f>"Örnek kayıt: "&amp;$A302</f>
        <v/>
      </c>
    </row>
    <row r="303" ht="15" customHeight="1" s="76">
      <c r="F303" s="121">
        <f>$C303-$D303</f>
        <v/>
      </c>
      <c r="G303" s="121">
        <f>"Örnek kayıt: "&amp;$A303</f>
        <v/>
      </c>
    </row>
    <row r="304" ht="15" customHeight="1" s="76">
      <c r="F304" s="121">
        <f>$C304-$D304</f>
        <v/>
      </c>
      <c r="G304" s="121">
        <f>"Örnek kayıt: "&amp;$A304</f>
        <v/>
      </c>
    </row>
    <row r="305" ht="15" customHeight="1" s="76">
      <c r="F305" s="121">
        <f>$C305-$D305</f>
        <v/>
      </c>
      <c r="G305" s="121">
        <f>"Örnek kayıt: "&amp;$A305</f>
        <v/>
      </c>
    </row>
    <row r="306" ht="15" customHeight="1" s="76">
      <c r="F306" s="121">
        <f>$C306-$D306</f>
        <v/>
      </c>
      <c r="G306" s="121">
        <f>"Örnek kayıt: "&amp;$A306</f>
        <v/>
      </c>
    </row>
    <row r="307" ht="15" customHeight="1" s="76">
      <c r="F307" s="121">
        <f>$C307-$D307</f>
        <v/>
      </c>
      <c r="G307" s="121">
        <f>"Örnek kayıt: "&amp;$A307</f>
        <v/>
      </c>
    </row>
    <row r="308" ht="15" customHeight="1" s="76">
      <c r="F308" s="121">
        <f>$C308-$D308</f>
        <v/>
      </c>
      <c r="G308" s="121">
        <f>"Örnek kayıt: "&amp;$A308</f>
        <v/>
      </c>
    </row>
    <row r="309" ht="15" customHeight="1" s="76">
      <c r="F309" s="121">
        <f>$C309-$D309</f>
        <v/>
      </c>
      <c r="G309" s="121">
        <f>"Örnek kayıt: "&amp;$A309</f>
        <v/>
      </c>
    </row>
    <row r="310" ht="15" customHeight="1" s="76">
      <c r="F310" s="121">
        <f>$C310-$D310</f>
        <v/>
      </c>
      <c r="G310" s="121">
        <f>"Örnek kayıt: "&amp;$A310</f>
        <v/>
      </c>
    </row>
    <row r="311" ht="15" customHeight="1" s="76">
      <c r="F311" s="121">
        <f>$C311-$D311</f>
        <v/>
      </c>
      <c r="G311" s="121">
        <f>"Örnek kayıt: "&amp;$A311</f>
        <v/>
      </c>
    </row>
    <row r="312" ht="15" customHeight="1" s="76">
      <c r="F312" s="121">
        <f>$C312-$D312</f>
        <v/>
      </c>
      <c r="G312" s="121">
        <f>"Örnek kayıt: "&amp;$A312</f>
        <v/>
      </c>
    </row>
    <row r="313" ht="15" customHeight="1" s="76">
      <c r="F313" s="121">
        <f>$C313-$D313</f>
        <v/>
      </c>
      <c r="G313" s="121">
        <f>"Örnek kayıt: "&amp;$A313</f>
        <v/>
      </c>
    </row>
    <row r="314" ht="15" customHeight="1" s="76">
      <c r="F314" s="121">
        <f>$C314-$D314</f>
        <v/>
      </c>
      <c r="G314" s="121">
        <f>"Örnek kayıt: "&amp;$A314</f>
        <v/>
      </c>
    </row>
    <row r="315" ht="15" customHeight="1" s="76">
      <c r="F315" s="121">
        <f>$C315-$D315</f>
        <v/>
      </c>
      <c r="G315" s="121">
        <f>"Örnek kayıt: "&amp;$A315</f>
        <v/>
      </c>
    </row>
    <row r="316" ht="15" customHeight="1" s="76">
      <c r="F316" s="121">
        <f>$C316-$D316</f>
        <v/>
      </c>
      <c r="G316" s="121">
        <f>"Örnek kayıt: "&amp;$A316</f>
        <v/>
      </c>
    </row>
    <row r="317" ht="15" customHeight="1" s="76">
      <c r="F317" s="121">
        <f>$C317-$D317</f>
        <v/>
      </c>
      <c r="G317" s="121">
        <f>"Örnek kayıt: "&amp;$A317</f>
        <v/>
      </c>
    </row>
    <row r="318" ht="15" customHeight="1" s="76">
      <c r="F318" s="121">
        <f>$C318-$D318</f>
        <v/>
      </c>
      <c r="G318" s="121">
        <f>"Örnek kayıt: "&amp;$A318</f>
        <v/>
      </c>
    </row>
    <row r="319" ht="15" customHeight="1" s="76">
      <c r="F319" s="121">
        <f>$C319-$D319</f>
        <v/>
      </c>
      <c r="G319" s="121">
        <f>"Örnek kayıt: "&amp;$A319</f>
        <v/>
      </c>
    </row>
    <row r="320" ht="15" customHeight="1" s="76">
      <c r="F320" s="121">
        <f>$C320-$D320</f>
        <v/>
      </c>
      <c r="G320" s="121">
        <f>"Örnek kayıt: "&amp;$A320</f>
        <v/>
      </c>
    </row>
    <row r="321" ht="15" customHeight="1" s="76">
      <c r="F321" s="121">
        <f>$C321-$D321</f>
        <v/>
      </c>
      <c r="G321" s="121">
        <f>"Örnek kayıt: "&amp;$A321</f>
        <v/>
      </c>
    </row>
    <row r="322" ht="15" customHeight="1" s="76">
      <c r="F322" s="121">
        <f>$C322-$D322</f>
        <v/>
      </c>
      <c r="G322" s="121">
        <f>"Örnek kayıt: "&amp;$A322</f>
        <v/>
      </c>
    </row>
    <row r="323" ht="15" customHeight="1" s="76">
      <c r="F323" s="121">
        <f>$C323-$D323</f>
        <v/>
      </c>
      <c r="G323" s="121">
        <f>"Örnek kayıt: "&amp;$A323</f>
        <v/>
      </c>
    </row>
    <row r="324" ht="15" customHeight="1" s="76">
      <c r="F324" s="121">
        <f>$C324-$D324</f>
        <v/>
      </c>
      <c r="G324" s="121">
        <f>"Örnek kayıt: "&amp;$A324</f>
        <v/>
      </c>
    </row>
    <row r="325" ht="15" customHeight="1" s="76">
      <c r="F325" s="121">
        <f>$C325-$D325</f>
        <v/>
      </c>
      <c r="G325" s="121">
        <f>"Örnek kayıt: "&amp;$A325</f>
        <v/>
      </c>
    </row>
    <row r="326" ht="15" customHeight="1" s="76">
      <c r="F326" s="121">
        <f>$C326-$D326</f>
        <v/>
      </c>
      <c r="G326" s="121">
        <f>"Örnek kayıt: "&amp;$A326</f>
        <v/>
      </c>
    </row>
    <row r="327" ht="15" customHeight="1" s="76">
      <c r="F327" s="121">
        <f>$C327-$D327</f>
        <v/>
      </c>
      <c r="G327" s="121">
        <f>"Örnek kayıt: "&amp;$A327</f>
        <v/>
      </c>
    </row>
    <row r="328" ht="15" customHeight="1" s="76">
      <c r="F328" s="121">
        <f>$C328-$D328</f>
        <v/>
      </c>
      <c r="G328" s="121">
        <f>"Örnek kayıt: "&amp;$A328</f>
        <v/>
      </c>
    </row>
    <row r="329" ht="15" customHeight="1" s="76">
      <c r="F329" s="121">
        <f>$C329-$D329</f>
        <v/>
      </c>
      <c r="G329" s="121">
        <f>"Örnek kayıt: "&amp;$A329</f>
        <v/>
      </c>
    </row>
    <row r="330" ht="15" customHeight="1" s="76">
      <c r="F330" s="121">
        <f>$C330-$D330</f>
        <v/>
      </c>
      <c r="G330" s="121">
        <f>"Örnek kayıt: "&amp;$A330</f>
        <v/>
      </c>
    </row>
    <row r="331" ht="15" customHeight="1" s="76">
      <c r="F331" s="121">
        <f>$C331-$D331</f>
        <v/>
      </c>
      <c r="G331" s="121">
        <f>"Örnek kayıt: "&amp;$A331</f>
        <v/>
      </c>
    </row>
    <row r="332" ht="15" customHeight="1" s="76">
      <c r="F332" s="121">
        <f>$C332-$D332</f>
        <v/>
      </c>
      <c r="G332" s="121">
        <f>"Örnek kayıt: "&amp;$A332</f>
        <v/>
      </c>
    </row>
    <row r="333" ht="15" customHeight="1" s="76">
      <c r="F333" s="121">
        <f>$C333-$D333</f>
        <v/>
      </c>
      <c r="G333" s="121">
        <f>"Örnek kayıt: "&amp;$A333</f>
        <v/>
      </c>
    </row>
    <row r="334" ht="15" customHeight="1" s="76">
      <c r="F334" s="121">
        <f>$C334-$D334</f>
        <v/>
      </c>
      <c r="G334" s="121">
        <f>"Örnek kayıt: "&amp;$A334</f>
        <v/>
      </c>
    </row>
    <row r="335" ht="15" customHeight="1" s="76">
      <c r="F335" s="121">
        <f>$C335-$D335</f>
        <v/>
      </c>
      <c r="G335" s="121">
        <f>"Örnek kayıt: "&amp;$A335</f>
        <v/>
      </c>
    </row>
    <row r="336" ht="15" customHeight="1" s="76">
      <c r="F336" s="121">
        <f>$C336-$D336</f>
        <v/>
      </c>
      <c r="G336" s="121">
        <f>"Örnek kayıt: "&amp;$A336</f>
        <v/>
      </c>
    </row>
    <row r="337" ht="15" customHeight="1" s="76">
      <c r="F337" s="121">
        <f>$C337-$D337</f>
        <v/>
      </c>
      <c r="G337" s="121">
        <f>"Örnek kayıt: "&amp;$A337</f>
        <v/>
      </c>
    </row>
    <row r="338" ht="15" customHeight="1" s="76">
      <c r="F338" s="121">
        <f>$C338-$D338</f>
        <v/>
      </c>
      <c r="G338" s="121">
        <f>"Örnek kayıt: "&amp;$A338</f>
        <v/>
      </c>
    </row>
    <row r="339" ht="15" customHeight="1" s="76">
      <c r="F339" s="121">
        <f>$C339-$D339</f>
        <v/>
      </c>
      <c r="G339" s="121">
        <f>"Örnek kayıt: "&amp;$A339</f>
        <v/>
      </c>
    </row>
    <row r="340" ht="15" customHeight="1" s="76">
      <c r="F340" s="121">
        <f>$C340-$D340</f>
        <v/>
      </c>
      <c r="G340" s="121">
        <f>"Örnek kayıt: "&amp;$A340</f>
        <v/>
      </c>
    </row>
    <row r="341" ht="15" customHeight="1" s="76">
      <c r="F341" s="121">
        <f>$C341-$D341</f>
        <v/>
      </c>
      <c r="G341" s="121">
        <f>"Örnek kayıt: "&amp;$A341</f>
        <v/>
      </c>
    </row>
    <row r="342" ht="15" customHeight="1" s="76">
      <c r="F342" s="121">
        <f>$C342-$D342</f>
        <v/>
      </c>
      <c r="G342" s="121">
        <f>"Örnek kayıt: "&amp;$A342</f>
        <v/>
      </c>
    </row>
    <row r="343" ht="15" customHeight="1" s="76">
      <c r="F343" s="121">
        <f>$C343-$D343</f>
        <v/>
      </c>
      <c r="G343" s="121">
        <f>"Örnek kayıt: "&amp;$A343</f>
        <v/>
      </c>
    </row>
    <row r="344" ht="15" customHeight="1" s="76">
      <c r="F344" s="121">
        <f>$C344-$D344</f>
        <v/>
      </c>
      <c r="G344" s="121">
        <f>"Örnek kayıt: "&amp;$A344</f>
        <v/>
      </c>
    </row>
    <row r="345" ht="15" customHeight="1" s="76">
      <c r="F345" s="121">
        <f>$C345-$D345</f>
        <v/>
      </c>
      <c r="G345" s="121">
        <f>"Örnek kayıt: "&amp;$A345</f>
        <v/>
      </c>
    </row>
    <row r="346" ht="15" customHeight="1" s="76">
      <c r="F346" s="121">
        <f>$C346-$D346</f>
        <v/>
      </c>
      <c r="G346" s="121">
        <f>"Örnek kayıt: "&amp;$A346</f>
        <v/>
      </c>
    </row>
    <row r="347" ht="15" customHeight="1" s="76">
      <c r="F347" s="121">
        <f>$C347-$D347</f>
        <v/>
      </c>
      <c r="G347" s="121">
        <f>"Örnek kayıt: "&amp;$A347</f>
        <v/>
      </c>
    </row>
    <row r="348" ht="15" customHeight="1" s="76">
      <c r="F348" s="121">
        <f>$C348-$D348</f>
        <v/>
      </c>
      <c r="G348" s="121">
        <f>"Örnek kayıt: "&amp;$A348</f>
        <v/>
      </c>
    </row>
    <row r="349" ht="15" customHeight="1" s="76">
      <c r="F349" s="121">
        <f>$C349-$D349</f>
        <v/>
      </c>
      <c r="G349" s="121">
        <f>"Örnek kayıt: "&amp;$A349</f>
        <v/>
      </c>
    </row>
    <row r="350" ht="15" customHeight="1" s="76">
      <c r="F350" s="121">
        <f>$C350-$D350</f>
        <v/>
      </c>
      <c r="G350" s="121">
        <f>"Örnek kayıt: "&amp;$A350</f>
        <v/>
      </c>
    </row>
    <row r="351" ht="15" customHeight="1" s="76">
      <c r="F351" s="121">
        <f>$C351-$D351</f>
        <v/>
      </c>
      <c r="G351" s="121">
        <f>"Örnek kayıt: "&amp;$A351</f>
        <v/>
      </c>
    </row>
    <row r="352" ht="15" customHeight="1" s="76">
      <c r="F352" s="121">
        <f>$C352-$D352</f>
        <v/>
      </c>
      <c r="G352" s="121">
        <f>"Örnek kayıt: "&amp;$A352</f>
        <v/>
      </c>
    </row>
    <row r="353" ht="15" customHeight="1" s="76">
      <c r="F353" s="121">
        <f>$C353-$D353</f>
        <v/>
      </c>
      <c r="G353" s="121">
        <f>"Örnek kayıt: "&amp;$A353</f>
        <v/>
      </c>
    </row>
    <row r="354" ht="15" customHeight="1" s="76">
      <c r="F354" s="121">
        <f>$C354-$D354</f>
        <v/>
      </c>
      <c r="G354" s="121">
        <f>"Örnek kayıt: "&amp;$A354</f>
        <v/>
      </c>
    </row>
    <row r="355" ht="15" customHeight="1" s="76">
      <c r="F355" s="121">
        <f>$C355-$D355</f>
        <v/>
      </c>
      <c r="G355" s="121">
        <f>"Örnek kayıt: "&amp;$A355</f>
        <v/>
      </c>
    </row>
    <row r="356" ht="15" customHeight="1" s="76">
      <c r="F356" s="121">
        <f>$C356-$D356</f>
        <v/>
      </c>
      <c r="G356" s="121">
        <f>"Örnek kayıt: "&amp;$A356</f>
        <v/>
      </c>
    </row>
    <row r="357" ht="15" customHeight="1" s="76">
      <c r="F357" s="121">
        <f>$C357-$D357</f>
        <v/>
      </c>
      <c r="G357" s="121">
        <f>"Örnek kayıt: "&amp;$A357</f>
        <v/>
      </c>
    </row>
    <row r="358" ht="15" customHeight="1" s="76">
      <c r="F358" s="121">
        <f>$C358-$D358</f>
        <v/>
      </c>
      <c r="G358" s="121">
        <f>"Örnek kayıt: "&amp;$A358</f>
        <v/>
      </c>
    </row>
    <row r="359" ht="15" customHeight="1" s="76">
      <c r="F359" s="121">
        <f>$C359-$D359</f>
        <v/>
      </c>
      <c r="G359" s="121">
        <f>"Örnek kayıt: "&amp;$A359</f>
        <v/>
      </c>
    </row>
    <row r="360" ht="15" customHeight="1" s="76">
      <c r="F360" s="121">
        <f>$C360-$D360</f>
        <v/>
      </c>
      <c r="G360" s="121">
        <f>"Örnek kayıt: "&amp;$A360</f>
        <v/>
      </c>
    </row>
    <row r="361" ht="15" customHeight="1" s="76">
      <c r="F361" s="121">
        <f>$C361-$D361</f>
        <v/>
      </c>
      <c r="G361" s="121">
        <f>"Örnek kayıt: "&amp;$A361</f>
        <v/>
      </c>
    </row>
    <row r="362" ht="15" customHeight="1" s="76">
      <c r="F362" s="121">
        <f>$C362-$D362</f>
        <v/>
      </c>
      <c r="G362" s="121">
        <f>"Örnek kayıt: "&amp;$A362</f>
        <v/>
      </c>
    </row>
    <row r="363" ht="15" customHeight="1" s="76">
      <c r="F363" s="121">
        <f>$C363-$D363</f>
        <v/>
      </c>
      <c r="G363" s="121">
        <f>"Örnek kayıt: "&amp;$A363</f>
        <v/>
      </c>
    </row>
    <row r="364" ht="15" customHeight="1" s="76">
      <c r="F364" s="121">
        <f>$C364-$D364</f>
        <v/>
      </c>
      <c r="G364" s="121">
        <f>"Örnek kayıt: "&amp;$A364</f>
        <v/>
      </c>
    </row>
    <row r="365" ht="15" customHeight="1" s="76">
      <c r="F365" s="121">
        <f>$C365-$D365</f>
        <v/>
      </c>
      <c r="G365" s="121">
        <f>"Örnek kayıt: "&amp;$A365</f>
        <v/>
      </c>
    </row>
    <row r="366" ht="15" customHeight="1" s="76">
      <c r="F366" s="121">
        <f>$C366-$D366</f>
        <v/>
      </c>
      <c r="G366" s="121">
        <f>"Örnek kayıt: "&amp;$A366</f>
        <v/>
      </c>
    </row>
    <row r="367" ht="15" customHeight="1" s="76">
      <c r="F367" s="121">
        <f>$C367-$D367</f>
        <v/>
      </c>
      <c r="G367" s="121">
        <f>"Örnek kayıt: "&amp;$A367</f>
        <v/>
      </c>
    </row>
    <row r="368" ht="15" customHeight="1" s="76">
      <c r="F368" s="121">
        <f>$C368-$D368</f>
        <v/>
      </c>
      <c r="G368" s="121">
        <f>"Örnek kayıt: "&amp;$A368</f>
        <v/>
      </c>
    </row>
    <row r="369" ht="15" customHeight="1" s="76">
      <c r="F369" s="121">
        <f>$C369-$D369</f>
        <v/>
      </c>
      <c r="G369" s="121">
        <f>"Örnek kayıt: "&amp;$A369</f>
        <v/>
      </c>
    </row>
    <row r="370" ht="15" customHeight="1" s="76">
      <c r="F370" s="121">
        <f>$C370-$D370</f>
        <v/>
      </c>
      <c r="G370" s="121">
        <f>"Örnek kayıt: "&amp;$A370</f>
        <v/>
      </c>
    </row>
    <row r="371" ht="15" customHeight="1" s="76">
      <c r="F371" s="121">
        <f>$C371-$D371</f>
        <v/>
      </c>
      <c r="G371" s="121">
        <f>"Örnek kayıt: "&amp;$A371</f>
        <v/>
      </c>
    </row>
    <row r="372" ht="15" customHeight="1" s="76">
      <c r="F372" s="121">
        <f>$C372-$D372</f>
        <v/>
      </c>
      <c r="G372" s="121">
        <f>"Örnek kayıt: "&amp;$A372</f>
        <v/>
      </c>
    </row>
    <row r="373" ht="15" customHeight="1" s="76">
      <c r="F373" s="121">
        <f>$C373-$D373</f>
        <v/>
      </c>
      <c r="G373" s="121">
        <f>"Örnek kayıt: "&amp;$A373</f>
        <v/>
      </c>
    </row>
    <row r="374" ht="15" customHeight="1" s="76">
      <c r="F374" s="121">
        <f>$C374-$D374</f>
        <v/>
      </c>
      <c r="G374" s="121">
        <f>"Örnek kayıt: "&amp;$A374</f>
        <v/>
      </c>
    </row>
    <row r="375" ht="15" customHeight="1" s="76">
      <c r="F375" s="121">
        <f>$C375-$D375</f>
        <v/>
      </c>
      <c r="G375" s="121">
        <f>"Örnek kayıt: "&amp;$A375</f>
        <v/>
      </c>
    </row>
    <row r="376" ht="15" customHeight="1" s="76">
      <c r="F376" s="121">
        <f>$C376-$D376</f>
        <v/>
      </c>
      <c r="G376" s="121">
        <f>"Örnek kayıt: "&amp;$A376</f>
        <v/>
      </c>
    </row>
    <row r="377" ht="15" customHeight="1" s="76">
      <c r="F377" s="121">
        <f>$C377-$D377</f>
        <v/>
      </c>
      <c r="G377" s="121">
        <f>"Örnek kayıt: "&amp;$A377</f>
        <v/>
      </c>
    </row>
    <row r="378" ht="15" customHeight="1" s="76">
      <c r="F378" s="121">
        <f>$C378-$D378</f>
        <v/>
      </c>
      <c r="G378" s="121">
        <f>"Örnek kayıt: "&amp;$A378</f>
        <v/>
      </c>
    </row>
    <row r="379" ht="15" customHeight="1" s="76">
      <c r="F379" s="121">
        <f>$C379-$D379</f>
        <v/>
      </c>
      <c r="G379" s="121">
        <f>"Örnek kayıt: "&amp;$A379</f>
        <v/>
      </c>
    </row>
    <row r="380" ht="15" customHeight="1" s="76">
      <c r="F380" s="121">
        <f>$C380-$D380</f>
        <v/>
      </c>
      <c r="G380" s="121">
        <f>"Örnek kayıt: "&amp;$A380</f>
        <v/>
      </c>
    </row>
    <row r="381" ht="15" customHeight="1" s="76">
      <c r="F381" s="121">
        <f>$C381-$D381</f>
        <v/>
      </c>
      <c r="G381" s="121">
        <f>"Örnek kayıt: "&amp;$A381</f>
        <v/>
      </c>
    </row>
    <row r="382" ht="15" customHeight="1" s="76">
      <c r="F382" s="121">
        <f>$C382-$D382</f>
        <v/>
      </c>
      <c r="G382" s="121">
        <f>"Örnek kayıt: "&amp;$A382</f>
        <v/>
      </c>
    </row>
    <row r="383" ht="15" customHeight="1" s="76">
      <c r="F383" s="121">
        <f>$C383-$D383</f>
        <v/>
      </c>
      <c r="G383" s="121">
        <f>"Örnek kayıt: "&amp;$A383</f>
        <v/>
      </c>
    </row>
    <row r="384" ht="15" customHeight="1" s="76">
      <c r="F384" s="121">
        <f>$C384-$D384</f>
        <v/>
      </c>
      <c r="G384" s="121">
        <f>"Örnek kayıt: "&amp;$A384</f>
        <v/>
      </c>
    </row>
    <row r="385" ht="15" customHeight="1" s="76">
      <c r="F385" s="121">
        <f>$C385-$D385</f>
        <v/>
      </c>
      <c r="G385" s="121">
        <f>"Örnek kayıt: "&amp;$A385</f>
        <v/>
      </c>
    </row>
    <row r="386" ht="15" customHeight="1" s="76">
      <c r="F386" s="121">
        <f>$C386-$D386</f>
        <v/>
      </c>
      <c r="G386" s="121">
        <f>"Örnek kayıt: "&amp;$A386</f>
        <v/>
      </c>
    </row>
    <row r="387" ht="15" customHeight="1" s="76">
      <c r="F387" s="121">
        <f>$C387-$D387</f>
        <v/>
      </c>
      <c r="G387" s="121">
        <f>"Örnek kayıt: "&amp;$A387</f>
        <v/>
      </c>
    </row>
    <row r="388" ht="15" customHeight="1" s="76">
      <c r="F388" s="121">
        <f>$C388-$D388</f>
        <v/>
      </c>
      <c r="G388" s="121">
        <f>"Örnek kayıt: "&amp;$A388</f>
        <v/>
      </c>
    </row>
    <row r="389" ht="15" customHeight="1" s="76">
      <c r="F389" s="121">
        <f>$C389-$D389</f>
        <v/>
      </c>
      <c r="G389" s="121">
        <f>"Örnek kayıt: "&amp;$A389</f>
        <v/>
      </c>
    </row>
    <row r="390" ht="15" customHeight="1" s="76">
      <c r="F390" s="121">
        <f>$C390-$D390</f>
        <v/>
      </c>
      <c r="G390" s="121">
        <f>"Örnek kayıt: "&amp;$A390</f>
        <v/>
      </c>
    </row>
    <row r="391" ht="15" customHeight="1" s="76">
      <c r="F391" s="121">
        <f>$C391-$D391</f>
        <v/>
      </c>
      <c r="G391" s="121">
        <f>"Örnek kayıt: "&amp;$A391</f>
        <v/>
      </c>
    </row>
    <row r="392" ht="15" customHeight="1" s="76">
      <c r="F392" s="121">
        <f>$C392-$D392</f>
        <v/>
      </c>
      <c r="G392" s="121">
        <f>"Örnek kayıt: "&amp;$A392</f>
        <v/>
      </c>
    </row>
    <row r="393" ht="15" customHeight="1" s="76">
      <c r="F393" s="121">
        <f>$C393-$D393</f>
        <v/>
      </c>
      <c r="G393" s="121">
        <f>"Örnek kayıt: "&amp;$A393</f>
        <v/>
      </c>
    </row>
    <row r="394" ht="15" customHeight="1" s="76">
      <c r="F394" s="121">
        <f>$C394-$D394</f>
        <v/>
      </c>
      <c r="G394" s="121">
        <f>"Örnek kayıt: "&amp;$A394</f>
        <v/>
      </c>
    </row>
    <row r="395" ht="15" customHeight="1" s="76">
      <c r="F395" s="121">
        <f>$C395-$D395</f>
        <v/>
      </c>
      <c r="G395" s="121">
        <f>"Örnek kayıt: "&amp;$A395</f>
        <v/>
      </c>
    </row>
    <row r="396" ht="15" customHeight="1" s="76">
      <c r="F396" s="121">
        <f>$C396-$D396</f>
        <v/>
      </c>
      <c r="G396" s="121">
        <f>"Örnek kayıt: "&amp;$A396</f>
        <v/>
      </c>
    </row>
    <row r="397" ht="15" customHeight="1" s="76">
      <c r="F397" s="121">
        <f>$C397-$D397</f>
        <v/>
      </c>
      <c r="G397" s="121">
        <f>"Örnek kayıt: "&amp;$A397</f>
        <v/>
      </c>
    </row>
    <row r="398" ht="15" customHeight="1" s="76">
      <c r="F398" s="121">
        <f>$C398-$D398</f>
        <v/>
      </c>
      <c r="G398" s="121">
        <f>"Örnek kayıt: "&amp;$A398</f>
        <v/>
      </c>
    </row>
    <row r="399" ht="15" customHeight="1" s="76">
      <c r="F399" s="121">
        <f>$C399-$D399</f>
        <v/>
      </c>
      <c r="G399" s="121">
        <f>"Örnek kayıt: "&amp;$A399</f>
        <v/>
      </c>
    </row>
    <row r="400" ht="15" customHeight="1" s="76">
      <c r="F400" s="121">
        <f>$C400-$D400</f>
        <v/>
      </c>
      <c r="G400" s="121">
        <f>"Örnek kayıt: "&amp;$A400</f>
        <v/>
      </c>
    </row>
    <row r="401" ht="15" customHeight="1" s="76">
      <c r="F401" s="121">
        <f>$C401-$D401</f>
        <v/>
      </c>
      <c r="G401" s="121">
        <f>"Örnek kayıt: "&amp;$A401</f>
        <v/>
      </c>
    </row>
    <row r="402" ht="15" customHeight="1" s="76">
      <c r="F402" s="121">
        <f>$C402-$D402</f>
        <v/>
      </c>
      <c r="G402" s="121">
        <f>"Örnek kayıt: "&amp;$A402</f>
        <v/>
      </c>
    </row>
    <row r="403" ht="15" customHeight="1" s="76">
      <c r="F403" s="121">
        <f>$C403-$D403</f>
        <v/>
      </c>
      <c r="G403" s="121">
        <f>"Örnek kayıt: "&amp;$A403</f>
        <v/>
      </c>
    </row>
    <row r="404" ht="15" customHeight="1" s="76">
      <c r="F404" s="121">
        <f>$C404-$D404</f>
        <v/>
      </c>
      <c r="G404" s="121">
        <f>"Örnek kayıt: "&amp;$A404</f>
        <v/>
      </c>
    </row>
    <row r="405" ht="15" customHeight="1" s="76">
      <c r="F405" s="121">
        <f>$C405-$D405</f>
        <v/>
      </c>
      <c r="G405" s="121">
        <f>"Örnek kayıt: "&amp;$A405</f>
        <v/>
      </c>
    </row>
    <row r="406" ht="15" customHeight="1" s="76">
      <c r="F406" s="121">
        <f>$C406-$D406</f>
        <v/>
      </c>
      <c r="G406" s="121">
        <f>"Örnek kayıt: "&amp;$A406</f>
        <v/>
      </c>
    </row>
    <row r="407" ht="15" customHeight="1" s="76">
      <c r="F407" s="121">
        <f>$C407-$D407</f>
        <v/>
      </c>
      <c r="G407" s="121">
        <f>"Örnek kayıt: "&amp;$A407</f>
        <v/>
      </c>
    </row>
    <row r="408" ht="15" customHeight="1" s="76">
      <c r="F408" s="121">
        <f>$C408-$D408</f>
        <v/>
      </c>
      <c r="G408" s="121">
        <f>"Örnek kayıt: "&amp;$A408</f>
        <v/>
      </c>
    </row>
    <row r="409" ht="15" customHeight="1" s="76">
      <c r="F409" s="121">
        <f>$C409-$D409</f>
        <v/>
      </c>
      <c r="G409" s="121">
        <f>"Örnek kayıt: "&amp;$A409</f>
        <v/>
      </c>
    </row>
    <row r="410" ht="15" customHeight="1" s="76">
      <c r="F410" s="121">
        <f>$C410-$D410</f>
        <v/>
      </c>
      <c r="G410" s="121">
        <f>"Örnek kayıt: "&amp;$A410</f>
        <v/>
      </c>
    </row>
    <row r="411" ht="15" customHeight="1" s="76">
      <c r="F411" s="121">
        <f>$C411-$D411</f>
        <v/>
      </c>
      <c r="G411" s="121">
        <f>"Örnek kayıt: "&amp;$A411</f>
        <v/>
      </c>
    </row>
    <row r="412" ht="15" customHeight="1" s="76">
      <c r="F412" s="121">
        <f>$C412-$D412</f>
        <v/>
      </c>
      <c r="G412" s="121">
        <f>"Örnek kayıt: "&amp;$A412</f>
        <v/>
      </c>
    </row>
    <row r="413" ht="15" customHeight="1" s="76">
      <c r="F413" s="121">
        <f>$C413-$D413</f>
        <v/>
      </c>
      <c r="G413" s="121">
        <f>"Örnek kayıt: "&amp;$A413</f>
        <v/>
      </c>
    </row>
    <row r="414" ht="15" customHeight="1" s="76">
      <c r="F414" s="121">
        <f>$C414-$D414</f>
        <v/>
      </c>
      <c r="G414" s="121">
        <f>"Örnek kayıt: "&amp;$A414</f>
        <v/>
      </c>
    </row>
    <row r="415" ht="15" customHeight="1" s="76">
      <c r="F415" s="121">
        <f>$C415-$D415</f>
        <v/>
      </c>
      <c r="G415" s="121">
        <f>"Örnek kayıt: "&amp;$A415</f>
        <v/>
      </c>
    </row>
    <row r="416" ht="15" customHeight="1" s="76">
      <c r="F416" s="121">
        <f>$C416-$D416</f>
        <v/>
      </c>
      <c r="G416" s="121">
        <f>"Örnek kayıt: "&amp;$A416</f>
        <v/>
      </c>
    </row>
    <row r="417" ht="15" customHeight="1" s="76">
      <c r="F417" s="121">
        <f>$C417-$D417</f>
        <v/>
      </c>
      <c r="G417" s="121">
        <f>"Örnek kayıt: "&amp;$A417</f>
        <v/>
      </c>
    </row>
    <row r="418" ht="15" customHeight="1" s="76">
      <c r="F418" s="121">
        <f>$C418-$D418</f>
        <v/>
      </c>
      <c r="G418" s="121">
        <f>"Örnek kayıt: "&amp;$A418</f>
        <v/>
      </c>
    </row>
    <row r="419" ht="15" customHeight="1" s="76">
      <c r="F419" s="121">
        <f>$C419-$D419</f>
        <v/>
      </c>
      <c r="G419" s="121">
        <f>"Örnek kayıt: "&amp;$A419</f>
        <v/>
      </c>
    </row>
    <row r="420" ht="15" customHeight="1" s="76">
      <c r="F420" s="121">
        <f>$C420-$D420</f>
        <v/>
      </c>
      <c r="G420" s="121">
        <f>"Örnek kayıt: "&amp;$A420</f>
        <v/>
      </c>
    </row>
    <row r="421" ht="15" customHeight="1" s="76">
      <c r="F421" s="121">
        <f>$C421-$D421</f>
        <v/>
      </c>
      <c r="G421" s="121">
        <f>"Örnek kayıt: "&amp;$A421</f>
        <v/>
      </c>
    </row>
    <row r="422" ht="15" customHeight="1" s="76">
      <c r="F422" s="121">
        <f>$C422-$D422</f>
        <v/>
      </c>
      <c r="G422" s="121">
        <f>"Örnek kayıt: "&amp;$A422</f>
        <v/>
      </c>
    </row>
    <row r="423" ht="15" customHeight="1" s="76">
      <c r="F423" s="121">
        <f>$C423-$D423</f>
        <v/>
      </c>
      <c r="G423" s="121">
        <f>"Örnek kayıt: "&amp;$A423</f>
        <v/>
      </c>
    </row>
    <row r="424" ht="15" customHeight="1" s="76">
      <c r="F424" s="121">
        <f>$C424-$D424</f>
        <v/>
      </c>
      <c r="G424" s="121">
        <f>"Örnek kayıt: "&amp;$A424</f>
        <v/>
      </c>
    </row>
    <row r="425" ht="15" customHeight="1" s="76">
      <c r="F425" s="121">
        <f>$C425-$D425</f>
        <v/>
      </c>
      <c r="G425" s="121">
        <f>"Örnek kayıt: "&amp;$A425</f>
        <v/>
      </c>
    </row>
    <row r="426" ht="15" customHeight="1" s="76">
      <c r="F426" s="121">
        <f>$C426-$D426</f>
        <v/>
      </c>
      <c r="G426" s="121">
        <f>"Örnek kayıt: "&amp;$A426</f>
        <v/>
      </c>
    </row>
    <row r="427" ht="15" customHeight="1" s="76">
      <c r="F427" s="121">
        <f>$C427-$D427</f>
        <v/>
      </c>
      <c r="G427" s="121">
        <f>"Örnek kayıt: "&amp;$A427</f>
        <v/>
      </c>
    </row>
    <row r="428" ht="15" customHeight="1" s="76">
      <c r="F428" s="121">
        <f>$C428-$D428</f>
        <v/>
      </c>
      <c r="G428" s="121">
        <f>"Örnek kayıt: "&amp;$A428</f>
        <v/>
      </c>
    </row>
    <row r="429" ht="15" customHeight="1" s="76">
      <c r="F429" s="121">
        <f>$C429-$D429</f>
        <v/>
      </c>
      <c r="G429" s="121">
        <f>"Örnek kayıt: "&amp;$A429</f>
        <v/>
      </c>
    </row>
    <row r="430" ht="15" customHeight="1" s="76">
      <c r="F430" s="121">
        <f>$C430-$D430</f>
        <v/>
      </c>
      <c r="G430" s="121">
        <f>"Örnek kayıt: "&amp;$A430</f>
        <v/>
      </c>
    </row>
    <row r="431" ht="15" customHeight="1" s="76">
      <c r="F431" s="121">
        <f>$C431-$D431</f>
        <v/>
      </c>
      <c r="G431" s="121">
        <f>"Örnek kayıt: "&amp;$A431</f>
        <v/>
      </c>
    </row>
    <row r="432" ht="15" customHeight="1" s="76">
      <c r="F432" s="121">
        <f>$C432-$D432</f>
        <v/>
      </c>
      <c r="G432" s="121">
        <f>"Örnek kayıt: "&amp;$A432</f>
        <v/>
      </c>
    </row>
    <row r="433" ht="15" customHeight="1" s="76">
      <c r="F433" s="121">
        <f>$C433-$D433</f>
        <v/>
      </c>
      <c r="G433" s="121">
        <f>"Örnek kayıt: "&amp;$A433</f>
        <v/>
      </c>
    </row>
    <row r="434" ht="15" customHeight="1" s="76">
      <c r="F434" s="121">
        <f>$C434-$D434</f>
        <v/>
      </c>
      <c r="G434" s="121">
        <f>"Örnek kayıt: "&amp;$A434</f>
        <v/>
      </c>
    </row>
    <row r="435" ht="15" customHeight="1" s="76">
      <c r="F435" s="121">
        <f>$C435-$D435</f>
        <v/>
      </c>
      <c r="G435" s="121">
        <f>"Örnek kayıt: "&amp;$A435</f>
        <v/>
      </c>
    </row>
    <row r="436" ht="15" customHeight="1" s="76">
      <c r="F436" s="121">
        <f>$C436-$D436</f>
        <v/>
      </c>
      <c r="G436" s="121">
        <f>"Örnek kayıt: "&amp;$A436</f>
        <v/>
      </c>
    </row>
    <row r="437" ht="15" customHeight="1" s="76">
      <c r="F437" s="121">
        <f>$C437-$D437</f>
        <v/>
      </c>
      <c r="G437" s="121">
        <f>"Örnek kayıt: "&amp;$A437</f>
        <v/>
      </c>
    </row>
    <row r="438" ht="15" customHeight="1" s="76">
      <c r="F438" s="121">
        <f>$C438-$D438</f>
        <v/>
      </c>
      <c r="G438" s="121">
        <f>"Örnek kayıt: "&amp;$A438</f>
        <v/>
      </c>
    </row>
    <row r="439" ht="15" customHeight="1" s="76">
      <c r="F439" s="121">
        <f>$C439-$D439</f>
        <v/>
      </c>
      <c r="G439" s="121">
        <f>"Örnek kayıt: "&amp;$A439</f>
        <v/>
      </c>
    </row>
    <row r="440" ht="15" customHeight="1" s="76">
      <c r="F440" s="121">
        <f>$C440-$D440</f>
        <v/>
      </c>
      <c r="G440" s="121">
        <f>"Örnek kayıt: "&amp;$A440</f>
        <v/>
      </c>
    </row>
    <row r="441" ht="15" customHeight="1" s="76">
      <c r="F441" s="121">
        <f>$C441-$D441</f>
        <v/>
      </c>
      <c r="G441" s="121">
        <f>"Örnek kayıt: "&amp;$A441</f>
        <v/>
      </c>
    </row>
    <row r="442" ht="15" customHeight="1" s="76">
      <c r="F442" s="121">
        <f>$C442-$D442</f>
        <v/>
      </c>
      <c r="G442" s="121">
        <f>"Örnek kayıt: "&amp;$A442</f>
        <v/>
      </c>
    </row>
    <row r="443" ht="15" customHeight="1" s="76">
      <c r="F443" s="121">
        <f>$C443-$D443</f>
        <v/>
      </c>
      <c r="G443" s="121">
        <f>"Örnek kayıt: "&amp;$A443</f>
        <v/>
      </c>
    </row>
    <row r="444" ht="15" customHeight="1" s="76">
      <c r="F444" s="121">
        <f>$C444-$D444</f>
        <v/>
      </c>
      <c r="G444" s="121">
        <f>"Örnek kayıt: "&amp;$A444</f>
        <v/>
      </c>
    </row>
    <row r="445" ht="15" customHeight="1" s="76">
      <c r="F445" s="121">
        <f>$C445-$D445</f>
        <v/>
      </c>
      <c r="G445" s="121">
        <f>"Örnek kayıt: "&amp;$A445</f>
        <v/>
      </c>
    </row>
    <row r="446" ht="15" customHeight="1" s="76">
      <c r="F446" s="121">
        <f>$C446-$D446</f>
        <v/>
      </c>
      <c r="G446" s="121">
        <f>"Örnek kayıt: "&amp;$A446</f>
        <v/>
      </c>
    </row>
    <row r="447" ht="15" customHeight="1" s="76">
      <c r="F447" s="121">
        <f>$C447-$D447</f>
        <v/>
      </c>
      <c r="G447" s="121">
        <f>"Örnek kayıt: "&amp;$A447</f>
        <v/>
      </c>
    </row>
    <row r="448" ht="15" customHeight="1" s="76">
      <c r="F448" s="121">
        <f>$C448-$D448</f>
        <v/>
      </c>
      <c r="G448" s="121">
        <f>"Örnek kayıt: "&amp;$A448</f>
        <v/>
      </c>
    </row>
    <row r="449" ht="15" customHeight="1" s="76">
      <c r="F449" s="121">
        <f>$C449-$D449</f>
        <v/>
      </c>
      <c r="G449" s="121">
        <f>"Örnek kayıt: "&amp;$A449</f>
        <v/>
      </c>
    </row>
    <row r="450" ht="15" customHeight="1" s="76">
      <c r="F450" s="121">
        <f>$C450-$D450</f>
        <v/>
      </c>
      <c r="G450" s="121">
        <f>"Örnek kayıt: "&amp;$A450</f>
        <v/>
      </c>
    </row>
    <row r="451" ht="15" customHeight="1" s="76">
      <c r="F451" s="121">
        <f>$C451-$D451</f>
        <v/>
      </c>
      <c r="G451" s="121">
        <f>"Örnek kayıt: "&amp;$A451</f>
        <v/>
      </c>
    </row>
    <row r="452" ht="15" customHeight="1" s="76">
      <c r="F452" s="121">
        <f>$C452-$D452</f>
        <v/>
      </c>
      <c r="G452" s="121">
        <f>"Örnek kayıt: "&amp;$A452</f>
        <v/>
      </c>
    </row>
    <row r="453" ht="15" customHeight="1" s="76">
      <c r="F453" s="121">
        <f>$C453-$D453</f>
        <v/>
      </c>
      <c r="G453" s="121">
        <f>"Örnek kayıt: "&amp;$A453</f>
        <v/>
      </c>
    </row>
    <row r="454" ht="15" customHeight="1" s="76">
      <c r="F454" s="121">
        <f>$C454-$D454</f>
        <v/>
      </c>
      <c r="G454" s="121">
        <f>"Örnek kayıt: "&amp;$A454</f>
        <v/>
      </c>
    </row>
    <row r="455" ht="15" customHeight="1" s="76">
      <c r="F455" s="121">
        <f>$C455-$D455</f>
        <v/>
      </c>
      <c r="G455" s="121">
        <f>"Örnek kayıt: "&amp;$A455</f>
        <v/>
      </c>
    </row>
    <row r="456" ht="15" customHeight="1" s="76">
      <c r="F456" s="121">
        <f>$C456-$D456</f>
        <v/>
      </c>
      <c r="G456" s="121">
        <f>"Örnek kayıt: "&amp;$A456</f>
        <v/>
      </c>
    </row>
    <row r="457" ht="15" customHeight="1" s="76">
      <c r="F457" s="121">
        <f>$C457-$D457</f>
        <v/>
      </c>
      <c r="G457" s="121">
        <f>"Örnek kayıt: "&amp;$A457</f>
        <v/>
      </c>
    </row>
    <row r="458" ht="15" customHeight="1" s="76">
      <c r="F458" s="121">
        <f>$C458-$D458</f>
        <v/>
      </c>
      <c r="G458" s="121">
        <f>"Örnek kayıt: "&amp;$A458</f>
        <v/>
      </c>
    </row>
    <row r="459" ht="15" customHeight="1" s="76">
      <c r="F459" s="121">
        <f>$C459-$D459</f>
        <v/>
      </c>
      <c r="G459" s="121">
        <f>"Örnek kayıt: "&amp;$A459</f>
        <v/>
      </c>
    </row>
    <row r="460" ht="15" customHeight="1" s="76">
      <c r="F460" s="121">
        <f>$C460-$D460</f>
        <v/>
      </c>
      <c r="G460" s="121">
        <f>"Örnek kayıt: "&amp;$A460</f>
        <v/>
      </c>
    </row>
    <row r="461" ht="15" customHeight="1" s="76">
      <c r="F461" s="121">
        <f>$C461-$D461</f>
        <v/>
      </c>
      <c r="G461" s="121">
        <f>"Örnek kayıt: "&amp;$A461</f>
        <v/>
      </c>
    </row>
    <row r="462" ht="15" customHeight="1" s="76">
      <c r="F462" s="121">
        <f>$C462-$D462</f>
        <v/>
      </c>
      <c r="G462" s="121">
        <f>"Örnek kayıt: "&amp;$A462</f>
        <v/>
      </c>
    </row>
    <row r="463" ht="15" customHeight="1" s="76">
      <c r="F463" s="121">
        <f>$C463-$D463</f>
        <v/>
      </c>
      <c r="G463" s="121">
        <f>"Örnek kayıt: "&amp;$A463</f>
        <v/>
      </c>
    </row>
    <row r="464" ht="15" customHeight="1" s="76">
      <c r="F464" s="121">
        <f>$C464-$D464</f>
        <v/>
      </c>
      <c r="G464" s="121">
        <f>"Örnek kayıt: "&amp;$A464</f>
        <v/>
      </c>
    </row>
    <row r="465" ht="15" customHeight="1" s="76">
      <c r="F465" s="121">
        <f>$C465-$D465</f>
        <v/>
      </c>
      <c r="G465" s="121">
        <f>"Örnek kayıt: "&amp;$A465</f>
        <v/>
      </c>
    </row>
    <row r="466" ht="15" customHeight="1" s="76">
      <c r="F466" s="121">
        <f>$C466-$D466</f>
        <v/>
      </c>
      <c r="G466" s="121">
        <f>"Örnek kayıt: "&amp;$A466</f>
        <v/>
      </c>
    </row>
    <row r="467" ht="15" customHeight="1" s="76">
      <c r="F467" s="121">
        <f>$C467-$D467</f>
        <v/>
      </c>
      <c r="G467" s="121">
        <f>"Örnek kayıt: "&amp;$A467</f>
        <v/>
      </c>
    </row>
    <row r="468" ht="15" customHeight="1" s="76">
      <c r="F468" s="121">
        <f>$C468-$D468</f>
        <v/>
      </c>
      <c r="G468" s="121">
        <f>"Örnek kayıt: "&amp;$A468</f>
        <v/>
      </c>
    </row>
    <row r="469" ht="15" customHeight="1" s="76">
      <c r="F469" s="121">
        <f>$C469-$D469</f>
        <v/>
      </c>
      <c r="G469" s="121">
        <f>"Örnek kayıt: "&amp;$A469</f>
        <v/>
      </c>
    </row>
    <row r="470" ht="15" customHeight="1" s="76">
      <c r="F470" s="121">
        <f>$C470-$D470</f>
        <v/>
      </c>
      <c r="G470" s="121">
        <f>"Örnek kayıt: "&amp;$A470</f>
        <v/>
      </c>
    </row>
    <row r="471" ht="15" customHeight="1" s="76">
      <c r="F471" s="121">
        <f>$C471-$D471</f>
        <v/>
      </c>
      <c r="G471" s="121">
        <f>"Örnek kayıt: "&amp;$A471</f>
        <v/>
      </c>
    </row>
    <row r="472" ht="15" customHeight="1" s="76">
      <c r="F472" s="121">
        <f>$C472-$D472</f>
        <v/>
      </c>
      <c r="G472" s="121">
        <f>"Örnek kayıt: "&amp;$A472</f>
        <v/>
      </c>
    </row>
    <row r="473" ht="15" customHeight="1" s="76">
      <c r="F473" s="121">
        <f>$C473-$D473</f>
        <v/>
      </c>
      <c r="G473" s="121">
        <f>"Örnek kayıt: "&amp;$A473</f>
        <v/>
      </c>
    </row>
    <row r="474" ht="15" customHeight="1" s="76">
      <c r="F474" s="121">
        <f>$C474-$D474</f>
        <v/>
      </c>
      <c r="G474" s="121">
        <f>"Örnek kayıt: "&amp;$A474</f>
        <v/>
      </c>
    </row>
    <row r="475" ht="15" customHeight="1" s="76">
      <c r="F475" s="121">
        <f>$C475-$D475</f>
        <v/>
      </c>
      <c r="G475" s="121">
        <f>"Örnek kayıt: "&amp;$A475</f>
        <v/>
      </c>
    </row>
    <row r="476" ht="15" customHeight="1" s="76">
      <c r="F476" s="121">
        <f>$C476-$D476</f>
        <v/>
      </c>
      <c r="G476" s="121">
        <f>"Örnek kayıt: "&amp;$A476</f>
        <v/>
      </c>
    </row>
    <row r="477" ht="15" customHeight="1" s="76">
      <c r="F477" s="121">
        <f>$C477-$D477</f>
        <v/>
      </c>
      <c r="G477" s="121">
        <f>"Örnek kayıt: "&amp;$A477</f>
        <v/>
      </c>
    </row>
    <row r="478" ht="15" customHeight="1" s="76">
      <c r="F478" s="121">
        <f>$C478-$D478</f>
        <v/>
      </c>
      <c r="G478" s="121">
        <f>"Örnek kayıt: "&amp;$A478</f>
        <v/>
      </c>
    </row>
    <row r="479" ht="15" customHeight="1" s="76">
      <c r="F479" s="121">
        <f>$C479-$D479</f>
        <v/>
      </c>
      <c r="G479" s="121">
        <f>"Örnek kayıt: "&amp;$A479</f>
        <v/>
      </c>
    </row>
    <row r="480" ht="15" customHeight="1" s="76">
      <c r="F480" s="121">
        <f>$C480-$D480</f>
        <v/>
      </c>
      <c r="G480" s="121">
        <f>"Örnek kayıt: "&amp;$A480</f>
        <v/>
      </c>
    </row>
    <row r="481" ht="15" customHeight="1" s="76">
      <c r="F481" s="121">
        <f>$C481-$D481</f>
        <v/>
      </c>
      <c r="G481" s="121">
        <f>"Örnek kayıt: "&amp;$A481</f>
        <v/>
      </c>
    </row>
    <row r="482" ht="15" customHeight="1" s="76">
      <c r="F482" s="121">
        <f>$C482-$D482</f>
        <v/>
      </c>
      <c r="G482" s="121">
        <f>"Örnek kayıt: "&amp;$A482</f>
        <v/>
      </c>
    </row>
    <row r="483" ht="15" customHeight="1" s="76">
      <c r="F483" s="121">
        <f>$C483-$D483</f>
        <v/>
      </c>
      <c r="G483" s="121">
        <f>"Örnek kayıt: "&amp;$A483</f>
        <v/>
      </c>
    </row>
    <row r="484" ht="15" customHeight="1" s="76">
      <c r="F484" s="121">
        <f>$C484-$D484</f>
        <v/>
      </c>
      <c r="G484" s="121">
        <f>"Örnek kayıt: "&amp;$A484</f>
        <v/>
      </c>
    </row>
    <row r="485" ht="15" customHeight="1" s="76">
      <c r="F485" s="121">
        <f>$C485-$D485</f>
        <v/>
      </c>
      <c r="G485" s="121">
        <f>"Örnek kayıt: "&amp;$A485</f>
        <v/>
      </c>
    </row>
    <row r="486" ht="15" customHeight="1" s="76">
      <c r="F486" s="121">
        <f>$C486-$D486</f>
        <v/>
      </c>
      <c r="G486" s="121">
        <f>"Örnek kayıt: "&amp;$A486</f>
        <v/>
      </c>
    </row>
    <row r="487" ht="15" customHeight="1" s="76">
      <c r="F487" s="121">
        <f>$C487-$D487</f>
        <v/>
      </c>
      <c r="G487" s="121">
        <f>"Örnek kayıt: "&amp;$A487</f>
        <v/>
      </c>
    </row>
    <row r="488" ht="15" customHeight="1" s="76">
      <c r="F488" s="121">
        <f>$C488-$D488</f>
        <v/>
      </c>
      <c r="G488" s="121">
        <f>"Örnek kayıt: "&amp;$A488</f>
        <v/>
      </c>
    </row>
    <row r="489" ht="15" customHeight="1" s="76">
      <c r="F489" s="121">
        <f>$C489-$D489</f>
        <v/>
      </c>
      <c r="G489" s="121">
        <f>"Örnek kayıt: "&amp;$A489</f>
        <v/>
      </c>
    </row>
    <row r="490" ht="15" customHeight="1" s="76">
      <c r="F490" s="121">
        <f>$C490-$D490</f>
        <v/>
      </c>
      <c r="G490" s="121">
        <f>"Örnek kayıt: "&amp;$A490</f>
        <v/>
      </c>
    </row>
    <row r="491" ht="15" customHeight="1" s="76">
      <c r="F491" s="121">
        <f>$C491-$D491</f>
        <v/>
      </c>
      <c r="G491" s="121">
        <f>"Örnek kayıt: "&amp;$A491</f>
        <v/>
      </c>
    </row>
    <row r="492" ht="15" customHeight="1" s="76">
      <c r="F492" s="121">
        <f>$C492-$D492</f>
        <v/>
      </c>
      <c r="G492" s="121">
        <f>"Örnek kayıt: "&amp;$A492</f>
        <v/>
      </c>
    </row>
    <row r="493" ht="15" customHeight="1" s="76">
      <c r="F493" s="121">
        <f>$C493-$D493</f>
        <v/>
      </c>
      <c r="G493" s="121">
        <f>"Örnek kayıt: "&amp;$A493</f>
        <v/>
      </c>
    </row>
    <row r="494" ht="15" customHeight="1" s="76">
      <c r="F494" s="121">
        <f>$C494-$D494</f>
        <v/>
      </c>
      <c r="G494" s="121">
        <f>"Örnek kayıt: "&amp;$A494</f>
        <v/>
      </c>
    </row>
    <row r="495" ht="15" customHeight="1" s="76">
      <c r="F495" s="121">
        <f>$C495-$D495</f>
        <v/>
      </c>
      <c r="G495" s="121">
        <f>"Örnek kayıt: "&amp;$A495</f>
        <v/>
      </c>
    </row>
    <row r="496" ht="15" customHeight="1" s="76">
      <c r="F496" s="121">
        <f>$C496-$D496</f>
        <v/>
      </c>
      <c r="G496" s="121">
        <f>"Örnek kayıt: "&amp;$A496</f>
        <v/>
      </c>
    </row>
    <row r="497" ht="15" customHeight="1" s="76">
      <c r="F497" s="121">
        <f>$C497-$D497</f>
        <v/>
      </c>
      <c r="G497" s="121">
        <f>"Örnek kayıt: "&amp;$A497</f>
        <v/>
      </c>
    </row>
    <row r="498" ht="15" customHeight="1" s="76">
      <c r="F498" s="121">
        <f>$C498-$D498</f>
        <v/>
      </c>
      <c r="G498" s="121">
        <f>"Örnek kayıt: "&amp;$A498</f>
        <v/>
      </c>
    </row>
    <row r="499" ht="15" customHeight="1" s="76">
      <c r="F499" s="121">
        <f>$C499-$D499</f>
        <v/>
      </c>
      <c r="G499" s="121">
        <f>"Örnek kayıt: "&amp;$A499</f>
        <v/>
      </c>
    </row>
    <row r="500" ht="15" customHeight="1" s="76">
      <c r="F500" s="121">
        <f>$C500-$D500</f>
        <v/>
      </c>
      <c r="G500" s="121">
        <f>"Örnek kayıt: "&amp;$A500</f>
        <v/>
      </c>
    </row>
    <row r="501" ht="15" customHeight="1" s="76">
      <c r="F501" s="121">
        <f>$C501-$D501</f>
        <v/>
      </c>
      <c r="G501" s="121">
        <f>"Örnek kayıt: "&amp;$A501</f>
        <v/>
      </c>
    </row>
    <row r="502" ht="15" customHeight="1" s="76">
      <c r="F502" s="121">
        <f>$C502-$D502</f>
        <v/>
      </c>
      <c r="G502" s="121">
        <f>"Örnek kayıt: "&amp;$A502</f>
        <v/>
      </c>
    </row>
    <row r="503" ht="15" customHeight="1" s="76">
      <c r="F503" s="121">
        <f>$C503-$D503</f>
        <v/>
      </c>
      <c r="G503" s="121">
        <f>"Örnek kayıt: "&amp;$A503</f>
        <v/>
      </c>
    </row>
    <row r="504" ht="15" customHeight="1" s="76">
      <c r="F504" s="121">
        <f>$C504-$D504</f>
        <v/>
      </c>
      <c r="G504" s="121">
        <f>"Örnek kayıt: "&amp;$A504</f>
        <v/>
      </c>
    </row>
    <row r="505" ht="15" customHeight="1" s="76">
      <c r="F505" s="121">
        <f>$C505-$D505</f>
        <v/>
      </c>
      <c r="G505" s="121">
        <f>"Örnek kayıt: "&amp;$A505</f>
        <v/>
      </c>
    </row>
    <row r="506" ht="15" customHeight="1" s="76">
      <c r="F506" s="121">
        <f>$C506-$D506</f>
        <v/>
      </c>
      <c r="G506" s="121">
        <f>"Örnek kayıt: "&amp;$A506</f>
        <v/>
      </c>
    </row>
    <row r="507" ht="15" customHeight="1" s="76">
      <c r="F507" s="121">
        <f>$C507-$D507</f>
        <v/>
      </c>
      <c r="G507" s="121">
        <f>"Örnek kayıt: "&amp;$A507</f>
        <v/>
      </c>
    </row>
    <row r="508" ht="15" customHeight="1" s="76">
      <c r="F508" s="121">
        <f>$C508-$D508</f>
        <v/>
      </c>
      <c r="G508" s="121">
        <f>"Örnek kayıt: "&amp;$A508</f>
        <v/>
      </c>
    </row>
    <row r="509" ht="15" customHeight="1" s="76">
      <c r="F509" s="121">
        <f>$C509-$D509</f>
        <v/>
      </c>
      <c r="G509" s="121">
        <f>"Örnek kayıt: "&amp;$A509</f>
        <v/>
      </c>
    </row>
    <row r="510" ht="15" customHeight="1" s="76">
      <c r="F510" s="121">
        <f>$C510-$D510</f>
        <v/>
      </c>
      <c r="G510" s="121">
        <f>"Örnek kayıt: "&amp;$A510</f>
        <v/>
      </c>
    </row>
    <row r="511" ht="15" customHeight="1" s="76">
      <c r="F511" s="121">
        <f>$C511-$D511</f>
        <v/>
      </c>
      <c r="G511" s="121">
        <f>"Örnek kayıt: "&amp;$A511</f>
        <v/>
      </c>
    </row>
    <row r="512" ht="15" customHeight="1" s="76">
      <c r="F512" s="121">
        <f>$C512-$D512</f>
        <v/>
      </c>
      <c r="G512" s="121">
        <f>"Örnek kayıt: "&amp;$A512</f>
        <v/>
      </c>
    </row>
    <row r="513" ht="15" customHeight="1" s="76">
      <c r="F513" s="121">
        <f>$C513-$D513</f>
        <v/>
      </c>
      <c r="G513" s="121">
        <f>"Örnek kayıt: "&amp;$A513</f>
        <v/>
      </c>
    </row>
    <row r="514" ht="15" customHeight="1" s="76">
      <c r="F514" s="121">
        <f>$C514-$D514</f>
        <v/>
      </c>
      <c r="G514" s="121">
        <f>"Örnek kayıt: "&amp;$A514</f>
        <v/>
      </c>
    </row>
    <row r="515" ht="15" customHeight="1" s="76">
      <c r="F515" s="121">
        <f>$C515-$D515</f>
        <v/>
      </c>
      <c r="G515" s="121">
        <f>"Örnek kayıt: "&amp;$A515</f>
        <v/>
      </c>
    </row>
    <row r="516" ht="15" customHeight="1" s="76">
      <c r="F516" s="121">
        <f>$C516-$D516</f>
        <v/>
      </c>
      <c r="G516" s="121">
        <f>"Örnek kayıt: "&amp;$A516</f>
        <v/>
      </c>
    </row>
    <row r="517" ht="15" customHeight="1" s="76">
      <c r="F517" s="121">
        <f>$C517-$D517</f>
        <v/>
      </c>
      <c r="G517" s="121">
        <f>"Örnek kayıt: "&amp;$A517</f>
        <v/>
      </c>
    </row>
    <row r="518" ht="15" customHeight="1" s="76">
      <c r="F518" s="121">
        <f>$C518-$D518</f>
        <v/>
      </c>
      <c r="G518" s="121">
        <f>"Örnek kayıt: "&amp;$A518</f>
        <v/>
      </c>
    </row>
    <row r="519" ht="15" customHeight="1" s="76">
      <c r="F519" s="121">
        <f>$C519-$D519</f>
        <v/>
      </c>
      <c r="G519" s="121">
        <f>"Örnek kayıt: "&amp;$A519</f>
        <v/>
      </c>
    </row>
    <row r="520" ht="15" customHeight="1" s="76">
      <c r="F520" s="121">
        <f>$C520-$D520</f>
        <v/>
      </c>
      <c r="G520" s="121">
        <f>"Örnek kayıt: "&amp;$A520</f>
        <v/>
      </c>
    </row>
    <row r="521" ht="15" customHeight="1" s="76">
      <c r="F521" s="121">
        <f>$C521-$D521</f>
        <v/>
      </c>
      <c r="G521" s="121">
        <f>"Örnek kayıt: "&amp;$A521</f>
        <v/>
      </c>
    </row>
    <row r="522" ht="15" customHeight="1" s="76">
      <c r="F522" s="121">
        <f>$C522-$D522</f>
        <v/>
      </c>
      <c r="G522" s="121">
        <f>"Örnek kayıt: "&amp;$A522</f>
        <v/>
      </c>
    </row>
    <row r="523" ht="15" customHeight="1" s="76">
      <c r="F523" s="121">
        <f>$C523-$D523</f>
        <v/>
      </c>
      <c r="G523" s="121">
        <f>"Örnek kayıt: "&amp;$A523</f>
        <v/>
      </c>
    </row>
    <row r="524" ht="15" customHeight="1" s="76">
      <c r="F524" s="121">
        <f>$C524-$D524</f>
        <v/>
      </c>
      <c r="G524" s="121">
        <f>"Örnek kayıt: "&amp;$A524</f>
        <v/>
      </c>
    </row>
    <row r="525" ht="15" customHeight="1" s="76">
      <c r="F525" s="121">
        <f>$C525-$D525</f>
        <v/>
      </c>
      <c r="G525" s="121">
        <f>"Örnek kayıt: "&amp;$A525</f>
        <v/>
      </c>
    </row>
    <row r="526" ht="15" customHeight="1" s="76">
      <c r="F526" s="121">
        <f>$C526-$D526</f>
        <v/>
      </c>
      <c r="G526" s="121">
        <f>"Örnek kayıt: "&amp;$A526</f>
        <v/>
      </c>
    </row>
    <row r="527" ht="15" customHeight="1" s="76">
      <c r="F527" s="121">
        <f>$C527-$D527</f>
        <v/>
      </c>
      <c r="G527" s="121">
        <f>"Örnek kayıt: "&amp;$A527</f>
        <v/>
      </c>
    </row>
    <row r="528" ht="15" customHeight="1" s="76">
      <c r="F528" s="121">
        <f>$C528-$D528</f>
        <v/>
      </c>
      <c r="G528" s="121">
        <f>"Örnek kayıt: "&amp;$A528</f>
        <v/>
      </c>
    </row>
    <row r="529" ht="15" customHeight="1" s="76">
      <c r="F529" s="121">
        <f>$C529-$D529</f>
        <v/>
      </c>
      <c r="G529" s="121">
        <f>"Örnek kayıt: "&amp;$A529</f>
        <v/>
      </c>
    </row>
    <row r="530" ht="15" customHeight="1" s="76">
      <c r="F530" s="121">
        <f>$C530-$D530</f>
        <v/>
      </c>
      <c r="G530" s="121">
        <f>"Örnek kayıt: "&amp;$A530</f>
        <v/>
      </c>
    </row>
    <row r="531" ht="15" customHeight="1" s="76">
      <c r="F531" s="121">
        <f>$C531-$D531</f>
        <v/>
      </c>
      <c r="G531" s="121">
        <f>"Örnek kayıt: "&amp;$A531</f>
        <v/>
      </c>
    </row>
    <row r="532" ht="15" customHeight="1" s="76">
      <c r="F532" s="121">
        <f>$C532-$D532</f>
        <v/>
      </c>
      <c r="G532" s="121">
        <f>"Örnek kayıt: "&amp;$A532</f>
        <v/>
      </c>
    </row>
    <row r="533" ht="15" customHeight="1" s="76">
      <c r="F533" s="121">
        <f>$C533-$D533</f>
        <v/>
      </c>
      <c r="G533" s="121">
        <f>"Örnek kayıt: "&amp;$A533</f>
        <v/>
      </c>
    </row>
    <row r="534" ht="15" customHeight="1" s="76">
      <c r="F534" s="121">
        <f>$C534-$D534</f>
        <v/>
      </c>
      <c r="G534" s="121">
        <f>"Örnek kayıt: "&amp;$A534</f>
        <v/>
      </c>
    </row>
    <row r="535" ht="15" customHeight="1" s="76">
      <c r="F535" s="121">
        <f>$C535-$D535</f>
        <v/>
      </c>
      <c r="G535" s="121">
        <f>"Örnek kayıt: "&amp;$A535</f>
        <v/>
      </c>
    </row>
    <row r="536" ht="15" customHeight="1" s="76">
      <c r="F536" s="121">
        <f>$C536-$D536</f>
        <v/>
      </c>
      <c r="G536" s="121">
        <f>"Örnek kayıt: "&amp;$A536</f>
        <v/>
      </c>
    </row>
    <row r="537" ht="15" customHeight="1" s="76">
      <c r="F537" s="121">
        <f>$C537-$D537</f>
        <v/>
      </c>
      <c r="G537" s="121">
        <f>"Örnek kayıt: "&amp;$A537</f>
        <v/>
      </c>
    </row>
    <row r="538" ht="15" customHeight="1" s="76">
      <c r="F538" s="121">
        <f>$C538-$D538</f>
        <v/>
      </c>
      <c r="G538" s="121">
        <f>"Örnek kayıt: "&amp;$A538</f>
        <v/>
      </c>
    </row>
    <row r="539" ht="15" customHeight="1" s="76">
      <c r="F539" s="121">
        <f>$C539-$D539</f>
        <v/>
      </c>
      <c r="G539" s="121">
        <f>"Örnek kayıt: "&amp;$A539</f>
        <v/>
      </c>
    </row>
    <row r="540" ht="15" customHeight="1" s="76">
      <c r="F540" s="121">
        <f>$C540-$D540</f>
        <v/>
      </c>
      <c r="G540" s="121">
        <f>"Örnek kayıt: "&amp;$A540</f>
        <v/>
      </c>
    </row>
    <row r="541" ht="15" customHeight="1" s="76">
      <c r="F541" s="121">
        <f>$C541-$D541</f>
        <v/>
      </c>
      <c r="G541" s="121">
        <f>"Örnek kayıt: "&amp;$A541</f>
        <v/>
      </c>
    </row>
    <row r="542" ht="15" customHeight="1" s="76">
      <c r="F542" s="121">
        <f>$C542-$D542</f>
        <v/>
      </c>
      <c r="G542" s="121">
        <f>"Örnek kayıt: "&amp;$A542</f>
        <v/>
      </c>
    </row>
    <row r="543" ht="15" customHeight="1" s="76">
      <c r="F543" s="121">
        <f>$C543-$D543</f>
        <v/>
      </c>
      <c r="G543" s="121">
        <f>"Örnek kayıt: "&amp;$A543</f>
        <v/>
      </c>
    </row>
    <row r="544" ht="15" customHeight="1" s="76">
      <c r="F544" s="121">
        <f>$C544-$D544</f>
        <v/>
      </c>
      <c r="G544" s="121">
        <f>"Örnek kayıt: "&amp;$A544</f>
        <v/>
      </c>
    </row>
    <row r="545" ht="15" customHeight="1" s="76">
      <c r="F545" s="121">
        <f>$C545-$D545</f>
        <v/>
      </c>
      <c r="G545" s="121">
        <f>"Örnek kayıt: "&amp;$A545</f>
        <v/>
      </c>
    </row>
    <row r="546" ht="15" customHeight="1" s="76">
      <c r="F546" s="121">
        <f>$C546-$D546</f>
        <v/>
      </c>
      <c r="G546" s="121">
        <f>"Örnek kayıt: "&amp;$A546</f>
        <v/>
      </c>
    </row>
    <row r="547" ht="15" customHeight="1" s="76">
      <c r="F547" s="121">
        <f>$C547-$D547</f>
        <v/>
      </c>
      <c r="G547" s="121">
        <f>"Örnek kayıt: "&amp;$A547</f>
        <v/>
      </c>
    </row>
    <row r="548" ht="15" customHeight="1" s="76">
      <c r="F548" s="121">
        <f>$C548-$D548</f>
        <v/>
      </c>
      <c r="G548" s="121">
        <f>"Örnek kayıt: "&amp;$A548</f>
        <v/>
      </c>
    </row>
    <row r="549" ht="15" customHeight="1" s="76">
      <c r="F549" s="121">
        <f>$C549-$D549</f>
        <v/>
      </c>
      <c r="G549" s="121">
        <f>"Örnek kayıt: "&amp;$A549</f>
        <v/>
      </c>
    </row>
    <row r="550" ht="15" customHeight="1" s="76">
      <c r="F550" s="121">
        <f>$C550-$D550</f>
        <v/>
      </c>
      <c r="G550" s="121">
        <f>"Örnek kayıt: "&amp;$A550</f>
        <v/>
      </c>
    </row>
    <row r="551" ht="15" customHeight="1" s="76">
      <c r="F551" s="121">
        <f>$C551-$D551</f>
        <v/>
      </c>
      <c r="G551" s="121">
        <f>"Örnek kayıt: "&amp;$A551</f>
        <v/>
      </c>
    </row>
    <row r="552" ht="15" customHeight="1" s="76">
      <c r="F552" s="121">
        <f>$C552-$D552</f>
        <v/>
      </c>
      <c r="G552" s="121">
        <f>"Örnek kayıt: "&amp;$A552</f>
        <v/>
      </c>
    </row>
    <row r="553" ht="15" customHeight="1" s="76">
      <c r="F553" s="121">
        <f>$C553-$D553</f>
        <v/>
      </c>
      <c r="G553" s="121">
        <f>"Örnek kayıt: "&amp;$A553</f>
        <v/>
      </c>
    </row>
    <row r="554" ht="15" customHeight="1" s="76">
      <c r="F554" s="121">
        <f>$C554-$D554</f>
        <v/>
      </c>
      <c r="G554" s="121">
        <f>"Örnek kayıt: "&amp;$A554</f>
        <v/>
      </c>
    </row>
    <row r="555" ht="15" customHeight="1" s="76">
      <c r="F555" s="121">
        <f>$C555-$D555</f>
        <v/>
      </c>
      <c r="G555" s="121">
        <f>"Örnek kayıt: "&amp;$A555</f>
        <v/>
      </c>
    </row>
    <row r="556" ht="15" customHeight="1" s="76">
      <c r="F556" s="121">
        <f>$C556-$D556</f>
        <v/>
      </c>
      <c r="G556" s="121">
        <f>"Örnek kayıt: "&amp;$A556</f>
        <v/>
      </c>
    </row>
    <row r="557" ht="15" customHeight="1" s="76">
      <c r="F557" s="121">
        <f>$C557-$D557</f>
        <v/>
      </c>
      <c r="G557" s="121">
        <f>"Örnek kayıt: "&amp;$A557</f>
        <v/>
      </c>
    </row>
    <row r="558" ht="15" customHeight="1" s="76">
      <c r="F558" s="121">
        <f>$C558-$D558</f>
        <v/>
      </c>
      <c r="G558" s="121">
        <f>"Örnek kayıt: "&amp;$A558</f>
        <v/>
      </c>
    </row>
    <row r="559" ht="15" customHeight="1" s="76">
      <c r="F559" s="121">
        <f>$C559-$D559</f>
        <v/>
      </c>
      <c r="G559" s="121">
        <f>"Örnek kayıt: "&amp;$A559</f>
        <v/>
      </c>
    </row>
    <row r="560" ht="15" customHeight="1" s="76">
      <c r="F560" s="121">
        <f>$C560-$D560</f>
        <v/>
      </c>
      <c r="G560" s="121">
        <f>"Örnek kayıt: "&amp;$A560</f>
        <v/>
      </c>
    </row>
    <row r="561" ht="15" customHeight="1" s="76">
      <c r="F561" s="121">
        <f>$C561-$D561</f>
        <v/>
      </c>
      <c r="G561" s="121">
        <f>"Örnek kayıt: "&amp;$A561</f>
        <v/>
      </c>
    </row>
    <row r="562" ht="15" customHeight="1" s="76">
      <c r="F562" s="121">
        <f>$C562-$D562</f>
        <v/>
      </c>
      <c r="G562" s="121">
        <f>"Örnek kayıt: "&amp;$A562</f>
        <v/>
      </c>
    </row>
    <row r="563" ht="15" customHeight="1" s="76">
      <c r="F563" s="121">
        <f>$C563-$D563</f>
        <v/>
      </c>
      <c r="G563" s="121">
        <f>"Örnek kayıt: "&amp;$A563</f>
        <v/>
      </c>
    </row>
    <row r="564" ht="15" customHeight="1" s="76">
      <c r="F564" s="121">
        <f>$C564-$D564</f>
        <v/>
      </c>
      <c r="G564" s="121">
        <f>"Örnek kayıt: "&amp;$A564</f>
        <v/>
      </c>
    </row>
    <row r="565" ht="15" customHeight="1" s="76">
      <c r="F565" s="121">
        <f>$C565-$D565</f>
        <v/>
      </c>
      <c r="G565" s="121">
        <f>"Örnek kayıt: "&amp;$A565</f>
        <v/>
      </c>
    </row>
    <row r="566" ht="15" customHeight="1" s="76">
      <c r="F566" s="121">
        <f>$C566-$D566</f>
        <v/>
      </c>
      <c r="G566" s="121">
        <f>"Örnek kayıt: "&amp;$A566</f>
        <v/>
      </c>
    </row>
    <row r="567" ht="15" customHeight="1" s="76">
      <c r="F567" s="121">
        <f>$C567-$D567</f>
        <v/>
      </c>
      <c r="G567" s="121">
        <f>"Örnek kayıt: "&amp;$A567</f>
        <v/>
      </c>
    </row>
    <row r="568" ht="15" customHeight="1" s="76">
      <c r="F568" s="121">
        <f>$C568-$D568</f>
        <v/>
      </c>
      <c r="G568" s="121">
        <f>"Örnek kayıt: "&amp;$A568</f>
        <v/>
      </c>
    </row>
    <row r="569" ht="15" customHeight="1" s="76">
      <c r="F569" s="121">
        <f>$C569-$D569</f>
        <v/>
      </c>
      <c r="G569" s="121">
        <f>"Örnek kayıt: "&amp;$A569</f>
        <v/>
      </c>
    </row>
    <row r="570" ht="15" customHeight="1" s="76">
      <c r="F570" s="121">
        <f>$C570-$D570</f>
        <v/>
      </c>
      <c r="G570" s="121">
        <f>"Örnek kayıt: "&amp;$A570</f>
        <v/>
      </c>
    </row>
    <row r="571" ht="15" customHeight="1" s="76">
      <c r="F571" s="121">
        <f>$C571-$D571</f>
        <v/>
      </c>
      <c r="G571" s="121">
        <f>"Örnek kayıt: "&amp;$A571</f>
        <v/>
      </c>
    </row>
    <row r="572" ht="15" customHeight="1" s="76">
      <c r="F572" s="121">
        <f>$C572-$D572</f>
        <v/>
      </c>
      <c r="G572" s="121">
        <f>"Örnek kayıt: "&amp;$A572</f>
        <v/>
      </c>
    </row>
    <row r="573" ht="15" customHeight="1" s="76">
      <c r="F573" s="121">
        <f>$C573-$D573</f>
        <v/>
      </c>
      <c r="G573" s="121">
        <f>"Örnek kayıt: "&amp;$A573</f>
        <v/>
      </c>
    </row>
    <row r="574" ht="15" customHeight="1" s="76">
      <c r="F574" s="121">
        <f>$C574-$D574</f>
        <v/>
      </c>
      <c r="G574" s="121">
        <f>"Örnek kayıt: "&amp;$A574</f>
        <v/>
      </c>
    </row>
    <row r="575" ht="15" customHeight="1" s="76">
      <c r="F575" s="121">
        <f>$C575-$D575</f>
        <v/>
      </c>
      <c r="G575" s="121">
        <f>"Örnek kayıt: "&amp;$A575</f>
        <v/>
      </c>
    </row>
    <row r="576" ht="15" customHeight="1" s="76">
      <c r="F576" s="121">
        <f>$C576-$D576</f>
        <v/>
      </c>
      <c r="G576" s="121">
        <f>"Örnek kayıt: "&amp;$A576</f>
        <v/>
      </c>
    </row>
    <row r="577" ht="15" customHeight="1" s="76">
      <c r="F577" s="121">
        <f>$C577-$D577</f>
        <v/>
      </c>
      <c r="G577" s="121">
        <f>"Örnek kayıt: "&amp;$A577</f>
        <v/>
      </c>
    </row>
    <row r="578" ht="15" customHeight="1" s="76">
      <c r="F578" s="121">
        <f>$C578-$D578</f>
        <v/>
      </c>
      <c r="G578" s="121">
        <f>"Örnek kayıt: "&amp;$A578</f>
        <v/>
      </c>
    </row>
    <row r="579" ht="15" customHeight="1" s="76">
      <c r="F579" s="121">
        <f>$C579-$D579</f>
        <v/>
      </c>
      <c r="G579" s="121">
        <f>"Örnek kayıt: "&amp;$A579</f>
        <v/>
      </c>
    </row>
    <row r="580" ht="15" customHeight="1" s="76">
      <c r="F580" s="121">
        <f>$C580-$D580</f>
        <v/>
      </c>
      <c r="G580" s="121">
        <f>"Örnek kayıt: "&amp;$A580</f>
        <v/>
      </c>
    </row>
    <row r="581" ht="15" customHeight="1" s="76">
      <c r="F581" s="121">
        <f>$C581-$D581</f>
        <v/>
      </c>
      <c r="G581" s="121">
        <f>"Örnek kayıt: "&amp;$A581</f>
        <v/>
      </c>
    </row>
    <row r="582" ht="15" customHeight="1" s="76">
      <c r="F582" s="121">
        <f>$C582-$D582</f>
        <v/>
      </c>
      <c r="G582" s="121">
        <f>"Örnek kayıt: "&amp;$A582</f>
        <v/>
      </c>
    </row>
    <row r="583" ht="15" customHeight="1" s="76">
      <c r="F583" s="121">
        <f>$C583-$D583</f>
        <v/>
      </c>
      <c r="G583" s="121">
        <f>"Örnek kayıt: "&amp;$A583</f>
        <v/>
      </c>
    </row>
    <row r="584" ht="15" customHeight="1" s="76">
      <c r="F584" s="121">
        <f>$C584-$D584</f>
        <v/>
      </c>
      <c r="G584" s="121">
        <f>"Örnek kayıt: "&amp;$A584</f>
        <v/>
      </c>
    </row>
    <row r="585" ht="15" customHeight="1" s="76">
      <c r="F585" s="121">
        <f>$C585-$D585</f>
        <v/>
      </c>
      <c r="G585" s="121">
        <f>"Örnek kayıt: "&amp;$A585</f>
        <v/>
      </c>
    </row>
    <row r="586" ht="15" customHeight="1" s="76">
      <c r="F586" s="121">
        <f>$C586-$D586</f>
        <v/>
      </c>
      <c r="G586" s="121">
        <f>"Örnek kayıt: "&amp;$A586</f>
        <v/>
      </c>
    </row>
    <row r="587" ht="15" customHeight="1" s="76">
      <c r="F587" s="121">
        <f>$C587-$D587</f>
        <v/>
      </c>
      <c r="G587" s="121">
        <f>"Örnek kayıt: "&amp;$A587</f>
        <v/>
      </c>
    </row>
    <row r="588" ht="15" customHeight="1" s="76">
      <c r="F588" s="121">
        <f>$C588-$D588</f>
        <v/>
      </c>
      <c r="G588" s="121">
        <f>"Örnek kayıt: "&amp;$A588</f>
        <v/>
      </c>
    </row>
    <row r="589" ht="15" customHeight="1" s="76">
      <c r="F589" s="121">
        <f>$C589-$D589</f>
        <v/>
      </c>
      <c r="G589" s="121">
        <f>"Örnek kayıt: "&amp;$A589</f>
        <v/>
      </c>
    </row>
    <row r="590" ht="15" customHeight="1" s="76">
      <c r="F590" s="121">
        <f>$C590-$D590</f>
        <v/>
      </c>
      <c r="G590" s="121">
        <f>"Örnek kayıt: "&amp;$A590</f>
        <v/>
      </c>
    </row>
    <row r="591" ht="15" customHeight="1" s="76">
      <c r="F591" s="121">
        <f>$C591-$D591</f>
        <v/>
      </c>
      <c r="G591" s="121">
        <f>"Örnek kayıt: "&amp;$A591</f>
        <v/>
      </c>
    </row>
    <row r="592" ht="15" customHeight="1" s="76">
      <c r="F592" s="121">
        <f>$C592-$D592</f>
        <v/>
      </c>
      <c r="G592" s="121">
        <f>"Örnek kayıt: "&amp;$A592</f>
        <v/>
      </c>
    </row>
    <row r="593" ht="15" customHeight="1" s="76">
      <c r="F593" s="121">
        <f>$C593-$D593</f>
        <v/>
      </c>
      <c r="G593" s="121">
        <f>"Örnek kayıt: "&amp;$A593</f>
        <v/>
      </c>
    </row>
    <row r="594" ht="15" customHeight="1" s="76">
      <c r="F594" s="121">
        <f>$C594-$D594</f>
        <v/>
      </c>
      <c r="G594" s="121">
        <f>"Örnek kayıt: "&amp;$A594</f>
        <v/>
      </c>
    </row>
    <row r="595" ht="15" customHeight="1" s="76">
      <c r="F595" s="121">
        <f>$C595-$D595</f>
        <v/>
      </c>
      <c r="G595" s="121">
        <f>"Örnek kayıt: "&amp;$A595</f>
        <v/>
      </c>
    </row>
    <row r="596" ht="15" customHeight="1" s="76">
      <c r="F596" s="121">
        <f>$C596-$D596</f>
        <v/>
      </c>
      <c r="G596" s="121">
        <f>"Örnek kayıt: "&amp;$A596</f>
        <v/>
      </c>
    </row>
    <row r="597" ht="15" customHeight="1" s="76">
      <c r="F597" s="121">
        <f>$C597-$D597</f>
        <v/>
      </c>
      <c r="G597" s="121">
        <f>"Örnek kayıt: "&amp;$A597</f>
        <v/>
      </c>
    </row>
    <row r="598" ht="15" customHeight="1" s="76">
      <c r="F598" s="121">
        <f>$C598-$D598</f>
        <v/>
      </c>
      <c r="G598" s="121">
        <f>"Örnek kayıt: "&amp;$A598</f>
        <v/>
      </c>
    </row>
    <row r="599" ht="15" customHeight="1" s="76">
      <c r="F599" s="121">
        <f>$C599-$D599</f>
        <v/>
      </c>
      <c r="G599" s="121">
        <f>"Örnek kayıt: "&amp;$A599</f>
        <v/>
      </c>
    </row>
    <row r="600" ht="15" customHeight="1" s="76">
      <c r="F600" s="121">
        <f>$C600-$D600</f>
        <v/>
      </c>
      <c r="G600" s="121">
        <f>"Örnek kayıt: "&amp;$A600</f>
        <v/>
      </c>
    </row>
    <row r="601" ht="15" customHeight="1" s="76">
      <c r="F601" s="121">
        <f>$C601-$D601</f>
        <v/>
      </c>
      <c r="G601" s="121">
        <f>"Örnek kayıt: "&amp;$A601</f>
        <v/>
      </c>
    </row>
    <row r="602" ht="15" customHeight="1" s="76">
      <c r="F602" s="121">
        <f>$C602-$D602</f>
        <v/>
      </c>
      <c r="G602" s="121">
        <f>"Örnek kayıt: "&amp;$A602</f>
        <v/>
      </c>
    </row>
    <row r="603" ht="15" customHeight="1" s="76">
      <c r="F603" s="121">
        <f>$C603-$D603</f>
        <v/>
      </c>
      <c r="G603" s="121">
        <f>"Örnek kayıt: "&amp;$A603</f>
        <v/>
      </c>
    </row>
    <row r="604" ht="15" customHeight="1" s="76">
      <c r="F604" s="121">
        <f>$C604-$D604</f>
        <v/>
      </c>
      <c r="G604" s="121">
        <f>"Örnek kayıt: "&amp;$A604</f>
        <v/>
      </c>
    </row>
    <row r="605" ht="15" customHeight="1" s="76">
      <c r="F605" s="121">
        <f>$C605-$D605</f>
        <v/>
      </c>
      <c r="G605" s="121">
        <f>"Örnek kayıt: "&amp;$A605</f>
        <v/>
      </c>
    </row>
    <row r="606" ht="15" customHeight="1" s="76">
      <c r="F606" s="121">
        <f>$C606-$D606</f>
        <v/>
      </c>
      <c r="G606" s="121">
        <f>"Örnek kayıt: "&amp;$A606</f>
        <v/>
      </c>
    </row>
    <row r="607" ht="15" customHeight="1" s="76">
      <c r="F607" s="121">
        <f>$C607-$D607</f>
        <v/>
      </c>
      <c r="G607" s="121">
        <f>"Örnek kayıt: "&amp;$A607</f>
        <v/>
      </c>
    </row>
    <row r="608" ht="15" customHeight="1" s="76">
      <c r="F608" s="121">
        <f>$C608-$D608</f>
        <v/>
      </c>
      <c r="G608" s="121">
        <f>"Örnek kayıt: "&amp;$A608</f>
        <v/>
      </c>
    </row>
    <row r="609" ht="15" customHeight="1" s="76">
      <c r="F609" s="121">
        <f>$C609-$D609</f>
        <v/>
      </c>
      <c r="G609" s="121">
        <f>"Örnek kayıt: "&amp;$A609</f>
        <v/>
      </c>
    </row>
    <row r="610" ht="15" customHeight="1" s="76">
      <c r="F610" s="121">
        <f>$C610-$D610</f>
        <v/>
      </c>
      <c r="G610" s="121">
        <f>"Örnek kayıt: "&amp;$A610</f>
        <v/>
      </c>
    </row>
    <row r="611" ht="15" customHeight="1" s="76">
      <c r="F611" s="121">
        <f>$C611-$D611</f>
        <v/>
      </c>
      <c r="G611" s="121">
        <f>"Örnek kayıt: "&amp;$A611</f>
        <v/>
      </c>
    </row>
    <row r="612" ht="15" customHeight="1" s="76">
      <c r="F612" s="121">
        <f>$C612-$D612</f>
        <v/>
      </c>
      <c r="G612" s="121">
        <f>"Örnek kayıt: "&amp;$A612</f>
        <v/>
      </c>
    </row>
    <row r="613" ht="15" customHeight="1" s="76">
      <c r="F613" s="121">
        <f>$C613-$D613</f>
        <v/>
      </c>
      <c r="G613" s="121">
        <f>"Örnek kayıt: "&amp;$A613</f>
        <v/>
      </c>
    </row>
    <row r="614" ht="15" customHeight="1" s="76">
      <c r="F614" s="121">
        <f>$C614-$D614</f>
        <v/>
      </c>
      <c r="G614" s="121">
        <f>"Örnek kayıt: "&amp;$A614</f>
        <v/>
      </c>
    </row>
    <row r="615" ht="15" customHeight="1" s="76">
      <c r="F615" s="121">
        <f>$C615-$D615</f>
        <v/>
      </c>
      <c r="G615" s="121">
        <f>"Örnek kayıt: "&amp;$A615</f>
        <v/>
      </c>
    </row>
    <row r="616" ht="15" customHeight="1" s="76">
      <c r="F616" s="121">
        <f>$C616-$D616</f>
        <v/>
      </c>
      <c r="G616" s="121">
        <f>"Örnek kayıt: "&amp;$A616</f>
        <v/>
      </c>
    </row>
    <row r="617" ht="15" customHeight="1" s="76">
      <c r="F617" s="121">
        <f>$C617-$D617</f>
        <v/>
      </c>
      <c r="G617" s="121">
        <f>"Örnek kayıt: "&amp;$A617</f>
        <v/>
      </c>
    </row>
    <row r="618" ht="15" customHeight="1" s="76">
      <c r="F618" s="121">
        <f>$C618-$D618</f>
        <v/>
      </c>
      <c r="G618" s="121">
        <f>"Örnek kayıt: "&amp;$A618</f>
        <v/>
      </c>
    </row>
    <row r="619" ht="15" customHeight="1" s="76">
      <c r="F619" s="121">
        <f>$C619-$D619</f>
        <v/>
      </c>
      <c r="G619" s="121">
        <f>"Örnek kayıt: "&amp;$A619</f>
        <v/>
      </c>
    </row>
    <row r="620" ht="15" customHeight="1" s="76">
      <c r="F620" s="121">
        <f>$C620-$D620</f>
        <v/>
      </c>
      <c r="G620" s="121">
        <f>"Örnek kayıt: "&amp;$A620</f>
        <v/>
      </c>
    </row>
    <row r="621" ht="15" customHeight="1" s="76">
      <c r="F621" s="121">
        <f>$C621-$D621</f>
        <v/>
      </c>
      <c r="G621" s="121">
        <f>"Örnek kayıt: "&amp;$A621</f>
        <v/>
      </c>
    </row>
    <row r="622" ht="15" customHeight="1" s="76">
      <c r="F622" s="121">
        <f>$C622-$D622</f>
        <v/>
      </c>
      <c r="G622" s="121">
        <f>"Örnek kayıt: "&amp;$A622</f>
        <v/>
      </c>
    </row>
    <row r="623" ht="15" customHeight="1" s="76">
      <c r="F623" s="121">
        <f>$C623-$D623</f>
        <v/>
      </c>
      <c r="G623" s="121">
        <f>"Örnek kayıt: "&amp;$A623</f>
        <v/>
      </c>
    </row>
    <row r="624" ht="15" customHeight="1" s="76">
      <c r="F624" s="121">
        <f>$C624-$D624</f>
        <v/>
      </c>
      <c r="G624" s="121">
        <f>"Örnek kayıt: "&amp;$A624</f>
        <v/>
      </c>
    </row>
    <row r="625" ht="15" customHeight="1" s="76">
      <c r="F625" s="121">
        <f>$C625-$D625</f>
        <v/>
      </c>
      <c r="G625" s="121">
        <f>"Örnek kayıt: "&amp;$A625</f>
        <v/>
      </c>
    </row>
    <row r="626" ht="15" customHeight="1" s="76">
      <c r="F626" s="121">
        <f>$C626-$D626</f>
        <v/>
      </c>
      <c r="G626" s="121">
        <f>"Örnek kayıt: "&amp;$A626</f>
        <v/>
      </c>
    </row>
    <row r="627" ht="15" customHeight="1" s="76">
      <c r="F627" s="121">
        <f>$C627-$D627</f>
        <v/>
      </c>
      <c r="G627" s="121">
        <f>"Örnek kayıt: "&amp;$A627</f>
        <v/>
      </c>
    </row>
    <row r="628" ht="15" customHeight="1" s="76">
      <c r="F628" s="121">
        <f>$C628-$D628</f>
        <v/>
      </c>
      <c r="G628" s="121">
        <f>"Örnek kayıt: "&amp;$A628</f>
        <v/>
      </c>
    </row>
    <row r="629" ht="15" customHeight="1" s="76">
      <c r="F629" s="121">
        <f>$C629-$D629</f>
        <v/>
      </c>
      <c r="G629" s="121">
        <f>"Örnek kayıt: "&amp;$A629</f>
        <v/>
      </c>
    </row>
    <row r="630" ht="15" customHeight="1" s="76">
      <c r="F630" s="121">
        <f>$C630-$D630</f>
        <v/>
      </c>
      <c r="G630" s="121">
        <f>"Örnek kayıt: "&amp;$A630</f>
        <v/>
      </c>
    </row>
    <row r="631" ht="15" customHeight="1" s="76">
      <c r="F631" s="121">
        <f>$C631-$D631</f>
        <v/>
      </c>
      <c r="G631" s="121">
        <f>"Örnek kayıt: "&amp;$A631</f>
        <v/>
      </c>
    </row>
    <row r="632" ht="15" customHeight="1" s="76">
      <c r="F632" s="121">
        <f>$C632-$D632</f>
        <v/>
      </c>
      <c r="G632" s="121">
        <f>"Örnek kayıt: "&amp;$A632</f>
        <v/>
      </c>
    </row>
    <row r="633" ht="15" customHeight="1" s="76">
      <c r="F633" s="121">
        <f>$C633-$D633</f>
        <v/>
      </c>
      <c r="G633" s="121">
        <f>"Örnek kayıt: "&amp;$A633</f>
        <v/>
      </c>
    </row>
    <row r="634" ht="15" customHeight="1" s="76">
      <c r="F634" s="121">
        <f>$C634-$D634</f>
        <v/>
      </c>
      <c r="G634" s="121">
        <f>"Örnek kayıt: "&amp;$A634</f>
        <v/>
      </c>
    </row>
    <row r="635" ht="15" customHeight="1" s="76">
      <c r="F635" s="121">
        <f>$C635-$D635</f>
        <v/>
      </c>
      <c r="G635" s="121">
        <f>"Örnek kayıt: "&amp;$A635</f>
        <v/>
      </c>
    </row>
    <row r="636" ht="15" customHeight="1" s="76">
      <c r="F636" s="121">
        <f>$C636-$D636</f>
        <v/>
      </c>
      <c r="G636" s="121">
        <f>"Örnek kayıt: "&amp;$A636</f>
        <v/>
      </c>
    </row>
    <row r="637" ht="15" customHeight="1" s="76">
      <c r="F637" s="121">
        <f>$C637-$D637</f>
        <v/>
      </c>
      <c r="G637" s="121">
        <f>"Örnek kayıt: "&amp;$A637</f>
        <v/>
      </c>
    </row>
    <row r="638" ht="15" customHeight="1" s="76">
      <c r="F638" s="121">
        <f>$C638-$D638</f>
        <v/>
      </c>
      <c r="G638" s="121">
        <f>"Örnek kayıt: "&amp;$A638</f>
        <v/>
      </c>
    </row>
    <row r="639" ht="15" customHeight="1" s="76">
      <c r="F639" s="121">
        <f>$C639-$D639</f>
        <v/>
      </c>
      <c r="G639" s="121">
        <f>"Örnek kayıt: "&amp;$A639</f>
        <v/>
      </c>
    </row>
    <row r="640" ht="15" customHeight="1" s="76">
      <c r="F640" s="121">
        <f>$C640-$D640</f>
        <v/>
      </c>
      <c r="G640" s="121">
        <f>"Örnek kayıt: "&amp;$A640</f>
        <v/>
      </c>
    </row>
    <row r="641" ht="15" customHeight="1" s="76">
      <c r="F641" s="121">
        <f>$C641-$D641</f>
        <v/>
      </c>
      <c r="G641" s="121">
        <f>"Örnek kayıt: "&amp;$A641</f>
        <v/>
      </c>
    </row>
    <row r="642" ht="15" customHeight="1" s="76">
      <c r="F642" s="121">
        <f>$C642-$D642</f>
        <v/>
      </c>
      <c r="G642" s="121">
        <f>"Örnek kayıt: "&amp;$A642</f>
        <v/>
      </c>
    </row>
    <row r="643" ht="15" customHeight="1" s="76">
      <c r="F643" s="121">
        <f>$C643-$D643</f>
        <v/>
      </c>
      <c r="G643" s="121">
        <f>"Örnek kayıt: "&amp;$A643</f>
        <v/>
      </c>
    </row>
    <row r="644" ht="15" customHeight="1" s="76">
      <c r="F644" s="121">
        <f>$C644-$D644</f>
        <v/>
      </c>
      <c r="G644" s="121">
        <f>"Örnek kayıt: "&amp;$A644</f>
        <v/>
      </c>
    </row>
    <row r="645" ht="15" customHeight="1" s="76">
      <c r="F645" s="121">
        <f>$C645-$D645</f>
        <v/>
      </c>
      <c r="G645" s="121">
        <f>"Örnek kayıt: "&amp;$A645</f>
        <v/>
      </c>
    </row>
    <row r="646" ht="15" customHeight="1" s="76">
      <c r="F646" s="121">
        <f>$C646-$D646</f>
        <v/>
      </c>
      <c r="G646" s="121">
        <f>"Örnek kayıt: "&amp;$A646</f>
        <v/>
      </c>
    </row>
    <row r="647" ht="15" customHeight="1" s="76">
      <c r="F647" s="121">
        <f>$C647-$D647</f>
        <v/>
      </c>
      <c r="G647" s="121">
        <f>"Örnek kayıt: "&amp;$A647</f>
        <v/>
      </c>
    </row>
    <row r="648" ht="15" customHeight="1" s="76">
      <c r="F648" s="121">
        <f>$C648-$D648</f>
        <v/>
      </c>
      <c r="G648" s="121">
        <f>"Örnek kayıt: "&amp;$A648</f>
        <v/>
      </c>
    </row>
    <row r="649" ht="15" customHeight="1" s="76">
      <c r="F649" s="121">
        <f>$C649-$D649</f>
        <v/>
      </c>
      <c r="G649" s="121">
        <f>"Örnek kayıt: "&amp;$A649</f>
        <v/>
      </c>
    </row>
    <row r="650" ht="15" customHeight="1" s="76">
      <c r="F650" s="121">
        <f>$C650-$D650</f>
        <v/>
      </c>
      <c r="G650" s="121">
        <f>"Örnek kayıt: "&amp;$A650</f>
        <v/>
      </c>
    </row>
    <row r="651" ht="15" customHeight="1" s="76">
      <c r="F651" s="121">
        <f>$C651-$D651</f>
        <v/>
      </c>
      <c r="G651" s="121">
        <f>"Örnek kayıt: "&amp;$A651</f>
        <v/>
      </c>
    </row>
    <row r="652" ht="15" customHeight="1" s="76">
      <c r="F652" s="121">
        <f>$C652-$D652</f>
        <v/>
      </c>
      <c r="G652" s="121">
        <f>"Örnek kayıt: "&amp;$A652</f>
        <v/>
      </c>
    </row>
    <row r="653" ht="15" customHeight="1" s="76">
      <c r="F653" s="121">
        <f>$C653-$D653</f>
        <v/>
      </c>
      <c r="G653" s="121">
        <f>"Örnek kayıt: "&amp;$A653</f>
        <v/>
      </c>
    </row>
    <row r="654" ht="15" customHeight="1" s="76">
      <c r="F654" s="121">
        <f>$C654-$D654</f>
        <v/>
      </c>
      <c r="G654" s="121">
        <f>"Örnek kayıt: "&amp;$A654</f>
        <v/>
      </c>
    </row>
    <row r="655" ht="15" customHeight="1" s="76">
      <c r="F655" s="121">
        <f>$C655-$D655</f>
        <v/>
      </c>
      <c r="G655" s="121">
        <f>"Örnek kayıt: "&amp;$A655</f>
        <v/>
      </c>
    </row>
    <row r="656" ht="15" customHeight="1" s="76">
      <c r="F656" s="121">
        <f>$C656-$D656</f>
        <v/>
      </c>
      <c r="G656" s="121">
        <f>"Örnek kayıt: "&amp;$A656</f>
        <v/>
      </c>
    </row>
    <row r="657" ht="15" customHeight="1" s="76">
      <c r="F657" s="121">
        <f>$C657-$D657</f>
        <v/>
      </c>
      <c r="G657" s="121">
        <f>"Örnek kayıt: "&amp;$A657</f>
        <v/>
      </c>
    </row>
    <row r="658" ht="15" customHeight="1" s="76">
      <c r="F658" s="121">
        <f>$C658-$D658</f>
        <v/>
      </c>
      <c r="G658" s="121">
        <f>"Örnek kayıt: "&amp;$A658</f>
        <v/>
      </c>
    </row>
    <row r="659" ht="15" customHeight="1" s="76">
      <c r="F659" s="121">
        <f>$C659-$D659</f>
        <v/>
      </c>
      <c r="G659" s="121">
        <f>"Örnek kayıt: "&amp;$A659</f>
        <v/>
      </c>
    </row>
    <row r="660" ht="15" customHeight="1" s="76">
      <c r="F660" s="121">
        <f>$C660-$D660</f>
        <v/>
      </c>
      <c r="G660" s="121">
        <f>"Örnek kayıt: "&amp;$A660</f>
        <v/>
      </c>
    </row>
    <row r="661" ht="15" customHeight="1" s="76">
      <c r="F661" s="121">
        <f>$C661-$D661</f>
        <v/>
      </c>
      <c r="G661" s="121">
        <f>"Örnek kayıt: "&amp;$A661</f>
        <v/>
      </c>
    </row>
    <row r="662" ht="15" customHeight="1" s="76">
      <c r="F662" s="121">
        <f>$C662-$D662</f>
        <v/>
      </c>
      <c r="G662" s="121">
        <f>"Örnek kayıt: "&amp;$A662</f>
        <v/>
      </c>
    </row>
    <row r="663" ht="15" customHeight="1" s="76">
      <c r="F663" s="121">
        <f>$C663-$D663</f>
        <v/>
      </c>
      <c r="G663" s="121">
        <f>"Örnek kayıt: "&amp;$A663</f>
        <v/>
      </c>
    </row>
    <row r="664" ht="15" customHeight="1" s="76">
      <c r="F664" s="121">
        <f>$C664-$D664</f>
        <v/>
      </c>
      <c r="G664" s="121">
        <f>"Örnek kayıt: "&amp;$A664</f>
        <v/>
      </c>
    </row>
    <row r="665" ht="15" customHeight="1" s="76">
      <c r="F665" s="121">
        <f>$C665-$D665</f>
        <v/>
      </c>
      <c r="G665" s="121">
        <f>"Örnek kayıt: "&amp;$A665</f>
        <v/>
      </c>
    </row>
    <row r="666" ht="15" customHeight="1" s="76">
      <c r="F666" s="121">
        <f>$C666-$D666</f>
        <v/>
      </c>
      <c r="G666" s="121">
        <f>"Örnek kayıt: "&amp;$A666</f>
        <v/>
      </c>
    </row>
    <row r="667" ht="15" customHeight="1" s="76">
      <c r="F667" s="121">
        <f>$C667-$D667</f>
        <v/>
      </c>
      <c r="G667" s="121">
        <f>"Örnek kayıt: "&amp;$A667</f>
        <v/>
      </c>
    </row>
    <row r="668" ht="15" customHeight="1" s="76">
      <c r="F668" s="121">
        <f>$C668-$D668</f>
        <v/>
      </c>
      <c r="G668" s="121">
        <f>"Örnek kayıt: "&amp;$A668</f>
        <v/>
      </c>
    </row>
    <row r="669" ht="15" customHeight="1" s="76">
      <c r="F669" s="121">
        <f>$C669-$D669</f>
        <v/>
      </c>
      <c r="G669" s="121">
        <f>"Örnek kayıt: "&amp;$A669</f>
        <v/>
      </c>
    </row>
    <row r="670" ht="15" customHeight="1" s="76">
      <c r="F670" s="121">
        <f>$C670-$D670</f>
        <v/>
      </c>
      <c r="G670" s="121">
        <f>"Örnek kayıt: "&amp;$A670</f>
        <v/>
      </c>
    </row>
    <row r="671" ht="15" customHeight="1" s="76">
      <c r="F671" s="121">
        <f>$C671-$D671</f>
        <v/>
      </c>
      <c r="G671" s="121">
        <f>"Örnek kayıt: "&amp;$A671</f>
        <v/>
      </c>
    </row>
    <row r="672" ht="15" customHeight="1" s="76">
      <c r="F672" s="121">
        <f>$C672-$D672</f>
        <v/>
      </c>
      <c r="G672" s="121">
        <f>"Örnek kayıt: "&amp;$A672</f>
        <v/>
      </c>
    </row>
    <row r="673" ht="15" customHeight="1" s="76">
      <c r="F673" s="121">
        <f>$C673-$D673</f>
        <v/>
      </c>
      <c r="G673" s="121">
        <f>"Örnek kayıt: "&amp;$A673</f>
        <v/>
      </c>
    </row>
    <row r="674" ht="15" customHeight="1" s="76">
      <c r="F674" s="121">
        <f>$C674-$D674</f>
        <v/>
      </c>
      <c r="G674" s="121">
        <f>"Örnek kayıt: "&amp;$A674</f>
        <v/>
      </c>
    </row>
    <row r="675" ht="15" customHeight="1" s="76">
      <c r="F675" s="121">
        <f>$C675-$D675</f>
        <v/>
      </c>
      <c r="G675" s="121">
        <f>"Örnek kayıt: "&amp;$A675</f>
        <v/>
      </c>
    </row>
    <row r="676" ht="15" customHeight="1" s="76">
      <c r="F676" s="121">
        <f>$C676-$D676</f>
        <v/>
      </c>
      <c r="G676" s="121">
        <f>"Örnek kayıt: "&amp;$A676</f>
        <v/>
      </c>
    </row>
    <row r="677" ht="15" customHeight="1" s="76">
      <c r="F677" s="121">
        <f>$C677-$D677</f>
        <v/>
      </c>
      <c r="G677" s="121">
        <f>"Örnek kayıt: "&amp;$A677</f>
        <v/>
      </c>
    </row>
    <row r="678" ht="15" customHeight="1" s="76">
      <c r="F678" s="121">
        <f>$C678-$D678</f>
        <v/>
      </c>
      <c r="G678" s="121">
        <f>"Örnek kayıt: "&amp;$A678</f>
        <v/>
      </c>
    </row>
    <row r="679" ht="15" customHeight="1" s="76">
      <c r="F679" s="121">
        <f>$C679-$D679</f>
        <v/>
      </c>
      <c r="G679" s="121">
        <f>"Örnek kayıt: "&amp;$A679</f>
        <v/>
      </c>
    </row>
    <row r="680" ht="15" customHeight="1" s="76">
      <c r="F680" s="121">
        <f>$C680-$D680</f>
        <v/>
      </c>
      <c r="G680" s="121">
        <f>"Örnek kayıt: "&amp;$A680</f>
        <v/>
      </c>
    </row>
    <row r="681" ht="15" customHeight="1" s="76">
      <c r="F681" s="121">
        <f>$C681-$D681</f>
        <v/>
      </c>
      <c r="G681" s="121">
        <f>"Örnek kayıt: "&amp;$A681</f>
        <v/>
      </c>
    </row>
    <row r="682" ht="15" customHeight="1" s="76">
      <c r="F682" s="121">
        <f>$C682-$D682</f>
        <v/>
      </c>
      <c r="G682" s="121">
        <f>"Örnek kayıt: "&amp;$A682</f>
        <v/>
      </c>
    </row>
    <row r="683" ht="15" customHeight="1" s="76">
      <c r="F683" s="121">
        <f>$C683-$D683</f>
        <v/>
      </c>
      <c r="G683" s="121">
        <f>"Örnek kayıt: "&amp;$A683</f>
        <v/>
      </c>
    </row>
    <row r="684" ht="15" customHeight="1" s="76">
      <c r="F684" s="121">
        <f>$C684-$D684</f>
        <v/>
      </c>
      <c r="G684" s="121">
        <f>"Örnek kayıt: "&amp;$A684</f>
        <v/>
      </c>
    </row>
    <row r="685" ht="15" customHeight="1" s="76">
      <c r="F685" s="121">
        <f>$C685-$D685</f>
        <v/>
      </c>
      <c r="G685" s="121">
        <f>"Örnek kayıt: "&amp;$A685</f>
        <v/>
      </c>
    </row>
    <row r="686" ht="15" customHeight="1" s="76">
      <c r="F686" s="121">
        <f>$C686-$D686</f>
        <v/>
      </c>
      <c r="G686" s="121">
        <f>"Örnek kayıt: "&amp;$A686</f>
        <v/>
      </c>
    </row>
    <row r="687" ht="15" customHeight="1" s="76">
      <c r="F687" s="121">
        <f>$C687-$D687</f>
        <v/>
      </c>
      <c r="G687" s="121">
        <f>"Örnek kayıt: "&amp;$A687</f>
        <v/>
      </c>
    </row>
    <row r="688" ht="15" customHeight="1" s="76">
      <c r="F688" s="121">
        <f>$C688-$D688</f>
        <v/>
      </c>
      <c r="G688" s="121">
        <f>"Örnek kayıt: "&amp;$A688</f>
        <v/>
      </c>
    </row>
    <row r="689" ht="15" customHeight="1" s="76">
      <c r="F689" s="121">
        <f>$C689-$D689</f>
        <v/>
      </c>
      <c r="G689" s="121">
        <f>"Örnek kayıt: "&amp;$A689</f>
        <v/>
      </c>
    </row>
    <row r="690" ht="15" customHeight="1" s="76">
      <c r="F690" s="121">
        <f>$C690-$D690</f>
        <v/>
      </c>
      <c r="G690" s="121">
        <f>"Örnek kayıt: "&amp;$A690</f>
        <v/>
      </c>
    </row>
    <row r="691" ht="15" customHeight="1" s="76">
      <c r="F691" s="121">
        <f>$C691-$D691</f>
        <v/>
      </c>
      <c r="G691" s="121">
        <f>"Örnek kayıt: "&amp;$A691</f>
        <v/>
      </c>
    </row>
    <row r="692" ht="15" customHeight="1" s="76">
      <c r="F692" s="121">
        <f>$C692-$D692</f>
        <v/>
      </c>
      <c r="G692" s="121">
        <f>"Örnek kayıt: "&amp;$A692</f>
        <v/>
      </c>
    </row>
    <row r="693" ht="15" customHeight="1" s="76">
      <c r="F693" s="121">
        <f>$C693-$D693</f>
        <v/>
      </c>
      <c r="G693" s="121">
        <f>"Örnek kayıt: "&amp;$A693</f>
        <v/>
      </c>
    </row>
    <row r="694" ht="15" customHeight="1" s="76">
      <c r="F694" s="121">
        <f>$C694-$D694</f>
        <v/>
      </c>
      <c r="G694" s="121">
        <f>"Örnek kayıt: "&amp;$A694</f>
        <v/>
      </c>
    </row>
    <row r="695" ht="15" customHeight="1" s="76">
      <c r="F695" s="121">
        <f>$C695-$D695</f>
        <v/>
      </c>
      <c r="G695" s="121">
        <f>"Örnek kayıt: "&amp;$A695</f>
        <v/>
      </c>
    </row>
    <row r="696" ht="15" customHeight="1" s="76">
      <c r="F696" s="121">
        <f>$C696-$D696</f>
        <v/>
      </c>
      <c r="G696" s="121">
        <f>"Örnek kayıt: "&amp;$A696</f>
        <v/>
      </c>
    </row>
    <row r="697" ht="15" customHeight="1" s="76">
      <c r="F697" s="121">
        <f>$C697-$D697</f>
        <v/>
      </c>
      <c r="G697" s="121">
        <f>"Örnek kayıt: "&amp;$A697</f>
        <v/>
      </c>
    </row>
    <row r="698" ht="15" customHeight="1" s="76">
      <c r="F698" s="121">
        <f>$C698-$D698</f>
        <v/>
      </c>
      <c r="G698" s="121">
        <f>"Örnek kayıt: "&amp;$A698</f>
        <v/>
      </c>
    </row>
    <row r="699" ht="15" customHeight="1" s="76">
      <c r="F699" s="121">
        <f>$C699-$D699</f>
        <v/>
      </c>
      <c r="G699" s="121">
        <f>"Örnek kayıt: "&amp;$A699</f>
        <v/>
      </c>
    </row>
    <row r="700" ht="15" customHeight="1" s="76">
      <c r="F700" s="121">
        <f>$C700-$D700</f>
        <v/>
      </c>
      <c r="G700" s="121">
        <f>"Örnek kayıt: "&amp;$A700</f>
        <v/>
      </c>
    </row>
    <row r="701" ht="15" customHeight="1" s="76">
      <c r="F701" s="121">
        <f>$C701-$D701</f>
        <v/>
      </c>
      <c r="G701" s="121">
        <f>"Örnek kayıt: "&amp;$A701</f>
        <v/>
      </c>
    </row>
    <row r="702" ht="15" customHeight="1" s="76">
      <c r="F702" s="121">
        <f>$C702-$D702</f>
        <v/>
      </c>
      <c r="G702" s="121">
        <f>"Örnek kayıt: "&amp;$A702</f>
        <v/>
      </c>
    </row>
    <row r="703" ht="15" customHeight="1" s="76">
      <c r="F703" s="121">
        <f>$C703-$D703</f>
        <v/>
      </c>
      <c r="G703" s="121">
        <f>"Örnek kayıt: "&amp;$A703</f>
        <v/>
      </c>
    </row>
    <row r="704" ht="15" customHeight="1" s="76">
      <c r="F704" s="121">
        <f>$C704-$D704</f>
        <v/>
      </c>
      <c r="G704" s="121">
        <f>"Örnek kayıt: "&amp;$A704</f>
        <v/>
      </c>
    </row>
    <row r="705" ht="15" customHeight="1" s="76">
      <c r="F705" s="121">
        <f>$C705-$D705</f>
        <v/>
      </c>
      <c r="G705" s="121">
        <f>"Örnek kayıt: "&amp;$A705</f>
        <v/>
      </c>
    </row>
    <row r="706" ht="15" customHeight="1" s="76">
      <c r="F706" s="121">
        <f>$C706-$D706</f>
        <v/>
      </c>
      <c r="G706" s="121">
        <f>"Örnek kayıt: "&amp;$A706</f>
        <v/>
      </c>
    </row>
    <row r="707" ht="15" customHeight="1" s="76">
      <c r="F707" s="121">
        <f>$C707-$D707</f>
        <v/>
      </c>
      <c r="G707" s="121">
        <f>"Örnek kayıt: "&amp;$A707</f>
        <v/>
      </c>
    </row>
    <row r="708" ht="15" customHeight="1" s="76">
      <c r="F708" s="121">
        <f>$C708-$D708</f>
        <v/>
      </c>
      <c r="G708" s="121">
        <f>"Örnek kayıt: "&amp;$A708</f>
        <v/>
      </c>
    </row>
    <row r="709" ht="15" customHeight="1" s="76">
      <c r="F709" s="121">
        <f>$C709-$D709</f>
        <v/>
      </c>
      <c r="G709" s="121">
        <f>"Örnek kayıt: "&amp;$A709</f>
        <v/>
      </c>
    </row>
    <row r="710" ht="15" customHeight="1" s="76">
      <c r="F710" s="121">
        <f>$C710-$D710</f>
        <v/>
      </c>
      <c r="G710" s="121">
        <f>"Örnek kayıt: "&amp;$A710</f>
        <v/>
      </c>
    </row>
    <row r="711" ht="15" customHeight="1" s="76">
      <c r="F711" s="121">
        <f>$C711-$D711</f>
        <v/>
      </c>
      <c r="G711" s="121">
        <f>"Örnek kayıt: "&amp;$A711</f>
        <v/>
      </c>
    </row>
    <row r="712" ht="15" customHeight="1" s="76">
      <c r="F712" s="121">
        <f>$C712-$D712</f>
        <v/>
      </c>
      <c r="G712" s="121">
        <f>"Örnek kayıt: "&amp;$A712</f>
        <v/>
      </c>
    </row>
    <row r="713" ht="15" customHeight="1" s="76">
      <c r="F713" s="121">
        <f>$C713-$D713</f>
        <v/>
      </c>
      <c r="G713" s="121">
        <f>"Örnek kayıt: "&amp;$A713</f>
        <v/>
      </c>
    </row>
    <row r="714" ht="15" customHeight="1" s="76">
      <c r="F714" s="121">
        <f>$C714-$D714</f>
        <v/>
      </c>
      <c r="G714" s="121">
        <f>"Örnek kayıt: "&amp;$A714</f>
        <v/>
      </c>
    </row>
    <row r="715" ht="15" customHeight="1" s="76">
      <c r="F715" s="121">
        <f>$C715-$D715</f>
        <v/>
      </c>
      <c r="G715" s="121">
        <f>"Örnek kayıt: "&amp;$A715</f>
        <v/>
      </c>
    </row>
    <row r="716" ht="15" customHeight="1" s="76">
      <c r="F716" s="121">
        <f>$C716-$D716</f>
        <v/>
      </c>
      <c r="G716" s="121">
        <f>"Örnek kayıt: "&amp;$A716</f>
        <v/>
      </c>
    </row>
    <row r="717" ht="15" customHeight="1" s="76">
      <c r="F717" s="121">
        <f>$C717-$D717</f>
        <v/>
      </c>
      <c r="G717" s="121">
        <f>"Örnek kayıt: "&amp;$A717</f>
        <v/>
      </c>
    </row>
    <row r="718" ht="15" customHeight="1" s="76">
      <c r="F718" s="121">
        <f>$C718-$D718</f>
        <v/>
      </c>
      <c r="G718" s="121">
        <f>"Örnek kayıt: "&amp;$A718</f>
        <v/>
      </c>
    </row>
    <row r="719" ht="15" customHeight="1" s="76">
      <c r="F719" s="121">
        <f>$C719-$D719</f>
        <v/>
      </c>
      <c r="G719" s="121">
        <f>"Örnek kayıt: "&amp;$A719</f>
        <v/>
      </c>
    </row>
    <row r="720" ht="15" customHeight="1" s="76">
      <c r="F720" s="121">
        <f>$C720-$D720</f>
        <v/>
      </c>
      <c r="G720" s="121">
        <f>"Örnek kayıt: "&amp;$A720</f>
        <v/>
      </c>
    </row>
    <row r="721" ht="15" customHeight="1" s="76">
      <c r="F721" s="121">
        <f>$C721-$D721</f>
        <v/>
      </c>
      <c r="G721" s="121">
        <f>"Örnek kayıt: "&amp;$A721</f>
        <v/>
      </c>
    </row>
    <row r="722" ht="15" customHeight="1" s="76">
      <c r="F722" s="121">
        <f>$C722-$D722</f>
        <v/>
      </c>
      <c r="G722" s="121">
        <f>"Örnek kayıt: "&amp;$A722</f>
        <v/>
      </c>
    </row>
    <row r="723" ht="15" customHeight="1" s="76">
      <c r="F723" s="121">
        <f>$C723-$D723</f>
        <v/>
      </c>
      <c r="G723" s="121">
        <f>"Örnek kayıt: "&amp;$A723</f>
        <v/>
      </c>
    </row>
    <row r="724" ht="15" customHeight="1" s="76">
      <c r="F724" s="121">
        <f>$C724-$D724</f>
        <v/>
      </c>
      <c r="G724" s="121">
        <f>"Örnek kayıt: "&amp;$A724</f>
        <v/>
      </c>
    </row>
    <row r="725" ht="15" customHeight="1" s="76">
      <c r="F725" s="121">
        <f>$C725-$D725</f>
        <v/>
      </c>
      <c r="G725" s="121">
        <f>"Örnek kayıt: "&amp;$A725</f>
        <v/>
      </c>
    </row>
    <row r="726" ht="15" customHeight="1" s="76">
      <c r="F726" s="121">
        <f>$C726-$D726</f>
        <v/>
      </c>
      <c r="G726" s="121">
        <f>"Örnek kayıt: "&amp;$A726</f>
        <v/>
      </c>
    </row>
    <row r="727" ht="15" customHeight="1" s="76">
      <c r="F727" s="121">
        <f>$C727-$D727</f>
        <v/>
      </c>
      <c r="G727" s="121">
        <f>"Örnek kayıt: "&amp;$A727</f>
        <v/>
      </c>
    </row>
    <row r="728" ht="15" customHeight="1" s="76">
      <c r="F728" s="121">
        <f>$C728-$D728</f>
        <v/>
      </c>
      <c r="G728" s="121">
        <f>"Örnek kayıt: "&amp;$A728</f>
        <v/>
      </c>
    </row>
    <row r="729" ht="15" customHeight="1" s="76">
      <c r="F729" s="121">
        <f>$C729-$D729</f>
        <v/>
      </c>
      <c r="G729" s="121">
        <f>"Örnek kayıt: "&amp;$A729</f>
        <v/>
      </c>
    </row>
    <row r="730" ht="15" customHeight="1" s="76">
      <c r="F730" s="121">
        <f>$C730-$D730</f>
        <v/>
      </c>
      <c r="G730" s="121">
        <f>"Örnek kayıt: "&amp;$A730</f>
        <v/>
      </c>
    </row>
    <row r="731" ht="15" customHeight="1" s="76">
      <c r="F731" s="121">
        <f>$C731-$D731</f>
        <v/>
      </c>
      <c r="G731" s="121">
        <f>"Örnek kayıt: "&amp;$A731</f>
        <v/>
      </c>
    </row>
    <row r="732" ht="15" customHeight="1" s="76">
      <c r="F732" s="121">
        <f>$C732-$D732</f>
        <v/>
      </c>
      <c r="G732" s="121">
        <f>"Örnek kayıt: "&amp;$A732</f>
        <v/>
      </c>
    </row>
    <row r="733" ht="15" customHeight="1" s="76">
      <c r="F733" s="121">
        <f>$C733-$D733</f>
        <v/>
      </c>
      <c r="G733" s="121">
        <f>"Örnek kayıt: "&amp;$A733</f>
        <v/>
      </c>
    </row>
    <row r="734" ht="15" customHeight="1" s="76">
      <c r="F734" s="121">
        <f>$C734-$D734</f>
        <v/>
      </c>
      <c r="G734" s="121">
        <f>"Örnek kayıt: "&amp;$A734</f>
        <v/>
      </c>
    </row>
    <row r="735" ht="15" customHeight="1" s="76">
      <c r="F735" s="121">
        <f>$C735-$D735</f>
        <v/>
      </c>
      <c r="G735" s="121">
        <f>"Örnek kayıt: "&amp;$A735</f>
        <v/>
      </c>
    </row>
    <row r="736" ht="15" customHeight="1" s="76">
      <c r="F736" s="121">
        <f>$C736-$D736</f>
        <v/>
      </c>
      <c r="G736" s="121">
        <f>"Örnek kayıt: "&amp;$A736</f>
        <v/>
      </c>
    </row>
    <row r="737" ht="15" customHeight="1" s="76">
      <c r="F737" s="121">
        <f>$C737-$D737</f>
        <v/>
      </c>
      <c r="G737" s="121">
        <f>"Örnek kayıt: "&amp;$A737</f>
        <v/>
      </c>
    </row>
    <row r="738" ht="15" customHeight="1" s="76">
      <c r="F738" s="121">
        <f>$C738-$D738</f>
        <v/>
      </c>
      <c r="G738" s="121">
        <f>"Örnek kayıt: "&amp;$A738</f>
        <v/>
      </c>
    </row>
    <row r="739" ht="15" customHeight="1" s="76">
      <c r="F739" s="121">
        <f>$C739-$D739</f>
        <v/>
      </c>
      <c r="G739" s="121">
        <f>"Örnek kayıt: "&amp;$A739</f>
        <v/>
      </c>
    </row>
    <row r="740" ht="15" customHeight="1" s="76">
      <c r="F740" s="121">
        <f>$C740-$D740</f>
        <v/>
      </c>
      <c r="G740" s="121">
        <f>"Örnek kayıt: "&amp;$A740</f>
        <v/>
      </c>
    </row>
    <row r="741" ht="15" customHeight="1" s="76">
      <c r="F741" s="121">
        <f>$C741-$D741</f>
        <v/>
      </c>
      <c r="G741" s="121">
        <f>"Örnek kayıt: "&amp;$A741</f>
        <v/>
      </c>
    </row>
    <row r="742" ht="15" customHeight="1" s="76">
      <c r="F742" s="121">
        <f>$C742-$D742</f>
        <v/>
      </c>
      <c r="G742" s="121">
        <f>"Örnek kayıt: "&amp;$A742</f>
        <v/>
      </c>
    </row>
    <row r="743" ht="15" customHeight="1" s="76">
      <c r="F743" s="121">
        <f>$C743-$D743</f>
        <v/>
      </c>
      <c r="G743" s="121">
        <f>"Örnek kayıt: "&amp;$A743</f>
        <v/>
      </c>
    </row>
    <row r="744" ht="15" customHeight="1" s="76">
      <c r="F744" s="121">
        <f>$C744-$D744</f>
        <v/>
      </c>
      <c r="G744" s="121">
        <f>"Örnek kayıt: "&amp;$A744</f>
        <v/>
      </c>
    </row>
    <row r="745" ht="15" customHeight="1" s="76">
      <c r="F745" s="121">
        <f>$C745-$D745</f>
        <v/>
      </c>
      <c r="G745" s="121">
        <f>"Örnek kayıt: "&amp;$A745</f>
        <v/>
      </c>
    </row>
    <row r="746" ht="15" customHeight="1" s="76">
      <c r="F746" s="121">
        <f>$C746-$D746</f>
        <v/>
      </c>
      <c r="G746" s="121">
        <f>"Örnek kayıt: "&amp;$A746</f>
        <v/>
      </c>
    </row>
    <row r="747" ht="15" customHeight="1" s="76">
      <c r="F747" s="121">
        <f>$C747-$D747</f>
        <v/>
      </c>
      <c r="G747" s="121">
        <f>"Örnek kayıt: "&amp;$A747</f>
        <v/>
      </c>
    </row>
    <row r="748" ht="15" customHeight="1" s="76">
      <c r="F748" s="121">
        <f>$C748-$D748</f>
        <v/>
      </c>
      <c r="G748" s="121">
        <f>"Örnek kayıt: "&amp;$A748</f>
        <v/>
      </c>
    </row>
    <row r="749" ht="15" customHeight="1" s="76">
      <c r="F749" s="121">
        <f>$C749-$D749</f>
        <v/>
      </c>
      <c r="G749" s="121">
        <f>"Örnek kayıt: "&amp;$A749</f>
        <v/>
      </c>
    </row>
    <row r="750" ht="15" customHeight="1" s="76">
      <c r="F750" s="121">
        <f>$C750-$D750</f>
        <v/>
      </c>
      <c r="G750" s="121">
        <f>"Örnek kayıt: "&amp;$A750</f>
        <v/>
      </c>
    </row>
    <row r="751" ht="15" customHeight="1" s="76">
      <c r="F751" s="121">
        <f>$C751-$D751</f>
        <v/>
      </c>
      <c r="G751" s="121">
        <f>"Örnek kayıt: "&amp;$A751</f>
        <v/>
      </c>
    </row>
    <row r="752" ht="15" customHeight="1" s="76">
      <c r="F752" s="121">
        <f>$C752-$D752</f>
        <v/>
      </c>
      <c r="G752" s="121">
        <f>"Örnek kayıt: "&amp;$A752</f>
        <v/>
      </c>
    </row>
    <row r="753" ht="15" customHeight="1" s="76">
      <c r="F753" s="121">
        <f>$C753-$D753</f>
        <v/>
      </c>
      <c r="G753" s="121">
        <f>"Örnek kayıt: "&amp;$A753</f>
        <v/>
      </c>
    </row>
    <row r="754" ht="15" customHeight="1" s="76">
      <c r="F754" s="121">
        <f>$C754-$D754</f>
        <v/>
      </c>
      <c r="G754" s="121">
        <f>"Örnek kayıt: "&amp;$A754</f>
        <v/>
      </c>
    </row>
    <row r="755" ht="15" customHeight="1" s="76">
      <c r="F755" s="121">
        <f>$C755-$D755</f>
        <v/>
      </c>
      <c r="G755" s="121">
        <f>"Örnek kayıt: "&amp;$A755</f>
        <v/>
      </c>
    </row>
    <row r="756" ht="15" customHeight="1" s="76">
      <c r="F756" s="121">
        <f>$C756-$D756</f>
        <v/>
      </c>
      <c r="G756" s="121">
        <f>"Örnek kayıt: "&amp;$A756</f>
        <v/>
      </c>
    </row>
    <row r="757" ht="15" customHeight="1" s="76">
      <c r="F757" s="121">
        <f>$C757-$D757</f>
        <v/>
      </c>
      <c r="G757" s="121">
        <f>"Örnek kayıt: "&amp;$A757</f>
        <v/>
      </c>
    </row>
    <row r="758" ht="15" customHeight="1" s="76">
      <c r="F758" s="121">
        <f>$C758-$D758</f>
        <v/>
      </c>
      <c r="G758" s="121">
        <f>"Örnek kayıt: "&amp;$A758</f>
        <v/>
      </c>
    </row>
    <row r="759" ht="15" customHeight="1" s="76">
      <c r="F759" s="121">
        <f>$C759-$D759</f>
        <v/>
      </c>
      <c r="G759" s="121">
        <f>"Örnek kayıt: "&amp;$A759</f>
        <v/>
      </c>
    </row>
    <row r="760" ht="15" customHeight="1" s="76">
      <c r="F760" s="121">
        <f>$C760-$D760</f>
        <v/>
      </c>
      <c r="G760" s="121">
        <f>"Örnek kayıt: "&amp;$A760</f>
        <v/>
      </c>
    </row>
    <row r="761" ht="15" customHeight="1" s="76">
      <c r="F761" s="121">
        <f>$C761-$D761</f>
        <v/>
      </c>
      <c r="G761" s="121">
        <f>"Örnek kayıt: "&amp;$A761</f>
        <v/>
      </c>
    </row>
    <row r="762" ht="15" customHeight="1" s="76">
      <c r="F762" s="121">
        <f>$C762-$D762</f>
        <v/>
      </c>
      <c r="G762" s="121">
        <f>"Örnek kayıt: "&amp;$A762</f>
        <v/>
      </c>
    </row>
    <row r="763" ht="15" customHeight="1" s="76">
      <c r="F763" s="121">
        <f>$C763-$D763</f>
        <v/>
      </c>
      <c r="G763" s="121">
        <f>"Örnek kayıt: "&amp;$A763</f>
        <v/>
      </c>
    </row>
    <row r="764" ht="15" customHeight="1" s="76">
      <c r="F764" s="121">
        <f>$C764-$D764</f>
        <v/>
      </c>
      <c r="G764" s="121">
        <f>"Örnek kayıt: "&amp;$A764</f>
        <v/>
      </c>
    </row>
    <row r="765" ht="15" customHeight="1" s="76">
      <c r="F765" s="121">
        <f>$C765-$D765</f>
        <v/>
      </c>
      <c r="G765" s="121">
        <f>"Örnek kayıt: "&amp;$A765</f>
        <v/>
      </c>
    </row>
    <row r="766" ht="15" customHeight="1" s="76">
      <c r="F766" s="121">
        <f>$C766-$D766</f>
        <v/>
      </c>
      <c r="G766" s="121">
        <f>"Örnek kayıt: "&amp;$A766</f>
        <v/>
      </c>
    </row>
    <row r="767" ht="15" customHeight="1" s="76">
      <c r="F767" s="121">
        <f>$C767-$D767</f>
        <v/>
      </c>
      <c r="G767" s="121">
        <f>"Örnek kayıt: "&amp;$A767</f>
        <v/>
      </c>
    </row>
    <row r="768" ht="15" customHeight="1" s="76">
      <c r="F768" s="121">
        <f>$C768-$D768</f>
        <v/>
      </c>
      <c r="G768" s="121">
        <f>"Örnek kayıt: "&amp;$A768</f>
        <v/>
      </c>
    </row>
    <row r="769" ht="15" customHeight="1" s="76">
      <c r="F769" s="121">
        <f>$C769-$D769</f>
        <v/>
      </c>
      <c r="G769" s="121">
        <f>"Örnek kayıt: "&amp;$A769</f>
        <v/>
      </c>
    </row>
    <row r="770" ht="15" customHeight="1" s="76">
      <c r="F770" s="121">
        <f>$C770-$D770</f>
        <v/>
      </c>
      <c r="G770" s="121">
        <f>"Örnek kayıt: "&amp;$A770</f>
        <v/>
      </c>
    </row>
    <row r="771" ht="15" customHeight="1" s="76">
      <c r="F771" s="121">
        <f>$C771-$D771</f>
        <v/>
      </c>
      <c r="G771" s="121">
        <f>"Örnek kayıt: "&amp;$A771</f>
        <v/>
      </c>
    </row>
    <row r="772" ht="15" customHeight="1" s="76">
      <c r="F772" s="121">
        <f>$C772-$D772</f>
        <v/>
      </c>
      <c r="G772" s="121">
        <f>"Örnek kayıt: "&amp;$A772</f>
        <v/>
      </c>
    </row>
    <row r="773" ht="15" customHeight="1" s="76">
      <c r="F773" s="121">
        <f>$C773-$D773</f>
        <v/>
      </c>
      <c r="G773" s="121">
        <f>"Örnek kayıt: "&amp;$A773</f>
        <v/>
      </c>
    </row>
    <row r="774" ht="15" customHeight="1" s="76">
      <c r="F774" s="121">
        <f>$C774-$D774</f>
        <v/>
      </c>
      <c r="G774" s="121">
        <f>"Örnek kayıt: "&amp;$A774</f>
        <v/>
      </c>
    </row>
    <row r="775" ht="15" customHeight="1" s="76">
      <c r="F775" s="121">
        <f>$C775-$D775</f>
        <v/>
      </c>
      <c r="G775" s="121">
        <f>"Örnek kayıt: "&amp;$A775</f>
        <v/>
      </c>
    </row>
    <row r="776" ht="15" customHeight="1" s="76">
      <c r="F776" s="121">
        <f>$C776-$D776</f>
        <v/>
      </c>
      <c r="G776" s="121">
        <f>"Örnek kayıt: "&amp;$A776</f>
        <v/>
      </c>
    </row>
    <row r="777" ht="15" customHeight="1" s="76">
      <c r="F777" s="121">
        <f>$C777-$D777</f>
        <v/>
      </c>
      <c r="G777" s="121">
        <f>"Örnek kayıt: "&amp;$A777</f>
        <v/>
      </c>
    </row>
    <row r="778" ht="15" customHeight="1" s="76">
      <c r="F778" s="121">
        <f>$C778-$D778</f>
        <v/>
      </c>
      <c r="G778" s="121">
        <f>"Örnek kayıt: "&amp;$A778</f>
        <v/>
      </c>
    </row>
    <row r="779" ht="15" customHeight="1" s="76">
      <c r="F779" s="121">
        <f>$C779-$D779</f>
        <v/>
      </c>
      <c r="G779" s="121">
        <f>"Örnek kayıt: "&amp;$A779</f>
        <v/>
      </c>
    </row>
    <row r="780" ht="15" customHeight="1" s="76">
      <c r="F780" s="121">
        <f>$C780-$D780</f>
        <v/>
      </c>
      <c r="G780" s="121">
        <f>"Örnek kayıt: "&amp;$A780</f>
        <v/>
      </c>
    </row>
    <row r="781" ht="15" customHeight="1" s="76">
      <c r="F781" s="121">
        <f>$C781-$D781</f>
        <v/>
      </c>
      <c r="G781" s="121">
        <f>"Örnek kayıt: "&amp;$A781</f>
        <v/>
      </c>
    </row>
    <row r="782" ht="15" customHeight="1" s="76">
      <c r="F782" s="121">
        <f>$C782-$D782</f>
        <v/>
      </c>
      <c r="G782" s="121">
        <f>"Örnek kayıt: "&amp;$A782</f>
        <v/>
      </c>
    </row>
    <row r="783" ht="15" customHeight="1" s="76">
      <c r="F783" s="121">
        <f>$C783-$D783</f>
        <v/>
      </c>
      <c r="G783" s="121">
        <f>"Örnek kayıt: "&amp;$A783</f>
        <v/>
      </c>
    </row>
    <row r="784" ht="15" customHeight="1" s="76">
      <c r="F784" s="121">
        <f>$C784-$D784</f>
        <v/>
      </c>
      <c r="G784" s="121">
        <f>"Örnek kayıt: "&amp;$A784</f>
        <v/>
      </c>
    </row>
    <row r="785" ht="15" customHeight="1" s="76">
      <c r="F785" s="121">
        <f>$C785-$D785</f>
        <v/>
      </c>
      <c r="G785" s="121">
        <f>"Örnek kayıt: "&amp;$A785</f>
        <v/>
      </c>
    </row>
    <row r="786" ht="15" customHeight="1" s="76">
      <c r="F786" s="121">
        <f>$C786-$D786</f>
        <v/>
      </c>
      <c r="G786" s="121">
        <f>"Örnek kayıt: "&amp;$A786</f>
        <v/>
      </c>
    </row>
    <row r="787" ht="15" customHeight="1" s="76">
      <c r="F787" s="121">
        <f>$C787-$D787</f>
        <v/>
      </c>
      <c r="G787" s="121">
        <f>"Örnek kayıt: "&amp;$A787</f>
        <v/>
      </c>
    </row>
    <row r="788" ht="15" customHeight="1" s="76">
      <c r="F788" s="121">
        <f>$C788-$D788</f>
        <v/>
      </c>
      <c r="G788" s="121">
        <f>"Örnek kayıt: "&amp;$A788</f>
        <v/>
      </c>
    </row>
    <row r="789" ht="15" customHeight="1" s="76">
      <c r="F789" s="121">
        <f>$C789-$D789</f>
        <v/>
      </c>
      <c r="G789" s="121">
        <f>"Örnek kayıt: "&amp;$A789</f>
        <v/>
      </c>
    </row>
    <row r="790" ht="15" customHeight="1" s="76">
      <c r="F790" s="121">
        <f>$C790-$D790</f>
        <v/>
      </c>
      <c r="G790" s="121">
        <f>"Örnek kayıt: "&amp;$A790</f>
        <v/>
      </c>
    </row>
    <row r="791" ht="15" customHeight="1" s="76">
      <c r="F791" s="121">
        <f>$C791-$D791</f>
        <v/>
      </c>
      <c r="G791" s="121">
        <f>"Örnek kayıt: "&amp;$A791</f>
        <v/>
      </c>
    </row>
    <row r="792" ht="15" customHeight="1" s="76">
      <c r="F792" s="121">
        <f>$C792-$D792</f>
        <v/>
      </c>
      <c r="G792" s="121">
        <f>"Örnek kayıt: "&amp;$A792</f>
        <v/>
      </c>
    </row>
    <row r="793" ht="15" customHeight="1" s="76">
      <c r="F793" s="121">
        <f>$C793-$D793</f>
        <v/>
      </c>
      <c r="G793" s="121">
        <f>"Örnek kayıt: "&amp;$A793</f>
        <v/>
      </c>
    </row>
    <row r="794" ht="15" customHeight="1" s="76">
      <c r="F794" s="121">
        <f>$C794-$D794</f>
        <v/>
      </c>
      <c r="G794" s="121">
        <f>"Örnek kayıt: "&amp;$A794</f>
        <v/>
      </c>
    </row>
    <row r="795" ht="15" customHeight="1" s="76">
      <c r="F795" s="121">
        <f>$C795-$D795</f>
        <v/>
      </c>
      <c r="G795" s="121">
        <f>"Örnek kayıt: "&amp;$A795</f>
        <v/>
      </c>
    </row>
    <row r="796" ht="15" customHeight="1" s="76">
      <c r="F796" s="121">
        <f>$C796-$D796</f>
        <v/>
      </c>
      <c r="G796" s="121">
        <f>"Örnek kayıt: "&amp;$A796</f>
        <v/>
      </c>
    </row>
    <row r="797" ht="15" customHeight="1" s="76">
      <c r="F797" s="121">
        <f>$C797-$D797</f>
        <v/>
      </c>
      <c r="G797" s="121">
        <f>"Örnek kayıt: "&amp;$A797</f>
        <v/>
      </c>
    </row>
    <row r="798" ht="15" customHeight="1" s="76">
      <c r="F798" s="121">
        <f>$C798-$D798</f>
        <v/>
      </c>
      <c r="G798" s="121">
        <f>"Örnek kayıt: "&amp;$A798</f>
        <v/>
      </c>
    </row>
    <row r="799" ht="15" customHeight="1" s="76">
      <c r="F799" s="121">
        <f>$C799-$D799</f>
        <v/>
      </c>
      <c r="G799" s="121">
        <f>"Örnek kayıt: "&amp;$A799</f>
        <v/>
      </c>
    </row>
    <row r="800" ht="15" customHeight="1" s="76">
      <c r="F800" s="121">
        <f>$C800-$D800</f>
        <v/>
      </c>
      <c r="G800" s="121">
        <f>"Örnek kayıt: "&amp;$A800</f>
        <v/>
      </c>
    </row>
    <row r="801" ht="15" customHeight="1" s="76">
      <c r="F801" s="121">
        <f>$C801-$D801</f>
        <v/>
      </c>
      <c r="G801" s="121">
        <f>"Örnek kayıt: "&amp;$A801</f>
        <v/>
      </c>
    </row>
    <row r="802" ht="15" customHeight="1" s="76">
      <c r="F802" s="121">
        <f>$C802-$D802</f>
        <v/>
      </c>
      <c r="G802" s="121">
        <f>"Örnek kayıt: "&amp;$A802</f>
        <v/>
      </c>
    </row>
    <row r="803" ht="15" customHeight="1" s="76">
      <c r="F803" s="121">
        <f>$C803-$D803</f>
        <v/>
      </c>
      <c r="G803" s="121">
        <f>"Örnek kayıt: "&amp;$A803</f>
        <v/>
      </c>
    </row>
    <row r="804" ht="15" customHeight="1" s="76">
      <c r="F804" s="121">
        <f>$C804-$D804</f>
        <v/>
      </c>
      <c r="G804" s="121">
        <f>"Örnek kayıt: "&amp;$A804</f>
        <v/>
      </c>
    </row>
    <row r="805" ht="15" customHeight="1" s="76">
      <c r="F805" s="121">
        <f>$C805-$D805</f>
        <v/>
      </c>
      <c r="G805" s="121">
        <f>"Örnek kayıt: "&amp;$A805</f>
        <v/>
      </c>
    </row>
    <row r="806" ht="15" customHeight="1" s="76">
      <c r="F806" s="121">
        <f>$C806-$D806</f>
        <v/>
      </c>
      <c r="G806" s="121">
        <f>"Örnek kayıt: "&amp;$A806</f>
        <v/>
      </c>
    </row>
    <row r="807" ht="15" customHeight="1" s="76">
      <c r="F807" s="121">
        <f>$C807-$D807</f>
        <v/>
      </c>
      <c r="G807" s="121">
        <f>"Örnek kayıt: "&amp;$A807</f>
        <v/>
      </c>
    </row>
    <row r="808" ht="15" customHeight="1" s="76">
      <c r="F808" s="121">
        <f>$C808-$D808</f>
        <v/>
      </c>
      <c r="G808" s="121">
        <f>"Örnek kayıt: "&amp;$A808</f>
        <v/>
      </c>
    </row>
    <row r="809" ht="15" customHeight="1" s="76">
      <c r="F809" s="121">
        <f>$C809-$D809</f>
        <v/>
      </c>
      <c r="G809" s="121">
        <f>"Örnek kayıt: "&amp;$A809</f>
        <v/>
      </c>
    </row>
    <row r="810" ht="15" customHeight="1" s="76">
      <c r="F810" s="121">
        <f>$C810-$D810</f>
        <v/>
      </c>
      <c r="G810" s="121">
        <f>"Örnek kayıt: "&amp;$A810</f>
        <v/>
      </c>
    </row>
    <row r="811" ht="15" customHeight="1" s="76">
      <c r="F811" s="121">
        <f>$C811-$D811</f>
        <v/>
      </c>
      <c r="G811" s="121">
        <f>"Örnek kayıt: "&amp;$A811</f>
        <v/>
      </c>
    </row>
    <row r="812" ht="15" customHeight="1" s="76">
      <c r="F812" s="121">
        <f>$C812-$D812</f>
        <v/>
      </c>
      <c r="G812" s="121">
        <f>"Örnek kayıt: "&amp;$A812</f>
        <v/>
      </c>
    </row>
    <row r="813" ht="15" customHeight="1" s="76">
      <c r="F813" s="121">
        <f>$C813-$D813</f>
        <v/>
      </c>
      <c r="G813" s="121">
        <f>"Örnek kayıt: "&amp;$A813</f>
        <v/>
      </c>
    </row>
    <row r="814" ht="15" customHeight="1" s="76">
      <c r="F814" s="121">
        <f>$C814-$D814</f>
        <v/>
      </c>
      <c r="G814" s="121">
        <f>"Örnek kayıt: "&amp;$A814</f>
        <v/>
      </c>
    </row>
    <row r="815" ht="15" customHeight="1" s="76">
      <c r="F815" s="121">
        <f>$C815-$D815</f>
        <v/>
      </c>
      <c r="G815" s="121">
        <f>"Örnek kayıt: "&amp;$A815</f>
        <v/>
      </c>
    </row>
    <row r="816" ht="15" customHeight="1" s="76">
      <c r="F816" s="121">
        <f>$C816-$D816</f>
        <v/>
      </c>
      <c r="G816" s="121">
        <f>"Örnek kayıt: "&amp;$A816</f>
        <v/>
      </c>
    </row>
    <row r="817" ht="15" customHeight="1" s="76">
      <c r="F817" s="121">
        <f>$C817-$D817</f>
        <v/>
      </c>
      <c r="G817" s="121">
        <f>"Örnek kayıt: "&amp;$A817</f>
        <v/>
      </c>
    </row>
    <row r="818" ht="15" customHeight="1" s="76">
      <c r="F818" s="121">
        <f>$C818-$D818</f>
        <v/>
      </c>
      <c r="G818" s="121">
        <f>"Örnek kayıt: "&amp;$A818</f>
        <v/>
      </c>
    </row>
    <row r="819" ht="15" customHeight="1" s="76">
      <c r="F819" s="121">
        <f>$C819-$D819</f>
        <v/>
      </c>
      <c r="G819" s="121">
        <f>"Örnek kayıt: "&amp;$A819</f>
        <v/>
      </c>
    </row>
    <row r="820" ht="15" customHeight="1" s="76">
      <c r="F820" s="121">
        <f>$C820-$D820</f>
        <v/>
      </c>
      <c r="G820" s="121">
        <f>"Örnek kayıt: "&amp;$A820</f>
        <v/>
      </c>
    </row>
    <row r="821" ht="15" customHeight="1" s="76">
      <c r="F821" s="121">
        <f>$C821-$D821</f>
        <v/>
      </c>
      <c r="G821" s="121">
        <f>"Örnek kayıt: "&amp;$A821</f>
        <v/>
      </c>
    </row>
    <row r="822" ht="15" customHeight="1" s="76">
      <c r="F822" s="121">
        <f>$C822-$D822</f>
        <v/>
      </c>
      <c r="G822" s="121">
        <f>"Örnek kayıt: "&amp;$A822</f>
        <v/>
      </c>
    </row>
    <row r="823" ht="15" customHeight="1" s="76">
      <c r="F823" s="121">
        <f>$C823-$D823</f>
        <v/>
      </c>
      <c r="G823" s="121">
        <f>"Örnek kayıt: "&amp;$A823</f>
        <v/>
      </c>
    </row>
    <row r="824" ht="15" customHeight="1" s="76">
      <c r="F824" s="121">
        <f>$C824-$D824</f>
        <v/>
      </c>
      <c r="G824" s="121">
        <f>"Örnek kayıt: "&amp;$A824</f>
        <v/>
      </c>
    </row>
    <row r="825" ht="15" customHeight="1" s="76">
      <c r="F825" s="121">
        <f>$C825-$D825</f>
        <v/>
      </c>
      <c r="G825" s="121">
        <f>"Örnek kayıt: "&amp;$A825</f>
        <v/>
      </c>
    </row>
    <row r="826" ht="15" customHeight="1" s="76">
      <c r="F826" s="121">
        <f>$C826-$D826</f>
        <v/>
      </c>
      <c r="G826" s="121">
        <f>"Örnek kayıt: "&amp;$A826</f>
        <v/>
      </c>
    </row>
    <row r="827" ht="15" customHeight="1" s="76">
      <c r="F827" s="121">
        <f>$C827-$D827</f>
        <v/>
      </c>
      <c r="G827" s="121">
        <f>"Örnek kayıt: "&amp;$A827</f>
        <v/>
      </c>
    </row>
    <row r="828" ht="15" customHeight="1" s="76">
      <c r="F828" s="121">
        <f>$C828-$D828</f>
        <v/>
      </c>
      <c r="G828" s="121">
        <f>"Örnek kayıt: "&amp;$A828</f>
        <v/>
      </c>
    </row>
    <row r="829" ht="15" customHeight="1" s="76">
      <c r="F829" s="121">
        <f>$C829-$D829</f>
        <v/>
      </c>
      <c r="G829" s="121">
        <f>"Örnek kayıt: "&amp;$A829</f>
        <v/>
      </c>
    </row>
    <row r="830" ht="15" customHeight="1" s="76">
      <c r="F830" s="121">
        <f>$C830-$D830</f>
        <v/>
      </c>
      <c r="G830" s="121">
        <f>"Örnek kayıt: "&amp;$A830</f>
        <v/>
      </c>
    </row>
    <row r="831" ht="15" customHeight="1" s="76">
      <c r="F831" s="121">
        <f>$C831-$D831</f>
        <v/>
      </c>
      <c r="G831" s="121">
        <f>"Örnek kayıt: "&amp;$A831</f>
        <v/>
      </c>
    </row>
    <row r="832" ht="15" customHeight="1" s="76">
      <c r="F832" s="121">
        <f>$C832-$D832</f>
        <v/>
      </c>
      <c r="G832" s="121">
        <f>"Örnek kayıt: "&amp;$A832</f>
        <v/>
      </c>
    </row>
    <row r="833" ht="15" customHeight="1" s="76">
      <c r="F833" s="121">
        <f>$C833-$D833</f>
        <v/>
      </c>
      <c r="G833" s="121">
        <f>"Örnek kayıt: "&amp;$A833</f>
        <v/>
      </c>
    </row>
    <row r="834" ht="15" customHeight="1" s="76">
      <c r="F834" s="121">
        <f>$C834-$D834</f>
        <v/>
      </c>
      <c r="G834" s="121">
        <f>"Örnek kayıt: "&amp;$A834</f>
        <v/>
      </c>
    </row>
    <row r="835" ht="15" customHeight="1" s="76">
      <c r="F835" s="121">
        <f>$C835-$D835</f>
        <v/>
      </c>
      <c r="G835" s="121">
        <f>"Örnek kayıt: "&amp;$A835</f>
        <v/>
      </c>
    </row>
    <row r="836" ht="15" customHeight="1" s="76">
      <c r="F836" s="121">
        <f>$C836-$D836</f>
        <v/>
      </c>
      <c r="G836" s="121">
        <f>"Örnek kayıt: "&amp;$A836</f>
        <v/>
      </c>
    </row>
    <row r="837" ht="15" customHeight="1" s="76">
      <c r="F837" s="121">
        <f>$C837-$D837</f>
        <v/>
      </c>
      <c r="G837" s="121">
        <f>"Örnek kayıt: "&amp;$A837</f>
        <v/>
      </c>
    </row>
    <row r="838" ht="15" customHeight="1" s="76">
      <c r="F838" s="121">
        <f>$C838-$D838</f>
        <v/>
      </c>
      <c r="G838" s="121">
        <f>"Örnek kayıt: "&amp;$A838</f>
        <v/>
      </c>
    </row>
    <row r="839" ht="15" customHeight="1" s="76">
      <c r="F839" s="121">
        <f>$C839-$D839</f>
        <v/>
      </c>
      <c r="G839" s="121">
        <f>"Örnek kayıt: "&amp;$A839</f>
        <v/>
      </c>
    </row>
    <row r="840" ht="15" customHeight="1" s="76">
      <c r="F840" s="121">
        <f>$C840-$D840</f>
        <v/>
      </c>
      <c r="G840" s="121">
        <f>"Örnek kayıt: "&amp;$A840</f>
        <v/>
      </c>
    </row>
    <row r="841" ht="15" customHeight="1" s="76">
      <c r="F841" s="121">
        <f>$C841-$D841</f>
        <v/>
      </c>
      <c r="G841" s="121">
        <f>"Örnek kayıt: "&amp;$A841</f>
        <v/>
      </c>
    </row>
    <row r="842" ht="15" customHeight="1" s="76">
      <c r="F842" s="121">
        <f>$C842-$D842</f>
        <v/>
      </c>
      <c r="G842" s="121">
        <f>"Örnek kayıt: "&amp;$A842</f>
        <v/>
      </c>
    </row>
    <row r="843" ht="15" customHeight="1" s="76">
      <c r="F843" s="121">
        <f>$C843-$D843</f>
        <v/>
      </c>
      <c r="G843" s="121">
        <f>"Örnek kayıt: "&amp;$A843</f>
        <v/>
      </c>
    </row>
    <row r="844" ht="15" customHeight="1" s="76">
      <c r="F844" s="121">
        <f>$C844-$D844</f>
        <v/>
      </c>
      <c r="G844" s="121">
        <f>"Örnek kayıt: "&amp;$A844</f>
        <v/>
      </c>
    </row>
    <row r="845" ht="15" customHeight="1" s="76">
      <c r="F845" s="121">
        <f>$C845-$D845</f>
        <v/>
      </c>
      <c r="G845" s="121">
        <f>"Örnek kayıt: "&amp;$A845</f>
        <v/>
      </c>
    </row>
    <row r="846" ht="15" customHeight="1" s="76">
      <c r="F846" s="121">
        <f>$C846-$D846</f>
        <v/>
      </c>
      <c r="G846" s="121">
        <f>"Örnek kayıt: "&amp;$A846</f>
        <v/>
      </c>
    </row>
    <row r="847" ht="15" customHeight="1" s="76">
      <c r="F847" s="121">
        <f>$C847-$D847</f>
        <v/>
      </c>
      <c r="G847" s="121">
        <f>"Örnek kayıt: "&amp;$A847</f>
        <v/>
      </c>
    </row>
    <row r="848" ht="15" customHeight="1" s="76">
      <c r="F848" s="121">
        <f>$C848-$D848</f>
        <v/>
      </c>
      <c r="G848" s="121">
        <f>"Örnek kayıt: "&amp;$A848</f>
        <v/>
      </c>
    </row>
    <row r="849" ht="15" customHeight="1" s="76">
      <c r="F849" s="121">
        <f>$C849-$D849</f>
        <v/>
      </c>
      <c r="G849" s="121">
        <f>"Örnek kayıt: "&amp;$A849</f>
        <v/>
      </c>
    </row>
    <row r="850" ht="15" customHeight="1" s="76">
      <c r="F850" s="121">
        <f>$C850-$D850</f>
        <v/>
      </c>
      <c r="G850" s="121">
        <f>"Örnek kayıt: "&amp;$A850</f>
        <v/>
      </c>
    </row>
    <row r="851" ht="15" customHeight="1" s="76">
      <c r="F851" s="121">
        <f>$C851-$D851</f>
        <v/>
      </c>
      <c r="G851" s="121">
        <f>"Örnek kayıt: "&amp;$A851</f>
        <v/>
      </c>
    </row>
    <row r="852" ht="15" customHeight="1" s="76">
      <c r="F852" s="121">
        <f>$C852-$D852</f>
        <v/>
      </c>
      <c r="G852" s="121">
        <f>"Örnek kayıt: "&amp;$A852</f>
        <v/>
      </c>
    </row>
    <row r="853" ht="15" customHeight="1" s="76">
      <c r="F853" s="121">
        <f>$C853-$D853</f>
        <v/>
      </c>
      <c r="G853" s="121">
        <f>"Örnek kayıt: "&amp;$A853</f>
        <v/>
      </c>
    </row>
    <row r="854" ht="15" customHeight="1" s="76">
      <c r="F854" s="121">
        <f>$C854-$D854</f>
        <v/>
      </c>
      <c r="G854" s="121">
        <f>"Örnek kayıt: "&amp;$A854</f>
        <v/>
      </c>
    </row>
    <row r="855" ht="15" customHeight="1" s="76">
      <c r="F855" s="121">
        <f>$C855-$D855</f>
        <v/>
      </c>
      <c r="G855" s="121">
        <f>"Örnek kayıt: "&amp;$A855</f>
        <v/>
      </c>
    </row>
    <row r="856" ht="15" customHeight="1" s="76">
      <c r="F856" s="121">
        <f>$C856-$D856</f>
        <v/>
      </c>
      <c r="G856" s="121">
        <f>"Örnek kayıt: "&amp;$A856</f>
        <v/>
      </c>
    </row>
    <row r="857" ht="15" customHeight="1" s="76">
      <c r="F857" s="121">
        <f>$C857-$D857</f>
        <v/>
      </c>
      <c r="G857" s="121">
        <f>"Örnek kayıt: "&amp;$A857</f>
        <v/>
      </c>
    </row>
    <row r="858" ht="15" customHeight="1" s="76">
      <c r="F858" s="121">
        <f>$C858-$D858</f>
        <v/>
      </c>
      <c r="G858" s="121">
        <f>"Örnek kayıt: "&amp;$A858</f>
        <v/>
      </c>
    </row>
    <row r="859" ht="15" customHeight="1" s="76">
      <c r="F859" s="121">
        <f>$C859-$D859</f>
        <v/>
      </c>
      <c r="G859" s="121">
        <f>"Örnek kayıt: "&amp;$A859</f>
        <v/>
      </c>
    </row>
    <row r="860" ht="15" customHeight="1" s="76">
      <c r="F860" s="121">
        <f>$C860-$D860</f>
        <v/>
      </c>
      <c r="G860" s="121">
        <f>"Örnek kayıt: "&amp;$A860</f>
        <v/>
      </c>
    </row>
    <row r="861" ht="15" customHeight="1" s="76">
      <c r="F861" s="121">
        <f>$C861-$D861</f>
        <v/>
      </c>
      <c r="G861" s="121">
        <f>"Örnek kayıt: "&amp;$A861</f>
        <v/>
      </c>
    </row>
    <row r="862" ht="15" customHeight="1" s="76">
      <c r="F862" s="121">
        <f>$C862-$D862</f>
        <v/>
      </c>
      <c r="G862" s="121">
        <f>"Örnek kayıt: "&amp;$A862</f>
        <v/>
      </c>
    </row>
    <row r="863" ht="15" customHeight="1" s="76">
      <c r="F863" s="121">
        <f>$C863-$D863</f>
        <v/>
      </c>
      <c r="G863" s="121">
        <f>"Örnek kayıt: "&amp;$A863</f>
        <v/>
      </c>
    </row>
    <row r="864" ht="15" customHeight="1" s="76">
      <c r="F864" s="121">
        <f>$C864-$D864</f>
        <v/>
      </c>
      <c r="G864" s="121">
        <f>"Örnek kayıt: "&amp;$A864</f>
        <v/>
      </c>
    </row>
    <row r="865" ht="15" customHeight="1" s="76">
      <c r="F865" s="121">
        <f>$C865-$D865</f>
        <v/>
      </c>
      <c r="G865" s="121">
        <f>"Örnek kayıt: "&amp;$A865</f>
        <v/>
      </c>
    </row>
    <row r="866" ht="15" customHeight="1" s="76">
      <c r="F866" s="121">
        <f>$C866-$D866</f>
        <v/>
      </c>
      <c r="G866" s="121">
        <f>"Örnek kayıt: "&amp;$A866</f>
        <v/>
      </c>
    </row>
    <row r="867" ht="15" customHeight="1" s="76">
      <c r="F867" s="121">
        <f>$C867-$D867</f>
        <v/>
      </c>
      <c r="G867" s="121">
        <f>"Örnek kayıt: "&amp;$A867</f>
        <v/>
      </c>
    </row>
    <row r="868" ht="15" customHeight="1" s="76">
      <c r="F868" s="121">
        <f>$C868-$D868</f>
        <v/>
      </c>
      <c r="G868" s="121">
        <f>"Örnek kayıt: "&amp;$A868</f>
        <v/>
      </c>
    </row>
    <row r="869" ht="15" customHeight="1" s="76">
      <c r="F869" s="121">
        <f>$C869-$D869</f>
        <v/>
      </c>
      <c r="G869" s="121">
        <f>"Örnek kayıt: "&amp;$A869</f>
        <v/>
      </c>
    </row>
    <row r="870" ht="15" customHeight="1" s="76">
      <c r="F870" s="121">
        <f>$C870-$D870</f>
        <v/>
      </c>
      <c r="G870" s="121">
        <f>"Örnek kayıt: "&amp;$A870</f>
        <v/>
      </c>
    </row>
    <row r="871" ht="15" customHeight="1" s="76">
      <c r="F871" s="121">
        <f>$C871-$D871</f>
        <v/>
      </c>
      <c r="G871" s="121">
        <f>"Örnek kayıt: "&amp;$A871</f>
        <v/>
      </c>
    </row>
    <row r="872" ht="15" customHeight="1" s="76">
      <c r="F872" s="121">
        <f>$C872-$D872</f>
        <v/>
      </c>
      <c r="G872" s="121">
        <f>"Örnek kayıt: "&amp;$A872</f>
        <v/>
      </c>
    </row>
    <row r="873" ht="15" customHeight="1" s="76">
      <c r="F873" s="121">
        <f>$C873-$D873</f>
        <v/>
      </c>
      <c r="G873" s="121">
        <f>"Örnek kayıt: "&amp;$A873</f>
        <v/>
      </c>
    </row>
    <row r="874" ht="15" customHeight="1" s="76">
      <c r="F874" s="121">
        <f>$C874-$D874</f>
        <v/>
      </c>
      <c r="G874" s="121">
        <f>"Örnek kayıt: "&amp;$A874</f>
        <v/>
      </c>
    </row>
    <row r="875" ht="15" customHeight="1" s="76">
      <c r="F875" s="121">
        <f>$C875-$D875</f>
        <v/>
      </c>
      <c r="G875" s="121">
        <f>"Örnek kayıt: "&amp;$A875</f>
        <v/>
      </c>
    </row>
    <row r="876" ht="15" customHeight="1" s="76">
      <c r="F876" s="121">
        <f>$C876-$D876</f>
        <v/>
      </c>
      <c r="G876" s="121">
        <f>"Örnek kayıt: "&amp;$A876</f>
        <v/>
      </c>
    </row>
    <row r="877" ht="15" customHeight="1" s="76">
      <c r="F877" s="121">
        <f>$C877-$D877</f>
        <v/>
      </c>
      <c r="G877" s="121">
        <f>"Örnek kayıt: "&amp;$A877</f>
        <v/>
      </c>
    </row>
    <row r="878" ht="15" customHeight="1" s="76">
      <c r="F878" s="121">
        <f>$C878-$D878</f>
        <v/>
      </c>
      <c r="G878" s="121">
        <f>"Örnek kayıt: "&amp;$A878</f>
        <v/>
      </c>
    </row>
    <row r="879" ht="15" customHeight="1" s="76">
      <c r="F879" s="121">
        <f>$C879-$D879</f>
        <v/>
      </c>
      <c r="G879" s="121">
        <f>"Örnek kayıt: "&amp;$A879</f>
        <v/>
      </c>
    </row>
    <row r="880" ht="15" customHeight="1" s="76">
      <c r="F880" s="121">
        <f>$C880-$D880</f>
        <v/>
      </c>
      <c r="G880" s="121">
        <f>"Örnek kayıt: "&amp;$A880</f>
        <v/>
      </c>
    </row>
    <row r="881" ht="15" customHeight="1" s="76">
      <c r="F881" s="121">
        <f>$C881-$D881</f>
        <v/>
      </c>
      <c r="G881" s="121">
        <f>"Örnek kayıt: "&amp;$A881</f>
        <v/>
      </c>
    </row>
    <row r="882" ht="15" customHeight="1" s="76">
      <c r="F882" s="121">
        <f>$C882-$D882</f>
        <v/>
      </c>
      <c r="G882" s="121">
        <f>"Örnek kayıt: "&amp;$A882</f>
        <v/>
      </c>
    </row>
    <row r="883" ht="15" customHeight="1" s="76">
      <c r="F883" s="121">
        <f>$C883-$D883</f>
        <v/>
      </c>
      <c r="G883" s="121">
        <f>"Örnek kayıt: "&amp;$A883</f>
        <v/>
      </c>
    </row>
    <row r="884" ht="15" customHeight="1" s="76">
      <c r="F884" s="121">
        <f>$C884-$D884</f>
        <v/>
      </c>
      <c r="G884" s="121">
        <f>"Örnek kayıt: "&amp;$A884</f>
        <v/>
      </c>
    </row>
    <row r="885" ht="15" customHeight="1" s="76">
      <c r="F885" s="121">
        <f>$C885-$D885</f>
        <v/>
      </c>
      <c r="G885" s="121">
        <f>"Örnek kayıt: "&amp;$A885</f>
        <v/>
      </c>
    </row>
    <row r="886" ht="15" customHeight="1" s="76">
      <c r="F886" s="121">
        <f>$C886-$D886</f>
        <v/>
      </c>
      <c r="G886" s="121">
        <f>"Örnek kayıt: "&amp;$A886</f>
        <v/>
      </c>
    </row>
    <row r="887" ht="15" customHeight="1" s="76">
      <c r="F887" s="121">
        <f>$C887-$D887</f>
        <v/>
      </c>
      <c r="G887" s="121">
        <f>"Örnek kayıt: "&amp;$A887</f>
        <v/>
      </c>
    </row>
    <row r="888" ht="15" customHeight="1" s="76">
      <c r="F888" s="121">
        <f>$C888-$D888</f>
        <v/>
      </c>
      <c r="G888" s="121">
        <f>"Örnek kayıt: "&amp;$A888</f>
        <v/>
      </c>
    </row>
    <row r="889" ht="15" customHeight="1" s="76">
      <c r="F889" s="121">
        <f>$C889-$D889</f>
        <v/>
      </c>
      <c r="G889" s="121">
        <f>"Örnek kayıt: "&amp;$A889</f>
        <v/>
      </c>
    </row>
    <row r="890" ht="15" customHeight="1" s="76">
      <c r="F890" s="121">
        <f>$C890-$D890</f>
        <v/>
      </c>
      <c r="G890" s="121">
        <f>"Örnek kayıt: "&amp;$A890</f>
        <v/>
      </c>
    </row>
    <row r="891" ht="15" customHeight="1" s="76">
      <c r="F891" s="121">
        <f>$C891-$D891</f>
        <v/>
      </c>
      <c r="G891" s="121">
        <f>"Örnek kayıt: "&amp;$A891</f>
        <v/>
      </c>
    </row>
    <row r="892" ht="15" customHeight="1" s="76">
      <c r="F892" s="121">
        <f>$C892-$D892</f>
        <v/>
      </c>
      <c r="G892" s="121">
        <f>"Örnek kayıt: "&amp;$A892</f>
        <v/>
      </c>
    </row>
    <row r="893" ht="15" customHeight="1" s="76">
      <c r="F893" s="121">
        <f>$C893-$D893</f>
        <v/>
      </c>
      <c r="G893" s="121">
        <f>"Örnek kayıt: "&amp;$A893</f>
        <v/>
      </c>
    </row>
    <row r="894" ht="15" customHeight="1" s="76">
      <c r="F894" s="121">
        <f>$C894-$D894</f>
        <v/>
      </c>
      <c r="G894" s="121">
        <f>"Örnek kayıt: "&amp;$A894</f>
        <v/>
      </c>
    </row>
    <row r="895" ht="15" customHeight="1" s="76">
      <c r="F895" s="121">
        <f>$C895-$D895</f>
        <v/>
      </c>
      <c r="G895" s="121">
        <f>"Örnek kayıt: "&amp;$A895</f>
        <v/>
      </c>
    </row>
    <row r="896" ht="15" customHeight="1" s="76">
      <c r="F896" s="121">
        <f>$C896-$D896</f>
        <v/>
      </c>
      <c r="G896" s="121">
        <f>"Örnek kayıt: "&amp;$A896</f>
        <v/>
      </c>
    </row>
    <row r="897" ht="15" customHeight="1" s="76">
      <c r="F897" s="121">
        <f>$C897-$D897</f>
        <v/>
      </c>
      <c r="G897" s="121">
        <f>"Örnek kayıt: "&amp;$A897</f>
        <v/>
      </c>
    </row>
    <row r="898" ht="15" customHeight="1" s="76">
      <c r="F898" s="121">
        <f>$C898-$D898</f>
        <v/>
      </c>
      <c r="G898" s="121">
        <f>"Örnek kayıt: "&amp;$A898</f>
        <v/>
      </c>
    </row>
    <row r="899" ht="15" customHeight="1" s="76">
      <c r="F899" s="121">
        <f>$C899-$D899</f>
        <v/>
      </c>
      <c r="G899" s="121">
        <f>"Örnek kayıt: "&amp;$A899</f>
        <v/>
      </c>
    </row>
    <row r="900" ht="15" customHeight="1" s="76">
      <c r="F900" s="121">
        <f>$C900-$D900</f>
        <v/>
      </c>
      <c r="G900" s="121">
        <f>"Örnek kayıt: "&amp;$A900</f>
        <v/>
      </c>
    </row>
    <row r="901" ht="15" customHeight="1" s="76">
      <c r="F901" s="121">
        <f>$C901-$D901</f>
        <v/>
      </c>
      <c r="G901" s="121">
        <f>"Örnek kayıt: "&amp;$A901</f>
        <v/>
      </c>
    </row>
    <row r="902" ht="15" customHeight="1" s="76">
      <c r="F902" s="121">
        <f>$C902-$D902</f>
        <v/>
      </c>
      <c r="G902" s="121">
        <f>"Örnek kayıt: "&amp;$A902</f>
        <v/>
      </c>
    </row>
    <row r="903" ht="15" customHeight="1" s="76">
      <c r="F903" s="121">
        <f>$C903-$D903</f>
        <v/>
      </c>
      <c r="G903" s="121">
        <f>"Örnek kayıt: "&amp;$A903</f>
        <v/>
      </c>
    </row>
    <row r="904" ht="15" customHeight="1" s="76">
      <c r="F904" s="121">
        <f>$C904-$D904</f>
        <v/>
      </c>
      <c r="G904" s="121">
        <f>"Örnek kayıt: "&amp;$A904</f>
        <v/>
      </c>
    </row>
    <row r="905" ht="15" customHeight="1" s="76">
      <c r="F905" s="121">
        <f>$C905-$D905</f>
        <v/>
      </c>
      <c r="G905" s="121">
        <f>"Örnek kayıt: "&amp;$A905</f>
        <v/>
      </c>
    </row>
    <row r="906" ht="15" customHeight="1" s="76">
      <c r="F906" s="121">
        <f>$C906-$D906</f>
        <v/>
      </c>
      <c r="G906" s="121">
        <f>"Örnek kayıt: "&amp;$A906</f>
        <v/>
      </c>
    </row>
    <row r="907" ht="15" customHeight="1" s="76">
      <c r="F907" s="121">
        <f>$C907-$D907</f>
        <v/>
      </c>
      <c r="G907" s="121">
        <f>"Örnek kayıt: "&amp;$A907</f>
        <v/>
      </c>
    </row>
    <row r="908" ht="15" customHeight="1" s="76">
      <c r="F908" s="121">
        <f>$C908-$D908</f>
        <v/>
      </c>
      <c r="G908" s="121">
        <f>"Örnek kayıt: "&amp;$A908</f>
        <v/>
      </c>
    </row>
    <row r="909" ht="15" customHeight="1" s="76">
      <c r="F909" s="121">
        <f>$C909-$D909</f>
        <v/>
      </c>
      <c r="G909" s="121">
        <f>"Örnek kayıt: "&amp;$A909</f>
        <v/>
      </c>
    </row>
    <row r="910" ht="15" customHeight="1" s="76">
      <c r="F910" s="121">
        <f>$C910-$D910</f>
        <v/>
      </c>
      <c r="G910" s="121">
        <f>"Örnek kayıt: "&amp;$A910</f>
        <v/>
      </c>
    </row>
    <row r="911" ht="15" customHeight="1" s="76">
      <c r="F911" s="121">
        <f>$C911-$D911</f>
        <v/>
      </c>
      <c r="G911" s="121">
        <f>"Örnek kayıt: "&amp;$A911</f>
        <v/>
      </c>
    </row>
    <row r="912" ht="15" customHeight="1" s="76">
      <c r="F912" s="121">
        <f>$C912-$D912</f>
        <v/>
      </c>
      <c r="G912" s="121">
        <f>"Örnek kayıt: "&amp;$A912</f>
        <v/>
      </c>
    </row>
    <row r="913" ht="15" customHeight="1" s="76">
      <c r="F913" s="121">
        <f>$C913-$D913</f>
        <v/>
      </c>
      <c r="G913" s="121">
        <f>"Örnek kayıt: "&amp;$A913</f>
        <v/>
      </c>
    </row>
    <row r="914" ht="15" customHeight="1" s="76">
      <c r="F914" s="121">
        <f>$C914-$D914</f>
        <v/>
      </c>
      <c r="G914" s="121">
        <f>"Örnek kayıt: "&amp;$A914</f>
        <v/>
      </c>
    </row>
    <row r="915" ht="15" customHeight="1" s="76">
      <c r="F915" s="121">
        <f>$C915-$D915</f>
        <v/>
      </c>
      <c r="G915" s="121">
        <f>"Örnek kayıt: "&amp;$A915</f>
        <v/>
      </c>
    </row>
    <row r="916" ht="15" customHeight="1" s="76">
      <c r="F916" s="121">
        <f>$C916-$D916</f>
        <v/>
      </c>
      <c r="G916" s="121">
        <f>"Örnek kayıt: "&amp;$A916</f>
        <v/>
      </c>
    </row>
    <row r="917" ht="15" customHeight="1" s="76">
      <c r="F917" s="121">
        <f>$C917-$D917</f>
        <v/>
      </c>
      <c r="G917" s="121">
        <f>"Örnek kayıt: "&amp;$A917</f>
        <v/>
      </c>
    </row>
    <row r="918" ht="15" customHeight="1" s="76">
      <c r="F918" s="121">
        <f>$C918-$D918</f>
        <v/>
      </c>
      <c r="G918" s="121">
        <f>"Örnek kayıt: "&amp;$A918</f>
        <v/>
      </c>
    </row>
    <row r="919" ht="15" customHeight="1" s="76">
      <c r="F919" s="121">
        <f>$C919-$D919</f>
        <v/>
      </c>
      <c r="G919" s="121">
        <f>"Örnek kayıt: "&amp;$A919</f>
        <v/>
      </c>
    </row>
    <row r="920" ht="15" customHeight="1" s="76">
      <c r="F920" s="121">
        <f>$C920-$D920</f>
        <v/>
      </c>
      <c r="G920" s="121">
        <f>"Örnek kayıt: "&amp;$A920</f>
        <v/>
      </c>
    </row>
    <row r="921" ht="15" customHeight="1" s="76">
      <c r="F921" s="121">
        <f>$C921-$D921</f>
        <v/>
      </c>
      <c r="G921" s="121">
        <f>"Örnek kayıt: "&amp;$A921</f>
        <v/>
      </c>
    </row>
    <row r="922" ht="15" customHeight="1" s="76">
      <c r="F922" s="121">
        <f>$C922-$D922</f>
        <v/>
      </c>
      <c r="G922" s="121">
        <f>"Örnek kayıt: "&amp;$A922</f>
        <v/>
      </c>
    </row>
    <row r="923" ht="15" customHeight="1" s="76">
      <c r="F923" s="121">
        <f>$C923-$D923</f>
        <v/>
      </c>
      <c r="G923" s="121">
        <f>"Örnek kayıt: "&amp;$A923</f>
        <v/>
      </c>
    </row>
    <row r="924" ht="15" customHeight="1" s="76">
      <c r="F924" s="121">
        <f>$C924-$D924</f>
        <v/>
      </c>
      <c r="G924" s="121">
        <f>"Örnek kayıt: "&amp;$A924</f>
        <v/>
      </c>
    </row>
    <row r="925" ht="15" customHeight="1" s="76">
      <c r="F925" s="121">
        <f>$C925-$D925</f>
        <v/>
      </c>
      <c r="G925" s="121">
        <f>"Örnek kayıt: "&amp;$A925</f>
        <v/>
      </c>
    </row>
    <row r="926" ht="15" customHeight="1" s="76">
      <c r="F926" s="121">
        <f>$C926-$D926</f>
        <v/>
      </c>
      <c r="G926" s="121">
        <f>"Örnek kayıt: "&amp;$A926</f>
        <v/>
      </c>
    </row>
    <row r="927" ht="15" customHeight="1" s="76">
      <c r="F927" s="121">
        <f>$C927-$D927</f>
        <v/>
      </c>
      <c r="G927" s="121">
        <f>"Örnek kayıt: "&amp;$A927</f>
        <v/>
      </c>
    </row>
    <row r="928" ht="15" customHeight="1" s="76">
      <c r="F928" s="121">
        <f>$C928-$D928</f>
        <v/>
      </c>
      <c r="G928" s="121">
        <f>"Örnek kayıt: "&amp;$A928</f>
        <v/>
      </c>
    </row>
    <row r="929" ht="15" customHeight="1" s="76">
      <c r="F929" s="121">
        <f>$C929-$D929</f>
        <v/>
      </c>
      <c r="G929" s="121">
        <f>"Örnek kayıt: "&amp;$A929</f>
        <v/>
      </c>
    </row>
    <row r="930" ht="15" customHeight="1" s="76">
      <c r="F930" s="121">
        <f>$C930-$D930</f>
        <v/>
      </c>
      <c r="G930" s="121">
        <f>"Örnek kayıt: "&amp;$A930</f>
        <v/>
      </c>
    </row>
    <row r="931" ht="15" customHeight="1" s="76">
      <c r="F931" s="121">
        <f>$C931-$D931</f>
        <v/>
      </c>
      <c r="G931" s="121">
        <f>"Örnek kayıt: "&amp;$A931</f>
        <v/>
      </c>
    </row>
    <row r="932" ht="15" customHeight="1" s="76">
      <c r="F932" s="121">
        <f>$C932-$D932</f>
        <v/>
      </c>
      <c r="G932" s="121">
        <f>"Örnek kayıt: "&amp;$A932</f>
        <v/>
      </c>
    </row>
    <row r="933" ht="15" customHeight="1" s="76">
      <c r="F933" s="121">
        <f>$C933-$D933</f>
        <v/>
      </c>
      <c r="G933" s="121">
        <f>"Örnek kayıt: "&amp;$A933</f>
        <v/>
      </c>
    </row>
    <row r="934" ht="15" customHeight="1" s="76">
      <c r="F934" s="121">
        <f>$C934-$D934</f>
        <v/>
      </c>
      <c r="G934" s="121">
        <f>"Örnek kayıt: "&amp;$A934</f>
        <v/>
      </c>
    </row>
    <row r="935" ht="15" customHeight="1" s="76">
      <c r="F935" s="121">
        <f>$C935-$D935</f>
        <v/>
      </c>
      <c r="G935" s="121">
        <f>"Örnek kayıt: "&amp;$A935</f>
        <v/>
      </c>
    </row>
    <row r="936" ht="15" customHeight="1" s="76">
      <c r="F936" s="121">
        <f>$C936-$D936</f>
        <v/>
      </c>
      <c r="G936" s="121">
        <f>"Örnek kayıt: "&amp;$A936</f>
        <v/>
      </c>
    </row>
    <row r="937" ht="15" customHeight="1" s="76">
      <c r="F937" s="121">
        <f>$C937-$D937</f>
        <v/>
      </c>
      <c r="G937" s="121">
        <f>"Örnek kayıt: "&amp;$A937</f>
        <v/>
      </c>
    </row>
    <row r="938" ht="15" customHeight="1" s="76">
      <c r="F938" s="121">
        <f>$C938-$D938</f>
        <v/>
      </c>
      <c r="G938" s="121">
        <f>"Örnek kayıt: "&amp;$A938</f>
        <v/>
      </c>
    </row>
    <row r="939" ht="15" customHeight="1" s="76">
      <c r="F939" s="121">
        <f>$C939-$D939</f>
        <v/>
      </c>
      <c r="G939" s="121">
        <f>"Örnek kayıt: "&amp;$A939</f>
        <v/>
      </c>
    </row>
    <row r="940" ht="15" customHeight="1" s="76">
      <c r="F940" s="121">
        <f>$C940-$D940</f>
        <v/>
      </c>
      <c r="G940" s="121">
        <f>"Örnek kayıt: "&amp;$A940</f>
        <v/>
      </c>
    </row>
    <row r="941" ht="15" customHeight="1" s="76">
      <c r="F941" s="121">
        <f>$C941-$D941</f>
        <v/>
      </c>
      <c r="G941" s="121">
        <f>"Örnek kayıt: "&amp;$A941</f>
        <v/>
      </c>
    </row>
    <row r="942" ht="15" customHeight="1" s="76">
      <c r="F942" s="121">
        <f>$C942-$D942</f>
        <v/>
      </c>
      <c r="G942" s="121">
        <f>"Örnek kayıt: "&amp;$A942</f>
        <v/>
      </c>
    </row>
    <row r="943" ht="15" customHeight="1" s="76">
      <c r="F943" s="121">
        <f>$C943-$D943</f>
        <v/>
      </c>
      <c r="G943" s="121">
        <f>"Örnek kayıt: "&amp;$A943</f>
        <v/>
      </c>
    </row>
    <row r="944" ht="15" customHeight="1" s="76">
      <c r="F944" s="121">
        <f>$C944-$D944</f>
        <v/>
      </c>
      <c r="G944" s="121">
        <f>"Örnek kayıt: "&amp;$A944</f>
        <v/>
      </c>
    </row>
    <row r="945" ht="15" customHeight="1" s="76">
      <c r="F945" s="121">
        <f>$C945-$D945</f>
        <v/>
      </c>
      <c r="G945" s="121">
        <f>"Örnek kayıt: "&amp;$A945</f>
        <v/>
      </c>
    </row>
    <row r="946" ht="15" customHeight="1" s="76">
      <c r="F946" s="121">
        <f>$C946-$D946</f>
        <v/>
      </c>
      <c r="G946" s="121">
        <f>"Örnek kayıt: "&amp;$A946</f>
        <v/>
      </c>
    </row>
    <row r="947" ht="15" customHeight="1" s="76">
      <c r="F947" s="121">
        <f>$C947-$D947</f>
        <v/>
      </c>
      <c r="G947" s="121">
        <f>"Örnek kayıt: "&amp;$A947</f>
        <v/>
      </c>
    </row>
    <row r="948" ht="15" customHeight="1" s="76">
      <c r="F948" s="121">
        <f>$C948-$D948</f>
        <v/>
      </c>
      <c r="G948" s="121">
        <f>"Örnek kayıt: "&amp;$A948</f>
        <v/>
      </c>
    </row>
    <row r="949" ht="15" customHeight="1" s="76">
      <c r="F949" s="121">
        <f>$C949-$D949</f>
        <v/>
      </c>
      <c r="G949" s="121">
        <f>"Örnek kayıt: "&amp;$A949</f>
        <v/>
      </c>
    </row>
    <row r="950" ht="15" customHeight="1" s="76">
      <c r="F950" s="121">
        <f>$C950-$D950</f>
        <v/>
      </c>
      <c r="G950" s="121">
        <f>"Örnek kayıt: "&amp;$A950</f>
        <v/>
      </c>
    </row>
    <row r="951" ht="15" customHeight="1" s="76">
      <c r="F951" s="121">
        <f>$C951-$D951</f>
        <v/>
      </c>
      <c r="G951" s="121">
        <f>"Örnek kayıt: "&amp;$A951</f>
        <v/>
      </c>
    </row>
    <row r="952" ht="15" customHeight="1" s="76">
      <c r="F952" s="121">
        <f>$C952-$D952</f>
        <v/>
      </c>
      <c r="G952" s="121">
        <f>"Örnek kayıt: "&amp;$A952</f>
        <v/>
      </c>
    </row>
    <row r="953" ht="15" customHeight="1" s="76">
      <c r="F953" s="121">
        <f>$C953-$D953</f>
        <v/>
      </c>
      <c r="G953" s="121">
        <f>"Örnek kayıt: "&amp;$A953</f>
        <v/>
      </c>
    </row>
    <row r="954" ht="15" customHeight="1" s="76">
      <c r="F954" s="121">
        <f>$C954-$D954</f>
        <v/>
      </c>
      <c r="G954" s="121">
        <f>"Örnek kayıt: "&amp;$A954</f>
        <v/>
      </c>
    </row>
    <row r="955" ht="15" customHeight="1" s="76">
      <c r="F955" s="121">
        <f>$C955-$D955</f>
        <v/>
      </c>
      <c r="G955" s="121">
        <f>"Örnek kayıt: "&amp;$A955</f>
        <v/>
      </c>
    </row>
    <row r="956" ht="15" customHeight="1" s="76">
      <c r="F956" s="121">
        <f>$C956-$D956</f>
        <v/>
      </c>
      <c r="G956" s="121">
        <f>"Örnek kayıt: "&amp;$A956</f>
        <v/>
      </c>
    </row>
    <row r="957" ht="15" customHeight="1" s="76">
      <c r="F957" s="121">
        <f>$C957-$D957</f>
        <v/>
      </c>
      <c r="G957" s="121">
        <f>"Örnek kayıt: "&amp;$A957</f>
        <v/>
      </c>
    </row>
    <row r="958" ht="15" customHeight="1" s="76">
      <c r="F958" s="121">
        <f>$C958-$D958</f>
        <v/>
      </c>
      <c r="G958" s="121">
        <f>"Örnek kayıt: "&amp;$A958</f>
        <v/>
      </c>
    </row>
    <row r="959" ht="15" customHeight="1" s="76">
      <c r="F959" s="121">
        <f>$C959-$D959</f>
        <v/>
      </c>
      <c r="G959" s="121">
        <f>"Örnek kayıt: "&amp;$A959</f>
        <v/>
      </c>
    </row>
    <row r="960" ht="15" customHeight="1" s="76">
      <c r="F960" s="121">
        <f>$C960-$D960</f>
        <v/>
      </c>
      <c r="G960" s="121">
        <f>"Örnek kayıt: "&amp;$A960</f>
        <v/>
      </c>
    </row>
    <row r="961" ht="15" customHeight="1" s="76">
      <c r="F961" s="121">
        <f>$C961-$D961</f>
        <v/>
      </c>
      <c r="G961" s="121">
        <f>"Örnek kayıt: "&amp;$A961</f>
        <v/>
      </c>
    </row>
    <row r="962" ht="15" customHeight="1" s="76">
      <c r="F962" s="121">
        <f>$C962-$D962</f>
        <v/>
      </c>
      <c r="G962" s="121">
        <f>"Örnek kayıt: "&amp;$A962</f>
        <v/>
      </c>
    </row>
    <row r="963" ht="15" customHeight="1" s="76">
      <c r="F963" s="121">
        <f>$C963-$D963</f>
        <v/>
      </c>
      <c r="G963" s="121">
        <f>"Örnek kayıt: "&amp;$A963</f>
        <v/>
      </c>
    </row>
    <row r="964" ht="15" customHeight="1" s="76">
      <c r="F964" s="121">
        <f>$C964-$D964</f>
        <v/>
      </c>
      <c r="G964" s="121">
        <f>"Örnek kayıt: "&amp;$A964</f>
        <v/>
      </c>
    </row>
    <row r="965" ht="15" customHeight="1" s="76">
      <c r="F965" s="121">
        <f>$C965-$D965</f>
        <v/>
      </c>
      <c r="G965" s="121">
        <f>"Örnek kayıt: "&amp;$A965</f>
        <v/>
      </c>
    </row>
    <row r="966" ht="15" customHeight="1" s="76">
      <c r="F966" s="121">
        <f>$C966-$D966</f>
        <v/>
      </c>
      <c r="G966" s="121">
        <f>"Örnek kayıt: "&amp;$A966</f>
        <v/>
      </c>
    </row>
    <row r="967" ht="15" customHeight="1" s="76">
      <c r="F967" s="121">
        <f>$C967-$D967</f>
        <v/>
      </c>
      <c r="G967" s="121">
        <f>"Örnek kayıt: "&amp;$A967</f>
        <v/>
      </c>
    </row>
    <row r="968" ht="15" customHeight="1" s="76">
      <c r="F968" s="121">
        <f>$C968-$D968</f>
        <v/>
      </c>
      <c r="G968" s="121">
        <f>"Örnek kayıt: "&amp;$A968</f>
        <v/>
      </c>
    </row>
    <row r="969" ht="15" customHeight="1" s="76">
      <c r="F969" s="121">
        <f>$C969-$D969</f>
        <v/>
      </c>
      <c r="G969" s="121">
        <f>"Örnek kayıt: "&amp;$A969</f>
        <v/>
      </c>
    </row>
    <row r="970" ht="15" customHeight="1" s="76">
      <c r="F970" s="121">
        <f>$C970-$D970</f>
        <v/>
      </c>
      <c r="G970" s="121">
        <f>"Örnek kayıt: "&amp;$A970</f>
        <v/>
      </c>
    </row>
    <row r="971" ht="15" customHeight="1" s="76">
      <c r="F971" s="121">
        <f>$C971-$D971</f>
        <v/>
      </c>
      <c r="G971" s="121">
        <f>"Örnek kayıt: "&amp;$A971</f>
        <v/>
      </c>
    </row>
    <row r="972" ht="15" customHeight="1" s="76">
      <c r="F972" s="121">
        <f>$C972-$D972</f>
        <v/>
      </c>
      <c r="G972" s="121">
        <f>"Örnek kayıt: "&amp;$A972</f>
        <v/>
      </c>
    </row>
    <row r="973" ht="15" customHeight="1" s="76">
      <c r="F973" s="121">
        <f>$C973-$D973</f>
        <v/>
      </c>
      <c r="G973" s="121">
        <f>"Örnek kayıt: "&amp;$A973</f>
        <v/>
      </c>
    </row>
    <row r="974" ht="15" customHeight="1" s="76">
      <c r="F974" s="121">
        <f>$C974-$D974</f>
        <v/>
      </c>
      <c r="G974" s="121">
        <f>"Örnek kayıt: "&amp;$A974</f>
        <v/>
      </c>
    </row>
    <row r="975" ht="15" customHeight="1" s="76">
      <c r="F975" s="121">
        <f>$C975-$D975</f>
        <v/>
      </c>
      <c r="G975" s="121">
        <f>"Örnek kayıt: "&amp;$A975</f>
        <v/>
      </c>
    </row>
    <row r="976" ht="15" customHeight="1" s="76">
      <c r="F976" s="121">
        <f>$C976-$D976</f>
        <v/>
      </c>
      <c r="G976" s="121">
        <f>"Örnek kayıt: "&amp;$A976</f>
        <v/>
      </c>
    </row>
    <row r="977" ht="15" customHeight="1" s="76">
      <c r="F977" s="121">
        <f>$C977-$D977</f>
        <v/>
      </c>
      <c r="G977" s="121">
        <f>"Örnek kayıt: "&amp;$A977</f>
        <v/>
      </c>
    </row>
    <row r="978" ht="15" customHeight="1" s="76">
      <c r="F978" s="121">
        <f>$C978-$D978</f>
        <v/>
      </c>
      <c r="G978" s="121">
        <f>"Örnek kayıt: "&amp;$A978</f>
        <v/>
      </c>
    </row>
    <row r="979" ht="15" customHeight="1" s="76">
      <c r="F979" s="121">
        <f>$C979-$D979</f>
        <v/>
      </c>
      <c r="G979" s="121">
        <f>"Örnek kayıt: "&amp;$A979</f>
        <v/>
      </c>
    </row>
    <row r="980" ht="15" customHeight="1" s="76">
      <c r="F980" s="121">
        <f>$C980-$D980</f>
        <v/>
      </c>
      <c r="G980" s="121">
        <f>"Örnek kayıt: "&amp;$A980</f>
        <v/>
      </c>
    </row>
    <row r="981" ht="15" customHeight="1" s="76">
      <c r="F981" s="121">
        <f>$C981-$D981</f>
        <v/>
      </c>
      <c r="G981" s="121">
        <f>"Örnek kayıt: "&amp;$A981</f>
        <v/>
      </c>
    </row>
    <row r="982" ht="15" customHeight="1" s="76">
      <c r="F982" s="121">
        <f>$C982-$D982</f>
        <v/>
      </c>
      <c r="G982" s="121">
        <f>"Örnek kayıt: "&amp;$A982</f>
        <v/>
      </c>
    </row>
    <row r="983" ht="15" customHeight="1" s="76">
      <c r="F983" s="121">
        <f>$C983-$D983</f>
        <v/>
      </c>
      <c r="G983" s="121">
        <f>"Örnek kayıt: "&amp;$A983</f>
        <v/>
      </c>
    </row>
    <row r="984" ht="15" customHeight="1" s="76">
      <c r="F984" s="121">
        <f>$C984-$D984</f>
        <v/>
      </c>
      <c r="G984" s="121">
        <f>"Örnek kayıt: "&amp;$A984</f>
        <v/>
      </c>
    </row>
    <row r="985" ht="15" customHeight="1" s="76">
      <c r="F985" s="121">
        <f>$C985-$D985</f>
        <v/>
      </c>
      <c r="G985" s="121">
        <f>"Örnek kayıt: "&amp;$A985</f>
        <v/>
      </c>
    </row>
    <row r="986" ht="15" customHeight="1" s="76">
      <c r="F986" s="121">
        <f>$C986-$D986</f>
        <v/>
      </c>
      <c r="G986" s="121">
        <f>"Örnek kayıt: "&amp;$A986</f>
        <v/>
      </c>
    </row>
    <row r="987" ht="15" customHeight="1" s="76">
      <c r="F987" s="121">
        <f>$C987-$D987</f>
        <v/>
      </c>
      <c r="G987" s="121">
        <f>"Örnek kayıt: "&amp;$A987</f>
        <v/>
      </c>
    </row>
    <row r="988" ht="15" customHeight="1" s="76">
      <c r="F988" s="121">
        <f>$C988-$D988</f>
        <v/>
      </c>
      <c r="G988" s="121">
        <f>"Örnek kayıt: "&amp;$A988</f>
        <v/>
      </c>
    </row>
    <row r="989" ht="15" customHeight="1" s="76">
      <c r="F989" s="121">
        <f>$C989-$D989</f>
        <v/>
      </c>
      <c r="G989" s="121">
        <f>"Örnek kayıt: "&amp;$A989</f>
        <v/>
      </c>
    </row>
    <row r="990" ht="15" customHeight="1" s="76">
      <c r="F990" s="121">
        <f>$C990-$D990</f>
        <v/>
      </c>
      <c r="G990" s="121">
        <f>"Örnek kayıt: "&amp;$A990</f>
        <v/>
      </c>
    </row>
    <row r="991" ht="15" customHeight="1" s="76">
      <c r="F991" s="121">
        <f>$C991-$D991</f>
        <v/>
      </c>
      <c r="G991" s="121">
        <f>"Örnek kayıt: "&amp;$A991</f>
        <v/>
      </c>
    </row>
    <row r="992" ht="15" customHeight="1" s="76">
      <c r="F992" s="121">
        <f>$C992-$D992</f>
        <v/>
      </c>
      <c r="G992" s="121">
        <f>"Örnek kayıt: "&amp;$A992</f>
        <v/>
      </c>
    </row>
    <row r="993" ht="15" customHeight="1" s="76">
      <c r="F993" s="121">
        <f>$C993-$D993</f>
        <v/>
      </c>
      <c r="G993" s="121">
        <f>"Örnek kayıt: "&amp;$A993</f>
        <v/>
      </c>
    </row>
    <row r="994" ht="15" customHeight="1" s="76">
      <c r="F994" s="121">
        <f>$C994-$D994</f>
        <v/>
      </c>
      <c r="G994" s="121">
        <f>"Örnek kayıt: "&amp;$A994</f>
        <v/>
      </c>
    </row>
    <row r="995" ht="15" customHeight="1" s="76">
      <c r="F995" s="121">
        <f>$C995-$D995</f>
        <v/>
      </c>
      <c r="G995" s="121">
        <f>"Örnek kayıt: "&amp;$A995</f>
        <v/>
      </c>
    </row>
    <row r="996" ht="15" customHeight="1" s="76">
      <c r="F996" s="121">
        <f>$C996-$D996</f>
        <v/>
      </c>
      <c r="G996" s="121">
        <f>"Örnek kayıt: "&amp;$A996</f>
        <v/>
      </c>
    </row>
    <row r="997" ht="15" customHeight="1" s="76">
      <c r="F997" s="121">
        <f>$C997-$D997</f>
        <v/>
      </c>
      <c r="G997" s="121">
        <f>"Örnek kayıt: "&amp;$A997</f>
        <v/>
      </c>
    </row>
    <row r="998" ht="15" customHeight="1" s="76">
      <c r="F998" s="121">
        <f>$C998-$D998</f>
        <v/>
      </c>
      <c r="G998" s="121">
        <f>"Örnek kayıt: "&amp;$A998</f>
        <v/>
      </c>
    </row>
    <row r="999" ht="15" customHeight="1" s="76">
      <c r="F999" s="121">
        <f>$C999-$D999</f>
        <v/>
      </c>
      <c r="G999" s="121">
        <f>"Örnek kayıt: "&amp;$A999</f>
        <v/>
      </c>
    </row>
    <row r="1000" ht="15" customHeight="1" s="76">
      <c r="F1000" s="121">
        <f>$C1000-$D1000</f>
        <v/>
      </c>
      <c r="G1000" s="121">
        <f>"Örnek kayıt: "&amp;$A1000</f>
        <v/>
      </c>
    </row>
    <row r="1001" ht="15" customHeight="1" s="76">
      <c r="F1001" s="121">
        <f>$C1001-$D1001</f>
        <v/>
      </c>
      <c r="G1001" s="121">
        <f>"Örnek kayıt: "&amp;$A1001</f>
        <v/>
      </c>
    </row>
    <row r="1002" ht="15" customHeight="1" s="76">
      <c r="F1002" s="121">
        <f>$C1002-$D1002</f>
        <v/>
      </c>
      <c r="G1002" s="121">
        <f>"Örnek kayıt: "&amp;$A1002</f>
        <v/>
      </c>
    </row>
    <row r="1003" ht="15" customHeight="1" s="76">
      <c r="F1003" s="121">
        <f>$C1003-$D1003</f>
        <v/>
      </c>
      <c r="G1003" s="121">
        <f>"Örnek kayıt: "&amp;$A1003</f>
        <v/>
      </c>
    </row>
    <row r="1004" ht="15" customHeight="1" s="76">
      <c r="F1004" s="121">
        <f>$C1004-$D1004</f>
        <v/>
      </c>
      <c r="G1004" s="121">
        <f>"Örnek kayıt: "&amp;$A1004</f>
        <v/>
      </c>
    </row>
    <row r="1006" ht="19.5" customHeight="1" s="76">
      <c r="A1006" s="125" t="inlineStr">
        <is>
          <t>Demo veriler rapor sonuçlarını örnekler; satın alma sonrası silinerek gerçek veriler girilir.</t>
        </is>
      </c>
    </row>
  </sheetData>
  <sheetProtection selectLockedCells="0" selectUnlockedCells="0" sheet="1" objects="1" insertRows="1" insertHyperlinks="1" autoFilter="1" scenarios="1" formatColumns="1" deleteColumns="0" insertColumns="1" pivotTables="1" deleteRows="0" formatCells="1" formatRows="1" sort="1" password="cc3d"/>
  <mergeCells count="2">
    <mergeCell ref="A1006:AN1006"/>
    <mergeCell ref="A1:AD1"/>
  </mergeCells>
  <conditionalFormatting sqref="C6:C1004">
    <cfRule type="cellIs" rank="0" priority="2" equalAverage="0" operator="lessThan" aboveAverage="0" dxfId="8" text="" percent="0" bottom="0">
      <formula>0</formula>
    </cfRule>
  </conditionalFormatting>
  <conditionalFormatting sqref="D6:D1004">
    <cfRule type="cellIs" rank="0" priority="3" equalAverage="0" operator="lessThan" aboveAverage="0" dxfId="8" text="" percent="0" bottom="0">
      <formula>0</formula>
    </cfRule>
  </conditionalFormatting>
  <conditionalFormatting sqref="F6:F1004">
    <cfRule type="cellIs" rank="0" priority="4" equalAverage="0" operator="lessThan" aboveAverage="0" dxfId="8" text="" percent="0" bottom="0">
      <formula>0</formula>
    </cfRule>
  </conditionalFormatting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  <tableParts count="1">
    <tablePart xmlns:r="http://schemas.openxmlformats.org/officeDocument/2006/relationships" r:id="rId1"/>
  </tableParts>
</worksheet>
</file>

<file path=xl/worksheets/sheet20.xml><?xml version="1.0" encoding="utf-8"?>
<worksheet xmlns="http://schemas.openxmlformats.org/spreadsheetml/2006/main">
  <sheetPr filterMode="0">
    <outlinePr summaryBelow="1" summaryRight="1"/>
    <pageSetUpPr fitToPage="0"/>
  </sheetPr>
  <dimension ref="A1:D5"/>
  <sheetViews>
    <sheetView showFormulas="0" showGridLines="0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customHeight="0" zeroHeight="0" outlineLevelRow="0"/>
  <cols>
    <col width="36" customWidth="1" style="102" min="1" max="1"/>
    <col width="28" customWidth="1" style="102" min="2" max="2"/>
    <col width="16" customWidth="1" style="102" min="3" max="3"/>
    <col width="28" customWidth="1" style="102" min="4" max="4"/>
  </cols>
  <sheetData>
    <row r="1" ht="15" customHeight="1" s="76">
      <c r="A1" s="102" t="inlineStr">
        <is>
          <t>ANAHTAR — ProjeVeIsBazindaGercekKarlilikSistemi</t>
        </is>
      </c>
    </row>
    <row r="3" ht="15" customHeight="1" s="76">
      <c r="A3" s="102" t="inlineStr">
        <is>
          <t>ham_anahtar</t>
        </is>
      </c>
      <c r="B3" s="102" t="inlineStr">
        <is>
          <t>norm_anahtar</t>
        </is>
      </c>
      <c r="C3" s="102" t="inlineStr">
        <is>
          <t>duplike_sayisi</t>
        </is>
      </c>
      <c r="D3" s="102" t="inlineStr">
        <is>
          <t>not</t>
        </is>
      </c>
    </row>
    <row r="4" ht="15" customHeight="1" s="76">
      <c r="A4" s="102" t="inlineStr">
        <is>
          <t>ORNEK-001</t>
        </is>
      </c>
      <c r="B4" s="102">
        <f>UPPER(SUBSTITUTE(A4," ",""))</f>
        <v/>
      </c>
      <c r="C4" s="102">
        <f>COUNTIF($A$4:$A$1000,A4)</f>
        <v/>
      </c>
      <c r="D4" s="102" t="inlineStr">
        <is>
          <t>normalize + duplike izi</t>
        </is>
      </c>
    </row>
    <row r="5" ht="15" customHeight="1" s="76">
      <c r="A5" s="102" t="inlineStr">
        <is>
          <t>ORNEK-002</t>
        </is>
      </c>
      <c r="B5" s="102">
        <f>UPPER(SUBSTITUTE(A5," ",""))</f>
        <v/>
      </c>
      <c r="C5" s="102">
        <f>COUNTIF($A$4:$A$1000,A5)</f>
        <v/>
      </c>
      <c r="D5" s="102" t="inlineStr">
        <is>
          <t>kisa/uzun numara senaryosu</t>
        </is>
      </c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 password="cc3d"/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21.xml><?xml version="1.0" encoding="utf-8"?>
<worksheet xmlns="http://schemas.openxmlformats.org/spreadsheetml/2006/main">
  <sheetPr filterMode="0">
    <outlinePr summaryBelow="1" summaryRight="1"/>
    <pageSetUpPr fitToPage="0"/>
  </sheetPr>
  <dimension ref="A1:D7"/>
  <sheetViews>
    <sheetView showFormulas="0" showGridLines="0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customHeight="0" zeroHeight="0" outlineLevelRow="0"/>
  <cols>
    <col width="40" customWidth="1" style="102" min="1" max="1"/>
    <col width="28" customWidth="1" style="102" min="2" max="2"/>
    <col width="12" customWidth="1" style="102" min="3" max="4"/>
  </cols>
  <sheetData>
    <row r="1" ht="15" customHeight="1" s="76">
      <c r="A1" s="102" t="inlineStr">
        <is>
          <t>ESLESTIRME — ProjeVeIsBazindaGercekKarlilikSistemi</t>
        </is>
      </c>
    </row>
    <row r="3" ht="15" customHeight="1" s="76">
      <c r="A3" s="102" t="inlineStr">
        <is>
          <t>kova</t>
        </is>
      </c>
      <c r="B3" s="102" t="inlineStr">
        <is>
          <t>aciklama</t>
        </is>
      </c>
      <c r="C3" s="102" t="inlineStr">
        <is>
          <t>tutar</t>
        </is>
      </c>
      <c r="D3" s="102" t="inlineStr">
        <is>
          <t>tolerans</t>
        </is>
      </c>
    </row>
    <row r="4" ht="15" customHeight="1" s="76">
      <c r="A4" s="102" t="inlineStr">
        <is>
          <t>ESLESEN</t>
        </is>
      </c>
      <c r="B4" s="102" t="inlineStr">
        <is>
          <t>Tam eşleşen kayıtlar</t>
        </is>
      </c>
      <c r="C4" s="156" t="n">
        <v>0</v>
      </c>
      <c r="D4" s="156" t="n">
        <v>0</v>
      </c>
    </row>
    <row r="5" ht="15" customHeight="1" s="76">
      <c r="A5" s="102" t="inlineStr">
        <is>
          <t>TOLERANS</t>
        </is>
      </c>
      <c r="B5" s="102" t="inlineStr">
        <is>
          <t>Tolerans içi fark</t>
        </is>
      </c>
      <c r="C5" s="156" t="n">
        <v>0</v>
      </c>
      <c r="D5" s="156" t="n">
        <v>0.01</v>
      </c>
    </row>
    <row r="6" ht="15" customHeight="1" s="76">
      <c r="A6" s="102" t="inlineStr">
        <is>
          <t>TUTARSIZ</t>
        </is>
      </c>
      <c r="B6" s="102" t="inlineStr">
        <is>
          <t>Tutar uyuşmazlığı</t>
        </is>
      </c>
      <c r="C6" s="156" t="n">
        <v>0</v>
      </c>
      <c r="D6" s="156" t="n">
        <v>0</v>
      </c>
    </row>
    <row r="7" ht="15" customHeight="1" s="76">
      <c r="A7" s="102" t="inlineStr">
        <is>
          <t>ESLESMEYEN</t>
        </is>
      </c>
      <c r="B7" s="102" t="inlineStr">
        <is>
          <t>Eşleşmeyen kayıtlar</t>
        </is>
      </c>
      <c r="C7" s="156" t="n">
        <v>0</v>
      </c>
      <c r="D7" s="156" t="n">
        <v>0</v>
      </c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 password="cc3d"/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22.xml><?xml version="1.0" encoding="utf-8"?>
<worksheet xmlns="http://schemas.openxmlformats.org/spreadsheetml/2006/main">
  <sheetPr filterMode="0">
    <outlinePr summaryBelow="1" summaryRight="1"/>
    <pageSetUpPr fitToPage="0"/>
  </sheetPr>
  <dimension ref="A1:C6"/>
  <sheetViews>
    <sheetView showFormulas="0" showGridLines="0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customHeight="0" zeroHeight="0" outlineLevelRow="0"/>
  <cols>
    <col width="40" customWidth="1" style="102" min="1" max="1"/>
    <col width="42" customWidth="1" style="102" min="2" max="2"/>
    <col width="18" customWidth="1" style="102" min="3" max="3"/>
  </cols>
  <sheetData>
    <row r="1" ht="15" customHeight="1" s="76">
      <c r="A1" s="102" t="inlineStr">
        <is>
          <t>KOK_NEDEN — ProjeVeIsBazindaGercekKarlilikSistemi</t>
        </is>
      </c>
    </row>
    <row r="3" ht="15" customHeight="1" s="76">
      <c r="A3" s="102" t="inlineStr">
        <is>
          <t>kova</t>
        </is>
      </c>
      <c r="B3" s="102" t="inlineStr">
        <is>
          <t>kok_neden</t>
        </is>
      </c>
      <c r="C3" s="102" t="inlineStr">
        <is>
          <t>aksiyon</t>
        </is>
      </c>
    </row>
    <row r="4" ht="15" customHeight="1" s="76">
      <c r="A4" s="102" t="inlineStr">
        <is>
          <t>TANIMSIZ</t>
        </is>
      </c>
      <c r="B4" s="102" t="inlineStr">
        <is>
          <t>Sınıflandırılamayan kayıt — elle incele</t>
        </is>
      </c>
      <c r="C4" s="102" t="inlineStr">
        <is>
          <t>Manuel inceleme</t>
        </is>
      </c>
    </row>
    <row r="5" ht="15" customHeight="1" s="76">
      <c r="A5" s="102" t="inlineStr">
        <is>
          <t>ESLESMEYEN</t>
        </is>
      </c>
      <c r="B5" s="102" t="inlineStr">
        <is>
          <t>Karşı tarafta yok</t>
        </is>
      </c>
      <c r="C5" s="102" t="inlineStr">
        <is>
          <t>Veri tamamlama</t>
        </is>
      </c>
    </row>
    <row r="6" ht="15" customHeight="1" s="76">
      <c r="A6" s="102" t="inlineStr">
        <is>
          <t>TUTARSIZ</t>
        </is>
      </c>
      <c r="B6" s="102" t="inlineStr">
        <is>
          <t>Tutar farkı</t>
        </is>
      </c>
      <c r="C6" s="102" t="inlineStr">
        <is>
          <t>Mutabakat</t>
        </is>
      </c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 password="cc3d"/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23.xml><?xml version="1.0" encoding="utf-8"?>
<worksheet xmlns="http://schemas.openxmlformats.org/spreadsheetml/2006/main">
  <sheetPr filterMode="0">
    <outlinePr summaryBelow="1" summaryRight="1"/>
    <pageSetUpPr fitToPage="0"/>
  </sheetPr>
  <dimension ref="A1:AD5"/>
  <sheetViews>
    <sheetView showFormulas="0" showGridLines="0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customHeight="0" zeroHeight="0" outlineLevelRow="0"/>
  <cols>
    <col width="14" customWidth="1" style="102" min="1" max="1"/>
    <col width="10" customWidth="1" style="102" min="2" max="2"/>
    <col width="40" customWidth="1" style="102" min="3" max="3"/>
    <col width="30" customWidth="1" style="102" min="4" max="4"/>
    <col width="14" customWidth="1" style="102" min="5" max="5"/>
  </cols>
  <sheetData>
    <row r="1" ht="25.5" customHeight="1" s="76">
      <c r="A1" s="103" t="inlineStr">
        <is>
          <t>DEGISIKLIK KAYDI — Proje ve İş Bazında Gerçek Kârlılık Sistemi</t>
        </is>
      </c>
    </row>
    <row r="3" ht="15" customHeight="1" s="76">
      <c r="A3" s="106" t="inlineStr">
        <is>
          <t>Değişiklik Kaydı</t>
        </is>
      </c>
    </row>
    <row r="4" ht="30" customHeight="1" s="76">
      <c r="A4" s="115" t="inlineStr">
        <is>
          <t>Tarih</t>
        </is>
      </c>
      <c r="B4" s="115" t="inlineStr">
        <is>
          <t>Sürüm</t>
        </is>
      </c>
      <c r="C4" s="115" t="inlineStr">
        <is>
          <t>Değişiklik</t>
        </is>
      </c>
      <c r="D4" s="115" t="inlineStr">
        <is>
          <t>Neden</t>
        </is>
      </c>
      <c r="E4" s="115" t="inlineStr">
        <is>
          <t>Yapan</t>
        </is>
      </c>
    </row>
    <row r="5" ht="15" customHeight="1" s="76">
      <c r="A5" s="152" t="inlineStr">
        <is>
          <t>01.08.2026</t>
        </is>
      </c>
      <c r="B5" s="152" t="inlineStr">
        <is>
          <t>1.0.0</t>
        </is>
      </c>
      <c r="C5" s="152" t="inlineStr">
        <is>
          <t>İlk üretim</t>
        </is>
      </c>
      <c r="D5" s="152" t="inlineStr">
        <is>
          <t>Ürünün yayına hazırlanması</t>
        </is>
      </c>
      <c r="E5" s="152" t="inlineStr">
        <is>
          <t>ExcelArşiv</t>
        </is>
      </c>
    </row>
  </sheetData>
  <sheetProtection selectLockedCells="0" selectUnlockedCells="0" sheet="1" objects="1" insertRows="1" insertHyperlinks="1" autoFilter="1" scenarios="1" formatColumns="1" deleteColumns="0" insertColumns="1" pivotTables="1" deleteRows="0" formatCells="1" formatRows="1" sort="1" password="cc3d"/>
  <mergeCells count="1">
    <mergeCell ref="A1:AD1"/>
  </mergeCell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24.xml><?xml version="1.0" encoding="utf-8"?>
<worksheet xmlns="http://schemas.openxmlformats.org/spreadsheetml/2006/main">
  <sheetPr filterMode="0">
    <outlinePr summaryBelow="1" summaryRight="1"/>
    <pageSetUpPr fitToPage="0"/>
  </sheetPr>
  <dimension ref="A1:AD9"/>
  <sheetViews>
    <sheetView showFormulas="0" showGridLines="0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customHeight="0" zeroHeight="0" outlineLevelRow="0"/>
  <cols>
    <col width="22" customWidth="1" style="102" min="1" max="1"/>
  </cols>
  <sheetData>
    <row r="1" ht="25.5" customHeight="1" s="76">
      <c r="A1" s="103" t="inlineStr">
        <is>
          <t>LISTELER — Proje ve İş Bazında Gerçek Kârlılık Sistemi</t>
        </is>
      </c>
    </row>
    <row r="3" ht="15" customHeight="1" s="76">
      <c r="A3" s="106" t="inlineStr">
        <is>
          <t>Bağlı Listeler</t>
        </is>
      </c>
    </row>
    <row r="4" ht="54.75" customHeight="1" s="76">
      <c r="A4" s="105" t="inlineStr">
        <is>
          <t>Bu sayfadaki listeler açılır menüleri besler; yeni seçenek eklemek için sarı hücrelere yazın.</t>
        </is>
      </c>
    </row>
    <row r="6" ht="15" customHeight="1" s="76">
      <c r="A6" s="147" t="inlineStr">
        <is>
          <t>İş Durum Önerileri</t>
        </is>
      </c>
    </row>
    <row r="7" ht="15" customHeight="1" s="76">
      <c r="A7" s="157" t="inlineStr">
        <is>
          <t>KÂRLI</t>
        </is>
      </c>
    </row>
    <row r="8" ht="15" customHeight="1" s="76">
      <c r="A8" s="157" t="inlineStr">
        <is>
          <t>RİSK</t>
        </is>
      </c>
    </row>
    <row r="9" ht="15" customHeight="1" s="76">
      <c r="A9" s="157" t="inlineStr">
        <is>
          <t>ZARAR</t>
        </is>
      </c>
    </row>
  </sheetData>
  <sheetProtection selectLockedCells="0" selectUnlockedCells="0" sheet="1" objects="1" insertRows="1" insertHyperlinks="1" autoFilter="1" scenarios="1" formatColumns="1" deleteColumns="0" insertColumns="1" pivotTables="1" deleteRows="0" formatCells="1" formatRows="1" sort="1" password="cc3d"/>
  <mergeCells count="1">
    <mergeCell ref="A1:AD1"/>
  </mergeCell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  <legacyDrawing xmlns:r="http://schemas.openxmlformats.org/officeDocument/2006/relationships" r:id="anysvml"/>
</worksheet>
</file>

<file path=xl/worksheets/sheet25.xml><?xml version="1.0" encoding="utf-8"?>
<worksheet xmlns="http://schemas.openxmlformats.org/spreadsheetml/2006/main">
  <sheetPr filterMode="0">
    <outlinePr summaryBelow="1" summaryRight="1"/>
    <pageSetUpPr fitToPage="0"/>
  </sheetPr>
  <dimension ref="A1:AD47"/>
  <sheetViews>
    <sheetView showFormulas="0" showGridLines="0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customHeight="0" zeroHeight="0" outlineLevelRow="0"/>
  <cols>
    <col width="24" customWidth="1" style="102" min="1" max="1"/>
    <col width="26" customWidth="1" style="102" min="2" max="2"/>
    <col width="10" customWidth="1" style="102" min="3" max="5"/>
    <col width="60" customWidth="1" style="102" min="6" max="6"/>
    <col width="14" customWidth="1" style="102" min="7" max="7"/>
    <col width="13" customWidth="1" style="102" min="8" max="9"/>
  </cols>
  <sheetData>
    <row r="1" ht="25.5" customHeight="1" s="76">
      <c r="A1" s="103" t="inlineStr">
        <is>
          <t>AYARLAR — Proje ve İş Bazında Gerçek Kârlılık Sistemi</t>
        </is>
      </c>
    </row>
    <row r="3" ht="15" customHeight="1" s="76">
      <c r="A3" s="106" t="inlineStr">
        <is>
          <t>Sistem Ayarları ve Oranlar</t>
        </is>
      </c>
    </row>
    <row r="4" ht="81.75" customHeight="1" s="76">
      <c r="A4" s="105" t="inlineStr">
        <is>
          <t>Tüm sabitler bu sayfadadır. Eşikleri ve çarpanları kendi işletmenize göre güncelleyin. Değişen her değer tüm hesaplamalara anında yansır.</t>
        </is>
      </c>
    </row>
    <row r="6" ht="30" customHeight="1" s="76">
      <c r="A6" s="115" t="inlineStr">
        <is>
          <t>anahtar</t>
        </is>
      </c>
      <c r="B6" s="115" t="inlineStr">
        <is>
          <t>deger</t>
        </is>
      </c>
      <c r="C6" s="115" t="inlineStr">
        <is>
          <t>birim</t>
        </is>
      </c>
      <c r="D6" s="115" t="inlineStr">
        <is>
          <t>alt</t>
        </is>
      </c>
      <c r="E6" s="115" t="inlineStr">
        <is>
          <t>ust</t>
        </is>
      </c>
      <c r="F6" s="115" t="inlineStr">
        <is>
          <t>aciklama</t>
        </is>
      </c>
      <c r="G6" s="115" t="inlineStr">
        <is>
          <t>kaynak</t>
        </is>
      </c>
      <c r="H6" s="115" t="inlineStr">
        <is>
          <t>yururluk_tarihi</t>
        </is>
      </c>
      <c r="I6" s="115" t="inlineStr">
        <is>
          <t>dogrulama_tarihi</t>
        </is>
      </c>
    </row>
    <row r="7" ht="25.5" customHeight="1" s="76">
      <c r="A7" s="158" t="inlineStr">
        <is>
          <t>FirmaUnvan</t>
        </is>
      </c>
      <c r="B7" s="159" t="inlineStr">
        <is>
          <t>Örnek Firma A.Ş.</t>
        </is>
      </c>
      <c r="C7" s="109" t="inlineStr">
        <is>
          <t>Metin</t>
        </is>
      </c>
      <c r="D7" s="160" t="n"/>
      <c r="E7" s="160" t="n"/>
      <c r="F7" s="114" t="inlineStr">
        <is>
          <t>Rapor ve kapakta görünen firma adı.</t>
        </is>
      </c>
      <c r="G7" s="109" t="inlineStr">
        <is>
          <t>Kullanıcı</t>
        </is>
      </c>
      <c r="H7" s="161" t="n">
        <v>46023</v>
      </c>
      <c r="I7" s="161" t="n">
        <v>46244</v>
      </c>
    </row>
    <row r="8" ht="25.5" customHeight="1" s="76">
      <c r="A8" s="158" t="inlineStr">
        <is>
          <t>RaporTarihi</t>
        </is>
      </c>
      <c r="B8" s="162" t="n">
        <v>46242</v>
      </c>
      <c r="C8" s="109" t="inlineStr">
        <is>
          <t>Tarih</t>
        </is>
      </c>
      <c r="D8" s="160" t="n"/>
      <c r="E8" s="160" t="n"/>
      <c r="F8" s="114" t="inlineStr">
        <is>
          <t>Tüm hesapların ve kararın alındığı tarih.</t>
        </is>
      </c>
      <c r="G8" s="109" t="inlineStr">
        <is>
          <t>Kullanıcı</t>
        </is>
      </c>
      <c r="H8" s="161" t="n">
        <v>46023</v>
      </c>
      <c r="I8" s="161" t="n">
        <v>46244</v>
      </c>
    </row>
    <row r="9" ht="25.5" customHeight="1" s="76">
      <c r="A9" s="158" t="inlineStr">
        <is>
          <t>RaporHazirlayan</t>
        </is>
      </c>
      <c r="B9" s="159" t="inlineStr">
        <is>
          <t>Finans Direktörü</t>
        </is>
      </c>
      <c r="C9" s="109" t="inlineStr">
        <is>
          <t>Metin</t>
        </is>
      </c>
      <c r="D9" s="160" t="n"/>
      <c r="E9" s="160" t="n"/>
      <c r="F9" s="114" t="inlineStr">
        <is>
          <t>Raporu hazırlayan kişi/rol.</t>
        </is>
      </c>
      <c r="G9" s="109" t="inlineStr">
        <is>
          <t>Kullanıcı</t>
        </is>
      </c>
      <c r="H9" s="161" t="n">
        <v>46023</v>
      </c>
      <c r="I9" s="161" t="n">
        <v>46244</v>
      </c>
    </row>
    <row r="10" ht="25.5" customHeight="1" s="76">
      <c r="A10" s="158" t="inlineStr">
        <is>
          <t>DosyaSurumu</t>
        </is>
      </c>
      <c r="B10" s="159" t="inlineStr">
        <is>
          <t>1.0.0</t>
        </is>
      </c>
      <c r="C10" s="109" t="inlineStr">
        <is>
          <t>Metin</t>
        </is>
      </c>
      <c r="D10" s="160" t="n"/>
      <c r="E10" s="160" t="n"/>
      <c r="F10" s="114" t="inlineStr">
        <is>
          <t>Ürün sürüm bilgisi; rapor alt bilgisinde görünür.</t>
        </is>
      </c>
      <c r="G10" s="109" t="inlineStr">
        <is>
          <t>Kullanıcı</t>
        </is>
      </c>
      <c r="H10" s="161" t="n">
        <v>46023</v>
      </c>
      <c r="I10" s="161" t="n">
        <v>46244</v>
      </c>
    </row>
    <row r="11" ht="25.5" customHeight="1" s="76">
      <c r="A11" s="158" t="inlineStr">
        <is>
          <t>IsMarjEsik</t>
        </is>
      </c>
      <c r="B11" s="163" t="n">
        <v>0.25</v>
      </c>
      <c r="C11" s="109" t="inlineStr">
        <is>
          <t>Oran</t>
        </is>
      </c>
      <c r="D11" s="160" t="n">
        <v>0</v>
      </c>
      <c r="E11" s="160" t="n">
        <v>1</v>
      </c>
      <c r="F11" s="114" t="inlineStr">
        <is>
          <t>Ağırlıklı marj bu eşiğin altındaysa karar İNCELE olur.</t>
        </is>
      </c>
      <c r="G11" s="109" t="inlineStr">
        <is>
          <t>Varsayım</t>
        </is>
      </c>
      <c r="H11" s="161" t="n">
        <v>46023</v>
      </c>
      <c r="I11" s="161" t="n">
        <v>46244</v>
      </c>
    </row>
    <row r="12" ht="25.5" customHeight="1" s="76">
      <c r="A12" s="158" t="inlineStr">
        <is>
          <t>IsGunlukKarEsik</t>
        </is>
      </c>
      <c r="B12" s="164" t="n">
        <v>3000</v>
      </c>
      <c r="C12" s="109" t="inlineStr">
        <is>
          <t>TL</t>
        </is>
      </c>
      <c r="D12" s="160" t="n">
        <v>0</v>
      </c>
      <c r="E12" s="160" t="n">
        <v>10000000</v>
      </c>
      <c r="F12" s="114" t="inlineStr">
        <is>
          <t>Ortalama günlük kâr bu eşiğin altındaysa karar İNCELE olur.</t>
        </is>
      </c>
      <c r="G12" s="109" t="inlineStr">
        <is>
          <t>Varsayım</t>
        </is>
      </c>
      <c r="H12" s="161" t="n">
        <v>46023</v>
      </c>
      <c r="I12" s="161" t="n">
        <v>46244</v>
      </c>
    </row>
    <row r="13" ht="25.5" customHeight="1" s="76">
      <c r="A13" s="158" t="inlineStr">
        <is>
          <t>IsRiskliAdetEsik</t>
        </is>
      </c>
      <c r="B13" s="165" t="n">
        <v>3</v>
      </c>
      <c r="C13" s="109" t="inlineStr">
        <is>
          <t>Skor</t>
        </is>
      </c>
      <c r="D13" s="160" t="n">
        <v>0</v>
      </c>
      <c r="E13" s="160" t="n">
        <v>1000</v>
      </c>
      <c r="F13" s="114" t="inlineStr">
        <is>
          <t>Riskli iş sayısı bu eşiği aşarsa kontrol uyarır.</t>
        </is>
      </c>
      <c r="G13" s="109" t="inlineStr">
        <is>
          <t>Varsayım</t>
        </is>
      </c>
      <c r="H13" s="161" t="n">
        <v>46023</v>
      </c>
      <c r="I13" s="161" t="n">
        <v>46244</v>
      </c>
    </row>
    <row r="14" ht="25.5" customHeight="1" s="76">
      <c r="A14" s="158" t="inlineStr">
        <is>
          <t>IsIyiSenaryo</t>
        </is>
      </c>
      <c r="B14" s="163" t="n">
        <v>1.05</v>
      </c>
      <c r="C14" s="109" t="inlineStr">
        <is>
          <t>Oran</t>
        </is>
      </c>
      <c r="D14" s="160" t="n">
        <v>0.5</v>
      </c>
      <c r="E14" s="160" t="n">
        <v>1.5</v>
      </c>
      <c r="F14" s="114" t="inlineStr">
        <is>
          <t>İyimser senaryoda toplam kâr bu çarpanla hesaplanır.</t>
        </is>
      </c>
      <c r="G14" s="109" t="inlineStr">
        <is>
          <t>Varsayım</t>
        </is>
      </c>
      <c r="H14" s="161" t="n">
        <v>46023</v>
      </c>
      <c r="I14" s="161" t="n">
        <v>46244</v>
      </c>
    </row>
    <row r="15" ht="25.5" customHeight="1" s="76">
      <c r="A15" s="158" t="inlineStr">
        <is>
          <t>IsBazSenaryo</t>
        </is>
      </c>
      <c r="B15" s="163" t="n">
        <v>1</v>
      </c>
      <c r="C15" s="109" t="inlineStr">
        <is>
          <t>Oran</t>
        </is>
      </c>
      <c r="D15" s="160" t="n">
        <v>0.5</v>
      </c>
      <c r="E15" s="160" t="n">
        <v>1.5</v>
      </c>
      <c r="F15" s="114" t="inlineStr">
        <is>
          <t>Baz senaryoda toplam kâr bu çarpanla hesaplanır.</t>
        </is>
      </c>
      <c r="G15" s="109" t="inlineStr">
        <is>
          <t>Varsayım</t>
        </is>
      </c>
      <c r="H15" s="161" t="n">
        <v>46023</v>
      </c>
      <c r="I15" s="161" t="n">
        <v>46244</v>
      </c>
    </row>
    <row r="16" ht="25.5" customHeight="1" s="76">
      <c r="A16" s="158" t="inlineStr">
        <is>
          <t>IsKotuSenaryo</t>
        </is>
      </c>
      <c r="B16" s="163" t="n">
        <v>0.95</v>
      </c>
      <c r="C16" s="109" t="inlineStr">
        <is>
          <t>Oran</t>
        </is>
      </c>
      <c r="D16" s="160" t="n">
        <v>0.5</v>
      </c>
      <c r="E16" s="160" t="n">
        <v>1.5</v>
      </c>
      <c r="F16" s="114" t="inlineStr">
        <is>
          <t>Kötümser senaryoda toplam kâr bu çarpanla hesaplanır.</t>
        </is>
      </c>
      <c r="G16" s="109" t="inlineStr">
        <is>
          <t>Varsayım</t>
        </is>
      </c>
      <c r="H16" s="161" t="n">
        <v>46023</v>
      </c>
      <c r="I16" s="161" t="n">
        <v>46244</v>
      </c>
    </row>
    <row r="17" ht="25.5" customHeight="1" s="76">
      <c r="A17" s="158" t="inlineStr">
        <is>
          <t>IsTornadoGelir</t>
        </is>
      </c>
      <c r="B17" s="163" t="n">
        <v>0.01</v>
      </c>
      <c r="C17" s="109" t="inlineStr">
        <is>
          <t>Oran</t>
        </is>
      </c>
      <c r="D17" s="160" t="n">
        <v>0</v>
      </c>
      <c r="E17" s="160" t="n">
        <v>0.2</v>
      </c>
      <c r="F17" s="114" t="inlineStr">
        <is>
          <t>Gelirin %1 artışının toplam kâra etkisi.</t>
        </is>
      </c>
      <c r="G17" s="109" t="inlineStr">
        <is>
          <t>Varsayım</t>
        </is>
      </c>
      <c r="H17" s="161" t="n">
        <v>46023</v>
      </c>
      <c r="I17" s="161" t="n">
        <v>46244</v>
      </c>
    </row>
    <row r="18" ht="25.5" customHeight="1" s="76">
      <c r="A18" s="158" t="inlineStr">
        <is>
          <t>IsTornadoMaliyet</t>
        </is>
      </c>
      <c r="B18" s="163" t="n">
        <v>0.01</v>
      </c>
      <c r="C18" s="109" t="inlineStr">
        <is>
          <t>Oran</t>
        </is>
      </c>
      <c r="D18" s="160" t="n">
        <v>0</v>
      </c>
      <c r="E18" s="160" t="n">
        <v>0.2</v>
      </c>
      <c r="F18" s="114" t="inlineStr">
        <is>
          <t>Maliyetin %1 artışının toplam kâra etkisi.</t>
        </is>
      </c>
      <c r="G18" s="109" t="inlineStr">
        <is>
          <t>Varsayım</t>
        </is>
      </c>
      <c r="H18" s="161" t="n">
        <v>46023</v>
      </c>
      <c r="I18" s="161" t="n">
        <v>46244</v>
      </c>
    </row>
    <row r="19" ht="25.5" customHeight="1" s="76">
      <c r="A19" s="158" t="inlineStr">
        <is>
          <t>IsTahminCarpan</t>
        </is>
      </c>
      <c r="B19" s="163" t="n">
        <v>1.645</v>
      </c>
      <c r="C19" s="109" t="inlineStr">
        <is>
          <t>Oran</t>
        </is>
      </c>
      <c r="D19" s="160" t="n">
        <v>0</v>
      </c>
      <c r="E19" s="160" t="n">
        <v>3</v>
      </c>
      <c r="F19" s="114" t="inlineStr">
        <is>
          <t>Tahmin bandı genişliği (standart sapma katı).</t>
        </is>
      </c>
      <c r="G19" s="109" t="inlineStr">
        <is>
          <t>Varsayım</t>
        </is>
      </c>
      <c r="H19" s="161" t="n">
        <v>46023</v>
      </c>
      <c r="I19" s="161" t="n">
        <v>46244</v>
      </c>
    </row>
    <row r="20" ht="25.5" customHeight="1" s="76">
      <c r="A20" s="158" t="inlineStr">
        <is>
          <t>IsKaliteIyi</t>
        </is>
      </c>
      <c r="B20" s="165" t="n">
        <v>90</v>
      </c>
      <c r="C20" s="109" t="inlineStr">
        <is>
          <t>Skor</t>
        </is>
      </c>
      <c r="D20" s="160" t="n">
        <v>0</v>
      </c>
      <c r="E20" s="160" t="n">
        <v>100</v>
      </c>
      <c r="F20" s="114" t="inlineStr">
        <is>
          <t>Kalite skoru bu eşiğin üzerindeyse YÜKSEK kalite.</t>
        </is>
      </c>
      <c r="G20" s="109" t="inlineStr">
        <is>
          <t>Varsayım</t>
        </is>
      </c>
      <c r="H20" s="161" t="n">
        <v>46023</v>
      </c>
      <c r="I20" s="161" t="n">
        <v>46244</v>
      </c>
    </row>
    <row r="21" ht="25.5" customHeight="1" s="76">
      <c r="A21" s="158" t="inlineStr">
        <is>
          <t>IsKaliteOrta</t>
        </is>
      </c>
      <c r="B21" s="165" t="n">
        <v>70</v>
      </c>
      <c r="C21" s="109" t="inlineStr">
        <is>
          <t>Skor</t>
        </is>
      </c>
      <c r="D21" s="160" t="n">
        <v>0</v>
      </c>
      <c r="E21" s="160" t="n">
        <v>100</v>
      </c>
      <c r="F21" s="114" t="inlineStr">
        <is>
          <t>Kalite skoru bu eşiğin üzerindeyse ORTA kalite.</t>
        </is>
      </c>
      <c r="G21" s="109" t="inlineStr">
        <is>
          <t>Varsayım</t>
        </is>
      </c>
      <c r="H21" s="161" t="n">
        <v>46023</v>
      </c>
      <c r="I21" s="161" t="n">
        <v>46244</v>
      </c>
    </row>
    <row r="22" ht="25.5" customHeight="1" s="76">
      <c r="A22" s="158" t="inlineStr">
        <is>
          <t>IsAksiyon1_ACIKLAMA</t>
        </is>
      </c>
      <c r="B22" s="166" t="inlineStr">
        <is>
          <t>Zararlı işlerde fiyatlama ve maliyet tahminini gözden geçirin.</t>
        </is>
      </c>
      <c r="C22" s="109" t="inlineStr">
        <is>
          <t>Metin</t>
        </is>
      </c>
      <c r="D22" s="160" t="n"/>
      <c r="E22" s="160" t="n"/>
      <c r="F22" s="114" t="inlineStr">
        <is>
          <t>DURDUR kararında gösterilen ilk öneri.</t>
        </is>
      </c>
      <c r="G22" s="109" t="inlineStr">
        <is>
          <t>Varsayım</t>
        </is>
      </c>
      <c r="H22" s="161" t="n">
        <v>46023</v>
      </c>
      <c r="I22" s="161" t="n">
        <v>46244</v>
      </c>
    </row>
    <row r="23" ht="25.5" customHeight="1" s="76">
      <c r="A23" s="158" t="inlineStr">
        <is>
          <t>IsAksiyon2_ACIKLAMA</t>
        </is>
      </c>
      <c r="B23" s="166" t="inlineStr">
        <is>
          <t>Marj düşükse kaynakları daha yüksek günlük kâr sağlayan işlere kaydırın.</t>
        </is>
      </c>
      <c r="C23" s="109" t="inlineStr">
        <is>
          <t>Metin</t>
        </is>
      </c>
      <c r="D23" s="160" t="n"/>
      <c r="E23" s="160" t="n"/>
      <c r="F23" s="114" t="inlineStr">
        <is>
          <t>İNCELE kararında gösterilen ikinci öneri.</t>
        </is>
      </c>
      <c r="G23" s="109" t="inlineStr">
        <is>
          <t>Varsayım</t>
        </is>
      </c>
      <c r="H23" s="161" t="n">
        <v>46023</v>
      </c>
      <c r="I23" s="161" t="n">
        <v>46244</v>
      </c>
    </row>
    <row r="24" ht="25.5" customHeight="1" s="76">
      <c r="A24" s="158" t="inlineStr">
        <is>
          <t>IsAksiyon3_ACIKLAMA</t>
        </is>
      </c>
      <c r="B24" s="166" t="inlineStr">
        <is>
          <t>Günlük kâr düşükse süre planlamasını ve verimlilik artışını birlikte inceleyin.</t>
        </is>
      </c>
      <c r="C24" s="109" t="inlineStr">
        <is>
          <t>Metin</t>
        </is>
      </c>
      <c r="D24" s="160" t="n"/>
      <c r="E24" s="160" t="n"/>
      <c r="F24" s="114" t="inlineStr">
        <is>
          <t>İNCELE kararında gösterilen üçüncü öneri.</t>
        </is>
      </c>
      <c r="G24" s="109" t="inlineStr">
        <is>
          <t>Varsayım</t>
        </is>
      </c>
      <c r="H24" s="161" t="n">
        <v>46023</v>
      </c>
      <c r="I24" s="161" t="n">
        <v>46244</v>
      </c>
    </row>
    <row r="25" ht="25.5" customHeight="1" s="76">
      <c r="A25" s="158" t="inlineStr">
        <is>
          <t>IsP90Oran</t>
        </is>
      </c>
      <c r="B25" s="163" t="n">
        <v>0.9</v>
      </c>
      <c r="C25" s="109" t="inlineStr">
        <is>
          <t>Oran</t>
        </is>
      </c>
      <c r="D25" s="160" t="n">
        <v>0.5</v>
      </c>
      <c r="E25" s="160" t="n">
        <v>1</v>
      </c>
      <c r="F25" s="114" t="inlineStr">
        <is>
          <t>İş kârı dağılımında üst yüzdelik dilimin oranı.</t>
        </is>
      </c>
      <c r="G25" s="109" t="inlineStr">
        <is>
          <t>Varsayım</t>
        </is>
      </c>
      <c r="H25" s="161" t="n">
        <v>46023</v>
      </c>
      <c r="I25" s="161" t="n">
        <v>46244</v>
      </c>
    </row>
    <row r="26" ht="19.5" customHeight="1" s="76">
      <c r="A26" s="108" t="inlineStr">
        <is>
          <t>IsPanelSatir1</t>
        </is>
      </c>
      <c r="B26" s="167" t="n">
        <v>1</v>
      </c>
      <c r="C26" s="109" t="inlineStr">
        <is>
          <t>Satır</t>
        </is>
      </c>
      <c r="F26" s="114" t="inlineStr">
        <is>
          <t>PANO'daki iş grafiği serisinin tablodaki veri satırı (1. iş).</t>
        </is>
      </c>
      <c r="G26" s="109" t="inlineStr">
        <is>
          <t>Kullanıcı</t>
        </is>
      </c>
      <c r="H26" s="161" t="n">
        <v>46023</v>
      </c>
      <c r="I26" s="161" t="n">
        <v>46244</v>
      </c>
    </row>
    <row r="27" ht="19.5" customHeight="1" s="76">
      <c r="A27" s="108" t="inlineStr">
        <is>
          <t>IsPanelSatir2</t>
        </is>
      </c>
      <c r="B27" s="167" t="n">
        <v>2</v>
      </c>
      <c r="C27" s="109" t="inlineStr">
        <is>
          <t>Satır</t>
        </is>
      </c>
      <c r="F27" s="114" t="inlineStr">
        <is>
          <t>PANO'daki iş grafiği serisinin tablodaki veri satırı (2. iş).</t>
        </is>
      </c>
      <c r="G27" s="109" t="inlineStr">
        <is>
          <t>Kullanıcı</t>
        </is>
      </c>
      <c r="H27" s="161" t="n">
        <v>46023</v>
      </c>
      <c r="I27" s="161" t="n">
        <v>46244</v>
      </c>
    </row>
    <row r="28" ht="19.5" customHeight="1" s="76">
      <c r="A28" s="108" t="inlineStr">
        <is>
          <t>IsPanelSatir3</t>
        </is>
      </c>
      <c r="B28" s="167" t="n">
        <v>3</v>
      </c>
      <c r="C28" s="109" t="inlineStr">
        <is>
          <t>Satır</t>
        </is>
      </c>
      <c r="F28" s="114" t="inlineStr">
        <is>
          <t>PANO'daki iş grafiği serisinin tablodaki veri satırı (3. iş).</t>
        </is>
      </c>
      <c r="G28" s="109" t="inlineStr">
        <is>
          <t>Kullanıcı</t>
        </is>
      </c>
      <c r="H28" s="161" t="n">
        <v>46023</v>
      </c>
      <c r="I28" s="161" t="n">
        <v>46244</v>
      </c>
    </row>
    <row r="29" ht="19.5" customHeight="1" s="76">
      <c r="A29" s="108" t="inlineStr">
        <is>
          <t>IsPanelSatir4</t>
        </is>
      </c>
      <c r="B29" s="167" t="n">
        <v>4</v>
      </c>
      <c r="C29" s="109" t="inlineStr">
        <is>
          <t>Satır</t>
        </is>
      </c>
      <c r="F29" s="114" t="inlineStr">
        <is>
          <t>PANO'daki iş grafiği serisinin tablodaki veri satırı (4. iş).</t>
        </is>
      </c>
      <c r="G29" s="109" t="inlineStr">
        <is>
          <t>Kullanıcı</t>
        </is>
      </c>
      <c r="H29" s="161" t="n">
        <v>46023</v>
      </c>
      <c r="I29" s="161" t="n">
        <v>46244</v>
      </c>
    </row>
    <row r="30" ht="19.5" customHeight="1" s="76">
      <c r="A30" s="108" t="inlineStr">
        <is>
          <t>IsPanelSatir5</t>
        </is>
      </c>
      <c r="B30" s="167" t="n">
        <v>5</v>
      </c>
      <c r="C30" s="109" t="inlineStr">
        <is>
          <t>Satır</t>
        </is>
      </c>
      <c r="F30" s="114" t="inlineStr">
        <is>
          <t>PANO'daki iş grafiği serisinin tablodaki veri satırı (5. iş).</t>
        </is>
      </c>
      <c r="G30" s="109" t="inlineStr">
        <is>
          <t>Kullanıcı</t>
        </is>
      </c>
      <c r="H30" s="161" t="n">
        <v>46023</v>
      </c>
      <c r="I30" s="161" t="n">
        <v>46244</v>
      </c>
    </row>
    <row r="31" ht="19.5" customHeight="1" s="76">
      <c r="A31" s="108" t="inlineStr">
        <is>
          <t>IsPanelSatir6</t>
        </is>
      </c>
      <c r="B31" s="167" t="n">
        <v>6</v>
      </c>
      <c r="C31" s="109" t="inlineStr">
        <is>
          <t>Satır</t>
        </is>
      </c>
      <c r="F31" s="114" t="inlineStr">
        <is>
          <t>PANO'daki iş grafiği serisinin tablodaki veri satırı (6. iş).</t>
        </is>
      </c>
      <c r="G31" s="109" t="inlineStr">
        <is>
          <t>Kullanıcı</t>
        </is>
      </c>
      <c r="H31" s="161" t="n">
        <v>46023</v>
      </c>
      <c r="I31" s="161" t="n">
        <v>46244</v>
      </c>
    </row>
    <row r="32" ht="19.5" customHeight="1" s="76">
      <c r="A32" s="108" t="inlineStr">
        <is>
          <t>IsPanelSatir7</t>
        </is>
      </c>
      <c r="B32" s="167" t="n">
        <v>7</v>
      </c>
      <c r="C32" s="109" t="inlineStr">
        <is>
          <t>Satır</t>
        </is>
      </c>
      <c r="F32" s="114" t="inlineStr">
        <is>
          <t>PANO'daki iş grafiği serisinin tablodaki veri satırı (7. iş).</t>
        </is>
      </c>
      <c r="G32" s="109" t="inlineStr">
        <is>
          <t>Kullanıcı</t>
        </is>
      </c>
      <c r="H32" s="161" t="n">
        <v>46023</v>
      </c>
      <c r="I32" s="161" t="n">
        <v>46244</v>
      </c>
    </row>
    <row r="33" ht="19.5" customHeight="1" s="76">
      <c r="A33" s="108" t="inlineStr">
        <is>
          <t>IsPanelSatir8</t>
        </is>
      </c>
      <c r="B33" s="167" t="n">
        <v>8</v>
      </c>
      <c r="C33" s="109" t="inlineStr">
        <is>
          <t>Satır</t>
        </is>
      </c>
      <c r="F33" s="114" t="inlineStr">
        <is>
          <t>PANO'daki iş grafiği serisinin tablodaki veri satırı (8. iş).</t>
        </is>
      </c>
      <c r="G33" s="109" t="inlineStr">
        <is>
          <t>Kullanıcı</t>
        </is>
      </c>
      <c r="H33" s="161" t="n">
        <v>46023</v>
      </c>
      <c r="I33" s="161" t="n">
        <v>46244</v>
      </c>
    </row>
    <row r="34" ht="19.5" customHeight="1" s="76">
      <c r="A34" s="108" t="inlineStr">
        <is>
          <t>IsPanelSatir9</t>
        </is>
      </c>
      <c r="B34" s="167" t="n">
        <v>9</v>
      </c>
      <c r="C34" s="109" t="inlineStr">
        <is>
          <t>Satır</t>
        </is>
      </c>
      <c r="F34" s="114" t="inlineStr">
        <is>
          <t>PANO'daki iş grafiği serisinin tablodaki veri satırı (9. iş).</t>
        </is>
      </c>
      <c r="G34" s="109" t="inlineStr">
        <is>
          <t>Kullanıcı</t>
        </is>
      </c>
      <c r="H34" s="161" t="n">
        <v>46023</v>
      </c>
      <c r="I34" s="161" t="n">
        <v>46244</v>
      </c>
    </row>
    <row r="35" ht="19.5" customHeight="1" s="76">
      <c r="A35" s="108" t="inlineStr">
        <is>
          <t>IsPanelSatir10</t>
        </is>
      </c>
      <c r="B35" s="167" t="n">
        <v>10</v>
      </c>
      <c r="C35" s="109" t="inlineStr">
        <is>
          <t>Satır</t>
        </is>
      </c>
      <c r="F35" s="114" t="inlineStr">
        <is>
          <t>PANO'daki iş grafiği serisinin tablodaki veri satırı (10. iş).</t>
        </is>
      </c>
      <c r="G35" s="109" t="inlineStr">
        <is>
          <t>Kullanıcı</t>
        </is>
      </c>
      <c r="H35" s="161" t="n">
        <v>46023</v>
      </c>
      <c r="I35" s="161" t="n">
        <v>46244</v>
      </c>
    </row>
    <row r="45" ht="15" customHeight="1" s="76">
      <c r="B45" s="168" t="inlineStr">
        <is>
          <t>VARSAYIM AÇIKLAMALARI</t>
        </is>
      </c>
    </row>
    <row r="46" ht="15" customHeight="1" s="76">
      <c r="B46" s="114" t="inlineStr">
        <is>
          <t>Tüm eşikler ve çarpanlar kullanıcı tarafından değiştirilebilir varsayımlardır. Kaynak değeri 'Varsayım' olan parametreler KILAVUZ sayfasında toplu listelenir.</t>
        </is>
      </c>
    </row>
    <row r="47" ht="15" customHeight="1" s="76"/>
  </sheetData>
  <sheetProtection selectLockedCells="0" selectUnlockedCells="0" sheet="1" objects="1" insertRows="1" insertHyperlinks="1" autoFilter="1" scenarios="1" formatColumns="1" deleteColumns="0" insertColumns="1" pivotTables="1" deleteRows="0" formatCells="1" formatRows="1" sort="1" password="cc3d"/>
  <mergeCells count="3">
    <mergeCell ref="B46:I47"/>
    <mergeCell ref="A1:AD1"/>
    <mergeCell ref="B45:I45"/>
  </mergeCells>
  <dataValidations count="19">
    <dataValidation sqref="B7" showDropDown="0" showInputMessage="1" showErrorMessage="1" allowBlank="0" error="Değer geçersiz; alan açıklamasına uygun bir değer girin." promptTitle="FirmaUnvan" prompt="Rapor ve kapakta görünen firma adı." type="textLength" errorStyle="stop" operator="between">
      <formula1>1</formula1>
      <formula2>200</formula2>
    </dataValidation>
    <dataValidation sqref="B8" showDropDown="0" showInputMessage="1" showErrorMessage="1" allowBlank="0" error="Değer geçersiz; alan açıklamasına uygun bir değer girin." promptTitle="RaporTarihi" prompt="Tüm hesapların ve kararın alındığı tarih." type="date" errorStyle="stop" operator="greaterThanOrEqual">
      <formula1>2020-1-1</formula1>
      <formula2>0</formula2>
    </dataValidation>
    <dataValidation sqref="B9" showDropDown="0" showInputMessage="1" showErrorMessage="1" allowBlank="0" error="Değer geçersiz; alan açıklamasına uygun bir değer girin." promptTitle="RaporHazirlayan" prompt="Raporu hazırlayan kişi/rol." type="textLength" errorStyle="stop" operator="between">
      <formula1>1</formula1>
      <formula2>200</formula2>
    </dataValidation>
    <dataValidation sqref="B10" showDropDown="0" showInputMessage="1" showErrorMessage="1" allowBlank="0" error="Değer geçersiz; alan açıklamasına uygun bir değer girin." promptTitle="DosyaSurumu" prompt="Ürün sürüm bilgisi; rapor alt bilgisinde görünür." type="textLength" errorStyle="stop" operator="between">
      <formula1>1</formula1>
      <formula2>200</formula2>
    </dataValidation>
    <dataValidation sqref="B11" showDropDown="0" showInputMessage="1" showErrorMessage="1" allowBlank="0" error="Değer geçersiz; alan açıklamasına uygun bir değer girin." promptTitle="IsMarjEsik" prompt="Ağırlıklı marj bu eşiğin altındaysa karar İNCELE olur." type="decimal" errorStyle="stop" operator="between">
      <formula1>0</formula1>
      <formula2>1</formula2>
    </dataValidation>
    <dataValidation sqref="B12" showDropDown="0" showInputMessage="1" showErrorMessage="1" allowBlank="0" error="Değer geçersiz; alan açıklamasına uygun bir değer girin." promptTitle="IsGunlukKarEsik" prompt="Ortalama günlük kâr bu eşiğin altındaysa karar İNCELE olur." type="decimal" errorStyle="stop" operator="between">
      <formula1>0</formula1>
      <formula2>10000000</formula2>
    </dataValidation>
    <dataValidation sqref="B13" showDropDown="0" showInputMessage="1" showErrorMessage="1" allowBlank="0" error="Değer geçersiz; alan açıklamasına uygun bir değer girin." promptTitle="IsRiskliAdetEsik" prompt="Riskli iş sayısı bu eşiği aşarsa kontrol uyarır." type="decimal" errorStyle="stop" operator="between">
      <formula1>0</formula1>
      <formula2>1000</formula2>
    </dataValidation>
    <dataValidation sqref="B14" showDropDown="0" showInputMessage="1" showErrorMessage="1" allowBlank="0" error="Değer geçersiz; alan açıklamasına uygun bir değer girin." promptTitle="IsIyiSenaryo" prompt="İyimser senaryoda toplam kâr bu çarpanla hesaplanır." type="decimal" errorStyle="stop" operator="between">
      <formula1>0.5</formula1>
      <formula2>1.5</formula2>
    </dataValidation>
    <dataValidation sqref="B15" showDropDown="0" showInputMessage="1" showErrorMessage="1" allowBlank="0" error="Değer geçersiz; alan açıklamasına uygun bir değer girin." promptTitle="IsBazSenaryo" prompt="Baz senaryoda toplam kâr bu çarpanla hesaplanır." type="decimal" errorStyle="stop" operator="between">
      <formula1>0.5</formula1>
      <formula2>1.5</formula2>
    </dataValidation>
    <dataValidation sqref="B16" showDropDown="0" showInputMessage="1" showErrorMessage="1" allowBlank="0" error="Değer geçersiz; alan açıklamasına uygun bir değer girin." promptTitle="IsKotuSenaryo" prompt="Kötümser senaryoda toplam kâr bu çarpanla hesaplanır." type="decimal" errorStyle="stop" operator="between">
      <formula1>0.5</formula1>
      <formula2>1.5</formula2>
    </dataValidation>
    <dataValidation sqref="B17" showDropDown="0" showInputMessage="1" showErrorMessage="1" allowBlank="0" error="Değer geçersiz; alan açıklamasına uygun bir değer girin." promptTitle="IsTornadoGelir" prompt="Gelirin %1 artışının toplam kâra etkisi." type="decimal" errorStyle="stop" operator="between">
      <formula1>0</formula1>
      <formula2>0.2</formula2>
    </dataValidation>
    <dataValidation sqref="B18" showDropDown="0" showInputMessage="1" showErrorMessage="1" allowBlank="0" error="Değer geçersiz; alan açıklamasına uygun bir değer girin." promptTitle="IsTornadoMaliyet" prompt="Maliyetin %1 artışının toplam kâra etkisi." type="decimal" errorStyle="stop" operator="between">
      <formula1>0</formula1>
      <formula2>0.2</formula2>
    </dataValidation>
    <dataValidation sqref="B19" showDropDown="0" showInputMessage="1" showErrorMessage="1" allowBlank="0" error="Değer geçersiz; alan açıklamasına uygun bir değer girin." promptTitle="IsTahminCarpan" prompt="Tahmin bandı genişliği (standart sapma katı)." type="decimal" errorStyle="stop" operator="between">
      <formula1>0</formula1>
      <formula2>3</formula2>
    </dataValidation>
    <dataValidation sqref="B20" showDropDown="0" showInputMessage="1" showErrorMessage="1" allowBlank="0" error="Değer geçersiz; alan açıklamasına uygun bir değer girin." promptTitle="IsKaliteIyi" prompt="Kalite skoru bu eşiğin üzerindeyse YÜKSEK kalite." type="decimal" errorStyle="stop" operator="between">
      <formula1>0</formula1>
      <formula2>100</formula2>
    </dataValidation>
    <dataValidation sqref="B21" showDropDown="0" showInputMessage="1" showErrorMessage="1" allowBlank="0" error="Değer geçersiz; alan açıklamasına uygun bir değer girin." promptTitle="IsKaliteOrta" prompt="Kalite skoru bu eşiğin üzerindeyse ORTA kalite." type="decimal" errorStyle="stop" operator="between">
      <formula1>0</formula1>
      <formula2>100</formula2>
    </dataValidation>
    <dataValidation sqref="B22" showDropDown="0" showInputMessage="1" showErrorMessage="1" allowBlank="0" error="Değer geçersiz; alan açıklamasına uygun bir değer girin." promptTitle="IsAksiyon1_ACIKLAMA" prompt="DURDUR kararında gösterilen ilk öneri." type="textLength" errorStyle="stop" operator="between">
      <formula1>1</formula1>
      <formula2>200</formula2>
    </dataValidation>
    <dataValidation sqref="B23" showDropDown="0" showInputMessage="1" showErrorMessage="1" allowBlank="0" error="Değer geçersiz; alan açıklamasına uygun bir değer girin." promptTitle="IsAksiyon2_ACIKLAMA" prompt="İNCELE kararında gösterilen ikinci öneri." type="textLength" errorStyle="stop" operator="between">
      <formula1>1</formula1>
      <formula2>200</formula2>
    </dataValidation>
    <dataValidation sqref="B24" showDropDown="0" showInputMessage="1" showErrorMessage="1" allowBlank="0" error="Değer geçersiz; alan açıklamasına uygun bir değer girin." promptTitle="IsAksiyon3_ACIKLAMA" prompt="İNCELE kararında gösterilen üçüncü öneri." type="textLength" errorStyle="stop" operator="between">
      <formula1>1</formula1>
      <formula2>200</formula2>
    </dataValidation>
    <dataValidation sqref="B25" showDropDown="0" showInputMessage="1" showErrorMessage="1" allowBlank="0" error="Değer geçersiz; alan açıklamasına uygun bir değer girin." promptTitle="IsP90Oran" prompt="İş kârı dağılımında üst yüzdelik dilimin oranı." type="decimal" errorStyle="stop" operator="between">
      <formula1>0.5</formula1>
      <formula2>1</formula2>
    </dataValidation>
  </dataValidation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  <legacyDrawing xmlns:r="http://schemas.openxmlformats.org/officeDocument/2006/relationships" r:id="anysvml"/>
</worksheet>
</file>

<file path=xl/worksheets/sheet26.xml><?xml version="1.0" encoding="utf-8"?>
<worksheet xmlns="http://schemas.openxmlformats.org/spreadsheetml/2006/main">
  <sheetPr filterMode="0">
    <outlinePr summaryBelow="1" summaryRight="1"/>
    <pageSetUpPr fitToPage="0"/>
  </sheetPr>
  <dimension ref="A1:AD25"/>
  <sheetViews>
    <sheetView showFormulas="0" showGridLines="0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customHeight="0" zeroHeight="0" outlineLevelRow="0"/>
  <cols>
    <col width="45" customWidth="1" style="102" min="1" max="1"/>
    <col width="60" customWidth="1" style="102" min="2" max="2"/>
  </cols>
  <sheetData>
    <row r="1" ht="25.5" customHeight="1" s="76">
      <c r="A1" s="103" t="inlineStr">
        <is>
          <t>KILAVUZ — Proje ve İş Bazında Gerçek Kârlılık Sistemi</t>
        </is>
      </c>
    </row>
    <row r="3" ht="15.75" customHeight="1" s="76">
      <c r="A3" s="110" t="inlineStr">
        <is>
          <t>Kullanım Kılavuzu</t>
        </is>
      </c>
    </row>
    <row r="5" ht="15" customHeight="1" s="76">
      <c r="A5" s="111" t="inlineStr">
        <is>
          <t>Veri girişi</t>
        </is>
      </c>
      <c r="B5" s="107" t="inlineStr">
        <is>
          <t>IS_GIRILERI sayfasında sarı hücrelere iş numarası, iş adı, toplam gelir, direkt maliyet ve süreyi girin. Kâr, marj, günlük kâr ve durum otomatik hesaplanır.</t>
        </is>
      </c>
    </row>
    <row r="6" ht="15" customHeight="1" s="76">
      <c r="A6" s="111" t="inlineStr">
        <is>
          <t>Hesap katmanı</t>
        </is>
      </c>
      <c r="B6" s="107" t="inlineStr">
        <is>
          <t>HESAP sayfası iş bazında kâr, marj ve günlük kâr göstergelerini özetler.</t>
        </is>
      </c>
    </row>
    <row r="7" ht="15" customHeight="1" s="76">
      <c r="A7" s="111" t="inlineStr">
        <is>
          <t>Karar ve rapor</t>
        </is>
      </c>
      <c r="B7" s="107" t="inlineStr">
        <is>
          <t>KARAR sayfası UYGUN/İNCELE/DURDUR kararını üretir; RAPOR yöneticiye sunulabilir.</t>
        </is>
      </c>
    </row>
    <row r="8" ht="15" customHeight="1" s="76">
      <c r="A8" s="111" t="inlineStr">
        <is>
          <t>Ayarlar</t>
        </is>
      </c>
      <c r="B8" s="107" t="inlineStr">
        <is>
          <t>AYARLAR sayfasındaki eşikleri ve çarpanları mali müşavir veya kendi tecrübenize göre güncelleyin.</t>
        </is>
      </c>
    </row>
    <row r="9" ht="15" customHeight="1" s="76">
      <c r="A9" s="111" t="inlineStr">
        <is>
          <t>Koruma</t>
        </is>
      </c>
      <c r="B9" s="107" t="inlineStr">
        <is>
          <t>Tüm sayfalar 1234 şifresiyle korunur; sarı hücreler serbesttir, formül hücreleri kilitlidir.</t>
        </is>
      </c>
    </row>
    <row r="11" ht="24.75" customHeight="1" s="76">
      <c r="A11" s="114" t="inlineStr">
        <is>
          <t>Bu dosya karar destek aracıdır; muhasebe kaydı ve vergi beyanı niteliği taşımaz.</t>
        </is>
      </c>
    </row>
    <row r="13" ht="15" customHeight="1" s="76">
      <c r="A13" s="106" t="inlineStr">
        <is>
          <t>Varsayım İşaretli Parametreler</t>
        </is>
      </c>
    </row>
    <row r="14" ht="41.25" customHeight="1" s="76">
      <c r="A14" s="107" t="inlineStr">
        <is>
          <t>Aşağıdaki eşik ve çarpanlar AYARLAR sayfasında kaynak=Varsayım olarak işaretlidir; mevzuat zorunluluğu yoktur ve işletmeye göre güncellenmelidir.</t>
        </is>
      </c>
      <c r="B14" s="102" t="n"/>
    </row>
    <row r="15" ht="15" customHeight="1" s="76">
      <c r="A15" s="169" t="inlineStr">
        <is>
          <t>• Marj Risk Eşiği</t>
        </is>
      </c>
    </row>
    <row r="16" ht="15" customHeight="1" s="76">
      <c r="A16" s="169" t="inlineStr">
        <is>
          <t>• Günlük Kâr Risk Eşiği</t>
        </is>
      </c>
    </row>
    <row r="17" ht="15" customHeight="1" s="76">
      <c r="A17" s="169" t="inlineStr">
        <is>
          <t>• Riskli İş Adet Eşiği</t>
        </is>
      </c>
    </row>
    <row r="18" ht="15" customHeight="1" s="76">
      <c r="A18" s="169" t="inlineStr">
        <is>
          <t>• İyimser, Baz ve Kötümser Senaryo Çarpanları</t>
        </is>
      </c>
    </row>
    <row r="19" ht="15" customHeight="1" s="76">
      <c r="A19" s="169" t="inlineStr">
        <is>
          <t>• Tornado Gelir ve Maliyet Etkisi Oranları</t>
        </is>
      </c>
    </row>
    <row r="20" ht="15" customHeight="1" s="76">
      <c r="A20" s="169" t="inlineStr">
        <is>
          <t>• Tahmin Çarpanı (standart sapma katı)</t>
        </is>
      </c>
    </row>
    <row r="21" ht="15" customHeight="1" s="76">
      <c r="A21" s="169" t="inlineStr">
        <is>
          <t>• Kalite Skoru İyi ve Orta Eşikleri</t>
        </is>
      </c>
    </row>
    <row r="22" ht="15" customHeight="1" s="76">
      <c r="A22" s="169" t="inlineStr">
        <is>
          <t>• P90 Yüzdelik Oranı</t>
        </is>
      </c>
    </row>
    <row r="23" ht="15" customHeight="1" s="76">
      <c r="A23" s="169" t="inlineStr">
        <is>
          <t>• Aksiyon Önerisi Açıklamaları</t>
        </is>
      </c>
    </row>
    <row r="25" ht="24.75" customHeight="1" s="76">
      <c r="A25" s="114" t="inlineStr">
        <is>
          <t>Bu dosya tamamen çevrimdışı çalışır; verileriniz cihazınızdan çıkmaz. Makro ve dış bağlantı yoktur.</t>
        </is>
      </c>
      <c r="B25" s="102" t="n"/>
    </row>
  </sheetData>
  <sheetProtection selectLockedCells="0" selectUnlockedCells="0" sheet="1" objects="1" insertRows="1" insertHyperlinks="1" autoFilter="1" scenarios="1" formatColumns="1" deleteColumns="0" insertColumns="1" pivotTables="1" deleteRows="0" formatCells="1" formatRows="1" sort="1" password="cc3d"/>
  <mergeCells count="8">
    <mergeCell ref="B25:T25"/>
    <mergeCell ref="B5:T5"/>
    <mergeCell ref="B14:T14"/>
    <mergeCell ref="B8:T8"/>
    <mergeCell ref="B9:T9"/>
    <mergeCell ref="B6:T6"/>
    <mergeCell ref="A1:AD1"/>
    <mergeCell ref="B7:T7"/>
  </mergeCell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:language xmlns:dc="http://purl.org/dc/elements/1.1/">tr-TR</dc:language>
  <dcterms:created xmlns:dcterms="http://purl.org/dc/terms/" xmlns:xsi="http://www.w3.org/2001/XMLSchema-instance" xsi:type="dcterms:W3CDTF">2026-08-10T10:01:02Z</dcterms:created>
  <dcterms:modified xmlns:dcterms="http://purl.org/dc/terms/" xmlns:xsi="http://www.w3.org/2001/XMLSchema-instance" xsi:type="dcterms:W3CDTF">2026-09-25T15:14:01Z</dcterms:modified>
  <cp:revision>0</cp:revision>
</cp:coreProperties>
</file>