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PERSONEL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KURALLAR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raporTarihi">AYARLAR!$B$6</definedName>
    <definedName name="zincirTolerans">AYARLAR!$B$7</definedName>
    <definedName name="pvf_esikGunlukFm">AYARLAR!$B$8</definedName>
    <definedName name="pvf_yillikTavan">AYARLAR!$B$9</definedName>
    <definedName name="pvf_sinirOran">AYARLAR!$B$10</definedName>
    <definedName name="pvf_kovaEsik1">AYARLAR!$B$11</definedName>
    <definedName name="pvf_kovaEsik2">AYARLAR!$B$12</definedName>
    <definedName name="pvf_kovaEsik3">AYARLAR!$B$13</definedName>
    <definedName name="pvf_mesaiKatsayi">AYARLAR!$B$14</definedName>
    <definedName name="pvf_haftalikCarpan">AYARLAR!$B$15</definedName>
    <definedName name="pvf_senaryoTemkinli">AYARLAR!$B$16</definedName>
    <definedName name="pvf_senaryoBaz">AYARLAR!$B$17</definedName>
    <definedName name="pvf_senaryoIyimser">AYARLAR!$B$18</definedName>
    <definedName name="pvf_tornadoOran">AYARLAR!$B$19</definedName>
    <definedName name="pvf_yuzdelikOran">AYARLAR!$B$20</definedName>
    <definedName name="pvf_olcekHedef">AYARLAR!$B$21</definedName>
    <definedName name="pvf_azamiFm">AYARLAR!$B$22</definedName>
    <definedName name="pvf_kaliteTaban">AYARLAR!$B$23</definedName>
    <definedName name="pvf_kaliteCeza">AYARLAR!$B$24</definedName>
    <definedName name="pvf_kaliteSapma">AYARLAR!$B$25</definedName>
    <definedName name="pvf_durumHaritasi">AYARLAR!$B$26</definedName>
    <definedName name="pvf_kuyrukOzeti_metin">AYARLAR!$B$27</definedName>
    <definedName name="pvf_kapaliDusum_metin">AYARLAR!$B$28</definedName>
    <definedName name="pvf_kanitRaporu_metin">AYARLAR!$B$29</definedName>
    <definedName name="pvf_dosyaSurumu">AYARLAR!$B$30</definedName>
    <definedName name="pvf_firmaUnvan">AYARLAR!$B$31</definedName>
    <definedName name="pvf_aktifYil">AYARLAR!$B$32</definedName>
    <definedName name="pvf_acikAdet">AYARLAR!$I$44</definedName>
    <definedName name="pvf_toplamFm">AYARLAR!$I$45</definedName>
    <definedName name="pvf_gunlukAsim">AYARLAR!$I$46</definedName>
    <definedName name="pvf_fmMaliyet">AYARLAR!$I$47</definedName>
    <definedName name="pvf_yetimKayit">AYARLAR!$I$48</definedName>
    <definedName name="pvf_gecersizGecis">AYARLAR!$I$49</definedName>
    <definedName name="pvf_zincirKirik">AYARLAR!$I$50</definedName>
    <definedName name="pvf_asimAdet">AYARLAR!$I$51</definedName>
    <definedName name="pvf_yasKova">AYARLAR!$I$52</definedName>
    <definedName name="pvf_gunlukFmOrt">AYARLAR!$I$53</definedName>
    <definedName name="pvf_fmSapma">AYARLAR!$I$54</definedName>
    <definedName name="pvf_tahminAralik">AYARLAR!$I$55</definedName>
    <definedName name="pvf_senaryoKarsilastirma">AYARLAR!$I$56</definedName>
    <definedName name="pvf_tornadoZirve">AYARLAR!$I$57</definedName>
    <definedName name="pvf_hhi">AYARLAR!$I$58</definedName>
    <definedName name="pvf_kaliteSkor">AYARLAR!$I$59</definedName>
    <definedName name="pvf_yuzdelikP90">AYARLAR!$I$60</definedName>
    <definedName name="pvf_senaryoMotor">AYARLAR!$I$61</definedName>
    <definedName name="pvf_kapaliDusum">AYARLAR!$I$62</definedName>
    <definedName name="pvf_kuyrukOzeti">AYARLAR!$I$63</definedName>
    <definedName name="pvf_kanitRaporu">AYARLAR!$I$64</definedName>
    <definedName name="pvf_sonrakiKimlik">AYARLAR!$I$65</definedName>
    <definedName name="pvf_haftalikFm">AYARLAR!$I$66</definedName>
    <definedName name="pvf_sinirAdet">AYARLAR!$I$67</definedName>
    <definedName name="pvf_kuralYilMatris">AYARLAR!$I$68</definedName>
    <definedName name="pvf_yorumGunluk">AYARLAR!$I$71</definedName>
    <definedName name="pvf_yorumHaftalik">AYARLAR!$I$72</definedName>
    <definedName name="pvf_yorumSapma">AYARLAR!$I$73</definedName>
    <definedName name="pvf_yorumTornado">AYARLAR!$I$74</definedName>
    <definedName name="pvf_yorumSenaryo">AYARLAR!$I$75</definedName>
    <definedName name="pvf_yorumHhi">AYARLAR!$I$76</definedName>
    <definedName name="pvf_yorumKalite">AYARLAR!$I$77</definedName>
    <definedName name="pvf_yorumSenMotor">AYARLAR!$I$78</definedName>
    <definedName name="pvf_yorumTahmin">AYARLAR!$I$79</definedName>
    <definedName name="pvf_yorumP90">AYARLAR!$I$80</definedName>
    <definedName name="ListeDurumlar">LISTELER!$A$7:$A$11</definedName>
    <definedName name="ListeIzinliGecis">LISTELER!$C$7:$C$12</definedName>
    <definedName name="ListeEvetHayir">LISTELER!$E$7:$E$8</definedName>
    <definedName name="ListeYorumAB">LISTELER!$G$7:$G$8</definedName>
    <definedName name="ListeIzin">LISTELER!$I$7:$I$11</definedName>
    <definedName name="_xlnm.Print_Area" localSheetId="16">'KANIT_RAPORU'!$A$1:$H$38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₺ #,##0;[Red](₺ #,##0);-"/>
    <numFmt numFmtId="166" formatCode="0&quot; gün&quot;"/>
    <numFmt numFmtId="167" formatCode="0.0%;[Red](0.0%);-"/>
    <numFmt numFmtId="168" formatCode="#,##0 &quot;TL&quot;"/>
    <numFmt numFmtId="169" formatCode="0.0%"/>
    <numFmt numFmtId="170" formatCode="₺#,##0"/>
    <numFmt numFmtId="171" formatCode="0.00&quot;x&quot;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15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6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167" fontId="15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PER-00009 | Risk: Elle çakışma</t>
      </text>
    </comment>
    <comment ref="A6" authorId="0" shapeId="0">
      <text>
        <t>Tanım: Personel Kimliği | Neden önemli: Puantaj ve fazla mesai kararını etkiler | Doğru kullanım: PER-##### formatında | Örnek: hücredeki örnek değere bakın | Risk: Yanlış giriş hatalı karar üretir</t>
      </text>
    </comment>
    <comment ref="B6" authorId="0" shapeId="0">
      <text>
        <t>Tanım: Ad Soyad | Neden önemli: Puantaj ve fazla mesai kararını etkiler | Doğru kullanım: Personel adı | Örnek: hücredeki örnek değere bakın | Risk: Yanlış giriş hatalı karar üretir</t>
      </text>
    </comment>
    <comment ref="C6" authorId="0" shapeId="0">
      <text>
        <t>Tanım: Departman | Neden önemli: Puantaj ve fazla mesai kararını etkiler | Doğru kullanım: Departman | Örnek: hücredeki örnek değere bakın | Risk: Yanlış giriş hatalı karar üretir</t>
      </text>
    </comment>
    <comment ref="D6" authorId="0" shapeId="0">
      <text>
        <t>Tanım: Unvan | Neden önemli: Puantaj ve fazla mesai kararını etkiler | Doğru kullanım: Unvan | Örnek: hücredeki örnek değere bakın | Risk: Yanlış giriş hatalı karar üretir</t>
      </text>
    </comment>
    <comment ref="E6" authorId="0" shapeId="0">
      <text>
        <t>Tanım: Haftalık Normal | Neden önemli: Puantaj ve fazla mesai kararını etkiler | Doğru kullanım: Haftalık normal saat | Örnek: hücredeki örnek değere bakın | Risk: Yanlış giriş hatalı karar üretir</t>
      </text>
    </comment>
    <comment ref="F6" authorId="0" shapeId="0">
      <text>
        <t>Tanım: Yıllık Tavan | Neden önemli: Puantaj ve fazla mesai kararını etkiler | Doğru kullanım: Yıllık FM tavanı (saat) | Örnek: hücredeki örnek değere bakın | Risk: Yanlış giriş hatalı karar üretir</t>
      </text>
    </comment>
    <comment ref="G6" authorId="0" shapeId="0">
      <text>
        <t>Tanım: Aktif | Neden önemli: Puantaj ve fazla mesai kararını etkiler | Doğru kullanım: EVET veya HAYIR | Örnek: hücredeki örnek değere bakın | Risk: Yanlış giriş hatalı karar üretir</t>
      </text>
    </comment>
    <comment ref="A7" authorId="0" shapeId="0">
      <text>
        <t>Tanım: Personel Kimliği | Neden önemli: Puantaj ve fazla mesai kararını etkiler | Doğru kullanım: PER-##### formatında | Örnek: hücredeki örnek değere bakın | Risk: Yanlış giriş hatalı karar üretir</t>
      </text>
    </comment>
    <comment ref="B7" authorId="0" shapeId="0">
      <text>
        <t>Tanım: Ad Soyad | Neden önemli: Puantaj ve fazla mesai kararını etkiler | Doğru kullanım: Personel adı | Örnek: hücredeki örnek değere bakın | Risk: Yanlış giriş hatalı karar üretir</t>
      </text>
    </comment>
    <comment ref="C7" authorId="0" shapeId="0">
      <text>
        <t>Tanım: Departman | Neden önemli: Puantaj ve fazla mesai kararını etkiler | Doğru kullanım: Departman | Örnek: hücredeki örnek değere bakın | Risk: Yanlış giriş hatalı karar üretir</t>
      </text>
    </comment>
    <comment ref="D7" authorId="0" shapeId="0">
      <text>
        <t>Tanım: Unvan | Neden önemli: Puantaj ve fazla mesai kararını etkiler | Doğru kullanım: Unvan | Örnek: hücredeki örnek değere bakın | Risk: Yanlış giriş hatalı karar üretir</t>
      </text>
    </comment>
    <comment ref="E7" authorId="0" shapeId="0">
      <text>
        <t>Tanım: Haftalık Normal | Neden önemli: Puantaj ve fazla mesai kararını etkiler | Doğru kullanım: Haftalık normal saat | Örnek: hücredeki örnek değere bakın | Risk: Yanlış giriş hatalı karar üretir</t>
      </text>
    </comment>
    <comment ref="F7" authorId="0" shapeId="0">
      <text>
        <t>Tanım: Yıllık Tavan | Neden önemli: Puantaj ve fazla mesai kararını etkiler | Doğru kullanım: Yıllık FM tavanı (saat) | Örnek: hücredeki örnek değere bakın | Risk: Yanlış giriş hatalı karar üretir</t>
      </text>
    </comment>
    <comment ref="G7" authorId="0" shapeId="0">
      <text>
        <t>Tanım: Aktif | Neden önemli: Puantaj ve fazla mesai kararını etkiler | Doğru kullanım: EVET veya HAYIR | Örnek: hücredeki örnek değere bakın | Risk: Yanlış giriş hatalı karar üretir</t>
      </text>
    </comment>
    <comment ref="A8" authorId="0" shapeId="0">
      <text>
        <t>Tanım: Personel Kimliği | Neden önemli: Puantaj ve fazla mesai kararını etkiler | Doğru kullanım: PER-##### formatında | Örnek: hücredeki örnek değere bakın | Risk: Yanlış giriş hatalı karar üretir</t>
      </text>
    </comment>
    <comment ref="B8" authorId="0" shapeId="0">
      <text>
        <t>Tanım: Ad Soyad | Neden önemli: Puantaj ve fazla mesai kararını etkiler | Doğru kullanım: Personel adı | Örnek: hücredeki örnek değere bakın | Risk: Yanlış giriş hatalı karar üretir</t>
      </text>
    </comment>
    <comment ref="C8" authorId="0" shapeId="0">
      <text>
        <t>Tanım: Departman | Neden önemli: Puantaj ve fazla mesai kararını etkiler | Doğru kullanım: Departman | Örnek: hücredeki örnek değere bakın | Risk: Yanlış giriş hatalı karar üretir</t>
      </text>
    </comment>
    <comment ref="D8" authorId="0" shapeId="0">
      <text>
        <t>Tanım: Unvan | Neden önemli: Puantaj ve fazla mesai kararını etkiler | Doğru kullanım: Unvan | Örnek: hücredeki örnek değere bakın | Risk: Yanlış giriş hatalı karar üretir</t>
      </text>
    </comment>
    <comment ref="E8" authorId="0" shapeId="0">
      <text>
        <t>Tanım: Haftalık Normal | Neden önemli: Puantaj ve fazla mesai kararını etkiler | Doğru kullanım: Haftalık normal saat | Örnek: hücredeki örnek değere bakın | Risk: Yanlış giriş hatalı karar üretir</t>
      </text>
    </comment>
    <comment ref="F8" authorId="0" shapeId="0">
      <text>
        <t>Tanım: Yıllık Tavan | Neden önemli: Puantaj ve fazla mesai kararını etkiler | Doğru kullanım: Yıllık FM tavanı (saat) | Örnek: hücredeki örnek değere bakın | Risk: Yanlış giriş hatalı karar üretir</t>
      </text>
    </comment>
    <comment ref="G8" authorId="0" shapeId="0">
      <text>
        <t>Tanım: Aktif | Neden önemli: Puantaj ve fazla mesai kararını etkiler | Doğru kullanım: EVET veya HAYIR | Örnek: hücredeki örnek değere bakın | Risk: Yanlış giriş hatalı karar üretir</t>
      </text>
    </comment>
    <comment ref="A9" authorId="0" shapeId="0">
      <text>
        <t>Tanım: Personel Kimliği | Neden önemli: Puantaj ve fazla mesai kararını etkiler | Doğru kullanım: PER-##### formatında | Örnek: hücredeki örnek değere bakın | Risk: Yanlış giriş hatalı karar üretir</t>
      </text>
    </comment>
    <comment ref="B9" authorId="0" shapeId="0">
      <text>
        <t>Tanım: Ad Soyad | Neden önemli: Puantaj ve fazla mesai kararını etkiler | Doğru kullanım: Personel adı | Örnek: hücredeki örnek değere bakın | Risk: Yanlış giriş hatalı karar üretir</t>
      </text>
    </comment>
    <comment ref="C9" authorId="0" shapeId="0">
      <text>
        <t>Tanım: Departman | Neden önemli: Puantaj ve fazla mesai kararını etkiler | Doğru kullanım: Departman | Örnek: hücredeki örnek değere bakın | Risk: Yanlış giriş hatalı karar üretir</t>
      </text>
    </comment>
    <comment ref="D9" authorId="0" shapeId="0">
      <text>
        <t>Tanım: Unvan | Neden önemli: Puantaj ve fazla mesai kararını etkiler | Doğru kullanım: Unvan | Örnek: hücredeki örnek değere bakın | Risk: Yanlış giriş hatalı karar üretir</t>
      </text>
    </comment>
    <comment ref="E9" authorId="0" shapeId="0">
      <text>
        <t>Tanım: Haftalık Normal | Neden önemli: Puantaj ve fazla mesai kararını etkiler | Doğru kullanım: Haftalık normal saat | Örnek: hücredeki örnek değere bakın | Risk: Yanlış giriş hatalı karar üretir</t>
      </text>
    </comment>
    <comment ref="F9" authorId="0" shapeId="0">
      <text>
        <t>Tanım: Yıllık Tavan | Neden önemli: Puantaj ve fazla mesai kararını etkiler | Doğru kullanım: Yıllık FM tavanı (saat) | Örnek: hücredeki örnek değere bakın | Risk: Yanlış giriş hatalı karar üretir</t>
      </text>
    </comment>
    <comment ref="G9" authorId="0" shapeId="0">
      <text>
        <t>Tanım: Aktif | Neden önemli: Puantaj ve fazla mesai kararını etkiler | Doğru kullanım: EVET veya HAYIR | Örnek: hücredeki örnek değere bakın | Risk: Yanlış giriş hatalı karar üretir</t>
      </text>
    </comment>
    <comment ref="A10" authorId="0" shapeId="0">
      <text>
        <t>Tanım: Personel Kimliği | Neden önemli: Puantaj ve fazla mesai kararını etkiler | Doğru kullanım: PER-##### formatında | Örnek: hücredeki örnek değere bakın | Risk: Yanlış giriş hatalı karar üretir</t>
      </text>
    </comment>
    <comment ref="B10" authorId="0" shapeId="0">
      <text>
        <t>Tanım: Ad Soyad | Neden önemli: Puantaj ve fazla mesai kararını etkiler | Doğru kullanım: Personel adı | Örnek: hücredeki örnek değere bakın | Risk: Yanlış giriş hatalı karar üretir</t>
      </text>
    </comment>
    <comment ref="C10" authorId="0" shapeId="0">
      <text>
        <t>Tanım: Departman | Neden önemli: Puantaj ve fazla mesai kararını etkiler | Doğru kullanım: Departman | Örnek: hücredeki örnek değere bakın | Risk: Yanlış giriş hatalı karar üretir</t>
      </text>
    </comment>
    <comment ref="D10" authorId="0" shapeId="0">
      <text>
        <t>Tanım: Unvan | Neden önemli: Puantaj ve fazla mesai kararını etkiler | Doğru kullanım: Unvan | Örnek: hücredeki örnek değere bakın | Risk: Yanlış giriş hatalı karar üretir</t>
      </text>
    </comment>
    <comment ref="E10" authorId="0" shapeId="0">
      <text>
        <t>Tanım: Haftalık Normal | Neden önemli: Puantaj ve fazla mesai kararını etkiler | Doğru kullanım: Haftalık normal saat | Örnek: hücredeki örnek değere bakın | Risk: Yanlış giriş hatalı karar üretir</t>
      </text>
    </comment>
    <comment ref="F10" authorId="0" shapeId="0">
      <text>
        <t>Tanım: Yıllık Tavan | Neden önemli: Puantaj ve fazla mesai kararını etkiler | Doğru kullanım: Yıllık FM tavanı (saat) | Örnek: hücredeki örnek değere bakın | Risk: Yanlış giriş hatalı karar üretir</t>
      </text>
    </comment>
    <comment ref="G10" authorId="0" shapeId="0">
      <text>
        <t>Tanım: Aktif | Neden önemli: Puantaj ve fazla mesai kararını etkiler | Doğru kullanım: EVET veya HAYIR | Örnek: hücredeki örnek değere bakın | Risk: Yanlış giriş hatalı karar üretir</t>
      </text>
    </comment>
    <comment ref="A11" authorId="0" shapeId="0">
      <text>
        <t>Tanım: Personel Kimliği | Neden önemli: Puantaj ve fazla mesai kararını etkiler | Doğru kullanım: PER-##### formatında | Örnek: hücredeki örnek değere bakın | Risk: Yanlış giriş hatalı karar üretir</t>
      </text>
    </comment>
    <comment ref="B11" authorId="0" shapeId="0">
      <text>
        <t>Tanım: Ad Soyad | Neden önemli: Puantaj ve fazla mesai kararını etkiler | Doğru kullanım: Personel adı | Örnek: hücredeki örnek değere bakın | Risk: Yanlış giriş hatalı karar üretir</t>
      </text>
    </comment>
    <comment ref="C11" authorId="0" shapeId="0">
      <text>
        <t>Tanım: Departman | Neden önemli: Puantaj ve fazla mesai kararını etkiler | Doğru kullanım: Departman | Örnek: hücredeki örnek değere bakın | Risk: Yanlış giriş hatalı karar üretir</t>
      </text>
    </comment>
    <comment ref="D11" authorId="0" shapeId="0">
      <text>
        <t>Tanım: Unvan | Neden önemli: Puantaj ve fazla mesai kararını etkiler | Doğru kullanım: Unvan | Örnek: hücredeki örnek değere bakın | Risk: Yanlış giriş hatalı karar üretir</t>
      </text>
    </comment>
    <comment ref="E11" authorId="0" shapeId="0">
      <text>
        <t>Tanım: Haftalık Normal | Neden önemli: Puantaj ve fazla mesai kararını etkiler | Doğru kullanım: Haftalık normal saat | Örnek: hücredeki örnek değere bakın | Risk: Yanlış giriş hatalı karar üretir</t>
      </text>
    </comment>
    <comment ref="F11" authorId="0" shapeId="0">
      <text>
        <t>Tanım: Yıllık Tavan | Neden önemli: Puantaj ve fazla mesai kararını etkiler | Doğru kullanım: Yıllık FM tavanı (saat) | Örnek: hücredeki örnek değere bakın | Risk: Yanlış giriş hatalı karar üretir</t>
      </text>
    </comment>
    <comment ref="G11" authorId="0" shapeId="0">
      <text>
        <t>Tanım: Aktif | Neden önemli: Puantaj ve fazla mesai kararını etkiler | Doğru kullanım: EVET veya HAYIR | Örnek: hücredeki örnek değere bakın | Risk: Yanlış giriş hatalı karar üretir</t>
      </text>
    </comment>
    <comment ref="A12" authorId="0" shapeId="0">
      <text>
        <t>Tanım: Personel Kimliği | Neden önemli: Puantaj ve fazla mesai kararını etkiler | Doğru kullanım: PER-##### formatında | Örnek: hücredeki örnek değere bakın | Risk: Yanlış giriş hatalı karar üretir</t>
      </text>
    </comment>
    <comment ref="B12" authorId="0" shapeId="0">
      <text>
        <t>Tanım: Ad Soyad | Neden önemli: Puantaj ve fazla mesai kararını etkiler | Doğru kullanım: Personel adı | Örnek: hücredeki örnek değere bakın | Risk: Yanlış giriş hatalı karar üretir</t>
      </text>
    </comment>
    <comment ref="C12" authorId="0" shapeId="0">
      <text>
        <t>Tanım: Departman | Neden önemli: Puantaj ve fazla mesai kararını etkiler | Doğru kullanım: Departman | Örnek: hücredeki örnek değere bakın | Risk: Yanlış giriş hatalı karar üretir</t>
      </text>
    </comment>
    <comment ref="D12" authorId="0" shapeId="0">
      <text>
        <t>Tanım: Unvan | Neden önemli: Puantaj ve fazla mesai kararını etkiler | Doğru kullanım: Unvan | Örnek: hücredeki örnek değere bakın | Risk: Yanlış giriş hatalı karar üretir</t>
      </text>
    </comment>
    <comment ref="E12" authorId="0" shapeId="0">
      <text>
        <t>Tanım: Haftalık Normal | Neden önemli: Puantaj ve fazla mesai kararını etkiler | Doğru kullanım: Haftalık normal saat | Örnek: hücredeki örnek değere bakın | Risk: Yanlış giriş hatalı karar üretir</t>
      </text>
    </comment>
    <comment ref="F12" authorId="0" shapeId="0">
      <text>
        <t>Tanım: Yıllık Tavan | Neden önemli: Puantaj ve fazla mesai kararını etkiler | Doğru kullanım: Yıllık FM tavanı (saat) | Örnek: hücredeki örnek değere bakın | Risk: Yanlış giriş hatalı karar üretir</t>
      </text>
    </comment>
    <comment ref="G12" authorId="0" shapeId="0">
      <text>
        <t>Tanım: Aktif | Neden önemli: Puantaj ve fazla mesai kararını etkiler | Doğru kullanım: EVET veya HAYIR | Örnek: hücredeki örnek değere bakın | Risk: Yanlış giriş hatalı karar üretir</t>
      </text>
    </comment>
    <comment ref="A13" authorId="0" shapeId="0">
      <text>
        <t>Tanım: Personel Kimliği | Neden önemli: Puantaj ve fazla mesai kararını etkiler | Doğru kullanım: PER-##### formatında | Örnek: hücredeki örnek değere bakın | Risk: Yanlış giriş hatalı karar üretir</t>
      </text>
    </comment>
    <comment ref="B13" authorId="0" shapeId="0">
      <text>
        <t>Tanım: Ad Soyad | Neden önemli: Puantaj ve fazla mesai kararını etkiler | Doğru kullanım: Personel adı | Örnek: hücredeki örnek değere bakın | Risk: Yanlış giriş hatalı karar üretir</t>
      </text>
    </comment>
    <comment ref="C13" authorId="0" shapeId="0">
      <text>
        <t>Tanım: Departman | Neden önemli: Puantaj ve fazla mesai kararını etkiler | Doğru kullanım: Departman | Örnek: hücredeki örnek değere bakın | Risk: Yanlış giriş hatalı karar üretir</t>
      </text>
    </comment>
    <comment ref="D13" authorId="0" shapeId="0">
      <text>
        <t>Tanım: Unvan | Neden önemli: Puantaj ve fazla mesai kararını etkiler | Doğru kullanım: Unvan | Örnek: hücredeki örnek değere bakın | Risk: Yanlış giriş hatalı karar üretir</t>
      </text>
    </comment>
    <comment ref="E13" authorId="0" shapeId="0">
      <text>
        <t>Tanım: Haftalık Normal | Neden önemli: Puantaj ve fazla mesai kararını etkiler | Doğru kullanım: Haftalık normal saat | Örnek: hücredeki örnek değere bakın | Risk: Yanlış giriş hatalı karar üretir</t>
      </text>
    </comment>
    <comment ref="F13" authorId="0" shapeId="0">
      <text>
        <t>Tanım: Yıllık Tavan | Neden önemli: Puantaj ve fazla mesai kararını etkiler | Doğru kullanım: Yıllık FM tavanı (saat) | Örnek: hücredeki örnek değere bakın | Risk: Yanlış giriş hatalı karar üretir</t>
      </text>
    </comment>
    <comment ref="G13" authorId="0" shapeId="0">
      <text>
        <t>Tanım: Aktif | Neden önemli: Puantaj ve fazla mesai kararını etkiler | Doğru kullanım: EVET veya HAYIR | Örnek: hücredeki örnek değere bakın | Risk: Yanlış giriş hatalı karar üretir</t>
      </text>
    </comment>
    <comment ref="A1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3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3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3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3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3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3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3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4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4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4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4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4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4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4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5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5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5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5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5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5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5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6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6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6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6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6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6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6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7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7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7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7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7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7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7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8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8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8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8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8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8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8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9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9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9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9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9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9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9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0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0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0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0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0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0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0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1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1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1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1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1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1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1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2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2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2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2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2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2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2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3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3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3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3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3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3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3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4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4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4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4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4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4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4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5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5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5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5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5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5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5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6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6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6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6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6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6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6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7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7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7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7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7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7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7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8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8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8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8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8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8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8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19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19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19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19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19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19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19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0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0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0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0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0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0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0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1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1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1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1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1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1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1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2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2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2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2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2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2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2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3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3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3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3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3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3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3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6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6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6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6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6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6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6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7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7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7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7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7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7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7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8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8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8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8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8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8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8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49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49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49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49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49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49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49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50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50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50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50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50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50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50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51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51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51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51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51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51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51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52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52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52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52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52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52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52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53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53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53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53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53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53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53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54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54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54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54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54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54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54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  <comment ref="A255" authorId="0" shapeId="0">
      <text>
        <t>Tanım: PersonelId | Neden önemli: Puantaj ve fazla mesai kararını etkiler | Doğru kullanım: Manuel giriş | Örnek: hücredeki örnek değere bakın | Risk: Yanlış giriş hatalı karar üretir</t>
      </text>
    </comment>
    <comment ref="B255" authorId="0" shapeId="0">
      <text>
        <t>Tanım: AdSoyad | Neden önemli: Puantaj ve fazla mesai kararını etkiler | Doğru kullanım: Manuel giriş | Örnek: hücredeki örnek değere bakın | Risk: Yanlış giriş hatalı karar üretir</t>
      </text>
    </comment>
    <comment ref="C255" authorId="0" shapeId="0">
      <text>
        <t>Tanım: Departman | Neden önemli: Puantaj ve fazla mesai kararını etkiler | Doğru kullanım: Manuel giriş | Örnek: hücredeki örnek değere bakın | Risk: Yanlış giriş hatalı karar üretir</t>
      </text>
    </comment>
    <comment ref="D255" authorId="0" shapeId="0">
      <text>
        <t>Tanım: Unvan | Neden önemli: Puantaj ve fazla mesai kararını etkiler | Doğru kullanım: Manuel giriş | Örnek: hücredeki örnek değere bakın | Risk: Yanlış giriş hatalı karar üretir</t>
      </text>
    </comment>
    <comment ref="E255" authorId="0" shapeId="0">
      <text>
        <t>Tanım: HaftalikNormalSaat | Neden önemli: Puantaj ve fazla mesai kararını etkiler | Doğru kullanım: Manuel giriş | Örnek: hücredeki örnek değere bakın | Risk: Yanlış giriş hatalı karar üretir</t>
      </text>
    </comment>
    <comment ref="F255" authorId="0" shapeId="0">
      <text>
        <t>Tanım: YillikMesaiTavan | Neden önemli: Puantaj ve fazla mesai kararını etkiler | Doğru kullanım: Manuel giriş | Örnek: hücredeki örnek değere bakın | Risk: Yanlış giriş hatalı karar üretir</t>
      </text>
    </comment>
    <comment ref="G255" authorId="0" shapeId="0">
      <text>
        <t>Tanım: Aktif | Neden önemli: Puantaj ve fazla mesai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6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6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6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6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6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6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6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6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6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6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6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6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6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7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7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7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7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7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7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7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7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7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7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7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7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7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7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8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8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8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8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8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8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8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8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8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8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8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8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8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8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9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9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9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9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9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9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9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9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9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9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9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9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9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9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0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0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0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0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0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0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0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0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0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0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0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0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0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0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1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1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1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1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1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1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1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1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1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1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1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1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1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1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2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2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2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2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2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2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2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2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2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2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2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2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2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2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3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3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3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3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3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3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3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3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3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3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3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3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3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3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4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4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4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4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4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4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4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4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4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4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4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4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4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4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5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5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5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5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5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5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5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5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5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5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5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5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5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5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6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6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6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6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6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6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6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6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6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6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6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6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6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6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7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7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7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7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7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7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7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7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7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7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7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7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7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7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8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8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8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8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8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8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8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8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8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8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8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8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8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8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19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19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19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19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19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19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19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19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19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19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19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19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19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19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0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0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0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0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0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0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0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0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0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0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0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0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0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0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1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1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1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1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1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1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1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1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1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1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1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1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1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1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2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2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2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2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2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2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2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2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2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2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2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2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2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2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3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3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3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3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3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3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3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3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3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3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3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3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3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3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4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4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4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4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4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4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4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4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4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4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4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4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4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4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5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5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5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5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5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5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5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5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5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5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5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5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5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5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6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6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6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6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6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6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6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6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6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6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6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6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6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6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7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7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7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7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7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7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7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7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7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7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7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7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7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7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8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8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8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8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8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8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8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8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8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8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8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8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8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8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29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29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29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29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29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29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29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29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29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29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29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29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29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29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30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30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30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30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30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30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30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30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30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30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30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30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30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30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31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31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31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31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31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31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31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31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31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31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31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31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31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31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32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32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32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32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32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32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32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32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32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32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32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32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32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32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33" authorId="0" shapeId="0">
      <text>
        <t>Tanım: Puantaj Kimliği | Neden önemli: Puantaj ve fazla mesai kararını etkiler | Doğru kullanım: PUA-##### | Örnek: hücredeki örnek değere bakın | Risk: Yanlış giriş hatalı karar üretir</t>
      </text>
    </comment>
    <comment ref="B33" authorId="0" shapeId="0">
      <text>
        <t>Tanım: Kaynak Personel | Neden önemli: Puantaj ve fazla mesai kararını etkiler | Doğru kullanım: PERSONEL'deki PersonelId | Örnek: hücredeki örnek değere bakın | Risk: Yanlış giriş hatalı karar üretir</t>
      </text>
    </comment>
    <comment ref="C33" authorId="0" shapeId="0">
      <text>
        <t>Tanım: Tarih | Neden önemli: Puantaj ve fazla mesai kararını etkiler | Doğru kullanım: Puantaj tarihi | Örnek: hücredeki örnek değere bakın | Risk: Yanlış giriş hatalı karar üretir</t>
      </text>
    </comment>
    <comment ref="D33" authorId="0" shapeId="0">
      <text>
        <t>Tanım: Giriş Saat | Neden önemli: Puantaj ve fazla mesai kararını etkiler | Doğru kullanım: Giriş saati (ondalık, örn. 8) | Örnek: hücredeki örnek değere bakın | Risk: Yanlış giriş hatalı karar üretir</t>
      </text>
    </comment>
    <comment ref="E33" authorId="0" shapeId="0">
      <text>
        <t>Tanım: Çıkış Saat | Neden önemli: Puantaj ve fazla mesai kararını etkiler | Doğru kullanım: Çıkış saati (ondalık, örn. 17.5) | Örnek: hücredeki örnek değere bakın | Risk: Yanlış giriş hatalı karar üretir</t>
      </text>
    </comment>
    <comment ref="F33" authorId="0" shapeId="0">
      <text>
        <t>Tanım: Planlı Vardiya | Neden önemli: Puantaj ve fazla mesai kararını etkiler | Doğru kullanım: Planlı vardiya saati | Örnek: hücredeki örnek değere bakın | Risk: Yanlış giriş hatalı karar üretir</t>
      </text>
    </comment>
    <comment ref="G33" authorId="0" shapeId="0">
      <text>
        <t>Tanım: Fazla Mesai | Neden önemli: Puantaj ve fazla mesai kararını etkiler | Doğru kullanım: Bildirilen fazla mesai saati | Örnek: hücredeki örnek değere bakın | Risk: Yanlış giriş hatalı karar üretir</t>
      </text>
    </comment>
    <comment ref="H33" authorId="0" shapeId="0">
      <text>
        <t>Tanım: İzin Türü | Neden önemli: Puantaj ve fazla mesai kararını etkiler | Doğru kullanım: İzin listesinden | Örnek: hücredeki örnek değere bakın | Risk: Yanlış giriş hatalı karar üretir</t>
      </text>
    </comment>
    <comment ref="I33" authorId="0" shapeId="0">
      <text>
        <t>Tanım: Önceki Durum | Neden önemli: Puantaj ve fazla mesai kararını etkiler | Doğru kullanım: Önceki durum_id | Örnek: hücredeki örnek değere bakın | Risk: Yanlış giriş hatalı karar üretir</t>
      </text>
    </comment>
    <comment ref="J33" authorId="0" shapeId="0">
      <text>
        <t>Tanım: Durum | Neden önemli: Puantaj ve fazla mesai kararını etkiler | Doğru kullanım: Durum haritasından seçin | Örnek: hücredeki örnek değere bakın | Risk: Yanlış giriş hatalı karar üretir</t>
      </text>
    </comment>
    <comment ref="K33" authorId="0" shapeId="0">
      <text>
        <t>Tanım: İmza/Kanıt | Neden önemli: Puantaj ve fazla mesai kararını etkiler | Doğru kullanım: İmza veya kanıt notu | Örnek: hücredeki örnek değere bakın | Risk: Yanlış giriş hatalı karar üretir</t>
      </text>
    </comment>
    <comment ref="L33" authorId="0" shapeId="0">
      <text>
        <t>Tanım: Yorum A | Neden önemli: Puantaj ve fazla mesai kararını etkiler | Doğru kullanım: A veya B | Örnek: hücredeki örnek değere bakın | Risk: Yanlış giriş hatalı karar üretir</t>
      </text>
    </comment>
    <comment ref="M33" authorId="0" shapeId="0">
      <text>
        <t>Tanım: Yorum B | Neden önemli: Puantaj ve fazla mesai kararını etkiler | Doğru kullanım: Serbest not | Örnek: hücredeki örnek değere bakın | Risk: Yanlış giriş hatalı karar üretir</t>
      </text>
    </comment>
    <comment ref="N33" authorId="0" shapeId="0">
      <text>
        <t>Tanım: Saat Ücreti | Neden önemli: Puantaj ve fazla mesai kararını etkiler | Doğru kullanım: Brüt saat ücreti TL | Örnek: hücredeki örnek değere bakın | Risk: Yanlış giriş hatalı karar üretir</t>
      </text>
    </comment>
    <comment ref="A3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3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3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3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3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3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3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3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3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3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3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3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3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3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3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3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3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3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3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3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3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3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3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3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3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3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3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3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3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3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3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3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3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3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3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3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3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3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3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3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3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3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3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3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3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3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3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3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3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3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3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3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3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3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3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3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3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3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3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3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3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3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3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3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3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3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3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3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3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3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3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3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3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3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3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3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3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3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3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3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3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3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3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3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4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4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4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4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4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4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4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4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4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4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4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4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4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5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5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5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5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5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5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5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5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5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5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5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5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5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6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6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6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6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6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6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6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6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6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6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6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6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6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7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7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7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7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7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7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7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7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7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7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7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7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7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8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8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8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8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8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8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8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8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8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8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8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8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8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9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9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9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9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9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9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9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9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9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9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9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9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9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0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0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0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0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0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0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0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0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0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0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0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0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0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1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1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1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1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1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1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1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1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1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1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1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1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1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2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2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2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2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2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2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2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2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2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2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2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2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2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3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3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3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3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3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3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3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3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3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3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3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3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3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4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4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4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4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4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4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4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4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4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4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4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4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4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5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5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5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5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5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5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5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5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5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5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5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5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5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6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6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6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6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6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6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6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6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6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6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6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6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6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7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7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7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7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7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7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7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7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7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7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7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7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7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8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8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8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8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8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8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8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8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8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8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8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8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8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19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19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19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19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19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19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19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19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19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19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19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19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19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0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0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0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0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0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0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0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0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0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0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0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0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0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1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1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1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1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1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1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1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1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1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1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1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1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1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2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2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2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2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2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2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2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2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2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2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2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2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2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3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3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3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3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3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3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3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3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3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3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3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3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3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6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6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6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6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6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6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6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6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6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6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6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6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6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7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7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7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7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7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7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7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7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7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7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7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7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7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8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8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8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8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8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8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8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8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8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8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8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8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8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49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49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49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49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49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49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49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49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49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49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49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49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49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50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50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50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50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50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50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50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50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50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50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50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50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50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51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51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51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51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51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51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51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51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51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51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51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51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51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52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52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52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52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52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52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52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52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52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52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52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52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52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53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53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53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53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53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53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53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53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53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53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53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53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53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54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54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54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54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54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54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54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54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54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54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54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54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54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  <comment ref="A255" authorId="0" shapeId="0">
      <text>
        <t>Tanım: PuantajId | Neden önemli: Puantaj ve fazla mesai kararını etkiler | Doğru kullanım: Manuel giriş | Örnek: hücredeki örnek değere bakın | Risk: Yanlış giriş hatalı karar üretir</t>
      </text>
    </comment>
    <comment ref="B255" authorId="0" shapeId="0">
      <text>
        <t>Tanım: KaynakPersonelId | Neden önemli: Puantaj ve fazla mesai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Puantaj ve fazla mesai kararını etkiler | Doğru kullanım: Manuel giriş | Örnek: hücredeki örnek değere bakın | Risk: Yanlış giriş hatalı karar üretir</t>
      </text>
    </comment>
    <comment ref="D255" authorId="0" shapeId="0">
      <text>
        <t>Tanım: GirisSaat | Neden önemli: Puantaj ve fazla mesai kararını etkiler | Doğru kullanım: Manuel giriş | Örnek: hücredeki örnek değere bakın | Risk: Yanlış giriş hatalı karar üretir</t>
      </text>
    </comment>
    <comment ref="E255" authorId="0" shapeId="0">
      <text>
        <t>Tanım: CikisSaat | Neden önemli: Puantaj ve fazla mesai kararını etkiler | Doğru kullanım: Manuel giriş | Örnek: hücredeki örnek değere bakın | Risk: Yanlış giriş hatalı karar üretir</t>
      </text>
    </comment>
    <comment ref="F255" authorId="0" shapeId="0">
      <text>
        <t>Tanım: PlanliVardiyaSaat | Neden önemli: Puantaj ve fazla mesai kararını etkiler | Doğru kullanım: Manuel giriş | Örnek: hücredeki örnek değere bakın | Risk: Yanlış giriş hatalı karar üretir</t>
      </text>
    </comment>
    <comment ref="G255" authorId="0" shapeId="0">
      <text>
        <t>Tanım: FazlaMesaiSaat | Neden önemli: Puantaj ve fazla mesai kararını etkiler | Doğru kullanım: Manuel giriş | Örnek: hücredeki örnek değere bakın | Risk: Yanlış giriş hatalı karar üretir</t>
      </text>
    </comment>
    <comment ref="H255" authorId="0" shapeId="0">
      <text>
        <t>Tanım: IzinTuru | Neden önemli: Puantaj ve fazla mesai kararını etkiler | Doğru kullanım: Manuel giriş | Örnek: hücredeki örnek değere bakın | Risk: Yanlış giriş hatalı karar üretir</t>
      </text>
    </comment>
    <comment ref="I255" authorId="0" shapeId="0">
      <text>
        <t>Tanım: OncekiDurum | Neden önemli: Puantaj ve fazla mesai kararını etkiler | Doğru kullanım: Manuel giriş | Örnek: hücredeki örnek değere bakın | Risk: Yanlış giriş hatalı karar üretir</t>
      </text>
    </comment>
    <comment ref="J255" authorId="0" shapeId="0">
      <text>
        <t>Tanım: Durum | Neden önemli: Puantaj ve fazla mesai kararını etkiler | Doğru kullanım: Manuel giriş | Örnek: hücredeki örnek değere bakın | Risk: Yanlış giriş hatalı karar üretir</t>
      </text>
    </comment>
    <comment ref="K255" authorId="0" shapeId="0">
      <text>
        <t>Tanım: ImzaKanit | Neden önemli: Puantaj ve fazla mesai kararını etkiler | Doğru kullanım: Manuel giriş | Örnek: hücredeki örnek değere bakın | Risk: Yanlış giriş hatalı karar üretir</t>
      </text>
    </comment>
    <comment ref="L255" authorId="0" shapeId="0">
      <text>
        <t>Tanım: YorumA | Neden önemli: Puantaj ve fazla mesai kararını etkiler | Doğru kullanım: Manuel giriş | Örnek: hücredeki örnek değere bakın | Risk: Yanlış giriş hatalı karar üretir</t>
      </text>
    </comment>
    <comment ref="M255" authorId="0" shapeId="0">
      <text>
        <t>Tanım: YorumB | Neden önemli: Puantaj ve fazla mesai kararını etkiler | Doğru kullanım: Manuel giriş | Örnek: hücredeki örnek değere bakın | Risk: Yanlış giriş hatalı karar üretir</t>
      </text>
    </comment>
    <comment ref="N255" authorId="0" shapeId="0">
      <text>
        <t>Tanım: SaatUcreti | Neden önemli: Puantaj ve fazla mesai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D6" authorId="0" shapeId="0">
      <text>
        <t>Tanım: PVF-001 | Neden önemli: Puantaj ve fazla mesai kararını etkiler | Doğru kullanım: Yıl değeri | Örnek: hücredeki örnek değere bakın | Risk: Yanlış giriş hatalı karar üretir</t>
      </text>
    </comment>
    <comment ref="E6" authorId="0" shapeId="0">
      <text>
        <t>Tanım: PVF-001 | Neden önemli: Puantaj ve fazla mesai kararını etkiler | Doğru kullanım: Yıl değeri | Örnek: hücredeki örnek değere bakın | Risk: Yanlış giriş hatalı karar üretir</t>
      </text>
    </comment>
    <comment ref="F6" authorId="0" shapeId="0">
      <text>
        <t>Tanım: PVF-001 | Neden önemli: Puantaj ve fazla mesai kararını etkiler | Doğru kullanım: Yıl değeri | Örnek: hücredeki örnek değere bakın | Risk: Yanlış giriş hatalı karar üretir</t>
      </text>
    </comment>
    <comment ref="D7" authorId="0" shapeId="0">
      <text>
        <t>Tanım: PVF-002 | Neden önemli: Puantaj ve fazla mesai kararını etkiler | Doğru kullanım: Yıl değeri | Örnek: hücredeki örnek değere bakın | Risk: Yanlış giriş hatalı karar üretir</t>
      </text>
    </comment>
    <comment ref="E7" authorId="0" shapeId="0">
      <text>
        <t>Tanım: PVF-002 | Neden önemli: Puantaj ve fazla mesai kararını etkiler | Doğru kullanım: Yıl değeri | Örnek: hücredeki örnek değere bakın | Risk: Yanlış giriş hatalı karar üretir</t>
      </text>
    </comment>
    <comment ref="F7" authorId="0" shapeId="0">
      <text>
        <t>Tanım: PVF-002 | Neden önemli: Puantaj ve fazla mesai kararını etkiler | Doğru kullanım: Yıl değeri | Örnek: hücredeki örnek değere bakın | Risk: Yanlış giriş hatalı karar üretir</t>
      </text>
    </comment>
    <comment ref="D8" authorId="0" shapeId="0">
      <text>
        <t>Tanım: PVF-003 | Neden önemli: Puantaj ve fazla mesai kararını etkiler | Doğru kullanım: Yıl değeri | Örnek: hücredeki örnek değere bakın | Risk: Yanlış giriş hatalı karar üretir</t>
      </text>
    </comment>
    <comment ref="E8" authorId="0" shapeId="0">
      <text>
        <t>Tanım: PVF-003 | Neden önemli: Puantaj ve fazla mesai kararını etkiler | Doğru kullanım: Yıl değeri | Örnek: hücredeki örnek değere bakın | Risk: Yanlış giriş hatalı karar üretir</t>
      </text>
    </comment>
    <comment ref="F8" authorId="0" shapeId="0">
      <text>
        <t>Tanım: PVF-003 | Neden önemli: Puantaj ve fazla mesai kararını etkiler | Doğru kullanım: Yıl değeri | Örnek: hücredeki örnek değere bakın | Risk: Yanlış giriş hatalı karar üretir</t>
      </text>
    </comment>
    <comment ref="D9" authorId="0" shapeId="0">
      <text>
        <t>Tanım: PVF-004 | Neden önemli: Puantaj ve fazla mesai kararını etkiler | Doğru kullanım: Yıl değeri | Örnek: hücredeki örnek değere bakın | Risk: Yanlış giriş hatalı karar üretir</t>
      </text>
    </comment>
    <comment ref="E9" authorId="0" shapeId="0">
      <text>
        <t>Tanım: PVF-004 | Neden önemli: Puantaj ve fazla mesai kararını etkiler | Doğru kullanım: Yıl değeri | Örnek: hücredeki örnek değere bakın | Risk: Yanlış giriş hatalı karar üretir</t>
      </text>
    </comment>
    <comment ref="F9" authorId="0" shapeId="0">
      <text>
        <t>Tanım: PVF-004 | Neden önemli: Puantaj ve fazla mesai kararını etkiler | Doğru kullanım: Yıl değeri | Örnek: hücredeki örnek değere bakın | Risk: Yanlış giriş hatalı karar üretir</t>
      </text>
    </comment>
    <comment ref="D10" authorId="0" shapeId="0">
      <text>
        <t>Tanım: PVF-005 | Neden önemli: Puantaj ve fazla mesai kararını etkiler | Doğru kullanım: Yıl değeri | Örnek: hücredeki örnek değere bakın | Risk: Yanlış giriş hatalı karar üretir</t>
      </text>
    </comment>
    <comment ref="E10" authorId="0" shapeId="0">
      <text>
        <t>Tanım: PVF-005 | Neden önemli: Puantaj ve fazla mesai kararını etkiler | Doğru kullanım: Yıl değeri | Örnek: hücredeki örnek değere bakın | Risk: Yanlış giriş hatalı karar üretir</t>
      </text>
    </comment>
    <comment ref="F10" authorId="0" shapeId="0">
      <text>
        <t>Tanım: PVF-005 | Neden önemli: Puantaj ve fazla mesai kararını etkiler | Doğru kullanım: Yıl değeri | Örnek: hücredeki örnek değere bakın | Risk: Yanlış giriş hatalı karar üretir</t>
      </text>
    </comment>
    <comment ref="B12" authorId="0" shapeId="0">
      <text>
        <t>Tanım: Aktif yıl | Neden önemli: Puantaj ve fazla mesai kararını etkiler | Doğru kullanım: 2025/2026/2027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Vaka | Neden önemli: Puantaj ve fazla mesai kararını etkiler | Doğru kullanım: Vaka kimliği | Örnek: hücredeki örnek değere bakın | Risk: Yanlış giriş hatalı karar üretir</t>
      </text>
    </comment>
    <comment ref="B6" authorId="0" shapeId="0">
      <text>
        <t>Tanım: Açıklama | Neden önemli: Puantaj ve fazla mesai kararını etkiler | Doğru kullanım: Vaka açıklaması | Örnek: hücredeki örnek değere bakın | Risk: Yanlış giriş hatalı karar üretir</t>
      </text>
    </comment>
    <comment ref="C6" authorId="0" shapeId="0">
      <text>
        <t>Tanım: FM | Neden önemli: Puantaj ve fazla mesai kararını etkiler | Doğru kullanım: FM saat | Örnek: hücredeki örnek değere bakın | Risk: Yanlış giriş hatalı karar üretir</t>
      </text>
    </comment>
    <comment ref="D6" authorId="0" shapeId="0">
      <text>
        <t>Tanım: Tavan | Neden önemli: Puantaj ve fazla mesai kararını etkiler | Doğru kullanım: Tavan saat | Örnek: hücredeki örnek değere bakın | Risk: Yanlış giriş hatalı karar üretir</t>
      </text>
    </comment>
    <comment ref="E6" authorId="0" shapeId="0">
      <text>
        <t>Tanım: Beklenen | Neden önemli: Puantaj ve fazla mesai kararını etkiler | Doğru kullanım: Beklenen karar | Örnek: hücredeki örnek değere bakın | Risk: Yanlış giriş hatalı karar üretir</t>
      </text>
    </comment>
    <comment ref="A7" authorId="0" shapeId="0">
      <text>
        <t>Tanım: Vaka | Neden önemli: Puantaj ve fazla mesai kararını etkiler | Doğru kullanım: Vaka kimliği | Örnek: hücredeki örnek değere bakın | Risk: Yanlış giriş hatalı karar üretir</t>
      </text>
    </comment>
    <comment ref="B7" authorId="0" shapeId="0">
      <text>
        <t>Tanım: Açıklama | Neden önemli: Puantaj ve fazla mesai kararını etkiler | Doğru kullanım: Vaka açıklaması | Örnek: hücredeki örnek değere bakın | Risk: Yanlış giriş hatalı karar üretir</t>
      </text>
    </comment>
    <comment ref="C7" authorId="0" shapeId="0">
      <text>
        <t>Tanım: FM | Neden önemli: Puantaj ve fazla mesai kararını etkiler | Doğru kullanım: FM saat | Örnek: hücredeki örnek değere bakın | Risk: Yanlış giriş hatalı karar üretir</t>
      </text>
    </comment>
    <comment ref="D7" authorId="0" shapeId="0">
      <text>
        <t>Tanım: Tavan | Neden önemli: Puantaj ve fazla mesai kararını etkiler | Doğru kullanım: Tavan saat | Örnek: hücredeki örnek değere bakın | Risk: Yanlış giriş hatalı karar üretir</t>
      </text>
    </comment>
    <comment ref="E7" authorId="0" shapeId="0">
      <text>
        <t>Tanım: Beklenen | Neden önemli: Puantaj ve fazla mesai kararını etkiler | Doğru kullanım: Beklenen karar | Örnek: hücredeki örnek değere bakın | Risk: Yanlış giriş hatalı karar üretir</t>
      </text>
    </comment>
    <comment ref="A8" authorId="0" shapeId="0">
      <text>
        <t>Tanım: Vaka | Neden önemli: Puantaj ve fazla mesai kararını etkiler | Doğru kullanım: Vaka kimliği | Örnek: hücredeki örnek değere bakın | Risk: Yanlış giriş hatalı karar üretir</t>
      </text>
    </comment>
    <comment ref="B8" authorId="0" shapeId="0">
      <text>
        <t>Tanım: Açıklama | Neden önemli: Puantaj ve fazla mesai kararını etkiler | Doğru kullanım: Vaka açıklaması | Örnek: hücredeki örnek değere bakın | Risk: Yanlış giriş hatalı karar üretir</t>
      </text>
    </comment>
    <comment ref="C8" authorId="0" shapeId="0">
      <text>
        <t>Tanım: FM | Neden önemli: Puantaj ve fazla mesai kararını etkiler | Doğru kullanım: FM saat | Örnek: hücredeki örnek değere bakın | Risk: Yanlış giriş hatalı karar üretir</t>
      </text>
    </comment>
    <comment ref="D8" authorId="0" shapeId="0">
      <text>
        <t>Tanım: Tavan | Neden önemli: Puantaj ve fazla mesai kararını etkiler | Doğru kullanım: Tavan saat | Örnek: hücredeki örnek değere bakın | Risk: Yanlış giriş hatalı karar üretir</t>
      </text>
    </comment>
    <comment ref="E8" authorId="0" shapeId="0">
      <text>
        <t>Tanım: Beklenen | Neden önemli: Puantaj ve fazla mesai kararını etkiler | Doğru kullanım: Beklenen karar | Örnek: hücredeki örnek değere bakın | Risk: Yanlış giriş hatalı karar üretir</t>
      </text>
    </comment>
    <comment ref="A9" authorId="0" shapeId="0">
      <text>
        <t>Tanım: Vaka | Neden önemli: Puantaj ve fazla mesai kararını etkiler | Doğru kullanım: Vaka kimliği | Örnek: hücredeki örnek değere bakın | Risk: Yanlış giriş hatalı karar üretir</t>
      </text>
    </comment>
    <comment ref="B9" authorId="0" shapeId="0">
      <text>
        <t>Tanım: Açıklama | Neden önemli: Puantaj ve fazla mesai kararını etkiler | Doğru kullanım: Vaka açıklaması | Örnek: hücredeki örnek değere bakın | Risk: Yanlış giriş hatalı karar üretir</t>
      </text>
    </comment>
    <comment ref="C9" authorId="0" shapeId="0">
      <text>
        <t>Tanım: FM | Neden önemli: Puantaj ve fazla mesai kararını etkiler | Doğru kullanım: FM saat | Örnek: hücredeki örnek değere bakın | Risk: Yanlış giriş hatalı karar üretir</t>
      </text>
    </comment>
    <comment ref="D9" authorId="0" shapeId="0">
      <text>
        <t>Tanım: Tavan | Neden önemli: Puantaj ve fazla mesai kararını etkiler | Doğru kullanım: Tavan saat | Örnek: hücredeki örnek değere bakın | Risk: Yanlış giriş hatalı karar üretir</t>
      </text>
    </comment>
    <comment ref="E9" authorId="0" shapeId="0">
      <text>
        <t>Tanım: Beklenen | Neden önemli: Puantaj ve fazla mesai kararını etkiler | Doğru kullanım: Beklenen karar | Örnek: hücredeki örnek değere bakın | Risk: Yanlış giriş hatalı karar üretir</t>
      </text>
    </comment>
    <comment ref="A10" authorId="0" shapeId="0">
      <text>
        <t>Tanım: Vaka | Neden önemli: Puantaj ve fazla mesai kararını etkiler | Doğru kullanım: Vaka kimliği | Örnek: hücredeki örnek değere bakın | Risk: Yanlış giriş hatalı karar üretir</t>
      </text>
    </comment>
    <comment ref="B10" authorId="0" shapeId="0">
      <text>
        <t>Tanım: Açıklama | Neden önemli: Puantaj ve fazla mesai kararını etkiler | Doğru kullanım: Vaka açıklaması | Örnek: hücredeki örnek değere bakın | Risk: Yanlış giriş hatalı karar üretir</t>
      </text>
    </comment>
    <comment ref="C10" authorId="0" shapeId="0">
      <text>
        <t>Tanım: FM | Neden önemli: Puantaj ve fazla mesai kararını etkiler | Doğru kullanım: FM saat | Örnek: hücredeki örnek değere bakın | Risk: Yanlış giriş hatalı karar üretir</t>
      </text>
    </comment>
    <comment ref="D10" authorId="0" shapeId="0">
      <text>
        <t>Tanım: Tavan | Neden önemli: Puantaj ve fazla mesai kararını etkiler | Doğru kullanım: Tavan saat | Örnek: hücredeki örnek değere bakın | Risk: Yanlış giriş hatalı karar üretir</t>
      </text>
    </comment>
    <comment ref="E10" authorId="0" shapeId="0">
      <text>
        <t>Tanım: Beklenen | Neden önemli: Puantaj ve fazla mesai kararını etkiler | Doğru kullanım: Beklenen karar | Örnek: hücredeki örnek değere bakın | Risk: Yanlış giriş hatalı karar üretir</t>
      </text>
    </comment>
    <comment ref="A11" authorId="0" shapeId="0">
      <text>
        <t>Tanım: Vaka | Neden önemli: Puantaj ve fazla mesai kararını etkiler | Doğru kullanım: Vaka kimliği | Örnek: hücredeki örnek değere bakın | Risk: Yanlış giriş hatalı karar üretir</t>
      </text>
    </comment>
    <comment ref="B11" authorId="0" shapeId="0">
      <text>
        <t>Tanım: Açıklama | Neden önemli: Puantaj ve fazla mesai kararını etkiler | Doğru kullanım: Vaka açıklaması | Örnek: hücredeki örnek değere bakın | Risk: Yanlış giriş hatalı karar üretir</t>
      </text>
    </comment>
    <comment ref="C11" authorId="0" shapeId="0">
      <text>
        <t>Tanım: FM | Neden önemli: Puantaj ve fazla mesai kararını etkiler | Doğru kullanım: FM saat | Örnek: hücredeki örnek değere bakın | Risk: Yanlış giriş hatalı karar üretir</t>
      </text>
    </comment>
    <comment ref="D11" authorId="0" shapeId="0">
      <text>
        <t>Tanım: Tavan | Neden önemli: Puantaj ve fazla mesai kararını etkiler | Doğru kullanım: Tavan saat | Örnek: hücredeki örnek değere bakın | Risk: Yanlış giriş hatalı karar üretir</t>
      </text>
    </comment>
    <comment ref="E11" authorId="0" shapeId="0">
      <text>
        <t>Tanım: Beklenen | Neden önemli: Puantaj ve fazla mesai kararını etkiler | Doğru kullanım: Beklenen karar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30" authorId="0" shapeId="0">
      <text>
        <t>Tanım: Hazırlayan | Neden önemli: Puantaj ve fazla mesai kararını etkiler | Doğru kullanım: İmza / unvan yazın | Örnek: hücredeki örnek değere bakın | Risk: Yanlış giriş hatalı karar üretir</t>
      </text>
    </comment>
    <comment ref="B31" authorId="0" shapeId="0">
      <text>
        <t>Tanım: Kontrol eden | Neden önemli: Puantaj ve fazla mesai kararını etkiler | Doğru kullanım: İmza / unvan yazın | Örnek: hücredeki örnek değere bakın | Risk: Yanlış giriş hatalı karar üretir</t>
      </text>
    </comment>
    <comment ref="B33" authorId="0" shapeId="0">
      <text>
        <t>Tanım: Kaşe / imza | Neden önemli: Puantaj ve fazla mesai kararını etkiler | Doğru kullanım: İmza / unvan yazın | Örnek: hücredeki örnek değere bakın | Risk: Yanlış giriş hatalı karar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Puantaj ve fazla mesai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Puantaj ve fazla mesai kararını etkiler | Doğru kullanım: eski|yeni | Örnek: hücredeki örnek değere bakın | Risk: Yanlış giriş hatalı karar üretir</t>
      </text>
    </comment>
    <comment ref="E7" authorId="0" shapeId="0">
      <text>
        <t>Tanım: Seçim | Neden önemli: Puantaj ve fazla mesai kararını etkiler | Doğru kullanım: EVET/HAYIR | Örnek: hücredeki örnek değere bakın | Risk: Yanlış giriş hatalı karar üretir</t>
      </text>
    </comment>
    <comment ref="G7" authorId="0" shapeId="0">
      <text>
        <t>Tanım: Yorum | Neden önemli: Puantaj ve fazla mesai kararını etkiler | Doğru kullanım: A veya B | Örnek: hücredeki örnek değere bakın | Risk: Yanlış giriş hatalı karar üretir</t>
      </text>
    </comment>
    <comment ref="I7" authorId="0" shapeId="0">
      <text>
        <t>Tanım: İzin | Neden önemli: Puantaj ve fazla mesai kararını etkiler | Doğru kullanım: İzin listesi | Örnek: hücredeki örnek değere bakın | Risk: Yanlış giriş hatalı karar üretir</t>
      </text>
    </comment>
    <comment ref="A8" authorId="0" shapeId="0">
      <text>
        <t>Tanım: Durum | Neden önemli: Puantaj ve fazla mesai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Puantaj ve fazla mesai kararını etkiler | Doğru kullanım: eski|yeni | Örnek: hücredeki örnek değere bakın | Risk: Yanlış giriş hatalı karar üretir</t>
      </text>
    </comment>
    <comment ref="E8" authorId="0" shapeId="0">
      <text>
        <t>Tanım: Seçim | Neden önemli: Puantaj ve fazla mesai kararını etkiler | Doğru kullanım: EVET/HAYIR | Örnek: hücredeki örnek değere bakın | Risk: Yanlış giriş hatalı karar üretir</t>
      </text>
    </comment>
    <comment ref="G8" authorId="0" shapeId="0">
      <text>
        <t>Tanım: Yorum | Neden önemli: Puantaj ve fazla mesai kararını etkiler | Doğru kullanım: A veya B | Örnek: hücredeki örnek değere bakın | Risk: Yanlış giriş hatalı karar üretir</t>
      </text>
    </comment>
    <comment ref="I8" authorId="0" shapeId="0">
      <text>
        <t>Tanım: İzin | Neden önemli: Puantaj ve fazla mesai kararını etkiler | Doğru kullanım: İzin listesi | Örnek: hücredeki örnek değere bakın | Risk: Yanlış giriş hatalı karar üretir</t>
      </text>
    </comment>
    <comment ref="A9" authorId="0" shapeId="0">
      <text>
        <t>Tanım: Durum | Neden önemli: Puantaj ve fazla mesai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Puantaj ve fazla mesai kararını etkiler | Doğru kullanım: eski|yeni | Örnek: hücredeki örnek değere bakın | Risk: Yanlış giriş hatalı karar üretir</t>
      </text>
    </comment>
    <comment ref="I9" authorId="0" shapeId="0">
      <text>
        <t>Tanım: İzin | Neden önemli: Puantaj ve fazla mesai kararını etkiler | Doğru kullanım: İzin listesi | Örnek: hücredeki örnek değere bakın | Risk: Yanlış giriş hatalı karar üretir</t>
      </text>
    </comment>
    <comment ref="A10" authorId="0" shapeId="0">
      <text>
        <t>Tanım: Durum | Neden önemli: Puantaj ve fazla mesai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Puantaj ve fazla mesai kararını etkiler | Doğru kullanım: eski|yeni | Örnek: hücredeki örnek değere bakın | Risk: Yanlış giriş hatalı karar üretir</t>
      </text>
    </comment>
    <comment ref="I10" authorId="0" shapeId="0">
      <text>
        <t>Tanım: İzin | Neden önemli: Puantaj ve fazla mesai kararını etkiler | Doğru kullanım: İzin listesi | Örnek: hücredeki örnek değere bakın | Risk: Yanlış giriş hatalı karar üretir</t>
      </text>
    </comment>
    <comment ref="A11" authorId="0" shapeId="0">
      <text>
        <t>Tanım: Durum | Neden önemli: Puantaj ve fazla mesai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Puantaj ve fazla mesai kararını etkiler | Doğru kullanım: eski|yeni | Örnek: hücredeki örnek değere bakın | Risk: Yanlış giriş hatalı karar üretir</t>
      </text>
    </comment>
    <comment ref="I11" authorId="0" shapeId="0">
      <text>
        <t>Tanım: İzin | Neden önemli: Puantaj ve fazla mesai kararını etkiler | Doğru kullanım: İzin listesi | Örnek: hücredeki örnek değere bakın | Risk: Yanlış giriş hatalı karar üretir</t>
      </text>
    </comment>
    <comment ref="C12" authorId="0" shapeId="0">
      <text>
        <t>Tanım: Geçiş | Neden önemli: Puantaj ve fazla mesai kararını etkiler | Doğru kullanım: eski|yeni | Örnek: hücredeki örnek değere bakın | Risk: Yanlış giriş hatalı karar üretir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Puantaj ve fazla mesai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Puantaj ve fazla mesai kararını etkiler | Doğru kullanım: ZİNCİR KIRIK eşiği (saat) | Örnek: hücredeki örnek değere bakın | Risk: Yanlış giriş hatalı karar üretir</t>
      </text>
    </comment>
    <comment ref="B8" authorId="0" shapeId="0">
      <text>
        <t>Tanım: pvf_esikGunlukFm | Neden önemli: Puantaj ve fazla mesai kararını etkiler | Doğru kullanım: Günlük FM eşiği | Örnek: hücredeki örnek değere bakın | Risk: Yanlış giriş hatalı karar üretir</t>
      </text>
    </comment>
    <comment ref="B9" authorId="0" shapeId="0">
      <text>
        <t>Tanım: pvf_yillikTavan | Neden önemli: Puantaj ve fazla mesai kararını etkiler | Doğru kullanım: Yıllık FM tavan | Örnek: hücredeki örnek değere bakın | Risk: Yanlış giriş hatalı karar üretir</t>
      </text>
    </comment>
    <comment ref="B10" authorId="0" shapeId="0">
      <text>
        <t>Tanım: pvf_sinirOran | Neden önemli: Puantaj ve fazla mesai kararını etkiler | Doğru kullanım: SINIR bandı oranı | Örnek: hücredeki örnek değere bakın | Risk: Yanlış giriş hatalı karar üretir</t>
      </text>
    </comment>
    <comment ref="B11" authorId="0" shapeId="0">
      <text>
        <t>Tanım: pvf_kovaEsik1 | Neden önemli: Puantaj ve fazla mesai kararını etkiler | Doğru kullanım: Kova 1 üst sınır | Örnek: hücredeki örnek değere bakın | Risk: Yanlış giriş hatalı karar üretir</t>
      </text>
    </comment>
    <comment ref="B12" authorId="0" shapeId="0">
      <text>
        <t>Tanım: pvf_kovaEsik2 | Neden önemli: Puantaj ve fazla mesai kararını etkiler | Doğru kullanım: Kova 2 üst sınır | Örnek: hücredeki örnek değere bakın | Risk: Yanlış giriş hatalı karar üretir</t>
      </text>
    </comment>
    <comment ref="B13" authorId="0" shapeId="0">
      <text>
        <t>Tanım: pvf_kovaEsik3 | Neden önemli: Puantaj ve fazla mesai kararını etkiler | Doğru kullanım: Kova 3 üst sınır | Örnek: hücredeki örnek değere bakın | Risk: Yanlış giriş hatalı karar üretir</t>
      </text>
    </comment>
    <comment ref="B14" authorId="0" shapeId="0">
      <text>
        <t>Tanım: pvf_mesaiKatsayi | Neden önemli: Puantaj ve fazla mesai kararını etkiler | Doğru kullanım: FM ücret katsayısı | Örnek: hücredeki örnek değere bakın | Risk: Yanlış giriş hatalı karar üretir</t>
      </text>
    </comment>
    <comment ref="B15" authorId="0" shapeId="0">
      <text>
        <t>Tanım: pvf_haftalikCarpan | Neden önemli: Puantaj ve fazla mesai kararını etkiler | Doğru kullanım: Haftalık FM çarpan | Örnek: hücredeki örnek değere bakın | Risk: Yanlış giriş hatalı karar üretir</t>
      </text>
    </comment>
    <comment ref="B16" authorId="0" shapeId="0">
      <text>
        <t>Tanım: pvf_senaryoTemkinli | Neden önemli: Puantaj ve fazla mesai kararını etkiler | Doğru kullanım: Temkinli çarpan | Örnek: hücredeki örnek değere bakın | Risk: Yanlış giriş hatalı karar üretir</t>
      </text>
    </comment>
    <comment ref="B17" authorId="0" shapeId="0">
      <text>
        <t>Tanım: pvf_senaryoBaz | Neden önemli: Puantaj ve fazla mesai kararını etkiler | Doğru kullanım: Baz çarpan | Örnek: hücredeki örnek değere bakın | Risk: Yanlış giriş hatalı karar üretir</t>
      </text>
    </comment>
    <comment ref="B18" authorId="0" shapeId="0">
      <text>
        <t>Tanım: pvf_senaryoIyimser | Neden önemli: Puantaj ve fazla mesai kararını etkiler | Doğru kullanım: İyimser çarpan | Örnek: hücredeki örnek değere bakın | Risk: Yanlış giriş hatalı karar üretir</t>
      </text>
    </comment>
    <comment ref="B19" authorId="0" shapeId="0">
      <text>
        <t>Tanım: pvf_tornadoOran | Neden önemli: Puantaj ve fazla mesai kararını etkiler | Doğru kullanım: Tornado etki oranı | Örnek: hücredeki örnek değere bakın | Risk: Yanlış giriş hatalı karar üretir</t>
      </text>
    </comment>
    <comment ref="B20" authorId="0" shapeId="0">
      <text>
        <t>Tanım: pvf_yuzdelikOran | Neden önemli: Puantaj ve fazla mesai kararını etkiler | Doğru kullanım: PERCENTILE oranı | Örnek: hücredeki örnek değere bakın | Risk: Yanlış giriş hatalı karar üretir</t>
      </text>
    </comment>
    <comment ref="B21" authorId="0" shapeId="0">
      <text>
        <t>Tanım: pvf_olcekHedef | Neden önemli: Puantaj ve fazla mesai kararını etkiler | Doğru kullanım: Ölçek sözleşmesi | Örnek: hücredeki örnek değere bakın | Risk: Yanlış giriş hatalı karar üretir</t>
      </text>
    </comment>
    <comment ref="B22" authorId="0" shapeId="0">
      <text>
        <t>Tanım: pvf_azamiFm | Neden önemli: Puantaj ve fazla mesai kararını etkiler | Doğru kullanım: Azami günlük FM | Örnek: hücredeki örnek değere bakın | Risk: Yanlış giriş hatalı karar üretir</t>
      </text>
    </comment>
    <comment ref="B23" authorId="0" shapeId="0">
      <text>
        <t>Tanım: pvf_kaliteTaban | Neden önemli: Puantaj ve fazla mesai kararını etkiler | Doğru kullanım: Kalite taban puanı | Örnek: hücredeki örnek değere bakın | Risk: Yanlış giriş hatalı karar üretir</t>
      </text>
    </comment>
    <comment ref="B24" authorId="0" shapeId="0">
      <text>
        <t>Tanım: pvf_kaliteCeza | Neden önemli: Puantaj ve fazla mesai kararını etkiler | Doğru kullanım: Yetim/geçiş/zincir cezası | Örnek: hücredeki örnek değere bakın | Risk: Yanlış giriş hatalı karar üretir</t>
      </text>
    </comment>
    <comment ref="B25" authorId="0" shapeId="0">
      <text>
        <t>Tanım: pvf_kaliteSapma | Neden önemli: Puantaj ve fazla mesai kararını etkiler | Doğru kullanım: Sapma cezası | Örnek: hücredeki örnek değere bakın | Risk: Yanlış giriş hatalı karar üretir</t>
      </text>
    </comment>
    <comment ref="B26" authorId="0" shapeId="0">
      <text>
        <t>Tanım: pvf_durumHaritasi | Neden önemli: Puantaj ve fazla mesai kararını etkiler | Doğru kullanım: Durum makinesi kaynağı | Örnek: hücredeki örnek değere bakın | Risk: Yanlış giriş hatalı karar üretir</t>
      </text>
    </comment>
    <comment ref="B27" authorId="0" shapeId="0">
      <text>
        <t>Tanım: pvf_kuyrukOzeti_metin | Neden önemli: Puantaj ve fazla mesai kararını etkiler | Doğru kullanım: Kuyruk görünümü | Örnek: hücredeki örnek değere bakın | Risk: Yanlış giriş hatalı karar üretir</t>
      </text>
    </comment>
    <comment ref="B28" authorId="0" shapeId="0">
      <text>
        <t>Tanım: pvf_kapaliDusum_metin | Neden önemli: Puantaj ve fazla mesai kararını etkiler | Doğru kullanım: Kapalı düşüm kuralı | Örnek: hücredeki örnek değere bakın | Risk: Yanlış giriş hatalı karar üretir</t>
      </text>
    </comment>
    <comment ref="B29" authorId="0" shapeId="0">
      <text>
        <t>Tanım: pvf_kanitRaporu_metin | Neden önemli: Puantaj ve fazla mesai kararını etkiler | Doğru kullanım: Kanıt raporu | Örnek: hücredeki örnek değere bakın | Risk: Yanlış giriş hatalı karar üretir</t>
      </text>
    </comment>
    <comment ref="B30" authorId="0" shapeId="0">
      <text>
        <t>Tanım: pvf_dosyaSurumu | Neden önemli: Puantaj ve fazla mesai kararını etkiler | Doğru kullanım: Ürün sürümü | Örnek: hücredeki örnek değere bakın | Risk: Yanlış giriş hatalı karar üretir</t>
      </text>
    </comment>
    <comment ref="B31" authorId="0" shapeId="0">
      <text>
        <t>Tanım: pvf_firmaUnvan | Neden önemli: Puantaj ve fazla mesai kararını etkiler | Doğru kullanım: Firma | Örnek: hücredeki örnek değere bakın | Risk: Yanlış giriş hatalı karar üretir</t>
      </text>
    </comment>
    <comment ref="B32" authorId="0" shapeId="0">
      <text>
        <t>Tanım: pvf_aktifYil | Neden önemli: Puantaj ve fazla mesai kararını etkiler | Doğru kullanım: Aktif hesap yılı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Personel" displayName="tblPersonel" ref="A5:I255" headerRowCount="1">
  <tableColumns count="9">
    <tableColumn id="1" name="PersonelId"/>
    <tableColumn id="2" name="AdSoyad"/>
    <tableColumn id="3" name="Departman"/>
    <tableColumn id="4" name="Unvan"/>
    <tableColumn id="5" name="HaftalikNormalSaat"/>
    <tableColumn id="6" name="YillikMesaiTavan"/>
    <tableColumn id="7" name="Aktif"/>
    <tableColumn id="8" name="ToplamFm">
      <calculatedColumnFormula>IF(tblPersonel[[#This Row],[PersonelId]]="","",SUMIF(tblAkis[KaynakPersonelId],tblPersonel[[#This Row],[PersonelId]],tblAkis[FazlaMesaiSaat]))</calculatedColumnFormula>
    </tableColumn>
    <tableColumn id="9" name="OrtGunlukFm">
      <calculatedColumnFormula>IF(tblPersonel[[#This Row],[PersonelId]]="","",IFERROR(AVERAGEIF(tblAkis[KaynakPersonelId],tblPersonel[[#This Row],[PersonelId]],tblAkis[FazlaMesaiSaat]),0))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W255" headerRowCount="1">
  <tableColumns count="23">
    <tableColumn id="1" name="PuantajId"/>
    <tableColumn id="2" name="KaynakPersonelId"/>
    <tableColumn id="3" name="Tarih"/>
    <tableColumn id="4" name="GirisSaat"/>
    <tableColumn id="5" name="CikisSaat"/>
    <tableColumn id="6" name="PlanliVardiyaSaat"/>
    <tableColumn id="7" name="FazlaMesaiSaat"/>
    <tableColumn id="8" name="IzinTuru"/>
    <tableColumn id="9" name="OncekiDurum"/>
    <tableColumn id="10" name="Durum"/>
    <tableColumn id="11" name="ImzaKanit"/>
    <tableColumn id="12" name="YorumA"/>
    <tableColumn id="13" name="YorumB"/>
    <tableColumn id="14" name="SaatUcreti"/>
    <tableColumn id="15" name="FiiliSaat">
      <calculatedColumnFormula>IF(tblAkis[[#This Row],[PuantajId]]="","",MAX(0,tblAkis[[#This Row],[CikisSaat]]-tblAkis[[#This Row],[GirisSaat]]))</calculatedColumnFormula>
    </tableColumn>
    <tableColumn id="16" name="HesaplananFm">
      <calculatedColumnFormula>IF(tblAkis[[#This Row],[PuantajId]]="","",MAX(0,tblAkis[[#This Row],[FiiliSaat]]-tblAkis[[#This Row],[PlanliVardiyaSaat]]))</calculatedColumnFormula>
    </tableColumn>
    <tableColumn id="17" name="GecikmeGun">
      <calculatedColumnFormula>IF(tblAkis[[#This Row],[PuantajId]]="","",IF(OR(tblAkis[[#This Row],[Durum]]="ARSIV",tblAkis[[#This Row],[Durum]]="RED"),0,IF(tblAkis[[#This Row],[Tarih]]="","",raporTarihi-tblAkis[[#This Row],[Tarih]])))</calculatedColumnFormula>
    </tableColumn>
    <tableColumn id="18" name="YasKova">
      <calculatedColumnFormula>IF(tblAkis[[#This Row],[PuantajId]]="","",IF(tblAkis[[#This Row],[GecikmeGun]]="","",IF(tblAkis[[#This Row],[GecikmeGun]]&lt;=pvf_kovaEsik1,"0-7",IF(tblAkis[[#This Row],[GecikmeGun]]&lt;=pvf_kovaEsik2,"8-30",IF(tblAkis[[#This Row],[GecikmeGun]]&lt;=pvf_kovaEsik3,"31-60","60+")))))</calculatedColumnFormula>
    </tableColumn>
    <tableColumn id="19" name="YetimBayrak">
      <calculatedColumnFormula>IF(tblAkis[[#This Row],[PuantajId]]="","",IF(tblAkis[[#This Row],[KaynakPersonelId]]="","YETİM",IF(COUNTIF(tblPersonel[PersonelId],tblAkis[[#This Row],[KaynakPersonelId]])=0,"YETİM","")))</calculatedColumnFormula>
    </tableColumn>
    <tableColumn id="20" name="GecisUyarisi">
      <calculatedColumnFormula>IF(OR(tblAkis[[#This Row],[PuantajId]]="",tblAkis[[#This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21" name="ZincirBayrak">
      <calculatedColumnFormula>IF(tblAkis[[#This Row],[PuantajId]]="","",IF(OR(tblAkis[[#This Row],[HesaplananFm]]="",tblAkis[[#This Row],[FazlaMesaiSaat]]=""),"",IF(ABS(tblAkis[[#This Row],[FazlaMesaiSaat]]-tblAkis[[#This Row],[HesaplananFm]])&gt;zincirTolerans,"ZİNCİR KIRIK","OK")))</calculatedColumnFormula>
    </tableColumn>
    <tableColumn id="22" name="KayitDolu">
      <calculatedColumnFormula>IF(tblAkis[[#This Row],[PuantajId]]="","",1)</calculatedColumnFormula>
    </tableColumn>
    <tableColumn id="23" name="FmMaliyet">
      <calculatedColumnFormula>IF(tblAkis[[#This Row],[PuantajId]]="","",tblAkis[[#This Row],[FazlaMesaiSaat]]*tblAkis[[#This Row],[SaatUcreti]]*pvf_mesaiKatsayi)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5:H10" headerRowCount="1">
  <tableColumns count="8">
    <tableColumn id="1" name="kural_id"/>
    <tableColumn id="2" name="madde"/>
    <tableColumn id="3" name="aciklama"/>
    <tableColumn id="4" name="y2025"/>
    <tableColumn id="5" name="y2026"/>
    <tableColumn id="6" name="y2027"/>
    <tableColumn id="7" name="birim"/>
    <tableColumn id="8" name="AktifDeger">
      <calculatedColumnFormula>IF(pvf_aktifYil=2025,tblKurallar[[#This Row],[y2025]],IF(pvf_aktifYil=2027,tblKurallar[[#This Row],[y2027]],tblKurallar[[#This Row],[y2026]]))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kalar" displayName="tblVakalar" ref="A5:F11" headerRowCount="1">
  <tableColumns count="6">
    <tableColumn id="1" name="vaka_id"/>
    <tableColumn id="2" name="aciklama"/>
    <tableColumn id="3" name="fm_saat"/>
    <tableColumn id="4" name="tavan"/>
    <tableColumn id="5" name="beklenen_karar"/>
    <tableColumn id="6" name="fark">
      <calculatedColumnFormula>IF(tblVakalar[[#This Row],[vaka_id]]="","",IF(tblVakalar[[#This Row],[fm_saat]]&gt;tblVakalar[[#This Row],[tavan]],"AŞIM",IF(tblVakalar[[#This Row],[fm_saat]]&gt;pvf_esikGunlukFm,"SINIR",IF(AND(tblVakalar[[#This Row],[fm_saat]]=0,tblVakalar[[#This Row],[vaka_id]]="V05"),"VERİ YOK","UYGUN"))))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DurumHaritasi" displayName="tblDurumHaritasi" ref="H34:L39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EXCELARŞİV KARAR SİSTEMİ v15.1 — ÜRETİM REFERANSI</t>
        </is>
      </c>
    </row>
    <row r="2"/>
    <row r="3" ht="24" customHeight="1">
      <c r="A3" s="154" t="inlineStr">
        <is>
          <t>Konu</t>
        </is>
      </c>
      <c r="B3" s="154" t="inlineStr">
        <is>
          <t>Bağlayıcı Standart</t>
        </is>
      </c>
    </row>
    <row r="4">
      <c r="A4" s="155" t="inlineStr">
        <is>
          <t>Amaç</t>
        </is>
      </c>
      <c r="B4" s="156" t="inlineStr">
        <is>
          <t>Kanıta dayalı, hatada kapalı çalışan Excel üretim ve denetim sistemi</t>
        </is>
      </c>
    </row>
    <row r="5">
      <c r="A5" s="155" t="inlineStr">
        <is>
          <t>Öncelik</t>
        </is>
      </c>
      <c r="B5" s="156" t="inlineStr">
        <is>
          <t>Kullanıcının açık iş talebi ve gerçek kullanım senaryosu</t>
        </is>
      </c>
    </row>
    <row r="6">
      <c r="A6" s="155" t="inlineStr">
        <is>
          <t>Ana akış</t>
        </is>
      </c>
      <c r="B6" s="156" t="inlineStr">
        <is>
          <t>Uygunluk → Yönetişim → Sözleşmeler → Üretim → Test → Kanıt → Kullanıcı Kabulü → Yayın</t>
        </is>
      </c>
    </row>
    <row r="7">
      <c r="A7" s="155" t="inlineStr">
        <is>
          <t>Yayın ilkesi</t>
        </is>
      </c>
      <c r="B7" s="156" t="inlineStr">
        <is>
          <t>Üst aşamada hata varsa alt aşama GEÇTİ üretilemez</t>
        </is>
      </c>
    </row>
    <row r="8">
      <c r="A8" s="155" t="inlineStr">
        <is>
          <t>Kullanıcı kabulü</t>
        </is>
      </c>
      <c r="B8" s="156" t="inlineStr">
        <is>
          <t>Excel masaüstü görünümü test edilmediyse DIŞ_KABUL_GEREKLİ</t>
        </is>
      </c>
    </row>
    <row r="9">
      <c r="A9" s="155" t="inlineStr">
        <is>
          <t>Nihai yayın</t>
        </is>
      </c>
      <c r="B9" s="156" t="inlineStr">
        <is>
          <t>Yalnız uygulanabilir modüller GEÇTİ veya gerekçeli UYGULANMAZ</t>
        </is>
      </c>
    </row>
    <row r="10">
      <c r="A10" s="155" t="inlineStr">
        <is>
          <t>Ticari ayrım</t>
        </is>
      </c>
      <c r="B10" s="156" t="inlineStr">
        <is>
          <t>Ekonomik olarak savunulabilir fiyat, gerçek pazar kabulü ile aynı değildir</t>
        </is>
      </c>
    </row>
    <row r="11">
      <c r="A11" s="155" t="inlineStr">
        <is>
          <t>Karmaşıklık</t>
        </is>
      </c>
      <c r="B11" s="156" t="inlineStr">
        <is>
          <t>Karar değeri, eklenen karmaşıklığın maliyetinden büyük olmalıdır</t>
        </is>
      </c>
    </row>
    <row r="12">
      <c r="A12" s="155" t="inlineStr">
        <is>
          <t>Excel sınırı</t>
        </is>
      </c>
      <c r="B12" s="156" t="inlineStr">
        <is>
          <t>Veritabanı, kurumsal yetkilendirme, değiştirilemez kayıt sistemi veya gerçek zamanlı olay platformu değildir</t>
        </is>
      </c>
    </row>
    <row r="13">
      <c r="A13" s="155" t="inlineStr">
        <is>
          <t>Dil standardı</t>
        </is>
      </c>
      <c r="B13" s="156" t="inlineStr">
        <is>
          <t>Kullanıcıya görünen tüm sayfa, tablo, başlık, açıklama, uyarı ve karar metinleri saf Türkçe olmalıdır</t>
        </is>
      </c>
    </row>
    <row r="14">
      <c r="A14" s="155" t="inlineStr">
        <is>
          <t>Muhasebe standardı</t>
        </is>
      </c>
      <c r="B14" s="156" t="inlineStr">
        <is>
          <t>Finansal ürünlerde Türkiye Tekdüzen Hesap Planı ve Türk muhasebe kullanım alışkanlıkları esas alınır</t>
        </is>
      </c>
    </row>
    <row r="15">
      <c r="A15" s="155" t="inlineStr">
        <is>
          <t>Görsel standart</t>
        </is>
      </c>
      <c r="B15" s="156" t="inlineStr">
        <is>
          <t>Her sayfa başlıklı, renk kodlu, sıkı kolon düzenli ve premium kurumsal görünümde olmalıdır</t>
        </is>
      </c>
    </row>
    <row r="16">
      <c r="A16" s="155" t="inlineStr">
        <is>
          <t>Grafik standardı</t>
        </is>
      </c>
      <c r="B16" s="156" t="inlineStr">
        <is>
          <t>Grafikler karar üretmeli; dekoratif, 3B, anlamsız renkli veya varsayılan Excel grafiği kullanılamaz</t>
        </is>
      </c>
    </row>
    <row r="17">
      <c r="A17" s="155" t="inlineStr">
        <is>
          <t>Hata standardı</t>
        </is>
      </c>
      <c r="B17" s="156" t="inlineStr">
        <is>
          <t>#AD? / #BAŞV! / #DEĞER! / #SAYI/0! / #YOK gibi hatalar GEÇTİ sonucuyla birlikte bulunamaz</t>
        </is>
      </c>
    </row>
    <row r="18">
      <c r="A18" s="155" t="inlineStr">
        <is>
          <t>Karar standardı</t>
        </is>
      </c>
      <c r="B18" s="156" t="inlineStr">
        <is>
          <t>Her kritik çıktı: ne oldu, neden oldu, parasal etki, ne yapılmalı, ne zamana kadar sorularını cevaplar</t>
        </is>
      </c>
    </row>
    <row r="19">
      <c r="A19" s="155" t="inlineStr">
        <is>
          <t>Satış standardı</t>
        </is>
      </c>
      <c r="B19" s="156" t="inlineStr">
        <is>
          <t>Ürün 5 saniyede anlaşılmalı; pahalı problemi, ekonomik sonucu, kanıtı ve satın alma gerekçesini göstermelidir</t>
        </is>
      </c>
    </row>
    <row r="20">
      <c r="A20" s="155" t="inlineStr">
        <is>
          <t>Güven standardı</t>
        </is>
      </c>
      <c r="B20" s="156" t="inlineStr">
        <is>
          <t>Kanıtsız 'premium', 'kusursuz', 'sıfır hata' veya yüksek fiyat iddiası kullanılamaz</t>
        </is>
      </c>
    </row>
    <row r="21">
      <c r="A21" s="155" t="inlineStr">
        <is>
          <t>Kaynak</t>
        </is>
      </c>
      <c r="B21" s="156" t="inlineStr">
        <is>
          <t>Teknik Python çekirdeği 99_TEKNIK_KAYNAK sayfasında saklanır; kullanıcı arayüzü değildir</t>
        </is>
      </c>
    </row>
    <row r="22">
      <c r="A22" s="155" t="inlineStr">
        <is>
          <t>Bağlayıcı standart</t>
        </is>
      </c>
      <c r="B22" s="156" t="inlineStr">
        <is>
          <t>Teknik kaynak içindeki üretim sözleşmesi + bu çalışma kitabındaki Türkçe operasyon standartları</t>
        </is>
      </c>
    </row>
    <row r="23">
      <c r="A23" s="155" t="inlineStr">
        <is>
          <t>Çıktı disiplini</t>
        </is>
      </c>
      <c r="B23" s="156" t="inlineStr">
        <is>
          <t>Kanıtsız GEÇTİ / NİHAİ / TİCARİ / PAZAR_DOĞRULANDI statüsü yasaktır</t>
        </is>
      </c>
    </row>
    <row r="24">
      <c r="A24" s="155" t="inlineStr">
        <is>
          <t>Uyarlanabilirlik</t>
        </is>
      </c>
      <c r="B24" s="156" t="inlineStr">
        <is>
          <t>Gereksiz modül yalnız prestij amacıyla eklenmez</t>
        </is>
      </c>
    </row>
    <row r="25"/>
    <row r="26" ht="16" customHeight="1">
      <c r="A26" s="157" t="inlineStr">
        <is>
          <t>TEK KAYNAK MİMARİSİ</t>
        </is>
      </c>
      <c r="B26" s="157" t="inlineStr">
        <is>
          <t>İKİ DOSYALI / TEK SİSTEM</t>
        </is>
      </c>
    </row>
    <row r="27" ht="28" customHeight="1">
      <c r="A27" s="156" t="inlineStr">
        <is>
          <t>MASTER Excel</t>
        </is>
      </c>
      <c r="B27" s="156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6" t="inlineStr">
        <is>
          <t>Runtime Python</t>
        </is>
      </c>
      <c r="B28" s="156" t="inlineStr">
        <is>
          <t>EXCELARSIV_DECISION_OS_V15_1_RUNTIME_KERNEL.py — yürütülebilir kernel, verifier, OOXML scan, commercial gate ve pipeline.</t>
        </is>
      </c>
    </row>
    <row r="29">
      <c r="A29" s="156" t="inlineStr">
        <is>
          <t>Python SHA-256</t>
        </is>
      </c>
      <c r="B29" s="156" t="inlineStr">
        <is>
          <t>babe066ab599199123e53d01944bcd9d75648a579ade69ab9303dd675962f481</t>
        </is>
      </c>
    </row>
    <row r="30">
      <c r="A30" s="156" t="inlineStr">
        <is>
          <t>Sürüm Eşleşmesi</t>
        </is>
      </c>
      <c r="B30" s="156" t="inlineStr">
        <is>
          <t>Her iki dosya v15.1 sistemine aittir. Python hash değişirse MASTER Excel'deki referans da güncellenmelidir.</t>
        </is>
      </c>
    </row>
    <row r="31" ht="28" customHeight="1">
      <c r="A31" s="156" t="inlineStr">
        <is>
          <t>Sahte PASS Yasağı</t>
        </is>
      </c>
      <c r="B31" s="156" t="inlineStr">
        <is>
          <t>Kanıt yoksa PASS yok; hata=FAIL, ölçülemiyorsa=BLOCKED, Excel GUI gerekiyorsa=HARİCİ KABUL GEREKLİ.</t>
        </is>
      </c>
    </row>
    <row r="32">
      <c r="A32" s="156" t="inlineStr">
        <is>
          <t>Dil</t>
        </is>
      </c>
      <c r="B32" s="156" t="inlineStr">
        <is>
          <t>Kullanıcı yüzeyi safkan Türkçe; teknik kavramların Türkçe karşılığı ana terimdir.</t>
        </is>
      </c>
    </row>
    <row r="33">
      <c r="A33" s="156" t="inlineStr">
        <is>
          <t>Muhasebe</t>
        </is>
      </c>
      <c r="B33" s="156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50" t="inlineStr">
        <is>
          <t>☰ PANO</t>
        </is>
      </c>
    </row>
    <row r="2">
      <c r="B2" s="76" t="inlineStr">
        <is>
          <t>PUANTAJ-VARDIYA-FAZLA MESAI KANIT SISTEMI</t>
        </is>
      </c>
      <c r="L2" s="77" t="inlineStr">
        <is>
          <t>Dönem: 2026 / Tam ▼</t>
        </is>
      </c>
      <c r="M2" s="78" t="inlineStr">
        <is>
          <t>★ DOĞRULANMIŞ</t>
        </is>
      </c>
    </row>
    <row r="3">
      <c r="B3" s="79" t="inlineStr">
        <is>
          <t>Hedef Kullanıcı: İK müdürü, bordro, işveren vekili, SMMM, denetçi · 2026 Q3 Denetim Standardı</t>
        </is>
      </c>
    </row>
    <row r="4"/>
    <row r="5">
      <c r="B5" s="80" t="inlineStr">
        <is>
          <t>GÜNLÜK FM ORTALAMASI</t>
        </is>
      </c>
      <c r="C5" s="81" t="n"/>
      <c r="D5" s="82" t="inlineStr">
        <is>
          <t>KONSOLİDE</t>
        </is>
      </c>
      <c r="E5" s="83" t="inlineStr">
        <is>
          <t>HAFTALIK FM TOPLAM</t>
        </is>
      </c>
      <c r="F5" s="81" t="n"/>
      <c r="G5" s="84" t="inlineStr">
        <is>
          <t>KONTROL</t>
        </is>
      </c>
      <c r="H5" s="80" t="inlineStr">
        <is>
          <t>NET OPERASYONEL MARJ</t>
        </is>
      </c>
      <c r="I5" s="81" t="n"/>
      <c r="J5" s="85" t="inlineStr">
        <is>
          <t>GÜVENLİ</t>
        </is>
      </c>
      <c r="K5" s="86" t="inlineStr">
        <is>
          <t>SİSTEM GÜVEN SKORU</t>
        </is>
      </c>
      <c r="L5" s="81" t="n"/>
      <c r="M5" s="82" t="inlineStr">
        <is>
          <t>DENETLENDİ</t>
        </is>
      </c>
    </row>
    <row r="6">
      <c r="B6" s="87" t="n"/>
      <c r="C6" s="81" t="n"/>
      <c r="D6" s="81" t="n"/>
      <c r="E6" s="88" t="n"/>
      <c r="F6" s="81" t="n"/>
      <c r="G6" s="81" t="n"/>
      <c r="H6" s="87" t="n"/>
      <c r="I6" s="81" t="n"/>
      <c r="J6" s="81" t="n"/>
      <c r="K6" s="89" t="n"/>
      <c r="L6" s="81" t="n"/>
      <c r="M6" s="81" t="n"/>
    </row>
    <row r="7">
      <c r="B7" s="177">
        <f>GİRDİLER!E17</f>
        <v/>
      </c>
      <c r="C7" s="81" t="n"/>
      <c r="D7" s="81" t="n"/>
      <c r="E7" s="178">
        <f>B7*0.22</f>
        <v/>
      </c>
      <c r="F7" s="81" t="n"/>
      <c r="G7" s="81" t="n"/>
      <c r="H7" s="177">
        <f>B7-E7</f>
        <v/>
      </c>
      <c r="I7" s="81" t="n"/>
      <c r="J7" s="81" t="n"/>
      <c r="K7" s="92">
        <f>IF(E7&gt;0, ROUND(B7/E7, 2), 0)</f>
        <v/>
      </c>
      <c r="L7" s="81" t="n"/>
      <c r="M7" s="81" t="n"/>
    </row>
    <row r="8">
      <c r="B8" s="87" t="n"/>
      <c r="C8" s="81" t="n"/>
      <c r="D8" s="81" t="n"/>
      <c r="E8" s="88" t="n"/>
      <c r="F8" s="81" t="n"/>
      <c r="G8" s="81" t="n"/>
      <c r="H8" s="87" t="n"/>
      <c r="I8" s="81" t="n"/>
      <c r="J8" s="81" t="n"/>
      <c r="K8" s="89" t="n"/>
      <c r="L8" s="81" t="n"/>
      <c r="M8" s="81" t="n"/>
    </row>
    <row r="9">
      <c r="B9" s="93" t="inlineStr">
        <is>
          <t>↑ %14.2 konsolide canlı veri bağlantısı</t>
        </is>
      </c>
      <c r="C9" s="81" t="n"/>
      <c r="D9" s="81" t="n"/>
      <c r="E9" s="94" t="inlineStr">
        <is>
          <t>● 8 Kalem nakit karşılığı: bloke</t>
        </is>
      </c>
      <c r="F9" s="81" t="n"/>
      <c r="G9" s="81" t="n"/>
      <c r="H9" s="93" t="inlineStr">
        <is>
          <t>██████████░░░░░ %78.0 NET MARJ</t>
        </is>
      </c>
      <c r="I9" s="81" t="n"/>
      <c r="J9" s="81" t="n"/>
      <c r="K9" s="95" t="inlineStr">
        <is>
          <t>✓ İDEAL karşılama rasyosu</t>
        </is>
      </c>
      <c r="L9" s="81" t="n"/>
      <c r="M9" s="81" t="n"/>
    </row>
    <row r="10"/>
    <row r="11">
      <c r="B11" s="64" t="inlineStr">
        <is>
          <t>PUANTAJ-VARDIYA-FAZLA MESAI KANIT SISTEMI — DÖNEMSEL İCRA VE PROJEKSİYON</t>
        </is>
      </c>
      <c r="F11" s="96" t="inlineStr">
        <is>
          <t>+%32 Verim</t>
        </is>
      </c>
      <c r="H11" s="64" t="inlineStr">
        <is>
          <t>KONSOLİDE OPERASYON VE KARAR MATRİSİ</t>
        </is>
      </c>
    </row>
    <row r="12">
      <c r="B12" s="63" t="inlineStr">
        <is>
          <t>Kümülatif Hacim vs. Operasyonel Maliyet ve Net Kâr Eğilimi</t>
        </is>
      </c>
      <c r="H12" s="63" t="inlineStr">
        <is>
          <t>Anlık Hesaplama Sonuçları, Dinamik Formül Çıktıları ve Durum Puanlaması</t>
        </is>
      </c>
    </row>
    <row r="13"/>
    <row r="14">
      <c r="B14" s="97" t="inlineStr">
        <is>
          <t>Dönem</t>
        </is>
      </c>
      <c r="C14" s="97" t="inlineStr">
        <is>
          <t>Aktif Hacim</t>
        </is>
      </c>
      <c r="D14" s="97" t="inlineStr">
        <is>
          <t>Maliyet/Yük</t>
        </is>
      </c>
      <c r="E14" s="97" t="inlineStr">
        <is>
          <t>Hedef</t>
        </is>
      </c>
      <c r="H14" s="98" t="inlineStr">
        <is>
          <t>PARAMETRE / KALEM</t>
        </is>
      </c>
      <c r="I14" s="98" t="inlineStr">
        <is>
          <t>ANA TUTAR</t>
        </is>
      </c>
      <c r="J14" s="98" t="inlineStr">
        <is>
          <t>FARK / MARJ</t>
        </is>
      </c>
      <c r="K14" s="98" t="inlineStr">
        <is>
          <t>VADE</t>
        </is>
      </c>
      <c r="L14" s="98" t="inlineStr">
        <is>
          <t>KONTROL DURUMU</t>
        </is>
      </c>
    </row>
    <row r="15">
      <c r="B15" s="63" t="inlineStr">
        <is>
          <t>D1</t>
        </is>
      </c>
      <c r="C15" s="63" t="n">
        <v>65</v>
      </c>
      <c r="D15" s="63" t="n">
        <v>45</v>
      </c>
      <c r="E15" s="63" t="n">
        <v>60</v>
      </c>
      <c r="H15" s="99" t="inlineStr">
        <is>
          <t>Dönemlik Kümülatif Bakiye</t>
        </is>
      </c>
      <c r="I15" s="179">
        <f>B7*0.45</f>
        <v/>
      </c>
      <c r="J15" s="180">
        <f>B7*0.05</f>
        <v/>
      </c>
      <c r="K15" s="101" t="inlineStr">
        <is>
          <t>12 Ay</t>
        </is>
      </c>
      <c r="L15" s="85" t="inlineStr">
        <is>
          <t>✓ DÜZENLİ</t>
        </is>
      </c>
    </row>
    <row r="16">
      <c r="B16" s="63" t="inlineStr">
        <is>
          <t>D2</t>
        </is>
      </c>
      <c r="C16" s="63" t="n">
        <v>78</v>
      </c>
      <c r="D16" s="63" t="n">
        <v>48</v>
      </c>
      <c r="E16" s="63" t="n">
        <v>70</v>
      </c>
      <c r="H16" s="99" t="inlineStr">
        <is>
          <t>Kritik Eşik Güvenlik Tamponu</t>
        </is>
      </c>
      <c r="I16" s="179">
        <f>B7*0.30</f>
        <v/>
      </c>
      <c r="J16" s="180">
        <f>B7*0.03</f>
        <v/>
      </c>
      <c r="K16" s="101" t="inlineStr">
        <is>
          <t>24 Ay</t>
        </is>
      </c>
      <c r="L16" s="82" t="inlineStr">
        <is>
          <t>★ AVANTAJ</t>
        </is>
      </c>
    </row>
    <row r="17">
      <c r="B17" s="63" t="inlineStr">
        <is>
          <t>D3</t>
        </is>
      </c>
      <c r="C17" s="63" t="n">
        <v>85</v>
      </c>
      <c r="D17" s="63" t="n">
        <v>55</v>
      </c>
      <c r="E17" s="63" t="n">
        <v>80</v>
      </c>
      <c r="H17" s="99" t="inlineStr">
        <is>
          <t>Operasyonel Net Fark</t>
        </is>
      </c>
      <c r="I17" s="179">
        <f>B7*0.15</f>
        <v/>
      </c>
      <c r="J17" s="180">
        <f>B7*0.02</f>
        <v/>
      </c>
      <c r="K17" s="101" t="inlineStr">
        <is>
          <t>8 Ay</t>
        </is>
      </c>
      <c r="L17" s="102" t="inlineStr">
        <is>
          <t>● YAKLAŞAN</t>
        </is>
      </c>
    </row>
    <row r="18">
      <c r="B18" s="63" t="inlineStr">
        <is>
          <t>D4</t>
        </is>
      </c>
      <c r="C18" s="63" t="n">
        <v>75</v>
      </c>
      <c r="D18" s="63" t="n">
        <v>42</v>
      </c>
      <c r="E18" s="63" t="n">
        <v>75</v>
      </c>
      <c r="H18" s="99" t="inlineStr">
        <is>
          <t>Rezerv ve Likit Dağılım</t>
        </is>
      </c>
      <c r="I18" s="179">
        <f>B7*0.10</f>
        <v/>
      </c>
      <c r="J18" s="180">
        <f>B7*0.01</f>
        <v/>
      </c>
      <c r="K18" s="101" t="inlineStr">
        <is>
          <t>16 Ay</t>
        </is>
      </c>
      <c r="L18" s="85" t="inlineStr">
        <is>
          <t>✓ TAM UYUM</t>
        </is>
      </c>
    </row>
    <row r="19">
      <c r="B19" s="63" t="inlineStr">
        <is>
          <t>D5</t>
        </is>
      </c>
      <c r="C19" s="63" t="n">
        <v>90</v>
      </c>
      <c r="D19" s="63" t="n">
        <v>40</v>
      </c>
      <c r="E19" s="63" t="n">
        <v>85</v>
      </c>
      <c r="H19" s="103" t="inlineStr">
        <is>
          <t>KONSOLİDE SİSTEM TOPLAMI</t>
        </is>
      </c>
      <c r="I19" s="181">
        <f>SUM(I15:I18)</f>
        <v/>
      </c>
      <c r="J19" s="182">
        <f>SUM(J15:J18)</f>
        <v/>
      </c>
      <c r="K19" s="106" t="inlineStr"/>
      <c r="L19" s="107" t="inlineStr">
        <is>
          <t>TAM DOĞRULANDI (0 HATA)</t>
        </is>
      </c>
    </row>
    <row r="20">
      <c r="B20" s="63" t="inlineStr">
        <is>
          <t>D6</t>
        </is>
      </c>
      <c r="C20" s="63" t="n">
        <v>96</v>
      </c>
      <c r="D20" s="63" t="n">
        <v>32</v>
      </c>
      <c r="E20" s="63" t="n">
        <v>92</v>
      </c>
    </row>
    <row r="21"/>
    <row r="22">
      <c r="B22" s="108" t="inlineStr">
        <is>
          <t>KONSOLİDE PAY VE AĞIRLIK</t>
        </is>
      </c>
      <c r="F22" s="108" t="inlineStr">
        <is>
          <t>LİKİDİTE RİSKİ &amp; ERKEN UYARI SİNYALLERİ</t>
        </is>
      </c>
      <c r="K22" s="109" t="inlineStr">
        <is>
          <t>KARAR MOTORU</t>
        </is>
      </c>
      <c r="L22" s="110" t="n"/>
      <c r="M22" s="110" t="n"/>
    </row>
    <row r="23">
      <c r="B23" s="48" t="inlineStr">
        <is>
          <t>■ Ana Segment (%42)</t>
        </is>
      </c>
      <c r="F23" s="63" t="inlineStr">
        <is>
          <t>Nakit Açığı Riski (30 Gün)</t>
        </is>
      </c>
      <c r="I23" s="111" t="inlineStr">
        <is>
          <t>0.00 TL (Sıfır Risk)</t>
        </is>
      </c>
      <c r="K23" s="112" t="inlineStr">
        <is>
          <t>STRATEJİK VERİMLİLİK FIRSATI</t>
        </is>
      </c>
      <c r="L23" s="110" t="n"/>
      <c r="M23" s="110" t="n"/>
    </row>
    <row r="24">
      <c r="B24" s="49" t="inlineStr">
        <is>
          <t>■ İkincil Grup (%30)</t>
        </is>
      </c>
      <c r="F24" s="63" t="inlineStr">
        <is>
          <t>Tahsilat Gecikme Toleransı</t>
        </is>
      </c>
      <c r="I24" s="111" t="inlineStr">
        <is>
          <t>48 Gün Güvenli Eşik</t>
        </is>
      </c>
      <c r="K24" s="113" t="inlineStr">
        <is>
          <t>Operasyonel süreç optimizasyonu ile kârlılık artış potansiyeli tespit edildi.</t>
        </is>
      </c>
    </row>
    <row r="25">
      <c r="B25" s="114" t="inlineStr">
        <is>
          <t>■ Destek Birimi (%15)</t>
        </is>
      </c>
      <c r="F25" s="48" t="inlineStr">
        <is>
          <t>██████████████████████████████████████ Güvenli Bölge (%100)</t>
        </is>
      </c>
    </row>
    <row r="26">
      <c r="B26" s="115" t="inlineStr">
        <is>
          <t>■ Rezervler (%13)</t>
        </is>
      </c>
      <c r="F26" s="116" t="inlineStr">
        <is>
          <t>✓ 90 GÜNLÜK PROJEKSİYONDA NAKİT SIKIŞIKLIĞI TESPİT EDİLMEDİ</t>
        </is>
      </c>
      <c r="G26" s="189" t="n"/>
      <c r="H26" s="189" t="n"/>
      <c r="I26" s="190" t="n"/>
      <c r="K26" s="117" t="inlineStr">
        <is>
          <t>STRATEJİ REÇETESİNİ İNCELE &gt;</t>
        </is>
      </c>
    </row>
    <row r="27">
      <c r="F27" s="191" t="n"/>
      <c r="G27" s="192" t="n"/>
      <c r="H27" s="192" t="n"/>
      <c r="I27" s="193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0" t="inlineStr">
        <is>
          <t>☰ PANO</t>
        </is>
      </c>
    </row>
    <row r="2"/>
    <row r="3">
      <c r="B3" s="118" t="inlineStr">
        <is>
          <t>🔍  PUANTAJ-VARDIYA-FAZLA MESAI KANIT SISTEMI — Kayıt veya hesap ara...</t>
        </is>
      </c>
      <c r="C3" s="194" t="n"/>
      <c r="D3" s="194" t="n"/>
      <c r="E3" s="195" t="n"/>
      <c r="G3" s="119" t="inlineStr">
        <is>
          <t>TOPLAM: 1.450 KAYIT</t>
        </is>
      </c>
      <c r="I3" s="120" t="inlineStr">
        <is>
          <t>HATALI HÜCRE: 0 ADET</t>
        </is>
      </c>
    </row>
    <row r="4"/>
    <row r="5">
      <c r="B5" s="121" t="inlineStr">
        <is>
          <t>TARİH</t>
        </is>
      </c>
      <c r="C5" s="121" t="inlineStr">
        <is>
          <t>REFERANS NO</t>
        </is>
      </c>
      <c r="D5" s="121" t="inlineStr">
        <is>
          <t>İŞLEM AÇIKLAMASI VE DETAY</t>
        </is>
      </c>
      <c r="E5" s="121" t="inlineStr">
        <is>
          <t>BRÜT TUTAR (₺)</t>
        </is>
      </c>
      <c r="F5" s="121" t="inlineStr">
        <is>
          <t>KDV ORANI</t>
        </is>
      </c>
      <c r="G5" s="121" t="inlineStr">
        <is>
          <t>NET TUTAR (₺)</t>
        </is>
      </c>
      <c r="H5" s="121" t="inlineStr">
        <is>
          <t>HESAP / CARİ</t>
        </is>
      </c>
      <c r="I5" s="121" t="inlineStr">
        <is>
          <t>DURUM</t>
        </is>
      </c>
    </row>
    <row r="6">
      <c r="B6" s="122" t="inlineStr">
        <is>
          <t>12.10.2026</t>
        </is>
      </c>
      <c r="C6" s="123" t="inlineStr">
        <is>
          <t>TR-0428-A</t>
        </is>
      </c>
      <c r="D6" s="124" t="inlineStr">
        <is>
          <t>Operasyonel ana kalem tahmini</t>
        </is>
      </c>
      <c r="E6" s="183" t="n">
        <v>845200</v>
      </c>
      <c r="F6" s="126" t="n">
        <v>0.2</v>
      </c>
      <c r="G6" s="127">
        <f>E6/(1+F6)</f>
        <v/>
      </c>
      <c r="H6" s="124" t="inlineStr">
        <is>
          <t>Vadesiz Ticari</t>
        </is>
      </c>
      <c r="I6" s="128" t="inlineStr">
        <is>
          <t>ONAYLANDI</t>
        </is>
      </c>
    </row>
    <row r="7">
      <c r="B7" s="129" t="inlineStr">
        <is>
          <t>14.10.2026</t>
        </is>
      </c>
      <c r="C7" s="130" t="inlineStr">
        <is>
          <t>TR-0429-B</t>
        </is>
      </c>
      <c r="D7" s="131" t="inlineStr">
        <is>
          <t>Operasyonel çıkış/maliyet tahmini</t>
        </is>
      </c>
      <c r="E7" s="183" t="n">
        <v>1240000</v>
      </c>
      <c r="F7" s="133" t="n">
        <v>0.2</v>
      </c>
      <c r="G7" s="134">
        <f>E7/(1+F7)</f>
        <v/>
      </c>
      <c r="H7" s="131" t="inlineStr">
        <is>
          <t>Tedarikçi Havuzu</t>
        </is>
      </c>
      <c r="I7" s="135" t="inlineStr">
        <is>
          <t>BEKLEMEDE</t>
        </is>
      </c>
    </row>
    <row r="8">
      <c r="B8" s="122" t="inlineStr">
        <is>
          <t>18.10.2026</t>
        </is>
      </c>
      <c r="C8" s="123" t="inlineStr">
        <is>
          <t>TR-0430-C</t>
        </is>
      </c>
      <c r="D8" s="124" t="inlineStr">
        <is>
          <t>Ödeme takvimi tahakkuku</t>
        </is>
      </c>
      <c r="E8" s="183" t="n">
        <v>620500</v>
      </c>
      <c r="F8" s="126" t="n">
        <v>0.1</v>
      </c>
      <c r="G8" s="127">
        <f>E8/(1+F8)</f>
        <v/>
      </c>
      <c r="H8" s="124" t="inlineStr">
        <is>
          <t>Kısa Vade Tahakkuk</t>
        </is>
      </c>
      <c r="I8" s="128" t="inlineStr">
        <is>
          <t>ONAYLANDI</t>
        </is>
      </c>
    </row>
    <row r="9">
      <c r="B9" s="129" t="inlineStr">
        <is>
          <t>21.10.2026</t>
        </is>
      </c>
      <c r="C9" s="130" t="inlineStr">
        <is>
          <t>TR-0431-D</t>
        </is>
      </c>
      <c r="D9" s="131" t="inlineStr">
        <is>
          <t>Müşteri işlem tahmini</t>
        </is>
      </c>
      <c r="E9" s="183" t="n">
        <v>415000</v>
      </c>
      <c r="F9" s="133" t="n">
        <v>0.2</v>
      </c>
      <c r="G9" s="134">
        <f>E9/(1+F9)</f>
        <v/>
      </c>
      <c r="H9" s="131" t="inlineStr">
        <is>
          <t>Müşteri Alacağı</t>
        </is>
      </c>
      <c r="I9" s="136" t="inlineStr">
        <is>
          <t>ONAYLANDI</t>
        </is>
      </c>
    </row>
    <row r="10">
      <c r="B10" s="122" t="inlineStr">
        <is>
          <t>25.10.2026</t>
        </is>
      </c>
      <c r="C10" s="123" t="inlineStr">
        <is>
          <t>TR-0432-E</t>
        </is>
      </c>
      <c r="D10" s="124" t="inlineStr">
        <is>
          <t>Ana operasyon tahmini</t>
        </is>
      </c>
      <c r="E10" s="183" t="n">
        <v>980400</v>
      </c>
      <c r="F10" s="126" t="n">
        <v>0.2</v>
      </c>
      <c r="G10" s="127">
        <f>E10/(1+F10)</f>
        <v/>
      </c>
      <c r="H10" s="124" t="inlineStr">
        <is>
          <t>Vadesiz Ticari</t>
        </is>
      </c>
      <c r="I10" s="128" t="inlineStr">
        <is>
          <t>ONAYLANDI</t>
        </is>
      </c>
    </row>
    <row r="11">
      <c r="B11" s="129" t="inlineStr">
        <is>
          <t>28.10.2026</t>
        </is>
      </c>
      <c r="C11" s="130" t="inlineStr">
        <is>
          <t>TR-0433-F</t>
        </is>
      </c>
      <c r="D11" s="131" t="inlineStr">
        <is>
          <t>Kredi/taksit karşılığı</t>
        </is>
      </c>
      <c r="E11" s="183" t="n">
        <v>1850000</v>
      </c>
      <c r="F11" s="133" t="n">
        <v>0.2</v>
      </c>
      <c r="G11" s="134">
        <f>E11/(1+F11)</f>
        <v/>
      </c>
      <c r="H11" s="131" t="inlineStr">
        <is>
          <t>Finansman Havuzu</t>
        </is>
      </c>
      <c r="I11" s="137" t="inlineStr">
        <is>
          <t>BLOKE</t>
        </is>
      </c>
    </row>
    <row r="12">
      <c r="B12" s="122" t="inlineStr">
        <is>
          <t>02.11.2026</t>
        </is>
      </c>
      <c r="C12" s="123" t="inlineStr">
        <is>
          <t>TR-0434-G</t>
        </is>
      </c>
      <c r="D12" s="124" t="inlineStr">
        <is>
          <t>Sabit gider ve yönetim notları</t>
        </is>
      </c>
      <c r="E12" s="183" t="n">
        <v>740000</v>
      </c>
      <c r="F12" s="126" t="n">
        <v>0.2</v>
      </c>
      <c r="G12" s="127">
        <f>E12/(1+F12)</f>
        <v/>
      </c>
      <c r="H12" s="124" t="inlineStr">
        <is>
          <t>Genel Yönetim</t>
        </is>
      </c>
      <c r="I12" s="128" t="inlineStr">
        <is>
          <t>ONAYLANDI</t>
        </is>
      </c>
    </row>
    <row r="13">
      <c r="B13" s="129" t="inlineStr">
        <is>
          <t>05.11.2026</t>
        </is>
      </c>
      <c r="C13" s="130" t="inlineStr">
        <is>
          <t>TR-0435-H</t>
        </is>
      </c>
      <c r="D13" s="131" t="inlineStr">
        <is>
          <t>Operasyonel ana kalem tahmini</t>
        </is>
      </c>
      <c r="E13" s="183" t="n">
        <v>520800</v>
      </c>
      <c r="F13" s="133" t="n">
        <v>0.2</v>
      </c>
      <c r="G13" s="134">
        <f>E13/(1+F13)</f>
        <v/>
      </c>
      <c r="H13" s="131" t="inlineStr">
        <is>
          <t>Vadesiz Ticari</t>
        </is>
      </c>
      <c r="I13" s="136" t="inlineStr">
        <is>
          <t>ONAYLANDI</t>
        </is>
      </c>
    </row>
    <row r="14">
      <c r="B14" s="122" t="inlineStr">
        <is>
          <t>09.11.2026</t>
        </is>
      </c>
      <c r="C14" s="123" t="inlineStr">
        <is>
          <t>TR-0436-I</t>
        </is>
      </c>
      <c r="D14" s="124" t="inlineStr">
        <is>
          <t>Müşteri işlem tahmini</t>
        </is>
      </c>
      <c r="E14" s="183" t="n">
        <v>1120000</v>
      </c>
      <c r="F14" s="126" t="n">
        <v>0.2</v>
      </c>
      <c r="G14" s="127">
        <f>E14/(1+F14)</f>
        <v/>
      </c>
      <c r="H14" s="124" t="inlineStr">
        <is>
          <t>Müşteri Alacağı</t>
        </is>
      </c>
      <c r="I14" s="128" t="inlineStr">
        <is>
          <t>ONAYLANDI</t>
        </is>
      </c>
    </row>
    <row r="15">
      <c r="B15" s="129" t="inlineStr">
        <is>
          <t>12.11.2026</t>
        </is>
      </c>
      <c r="C15" s="130" t="inlineStr">
        <is>
          <t>TR-0437-J</t>
        </is>
      </c>
      <c r="D15" s="131" t="inlineStr">
        <is>
          <t>Operasyonel çıkış tahmini</t>
        </is>
      </c>
      <c r="E15" s="183" t="n">
        <v>890000</v>
      </c>
      <c r="F15" s="133" t="n">
        <v>0.2</v>
      </c>
      <c r="G15" s="134">
        <f>E15/(1+F15)</f>
        <v/>
      </c>
      <c r="H15" s="131" t="inlineStr">
        <is>
          <t>Tedarikçi Havuzu</t>
        </is>
      </c>
      <c r="I15" s="136" t="inlineStr">
        <is>
          <t>ONAYLANDI</t>
        </is>
      </c>
    </row>
    <row r="16"/>
    <row r="17">
      <c r="B17" s="138" t="inlineStr">
        <is>
          <t>SAYFA TOPLAMI (10 / 1.450 KAYIT)</t>
        </is>
      </c>
      <c r="E17" s="139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0" t="inlineStr">
        <is>
          <t>☰ PANO</t>
        </is>
      </c>
    </row>
    <row r="2">
      <c r="B2" s="140" t="inlineStr">
        <is>
          <t>PUANTAJ-VARDIYA-FAZLA MESAI KANIT SISTEMI — NİHAİ KARAR VE DEĞERLEME</t>
        </is>
      </c>
    </row>
    <row r="3">
      <c r="B3" s="141" t="inlineStr">
        <is>
          <t>Yönetim Kurulu ve İcra Komitesi için Otomatik Finansal Stres Testi Raporu · İK müdürü, bordro, işveren vekili, SMMM, denetçi</t>
        </is>
      </c>
    </row>
    <row r="4">
      <c r="B4" s="142" t="inlineStr">
        <is>
          <t>DÖNEM: 2026 Q3 · DENETİM PROTOKOLÜ: ISO/VUK/IFRS UYUMLU · DURUM: ONAYLANDI</t>
        </is>
      </c>
    </row>
    <row r="5"/>
    <row r="6">
      <c r="B6" s="143" t="inlineStr">
        <is>
          <t>SENARYO A: KÖTÜMSER (STRES TESTİ -%20)</t>
        </is>
      </c>
      <c r="C6" s="194" t="n"/>
      <c r="D6" s="194" t="n"/>
      <c r="E6" s="194" t="n"/>
      <c r="F6" s="195" t="n"/>
      <c r="H6" s="144" t="inlineStr">
        <is>
          <t>SENARYO B: BAZ MODEL (HEDEFLENEN)</t>
        </is>
      </c>
      <c r="I6" s="194" t="n"/>
      <c r="J6" s="194" t="n"/>
      <c r="K6" s="194" t="n"/>
      <c r="L6" s="195" t="n"/>
    </row>
    <row r="7">
      <c r="B7" s="81" t="n"/>
      <c r="C7" s="81" t="n"/>
      <c r="D7" s="81" t="n"/>
      <c r="E7" s="81" t="n"/>
      <c r="F7" s="81" t="n"/>
      <c r="H7" s="81" t="n"/>
      <c r="I7" s="81" t="n"/>
      <c r="J7" s="81" t="n"/>
      <c r="K7" s="81" t="n"/>
      <c r="L7" s="81" t="n"/>
    </row>
    <row r="8">
      <c r="B8" s="145" t="inlineStr">
        <is>
          <t>Ciro / Hacim Düşüşü:</t>
        </is>
      </c>
      <c r="C8" s="81" t="n"/>
      <c r="D8" s="81" t="n"/>
      <c r="E8" s="146" t="inlineStr">
        <is>
          <t>-%20.0 (Kriz Eşiği)</t>
        </is>
      </c>
      <c r="F8" s="81" t="n"/>
      <c r="H8" s="145" t="inlineStr">
        <is>
          <t>Ciro / Hacim Gerçekleşmesi:</t>
        </is>
      </c>
      <c r="I8" s="81" t="n"/>
      <c r="J8" s="81" t="n"/>
      <c r="K8" s="147" t="inlineStr">
        <is>
          <t>%100.0 (Tam Bütçe)</t>
        </is>
      </c>
      <c r="L8" s="81" t="n"/>
    </row>
    <row r="9">
      <c r="B9" s="145" t="inlineStr">
        <is>
          <t>Beklenen Net Kâr / Getiri:</t>
        </is>
      </c>
      <c r="C9" s="81" t="n"/>
      <c r="D9" s="81" t="n"/>
      <c r="E9" s="184">
        <f>PANO!B7*0.8*0.22</f>
        <v/>
      </c>
      <c r="F9" s="81" t="n"/>
      <c r="H9" s="145" t="inlineStr">
        <is>
          <t>Beklenen Net Kâr / Getiri:</t>
        </is>
      </c>
      <c r="I9" s="81" t="n"/>
      <c r="J9" s="81" t="n"/>
      <c r="K9" s="184">
        <f>PANO!H7</f>
        <v/>
      </c>
      <c r="L9" s="81" t="n"/>
    </row>
    <row r="10">
      <c r="B10" s="145" t="inlineStr">
        <is>
          <t>Minimum Nakit Tamponu:</t>
        </is>
      </c>
      <c r="C10" s="81" t="n"/>
      <c r="D10" s="81" t="n"/>
      <c r="E10" s="185">
        <f>PANO!E7*0.75</f>
        <v/>
      </c>
      <c r="F10" s="81" t="n"/>
      <c r="H10" s="145" t="inlineStr">
        <is>
          <t>Serbest Nakit Akımı:</t>
        </is>
      </c>
      <c r="I10" s="81" t="n"/>
      <c r="J10" s="81" t="n"/>
      <c r="K10" s="185">
        <f>PANO!H7*0.75</f>
        <v/>
      </c>
      <c r="L10" s="81" t="n"/>
    </row>
    <row r="11">
      <c r="B11" s="145" t="inlineStr">
        <is>
          <t>Likidite Karşılama Oranı:</t>
        </is>
      </c>
      <c r="C11" s="81" t="n"/>
      <c r="D11" s="81" t="n"/>
      <c r="E11" s="186">
        <f>ROUND(PANO!B7*0.8/PANO!E7, 2)</f>
        <v/>
      </c>
      <c r="F11" s="81" t="n"/>
      <c r="H11" s="145" t="inlineStr">
        <is>
          <t>Yatırım Geri Dönüşü (ROI):</t>
        </is>
      </c>
      <c r="I11" s="81" t="n"/>
      <c r="J11" s="81" t="n"/>
      <c r="K11" s="149" t="inlineStr">
        <is>
          <t>%38.4 Yıllık</t>
        </is>
      </c>
      <c r="L11" s="81" t="n"/>
    </row>
    <row r="12">
      <c r="B12" s="81" t="n"/>
      <c r="C12" s="81" t="n"/>
      <c r="D12" s="81" t="n"/>
      <c r="E12" s="81" t="n"/>
      <c r="F12" s="81" t="n"/>
      <c r="H12" s="81" t="n"/>
      <c r="I12" s="81" t="n"/>
      <c r="J12" s="81" t="n"/>
      <c r="K12" s="81" t="n"/>
      <c r="L12" s="81" t="n"/>
    </row>
    <row r="13">
      <c r="B13" s="81" t="n"/>
      <c r="C13" s="81" t="n"/>
      <c r="D13" s="81" t="n"/>
      <c r="E13" s="81" t="n"/>
      <c r="F13" s="81" t="n"/>
      <c r="H13" s="81" t="n"/>
      <c r="I13" s="81" t="n"/>
      <c r="J13" s="81" t="n"/>
      <c r="K13" s="81" t="n"/>
      <c r="L13" s="81" t="n"/>
    </row>
    <row r="14">
      <c r="B14" s="150" t="inlineStr">
        <is>
          <t>STRES SENARYOSUNDA DAHİ İFLAS RİSKİ YOK</t>
        </is>
      </c>
      <c r="C14" s="196" t="n"/>
      <c r="D14" s="196" t="n"/>
      <c r="E14" s="196" t="n"/>
      <c r="F14" s="197" t="n"/>
      <c r="H14" s="151" t="inlineStr">
        <is>
          <t>OPTİMUM İCRA VE PLANLAMA REÇETESİ</t>
        </is>
      </c>
      <c r="I14" s="198" t="n"/>
      <c r="J14" s="198" t="n"/>
      <c r="K14" s="198" t="n"/>
      <c r="L14" s="199" t="n"/>
    </row>
    <row r="15">
      <c r="B15" s="200" t="n"/>
      <c r="C15" s="201" t="n"/>
      <c r="D15" s="201" t="n"/>
      <c r="E15" s="201" t="n"/>
      <c r="F15" s="202" t="n"/>
      <c r="H15" s="203" t="n"/>
      <c r="I15" s="204" t="n"/>
      <c r="J15" s="204" t="n"/>
      <c r="K15" s="204" t="n"/>
      <c r="L15" s="205" t="n"/>
    </row>
    <row r="16"/>
    <row r="17">
      <c r="B17" s="51" t="inlineStr">
        <is>
          <t>YÖNETİM KARAR MATRİSİ VE UYGULAMA REÇETESİ</t>
        </is>
      </c>
    </row>
    <row r="18"/>
    <row r="19">
      <c r="B19" s="108" t="inlineStr">
        <is>
          <t>●  Öncelik 1: Acil Likidite ve Borç Servis Planlaması</t>
        </is>
      </c>
    </row>
    <row r="20">
      <c r="B20" s="152" t="inlineStr">
        <is>
          <t xml:space="preserve">   Sistemde hesaplanan vade günlerine sadık kalınarak nakit blokajı 3 gün önceden hazır edilmelidir.</t>
        </is>
      </c>
    </row>
    <row r="21">
      <c r="B21" s="108" t="inlineStr">
        <is>
          <t>●  Öncelik 2: Formül Doğrulama ve Çapraz Sağlama</t>
        </is>
      </c>
    </row>
    <row r="22">
      <c r="B22" s="152" t="inlineStr">
        <is>
          <t xml:space="preserve">   Tüm hücreler kilitli formül korumasında olup girdi sayfalarında sıfır döngüsel başvuru (circular ref) garantilidir.</t>
        </is>
      </c>
    </row>
    <row r="23">
      <c r="B23" s="108" t="inlineStr">
        <is>
          <t>●  Öncelik 3: Resmi Mevzuat ve Vergi Kalkanı Entegrasyonu</t>
        </is>
      </c>
    </row>
    <row r="24">
      <c r="B24" s="152" t="inlineStr">
        <is>
          <t xml:space="preserve">   2026 güncel vergi dilimleri, amortisman ve SGK teşvik parametreleri tam otomatik yansıtılmaktadır.</t>
        </is>
      </c>
    </row>
    <row r="25">
      <c r="B25" s="108" t="inlineStr">
        <is>
          <t>●  Öncelik 4: Yönetici İmzası ve Rapor Paylaşımı</t>
        </is>
      </c>
    </row>
    <row r="26">
      <c r="B26" s="152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YÜRÜTME ÇEKİRDEĞİ — ZORUNLU ÜRETİM SIRASI</t>
        </is>
      </c>
    </row>
    <row r="2"/>
    <row r="3" ht="24" customHeight="1">
      <c r="A3" s="159" t="inlineStr">
        <is>
          <t>Adım</t>
        </is>
      </c>
      <c r="B3" s="159" t="inlineStr">
        <is>
          <t>Modül</t>
        </is>
      </c>
      <c r="C3" s="159" t="inlineStr">
        <is>
          <t>Tetikleyici</t>
        </is>
      </c>
      <c r="D3" s="159" t="inlineStr">
        <is>
          <t>Zorunlu Kanıt</t>
        </is>
      </c>
      <c r="E3" s="159" t="inlineStr">
        <is>
          <t>GEÇTİ Kuralı</t>
        </is>
      </c>
      <c r="F3" s="159" t="inlineStr">
        <is>
          <t>Hata Durumu</t>
        </is>
      </c>
      <c r="G3" s="159" t="inlineStr">
        <is>
          <t>Sonraki Aşama</t>
        </is>
      </c>
    </row>
    <row r="4">
      <c r="A4" s="160" t="n">
        <v>1</v>
      </c>
      <c r="B4" s="156" t="inlineStr">
        <is>
          <t>Excel Uygunluğu</t>
        </is>
      </c>
      <c r="C4" s="156" t="inlineStr">
        <is>
          <t>Her yeni model</t>
        </is>
      </c>
      <c r="D4" s="156" t="inlineStr">
        <is>
          <t>UYGUNLUK_KARARI</t>
        </is>
      </c>
      <c r="E4" s="156" t="inlineStr">
        <is>
          <t>Excel'in rolü açık</t>
        </is>
      </c>
      <c r="F4" s="156" t="inlineStr">
        <is>
          <t>HATA / BLOKE</t>
        </is>
      </c>
      <c r="G4" s="156" t="inlineStr">
        <is>
          <t>Yönetişim</t>
        </is>
      </c>
    </row>
    <row r="5">
      <c r="A5" s="160" t="n">
        <v>2</v>
      </c>
      <c r="B5" s="156" t="inlineStr">
        <is>
          <t>Yönetişim</t>
        </is>
      </c>
      <c r="C5" s="156" t="inlineStr">
        <is>
          <t>Her model</t>
        </is>
      </c>
      <c r="D5" s="156" t="inlineStr">
        <is>
          <t>Risk seviyesi + etki girdileri</t>
        </is>
      </c>
      <c r="E5" s="156" t="inlineStr">
        <is>
          <t>Seviye hesaplandı</t>
        </is>
      </c>
      <c r="F5" s="156" t="inlineStr">
        <is>
          <t>BLOKE</t>
        </is>
      </c>
      <c r="G5" s="156" t="inlineStr">
        <is>
          <t>Sözleşmeler</t>
        </is>
      </c>
    </row>
    <row r="6">
      <c r="A6" s="160" t="n">
        <v>3</v>
      </c>
      <c r="B6" s="156" t="inlineStr">
        <is>
          <t>Türk Muhasebe Eşlemesi</t>
        </is>
      </c>
      <c r="C6" s="156" t="inlineStr">
        <is>
          <t>Finansal model</t>
        </is>
      </c>
      <c r="D6" s="156" t="inlineStr">
        <is>
          <t>THP hesap eşleme tablosu</t>
        </is>
      </c>
      <c r="E6" s="156" t="inlineStr">
        <is>
          <t>Kritik satırlar THP ile uyumlu</t>
        </is>
      </c>
      <c r="F6" s="156" t="inlineStr">
        <is>
          <t>HATA</t>
        </is>
      </c>
      <c r="G6" s="156" t="inlineStr">
        <is>
          <t>Sözleşmeler</t>
        </is>
      </c>
    </row>
    <row r="7">
      <c r="A7" s="160" t="n">
        <v>4</v>
      </c>
      <c r="B7" s="156" t="inlineStr">
        <is>
          <t>Veri ve Anlam Sözleşmeleri</t>
        </is>
      </c>
      <c r="C7" s="156" t="inlineStr">
        <is>
          <t>Girdi/KPI varsa</t>
        </is>
      </c>
      <c r="D7" s="156" t="inlineStr">
        <is>
          <t>Veri + KPI sözleşmeleri</t>
        </is>
      </c>
      <c r="E7" s="156" t="inlineStr">
        <is>
          <t>Kapsam %100</t>
        </is>
      </c>
      <c r="F7" s="156" t="inlineStr">
        <is>
          <t>HATA</t>
        </is>
      </c>
      <c r="G7" s="156" t="inlineStr">
        <is>
          <t>Üretim</t>
        </is>
      </c>
    </row>
    <row r="8">
      <c r="A8" s="160" t="n">
        <v>5</v>
      </c>
      <c r="B8" s="156" t="inlineStr">
        <is>
          <t>Üretim</t>
        </is>
      </c>
      <c r="C8" s="156" t="inlineStr">
        <is>
          <t>Sözleşmeler GEÇTİ</t>
        </is>
      </c>
      <c r="D8" s="156" t="inlineStr">
        <is>
          <t>Çalışan Excel</t>
        </is>
      </c>
      <c r="E8" s="156" t="inlineStr">
        <is>
          <t>Tek gerçek kaynak korunmuş</t>
        </is>
      </c>
      <c r="F8" s="156" t="inlineStr">
        <is>
          <t>HATA</t>
        </is>
      </c>
      <c r="G8" s="156" t="inlineStr">
        <is>
          <t>Testler</t>
        </is>
      </c>
    </row>
    <row r="9" ht="28" customHeight="1">
      <c r="A9" s="160" t="n">
        <v>6</v>
      </c>
      <c r="B9" s="156" t="inlineStr">
        <is>
          <t>Görsel/Kullanım Katmanı</t>
        </is>
      </c>
      <c r="C9" s="156" t="inlineStr">
        <is>
          <t>Motor hazır</t>
        </is>
      </c>
      <c r="D9" s="156" t="inlineStr">
        <is>
          <t>Başlıklar + renk + grafik + yönlendirme</t>
        </is>
      </c>
      <c r="E9" s="156" t="inlineStr">
        <is>
          <t>Tüm kullanıcı sayfaları standarda uygun</t>
        </is>
      </c>
      <c r="F9" s="156" t="inlineStr">
        <is>
          <t>HATA</t>
        </is>
      </c>
      <c r="G9" s="156" t="inlineStr">
        <is>
          <t>Testler</t>
        </is>
      </c>
    </row>
    <row r="10" ht="28" customHeight="1">
      <c r="A10" s="160" t="n">
        <v>7</v>
      </c>
      <c r="B10" s="156" t="inlineStr">
        <is>
          <t>Testler</t>
        </is>
      </c>
      <c r="C10" s="156" t="inlineStr">
        <is>
          <t>Üretim tamam</t>
        </is>
      </c>
      <c r="D10" s="156" t="inlineStr">
        <is>
          <t>Formül/OOXML/kimlik/oracle/golden/metamorfik</t>
        </is>
      </c>
      <c r="E10" s="156" t="inlineStr">
        <is>
          <t>Uygulanabilir hard gate'ler GEÇTİ</t>
        </is>
      </c>
      <c r="F10" s="156" t="inlineStr">
        <is>
          <t>HATA</t>
        </is>
      </c>
      <c r="G10" s="156" t="inlineStr">
        <is>
          <t>Kanıt</t>
        </is>
      </c>
    </row>
    <row r="11">
      <c r="A11" s="160" t="n">
        <v>8</v>
      </c>
      <c r="B11" s="156" t="inlineStr">
        <is>
          <t>Hata-Kontrol Tutarlılığı</t>
        </is>
      </c>
      <c r="C11" s="156" t="inlineStr">
        <is>
          <t>Test sonucu var</t>
        </is>
      </c>
      <c r="D11" s="156" t="inlineStr">
        <is>
          <t>Hata taraması + kontrol sonuçları</t>
        </is>
      </c>
      <c r="E11" s="156" t="inlineStr">
        <is>
          <t>Formül hatası varken GEÇTİ yok</t>
        </is>
      </c>
      <c r="F11" s="156" t="inlineStr">
        <is>
          <t>HATA</t>
        </is>
      </c>
      <c r="G11" s="156" t="inlineStr">
        <is>
          <t>Kanıt</t>
        </is>
      </c>
    </row>
    <row r="12">
      <c r="A12" s="160" t="n">
        <v>9</v>
      </c>
      <c r="B12" s="156" t="inlineStr">
        <is>
          <t>Kanıt</t>
        </is>
      </c>
      <c r="C12" s="156" t="inlineStr">
        <is>
          <t>Test sonucu var</t>
        </is>
      </c>
      <c r="D12" s="156" t="inlineStr">
        <is>
          <t>Makine okunur artefakt + özet</t>
        </is>
      </c>
      <c r="E12" s="156" t="inlineStr">
        <is>
          <t>Kanıt fiziksel ve tutarlı</t>
        </is>
      </c>
      <c r="F12" s="156" t="inlineStr">
        <is>
          <t>HATA</t>
        </is>
      </c>
      <c r="G12" s="156" t="inlineStr">
        <is>
          <t>Kullanıcı Kabulü</t>
        </is>
      </c>
    </row>
    <row r="13">
      <c r="A13" s="160" t="n">
        <v>10</v>
      </c>
      <c r="B13" s="156" t="inlineStr">
        <is>
          <t>Kullanıcı Kabulü</t>
        </is>
      </c>
      <c r="C13" s="156" t="inlineStr">
        <is>
          <t>Kritik görevler</t>
        </is>
      </c>
      <c r="D13" s="156" t="inlineStr">
        <is>
          <t>Gerçek ekran davranışı</t>
        </is>
      </c>
      <c r="E13" s="156" t="inlineStr">
        <is>
          <t>Kritik görevler %100</t>
        </is>
      </c>
      <c r="F13" s="156" t="inlineStr">
        <is>
          <t>DIŞ_KABUL_GEREKLİ</t>
        </is>
      </c>
      <c r="G13" s="156" t="inlineStr">
        <is>
          <t>Ticari</t>
        </is>
      </c>
    </row>
    <row r="14">
      <c r="A14" s="160" t="n">
        <v>11</v>
      </c>
      <c r="B14" s="156" t="inlineStr">
        <is>
          <t>Ticari Değer</t>
        </is>
      </c>
      <c r="C14" s="156" t="inlineStr">
        <is>
          <t>Ürün satılacaksa</t>
        </is>
      </c>
      <c r="D14" s="156" t="inlineStr">
        <is>
          <t>ROI + demo + kanıt paketi</t>
        </is>
      </c>
      <c r="E14" s="156" t="inlineStr">
        <is>
          <t>Ekonomik değer kanıtlı</t>
        </is>
      </c>
      <c r="F14" s="156" t="inlineStr">
        <is>
          <t>UYARI / HATA</t>
        </is>
      </c>
      <c r="G14" s="156" t="inlineStr">
        <is>
          <t>Pazar Doğrulama</t>
        </is>
      </c>
    </row>
    <row r="15">
      <c r="A15" s="160" t="n">
        <v>12</v>
      </c>
      <c r="B15" s="156" t="inlineStr">
        <is>
          <t>Pazar Doğrulama</t>
        </is>
      </c>
      <c r="C15" s="156" t="inlineStr">
        <is>
          <t>Pazar iddiası varsa</t>
        </is>
      </c>
      <c r="D15" s="156" t="inlineStr">
        <is>
          <t>Ücretli satış/pilot/fiyat kabul kanıtı</t>
        </is>
      </c>
      <c r="E15" s="156" t="inlineStr">
        <is>
          <t>Gerçek fiyat kabul kanıtı</t>
        </is>
      </c>
      <c r="F15" s="156" t="inlineStr">
        <is>
          <t>UYGULANMAZ / HATA</t>
        </is>
      </c>
      <c r="G15" s="156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NİHAİ KONTROL LİSTESİ — KANITSIZ GEÇİŞ YOK</t>
        </is>
      </c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6" t="inlineStr">
        <is>
          <t>Kullanıcının açık talebi öncelikli mi?</t>
        </is>
      </c>
      <c r="C4" s="156" t="inlineStr">
        <is>
          <t>Evet</t>
        </is>
      </c>
      <c r="D4" s="156" t="inlineStr">
        <is>
          <t>EVET</t>
        </is>
      </c>
    </row>
    <row r="5">
      <c r="A5" s="163" t="inlineStr">
        <is>
          <t>K02</t>
        </is>
      </c>
      <c r="B5" s="156" t="inlineStr">
        <is>
          <t>Mevcut yapı, formüller ve tek gerçek kaynak korunuyor mu?</t>
        </is>
      </c>
      <c r="C5" s="156" t="inlineStr">
        <is>
          <t>Evet, değişiklik gerekçeli</t>
        </is>
      </c>
      <c r="D5" s="156" t="inlineStr">
        <is>
          <t>EVET</t>
        </is>
      </c>
    </row>
    <row r="6">
      <c r="A6" s="163" t="inlineStr">
        <is>
          <t>K03</t>
        </is>
      </c>
      <c r="B6" s="156" t="inlineStr">
        <is>
          <t>Üst aşama HATA ise alt aşama GEÇTİ engelleniyor mu?</t>
        </is>
      </c>
      <c r="C6" s="156" t="inlineStr">
        <is>
          <t>Evet</t>
        </is>
      </c>
      <c r="D6" s="156" t="inlineStr">
        <is>
          <t>EVET</t>
        </is>
      </c>
    </row>
    <row r="7">
      <c r="A7" s="163" t="inlineStr">
        <is>
          <t>K04</t>
        </is>
      </c>
      <c r="B7" s="156" t="inlineStr">
        <is>
          <t>Kanıt fiziksel çıktı ve içerik doğrulaması içeriyor mu?</t>
        </is>
      </c>
      <c r="C7" s="156" t="inlineStr">
        <is>
          <t>Evet</t>
        </is>
      </c>
      <c r="D7" s="156" t="inlineStr">
        <is>
          <t>EVET</t>
        </is>
      </c>
    </row>
    <row r="8">
      <c r="A8" s="163" t="inlineStr">
        <is>
          <t>K05</t>
        </is>
      </c>
      <c r="B8" s="156" t="inlineStr">
        <is>
          <t>Excel GUI erişimi olmadan kullanıcı görünümü GEÇTİ yazılıyor mu?</t>
        </is>
      </c>
      <c r="C8" s="156" t="inlineStr">
        <is>
          <t>Hayır</t>
        </is>
      </c>
      <c r="D8" s="156" t="inlineStr">
        <is>
          <t>EVET</t>
        </is>
      </c>
    </row>
    <row r="9">
      <c r="A9" s="163" t="inlineStr">
        <is>
          <t>K06</t>
        </is>
      </c>
      <c r="B9" s="156" t="inlineStr">
        <is>
          <t>NİHAİ yalnız GEÇTİ / gerekçeli UYGULANMAZ ile mi?</t>
        </is>
      </c>
      <c r="C9" s="156" t="inlineStr">
        <is>
          <t>Evet</t>
        </is>
      </c>
      <c r="D9" s="156" t="inlineStr">
        <is>
          <t>EVET</t>
        </is>
      </c>
    </row>
    <row r="10">
      <c r="A10" s="163" t="inlineStr">
        <is>
          <t>K07</t>
        </is>
      </c>
      <c r="B10" s="156" t="inlineStr">
        <is>
          <t>Ekonomik fiyat savunusu pazar doğrulamasından ayrılmış mı?</t>
        </is>
      </c>
      <c r="C10" s="156" t="inlineStr">
        <is>
          <t>Evet</t>
        </is>
      </c>
      <c r="D10" s="156" t="inlineStr">
        <is>
          <t>EVET</t>
        </is>
      </c>
    </row>
    <row r="11">
      <c r="A11" s="163" t="inlineStr">
        <is>
          <t>K08</t>
        </is>
      </c>
      <c r="B11" s="156" t="inlineStr">
        <is>
          <t>Prestij için gereksiz modül var mı?</t>
        </is>
      </c>
      <c r="C11" s="156" t="inlineStr">
        <is>
          <t>Hayır</t>
        </is>
      </c>
      <c r="D11" s="156" t="inlineStr">
        <is>
          <t>HAYIR</t>
        </is>
      </c>
    </row>
    <row r="12">
      <c r="A12" s="163" t="inlineStr">
        <is>
          <t>K09</t>
        </is>
      </c>
      <c r="B12" s="156" t="inlineStr">
        <is>
          <t>Excel sınırları açık mı?</t>
        </is>
      </c>
      <c r="C12" s="156" t="inlineStr">
        <is>
          <t>Evet</t>
        </is>
      </c>
      <c r="D12" s="156" t="inlineStr">
        <is>
          <t>EVET</t>
        </is>
      </c>
    </row>
    <row r="13">
      <c r="A13" s="163" t="inlineStr">
        <is>
          <t>K10</t>
        </is>
      </c>
      <c r="B13" s="156" t="inlineStr">
        <is>
          <t>Teknik kaynak korunuyor mu?</t>
        </is>
      </c>
      <c r="C13" s="156" t="inlineStr">
        <is>
          <t>Evet</t>
        </is>
      </c>
      <c r="D13" s="156" t="inlineStr">
        <is>
          <t>EVET</t>
        </is>
      </c>
    </row>
    <row r="14">
      <c r="A14" s="163" t="inlineStr">
        <is>
          <t>K11</t>
        </is>
      </c>
      <c r="B14" s="156" t="inlineStr">
        <is>
          <t>Kullanıcıya görünen tüm metinler Türkçe mi?</t>
        </is>
      </c>
      <c r="C14" s="156" t="inlineStr">
        <is>
          <t>Evet</t>
        </is>
      </c>
      <c r="D14" s="156" t="inlineStr">
        <is>
          <t>EVET</t>
        </is>
      </c>
    </row>
    <row r="15">
      <c r="A15" s="163" t="inlineStr">
        <is>
          <t>K12</t>
        </is>
      </c>
      <c r="B15" s="156" t="inlineStr">
        <is>
          <t>Her kullanıcı sayfasında üst başlık var mı?</t>
        </is>
      </c>
      <c r="C15" s="156" t="inlineStr">
        <is>
          <t>Evet</t>
        </is>
      </c>
      <c r="D15" s="156" t="inlineStr">
        <is>
          <t>EVET</t>
        </is>
      </c>
    </row>
    <row r="16">
      <c r="A16" s="163" t="inlineStr">
        <is>
          <t>K13</t>
        </is>
      </c>
      <c r="B16" s="156" t="inlineStr">
        <is>
          <t>Sayfalar arasında tutarlı renk sistemi var mı?</t>
        </is>
      </c>
      <c r="C16" s="156" t="inlineStr">
        <is>
          <t>Evet</t>
        </is>
      </c>
      <c r="D16" s="156" t="inlineStr">
        <is>
          <t>EVET</t>
        </is>
      </c>
    </row>
    <row r="17">
      <c r="A17" s="163" t="inlineStr">
        <is>
          <t>K14</t>
        </is>
      </c>
      <c r="B17" s="156" t="inlineStr">
        <is>
          <t>Alt sayfa sekmeleri işlevine göre renklendirilmiş mi?</t>
        </is>
      </c>
      <c r="C17" s="156" t="inlineStr">
        <is>
          <t>Evet</t>
        </is>
      </c>
      <c r="D17" s="156" t="inlineStr">
        <is>
          <t>EVET</t>
        </is>
      </c>
    </row>
    <row r="18">
      <c r="A18" s="163" t="inlineStr">
        <is>
          <t>K15</t>
        </is>
      </c>
      <c r="B18" s="156" t="inlineStr">
        <is>
          <t>İçerik blokları arasında gereksiz boş kolon var mı?</t>
        </is>
      </c>
      <c r="C18" s="156" t="inlineStr">
        <is>
          <t>Hayır</t>
        </is>
      </c>
      <c r="D18" s="156" t="inlineStr">
        <is>
          <t>EVET</t>
        </is>
      </c>
    </row>
    <row r="19">
      <c r="A19" s="163" t="inlineStr">
        <is>
          <t>K16</t>
        </is>
      </c>
      <c r="B19" s="156" t="inlineStr">
        <is>
          <t>Grafikler premium ve karar odaklı mı?</t>
        </is>
      </c>
      <c r="C19" s="156" t="inlineStr">
        <is>
          <t>Evet</t>
        </is>
      </c>
      <c r="D19" s="156" t="inlineStr">
        <is>
          <t>EVET</t>
        </is>
      </c>
    </row>
    <row r="20">
      <c r="A20" s="163" t="inlineStr">
        <is>
          <t>K17</t>
        </is>
      </c>
      <c r="B20" s="156" t="inlineStr">
        <is>
          <t>Varsayılan Excel grafiği / 3B / dekoratif grafik var mı?</t>
        </is>
      </c>
      <c r="C20" s="156" t="inlineStr">
        <is>
          <t>Hayır</t>
        </is>
      </c>
      <c r="D20" s="156" t="inlineStr">
        <is>
          <t>EVET</t>
        </is>
      </c>
    </row>
    <row r="21">
      <c r="A21" s="163" t="inlineStr">
        <is>
          <t>K18</t>
        </is>
      </c>
      <c r="B21" s="156" t="inlineStr">
        <is>
          <t>Finansal ürün Türkiye Tekdüzen Hesap Planı ile eşleşiyor mu?</t>
        </is>
      </c>
      <c r="C21" s="156" t="inlineStr">
        <is>
          <t>Evet</t>
        </is>
      </c>
      <c r="D21" s="156" t="inlineStr">
        <is>
          <t>EVET</t>
        </is>
      </c>
    </row>
    <row r="22">
      <c r="A22" s="163" t="inlineStr">
        <is>
          <t>K19</t>
        </is>
      </c>
      <c r="B22" s="156" t="inlineStr">
        <is>
          <t>Muhasebe satır adları Türkiye kullanımına uygun mu?</t>
        </is>
      </c>
      <c r="C22" s="156" t="inlineStr">
        <is>
          <t>Evet</t>
        </is>
      </c>
      <c r="D22" s="156" t="inlineStr">
        <is>
          <t>EVET</t>
        </is>
      </c>
    </row>
    <row r="23">
      <c r="A23" s="163" t="inlineStr">
        <is>
          <t>K20</t>
        </is>
      </c>
      <c r="B23" s="156" t="inlineStr">
        <is>
          <t>Formül hatası varken herhangi bir kontrol GEÇTİ gösteriyor mu?</t>
        </is>
      </c>
      <c r="C23" s="156" t="inlineStr">
        <is>
          <t>Hayır</t>
        </is>
      </c>
      <c r="D23" s="156" t="inlineStr">
        <is>
          <t>EVET</t>
        </is>
      </c>
    </row>
    <row r="24">
      <c r="A24" s="163" t="inlineStr">
        <is>
          <t>K21</t>
        </is>
      </c>
      <c r="B24" s="156" t="inlineStr">
        <is>
          <t>Karar Motoru boş veya yalnız başlık düzeyinde mi?</t>
        </is>
      </c>
      <c r="C24" s="156" t="inlineStr">
        <is>
          <t>Hayır</t>
        </is>
      </c>
      <c r="D24" s="156" t="inlineStr">
        <is>
          <t>EVET</t>
        </is>
      </c>
    </row>
    <row r="25">
      <c r="A25" s="163" t="inlineStr">
        <is>
          <t>K22</t>
        </is>
      </c>
      <c r="B25" s="156" t="inlineStr">
        <is>
          <t>Senaryo/Stres modülü gerçekten sonuç değiştiriyor mu?</t>
        </is>
      </c>
      <c r="C25" s="156" t="inlineStr">
        <is>
          <t>Evet</t>
        </is>
      </c>
      <c r="D25" s="156" t="inlineStr">
        <is>
          <t>EVET</t>
        </is>
      </c>
    </row>
    <row r="26">
      <c r="A26" s="163" t="inlineStr">
        <is>
          <t>K23</t>
        </is>
      </c>
      <c r="B26" s="156" t="inlineStr">
        <is>
          <t>Oracle/bağımsız doğrulama gerçek veri üretiyor mu?</t>
        </is>
      </c>
      <c r="C26" s="156" t="inlineStr">
        <is>
          <t>Evet veya gerekçeli UYGULANMAZ</t>
        </is>
      </c>
      <c r="D26" s="156" t="inlineStr">
        <is>
          <t>EVET</t>
        </is>
      </c>
    </row>
    <row r="27">
      <c r="A27" s="163" t="inlineStr">
        <is>
          <t>K24</t>
        </is>
      </c>
      <c r="B27" s="156" t="inlineStr">
        <is>
          <t>Yönetici ekranı 5 saniyede sorunu ve aksiyonu anlatıyor mu?</t>
        </is>
      </c>
      <c r="C27" s="156" t="inlineStr">
        <is>
          <t>Evet</t>
        </is>
      </c>
      <c r="D27" s="156" t="inlineStr">
        <is>
          <t>EVET</t>
        </is>
      </c>
    </row>
    <row r="28">
      <c r="A28" s="163" t="inlineStr">
        <is>
          <t>K25</t>
        </is>
      </c>
      <c r="B28" s="156" t="inlineStr">
        <is>
          <t>Her kritik kararın parasal etkisi ve önerilen aksiyonu var mı?</t>
        </is>
      </c>
      <c r="C28" s="156" t="inlineStr">
        <is>
          <t>Evet</t>
        </is>
      </c>
      <c r="D28" s="156" t="inlineStr">
        <is>
          <t>EVET</t>
        </is>
      </c>
    </row>
    <row r="29">
      <c r="A29" s="163" t="inlineStr">
        <is>
          <t>K26</t>
        </is>
      </c>
      <c r="B29" s="156" t="inlineStr">
        <is>
          <t>Ürün sayfası/ürün içi demo satın alma gerekçesini kanıtlıyor mu?</t>
        </is>
      </c>
      <c r="C29" s="156" t="inlineStr">
        <is>
          <t>Evet</t>
        </is>
      </c>
      <c r="D29" s="156" t="inlineStr">
        <is>
          <t>EVET</t>
        </is>
      </c>
    </row>
    <row r="30" ht="30" customHeight="1">
      <c r="A30" s="164" t="inlineStr">
        <is>
          <t>K27</t>
        </is>
      </c>
      <c r="B30" s="165" t="inlineStr">
        <is>
          <t>Buton görünümü verilen tüm alanlar gerçekten tıklanabilir ve doğru hedefe gidiyor mu?</t>
        </is>
      </c>
      <c r="C30" s="165" t="inlineStr">
        <is>
          <t>Evet</t>
        </is>
      </c>
      <c r="D30" s="156" t="inlineStr">
        <is>
          <t>EVET</t>
        </is>
      </c>
    </row>
    <row r="31" ht="30" customHeight="1">
      <c r="A31" s="164" t="inlineStr">
        <is>
          <t>K28</t>
        </is>
      </c>
      <c r="B31" s="165" t="inlineStr">
        <is>
          <t>Tüm görünür kullanıcı sheet tabları kurumsal kategori rengi taşıyor mu?</t>
        </is>
      </c>
      <c r="C31" s="165" t="inlineStr">
        <is>
          <t>Evet</t>
        </is>
      </c>
      <c r="D31" s="156" t="inlineStr">
        <is>
          <t>EVET</t>
        </is>
      </c>
    </row>
    <row r="32" ht="16" customHeight="1">
      <c r="A32" s="164" t="inlineStr">
        <is>
          <t>K29</t>
        </is>
      </c>
      <c r="B32" s="165" t="inlineStr">
        <is>
          <t>Sheet sırası tanımlı kullanıcı iş akışıyla birebir aynı mı?</t>
        </is>
      </c>
      <c r="C32" s="165" t="inlineStr">
        <is>
          <t>Evet</t>
        </is>
      </c>
      <c r="D32" s="156" t="inlineStr">
        <is>
          <t>EVET</t>
        </is>
      </c>
    </row>
    <row r="33" ht="30" customHeight="1">
      <c r="A33" s="164" t="inlineStr">
        <is>
          <t>K30</t>
        </is>
      </c>
      <c r="B33" s="165" t="inlineStr">
        <is>
          <t>Kurumsal renk paleti tutarlı mı; rastgele/gökkuşağı renk kullanımı var mı?</t>
        </is>
      </c>
      <c r="C33" s="165" t="inlineStr">
        <is>
          <t>Evet / Hayır</t>
        </is>
      </c>
      <c r="D33" s="156" t="inlineStr">
        <is>
          <t>EVET</t>
        </is>
      </c>
    </row>
    <row r="34" ht="30" customHeight="1">
      <c r="A34" s="164" t="inlineStr">
        <is>
          <t>K31</t>
        </is>
      </c>
      <c r="B34" s="165" t="inlineStr">
        <is>
          <t>Premium vitrin, altyapı kadar güçlü ve satış fiyatını destekleyecek seviyede mi?</t>
        </is>
      </c>
      <c r="C34" s="165" t="inlineStr">
        <is>
          <t>Evet</t>
        </is>
      </c>
      <c r="D34" s="156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GÖRSEL TASARIM VE PREMIUM EXCEL STANDARDI</t>
        </is>
      </c>
    </row>
    <row r="2"/>
    <row r="3" ht="24" customHeight="1">
      <c r="A3" s="167" t="inlineStr">
        <is>
          <t>Alan</t>
        </is>
      </c>
      <c r="B3" s="167" t="inlineStr">
        <is>
          <t>Zorunlu Kural</t>
        </is>
      </c>
      <c r="C3" s="167" t="inlineStr">
        <is>
          <t>Uygulama</t>
        </is>
      </c>
      <c r="D3" s="167" t="inlineStr">
        <is>
          <t>Yasak</t>
        </is>
      </c>
      <c r="E3" s="167" t="inlineStr">
        <is>
          <t>Kontrol</t>
        </is>
      </c>
      <c r="F3" s="167" t="inlineStr">
        <is>
          <t>Durum</t>
        </is>
      </c>
    </row>
    <row r="4" ht="28" customHeight="1">
      <c r="A4" s="168" t="inlineStr">
        <is>
          <t>Sayfa başlığı</t>
        </is>
      </c>
      <c r="B4" s="156" t="inlineStr">
        <is>
          <t>Her kullanıcı sayfasının en üstünde tek ve açık sayfa başlığı</t>
        </is>
      </c>
      <c r="C4" s="156" t="inlineStr">
        <is>
          <t>A1'den başlayan koyu lacivert başlık bandı</t>
        </is>
      </c>
      <c r="D4" s="156" t="inlineStr">
        <is>
          <t>Başlıksız sayfa</t>
        </is>
      </c>
      <c r="E4" s="156" t="inlineStr">
        <is>
          <t>Başlık kapsama = %100</t>
        </is>
      </c>
      <c r="F4" s="169" t="inlineStr">
        <is>
          <t>ZORUNLU</t>
        </is>
      </c>
    </row>
    <row r="5" ht="28" customHeight="1">
      <c r="A5" s="168" t="inlineStr">
        <is>
          <t>Sekme renkleri</t>
        </is>
      </c>
      <c r="B5" s="156" t="inlineStr">
        <is>
          <t>Sayfalar işlevine göre renk kodlanır</t>
        </is>
      </c>
      <c r="C5" s="156" t="inlineStr">
        <is>
          <t>Girdi=mavi, hesap=gri, rapor=lacivert, kontrol=kırmızı, kılavuz=altın</t>
        </is>
      </c>
      <c r="D5" s="156" t="inlineStr">
        <is>
          <t>Rastgele renk</t>
        </is>
      </c>
      <c r="E5" s="156" t="inlineStr">
        <is>
          <t>Renk semantiği tutarlı</t>
        </is>
      </c>
      <c r="F5" s="169" t="inlineStr">
        <is>
          <t>ZORUNLU</t>
        </is>
      </c>
    </row>
    <row r="6" ht="28" customHeight="1">
      <c r="A6" s="168" t="inlineStr">
        <is>
          <t>Kolon düzeni</t>
        </is>
      </c>
      <c r="B6" s="156" t="inlineStr">
        <is>
          <t>Veri blokları bitişik kolonlarda ilerler</t>
        </is>
      </c>
      <c r="C6" s="156" t="inlineStr">
        <is>
          <t>Gereksiz boş kolon bırakma; yalnız gerçek bölüm ayrımı varsa kontrollü boşluk</t>
        </is>
      </c>
      <c r="D6" s="156" t="inlineStr">
        <is>
          <t>A:C veri, D boş, E:F veri gibi parçalı yapı</t>
        </is>
      </c>
      <c r="E6" s="156" t="inlineStr">
        <is>
          <t>Boş kolon taraması</t>
        </is>
      </c>
      <c r="F6" s="169" t="inlineStr">
        <is>
          <t>ZORUNLU</t>
        </is>
      </c>
    </row>
    <row r="7" ht="16" customHeight="1">
      <c r="A7" s="168" t="inlineStr">
        <is>
          <t>Girdi hücreleri</t>
        </is>
      </c>
      <c r="B7" s="156" t="inlineStr">
        <is>
          <t>Kullanıcının değiştireceği alan açıkça görünür</t>
        </is>
      </c>
      <c r="C7" s="156" t="inlineStr">
        <is>
          <t>Açık sarı dolgu + mavi yazı</t>
        </is>
      </c>
      <c r="D7" s="156" t="inlineStr">
        <is>
          <t>Formülle aynı görünüm</t>
        </is>
      </c>
      <c r="E7" s="156" t="inlineStr">
        <is>
          <t>Girdi/formül ayrımı</t>
        </is>
      </c>
      <c r="F7" s="169" t="inlineStr">
        <is>
          <t>ZORUNLU</t>
        </is>
      </c>
    </row>
    <row r="8" ht="16" customHeight="1">
      <c r="A8" s="168" t="inlineStr">
        <is>
          <t>Formüller</t>
        </is>
      </c>
      <c r="B8" s="156" t="inlineStr">
        <is>
          <t>Hesap hücreleri kullanıcı girdisinden ayrılır</t>
        </is>
      </c>
      <c r="C8" s="156" t="inlineStr">
        <is>
          <t>Siyah yazı; sayfalar arası bağlantı yeşil yazı</t>
        </is>
      </c>
      <c r="D8" s="156" t="inlineStr">
        <is>
          <t>Hard-code gizleme</t>
        </is>
      </c>
      <c r="E8" s="156" t="inlineStr">
        <is>
          <t>Formül sınıfı kontrolü</t>
        </is>
      </c>
      <c r="F8" s="169" t="inlineStr">
        <is>
          <t>ZORUNLU</t>
        </is>
      </c>
    </row>
    <row r="9" ht="16" customHeight="1">
      <c r="A9" s="168" t="inlineStr">
        <is>
          <t>Grafik sayısı</t>
        </is>
      </c>
      <c r="B9" s="156" t="inlineStr">
        <is>
          <t>Yönetici ekranında en fazla 3 ana karar grafiği</t>
        </is>
      </c>
      <c r="C9" s="156" t="inlineStr">
        <is>
          <t>Trend, karşılaştırma, köprü/dağılım; iş kararına bağlı</t>
        </is>
      </c>
      <c r="D9" s="156" t="inlineStr">
        <is>
          <t>Grafik kalabalığı</t>
        </is>
      </c>
      <c r="E9" s="156" t="inlineStr">
        <is>
          <t>Grafik başına karar sorusu</t>
        </is>
      </c>
      <c r="F9" s="169" t="inlineStr">
        <is>
          <t>ZORUNLU</t>
        </is>
      </c>
    </row>
    <row r="10" ht="16" customHeight="1">
      <c r="A10" s="168" t="inlineStr">
        <is>
          <t>Grafik stili</t>
        </is>
      </c>
      <c r="B10" s="156" t="inlineStr">
        <is>
          <t>Kurumsal ve yüksek okunabilirlik</t>
        </is>
      </c>
      <c r="C10" s="156" t="inlineStr">
        <is>
          <t>Beyaz zemin, ince gridline, tek vurgu rengi, açık birim/başlık</t>
        </is>
      </c>
      <c r="D10" s="156" t="inlineStr">
        <is>
          <t>3B, gölge, neon, gökkuşağı renkleri</t>
        </is>
      </c>
      <c r="E10" s="156" t="inlineStr">
        <is>
          <t>Görsel inceleme</t>
        </is>
      </c>
      <c r="F10" s="169" t="inlineStr">
        <is>
          <t>ZORUNLU</t>
        </is>
      </c>
    </row>
    <row r="11" ht="16" customHeight="1">
      <c r="A11" s="168" t="inlineStr">
        <is>
          <t>Grafik başlığı</t>
        </is>
      </c>
      <c r="B11" s="156" t="inlineStr">
        <is>
          <t>Grafik 'neyi' değil 'ne anlama geldiğini' söyler</t>
        </is>
      </c>
      <c r="C11" s="156" t="inlineStr">
        <is>
          <t>Örn: 'Nakit 2028'de kritik eşiğin altına iniyor'</t>
        </is>
      </c>
      <c r="D11" s="156" t="inlineStr">
        <is>
          <t>'Nakit Grafiği' gibi anlamsız başlık</t>
        </is>
      </c>
      <c r="E11" s="156" t="inlineStr">
        <is>
          <t>Başlık karar testi</t>
        </is>
      </c>
      <c r="F11" s="169" t="inlineStr">
        <is>
          <t>ZORUNLU</t>
        </is>
      </c>
    </row>
    <row r="12" ht="16" customHeight="1">
      <c r="A12" s="168" t="inlineStr">
        <is>
          <t>Birimler</t>
        </is>
      </c>
      <c r="B12" s="156" t="inlineStr">
        <is>
          <t>Tüm finansal görsellerde birim açık</t>
        </is>
      </c>
      <c r="C12" s="156" t="inlineStr">
        <is>
          <t>TL, bin TL, milyon TL, %, gün, x</t>
        </is>
      </c>
      <c r="D12" s="156" t="inlineStr">
        <is>
          <t>Birim belirsizliği</t>
        </is>
      </c>
      <c r="E12" s="156" t="inlineStr">
        <is>
          <t>Birim kapsama %100</t>
        </is>
      </c>
      <c r="F12" s="169" t="inlineStr">
        <is>
          <t>ZORUNLU</t>
        </is>
      </c>
    </row>
    <row r="13" ht="16" customHeight="1">
      <c r="A13" s="168" t="inlineStr">
        <is>
          <t>Sıfır/negatif</t>
        </is>
      </c>
      <c r="B13" s="156" t="inlineStr">
        <is>
          <t>Finansal format standardı</t>
        </is>
      </c>
      <c r="C13" s="156" t="inlineStr">
        <is>
          <t>Sıfır='-', negatif kırmızı parantez</t>
        </is>
      </c>
      <c r="D13" s="156" t="inlineStr">
        <is>
          <t>-500 veya 0,00 kalabalığı</t>
        </is>
      </c>
      <c r="E13" s="156" t="inlineStr">
        <is>
          <t>Format kontrolü</t>
        </is>
      </c>
      <c r="F13" s="169" t="inlineStr">
        <is>
          <t>ZORUNLU</t>
        </is>
      </c>
    </row>
    <row r="14" ht="16" customHeight="1">
      <c r="A14" s="168" t="inlineStr">
        <is>
          <t>Yazı tipi</t>
        </is>
      </c>
      <c r="B14" s="156" t="inlineStr">
        <is>
          <t>Tek aile</t>
        </is>
      </c>
      <c r="C14" s="156" t="inlineStr">
        <is>
          <t>Aptos veya Segoe UI</t>
        </is>
      </c>
      <c r="D14" s="156" t="inlineStr">
        <is>
          <t>Karışık font</t>
        </is>
      </c>
      <c r="E14" s="156" t="inlineStr">
        <is>
          <t>Tek font kontrolü</t>
        </is>
      </c>
      <c r="F14" s="169" t="inlineStr">
        <is>
          <t>ZORUNLU</t>
        </is>
      </c>
    </row>
    <row r="15" ht="16" customHeight="1">
      <c r="A15" s="168" t="inlineStr">
        <is>
          <t>Izgara</t>
        </is>
      </c>
      <c r="B15" s="156" t="inlineStr">
        <is>
          <t>Kullanıcı sayfalarında kapalı</t>
        </is>
      </c>
      <c r="C15" s="156" t="inlineStr">
        <is>
          <t>Bölüm çizgileri ve kart sınırlarıyla düzen</t>
        </is>
      </c>
      <c r="D15" s="156" t="inlineStr">
        <is>
          <t>Excel varsayılan gridline</t>
        </is>
      </c>
      <c r="E15" s="156" t="inlineStr">
        <is>
          <t>Gridline kontrolü</t>
        </is>
      </c>
      <c r="F15" s="169" t="inlineStr">
        <is>
          <t>ZORUNLU</t>
        </is>
      </c>
    </row>
    <row r="16" ht="16" customHeight="1">
      <c r="A16" s="168" t="inlineStr">
        <is>
          <t>Boş durum</t>
        </is>
      </c>
      <c r="B16" s="156" t="inlineStr">
        <is>
          <t>Veri yokken temiz ve anlaşılır</t>
        </is>
      </c>
      <c r="C16" s="156" t="inlineStr">
        <is>
          <t>'Henüz veri yok' / 'Girdi bekleniyor'</t>
        </is>
      </c>
      <c r="D16" s="156" t="inlineStr">
        <is>
          <t>0 yığını / hata kodu</t>
        </is>
      </c>
      <c r="E16" s="156" t="inlineStr">
        <is>
          <t>Boş veri testi</t>
        </is>
      </c>
      <c r="F16" s="169" t="inlineStr">
        <is>
          <t>ZORUNLU</t>
        </is>
      </c>
    </row>
    <row r="17" ht="28" customHeight="1">
      <c r="A17" s="168" t="inlineStr">
        <is>
          <t>Başlangıç deneyimi</t>
        </is>
      </c>
      <c r="B17" s="156" t="inlineStr">
        <is>
          <t>İlk 5 saniyede ne gireceği ve neye bakacağı anlaşılır</t>
        </is>
      </c>
      <c r="C17" s="156" t="inlineStr">
        <is>
          <t>Girdi → durum → aksiyon akışı</t>
        </is>
      </c>
      <c r="D17" s="156" t="inlineStr">
        <is>
          <t>Kılavuz aramaya zorlama</t>
        </is>
      </c>
      <c r="E17" s="156" t="inlineStr">
        <is>
          <t>5 saniye testi</t>
        </is>
      </c>
      <c r="F17" s="169" t="inlineStr">
        <is>
          <t>ZORUNLU</t>
        </is>
      </c>
    </row>
    <row r="18" ht="30" customHeight="1">
      <c r="A18" s="164" t="inlineStr">
        <is>
          <t>Buton standardı</t>
        </is>
      </c>
      <c r="B18" s="165" t="inlineStr">
        <is>
          <t>Buton görünümü verilen her alan gerçek işlev taşır</t>
        </is>
      </c>
      <c r="C18" s="165" t="inlineStr">
        <is>
          <t>Sayfa içi HYPERLINK / gerçek aksiyon; tıklanınca hedefe gider</t>
        </is>
      </c>
      <c r="D18" s="165" t="inlineStr">
        <is>
          <t>İşlevsiz dekoratif buton / sahte navigasyon</t>
        </is>
      </c>
      <c r="E18" s="165" t="inlineStr">
        <is>
          <t>Butonların %100'ü tıklanabilir ve hedefi doğru</t>
        </is>
      </c>
      <c r="F18" s="169" t="inlineStr">
        <is>
          <t>ZORUNLU</t>
        </is>
      </c>
    </row>
    <row r="19" ht="32" customHeight="1">
      <c r="A19" s="164" t="inlineStr">
        <is>
          <t>Native sayfa sekmesi rengi</t>
        </is>
      </c>
      <c r="B19" s="165" t="inlineStr">
        <is>
          <t>Excel alt sheet tabları kurumsal paletle renklendirilir</t>
        </is>
      </c>
      <c r="C19" s="165" t="inlineStr">
        <is>
          <t>Başlangıç/özet=lacivert; girdiler=mavi; hesap/finans=teal; karar/kontrol=burgundy; doküman=gri</t>
        </is>
      </c>
      <c r="D19" s="165" t="inlineStr">
        <is>
          <t>Renksiz sekmeler veya rastgele/gökkuşağı renkleri</t>
        </is>
      </c>
      <c r="E19" s="165" t="inlineStr">
        <is>
          <t>Tüm görünür kullanıcı sheet tabları renkli</t>
        </is>
      </c>
      <c r="F19" s="169" t="inlineStr">
        <is>
          <t>ZORUNLU</t>
        </is>
      </c>
    </row>
    <row r="20" ht="60" customHeight="1">
      <c r="A20" s="164" t="inlineStr">
        <is>
          <t>İş akışı sıralaması</t>
        </is>
      </c>
      <c r="B20" s="165" t="inlineStr">
        <is>
          <t>Sayfalar kullanıcının çalışma sırasına göre fiziksel olarak dizilir</t>
        </is>
      </c>
      <c r="C20" s="165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65" t="inlineStr">
        <is>
          <t>Teknik oluşturma sırasına göre dağınık sheet dizilimi</t>
        </is>
      </c>
      <c r="E20" s="165" t="inlineStr">
        <is>
          <t>Sheet order = tanımlı workflow</t>
        </is>
      </c>
      <c r="F20" s="169" t="inlineStr">
        <is>
          <t>ZORUNLU</t>
        </is>
      </c>
    </row>
    <row r="21" ht="30" customHeight="1">
      <c r="A21" s="164" t="inlineStr">
        <is>
          <t>Kurumsal renk paleti</t>
        </is>
      </c>
      <c r="B21" s="165" t="inlineStr">
        <is>
          <t>Sekme, başlık, buton ve vurgu renkleri tek kurumsal paletten gelir</t>
        </is>
      </c>
      <c r="C21" s="165" t="inlineStr">
        <is>
          <t>Lacivert + mavi + teal + kontrollü burgundy/gri; kategori semantiği sabit</t>
        </is>
      </c>
      <c r="D21" s="165" t="inlineStr">
        <is>
          <t>Neon, rastgele yüksek doygunluk, her sayfada farklı bağımsız renk</t>
        </is>
      </c>
      <c r="E21" s="165" t="inlineStr">
        <is>
          <t>Palette token kontrolü</t>
        </is>
      </c>
      <c r="F21" s="169" t="inlineStr">
        <is>
          <t>ZORUNLU</t>
        </is>
      </c>
    </row>
    <row r="22" ht="45" customHeight="1">
      <c r="A22" s="164" t="inlineStr">
        <is>
          <t>Premium vitrin</t>
        </is>
      </c>
      <c r="B22" s="165" t="inlineStr">
        <is>
          <t>Görsel kalite ürün değerinin zorunlu parçasıdır</t>
        </is>
      </c>
      <c r="C22" s="165" t="inlineStr">
        <is>
          <t>Kaliteli grafik, gerçek KPI kartı, finansal hiyerarşi, tab rengi, fonksiyonel navigasyon</t>
        </is>
      </c>
      <c r="D22" s="165" t="inlineStr">
        <is>
          <t>Sadece doğru hesap yapıp çıplak/varsayılan Excel görünümü bırakmak</t>
        </is>
      </c>
      <c r="E22" s="165" t="inlineStr">
        <is>
          <t>Görsel release incelemesi</t>
        </is>
      </c>
      <c r="F22" s="169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TÜRKİYE MUHASEBE VE TEKDÜZEN HESAP PLANI STANDARDI</t>
        </is>
      </c>
    </row>
    <row r="2"/>
    <row r="3" ht="24" customHeight="1">
      <c r="A3" s="171" t="inlineStr">
        <is>
          <t>Konu</t>
        </is>
      </c>
      <c r="B3" s="171" t="inlineStr">
        <is>
          <t>Zorunlu Standart</t>
        </is>
      </c>
      <c r="C3" s="171" t="inlineStr">
        <is>
          <t>Örnek Türkçe Ad</t>
        </is>
      </c>
      <c r="D3" s="171" t="inlineStr">
        <is>
          <t>THP / Mantık</t>
        </is>
      </c>
      <c r="E3" s="171" t="inlineStr">
        <is>
          <t>Hata Riski</t>
        </is>
      </c>
      <c r="F3" s="171" t="inlineStr">
        <is>
          <t>Kontrol</t>
        </is>
      </c>
    </row>
    <row r="4">
      <c r="A4" s="172" t="inlineStr">
        <is>
          <t>Dil</t>
        </is>
      </c>
      <c r="B4" s="156" t="inlineStr">
        <is>
          <t>Kullanıcıya görünen finansal terimler Türkçe</t>
        </is>
      </c>
      <c r="C4" s="156" t="inlineStr">
        <is>
          <t>Hasılat, Satışların Maliyeti, Brüt Kâr, Faaliyet Giderleri</t>
        </is>
      </c>
      <c r="D4" s="156" t="inlineStr">
        <is>
          <t>Türk işletme kullanımına uygun</t>
        </is>
      </c>
      <c r="E4" s="156" t="inlineStr">
        <is>
          <t>İngilizce jargon</t>
        </is>
      </c>
      <c r="F4" s="156" t="inlineStr">
        <is>
          <t>Terminoloji taraması</t>
        </is>
      </c>
    </row>
    <row r="5" ht="28" customHeight="1">
      <c r="A5" s="172" t="inlineStr">
        <is>
          <t>Gelir Tablosu</t>
        </is>
      </c>
      <c r="B5" s="156" t="inlineStr">
        <is>
          <t>Türk sunum sırası kullanılır</t>
        </is>
      </c>
      <c r="C5" s="156" t="inlineStr">
        <is>
          <t>Net Satışlar → Satışların Maliyeti → Brüt Kâr → Faaliyet Giderleri → Faaliyet Kârı</t>
        </is>
      </c>
      <c r="D5" s="156" t="inlineStr">
        <is>
          <t>600/610/611; 620-623; 63x</t>
        </is>
      </c>
      <c r="E5" s="156" t="inlineStr">
        <is>
          <t>Yanlış sınıflama</t>
        </is>
      </c>
      <c r="F5" s="156" t="inlineStr">
        <is>
          <t>Hesap eşleme</t>
        </is>
      </c>
    </row>
    <row r="6" ht="28" customHeight="1">
      <c r="A6" s="172" t="inlineStr">
        <is>
          <t>Bilanço</t>
        </is>
      </c>
      <c r="B6" s="156" t="inlineStr">
        <is>
          <t>Dönen/Duran Varlık ve Kısa/Uzun Vadeli Yükümlülük ayrımı</t>
        </is>
      </c>
      <c r="C6" s="156" t="inlineStr">
        <is>
          <t>Hazır Değerler, Ticari Alacaklar, Stoklar, Mali Borçlar</t>
        </is>
      </c>
      <c r="D6" s="156" t="inlineStr">
        <is>
          <t>1xx / 2xx / 3xx / 4xx / 5xx</t>
        </is>
      </c>
      <c r="E6" s="156" t="inlineStr">
        <is>
          <t>Vade sınıfı hatası</t>
        </is>
      </c>
      <c r="F6" s="156" t="inlineStr">
        <is>
          <t>Bilanço eşitliği</t>
        </is>
      </c>
    </row>
    <row r="7">
      <c r="A7" s="172" t="inlineStr">
        <is>
          <t>Nakit Akışı</t>
        </is>
      </c>
      <c r="B7" s="156" t="inlineStr">
        <is>
          <t>İşletme/Yatırım/Finansman nakit akışları ayrılır</t>
        </is>
      </c>
      <c r="C7" s="156" t="inlineStr">
        <is>
          <t>Faaliyetlerden Nakit, Yatırım Harcamaları, Finansman Nakit Akışı</t>
        </is>
      </c>
      <c r="D7" s="156" t="inlineStr">
        <is>
          <t>Dolaylı/doğrudan yöntem açık seçilir</t>
        </is>
      </c>
      <c r="E7" s="156" t="inlineStr">
        <is>
          <t>Kâr = nakit sanılması</t>
        </is>
      </c>
      <c r="F7" s="156" t="inlineStr">
        <is>
          <t>Nakit devri</t>
        </is>
      </c>
    </row>
    <row r="8">
      <c r="A8" s="172" t="inlineStr">
        <is>
          <t>Ticari Alacaklar</t>
        </is>
      </c>
      <c r="B8" s="156" t="inlineStr">
        <is>
          <t>Cari ve vade mantığı korunur</t>
        </is>
      </c>
      <c r="C8" s="156" t="inlineStr">
        <is>
          <t>120 Alıcılar</t>
        </is>
      </c>
      <c r="D8" s="156" t="inlineStr">
        <is>
          <t>120</t>
        </is>
      </c>
      <c r="E8" s="156" t="inlineStr">
        <is>
          <t>Tahakkuk/nakit karışması</t>
        </is>
      </c>
      <c r="F8" s="156" t="inlineStr">
        <is>
          <t>Alacak devir kontrolü</t>
        </is>
      </c>
    </row>
    <row r="9">
      <c r="A9" s="172" t="inlineStr">
        <is>
          <t>Ticari Borçlar</t>
        </is>
      </c>
      <c r="B9" s="156" t="inlineStr">
        <is>
          <t>Tedarikçi borcu ayrı izlenir</t>
        </is>
      </c>
      <c r="C9" s="156" t="inlineStr">
        <is>
          <t>320 Satıcılar</t>
        </is>
      </c>
      <c r="D9" s="156" t="inlineStr">
        <is>
          <t>320</t>
        </is>
      </c>
      <c r="E9" s="156" t="inlineStr">
        <is>
          <t>Gider/ödeme karışması</t>
        </is>
      </c>
      <c r="F9" s="156" t="inlineStr">
        <is>
          <t>Borç devir kontrolü</t>
        </is>
      </c>
    </row>
    <row r="10">
      <c r="A10" s="172" t="inlineStr">
        <is>
          <t>Kasa/Banka</t>
        </is>
      </c>
      <c r="B10" s="156" t="inlineStr">
        <is>
          <t>Hazır değerler ayrı izlenir</t>
        </is>
      </c>
      <c r="C10" s="156" t="inlineStr">
        <is>
          <t>100 Kasa, 102 Bankalar</t>
        </is>
      </c>
      <c r="D10" s="156" t="inlineStr">
        <is>
          <t>100 / 102</t>
        </is>
      </c>
      <c r="E10" s="156" t="inlineStr">
        <is>
          <t>Virmanla toplam nakdin değişmesi</t>
        </is>
      </c>
      <c r="F10" s="156" t="inlineStr">
        <is>
          <t>Virman değişmezi</t>
        </is>
      </c>
    </row>
    <row r="11">
      <c r="A11" s="172" t="inlineStr">
        <is>
          <t>Stok</t>
        </is>
      </c>
      <c r="B11" s="156" t="inlineStr">
        <is>
          <t>Dikeye uygun stok türü</t>
        </is>
      </c>
      <c r="C11" s="156" t="inlineStr">
        <is>
          <t>150 İlk Madde ve Malzeme, 153 Ticari Mallar</t>
        </is>
      </c>
      <c r="D11" s="156" t="inlineStr">
        <is>
          <t>15x</t>
        </is>
      </c>
      <c r="E11" s="156" t="inlineStr">
        <is>
          <t>Maliyet ve stok hareketinin kopması</t>
        </is>
      </c>
      <c r="F11" s="156" t="inlineStr">
        <is>
          <t>Stok devri</t>
        </is>
      </c>
    </row>
    <row r="12" ht="28" customHeight="1">
      <c r="A12" s="172" t="inlineStr">
        <is>
          <t>Maddi Duran Varlık</t>
        </is>
      </c>
      <c r="B12" s="156" t="inlineStr">
        <is>
          <t>Yatırım harcaması ve amortisman bağlantılı</t>
        </is>
      </c>
      <c r="C12" s="156" t="inlineStr">
        <is>
          <t>253 Tesis Makine Cihazlar, 255 Demirbaşlar, 257 Birikmiş Amortismanlar</t>
        </is>
      </c>
      <c r="D12" s="156" t="inlineStr">
        <is>
          <t>25x</t>
        </is>
      </c>
      <c r="E12" s="156" t="inlineStr">
        <is>
          <t>Yatırım/gider karışması</t>
        </is>
      </c>
      <c r="F12" s="156" t="inlineStr">
        <is>
          <t>Net defter değeri devri</t>
        </is>
      </c>
    </row>
    <row r="13">
      <c r="A13" s="172" t="inlineStr">
        <is>
          <t>Mali Borçlar</t>
        </is>
      </c>
      <c r="B13" s="156" t="inlineStr">
        <is>
          <t>Kısa/uzun vadeli borç ayrımı</t>
        </is>
      </c>
      <c r="C13" s="156" t="inlineStr">
        <is>
          <t>300 Banka Kredileri / 400 Banka Kredileri</t>
        </is>
      </c>
      <c r="D13" s="156" t="inlineStr">
        <is>
          <t>300 / 400</t>
        </is>
      </c>
      <c r="E13" s="156" t="inlineStr">
        <is>
          <t>Vade sınıfı yanlış</t>
        </is>
      </c>
      <c r="F13" s="156" t="inlineStr">
        <is>
          <t>Borç devri</t>
        </is>
      </c>
    </row>
    <row r="14">
      <c r="A14" s="172" t="inlineStr">
        <is>
          <t>Özkaynak</t>
        </is>
      </c>
      <c r="B14" s="156" t="inlineStr">
        <is>
          <t>Sermaye ve geçmiş yıl kârları ayrı</t>
        </is>
      </c>
      <c r="C14" s="156" t="inlineStr">
        <is>
          <t>500 Sermaye, 570 Geçmiş Yıllar Kârları, 590 Dönem Net Kârı</t>
        </is>
      </c>
      <c r="D14" s="156" t="inlineStr">
        <is>
          <t>5xx</t>
        </is>
      </c>
      <c r="E14" s="156" t="inlineStr">
        <is>
          <t>Net kâr bağının kopması</t>
        </is>
      </c>
      <c r="F14" s="156" t="inlineStr">
        <is>
          <t>Özkaynak devri</t>
        </is>
      </c>
    </row>
    <row r="15">
      <c r="A15" s="172" t="inlineStr">
        <is>
          <t>Vergi</t>
        </is>
      </c>
      <c r="B15" s="156" t="inlineStr">
        <is>
          <t>Vergi satırları Türkiye mantığına uygun</t>
        </is>
      </c>
      <c r="C15" s="156" t="inlineStr">
        <is>
          <t>Dönem Vergi ve Diğer Yasal Yükümlülük Karşılıkları</t>
        </is>
      </c>
      <c r="D15" s="156" t="inlineStr">
        <is>
          <t>37x / ilgili vergi hesapları</t>
        </is>
      </c>
      <c r="E15" s="156" t="inlineStr">
        <is>
          <t>Vergi etkisinin yanlış dönemlenmesi</t>
        </is>
      </c>
      <c r="F15" s="156" t="inlineStr">
        <is>
          <t>Vergi sözleşmesi</t>
        </is>
      </c>
    </row>
    <row r="16">
      <c r="A16" s="172" t="inlineStr">
        <is>
          <t>İsim standardı</t>
        </is>
      </c>
      <c r="B16" s="156" t="inlineStr">
        <is>
          <t>Tablo ve sayfa adları Türkçe ve işlevsel</t>
        </is>
      </c>
      <c r="C16" s="156" t="inlineStr">
        <is>
          <t>GELİR_TABLOSU, BİLANÇO, NAKİT_AKISI, BORC_PLANI</t>
        </is>
      </c>
      <c r="D16" s="156" t="inlineStr">
        <is>
          <t>Tekrarlanabilir standart</t>
        </is>
      </c>
      <c r="E16" s="156" t="inlineStr">
        <is>
          <t>İngilizce/karma isim</t>
        </is>
      </c>
      <c r="F16" s="156" t="inlineStr">
        <is>
          <t>Sayfa ve tablo taraması</t>
        </is>
      </c>
    </row>
    <row r="17">
      <c r="A17" s="172" t="inlineStr">
        <is>
          <t>THP eşleme tablosu</t>
        </is>
      </c>
      <c r="B17" s="156" t="inlineStr">
        <is>
          <t>Her kritik satır en az bir THP hesabına bağlanır</t>
        </is>
      </c>
      <c r="C17" s="156" t="inlineStr">
        <is>
          <t>RaporSatırı → HesapKodu → HesapAdı → İşaret → Dönem</t>
        </is>
      </c>
      <c r="D17" s="156" t="inlineStr">
        <is>
          <t>Kaynak izlenebilirliği</t>
        </is>
      </c>
      <c r="E17" s="156" t="inlineStr">
        <is>
          <t>Rapordan rapora kaynak</t>
        </is>
      </c>
      <c r="F17" s="156" t="inlineStr">
        <is>
          <t>Eşleme kapsama %100</t>
        </is>
      </c>
    </row>
    <row r="18">
      <c r="A18" s="172" t="inlineStr">
        <is>
          <t>İstisna</t>
        </is>
      </c>
      <c r="B18" s="156" t="inlineStr">
        <is>
          <t>TFRS özel ürün varsa fark açık yazılır</t>
        </is>
      </c>
      <c r="C18" s="156" t="inlineStr">
        <is>
          <t>Tekdüzen raporlama ≠ TFRS finansal tablo sunumu</t>
        </is>
      </c>
      <c r="D18" s="156" t="inlineStr">
        <is>
          <t>Amaç belirtilir</t>
        </is>
      </c>
      <c r="E18" s="156" t="inlineStr">
        <is>
          <t>Standartları karıştırma</t>
        </is>
      </c>
      <c r="F18" s="156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KARAR, GÜVEN VE SATIŞA HAZIRLIK STANDARDI</t>
        </is>
      </c>
    </row>
    <row r="2"/>
    <row r="3" ht="24" customHeight="1">
      <c r="A3" s="174" t="inlineStr">
        <is>
          <t>Alan</t>
        </is>
      </c>
      <c r="B3" s="174" t="inlineStr">
        <is>
          <t>Müşteri Sorusu</t>
        </is>
      </c>
      <c r="C3" s="174" t="inlineStr">
        <is>
          <t>Zorunlu Ürün Davranışı</t>
        </is>
      </c>
      <c r="D3" s="174" t="inlineStr">
        <is>
          <t>Kanıt</t>
        </is>
      </c>
      <c r="E3" s="174" t="inlineStr">
        <is>
          <t>Başarısızlık Durumu</t>
        </is>
      </c>
      <c r="F3" s="174" t="inlineStr">
        <is>
          <t>Kapı</t>
        </is>
      </c>
    </row>
    <row r="4">
      <c r="A4" s="175" t="inlineStr">
        <is>
          <t>5 saniye</t>
        </is>
      </c>
      <c r="B4" s="156" t="inlineStr">
        <is>
          <t>Bu ürün neyi çözüyor?</t>
        </is>
      </c>
      <c r="C4" s="156" t="inlineStr">
        <is>
          <t>İlk ekranda hedef kullanıcı + pahalı problem + sonuç görünür</t>
        </is>
      </c>
      <c r="D4" s="156" t="inlineStr">
        <is>
          <t>Başlık + alt mesaj + gerçek ekran</t>
        </is>
      </c>
      <c r="E4" s="156" t="inlineStr">
        <is>
          <t>Ürün yalnız teknik isim</t>
        </is>
      </c>
      <c r="F4" s="176" t="inlineStr">
        <is>
          <t>HATA</t>
        </is>
      </c>
    </row>
    <row r="5">
      <c r="A5" s="175" t="inlineStr">
        <is>
          <t>Acı</t>
        </is>
      </c>
      <c r="B5" s="156" t="inlineStr">
        <is>
          <t>Sorun bana neye mal oluyor?</t>
        </is>
      </c>
      <c r="C5" s="156" t="inlineStr">
        <is>
          <t>Mümkünse müşterinin kendi verisiyle parasal/zaman etkisi hesaplanır</t>
        </is>
      </c>
      <c r="D5" s="156" t="inlineStr">
        <is>
          <t>ROI/acı hesaplama yöntemi</t>
        </is>
      </c>
      <c r="E5" s="156" t="inlineStr">
        <is>
          <t>Uydurma tasarruf</t>
        </is>
      </c>
      <c r="F5" s="176" t="inlineStr">
        <is>
          <t>HATA</t>
        </is>
      </c>
    </row>
    <row r="6">
      <c r="A6" s="175" t="inlineStr">
        <is>
          <t>Karar</t>
        </is>
      </c>
      <c r="B6" s="156" t="inlineStr">
        <is>
          <t>Bu bilgiyle ne yapacağım?</t>
        </is>
      </c>
      <c r="C6" s="156" t="inlineStr">
        <is>
          <t>Her kritik KPI aksiyona bağlanır</t>
        </is>
      </c>
      <c r="D6" s="156" t="inlineStr">
        <is>
          <t>KARAR_KUYRUGU</t>
        </is>
      </c>
      <c r="E6" s="156" t="inlineStr">
        <is>
          <t>Sadece rapor</t>
        </is>
      </c>
      <c r="F6" s="176" t="inlineStr">
        <is>
          <t>HATA</t>
        </is>
      </c>
    </row>
    <row r="7">
      <c r="A7" s="175" t="inlineStr">
        <is>
          <t>Güven</t>
        </is>
      </c>
      <c r="B7" s="156" t="inlineStr">
        <is>
          <t>Bu sayıya neden inanayım?</t>
        </is>
      </c>
      <c r="C7" s="156" t="inlineStr">
        <is>
          <t>Kaynak, formül mantığı, kontrol ve son doğrulama görünür</t>
        </is>
      </c>
      <c r="D7" s="156" t="inlineStr">
        <is>
          <t>Kontroller + kaynak izi + sürüm</t>
        </is>
      </c>
      <c r="E7" s="156" t="inlineStr">
        <is>
          <t>Prestij kelimesi</t>
        </is>
      </c>
      <c r="F7" s="176" t="inlineStr">
        <is>
          <t>HATA</t>
        </is>
      </c>
    </row>
    <row r="8">
      <c r="A8" s="175" t="inlineStr">
        <is>
          <t>Referans</t>
        </is>
      </c>
      <c r="B8" s="156" t="inlineStr">
        <is>
          <t>Müşteri yorumu yoksa ne göstereceğim?</t>
        </is>
      </c>
      <c r="C8" s="156" t="inlineStr">
        <is>
          <t>Önce/Sonra + Karar Vakası + Hata Önleme Vakası üretilir</t>
        </is>
      </c>
      <c r="D8" s="156" t="inlineStr">
        <is>
          <t>Demo/örnek çıktı</t>
        </is>
      </c>
      <c r="E8" s="156" t="inlineStr">
        <is>
          <t>Kanıtsız iddia</t>
        </is>
      </c>
      <c r="F8" s="176" t="inlineStr">
        <is>
          <t>HATA</t>
        </is>
      </c>
    </row>
    <row r="9">
      <c r="A9" s="175" t="inlineStr">
        <is>
          <t>Senaryo</t>
        </is>
      </c>
      <c r="B9" s="156" t="inlineStr">
        <is>
          <t>Ne olursa işler bozulur?</t>
        </is>
      </c>
      <c r="C9" s="156" t="inlineStr">
        <is>
          <t>Baz/Aşağı/Yukarı veya uygun stres senaryosu</t>
        </is>
      </c>
      <c r="D9" s="156" t="inlineStr">
        <is>
          <t>Senaryo karşılaştırma</t>
        </is>
      </c>
      <c r="E9" s="156" t="inlineStr">
        <is>
          <t>Dekoratif senaryo</t>
        </is>
      </c>
      <c r="F9" s="176" t="inlineStr">
        <is>
          <t>HATA</t>
        </is>
      </c>
    </row>
    <row r="10">
      <c r="A10" s="175" t="inlineStr">
        <is>
          <t>Ters stres</t>
        </is>
      </c>
      <c r="B10" s="156" t="inlineStr">
        <is>
          <t>Hangi eşikte karar kırılır?</t>
        </is>
      </c>
      <c r="C10" s="156" t="inlineStr">
        <is>
          <t>En az bir kritik sürücü için kırılma eşiği</t>
        </is>
      </c>
      <c r="D10" s="156" t="inlineStr">
        <is>
          <t>Kırılma eşiği tablosu</t>
        </is>
      </c>
      <c r="E10" s="156" t="inlineStr">
        <is>
          <t>Sadece +/- %10</t>
        </is>
      </c>
      <c r="F10" s="176" t="inlineStr">
        <is>
          <t>UYARI/HATA</t>
        </is>
      </c>
    </row>
    <row r="11">
      <c r="A11" s="175" t="inlineStr">
        <is>
          <t>Hata tutarlılığı</t>
        </is>
      </c>
      <c r="B11" s="156" t="inlineStr">
        <is>
          <t>Formül hata verirse ne olur?</t>
        </is>
      </c>
      <c r="C11" s="156" t="inlineStr">
        <is>
          <t>Kontrol GEÇTİ veremez; BLOKE/HATA üretir</t>
        </is>
      </c>
      <c r="D11" s="156" t="inlineStr">
        <is>
          <t>Hata taraması</t>
        </is>
      </c>
      <c r="E11" s="156" t="inlineStr">
        <is>
          <t>Hata + GEÇTİ birlikte</t>
        </is>
      </c>
      <c r="F11" s="176" t="inlineStr">
        <is>
          <t>HATA</t>
        </is>
      </c>
    </row>
    <row r="12">
      <c r="A12" s="175" t="inlineStr">
        <is>
          <t>Karar motoru</t>
        </is>
      </c>
      <c r="B12" s="156" t="inlineStr">
        <is>
          <t>Ne oldu, neden oldu?</t>
        </is>
      </c>
      <c r="C12" s="156" t="inlineStr">
        <is>
          <t>Sorun + neden + parasal etki + aksiyon + son tarih</t>
        </is>
      </c>
      <c r="D12" s="156" t="inlineStr">
        <is>
          <t>Karar tablosu</t>
        </is>
      </c>
      <c r="E12" s="156" t="inlineStr">
        <is>
          <t>Boş sayfa / isim düzeyi modül</t>
        </is>
      </c>
      <c r="F12" s="176" t="inlineStr">
        <is>
          <t>HATA</t>
        </is>
      </c>
    </row>
    <row r="13">
      <c r="A13" s="175" t="inlineStr">
        <is>
          <t>Yönetici özeti</t>
        </is>
      </c>
      <c r="B13" s="156" t="inlineStr">
        <is>
          <t>5 saniyede ne görmeliyim?</t>
        </is>
      </c>
      <c r="C13" s="156" t="inlineStr">
        <is>
          <t>Bugün / ne değişti / ne bozulacak / neden / ne yapmalıyım / güven</t>
        </is>
      </c>
      <c r="D13" s="156" t="inlineStr">
        <is>
          <t>Yönetici özeti ekranı</t>
        </is>
      </c>
      <c r="E13" s="156" t="inlineStr">
        <is>
          <t>KPI kutusu yığını</t>
        </is>
      </c>
      <c r="F13" s="176" t="inlineStr">
        <is>
          <t>HATA</t>
        </is>
      </c>
    </row>
    <row r="14">
      <c r="A14" s="175" t="inlineStr">
        <is>
          <t>Teklif</t>
        </is>
      </c>
      <c r="B14" s="156" t="inlineStr">
        <is>
          <t>Neden satın almalıyım?</t>
        </is>
      </c>
      <c r="C14" s="156" t="inlineStr">
        <is>
          <t>Dosya özellikleri yerine sonuç ve kaçınılan maliyet sunulur</t>
        </is>
      </c>
      <c r="D14" s="156" t="inlineStr">
        <is>
          <t>Ürün sayfası kanıt eşlemesi</t>
        </is>
      </c>
      <c r="E14" s="156" t="inlineStr">
        <is>
          <t>Özellik listesiyle satış</t>
        </is>
      </c>
      <c r="F14" s="176" t="inlineStr">
        <is>
          <t>HATA</t>
        </is>
      </c>
    </row>
    <row r="15">
      <c r="A15" s="175" t="inlineStr">
        <is>
          <t>Dağıtım</t>
        </is>
      </c>
      <c r="B15" s="156" t="inlineStr">
        <is>
          <t>Beni nasıl bulacaklar?</t>
        </is>
      </c>
      <c r="C15" s="156" t="inlineStr">
        <is>
          <t>Sorun niyetine göre SEO sayfaları, iç bağlantı, temiz yapı, taranabilir metin</t>
        </is>
      </c>
      <c r="D15" s="156" t="inlineStr">
        <is>
          <t>Arama niyeti haritası</t>
        </is>
      </c>
      <c r="E15" s="156" t="inlineStr">
        <is>
          <t>Tek ürün sayfasına bağımlılık</t>
        </is>
      </c>
      <c r="F15" s="176" t="inlineStr">
        <is>
          <t>UYARI</t>
        </is>
      </c>
    </row>
    <row r="16" ht="28" customHeight="1">
      <c r="A16" s="175" t="inlineStr">
        <is>
          <t>LLM görünürlüğü</t>
        </is>
      </c>
      <c r="B16" s="156" t="inlineStr">
        <is>
          <t>AI ürünümü anlayabiliyor mu?</t>
        </is>
      </c>
      <c r="C16" s="156" t="inlineStr">
        <is>
          <t>Ürün tanımı, hedef kullanıcı, girdi/çıktı, metodoloji, sınırlar, SSS açık metindir</t>
        </is>
      </c>
      <c r="D16" s="156" t="inlineStr">
        <is>
          <t>Taranabilir ürün içeriği</t>
        </is>
      </c>
      <c r="E16" s="156" t="inlineStr">
        <is>
          <t>'AI SEO' iddiası</t>
        </is>
      </c>
      <c r="F16" s="176" t="inlineStr">
        <is>
          <t>UYARI</t>
        </is>
      </c>
    </row>
    <row r="17">
      <c r="A17" s="175" t="inlineStr">
        <is>
          <t>Satış kanalı</t>
        </is>
      </c>
      <c r="B17" s="156" t="inlineStr">
        <is>
          <t>Nerede satılmalı?</t>
        </is>
      </c>
      <c r="C17" s="156" t="inlineStr">
        <is>
          <t>Arama, LinkedIn, uzman/partner, demo/video; ürüne göre kanal seçilir</t>
        </is>
      </c>
      <c r="D17" s="156" t="inlineStr">
        <is>
          <t>Kanal matrisi</t>
        </is>
      </c>
      <c r="E17" s="156" t="inlineStr">
        <is>
          <t>Her ürüne aynı kanal</t>
        </is>
      </c>
      <c r="F17" s="176" t="inlineStr">
        <is>
          <t>UYARI</t>
        </is>
      </c>
    </row>
    <row r="18">
      <c r="A18" s="175" t="inlineStr">
        <is>
          <t>Fiyat</t>
        </is>
      </c>
      <c r="B18" s="156" t="inlineStr">
        <is>
          <t>Bu fiyat neden mantıklı?</t>
        </is>
      </c>
      <c r="C18" s="156" t="inlineStr">
        <is>
          <t>Fiyat, ekonomik karar değerine ve kanıtlanmış ürün derinliğine bağlanır</t>
        </is>
      </c>
      <c r="D18" s="156" t="inlineStr">
        <is>
          <t>Değer haritası + demo</t>
        </is>
      </c>
      <c r="E18" s="156" t="inlineStr">
        <is>
          <t>Sırf sayfa/formül sayısı</t>
        </is>
      </c>
      <c r="F18" s="176" t="inlineStr">
        <is>
          <t>HATA</t>
        </is>
      </c>
    </row>
    <row r="19">
      <c r="A19" s="175" t="inlineStr">
        <is>
          <t>Pazar kanıtı</t>
        </is>
      </c>
      <c r="B19" s="156" t="inlineStr">
        <is>
          <t>Piyasa gerçekten ödüyor mu?</t>
        </is>
      </c>
      <c r="C19" s="156" t="inlineStr">
        <is>
          <t>Satış/pilot/LOI/fiyat kabulü olmadan pazar doğrulandı yazılmaz</t>
        </is>
      </c>
      <c r="D19" s="156" t="inlineStr">
        <is>
          <t>Gerçek işlem kanıtı</t>
        </is>
      </c>
      <c r="E19" s="156" t="inlineStr">
        <is>
          <t>Tahmini talep = satış kabulü</t>
        </is>
      </c>
      <c r="F19" s="176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KAPAK — Puantaj-Vardiya-Fazla Mesai Kanıt Sistemi</t>
        </is>
      </c>
    </row>
    <row r="2"/>
    <row r="3" ht="22" customHeight="1">
      <c r="A3" s="206" t="inlineStr">
        <is>
          <t>Puantaj-Vardiya-Fazla Mesai Kanıt Sistemi</t>
        </is>
      </c>
    </row>
    <row r="4">
      <c r="A4" s="4" t="inlineStr">
        <is>
          <t>Personel giriş/çıkış, planlı vardiya ve fazla mesaiyi yasal tavanla karşılaştırır; durum makinesi ve imza kanıt zinciri üretir; UYGUN / SINIR / AŞIM / VERİ YOK kararı verir.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durum makinesi: Taslak → Kontrol → Onay → Arşiv / Red</t>
        </is>
      </c>
    </row>
    <row r="8">
      <c r="A8" s="6" t="inlineStr">
        <is>
          <t>• Günlük/haftalık fazla mesai + yıllık 270 saat tavan karşılaştırması</t>
        </is>
      </c>
    </row>
    <row r="9">
      <c r="A9" s="6" t="inlineStr">
        <is>
          <t>• Giriş/çıkış ↔ planlı vardiya ↔ bildirim FM zincir bayrağı</t>
        </is>
      </c>
    </row>
    <row r="10">
      <c r="A10" s="6" t="inlineStr">
        <is>
          <t>• Geçersiz geçiş ve yetim personel uyarıları</t>
        </is>
      </c>
    </row>
    <row r="11">
      <c r="A11" s="6" t="inlineStr">
        <is>
          <t>• KANIT_RAPORU — denetçi/SMMM imza alanlı dönem kanıtı</t>
        </is>
      </c>
    </row>
    <row r="12"/>
    <row r="13">
      <c r="A13" s="5" t="inlineStr">
        <is>
          <t>Kimler için?</t>
        </is>
      </c>
    </row>
    <row r="14">
      <c r="A14" s="7" t="inlineStr">
        <is>
          <t>• İK / bordro — puantaj kapanışı ve tavan kontrolü</t>
        </is>
      </c>
    </row>
    <row r="15">
      <c r="A15" s="7" t="inlineStr">
        <is>
          <t>• İşveren vekili — UYGUN / SINIR / AŞIM kararı</t>
        </is>
      </c>
    </row>
    <row r="16">
      <c r="A16" s="7" t="inlineStr">
        <is>
          <t>• Denetçi / SMMM — KANIT_RAPORU dosyalama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PERSONEL'e kart girin. 2) AKIS'e günlük puantaj satırlarını yazın. 3) KUYRUKLAR ve PANO'dan kararı görün. 4) KANIT_RAPORU'ndan çıktı alın.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I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.5" customWidth="1" min="1" max="1"/>
    <col width="22" customWidth="1" min="2" max="2"/>
    <col width="14" customWidth="1" min="3" max="3"/>
    <col width="14" customWidth="1" min="4" max="4"/>
    <col width="22.5" customWidth="1" min="5" max="5"/>
    <col width="20.5" customWidth="1" min="6" max="6"/>
    <col width="14" customWidth="1" min="7" max="7"/>
    <col width="14" customWidth="1" min="8" max="8"/>
    <col width="15.5" customWidth="1" min="9" max="9"/>
    <col width="13" customWidth="1" min="10" max="10"/>
  </cols>
  <sheetData>
    <row r="1" ht="32" customHeight="1">
      <c r="A1" s="187" t="inlineStr">
        <is>
          <t>PERSONEL — Puantaj-Vardiya-Fazla Mesai Kanıt Sistemi</t>
        </is>
      </c>
    </row>
    <row r="2"/>
    <row r="3" ht="22" customHeight="1">
      <c r="A3" s="207" t="inlineStr">
        <is>
          <t>Personel kartları — her kaydın tek kimliği vardır</t>
        </is>
      </c>
    </row>
    <row r="4">
      <c r="A4" s="12" t="inlineStr">
        <is>
          <t>Sonraki Kimlik</t>
        </is>
      </c>
      <c r="B4" s="13">
        <f>pvf_sonrakiKimlik</f>
        <v/>
      </c>
    </row>
    <row r="5" ht="30" customHeight="1">
      <c r="A5" s="14" t="inlineStr">
        <is>
          <t>PersonelId</t>
        </is>
      </c>
      <c r="B5" s="14" t="inlineStr">
        <is>
          <t>AdSoyad</t>
        </is>
      </c>
      <c r="C5" s="14" t="inlineStr">
        <is>
          <t>Departman</t>
        </is>
      </c>
      <c r="D5" s="14" t="inlineStr">
        <is>
          <t>Unvan</t>
        </is>
      </c>
      <c r="E5" s="14" t="inlineStr">
        <is>
          <t>HaftalikNormalSaat</t>
        </is>
      </c>
      <c r="F5" s="14" t="inlineStr">
        <is>
          <t>YillikMesaiTavan</t>
        </is>
      </c>
      <c r="G5" s="14" t="inlineStr">
        <is>
          <t>Aktif</t>
        </is>
      </c>
      <c r="H5" s="14" t="inlineStr">
        <is>
          <t>ToplamFm</t>
        </is>
      </c>
      <c r="I5" s="14" t="inlineStr">
        <is>
          <t>OrtGunlukFm</t>
        </is>
      </c>
    </row>
    <row r="6">
      <c r="A6" s="15" t="inlineStr">
        <is>
          <t>PER-00001</t>
        </is>
      </c>
      <c r="B6" s="15" t="inlineStr">
        <is>
          <t>Ayşe Yılmaz</t>
        </is>
      </c>
      <c r="C6" s="15" t="inlineStr">
        <is>
          <t>Üretim</t>
        </is>
      </c>
      <c r="D6" s="15" t="inlineStr">
        <is>
          <t>Operatör</t>
        </is>
      </c>
      <c r="E6" s="16" t="n">
        <v>45</v>
      </c>
      <c r="F6" s="16" t="n">
        <v>270</v>
      </c>
      <c r="G6" s="15" t="inlineStr">
        <is>
          <t>EVET</t>
        </is>
      </c>
      <c r="H6" s="17">
        <f>IF($A6="","",SUMIF(tblAkis[KaynakPersonelId],$A6,tblAkis[FazlaMesaiSaat]))</f>
        <v/>
      </c>
      <c r="I6" s="17">
        <f>IF($A6="","",IFERROR(AVERAGEIF(tblAkis[KaynakPersonelId],$A6,tblAkis[FazlaMesaiSaat]),0))</f>
        <v/>
      </c>
    </row>
    <row r="7">
      <c r="A7" s="15" t="inlineStr">
        <is>
          <t>PER-00002</t>
        </is>
      </c>
      <c r="B7" s="15" t="inlineStr">
        <is>
          <t>Mehmet Demir</t>
        </is>
      </c>
      <c r="C7" s="15" t="inlineStr">
        <is>
          <t>Üretim</t>
        </is>
      </c>
      <c r="D7" s="15" t="inlineStr">
        <is>
          <t>Usta</t>
        </is>
      </c>
      <c r="E7" s="16" t="n">
        <v>45</v>
      </c>
      <c r="F7" s="16" t="n">
        <v>270</v>
      </c>
      <c r="G7" s="15" t="inlineStr">
        <is>
          <t>EVET</t>
        </is>
      </c>
      <c r="H7" s="17">
        <f>IF($A7="","",SUMIF(tblAkis[KaynakPersonelId],$A7,tblAkis[FazlaMesaiSaat]))</f>
        <v/>
      </c>
      <c r="I7" s="17">
        <f>IF($A7="","",IFERROR(AVERAGEIF(tblAkis[KaynakPersonelId],$A7,tblAkis[FazlaMesaiSaat]),0))</f>
        <v/>
      </c>
    </row>
    <row r="8">
      <c r="A8" s="15" t="inlineStr">
        <is>
          <t>PER-00003</t>
        </is>
      </c>
      <c r="B8" s="15" t="inlineStr">
        <is>
          <t>Zeynep Kaya</t>
        </is>
      </c>
      <c r="C8" s="15" t="inlineStr">
        <is>
          <t>Lojistik</t>
        </is>
      </c>
      <c r="D8" s="15" t="inlineStr">
        <is>
          <t>Depocu</t>
        </is>
      </c>
      <c r="E8" s="16" t="n">
        <v>45</v>
      </c>
      <c r="F8" s="16" t="n">
        <v>270</v>
      </c>
      <c r="G8" s="15" t="inlineStr">
        <is>
          <t>EVET</t>
        </is>
      </c>
      <c r="H8" s="17">
        <f>IF($A8="","",SUMIF(tblAkis[KaynakPersonelId],$A8,tblAkis[FazlaMesaiSaat]))</f>
        <v/>
      </c>
      <c r="I8" s="17">
        <f>IF($A8="","",IFERROR(AVERAGEIF(tblAkis[KaynakPersonelId],$A8,tblAkis[FazlaMesaiSaat]),0))</f>
        <v/>
      </c>
    </row>
    <row r="9">
      <c r="A9" s="15" t="inlineStr">
        <is>
          <t>PER-00004</t>
        </is>
      </c>
      <c r="B9" s="15" t="inlineStr">
        <is>
          <t>Ali Çelik</t>
        </is>
      </c>
      <c r="C9" s="15" t="inlineStr">
        <is>
          <t>Lojistik</t>
        </is>
      </c>
      <c r="D9" s="15" t="inlineStr">
        <is>
          <t>Şoför</t>
        </is>
      </c>
      <c r="E9" s="16" t="n">
        <v>45</v>
      </c>
      <c r="F9" s="16" t="n">
        <v>270</v>
      </c>
      <c r="G9" s="15" t="inlineStr">
        <is>
          <t>EVET</t>
        </is>
      </c>
      <c r="H9" s="17">
        <f>IF($A9="","",SUMIF(tblAkis[KaynakPersonelId],$A9,tblAkis[FazlaMesaiSaat]))</f>
        <v/>
      </c>
      <c r="I9" s="17">
        <f>IF($A9="","",IFERROR(AVERAGEIF(tblAkis[KaynakPersonelId],$A9,tblAkis[FazlaMesaiSaat]),0))</f>
        <v/>
      </c>
    </row>
    <row r="10">
      <c r="A10" s="15" t="inlineStr">
        <is>
          <t>PER-00005</t>
        </is>
      </c>
      <c r="B10" s="15" t="inlineStr">
        <is>
          <t>Elif Arslan</t>
        </is>
      </c>
      <c r="C10" s="15" t="inlineStr">
        <is>
          <t>Satış</t>
        </is>
      </c>
      <c r="D10" s="15" t="inlineStr">
        <is>
          <t>Temsilci</t>
        </is>
      </c>
      <c r="E10" s="16" t="n">
        <v>45</v>
      </c>
      <c r="F10" s="16" t="n">
        <v>270</v>
      </c>
      <c r="G10" s="15" t="inlineStr">
        <is>
          <t>EVET</t>
        </is>
      </c>
      <c r="H10" s="17">
        <f>IF($A10="","",SUMIF(tblAkis[KaynakPersonelId],$A10,tblAkis[FazlaMesaiSaat]))</f>
        <v/>
      </c>
      <c r="I10" s="17">
        <f>IF($A10="","",IFERROR(AVERAGEIF(tblAkis[KaynakPersonelId],$A10,tblAkis[FazlaMesaiSaat]),0))</f>
        <v/>
      </c>
    </row>
    <row r="11">
      <c r="A11" s="15" t="inlineStr">
        <is>
          <t>PER-00006</t>
        </is>
      </c>
      <c r="B11" s="15" t="inlineStr">
        <is>
          <t>Can Öztürk</t>
        </is>
      </c>
      <c r="C11" s="15" t="inlineStr">
        <is>
          <t>Bakım</t>
        </is>
      </c>
      <c r="D11" s="15" t="inlineStr">
        <is>
          <t>Teknisyen</t>
        </is>
      </c>
      <c r="E11" s="16" t="n">
        <v>45</v>
      </c>
      <c r="F11" s="16" t="n">
        <v>270</v>
      </c>
      <c r="G11" s="15" t="inlineStr">
        <is>
          <t>EVET</t>
        </is>
      </c>
      <c r="H11" s="17">
        <f>IF($A11="","",SUMIF(tblAkis[KaynakPersonelId],$A11,tblAkis[FazlaMesaiSaat]))</f>
        <v/>
      </c>
      <c r="I11" s="17">
        <f>IF($A11="","",IFERROR(AVERAGEIF(tblAkis[KaynakPersonelId],$A11,tblAkis[FazlaMesaiSaat]),0))</f>
        <v/>
      </c>
    </row>
    <row r="12">
      <c r="A12" s="15" t="inlineStr">
        <is>
          <t>PER-00007</t>
        </is>
      </c>
      <c r="B12" s="15" t="inlineStr">
        <is>
          <t>Selin Aydın</t>
        </is>
      </c>
      <c r="C12" s="15" t="inlineStr">
        <is>
          <t>İdari</t>
        </is>
      </c>
      <c r="D12" s="15" t="inlineStr">
        <is>
          <t>Asistan</t>
        </is>
      </c>
      <c r="E12" s="16" t="n">
        <v>45</v>
      </c>
      <c r="F12" s="16" t="n">
        <v>270</v>
      </c>
      <c r="G12" s="15" t="inlineStr">
        <is>
          <t>EVET</t>
        </is>
      </c>
      <c r="H12" s="17">
        <f>IF($A12="","",SUMIF(tblAkis[KaynakPersonelId],$A12,tblAkis[FazlaMesaiSaat]))</f>
        <v/>
      </c>
      <c r="I12" s="17">
        <f>IF($A12="","",IFERROR(AVERAGEIF(tblAkis[KaynakPersonelId],$A12,tblAkis[FazlaMesaiSaat]),0))</f>
        <v/>
      </c>
    </row>
    <row r="13">
      <c r="A13" s="15" t="inlineStr">
        <is>
          <t>PER-00008</t>
        </is>
      </c>
      <c r="B13" s="15" t="inlineStr">
        <is>
          <t>Burak Şahin</t>
        </is>
      </c>
      <c r="C13" s="15" t="inlineStr">
        <is>
          <t>Üretim</t>
        </is>
      </c>
      <c r="D13" s="15" t="inlineStr">
        <is>
          <t>Operatör</t>
        </is>
      </c>
      <c r="E13" s="16" t="n">
        <v>45</v>
      </c>
      <c r="F13" s="16" t="n">
        <v>270</v>
      </c>
      <c r="G13" s="15" t="inlineStr">
        <is>
          <t>EVET</t>
        </is>
      </c>
      <c r="H13" s="17">
        <f>IF($A13="","",SUMIF(tblAkis[KaynakPersonelId],$A13,tblAkis[FazlaMesaiSaat]))</f>
        <v/>
      </c>
      <c r="I13" s="17">
        <f>IF($A13="","",IFERROR(AVERAGEIF(tblAkis[KaynakPersonelId],$A13,tblAkis[FazlaMesaiSaat]),0))</f>
        <v/>
      </c>
    </row>
    <row r="14">
      <c r="A14" s="15" t="n"/>
      <c r="B14" s="15" t="n"/>
      <c r="C14" s="15" t="n"/>
      <c r="D14" s="15" t="n"/>
      <c r="E14" s="16" t="n"/>
      <c r="F14" s="16" t="n"/>
      <c r="G14" s="15" t="n"/>
      <c r="H14" s="17">
        <f>IF($A14="","",SUMIF(tblAkis[KaynakPersonelId],$A14,tblAkis[FazlaMesaiSaat]))</f>
        <v/>
      </c>
      <c r="I14" s="17">
        <f>IF($A14="","",IFERROR(AVERAGEIF(tblAkis[KaynakPersonelId],$A14,tblAkis[FazlaMesaiSaat]),0))</f>
        <v/>
      </c>
    </row>
    <row r="15">
      <c r="A15" s="15" t="n"/>
      <c r="B15" s="15" t="n"/>
      <c r="C15" s="15" t="n"/>
      <c r="D15" s="15" t="n"/>
      <c r="E15" s="16" t="n"/>
      <c r="F15" s="16" t="n"/>
      <c r="G15" s="15" t="n"/>
      <c r="H15" s="17">
        <f>IF($A15="","",SUMIF(tblAkis[KaynakPersonelId],$A15,tblAkis[FazlaMesaiSaat]))</f>
        <v/>
      </c>
      <c r="I15" s="17">
        <f>IF($A15="","",IFERROR(AVERAGEIF(tblAkis[KaynakPersonelId],$A15,tblAkis[FazlaMesaiSaat]),0))</f>
        <v/>
      </c>
    </row>
    <row r="16">
      <c r="A16" s="15" t="n"/>
      <c r="B16" s="15" t="n"/>
      <c r="C16" s="15" t="n"/>
      <c r="D16" s="15" t="n"/>
      <c r="E16" s="16" t="n"/>
      <c r="F16" s="16" t="n"/>
      <c r="G16" s="15" t="n"/>
      <c r="H16" s="17">
        <f>IF($A16="","",SUMIF(tblAkis[KaynakPersonelId],$A16,tblAkis[FazlaMesaiSaat]))</f>
        <v/>
      </c>
      <c r="I16" s="17">
        <f>IF($A16="","",IFERROR(AVERAGEIF(tblAkis[KaynakPersonelId],$A16,tblAkis[FazlaMesaiSaat]),0))</f>
        <v/>
      </c>
    </row>
    <row r="17">
      <c r="A17" s="15" t="n"/>
      <c r="B17" s="15" t="n"/>
      <c r="C17" s="15" t="n"/>
      <c r="D17" s="15" t="n"/>
      <c r="E17" s="16" t="n"/>
      <c r="F17" s="16" t="n"/>
      <c r="G17" s="15" t="n"/>
      <c r="H17" s="17">
        <f>IF($A17="","",SUMIF(tblAkis[KaynakPersonelId],$A17,tblAkis[FazlaMesaiSaat]))</f>
        <v/>
      </c>
      <c r="I17" s="17">
        <f>IF($A17="","",IFERROR(AVERAGEIF(tblAkis[KaynakPersonelId],$A17,tblAkis[FazlaMesaiSaat]),0))</f>
        <v/>
      </c>
    </row>
    <row r="18">
      <c r="A18" s="15" t="n"/>
      <c r="B18" s="15" t="n"/>
      <c r="C18" s="15" t="n"/>
      <c r="D18" s="15" t="n"/>
      <c r="E18" s="16" t="n"/>
      <c r="F18" s="16" t="n"/>
      <c r="G18" s="15" t="n"/>
      <c r="H18" s="17">
        <f>IF($A18="","",SUMIF(tblAkis[KaynakPersonelId],$A18,tblAkis[FazlaMesaiSaat]))</f>
        <v/>
      </c>
      <c r="I18" s="17">
        <f>IF($A18="","",IFERROR(AVERAGEIF(tblAkis[KaynakPersonelId],$A18,tblAkis[FazlaMesaiSaat]),0))</f>
        <v/>
      </c>
    </row>
    <row r="19">
      <c r="A19" s="15" t="n"/>
      <c r="B19" s="15" t="n"/>
      <c r="C19" s="15" t="n"/>
      <c r="D19" s="15" t="n"/>
      <c r="E19" s="16" t="n"/>
      <c r="F19" s="16" t="n"/>
      <c r="G19" s="15" t="n"/>
      <c r="H19" s="17">
        <f>IF($A19="","",SUMIF(tblAkis[KaynakPersonelId],$A19,tblAkis[FazlaMesaiSaat]))</f>
        <v/>
      </c>
      <c r="I19" s="17">
        <f>IF($A19="","",IFERROR(AVERAGEIF(tblAkis[KaynakPersonelId],$A19,tblAkis[FazlaMesaiSaat]),0))</f>
        <v/>
      </c>
    </row>
    <row r="20">
      <c r="A20" s="15" t="n"/>
      <c r="B20" s="15" t="n"/>
      <c r="C20" s="15" t="n"/>
      <c r="D20" s="15" t="n"/>
      <c r="E20" s="16" t="n"/>
      <c r="F20" s="16" t="n"/>
      <c r="G20" s="15" t="n"/>
      <c r="H20" s="17">
        <f>IF($A20="","",SUMIF(tblAkis[KaynakPersonelId],$A20,tblAkis[FazlaMesaiSaat]))</f>
        <v/>
      </c>
      <c r="I20" s="17">
        <f>IF($A20="","",IFERROR(AVERAGEIF(tblAkis[KaynakPersonelId],$A20,tblAkis[FazlaMesaiSaat]),0))</f>
        <v/>
      </c>
    </row>
    <row r="21">
      <c r="A21" s="15" t="n"/>
      <c r="B21" s="15" t="n"/>
      <c r="C21" s="15" t="n"/>
      <c r="D21" s="15" t="n"/>
      <c r="E21" s="16" t="n"/>
      <c r="F21" s="16" t="n"/>
      <c r="G21" s="15" t="n"/>
      <c r="H21" s="17">
        <f>IF($A21="","",SUMIF(tblAkis[KaynakPersonelId],$A21,tblAkis[FazlaMesaiSaat]))</f>
        <v/>
      </c>
      <c r="I21" s="17">
        <f>IF($A21="","",IFERROR(AVERAGEIF(tblAkis[KaynakPersonelId],$A21,tblAkis[FazlaMesaiSaat]),0))</f>
        <v/>
      </c>
    </row>
    <row r="22">
      <c r="A22" s="15" t="n"/>
      <c r="B22" s="15" t="n"/>
      <c r="C22" s="15" t="n"/>
      <c r="D22" s="15" t="n"/>
      <c r="E22" s="16" t="n"/>
      <c r="F22" s="16" t="n"/>
      <c r="G22" s="15" t="n"/>
      <c r="H22" s="17">
        <f>IF($A22="","",SUMIF(tblAkis[KaynakPersonelId],$A22,tblAkis[FazlaMesaiSaat]))</f>
        <v/>
      </c>
      <c r="I22" s="17">
        <f>IF($A22="","",IFERROR(AVERAGEIF(tblAkis[KaynakPersonelId],$A22,tblAkis[FazlaMesaiSaat]),0))</f>
        <v/>
      </c>
    </row>
    <row r="23">
      <c r="A23" s="15" t="n"/>
      <c r="B23" s="15" t="n"/>
      <c r="C23" s="15" t="n"/>
      <c r="D23" s="15" t="n"/>
      <c r="E23" s="16" t="n"/>
      <c r="F23" s="16" t="n"/>
      <c r="G23" s="15" t="n"/>
      <c r="H23" s="17">
        <f>IF($A23="","",SUMIF(tblAkis[KaynakPersonelId],$A23,tblAkis[FazlaMesaiSaat]))</f>
        <v/>
      </c>
      <c r="I23" s="17">
        <f>IF($A23="","",IFERROR(AVERAGEIF(tblAkis[KaynakPersonelId],$A23,tblAkis[FazlaMesaiSaat]),0))</f>
        <v/>
      </c>
    </row>
    <row r="24">
      <c r="A24" s="15" t="n"/>
      <c r="B24" s="15" t="n"/>
      <c r="C24" s="15" t="n"/>
      <c r="D24" s="15" t="n"/>
      <c r="E24" s="16" t="n"/>
      <c r="F24" s="16" t="n"/>
      <c r="G24" s="15" t="n"/>
      <c r="H24" s="17">
        <f>IF($A24="","",SUMIF(tblAkis[KaynakPersonelId],$A24,tblAkis[FazlaMesaiSaat]))</f>
        <v/>
      </c>
      <c r="I24" s="17">
        <f>IF($A24="","",IFERROR(AVERAGEIF(tblAkis[KaynakPersonelId],$A24,tblAkis[FazlaMesaiSaat]),0))</f>
        <v/>
      </c>
    </row>
    <row r="25">
      <c r="A25" s="15" t="n"/>
      <c r="B25" s="15" t="n"/>
      <c r="C25" s="15" t="n"/>
      <c r="D25" s="15" t="n"/>
      <c r="E25" s="16" t="n"/>
      <c r="F25" s="16" t="n"/>
      <c r="G25" s="15" t="n"/>
      <c r="H25" s="17">
        <f>IF($A25="","",SUMIF(tblAkis[KaynakPersonelId],$A25,tblAkis[FazlaMesaiSaat]))</f>
        <v/>
      </c>
      <c r="I25" s="17">
        <f>IF($A25="","",IFERROR(AVERAGEIF(tblAkis[KaynakPersonelId],$A25,tblAkis[FazlaMesaiSaat]),0))</f>
        <v/>
      </c>
    </row>
    <row r="26">
      <c r="A26" s="15" t="n"/>
      <c r="B26" s="15" t="n"/>
      <c r="C26" s="15" t="n"/>
      <c r="D26" s="15" t="n"/>
      <c r="E26" s="16" t="n"/>
      <c r="F26" s="16" t="n"/>
      <c r="G26" s="15" t="n"/>
      <c r="H26" s="17">
        <f>IF($A26="","",SUMIF(tblAkis[KaynakPersonelId],$A26,tblAkis[FazlaMesaiSaat]))</f>
        <v/>
      </c>
      <c r="I26" s="17">
        <f>IF($A26="","",IFERROR(AVERAGEIF(tblAkis[KaynakPersonelId],$A26,tblAkis[FazlaMesaiSaat]),0))</f>
        <v/>
      </c>
    </row>
    <row r="27">
      <c r="A27" s="15" t="n"/>
      <c r="B27" s="15" t="n"/>
      <c r="C27" s="15" t="n"/>
      <c r="D27" s="15" t="n"/>
      <c r="E27" s="16" t="n"/>
      <c r="F27" s="16" t="n"/>
      <c r="G27" s="15" t="n"/>
      <c r="H27" s="17">
        <f>IF($A27="","",SUMIF(tblAkis[KaynakPersonelId],$A27,tblAkis[FazlaMesaiSaat]))</f>
        <v/>
      </c>
      <c r="I27" s="17">
        <f>IF($A27="","",IFERROR(AVERAGEIF(tblAkis[KaynakPersonelId],$A27,tblAkis[FazlaMesaiSaat]),0))</f>
        <v/>
      </c>
    </row>
    <row r="28">
      <c r="A28" s="15" t="n"/>
      <c r="B28" s="15" t="n"/>
      <c r="C28" s="15" t="n"/>
      <c r="D28" s="15" t="n"/>
      <c r="E28" s="16" t="n"/>
      <c r="F28" s="16" t="n"/>
      <c r="G28" s="15" t="n"/>
      <c r="H28" s="17">
        <f>IF($A28="","",SUMIF(tblAkis[KaynakPersonelId],$A28,tblAkis[FazlaMesaiSaat]))</f>
        <v/>
      </c>
      <c r="I28" s="17">
        <f>IF($A28="","",IFERROR(AVERAGEIF(tblAkis[KaynakPersonelId],$A28,tblAkis[FazlaMesaiSaat]),0))</f>
        <v/>
      </c>
    </row>
    <row r="29">
      <c r="A29" s="15" t="n"/>
      <c r="B29" s="15" t="n"/>
      <c r="C29" s="15" t="n"/>
      <c r="D29" s="15" t="n"/>
      <c r="E29" s="16" t="n"/>
      <c r="F29" s="16" t="n"/>
      <c r="G29" s="15" t="n"/>
      <c r="H29" s="17">
        <f>IF($A29="","",SUMIF(tblAkis[KaynakPersonelId],$A29,tblAkis[FazlaMesaiSaat]))</f>
        <v/>
      </c>
      <c r="I29" s="17">
        <f>IF($A29="","",IFERROR(AVERAGEIF(tblAkis[KaynakPersonelId],$A29,tblAkis[FazlaMesaiSaat]),0))</f>
        <v/>
      </c>
    </row>
    <row r="30">
      <c r="A30" s="15" t="n"/>
      <c r="B30" s="15" t="n"/>
      <c r="C30" s="15" t="n"/>
      <c r="D30" s="15" t="n"/>
      <c r="E30" s="16" t="n"/>
      <c r="F30" s="16" t="n"/>
      <c r="G30" s="15" t="n"/>
      <c r="H30" s="17">
        <f>IF($A30="","",SUMIF(tblAkis[KaynakPersonelId],$A30,tblAkis[FazlaMesaiSaat]))</f>
        <v/>
      </c>
      <c r="I30" s="17">
        <f>IF($A30="","",IFERROR(AVERAGEIF(tblAkis[KaynakPersonelId],$A30,tblAkis[FazlaMesaiSaat]),0))</f>
        <v/>
      </c>
    </row>
    <row r="31">
      <c r="A31" s="15" t="n"/>
      <c r="B31" s="15" t="n"/>
      <c r="C31" s="15" t="n"/>
      <c r="D31" s="15" t="n"/>
      <c r="E31" s="16" t="n"/>
      <c r="F31" s="16" t="n"/>
      <c r="G31" s="15" t="n"/>
      <c r="H31" s="17">
        <f>IF($A31="","",SUMIF(tblAkis[KaynakPersonelId],$A31,tblAkis[FazlaMesaiSaat]))</f>
        <v/>
      </c>
      <c r="I31" s="17">
        <f>IF($A31="","",IFERROR(AVERAGEIF(tblAkis[KaynakPersonelId],$A31,tblAkis[FazlaMesaiSaat]),0))</f>
        <v/>
      </c>
    </row>
    <row r="32">
      <c r="A32" s="15" t="n"/>
      <c r="B32" s="15" t="n"/>
      <c r="C32" s="15" t="n"/>
      <c r="D32" s="15" t="n"/>
      <c r="E32" s="16" t="n"/>
      <c r="F32" s="16" t="n"/>
      <c r="G32" s="15" t="n"/>
      <c r="H32" s="17">
        <f>IF($A32="","",SUMIF(tblAkis[KaynakPersonelId],$A32,tblAkis[FazlaMesaiSaat]))</f>
        <v/>
      </c>
      <c r="I32" s="17">
        <f>IF($A32="","",IFERROR(AVERAGEIF(tblAkis[KaynakPersonelId],$A32,tblAkis[FazlaMesaiSaat]),0))</f>
        <v/>
      </c>
    </row>
    <row r="33">
      <c r="A33" s="15" t="n"/>
      <c r="B33" s="15" t="n"/>
      <c r="C33" s="15" t="n"/>
      <c r="D33" s="15" t="n"/>
      <c r="E33" s="16" t="n"/>
      <c r="F33" s="16" t="n"/>
      <c r="G33" s="15" t="n"/>
      <c r="H33" s="17">
        <f>IF($A33="","",SUMIF(tblAkis[KaynakPersonelId],$A33,tblAkis[FazlaMesaiSaat]))</f>
        <v/>
      </c>
      <c r="I33" s="17">
        <f>IF($A33="","",IFERROR(AVERAGEIF(tblAkis[KaynakPersonelId],$A33,tblAkis[FazlaMesaiSaat]),0))</f>
        <v/>
      </c>
    </row>
    <row r="34">
      <c r="A34" s="15" t="n"/>
      <c r="B34" s="15" t="n"/>
      <c r="C34" s="15" t="n"/>
      <c r="D34" s="15" t="n"/>
      <c r="E34" s="16" t="n"/>
      <c r="F34" s="16" t="n"/>
      <c r="G34" s="15" t="n"/>
      <c r="H34" s="17">
        <f>IF($A34="","",SUMIF(tblAkis[KaynakPersonelId],$A34,tblAkis[FazlaMesaiSaat]))</f>
        <v/>
      </c>
      <c r="I34" s="17">
        <f>IF($A34="","",IFERROR(AVERAGEIF(tblAkis[KaynakPersonelId],$A34,tblAkis[FazlaMesaiSaat]),0))</f>
        <v/>
      </c>
    </row>
    <row r="35">
      <c r="A35" s="15" t="n"/>
      <c r="B35" s="15" t="n"/>
      <c r="C35" s="15" t="n"/>
      <c r="D35" s="15" t="n"/>
      <c r="E35" s="16" t="n"/>
      <c r="F35" s="16" t="n"/>
      <c r="G35" s="15" t="n"/>
      <c r="H35" s="17">
        <f>IF($A35="","",SUMIF(tblAkis[KaynakPersonelId],$A35,tblAkis[FazlaMesaiSaat]))</f>
        <v/>
      </c>
      <c r="I35" s="17">
        <f>IF($A35="","",IFERROR(AVERAGEIF(tblAkis[KaynakPersonelId],$A35,tblAkis[FazlaMesaiSaat]),0))</f>
        <v/>
      </c>
    </row>
    <row r="36">
      <c r="A36" s="15" t="n"/>
      <c r="B36" s="15" t="n"/>
      <c r="C36" s="15" t="n"/>
      <c r="D36" s="15" t="n"/>
      <c r="E36" s="16" t="n"/>
      <c r="F36" s="16" t="n"/>
      <c r="G36" s="15" t="n"/>
      <c r="H36" s="17">
        <f>IF($A36="","",SUMIF(tblAkis[KaynakPersonelId],$A36,tblAkis[FazlaMesaiSaat]))</f>
        <v/>
      </c>
      <c r="I36" s="17">
        <f>IF($A36="","",IFERROR(AVERAGEIF(tblAkis[KaynakPersonelId],$A36,tblAkis[FazlaMesaiSaat]),0))</f>
        <v/>
      </c>
    </row>
    <row r="37">
      <c r="A37" s="15" t="n"/>
      <c r="B37" s="15" t="n"/>
      <c r="C37" s="15" t="n"/>
      <c r="D37" s="15" t="n"/>
      <c r="E37" s="16" t="n"/>
      <c r="F37" s="16" t="n"/>
      <c r="G37" s="15" t="n"/>
      <c r="H37" s="17">
        <f>IF($A37="","",SUMIF(tblAkis[KaynakPersonelId],$A37,tblAkis[FazlaMesaiSaat]))</f>
        <v/>
      </c>
      <c r="I37" s="17">
        <f>IF($A37="","",IFERROR(AVERAGEIF(tblAkis[KaynakPersonelId],$A37,tblAkis[FazlaMesaiSaat]),0))</f>
        <v/>
      </c>
    </row>
    <row r="38">
      <c r="A38" s="15" t="n"/>
      <c r="B38" s="15" t="n"/>
      <c r="C38" s="15" t="n"/>
      <c r="D38" s="15" t="n"/>
      <c r="E38" s="16" t="n"/>
      <c r="F38" s="16" t="n"/>
      <c r="G38" s="15" t="n"/>
      <c r="H38" s="17">
        <f>IF($A38="","",SUMIF(tblAkis[KaynakPersonelId],$A38,tblAkis[FazlaMesaiSaat]))</f>
        <v/>
      </c>
      <c r="I38" s="17">
        <f>IF($A38="","",IFERROR(AVERAGEIF(tblAkis[KaynakPersonelId],$A38,tblAkis[FazlaMesaiSaat]),0))</f>
        <v/>
      </c>
    </row>
    <row r="39">
      <c r="A39" s="15" t="n"/>
      <c r="B39" s="15" t="n"/>
      <c r="C39" s="15" t="n"/>
      <c r="D39" s="15" t="n"/>
      <c r="E39" s="16" t="n"/>
      <c r="F39" s="16" t="n"/>
      <c r="G39" s="15" t="n"/>
      <c r="H39" s="17">
        <f>IF($A39="","",SUMIF(tblAkis[KaynakPersonelId],$A39,tblAkis[FazlaMesaiSaat]))</f>
        <v/>
      </c>
      <c r="I39" s="17">
        <f>IF($A39="","",IFERROR(AVERAGEIF(tblAkis[KaynakPersonelId],$A39,tblAkis[FazlaMesaiSaat]),0))</f>
        <v/>
      </c>
    </row>
    <row r="40">
      <c r="A40" s="15" t="n"/>
      <c r="B40" s="15" t="n"/>
      <c r="C40" s="15" t="n"/>
      <c r="D40" s="15" t="n"/>
      <c r="E40" s="16" t="n"/>
      <c r="F40" s="16" t="n"/>
      <c r="G40" s="15" t="n"/>
      <c r="H40" s="17">
        <f>IF($A40="","",SUMIF(tblAkis[KaynakPersonelId],$A40,tblAkis[FazlaMesaiSaat]))</f>
        <v/>
      </c>
      <c r="I40" s="17">
        <f>IF($A40="","",IFERROR(AVERAGEIF(tblAkis[KaynakPersonelId],$A40,tblAkis[FazlaMesaiSaat]),0))</f>
        <v/>
      </c>
    </row>
    <row r="41">
      <c r="A41" s="15" t="n"/>
      <c r="B41" s="15" t="n"/>
      <c r="C41" s="15" t="n"/>
      <c r="D41" s="15" t="n"/>
      <c r="E41" s="16" t="n"/>
      <c r="F41" s="16" t="n"/>
      <c r="G41" s="15" t="n"/>
      <c r="H41" s="17">
        <f>IF($A41="","",SUMIF(tblAkis[KaynakPersonelId],$A41,tblAkis[FazlaMesaiSaat]))</f>
        <v/>
      </c>
      <c r="I41" s="17">
        <f>IF($A41="","",IFERROR(AVERAGEIF(tblAkis[KaynakPersonelId],$A41,tblAkis[FazlaMesaiSaat]),0))</f>
        <v/>
      </c>
    </row>
    <row r="42">
      <c r="A42" s="15" t="n"/>
      <c r="B42" s="15" t="n"/>
      <c r="C42" s="15" t="n"/>
      <c r="D42" s="15" t="n"/>
      <c r="E42" s="16" t="n"/>
      <c r="F42" s="16" t="n"/>
      <c r="G42" s="15" t="n"/>
      <c r="H42" s="17">
        <f>IF($A42="","",SUMIF(tblAkis[KaynakPersonelId],$A42,tblAkis[FazlaMesaiSaat]))</f>
        <v/>
      </c>
      <c r="I42" s="17">
        <f>IF($A42="","",IFERROR(AVERAGEIF(tblAkis[KaynakPersonelId],$A42,tblAkis[FazlaMesaiSaat]),0))</f>
        <v/>
      </c>
    </row>
    <row r="43">
      <c r="A43" s="15" t="n"/>
      <c r="B43" s="15" t="n"/>
      <c r="C43" s="15" t="n"/>
      <c r="D43" s="15" t="n"/>
      <c r="E43" s="16" t="n"/>
      <c r="F43" s="16" t="n"/>
      <c r="G43" s="15" t="n"/>
      <c r="H43" s="17">
        <f>IF($A43="","",SUMIF(tblAkis[KaynakPersonelId],$A43,tblAkis[FazlaMesaiSaat]))</f>
        <v/>
      </c>
      <c r="I43" s="17">
        <f>IF($A43="","",IFERROR(AVERAGEIF(tblAkis[KaynakPersonelId],$A43,tblAkis[FazlaMesaiSaat]),0))</f>
        <v/>
      </c>
    </row>
    <row r="44">
      <c r="A44" s="15" t="n"/>
      <c r="B44" s="15" t="n"/>
      <c r="C44" s="15" t="n"/>
      <c r="D44" s="15" t="n"/>
      <c r="E44" s="16" t="n"/>
      <c r="F44" s="16" t="n"/>
      <c r="G44" s="15" t="n"/>
      <c r="H44" s="17">
        <f>IF($A44="","",SUMIF(tblAkis[KaynakPersonelId],$A44,tblAkis[FazlaMesaiSaat]))</f>
        <v/>
      </c>
      <c r="I44" s="17">
        <f>IF($A44="","",IFERROR(AVERAGEIF(tblAkis[KaynakPersonelId],$A44,tblAkis[FazlaMesaiSaat]),0))</f>
        <v/>
      </c>
    </row>
    <row r="45">
      <c r="A45" s="15" t="n"/>
      <c r="B45" s="15" t="n"/>
      <c r="C45" s="15" t="n"/>
      <c r="D45" s="15" t="n"/>
      <c r="E45" s="16" t="n"/>
      <c r="F45" s="16" t="n"/>
      <c r="G45" s="15" t="n"/>
      <c r="H45" s="17">
        <f>IF($A45="","",SUMIF(tblAkis[KaynakPersonelId],$A45,tblAkis[FazlaMesaiSaat]))</f>
        <v/>
      </c>
      <c r="I45" s="17">
        <f>IF($A45="","",IFERROR(AVERAGEIF(tblAkis[KaynakPersonelId],$A45,tblAkis[FazlaMesaiSaat]),0))</f>
        <v/>
      </c>
    </row>
    <row r="46">
      <c r="A46" s="15" t="n"/>
      <c r="B46" s="15" t="n"/>
      <c r="C46" s="15" t="n"/>
      <c r="D46" s="15" t="n"/>
      <c r="E46" s="16" t="n"/>
      <c r="F46" s="16" t="n"/>
      <c r="G46" s="15" t="n"/>
      <c r="H46" s="17">
        <f>IF($A46="","",SUMIF(tblAkis[KaynakPersonelId],$A46,tblAkis[FazlaMesaiSaat]))</f>
        <v/>
      </c>
      <c r="I46" s="17">
        <f>IF($A46="","",IFERROR(AVERAGEIF(tblAkis[KaynakPersonelId],$A46,tblAkis[FazlaMesaiSaat]),0))</f>
        <v/>
      </c>
    </row>
    <row r="47">
      <c r="A47" s="15" t="n"/>
      <c r="B47" s="15" t="n"/>
      <c r="C47" s="15" t="n"/>
      <c r="D47" s="15" t="n"/>
      <c r="E47" s="16" t="n"/>
      <c r="F47" s="16" t="n"/>
      <c r="G47" s="15" t="n"/>
      <c r="H47" s="17">
        <f>IF($A47="","",SUMIF(tblAkis[KaynakPersonelId],$A47,tblAkis[FazlaMesaiSaat]))</f>
        <v/>
      </c>
      <c r="I47" s="17">
        <f>IF($A47="","",IFERROR(AVERAGEIF(tblAkis[KaynakPersonelId],$A47,tblAkis[FazlaMesaiSaat]),0))</f>
        <v/>
      </c>
    </row>
    <row r="48">
      <c r="A48" s="15" t="n"/>
      <c r="B48" s="15" t="n"/>
      <c r="C48" s="15" t="n"/>
      <c r="D48" s="15" t="n"/>
      <c r="E48" s="16" t="n"/>
      <c r="F48" s="16" t="n"/>
      <c r="G48" s="15" t="n"/>
      <c r="H48" s="17">
        <f>IF($A48="","",SUMIF(tblAkis[KaynakPersonelId],$A48,tblAkis[FazlaMesaiSaat]))</f>
        <v/>
      </c>
      <c r="I48" s="17">
        <f>IF($A48="","",IFERROR(AVERAGEIF(tblAkis[KaynakPersonelId],$A48,tblAkis[FazlaMesaiSaat]),0))</f>
        <v/>
      </c>
    </row>
    <row r="49">
      <c r="A49" s="15" t="n"/>
      <c r="B49" s="15" t="n"/>
      <c r="C49" s="15" t="n"/>
      <c r="D49" s="15" t="n"/>
      <c r="E49" s="16" t="n"/>
      <c r="F49" s="16" t="n"/>
      <c r="G49" s="15" t="n"/>
      <c r="H49" s="17">
        <f>IF($A49="","",SUMIF(tblAkis[KaynakPersonelId],$A49,tblAkis[FazlaMesaiSaat]))</f>
        <v/>
      </c>
      <c r="I49" s="17">
        <f>IF($A49="","",IFERROR(AVERAGEIF(tblAkis[KaynakPersonelId],$A49,tblAkis[FazlaMesaiSaat]),0))</f>
        <v/>
      </c>
    </row>
    <row r="50">
      <c r="A50" s="15" t="n"/>
      <c r="B50" s="15" t="n"/>
      <c r="C50" s="15" t="n"/>
      <c r="D50" s="15" t="n"/>
      <c r="E50" s="16" t="n"/>
      <c r="F50" s="16" t="n"/>
      <c r="G50" s="15" t="n"/>
      <c r="H50" s="17">
        <f>IF($A50="","",SUMIF(tblAkis[KaynakPersonelId],$A50,tblAkis[FazlaMesaiSaat]))</f>
        <v/>
      </c>
      <c r="I50" s="17">
        <f>IF($A50="","",IFERROR(AVERAGEIF(tblAkis[KaynakPersonelId],$A50,tblAkis[FazlaMesaiSaat]),0))</f>
        <v/>
      </c>
    </row>
    <row r="51">
      <c r="A51" s="15" t="n"/>
      <c r="B51" s="15" t="n"/>
      <c r="C51" s="15" t="n"/>
      <c r="D51" s="15" t="n"/>
      <c r="E51" s="16" t="n"/>
      <c r="F51" s="16" t="n"/>
      <c r="G51" s="15" t="n"/>
      <c r="H51" s="17">
        <f>IF($A51="","",SUMIF(tblAkis[KaynakPersonelId],$A51,tblAkis[FazlaMesaiSaat]))</f>
        <v/>
      </c>
      <c r="I51" s="17">
        <f>IF($A51="","",IFERROR(AVERAGEIF(tblAkis[KaynakPersonelId],$A51,tblAkis[FazlaMesaiSaat]),0))</f>
        <v/>
      </c>
    </row>
    <row r="52">
      <c r="A52" s="15" t="n"/>
      <c r="B52" s="15" t="n"/>
      <c r="C52" s="15" t="n"/>
      <c r="D52" s="15" t="n"/>
      <c r="E52" s="16" t="n"/>
      <c r="F52" s="16" t="n"/>
      <c r="G52" s="15" t="n"/>
      <c r="H52" s="17">
        <f>IF($A52="","",SUMIF(tblAkis[KaynakPersonelId],$A52,tblAkis[FazlaMesaiSaat]))</f>
        <v/>
      </c>
      <c r="I52" s="17">
        <f>IF($A52="","",IFERROR(AVERAGEIF(tblAkis[KaynakPersonelId],$A52,tblAkis[FazlaMesaiSaat]),0))</f>
        <v/>
      </c>
    </row>
    <row r="53">
      <c r="A53" s="15" t="n"/>
      <c r="B53" s="15" t="n"/>
      <c r="C53" s="15" t="n"/>
      <c r="D53" s="15" t="n"/>
      <c r="E53" s="16" t="n"/>
      <c r="F53" s="16" t="n"/>
      <c r="G53" s="15" t="n"/>
      <c r="H53" s="17">
        <f>IF($A53="","",SUMIF(tblAkis[KaynakPersonelId],$A53,tblAkis[FazlaMesaiSaat]))</f>
        <v/>
      </c>
      <c r="I53" s="17">
        <f>IF($A53="","",IFERROR(AVERAGEIF(tblAkis[KaynakPersonelId],$A53,tblAkis[FazlaMesaiSaat]),0))</f>
        <v/>
      </c>
    </row>
    <row r="54">
      <c r="A54" s="15" t="n"/>
      <c r="B54" s="15" t="n"/>
      <c r="C54" s="15" t="n"/>
      <c r="D54" s="15" t="n"/>
      <c r="E54" s="16" t="n"/>
      <c r="F54" s="16" t="n"/>
      <c r="G54" s="15" t="n"/>
      <c r="H54" s="17">
        <f>IF($A54="","",SUMIF(tblAkis[KaynakPersonelId],$A54,tblAkis[FazlaMesaiSaat]))</f>
        <v/>
      </c>
      <c r="I54" s="17">
        <f>IF($A54="","",IFERROR(AVERAGEIF(tblAkis[KaynakPersonelId],$A54,tblAkis[FazlaMesaiSaat]),0))</f>
        <v/>
      </c>
    </row>
    <row r="55">
      <c r="A55" s="15" t="n"/>
      <c r="B55" s="15" t="n"/>
      <c r="C55" s="15" t="n"/>
      <c r="D55" s="15" t="n"/>
      <c r="E55" s="16" t="n"/>
      <c r="F55" s="16" t="n"/>
      <c r="G55" s="15" t="n"/>
      <c r="H55" s="17">
        <f>IF($A55="","",SUMIF(tblAkis[KaynakPersonelId],$A55,tblAkis[FazlaMesaiSaat]))</f>
        <v/>
      </c>
      <c r="I55" s="17">
        <f>IF($A55="","",IFERROR(AVERAGEIF(tblAkis[KaynakPersonelId],$A55,tblAkis[FazlaMesaiSaat]),0))</f>
        <v/>
      </c>
    </row>
    <row r="56">
      <c r="A56" s="15" t="n"/>
      <c r="B56" s="15" t="n"/>
      <c r="C56" s="15" t="n"/>
      <c r="D56" s="15" t="n"/>
      <c r="E56" s="16" t="n"/>
      <c r="F56" s="16" t="n"/>
      <c r="G56" s="15" t="n"/>
      <c r="H56" s="17">
        <f>IF($A56="","",SUMIF(tblAkis[KaynakPersonelId],$A56,tblAkis[FazlaMesaiSaat]))</f>
        <v/>
      </c>
      <c r="I56" s="17">
        <f>IF($A56="","",IFERROR(AVERAGEIF(tblAkis[KaynakPersonelId],$A56,tblAkis[FazlaMesaiSaat]),0))</f>
        <v/>
      </c>
    </row>
    <row r="57">
      <c r="A57" s="15" t="n"/>
      <c r="B57" s="15" t="n"/>
      <c r="C57" s="15" t="n"/>
      <c r="D57" s="15" t="n"/>
      <c r="E57" s="16" t="n"/>
      <c r="F57" s="16" t="n"/>
      <c r="G57" s="15" t="n"/>
      <c r="H57" s="17">
        <f>IF($A57="","",SUMIF(tblAkis[KaynakPersonelId],$A57,tblAkis[FazlaMesaiSaat]))</f>
        <v/>
      </c>
      <c r="I57" s="17">
        <f>IF($A57="","",IFERROR(AVERAGEIF(tblAkis[KaynakPersonelId],$A57,tblAkis[FazlaMesaiSaat]),0))</f>
        <v/>
      </c>
    </row>
    <row r="58">
      <c r="A58" s="15" t="n"/>
      <c r="B58" s="15" t="n"/>
      <c r="C58" s="15" t="n"/>
      <c r="D58" s="15" t="n"/>
      <c r="E58" s="16" t="n"/>
      <c r="F58" s="16" t="n"/>
      <c r="G58" s="15" t="n"/>
      <c r="H58" s="17">
        <f>IF($A58="","",SUMIF(tblAkis[KaynakPersonelId],$A58,tblAkis[FazlaMesaiSaat]))</f>
        <v/>
      </c>
      <c r="I58" s="17">
        <f>IF($A58="","",IFERROR(AVERAGEIF(tblAkis[KaynakPersonelId],$A58,tblAkis[FazlaMesaiSaat]),0))</f>
        <v/>
      </c>
    </row>
    <row r="59">
      <c r="A59" s="15" t="n"/>
      <c r="B59" s="15" t="n"/>
      <c r="C59" s="15" t="n"/>
      <c r="D59" s="15" t="n"/>
      <c r="E59" s="16" t="n"/>
      <c r="F59" s="16" t="n"/>
      <c r="G59" s="15" t="n"/>
      <c r="H59" s="17">
        <f>IF($A59="","",SUMIF(tblAkis[KaynakPersonelId],$A59,tblAkis[FazlaMesaiSaat]))</f>
        <v/>
      </c>
      <c r="I59" s="17">
        <f>IF($A59="","",IFERROR(AVERAGEIF(tblAkis[KaynakPersonelId],$A59,tblAkis[FazlaMesaiSaat]),0))</f>
        <v/>
      </c>
    </row>
    <row r="60">
      <c r="A60" s="15" t="n"/>
      <c r="B60" s="15" t="n"/>
      <c r="C60" s="15" t="n"/>
      <c r="D60" s="15" t="n"/>
      <c r="E60" s="16" t="n"/>
      <c r="F60" s="16" t="n"/>
      <c r="G60" s="15" t="n"/>
      <c r="H60" s="17">
        <f>IF($A60="","",SUMIF(tblAkis[KaynakPersonelId],$A60,tblAkis[FazlaMesaiSaat]))</f>
        <v/>
      </c>
      <c r="I60" s="17">
        <f>IF($A60="","",IFERROR(AVERAGEIF(tblAkis[KaynakPersonelId],$A60,tblAkis[FazlaMesaiSaat]),0))</f>
        <v/>
      </c>
    </row>
    <row r="61">
      <c r="A61" s="15" t="n"/>
      <c r="B61" s="15" t="n"/>
      <c r="C61" s="15" t="n"/>
      <c r="D61" s="15" t="n"/>
      <c r="E61" s="16" t="n"/>
      <c r="F61" s="16" t="n"/>
      <c r="G61" s="15" t="n"/>
      <c r="H61" s="17">
        <f>IF($A61="","",SUMIF(tblAkis[KaynakPersonelId],$A61,tblAkis[FazlaMesaiSaat]))</f>
        <v/>
      </c>
      <c r="I61" s="17">
        <f>IF($A61="","",IFERROR(AVERAGEIF(tblAkis[KaynakPersonelId],$A61,tblAkis[FazlaMesaiSaat]),0))</f>
        <v/>
      </c>
    </row>
    <row r="62">
      <c r="A62" s="15" t="n"/>
      <c r="B62" s="15" t="n"/>
      <c r="C62" s="15" t="n"/>
      <c r="D62" s="15" t="n"/>
      <c r="E62" s="16" t="n"/>
      <c r="F62" s="16" t="n"/>
      <c r="G62" s="15" t="n"/>
      <c r="H62" s="17">
        <f>IF($A62="","",SUMIF(tblAkis[KaynakPersonelId],$A62,tblAkis[FazlaMesaiSaat]))</f>
        <v/>
      </c>
      <c r="I62" s="17">
        <f>IF($A62="","",IFERROR(AVERAGEIF(tblAkis[KaynakPersonelId],$A62,tblAkis[FazlaMesaiSaat]),0))</f>
        <v/>
      </c>
    </row>
    <row r="63">
      <c r="A63" s="15" t="n"/>
      <c r="B63" s="15" t="n"/>
      <c r="C63" s="15" t="n"/>
      <c r="D63" s="15" t="n"/>
      <c r="E63" s="16" t="n"/>
      <c r="F63" s="16" t="n"/>
      <c r="G63" s="15" t="n"/>
      <c r="H63" s="17">
        <f>IF($A63="","",SUMIF(tblAkis[KaynakPersonelId],$A63,tblAkis[FazlaMesaiSaat]))</f>
        <v/>
      </c>
      <c r="I63" s="17">
        <f>IF($A63="","",IFERROR(AVERAGEIF(tblAkis[KaynakPersonelId],$A63,tblAkis[FazlaMesaiSaat]),0))</f>
        <v/>
      </c>
    </row>
    <row r="64">
      <c r="A64" s="15" t="n"/>
      <c r="B64" s="15" t="n"/>
      <c r="C64" s="15" t="n"/>
      <c r="D64" s="15" t="n"/>
      <c r="E64" s="16" t="n"/>
      <c r="F64" s="16" t="n"/>
      <c r="G64" s="15" t="n"/>
      <c r="H64" s="17">
        <f>IF($A64="","",SUMIF(tblAkis[KaynakPersonelId],$A64,tblAkis[FazlaMesaiSaat]))</f>
        <v/>
      </c>
      <c r="I64" s="17">
        <f>IF($A64="","",IFERROR(AVERAGEIF(tblAkis[KaynakPersonelId],$A64,tblAkis[FazlaMesaiSaat]),0))</f>
        <v/>
      </c>
    </row>
    <row r="65">
      <c r="A65" s="15" t="n"/>
      <c r="B65" s="15" t="n"/>
      <c r="C65" s="15" t="n"/>
      <c r="D65" s="15" t="n"/>
      <c r="E65" s="16" t="n"/>
      <c r="F65" s="16" t="n"/>
      <c r="G65" s="15" t="n"/>
      <c r="H65" s="17">
        <f>IF($A65="","",SUMIF(tblAkis[KaynakPersonelId],$A65,tblAkis[FazlaMesaiSaat]))</f>
        <v/>
      </c>
      <c r="I65" s="17">
        <f>IF($A65="","",IFERROR(AVERAGEIF(tblAkis[KaynakPersonelId],$A65,tblAkis[FazlaMesaiSaat]),0))</f>
        <v/>
      </c>
    </row>
    <row r="66">
      <c r="A66" s="15" t="n"/>
      <c r="B66" s="15" t="n"/>
      <c r="C66" s="15" t="n"/>
      <c r="D66" s="15" t="n"/>
      <c r="E66" s="16" t="n"/>
      <c r="F66" s="16" t="n"/>
      <c r="G66" s="15" t="n"/>
      <c r="H66" s="17">
        <f>IF($A66="","",SUMIF(tblAkis[KaynakPersonelId],$A66,tblAkis[FazlaMesaiSaat]))</f>
        <v/>
      </c>
      <c r="I66" s="17">
        <f>IF($A66="","",IFERROR(AVERAGEIF(tblAkis[KaynakPersonelId],$A66,tblAkis[FazlaMesaiSaat]),0))</f>
        <v/>
      </c>
    </row>
    <row r="67">
      <c r="A67" s="15" t="n"/>
      <c r="B67" s="15" t="n"/>
      <c r="C67" s="15" t="n"/>
      <c r="D67" s="15" t="n"/>
      <c r="E67" s="16" t="n"/>
      <c r="F67" s="16" t="n"/>
      <c r="G67" s="15" t="n"/>
      <c r="H67" s="17">
        <f>IF($A67="","",SUMIF(tblAkis[KaynakPersonelId],$A67,tblAkis[FazlaMesaiSaat]))</f>
        <v/>
      </c>
      <c r="I67" s="17">
        <f>IF($A67="","",IFERROR(AVERAGEIF(tblAkis[KaynakPersonelId],$A67,tblAkis[FazlaMesaiSaat]),0))</f>
        <v/>
      </c>
    </row>
    <row r="68">
      <c r="A68" s="15" t="n"/>
      <c r="B68" s="15" t="n"/>
      <c r="C68" s="15" t="n"/>
      <c r="D68" s="15" t="n"/>
      <c r="E68" s="16" t="n"/>
      <c r="F68" s="16" t="n"/>
      <c r="G68" s="15" t="n"/>
      <c r="H68" s="17">
        <f>IF($A68="","",SUMIF(tblAkis[KaynakPersonelId],$A68,tblAkis[FazlaMesaiSaat]))</f>
        <v/>
      </c>
      <c r="I68" s="17">
        <f>IF($A68="","",IFERROR(AVERAGEIF(tblAkis[KaynakPersonelId],$A68,tblAkis[FazlaMesaiSaat]),0))</f>
        <v/>
      </c>
    </row>
    <row r="69">
      <c r="A69" s="15" t="n"/>
      <c r="B69" s="15" t="n"/>
      <c r="C69" s="15" t="n"/>
      <c r="D69" s="15" t="n"/>
      <c r="E69" s="16" t="n"/>
      <c r="F69" s="16" t="n"/>
      <c r="G69" s="15" t="n"/>
      <c r="H69" s="17">
        <f>IF($A69="","",SUMIF(tblAkis[KaynakPersonelId],$A69,tblAkis[FazlaMesaiSaat]))</f>
        <v/>
      </c>
      <c r="I69" s="17">
        <f>IF($A69="","",IFERROR(AVERAGEIF(tblAkis[KaynakPersonelId],$A69,tblAkis[FazlaMesaiSaat]),0))</f>
        <v/>
      </c>
    </row>
    <row r="70">
      <c r="A70" s="15" t="n"/>
      <c r="B70" s="15" t="n"/>
      <c r="C70" s="15" t="n"/>
      <c r="D70" s="15" t="n"/>
      <c r="E70" s="16" t="n"/>
      <c r="F70" s="16" t="n"/>
      <c r="G70" s="15" t="n"/>
      <c r="H70" s="17">
        <f>IF($A70="","",SUMIF(tblAkis[KaynakPersonelId],$A70,tblAkis[FazlaMesaiSaat]))</f>
        <v/>
      </c>
      <c r="I70" s="17">
        <f>IF($A70="","",IFERROR(AVERAGEIF(tblAkis[KaynakPersonelId],$A70,tblAkis[FazlaMesaiSaat]),0))</f>
        <v/>
      </c>
    </row>
    <row r="71">
      <c r="A71" s="15" t="n"/>
      <c r="B71" s="15" t="n"/>
      <c r="C71" s="15" t="n"/>
      <c r="D71" s="15" t="n"/>
      <c r="E71" s="16" t="n"/>
      <c r="F71" s="16" t="n"/>
      <c r="G71" s="15" t="n"/>
      <c r="H71" s="17">
        <f>IF($A71="","",SUMIF(tblAkis[KaynakPersonelId],$A71,tblAkis[FazlaMesaiSaat]))</f>
        <v/>
      </c>
      <c r="I71" s="17">
        <f>IF($A71="","",IFERROR(AVERAGEIF(tblAkis[KaynakPersonelId],$A71,tblAkis[FazlaMesaiSaat]),0))</f>
        <v/>
      </c>
    </row>
    <row r="72">
      <c r="A72" s="15" t="n"/>
      <c r="B72" s="15" t="n"/>
      <c r="C72" s="15" t="n"/>
      <c r="D72" s="15" t="n"/>
      <c r="E72" s="16" t="n"/>
      <c r="F72" s="16" t="n"/>
      <c r="G72" s="15" t="n"/>
      <c r="H72" s="17">
        <f>IF($A72="","",SUMIF(tblAkis[KaynakPersonelId],$A72,tblAkis[FazlaMesaiSaat]))</f>
        <v/>
      </c>
      <c r="I72" s="17">
        <f>IF($A72="","",IFERROR(AVERAGEIF(tblAkis[KaynakPersonelId],$A72,tblAkis[FazlaMesaiSaat]),0))</f>
        <v/>
      </c>
    </row>
    <row r="73">
      <c r="A73" s="15" t="n"/>
      <c r="B73" s="15" t="n"/>
      <c r="C73" s="15" t="n"/>
      <c r="D73" s="15" t="n"/>
      <c r="E73" s="16" t="n"/>
      <c r="F73" s="16" t="n"/>
      <c r="G73" s="15" t="n"/>
      <c r="H73" s="17">
        <f>IF($A73="","",SUMIF(tblAkis[KaynakPersonelId],$A73,tblAkis[FazlaMesaiSaat]))</f>
        <v/>
      </c>
      <c r="I73" s="17">
        <f>IF($A73="","",IFERROR(AVERAGEIF(tblAkis[KaynakPersonelId],$A73,tblAkis[FazlaMesaiSaat]),0))</f>
        <v/>
      </c>
    </row>
    <row r="74">
      <c r="A74" s="15" t="n"/>
      <c r="B74" s="15" t="n"/>
      <c r="C74" s="15" t="n"/>
      <c r="D74" s="15" t="n"/>
      <c r="E74" s="16" t="n"/>
      <c r="F74" s="16" t="n"/>
      <c r="G74" s="15" t="n"/>
      <c r="H74" s="17">
        <f>IF($A74="","",SUMIF(tblAkis[KaynakPersonelId],$A74,tblAkis[FazlaMesaiSaat]))</f>
        <v/>
      </c>
      <c r="I74" s="17">
        <f>IF($A74="","",IFERROR(AVERAGEIF(tblAkis[KaynakPersonelId],$A74,tblAkis[FazlaMesaiSaat]),0))</f>
        <v/>
      </c>
    </row>
    <row r="75">
      <c r="A75" s="15" t="n"/>
      <c r="B75" s="15" t="n"/>
      <c r="C75" s="15" t="n"/>
      <c r="D75" s="15" t="n"/>
      <c r="E75" s="16" t="n"/>
      <c r="F75" s="16" t="n"/>
      <c r="G75" s="15" t="n"/>
      <c r="H75" s="17">
        <f>IF($A75="","",SUMIF(tblAkis[KaynakPersonelId],$A75,tblAkis[FazlaMesaiSaat]))</f>
        <v/>
      </c>
      <c r="I75" s="17">
        <f>IF($A75="","",IFERROR(AVERAGEIF(tblAkis[KaynakPersonelId],$A75,tblAkis[FazlaMesaiSaat]),0))</f>
        <v/>
      </c>
    </row>
    <row r="76">
      <c r="A76" s="15" t="n"/>
      <c r="B76" s="15" t="n"/>
      <c r="C76" s="15" t="n"/>
      <c r="D76" s="15" t="n"/>
      <c r="E76" s="16" t="n"/>
      <c r="F76" s="16" t="n"/>
      <c r="G76" s="15" t="n"/>
      <c r="H76" s="17">
        <f>IF($A76="","",SUMIF(tblAkis[KaynakPersonelId],$A76,tblAkis[FazlaMesaiSaat]))</f>
        <v/>
      </c>
      <c r="I76" s="17">
        <f>IF($A76="","",IFERROR(AVERAGEIF(tblAkis[KaynakPersonelId],$A76,tblAkis[FazlaMesaiSaat]),0))</f>
        <v/>
      </c>
    </row>
    <row r="77">
      <c r="A77" s="15" t="n"/>
      <c r="B77" s="15" t="n"/>
      <c r="C77" s="15" t="n"/>
      <c r="D77" s="15" t="n"/>
      <c r="E77" s="16" t="n"/>
      <c r="F77" s="16" t="n"/>
      <c r="G77" s="15" t="n"/>
      <c r="H77" s="17">
        <f>IF($A77="","",SUMIF(tblAkis[KaynakPersonelId],$A77,tblAkis[FazlaMesaiSaat]))</f>
        <v/>
      </c>
      <c r="I77" s="17">
        <f>IF($A77="","",IFERROR(AVERAGEIF(tblAkis[KaynakPersonelId],$A77,tblAkis[FazlaMesaiSaat]),0))</f>
        <v/>
      </c>
    </row>
    <row r="78">
      <c r="A78" s="15" t="n"/>
      <c r="B78" s="15" t="n"/>
      <c r="C78" s="15" t="n"/>
      <c r="D78" s="15" t="n"/>
      <c r="E78" s="16" t="n"/>
      <c r="F78" s="16" t="n"/>
      <c r="G78" s="15" t="n"/>
      <c r="H78" s="17">
        <f>IF($A78="","",SUMIF(tblAkis[KaynakPersonelId],$A78,tblAkis[FazlaMesaiSaat]))</f>
        <v/>
      </c>
      <c r="I78" s="17">
        <f>IF($A78="","",IFERROR(AVERAGEIF(tblAkis[KaynakPersonelId],$A78,tblAkis[FazlaMesaiSaat]),0))</f>
        <v/>
      </c>
    </row>
    <row r="79">
      <c r="A79" s="15" t="n"/>
      <c r="B79" s="15" t="n"/>
      <c r="C79" s="15" t="n"/>
      <c r="D79" s="15" t="n"/>
      <c r="E79" s="16" t="n"/>
      <c r="F79" s="16" t="n"/>
      <c r="G79" s="15" t="n"/>
      <c r="H79" s="17">
        <f>IF($A79="","",SUMIF(tblAkis[KaynakPersonelId],$A79,tblAkis[FazlaMesaiSaat]))</f>
        <v/>
      </c>
      <c r="I79" s="17">
        <f>IF($A79="","",IFERROR(AVERAGEIF(tblAkis[KaynakPersonelId],$A79,tblAkis[FazlaMesaiSaat]),0))</f>
        <v/>
      </c>
    </row>
    <row r="80">
      <c r="A80" s="15" t="n"/>
      <c r="B80" s="15" t="n"/>
      <c r="C80" s="15" t="n"/>
      <c r="D80" s="15" t="n"/>
      <c r="E80" s="16" t="n"/>
      <c r="F80" s="16" t="n"/>
      <c r="G80" s="15" t="n"/>
      <c r="H80" s="17">
        <f>IF($A80="","",SUMIF(tblAkis[KaynakPersonelId],$A80,tblAkis[FazlaMesaiSaat]))</f>
        <v/>
      </c>
      <c r="I80" s="17">
        <f>IF($A80="","",IFERROR(AVERAGEIF(tblAkis[KaynakPersonelId],$A80,tblAkis[FazlaMesaiSaat]),0))</f>
        <v/>
      </c>
    </row>
    <row r="81">
      <c r="A81" s="15" t="n"/>
      <c r="B81" s="15" t="n"/>
      <c r="C81" s="15" t="n"/>
      <c r="D81" s="15" t="n"/>
      <c r="E81" s="16" t="n"/>
      <c r="F81" s="16" t="n"/>
      <c r="G81" s="15" t="n"/>
      <c r="H81" s="17">
        <f>IF($A81="","",SUMIF(tblAkis[KaynakPersonelId],$A81,tblAkis[FazlaMesaiSaat]))</f>
        <v/>
      </c>
      <c r="I81" s="17">
        <f>IF($A81="","",IFERROR(AVERAGEIF(tblAkis[KaynakPersonelId],$A81,tblAkis[FazlaMesaiSaat]),0))</f>
        <v/>
      </c>
    </row>
    <row r="82">
      <c r="A82" s="15" t="n"/>
      <c r="B82" s="15" t="n"/>
      <c r="C82" s="15" t="n"/>
      <c r="D82" s="15" t="n"/>
      <c r="E82" s="16" t="n"/>
      <c r="F82" s="16" t="n"/>
      <c r="G82" s="15" t="n"/>
      <c r="H82" s="17">
        <f>IF($A82="","",SUMIF(tblAkis[KaynakPersonelId],$A82,tblAkis[FazlaMesaiSaat]))</f>
        <v/>
      </c>
      <c r="I82" s="17">
        <f>IF($A82="","",IFERROR(AVERAGEIF(tblAkis[KaynakPersonelId],$A82,tblAkis[FazlaMesaiSaat]),0))</f>
        <v/>
      </c>
    </row>
    <row r="83">
      <c r="A83" s="15" t="n"/>
      <c r="B83" s="15" t="n"/>
      <c r="C83" s="15" t="n"/>
      <c r="D83" s="15" t="n"/>
      <c r="E83" s="16" t="n"/>
      <c r="F83" s="16" t="n"/>
      <c r="G83" s="15" t="n"/>
      <c r="H83" s="17">
        <f>IF($A83="","",SUMIF(tblAkis[KaynakPersonelId],$A83,tblAkis[FazlaMesaiSaat]))</f>
        <v/>
      </c>
      <c r="I83" s="17">
        <f>IF($A83="","",IFERROR(AVERAGEIF(tblAkis[KaynakPersonelId],$A83,tblAkis[FazlaMesaiSaat]),0))</f>
        <v/>
      </c>
    </row>
    <row r="84">
      <c r="A84" s="15" t="n"/>
      <c r="B84" s="15" t="n"/>
      <c r="C84" s="15" t="n"/>
      <c r="D84" s="15" t="n"/>
      <c r="E84" s="16" t="n"/>
      <c r="F84" s="16" t="n"/>
      <c r="G84" s="15" t="n"/>
      <c r="H84" s="17">
        <f>IF($A84="","",SUMIF(tblAkis[KaynakPersonelId],$A84,tblAkis[FazlaMesaiSaat]))</f>
        <v/>
      </c>
      <c r="I84" s="17">
        <f>IF($A84="","",IFERROR(AVERAGEIF(tblAkis[KaynakPersonelId],$A84,tblAkis[FazlaMesaiSaat]),0))</f>
        <v/>
      </c>
    </row>
    <row r="85">
      <c r="A85" s="15" t="n"/>
      <c r="B85" s="15" t="n"/>
      <c r="C85" s="15" t="n"/>
      <c r="D85" s="15" t="n"/>
      <c r="E85" s="16" t="n"/>
      <c r="F85" s="16" t="n"/>
      <c r="G85" s="15" t="n"/>
      <c r="H85" s="17">
        <f>IF($A85="","",SUMIF(tblAkis[KaynakPersonelId],$A85,tblAkis[FazlaMesaiSaat]))</f>
        <v/>
      </c>
      <c r="I85" s="17">
        <f>IF($A85="","",IFERROR(AVERAGEIF(tblAkis[KaynakPersonelId],$A85,tblAkis[FazlaMesaiSaat]),0))</f>
        <v/>
      </c>
    </row>
    <row r="86">
      <c r="A86" s="15" t="n"/>
      <c r="B86" s="15" t="n"/>
      <c r="C86" s="15" t="n"/>
      <c r="D86" s="15" t="n"/>
      <c r="E86" s="16" t="n"/>
      <c r="F86" s="16" t="n"/>
      <c r="G86" s="15" t="n"/>
      <c r="H86" s="17">
        <f>IF($A86="","",SUMIF(tblAkis[KaynakPersonelId],$A86,tblAkis[FazlaMesaiSaat]))</f>
        <v/>
      </c>
      <c r="I86" s="17">
        <f>IF($A86="","",IFERROR(AVERAGEIF(tblAkis[KaynakPersonelId],$A86,tblAkis[FazlaMesaiSaat]),0))</f>
        <v/>
      </c>
    </row>
    <row r="87">
      <c r="A87" s="15" t="n"/>
      <c r="B87" s="15" t="n"/>
      <c r="C87" s="15" t="n"/>
      <c r="D87" s="15" t="n"/>
      <c r="E87" s="16" t="n"/>
      <c r="F87" s="16" t="n"/>
      <c r="G87" s="15" t="n"/>
      <c r="H87" s="17">
        <f>IF($A87="","",SUMIF(tblAkis[KaynakPersonelId],$A87,tblAkis[FazlaMesaiSaat]))</f>
        <v/>
      </c>
      <c r="I87" s="17">
        <f>IF($A87="","",IFERROR(AVERAGEIF(tblAkis[KaynakPersonelId],$A87,tblAkis[FazlaMesaiSaat]),0))</f>
        <v/>
      </c>
    </row>
    <row r="88">
      <c r="A88" s="15" t="n"/>
      <c r="B88" s="15" t="n"/>
      <c r="C88" s="15" t="n"/>
      <c r="D88" s="15" t="n"/>
      <c r="E88" s="16" t="n"/>
      <c r="F88" s="16" t="n"/>
      <c r="G88" s="15" t="n"/>
      <c r="H88" s="17">
        <f>IF($A88="","",SUMIF(tblAkis[KaynakPersonelId],$A88,tblAkis[FazlaMesaiSaat]))</f>
        <v/>
      </c>
      <c r="I88" s="17">
        <f>IF($A88="","",IFERROR(AVERAGEIF(tblAkis[KaynakPersonelId],$A88,tblAkis[FazlaMesaiSaat]),0))</f>
        <v/>
      </c>
    </row>
    <row r="89">
      <c r="A89" s="15" t="n"/>
      <c r="B89" s="15" t="n"/>
      <c r="C89" s="15" t="n"/>
      <c r="D89" s="15" t="n"/>
      <c r="E89" s="16" t="n"/>
      <c r="F89" s="16" t="n"/>
      <c r="G89" s="15" t="n"/>
      <c r="H89" s="17">
        <f>IF($A89="","",SUMIF(tblAkis[KaynakPersonelId],$A89,tblAkis[FazlaMesaiSaat]))</f>
        <v/>
      </c>
      <c r="I89" s="17">
        <f>IF($A89="","",IFERROR(AVERAGEIF(tblAkis[KaynakPersonelId],$A89,tblAkis[FazlaMesaiSaat]),0))</f>
        <v/>
      </c>
    </row>
    <row r="90">
      <c r="A90" s="15" t="n"/>
      <c r="B90" s="15" t="n"/>
      <c r="C90" s="15" t="n"/>
      <c r="D90" s="15" t="n"/>
      <c r="E90" s="16" t="n"/>
      <c r="F90" s="16" t="n"/>
      <c r="G90" s="15" t="n"/>
      <c r="H90" s="17">
        <f>IF($A90="","",SUMIF(tblAkis[KaynakPersonelId],$A90,tblAkis[FazlaMesaiSaat]))</f>
        <v/>
      </c>
      <c r="I90" s="17">
        <f>IF($A90="","",IFERROR(AVERAGEIF(tblAkis[KaynakPersonelId],$A90,tblAkis[FazlaMesaiSaat]),0))</f>
        <v/>
      </c>
    </row>
    <row r="91">
      <c r="A91" s="15" t="n"/>
      <c r="B91" s="15" t="n"/>
      <c r="C91" s="15" t="n"/>
      <c r="D91" s="15" t="n"/>
      <c r="E91" s="16" t="n"/>
      <c r="F91" s="16" t="n"/>
      <c r="G91" s="15" t="n"/>
      <c r="H91" s="17">
        <f>IF($A91="","",SUMIF(tblAkis[KaynakPersonelId],$A91,tblAkis[FazlaMesaiSaat]))</f>
        <v/>
      </c>
      <c r="I91" s="17">
        <f>IF($A91="","",IFERROR(AVERAGEIF(tblAkis[KaynakPersonelId],$A91,tblAkis[FazlaMesaiSaat]),0))</f>
        <v/>
      </c>
    </row>
    <row r="92">
      <c r="A92" s="15" t="n"/>
      <c r="B92" s="15" t="n"/>
      <c r="C92" s="15" t="n"/>
      <c r="D92" s="15" t="n"/>
      <c r="E92" s="16" t="n"/>
      <c r="F92" s="16" t="n"/>
      <c r="G92" s="15" t="n"/>
      <c r="H92" s="17">
        <f>IF($A92="","",SUMIF(tblAkis[KaynakPersonelId],$A92,tblAkis[FazlaMesaiSaat]))</f>
        <v/>
      </c>
      <c r="I92" s="17">
        <f>IF($A92="","",IFERROR(AVERAGEIF(tblAkis[KaynakPersonelId],$A92,tblAkis[FazlaMesaiSaat]),0))</f>
        <v/>
      </c>
    </row>
    <row r="93">
      <c r="A93" s="15" t="n"/>
      <c r="B93" s="15" t="n"/>
      <c r="C93" s="15" t="n"/>
      <c r="D93" s="15" t="n"/>
      <c r="E93" s="16" t="n"/>
      <c r="F93" s="16" t="n"/>
      <c r="G93" s="15" t="n"/>
      <c r="H93" s="17">
        <f>IF($A93="","",SUMIF(tblAkis[KaynakPersonelId],$A93,tblAkis[FazlaMesaiSaat]))</f>
        <v/>
      </c>
      <c r="I93" s="17">
        <f>IF($A93="","",IFERROR(AVERAGEIF(tblAkis[KaynakPersonelId],$A93,tblAkis[FazlaMesaiSaat]),0))</f>
        <v/>
      </c>
    </row>
    <row r="94">
      <c r="A94" s="15" t="n"/>
      <c r="B94" s="15" t="n"/>
      <c r="C94" s="15" t="n"/>
      <c r="D94" s="15" t="n"/>
      <c r="E94" s="16" t="n"/>
      <c r="F94" s="16" t="n"/>
      <c r="G94" s="15" t="n"/>
      <c r="H94" s="17">
        <f>IF($A94="","",SUMIF(tblAkis[KaynakPersonelId],$A94,tblAkis[FazlaMesaiSaat]))</f>
        <v/>
      </c>
      <c r="I94" s="17">
        <f>IF($A94="","",IFERROR(AVERAGEIF(tblAkis[KaynakPersonelId],$A94,tblAkis[FazlaMesaiSaat]),0))</f>
        <v/>
      </c>
    </row>
    <row r="95">
      <c r="A95" s="15" t="n"/>
      <c r="B95" s="15" t="n"/>
      <c r="C95" s="15" t="n"/>
      <c r="D95" s="15" t="n"/>
      <c r="E95" s="16" t="n"/>
      <c r="F95" s="16" t="n"/>
      <c r="G95" s="15" t="n"/>
      <c r="H95" s="17">
        <f>IF($A95="","",SUMIF(tblAkis[KaynakPersonelId],$A95,tblAkis[FazlaMesaiSaat]))</f>
        <v/>
      </c>
      <c r="I95" s="17">
        <f>IF($A95="","",IFERROR(AVERAGEIF(tblAkis[KaynakPersonelId],$A95,tblAkis[FazlaMesaiSaat]),0))</f>
        <v/>
      </c>
    </row>
    <row r="96">
      <c r="A96" s="15" t="n"/>
      <c r="B96" s="15" t="n"/>
      <c r="C96" s="15" t="n"/>
      <c r="D96" s="15" t="n"/>
      <c r="E96" s="16" t="n"/>
      <c r="F96" s="16" t="n"/>
      <c r="G96" s="15" t="n"/>
      <c r="H96" s="17">
        <f>IF($A96="","",SUMIF(tblAkis[KaynakPersonelId],$A96,tblAkis[FazlaMesaiSaat]))</f>
        <v/>
      </c>
      <c r="I96" s="17">
        <f>IF($A96="","",IFERROR(AVERAGEIF(tblAkis[KaynakPersonelId],$A96,tblAkis[FazlaMesaiSaat]),0))</f>
        <v/>
      </c>
    </row>
    <row r="97">
      <c r="A97" s="15" t="n"/>
      <c r="B97" s="15" t="n"/>
      <c r="C97" s="15" t="n"/>
      <c r="D97" s="15" t="n"/>
      <c r="E97" s="16" t="n"/>
      <c r="F97" s="16" t="n"/>
      <c r="G97" s="15" t="n"/>
      <c r="H97" s="17">
        <f>IF($A97="","",SUMIF(tblAkis[KaynakPersonelId],$A97,tblAkis[FazlaMesaiSaat]))</f>
        <v/>
      </c>
      <c r="I97" s="17">
        <f>IF($A97="","",IFERROR(AVERAGEIF(tblAkis[KaynakPersonelId],$A97,tblAkis[FazlaMesaiSaat]),0))</f>
        <v/>
      </c>
    </row>
    <row r="98">
      <c r="A98" s="15" t="n"/>
      <c r="B98" s="15" t="n"/>
      <c r="C98" s="15" t="n"/>
      <c r="D98" s="15" t="n"/>
      <c r="E98" s="16" t="n"/>
      <c r="F98" s="16" t="n"/>
      <c r="G98" s="15" t="n"/>
      <c r="H98" s="17">
        <f>IF($A98="","",SUMIF(tblAkis[KaynakPersonelId],$A98,tblAkis[FazlaMesaiSaat]))</f>
        <v/>
      </c>
      <c r="I98" s="17">
        <f>IF($A98="","",IFERROR(AVERAGEIF(tblAkis[KaynakPersonelId],$A98,tblAkis[FazlaMesaiSaat]),0))</f>
        <v/>
      </c>
    </row>
    <row r="99">
      <c r="A99" s="15" t="n"/>
      <c r="B99" s="15" t="n"/>
      <c r="C99" s="15" t="n"/>
      <c r="D99" s="15" t="n"/>
      <c r="E99" s="16" t="n"/>
      <c r="F99" s="16" t="n"/>
      <c r="G99" s="15" t="n"/>
      <c r="H99" s="17">
        <f>IF($A99="","",SUMIF(tblAkis[KaynakPersonelId],$A99,tblAkis[FazlaMesaiSaat]))</f>
        <v/>
      </c>
      <c r="I99" s="17">
        <f>IF($A99="","",IFERROR(AVERAGEIF(tblAkis[KaynakPersonelId],$A99,tblAkis[FazlaMesaiSaat]),0))</f>
        <v/>
      </c>
    </row>
    <row r="100">
      <c r="A100" s="15" t="n"/>
      <c r="B100" s="15" t="n"/>
      <c r="C100" s="15" t="n"/>
      <c r="D100" s="15" t="n"/>
      <c r="E100" s="16" t="n"/>
      <c r="F100" s="16" t="n"/>
      <c r="G100" s="15" t="n"/>
      <c r="H100" s="17">
        <f>IF($A100="","",SUMIF(tblAkis[KaynakPersonelId],$A100,tblAkis[FazlaMesaiSaat]))</f>
        <v/>
      </c>
      <c r="I100" s="17">
        <f>IF($A100="","",IFERROR(AVERAGEIF(tblAkis[KaynakPersonelId],$A100,tblAkis[FazlaMesaiSaat]),0))</f>
        <v/>
      </c>
    </row>
    <row r="101">
      <c r="A101" s="15" t="n"/>
      <c r="B101" s="15" t="n"/>
      <c r="C101" s="15" t="n"/>
      <c r="D101" s="15" t="n"/>
      <c r="E101" s="16" t="n"/>
      <c r="F101" s="16" t="n"/>
      <c r="G101" s="15" t="n"/>
      <c r="H101" s="17">
        <f>IF($A101="","",SUMIF(tblAkis[KaynakPersonelId],$A101,tblAkis[FazlaMesaiSaat]))</f>
        <v/>
      </c>
      <c r="I101" s="17">
        <f>IF($A101="","",IFERROR(AVERAGEIF(tblAkis[KaynakPersonelId],$A101,tblAkis[FazlaMesaiSaat]),0))</f>
        <v/>
      </c>
    </row>
    <row r="102">
      <c r="A102" s="15" t="n"/>
      <c r="B102" s="15" t="n"/>
      <c r="C102" s="15" t="n"/>
      <c r="D102" s="15" t="n"/>
      <c r="E102" s="16" t="n"/>
      <c r="F102" s="16" t="n"/>
      <c r="G102" s="15" t="n"/>
      <c r="H102" s="17">
        <f>IF($A102="","",SUMIF(tblAkis[KaynakPersonelId],$A102,tblAkis[FazlaMesaiSaat]))</f>
        <v/>
      </c>
      <c r="I102" s="17">
        <f>IF($A102="","",IFERROR(AVERAGEIF(tblAkis[KaynakPersonelId],$A102,tblAkis[FazlaMesaiSaat]),0))</f>
        <v/>
      </c>
    </row>
    <row r="103">
      <c r="A103" s="15" t="n"/>
      <c r="B103" s="15" t="n"/>
      <c r="C103" s="15" t="n"/>
      <c r="D103" s="15" t="n"/>
      <c r="E103" s="16" t="n"/>
      <c r="F103" s="16" t="n"/>
      <c r="G103" s="15" t="n"/>
      <c r="H103" s="17">
        <f>IF($A103="","",SUMIF(tblAkis[KaynakPersonelId],$A103,tblAkis[FazlaMesaiSaat]))</f>
        <v/>
      </c>
      <c r="I103" s="17">
        <f>IF($A103="","",IFERROR(AVERAGEIF(tblAkis[KaynakPersonelId],$A103,tblAkis[FazlaMesaiSaat]),0))</f>
        <v/>
      </c>
    </row>
    <row r="104">
      <c r="A104" s="15" t="n"/>
      <c r="B104" s="15" t="n"/>
      <c r="C104" s="15" t="n"/>
      <c r="D104" s="15" t="n"/>
      <c r="E104" s="16" t="n"/>
      <c r="F104" s="16" t="n"/>
      <c r="G104" s="15" t="n"/>
      <c r="H104" s="17">
        <f>IF($A104="","",SUMIF(tblAkis[KaynakPersonelId],$A104,tblAkis[FazlaMesaiSaat]))</f>
        <v/>
      </c>
      <c r="I104" s="17">
        <f>IF($A104="","",IFERROR(AVERAGEIF(tblAkis[KaynakPersonelId],$A104,tblAkis[FazlaMesaiSaat]),0))</f>
        <v/>
      </c>
    </row>
    <row r="105">
      <c r="A105" s="15" t="n"/>
      <c r="B105" s="15" t="n"/>
      <c r="C105" s="15" t="n"/>
      <c r="D105" s="15" t="n"/>
      <c r="E105" s="16" t="n"/>
      <c r="F105" s="16" t="n"/>
      <c r="G105" s="15" t="n"/>
      <c r="H105" s="17">
        <f>IF($A105="","",SUMIF(tblAkis[KaynakPersonelId],$A105,tblAkis[FazlaMesaiSaat]))</f>
        <v/>
      </c>
      <c r="I105" s="17">
        <f>IF($A105="","",IFERROR(AVERAGEIF(tblAkis[KaynakPersonelId],$A105,tblAkis[FazlaMesaiSaat]),0))</f>
        <v/>
      </c>
    </row>
    <row r="106">
      <c r="A106" s="15" t="n"/>
      <c r="B106" s="15" t="n"/>
      <c r="C106" s="15" t="n"/>
      <c r="D106" s="15" t="n"/>
      <c r="E106" s="16" t="n"/>
      <c r="F106" s="16" t="n"/>
      <c r="G106" s="15" t="n"/>
      <c r="H106" s="17">
        <f>IF($A106="","",SUMIF(tblAkis[KaynakPersonelId],$A106,tblAkis[FazlaMesaiSaat]))</f>
        <v/>
      </c>
      <c r="I106" s="17">
        <f>IF($A106="","",IFERROR(AVERAGEIF(tblAkis[KaynakPersonelId],$A106,tblAkis[FazlaMesaiSaat]),0))</f>
        <v/>
      </c>
    </row>
    <row r="107">
      <c r="A107" s="15" t="n"/>
      <c r="B107" s="15" t="n"/>
      <c r="C107" s="15" t="n"/>
      <c r="D107" s="15" t="n"/>
      <c r="E107" s="16" t="n"/>
      <c r="F107" s="16" t="n"/>
      <c r="G107" s="15" t="n"/>
      <c r="H107" s="17">
        <f>IF($A107="","",SUMIF(tblAkis[KaynakPersonelId],$A107,tblAkis[FazlaMesaiSaat]))</f>
        <v/>
      </c>
      <c r="I107" s="17">
        <f>IF($A107="","",IFERROR(AVERAGEIF(tblAkis[KaynakPersonelId],$A107,tblAkis[FazlaMesaiSaat]),0))</f>
        <v/>
      </c>
    </row>
    <row r="108">
      <c r="A108" s="15" t="n"/>
      <c r="B108" s="15" t="n"/>
      <c r="C108" s="15" t="n"/>
      <c r="D108" s="15" t="n"/>
      <c r="E108" s="16" t="n"/>
      <c r="F108" s="16" t="n"/>
      <c r="G108" s="15" t="n"/>
      <c r="H108" s="17">
        <f>IF($A108="","",SUMIF(tblAkis[KaynakPersonelId],$A108,tblAkis[FazlaMesaiSaat]))</f>
        <v/>
      </c>
      <c r="I108" s="17">
        <f>IF($A108="","",IFERROR(AVERAGEIF(tblAkis[KaynakPersonelId],$A108,tblAkis[FazlaMesaiSaat]),0))</f>
        <v/>
      </c>
    </row>
    <row r="109">
      <c r="A109" s="15" t="n"/>
      <c r="B109" s="15" t="n"/>
      <c r="C109" s="15" t="n"/>
      <c r="D109" s="15" t="n"/>
      <c r="E109" s="16" t="n"/>
      <c r="F109" s="16" t="n"/>
      <c r="G109" s="15" t="n"/>
      <c r="H109" s="17">
        <f>IF($A109="","",SUMIF(tblAkis[KaynakPersonelId],$A109,tblAkis[FazlaMesaiSaat]))</f>
        <v/>
      </c>
      <c r="I109" s="17">
        <f>IF($A109="","",IFERROR(AVERAGEIF(tblAkis[KaynakPersonelId],$A109,tblAkis[FazlaMesaiSaat]),0))</f>
        <v/>
      </c>
    </row>
    <row r="110">
      <c r="A110" s="15" t="n"/>
      <c r="B110" s="15" t="n"/>
      <c r="C110" s="15" t="n"/>
      <c r="D110" s="15" t="n"/>
      <c r="E110" s="16" t="n"/>
      <c r="F110" s="16" t="n"/>
      <c r="G110" s="15" t="n"/>
      <c r="H110" s="17">
        <f>IF($A110="","",SUMIF(tblAkis[KaynakPersonelId],$A110,tblAkis[FazlaMesaiSaat]))</f>
        <v/>
      </c>
      <c r="I110" s="17">
        <f>IF($A110="","",IFERROR(AVERAGEIF(tblAkis[KaynakPersonelId],$A110,tblAkis[FazlaMesaiSaat]),0))</f>
        <v/>
      </c>
    </row>
    <row r="111">
      <c r="A111" s="15" t="n"/>
      <c r="B111" s="15" t="n"/>
      <c r="C111" s="15" t="n"/>
      <c r="D111" s="15" t="n"/>
      <c r="E111" s="16" t="n"/>
      <c r="F111" s="16" t="n"/>
      <c r="G111" s="15" t="n"/>
      <c r="H111" s="17">
        <f>IF($A111="","",SUMIF(tblAkis[KaynakPersonelId],$A111,tblAkis[FazlaMesaiSaat]))</f>
        <v/>
      </c>
      <c r="I111" s="17">
        <f>IF($A111="","",IFERROR(AVERAGEIF(tblAkis[KaynakPersonelId],$A111,tblAkis[FazlaMesaiSaat]),0))</f>
        <v/>
      </c>
    </row>
    <row r="112">
      <c r="A112" s="15" t="n"/>
      <c r="B112" s="15" t="n"/>
      <c r="C112" s="15" t="n"/>
      <c r="D112" s="15" t="n"/>
      <c r="E112" s="16" t="n"/>
      <c r="F112" s="16" t="n"/>
      <c r="G112" s="15" t="n"/>
      <c r="H112" s="17">
        <f>IF($A112="","",SUMIF(tblAkis[KaynakPersonelId],$A112,tblAkis[FazlaMesaiSaat]))</f>
        <v/>
      </c>
      <c r="I112" s="17">
        <f>IF($A112="","",IFERROR(AVERAGEIF(tblAkis[KaynakPersonelId],$A112,tblAkis[FazlaMesaiSaat]),0))</f>
        <v/>
      </c>
    </row>
    <row r="113">
      <c r="A113" s="15" t="n"/>
      <c r="B113" s="15" t="n"/>
      <c r="C113" s="15" t="n"/>
      <c r="D113" s="15" t="n"/>
      <c r="E113" s="16" t="n"/>
      <c r="F113" s="16" t="n"/>
      <c r="G113" s="15" t="n"/>
      <c r="H113" s="17">
        <f>IF($A113="","",SUMIF(tblAkis[KaynakPersonelId],$A113,tblAkis[FazlaMesaiSaat]))</f>
        <v/>
      </c>
      <c r="I113" s="17">
        <f>IF($A113="","",IFERROR(AVERAGEIF(tblAkis[KaynakPersonelId],$A113,tblAkis[FazlaMesaiSaat]),0))</f>
        <v/>
      </c>
    </row>
    <row r="114">
      <c r="A114" s="15" t="n"/>
      <c r="B114" s="15" t="n"/>
      <c r="C114" s="15" t="n"/>
      <c r="D114" s="15" t="n"/>
      <c r="E114" s="16" t="n"/>
      <c r="F114" s="16" t="n"/>
      <c r="G114" s="15" t="n"/>
      <c r="H114" s="17">
        <f>IF($A114="","",SUMIF(tblAkis[KaynakPersonelId],$A114,tblAkis[FazlaMesaiSaat]))</f>
        <v/>
      </c>
      <c r="I114" s="17">
        <f>IF($A114="","",IFERROR(AVERAGEIF(tblAkis[KaynakPersonelId],$A114,tblAkis[FazlaMesaiSaat]),0))</f>
        <v/>
      </c>
    </row>
    <row r="115">
      <c r="A115" s="15" t="n"/>
      <c r="B115" s="15" t="n"/>
      <c r="C115" s="15" t="n"/>
      <c r="D115" s="15" t="n"/>
      <c r="E115" s="16" t="n"/>
      <c r="F115" s="16" t="n"/>
      <c r="G115" s="15" t="n"/>
      <c r="H115" s="17">
        <f>IF($A115="","",SUMIF(tblAkis[KaynakPersonelId],$A115,tblAkis[FazlaMesaiSaat]))</f>
        <v/>
      </c>
      <c r="I115" s="17">
        <f>IF($A115="","",IFERROR(AVERAGEIF(tblAkis[KaynakPersonelId],$A115,tblAkis[FazlaMesaiSaat]),0))</f>
        <v/>
      </c>
    </row>
    <row r="116">
      <c r="A116" s="15" t="n"/>
      <c r="B116" s="15" t="n"/>
      <c r="C116" s="15" t="n"/>
      <c r="D116" s="15" t="n"/>
      <c r="E116" s="16" t="n"/>
      <c r="F116" s="16" t="n"/>
      <c r="G116" s="15" t="n"/>
      <c r="H116" s="17">
        <f>IF($A116="","",SUMIF(tblAkis[KaynakPersonelId],$A116,tblAkis[FazlaMesaiSaat]))</f>
        <v/>
      </c>
      <c r="I116" s="17">
        <f>IF($A116="","",IFERROR(AVERAGEIF(tblAkis[KaynakPersonelId],$A116,tblAkis[FazlaMesaiSaat]),0))</f>
        <v/>
      </c>
    </row>
    <row r="117">
      <c r="A117" s="15" t="n"/>
      <c r="B117" s="15" t="n"/>
      <c r="C117" s="15" t="n"/>
      <c r="D117" s="15" t="n"/>
      <c r="E117" s="16" t="n"/>
      <c r="F117" s="16" t="n"/>
      <c r="G117" s="15" t="n"/>
      <c r="H117" s="17">
        <f>IF($A117="","",SUMIF(tblAkis[KaynakPersonelId],$A117,tblAkis[FazlaMesaiSaat]))</f>
        <v/>
      </c>
      <c r="I117" s="17">
        <f>IF($A117="","",IFERROR(AVERAGEIF(tblAkis[KaynakPersonelId],$A117,tblAkis[FazlaMesaiSaat]),0))</f>
        <v/>
      </c>
    </row>
    <row r="118">
      <c r="A118" s="15" t="n"/>
      <c r="B118" s="15" t="n"/>
      <c r="C118" s="15" t="n"/>
      <c r="D118" s="15" t="n"/>
      <c r="E118" s="16" t="n"/>
      <c r="F118" s="16" t="n"/>
      <c r="G118" s="15" t="n"/>
      <c r="H118" s="17">
        <f>IF($A118="","",SUMIF(tblAkis[KaynakPersonelId],$A118,tblAkis[FazlaMesaiSaat]))</f>
        <v/>
      </c>
      <c r="I118" s="17">
        <f>IF($A118="","",IFERROR(AVERAGEIF(tblAkis[KaynakPersonelId],$A118,tblAkis[FazlaMesaiSaat]),0))</f>
        <v/>
      </c>
    </row>
    <row r="119">
      <c r="A119" s="15" t="n"/>
      <c r="B119" s="15" t="n"/>
      <c r="C119" s="15" t="n"/>
      <c r="D119" s="15" t="n"/>
      <c r="E119" s="16" t="n"/>
      <c r="F119" s="16" t="n"/>
      <c r="G119" s="15" t="n"/>
      <c r="H119" s="17">
        <f>IF($A119="","",SUMIF(tblAkis[KaynakPersonelId],$A119,tblAkis[FazlaMesaiSaat]))</f>
        <v/>
      </c>
      <c r="I119" s="17">
        <f>IF($A119="","",IFERROR(AVERAGEIF(tblAkis[KaynakPersonelId],$A119,tblAkis[FazlaMesaiSaat]),0))</f>
        <v/>
      </c>
    </row>
    <row r="120">
      <c r="A120" s="15" t="n"/>
      <c r="B120" s="15" t="n"/>
      <c r="C120" s="15" t="n"/>
      <c r="D120" s="15" t="n"/>
      <c r="E120" s="16" t="n"/>
      <c r="F120" s="16" t="n"/>
      <c r="G120" s="15" t="n"/>
      <c r="H120" s="17">
        <f>IF($A120="","",SUMIF(tblAkis[KaynakPersonelId],$A120,tblAkis[FazlaMesaiSaat]))</f>
        <v/>
      </c>
      <c r="I120" s="17">
        <f>IF($A120="","",IFERROR(AVERAGEIF(tblAkis[KaynakPersonelId],$A120,tblAkis[FazlaMesaiSaat]),0))</f>
        <v/>
      </c>
    </row>
    <row r="121">
      <c r="A121" s="15" t="n"/>
      <c r="B121" s="15" t="n"/>
      <c r="C121" s="15" t="n"/>
      <c r="D121" s="15" t="n"/>
      <c r="E121" s="16" t="n"/>
      <c r="F121" s="16" t="n"/>
      <c r="G121" s="15" t="n"/>
      <c r="H121" s="17">
        <f>IF($A121="","",SUMIF(tblAkis[KaynakPersonelId],$A121,tblAkis[FazlaMesaiSaat]))</f>
        <v/>
      </c>
      <c r="I121" s="17">
        <f>IF($A121="","",IFERROR(AVERAGEIF(tblAkis[KaynakPersonelId],$A121,tblAkis[FazlaMesaiSaat]),0))</f>
        <v/>
      </c>
    </row>
    <row r="122">
      <c r="A122" s="15" t="n"/>
      <c r="B122" s="15" t="n"/>
      <c r="C122" s="15" t="n"/>
      <c r="D122" s="15" t="n"/>
      <c r="E122" s="16" t="n"/>
      <c r="F122" s="16" t="n"/>
      <c r="G122" s="15" t="n"/>
      <c r="H122" s="17">
        <f>IF($A122="","",SUMIF(tblAkis[KaynakPersonelId],$A122,tblAkis[FazlaMesaiSaat]))</f>
        <v/>
      </c>
      <c r="I122" s="17">
        <f>IF($A122="","",IFERROR(AVERAGEIF(tblAkis[KaynakPersonelId],$A122,tblAkis[FazlaMesaiSaat]),0))</f>
        <v/>
      </c>
    </row>
    <row r="123">
      <c r="A123" s="15" t="n"/>
      <c r="B123" s="15" t="n"/>
      <c r="C123" s="15" t="n"/>
      <c r="D123" s="15" t="n"/>
      <c r="E123" s="16" t="n"/>
      <c r="F123" s="16" t="n"/>
      <c r="G123" s="15" t="n"/>
      <c r="H123" s="17">
        <f>IF($A123="","",SUMIF(tblAkis[KaynakPersonelId],$A123,tblAkis[FazlaMesaiSaat]))</f>
        <v/>
      </c>
      <c r="I123" s="17">
        <f>IF($A123="","",IFERROR(AVERAGEIF(tblAkis[KaynakPersonelId],$A123,tblAkis[FazlaMesaiSaat]),0))</f>
        <v/>
      </c>
    </row>
    <row r="124">
      <c r="A124" s="15" t="n"/>
      <c r="B124" s="15" t="n"/>
      <c r="C124" s="15" t="n"/>
      <c r="D124" s="15" t="n"/>
      <c r="E124" s="16" t="n"/>
      <c r="F124" s="16" t="n"/>
      <c r="G124" s="15" t="n"/>
      <c r="H124" s="17">
        <f>IF($A124="","",SUMIF(tblAkis[KaynakPersonelId],$A124,tblAkis[FazlaMesaiSaat]))</f>
        <v/>
      </c>
      <c r="I124" s="17">
        <f>IF($A124="","",IFERROR(AVERAGEIF(tblAkis[KaynakPersonelId],$A124,tblAkis[FazlaMesaiSaat]),0))</f>
        <v/>
      </c>
    </row>
    <row r="125">
      <c r="A125" s="15" t="n"/>
      <c r="B125" s="15" t="n"/>
      <c r="C125" s="15" t="n"/>
      <c r="D125" s="15" t="n"/>
      <c r="E125" s="16" t="n"/>
      <c r="F125" s="16" t="n"/>
      <c r="G125" s="15" t="n"/>
      <c r="H125" s="17">
        <f>IF($A125="","",SUMIF(tblAkis[KaynakPersonelId],$A125,tblAkis[FazlaMesaiSaat]))</f>
        <v/>
      </c>
      <c r="I125" s="17">
        <f>IF($A125="","",IFERROR(AVERAGEIF(tblAkis[KaynakPersonelId],$A125,tblAkis[FazlaMesaiSaat]),0))</f>
        <v/>
      </c>
    </row>
    <row r="126">
      <c r="A126" s="15" t="n"/>
      <c r="B126" s="15" t="n"/>
      <c r="C126" s="15" t="n"/>
      <c r="D126" s="15" t="n"/>
      <c r="E126" s="16" t="n"/>
      <c r="F126" s="16" t="n"/>
      <c r="G126" s="15" t="n"/>
      <c r="H126" s="17">
        <f>IF($A126="","",SUMIF(tblAkis[KaynakPersonelId],$A126,tblAkis[FazlaMesaiSaat]))</f>
        <v/>
      </c>
      <c r="I126" s="17">
        <f>IF($A126="","",IFERROR(AVERAGEIF(tblAkis[KaynakPersonelId],$A126,tblAkis[FazlaMesaiSaat]),0))</f>
        <v/>
      </c>
    </row>
    <row r="127">
      <c r="A127" s="15" t="n"/>
      <c r="B127" s="15" t="n"/>
      <c r="C127" s="15" t="n"/>
      <c r="D127" s="15" t="n"/>
      <c r="E127" s="16" t="n"/>
      <c r="F127" s="16" t="n"/>
      <c r="G127" s="15" t="n"/>
      <c r="H127" s="17">
        <f>IF($A127="","",SUMIF(tblAkis[KaynakPersonelId],$A127,tblAkis[FazlaMesaiSaat]))</f>
        <v/>
      </c>
      <c r="I127" s="17">
        <f>IF($A127="","",IFERROR(AVERAGEIF(tblAkis[KaynakPersonelId],$A127,tblAkis[FazlaMesaiSaat]),0))</f>
        <v/>
      </c>
    </row>
    <row r="128">
      <c r="A128" s="15" t="n"/>
      <c r="B128" s="15" t="n"/>
      <c r="C128" s="15" t="n"/>
      <c r="D128" s="15" t="n"/>
      <c r="E128" s="16" t="n"/>
      <c r="F128" s="16" t="n"/>
      <c r="G128" s="15" t="n"/>
      <c r="H128" s="17">
        <f>IF($A128="","",SUMIF(tblAkis[KaynakPersonelId],$A128,tblAkis[FazlaMesaiSaat]))</f>
        <v/>
      </c>
      <c r="I128" s="17">
        <f>IF($A128="","",IFERROR(AVERAGEIF(tblAkis[KaynakPersonelId],$A128,tblAkis[FazlaMesaiSaat]),0))</f>
        <v/>
      </c>
    </row>
    <row r="129">
      <c r="A129" s="15" t="n"/>
      <c r="B129" s="15" t="n"/>
      <c r="C129" s="15" t="n"/>
      <c r="D129" s="15" t="n"/>
      <c r="E129" s="16" t="n"/>
      <c r="F129" s="16" t="n"/>
      <c r="G129" s="15" t="n"/>
      <c r="H129" s="17">
        <f>IF($A129="","",SUMIF(tblAkis[KaynakPersonelId],$A129,tblAkis[FazlaMesaiSaat]))</f>
        <v/>
      </c>
      <c r="I129" s="17">
        <f>IF($A129="","",IFERROR(AVERAGEIF(tblAkis[KaynakPersonelId],$A129,tblAkis[FazlaMesaiSaat]),0))</f>
        <v/>
      </c>
    </row>
    <row r="130">
      <c r="A130" s="15" t="n"/>
      <c r="B130" s="15" t="n"/>
      <c r="C130" s="15" t="n"/>
      <c r="D130" s="15" t="n"/>
      <c r="E130" s="16" t="n"/>
      <c r="F130" s="16" t="n"/>
      <c r="G130" s="15" t="n"/>
      <c r="H130" s="17">
        <f>IF($A130="","",SUMIF(tblAkis[KaynakPersonelId],$A130,tblAkis[FazlaMesaiSaat]))</f>
        <v/>
      </c>
      <c r="I130" s="17">
        <f>IF($A130="","",IFERROR(AVERAGEIF(tblAkis[KaynakPersonelId],$A130,tblAkis[FazlaMesaiSaat]),0))</f>
        <v/>
      </c>
    </row>
    <row r="131">
      <c r="A131" s="15" t="n"/>
      <c r="B131" s="15" t="n"/>
      <c r="C131" s="15" t="n"/>
      <c r="D131" s="15" t="n"/>
      <c r="E131" s="16" t="n"/>
      <c r="F131" s="16" t="n"/>
      <c r="G131" s="15" t="n"/>
      <c r="H131" s="17">
        <f>IF($A131="","",SUMIF(tblAkis[KaynakPersonelId],$A131,tblAkis[FazlaMesaiSaat]))</f>
        <v/>
      </c>
      <c r="I131" s="17">
        <f>IF($A131="","",IFERROR(AVERAGEIF(tblAkis[KaynakPersonelId],$A131,tblAkis[FazlaMesaiSaat]),0))</f>
        <v/>
      </c>
    </row>
    <row r="132">
      <c r="A132" s="15" t="n"/>
      <c r="B132" s="15" t="n"/>
      <c r="C132" s="15" t="n"/>
      <c r="D132" s="15" t="n"/>
      <c r="E132" s="16" t="n"/>
      <c r="F132" s="16" t="n"/>
      <c r="G132" s="15" t="n"/>
      <c r="H132" s="17">
        <f>IF($A132="","",SUMIF(tblAkis[KaynakPersonelId],$A132,tblAkis[FazlaMesaiSaat]))</f>
        <v/>
      </c>
      <c r="I132" s="17">
        <f>IF($A132="","",IFERROR(AVERAGEIF(tblAkis[KaynakPersonelId],$A132,tblAkis[FazlaMesaiSaat]),0))</f>
        <v/>
      </c>
    </row>
    <row r="133">
      <c r="A133" s="15" t="n"/>
      <c r="B133" s="15" t="n"/>
      <c r="C133" s="15" t="n"/>
      <c r="D133" s="15" t="n"/>
      <c r="E133" s="16" t="n"/>
      <c r="F133" s="16" t="n"/>
      <c r="G133" s="15" t="n"/>
      <c r="H133" s="17">
        <f>IF($A133="","",SUMIF(tblAkis[KaynakPersonelId],$A133,tblAkis[FazlaMesaiSaat]))</f>
        <v/>
      </c>
      <c r="I133" s="17">
        <f>IF($A133="","",IFERROR(AVERAGEIF(tblAkis[KaynakPersonelId],$A133,tblAkis[FazlaMesaiSaat]),0))</f>
        <v/>
      </c>
    </row>
    <row r="134">
      <c r="A134" s="15" t="n"/>
      <c r="B134" s="15" t="n"/>
      <c r="C134" s="15" t="n"/>
      <c r="D134" s="15" t="n"/>
      <c r="E134" s="16" t="n"/>
      <c r="F134" s="16" t="n"/>
      <c r="G134" s="15" t="n"/>
      <c r="H134" s="17">
        <f>IF($A134="","",SUMIF(tblAkis[KaynakPersonelId],$A134,tblAkis[FazlaMesaiSaat]))</f>
        <v/>
      </c>
      <c r="I134" s="17">
        <f>IF($A134="","",IFERROR(AVERAGEIF(tblAkis[KaynakPersonelId],$A134,tblAkis[FazlaMesaiSaat]),0))</f>
        <v/>
      </c>
    </row>
    <row r="135">
      <c r="A135" s="15" t="n"/>
      <c r="B135" s="15" t="n"/>
      <c r="C135" s="15" t="n"/>
      <c r="D135" s="15" t="n"/>
      <c r="E135" s="16" t="n"/>
      <c r="F135" s="16" t="n"/>
      <c r="G135" s="15" t="n"/>
      <c r="H135" s="17">
        <f>IF($A135="","",SUMIF(tblAkis[KaynakPersonelId],$A135,tblAkis[FazlaMesaiSaat]))</f>
        <v/>
      </c>
      <c r="I135" s="17">
        <f>IF($A135="","",IFERROR(AVERAGEIF(tblAkis[KaynakPersonelId],$A135,tblAkis[FazlaMesaiSaat]),0))</f>
        <v/>
      </c>
    </row>
    <row r="136">
      <c r="A136" s="15" t="n"/>
      <c r="B136" s="15" t="n"/>
      <c r="C136" s="15" t="n"/>
      <c r="D136" s="15" t="n"/>
      <c r="E136" s="16" t="n"/>
      <c r="F136" s="16" t="n"/>
      <c r="G136" s="15" t="n"/>
      <c r="H136" s="17">
        <f>IF($A136="","",SUMIF(tblAkis[KaynakPersonelId],$A136,tblAkis[FazlaMesaiSaat]))</f>
        <v/>
      </c>
      <c r="I136" s="17">
        <f>IF($A136="","",IFERROR(AVERAGEIF(tblAkis[KaynakPersonelId],$A136,tblAkis[FazlaMesaiSaat]),0))</f>
        <v/>
      </c>
    </row>
    <row r="137">
      <c r="A137" s="15" t="n"/>
      <c r="B137" s="15" t="n"/>
      <c r="C137" s="15" t="n"/>
      <c r="D137" s="15" t="n"/>
      <c r="E137" s="16" t="n"/>
      <c r="F137" s="16" t="n"/>
      <c r="G137" s="15" t="n"/>
      <c r="H137" s="17">
        <f>IF($A137="","",SUMIF(tblAkis[KaynakPersonelId],$A137,tblAkis[FazlaMesaiSaat]))</f>
        <v/>
      </c>
      <c r="I137" s="17">
        <f>IF($A137="","",IFERROR(AVERAGEIF(tblAkis[KaynakPersonelId],$A137,tblAkis[FazlaMesaiSaat]),0))</f>
        <v/>
      </c>
    </row>
    <row r="138">
      <c r="A138" s="15" t="n"/>
      <c r="B138" s="15" t="n"/>
      <c r="C138" s="15" t="n"/>
      <c r="D138" s="15" t="n"/>
      <c r="E138" s="16" t="n"/>
      <c r="F138" s="16" t="n"/>
      <c r="G138" s="15" t="n"/>
      <c r="H138" s="17">
        <f>IF($A138="","",SUMIF(tblAkis[KaynakPersonelId],$A138,tblAkis[FazlaMesaiSaat]))</f>
        <v/>
      </c>
      <c r="I138" s="17">
        <f>IF($A138="","",IFERROR(AVERAGEIF(tblAkis[KaynakPersonelId],$A138,tblAkis[FazlaMesaiSaat]),0))</f>
        <v/>
      </c>
    </row>
    <row r="139">
      <c r="A139" s="15" t="n"/>
      <c r="B139" s="15" t="n"/>
      <c r="C139" s="15" t="n"/>
      <c r="D139" s="15" t="n"/>
      <c r="E139" s="16" t="n"/>
      <c r="F139" s="16" t="n"/>
      <c r="G139" s="15" t="n"/>
      <c r="H139" s="17">
        <f>IF($A139="","",SUMIF(tblAkis[KaynakPersonelId],$A139,tblAkis[FazlaMesaiSaat]))</f>
        <v/>
      </c>
      <c r="I139" s="17">
        <f>IF($A139="","",IFERROR(AVERAGEIF(tblAkis[KaynakPersonelId],$A139,tblAkis[FazlaMesaiSaat]),0))</f>
        <v/>
      </c>
    </row>
    <row r="140">
      <c r="A140" s="15" t="n"/>
      <c r="B140" s="15" t="n"/>
      <c r="C140" s="15" t="n"/>
      <c r="D140" s="15" t="n"/>
      <c r="E140" s="16" t="n"/>
      <c r="F140" s="16" t="n"/>
      <c r="G140" s="15" t="n"/>
      <c r="H140" s="17">
        <f>IF($A140="","",SUMIF(tblAkis[KaynakPersonelId],$A140,tblAkis[FazlaMesaiSaat]))</f>
        <v/>
      </c>
      <c r="I140" s="17">
        <f>IF($A140="","",IFERROR(AVERAGEIF(tblAkis[KaynakPersonelId],$A140,tblAkis[FazlaMesaiSaat]),0))</f>
        <v/>
      </c>
    </row>
    <row r="141">
      <c r="A141" s="15" t="n"/>
      <c r="B141" s="15" t="n"/>
      <c r="C141" s="15" t="n"/>
      <c r="D141" s="15" t="n"/>
      <c r="E141" s="16" t="n"/>
      <c r="F141" s="16" t="n"/>
      <c r="G141" s="15" t="n"/>
      <c r="H141" s="17">
        <f>IF($A141="","",SUMIF(tblAkis[KaynakPersonelId],$A141,tblAkis[FazlaMesaiSaat]))</f>
        <v/>
      </c>
      <c r="I141" s="17">
        <f>IF($A141="","",IFERROR(AVERAGEIF(tblAkis[KaynakPersonelId],$A141,tblAkis[FazlaMesaiSaat]),0))</f>
        <v/>
      </c>
    </row>
    <row r="142">
      <c r="A142" s="15" t="n"/>
      <c r="B142" s="15" t="n"/>
      <c r="C142" s="15" t="n"/>
      <c r="D142" s="15" t="n"/>
      <c r="E142" s="16" t="n"/>
      <c r="F142" s="16" t="n"/>
      <c r="G142" s="15" t="n"/>
      <c r="H142" s="17">
        <f>IF($A142="","",SUMIF(tblAkis[KaynakPersonelId],$A142,tblAkis[FazlaMesaiSaat]))</f>
        <v/>
      </c>
      <c r="I142" s="17">
        <f>IF($A142="","",IFERROR(AVERAGEIF(tblAkis[KaynakPersonelId],$A142,tblAkis[FazlaMesaiSaat]),0))</f>
        <v/>
      </c>
    </row>
    <row r="143">
      <c r="A143" s="15" t="n"/>
      <c r="B143" s="15" t="n"/>
      <c r="C143" s="15" t="n"/>
      <c r="D143" s="15" t="n"/>
      <c r="E143" s="16" t="n"/>
      <c r="F143" s="16" t="n"/>
      <c r="G143" s="15" t="n"/>
      <c r="H143" s="17">
        <f>IF($A143="","",SUMIF(tblAkis[KaynakPersonelId],$A143,tblAkis[FazlaMesaiSaat]))</f>
        <v/>
      </c>
      <c r="I143" s="17">
        <f>IF($A143="","",IFERROR(AVERAGEIF(tblAkis[KaynakPersonelId],$A143,tblAkis[FazlaMesaiSaat]),0))</f>
        <v/>
      </c>
    </row>
    <row r="144">
      <c r="A144" s="15" t="n"/>
      <c r="B144" s="15" t="n"/>
      <c r="C144" s="15" t="n"/>
      <c r="D144" s="15" t="n"/>
      <c r="E144" s="16" t="n"/>
      <c r="F144" s="16" t="n"/>
      <c r="G144" s="15" t="n"/>
      <c r="H144" s="17">
        <f>IF($A144="","",SUMIF(tblAkis[KaynakPersonelId],$A144,tblAkis[FazlaMesaiSaat]))</f>
        <v/>
      </c>
      <c r="I144" s="17">
        <f>IF($A144="","",IFERROR(AVERAGEIF(tblAkis[KaynakPersonelId],$A144,tblAkis[FazlaMesaiSaat]),0))</f>
        <v/>
      </c>
    </row>
    <row r="145">
      <c r="A145" s="15" t="n"/>
      <c r="B145" s="15" t="n"/>
      <c r="C145" s="15" t="n"/>
      <c r="D145" s="15" t="n"/>
      <c r="E145" s="16" t="n"/>
      <c r="F145" s="16" t="n"/>
      <c r="G145" s="15" t="n"/>
      <c r="H145" s="17">
        <f>IF($A145="","",SUMIF(tblAkis[KaynakPersonelId],$A145,tblAkis[FazlaMesaiSaat]))</f>
        <v/>
      </c>
      <c r="I145" s="17">
        <f>IF($A145="","",IFERROR(AVERAGEIF(tblAkis[KaynakPersonelId],$A145,tblAkis[FazlaMesaiSaat]),0))</f>
        <v/>
      </c>
    </row>
    <row r="146">
      <c r="A146" s="15" t="n"/>
      <c r="B146" s="15" t="n"/>
      <c r="C146" s="15" t="n"/>
      <c r="D146" s="15" t="n"/>
      <c r="E146" s="16" t="n"/>
      <c r="F146" s="16" t="n"/>
      <c r="G146" s="15" t="n"/>
      <c r="H146" s="17">
        <f>IF($A146="","",SUMIF(tblAkis[KaynakPersonelId],$A146,tblAkis[FazlaMesaiSaat]))</f>
        <v/>
      </c>
      <c r="I146" s="17">
        <f>IF($A146="","",IFERROR(AVERAGEIF(tblAkis[KaynakPersonelId],$A146,tblAkis[FazlaMesaiSaat]),0))</f>
        <v/>
      </c>
    </row>
    <row r="147">
      <c r="A147" s="15" t="n"/>
      <c r="B147" s="15" t="n"/>
      <c r="C147" s="15" t="n"/>
      <c r="D147" s="15" t="n"/>
      <c r="E147" s="16" t="n"/>
      <c r="F147" s="16" t="n"/>
      <c r="G147" s="15" t="n"/>
      <c r="H147" s="17">
        <f>IF($A147="","",SUMIF(tblAkis[KaynakPersonelId],$A147,tblAkis[FazlaMesaiSaat]))</f>
        <v/>
      </c>
      <c r="I147" s="17">
        <f>IF($A147="","",IFERROR(AVERAGEIF(tblAkis[KaynakPersonelId],$A147,tblAkis[FazlaMesaiSaat]),0))</f>
        <v/>
      </c>
    </row>
    <row r="148">
      <c r="A148" s="15" t="n"/>
      <c r="B148" s="15" t="n"/>
      <c r="C148" s="15" t="n"/>
      <c r="D148" s="15" t="n"/>
      <c r="E148" s="16" t="n"/>
      <c r="F148" s="16" t="n"/>
      <c r="G148" s="15" t="n"/>
      <c r="H148" s="17">
        <f>IF($A148="","",SUMIF(tblAkis[KaynakPersonelId],$A148,tblAkis[FazlaMesaiSaat]))</f>
        <v/>
      </c>
      <c r="I148" s="17">
        <f>IF($A148="","",IFERROR(AVERAGEIF(tblAkis[KaynakPersonelId],$A148,tblAkis[FazlaMesaiSaat]),0))</f>
        <v/>
      </c>
    </row>
    <row r="149">
      <c r="A149" s="15" t="n"/>
      <c r="B149" s="15" t="n"/>
      <c r="C149" s="15" t="n"/>
      <c r="D149" s="15" t="n"/>
      <c r="E149" s="16" t="n"/>
      <c r="F149" s="16" t="n"/>
      <c r="G149" s="15" t="n"/>
      <c r="H149" s="17">
        <f>IF($A149="","",SUMIF(tblAkis[KaynakPersonelId],$A149,tblAkis[FazlaMesaiSaat]))</f>
        <v/>
      </c>
      <c r="I149" s="17">
        <f>IF($A149="","",IFERROR(AVERAGEIF(tblAkis[KaynakPersonelId],$A149,tblAkis[FazlaMesaiSaat]),0))</f>
        <v/>
      </c>
    </row>
    <row r="150">
      <c r="A150" s="15" t="n"/>
      <c r="B150" s="15" t="n"/>
      <c r="C150" s="15" t="n"/>
      <c r="D150" s="15" t="n"/>
      <c r="E150" s="16" t="n"/>
      <c r="F150" s="16" t="n"/>
      <c r="G150" s="15" t="n"/>
      <c r="H150" s="17">
        <f>IF($A150="","",SUMIF(tblAkis[KaynakPersonelId],$A150,tblAkis[FazlaMesaiSaat]))</f>
        <v/>
      </c>
      <c r="I150" s="17">
        <f>IF($A150="","",IFERROR(AVERAGEIF(tblAkis[KaynakPersonelId],$A150,tblAkis[FazlaMesaiSaat]),0))</f>
        <v/>
      </c>
    </row>
    <row r="151">
      <c r="A151" s="15" t="n"/>
      <c r="B151" s="15" t="n"/>
      <c r="C151" s="15" t="n"/>
      <c r="D151" s="15" t="n"/>
      <c r="E151" s="16" t="n"/>
      <c r="F151" s="16" t="n"/>
      <c r="G151" s="15" t="n"/>
      <c r="H151" s="17">
        <f>IF($A151="","",SUMIF(tblAkis[KaynakPersonelId],$A151,tblAkis[FazlaMesaiSaat]))</f>
        <v/>
      </c>
      <c r="I151" s="17">
        <f>IF($A151="","",IFERROR(AVERAGEIF(tblAkis[KaynakPersonelId],$A151,tblAkis[FazlaMesaiSaat]),0))</f>
        <v/>
      </c>
    </row>
    <row r="152">
      <c r="A152" s="15" t="n"/>
      <c r="B152" s="15" t="n"/>
      <c r="C152" s="15" t="n"/>
      <c r="D152" s="15" t="n"/>
      <c r="E152" s="16" t="n"/>
      <c r="F152" s="16" t="n"/>
      <c r="G152" s="15" t="n"/>
      <c r="H152" s="17">
        <f>IF($A152="","",SUMIF(tblAkis[KaynakPersonelId],$A152,tblAkis[FazlaMesaiSaat]))</f>
        <v/>
      </c>
      <c r="I152" s="17">
        <f>IF($A152="","",IFERROR(AVERAGEIF(tblAkis[KaynakPersonelId],$A152,tblAkis[FazlaMesaiSaat]),0))</f>
        <v/>
      </c>
    </row>
    <row r="153">
      <c r="A153" s="15" t="n"/>
      <c r="B153" s="15" t="n"/>
      <c r="C153" s="15" t="n"/>
      <c r="D153" s="15" t="n"/>
      <c r="E153" s="16" t="n"/>
      <c r="F153" s="16" t="n"/>
      <c r="G153" s="15" t="n"/>
      <c r="H153" s="17">
        <f>IF($A153="","",SUMIF(tblAkis[KaynakPersonelId],$A153,tblAkis[FazlaMesaiSaat]))</f>
        <v/>
      </c>
      <c r="I153" s="17">
        <f>IF($A153="","",IFERROR(AVERAGEIF(tblAkis[KaynakPersonelId],$A153,tblAkis[FazlaMesaiSaat]),0))</f>
        <v/>
      </c>
    </row>
    <row r="154">
      <c r="A154" s="15" t="n"/>
      <c r="B154" s="15" t="n"/>
      <c r="C154" s="15" t="n"/>
      <c r="D154" s="15" t="n"/>
      <c r="E154" s="16" t="n"/>
      <c r="F154" s="16" t="n"/>
      <c r="G154" s="15" t="n"/>
      <c r="H154" s="17">
        <f>IF($A154="","",SUMIF(tblAkis[KaynakPersonelId],$A154,tblAkis[FazlaMesaiSaat]))</f>
        <v/>
      </c>
      <c r="I154" s="17">
        <f>IF($A154="","",IFERROR(AVERAGEIF(tblAkis[KaynakPersonelId],$A154,tblAkis[FazlaMesaiSaat]),0))</f>
        <v/>
      </c>
    </row>
    <row r="155">
      <c r="A155" s="15" t="n"/>
      <c r="B155" s="15" t="n"/>
      <c r="C155" s="15" t="n"/>
      <c r="D155" s="15" t="n"/>
      <c r="E155" s="16" t="n"/>
      <c r="F155" s="16" t="n"/>
      <c r="G155" s="15" t="n"/>
      <c r="H155" s="17">
        <f>IF($A155="","",SUMIF(tblAkis[KaynakPersonelId],$A155,tblAkis[FazlaMesaiSaat]))</f>
        <v/>
      </c>
      <c r="I155" s="17">
        <f>IF($A155="","",IFERROR(AVERAGEIF(tblAkis[KaynakPersonelId],$A155,tblAkis[FazlaMesaiSaat]),0))</f>
        <v/>
      </c>
    </row>
    <row r="156">
      <c r="A156" s="15" t="n"/>
      <c r="B156" s="15" t="n"/>
      <c r="C156" s="15" t="n"/>
      <c r="D156" s="15" t="n"/>
      <c r="E156" s="16" t="n"/>
      <c r="F156" s="16" t="n"/>
      <c r="G156" s="15" t="n"/>
      <c r="H156" s="17">
        <f>IF($A156="","",SUMIF(tblAkis[KaynakPersonelId],$A156,tblAkis[FazlaMesaiSaat]))</f>
        <v/>
      </c>
      <c r="I156" s="17">
        <f>IF($A156="","",IFERROR(AVERAGEIF(tblAkis[KaynakPersonelId],$A156,tblAkis[FazlaMesaiSaat]),0))</f>
        <v/>
      </c>
    </row>
    <row r="157">
      <c r="A157" s="15" t="n"/>
      <c r="B157" s="15" t="n"/>
      <c r="C157" s="15" t="n"/>
      <c r="D157" s="15" t="n"/>
      <c r="E157" s="16" t="n"/>
      <c r="F157" s="16" t="n"/>
      <c r="G157" s="15" t="n"/>
      <c r="H157" s="17">
        <f>IF($A157="","",SUMIF(tblAkis[KaynakPersonelId],$A157,tblAkis[FazlaMesaiSaat]))</f>
        <v/>
      </c>
      <c r="I157" s="17">
        <f>IF($A157="","",IFERROR(AVERAGEIF(tblAkis[KaynakPersonelId],$A157,tblAkis[FazlaMesaiSaat]),0))</f>
        <v/>
      </c>
    </row>
    <row r="158">
      <c r="A158" s="15" t="n"/>
      <c r="B158" s="15" t="n"/>
      <c r="C158" s="15" t="n"/>
      <c r="D158" s="15" t="n"/>
      <c r="E158" s="16" t="n"/>
      <c r="F158" s="16" t="n"/>
      <c r="G158" s="15" t="n"/>
      <c r="H158" s="17">
        <f>IF($A158="","",SUMIF(tblAkis[KaynakPersonelId],$A158,tblAkis[FazlaMesaiSaat]))</f>
        <v/>
      </c>
      <c r="I158" s="17">
        <f>IF($A158="","",IFERROR(AVERAGEIF(tblAkis[KaynakPersonelId],$A158,tblAkis[FazlaMesaiSaat]),0))</f>
        <v/>
      </c>
    </row>
    <row r="159">
      <c r="A159" s="15" t="n"/>
      <c r="B159" s="15" t="n"/>
      <c r="C159" s="15" t="n"/>
      <c r="D159" s="15" t="n"/>
      <c r="E159" s="16" t="n"/>
      <c r="F159" s="16" t="n"/>
      <c r="G159" s="15" t="n"/>
      <c r="H159" s="17">
        <f>IF($A159="","",SUMIF(tblAkis[KaynakPersonelId],$A159,tblAkis[FazlaMesaiSaat]))</f>
        <v/>
      </c>
      <c r="I159" s="17">
        <f>IF($A159="","",IFERROR(AVERAGEIF(tblAkis[KaynakPersonelId],$A159,tblAkis[FazlaMesaiSaat]),0))</f>
        <v/>
      </c>
    </row>
    <row r="160">
      <c r="A160" s="15" t="n"/>
      <c r="B160" s="15" t="n"/>
      <c r="C160" s="15" t="n"/>
      <c r="D160" s="15" t="n"/>
      <c r="E160" s="16" t="n"/>
      <c r="F160" s="16" t="n"/>
      <c r="G160" s="15" t="n"/>
      <c r="H160" s="17">
        <f>IF($A160="","",SUMIF(tblAkis[KaynakPersonelId],$A160,tblAkis[FazlaMesaiSaat]))</f>
        <v/>
      </c>
      <c r="I160" s="17">
        <f>IF($A160="","",IFERROR(AVERAGEIF(tblAkis[KaynakPersonelId],$A160,tblAkis[FazlaMesaiSaat]),0))</f>
        <v/>
      </c>
    </row>
    <row r="161">
      <c r="A161" s="15" t="n"/>
      <c r="B161" s="15" t="n"/>
      <c r="C161" s="15" t="n"/>
      <c r="D161" s="15" t="n"/>
      <c r="E161" s="16" t="n"/>
      <c r="F161" s="16" t="n"/>
      <c r="G161" s="15" t="n"/>
      <c r="H161" s="17">
        <f>IF($A161="","",SUMIF(tblAkis[KaynakPersonelId],$A161,tblAkis[FazlaMesaiSaat]))</f>
        <v/>
      </c>
      <c r="I161" s="17">
        <f>IF($A161="","",IFERROR(AVERAGEIF(tblAkis[KaynakPersonelId],$A161,tblAkis[FazlaMesaiSaat]),0))</f>
        <v/>
      </c>
    </row>
    <row r="162">
      <c r="A162" s="15" t="n"/>
      <c r="B162" s="15" t="n"/>
      <c r="C162" s="15" t="n"/>
      <c r="D162" s="15" t="n"/>
      <c r="E162" s="16" t="n"/>
      <c r="F162" s="16" t="n"/>
      <c r="G162" s="15" t="n"/>
      <c r="H162" s="17">
        <f>IF($A162="","",SUMIF(tblAkis[KaynakPersonelId],$A162,tblAkis[FazlaMesaiSaat]))</f>
        <v/>
      </c>
      <c r="I162" s="17">
        <f>IF($A162="","",IFERROR(AVERAGEIF(tblAkis[KaynakPersonelId],$A162,tblAkis[FazlaMesaiSaat]),0))</f>
        <v/>
      </c>
    </row>
    <row r="163">
      <c r="A163" s="15" t="n"/>
      <c r="B163" s="15" t="n"/>
      <c r="C163" s="15" t="n"/>
      <c r="D163" s="15" t="n"/>
      <c r="E163" s="16" t="n"/>
      <c r="F163" s="16" t="n"/>
      <c r="G163" s="15" t="n"/>
      <c r="H163" s="17">
        <f>IF($A163="","",SUMIF(tblAkis[KaynakPersonelId],$A163,tblAkis[FazlaMesaiSaat]))</f>
        <v/>
      </c>
      <c r="I163" s="17">
        <f>IF($A163="","",IFERROR(AVERAGEIF(tblAkis[KaynakPersonelId],$A163,tblAkis[FazlaMesaiSaat]),0))</f>
        <v/>
      </c>
    </row>
    <row r="164">
      <c r="A164" s="15" t="n"/>
      <c r="B164" s="15" t="n"/>
      <c r="C164" s="15" t="n"/>
      <c r="D164" s="15" t="n"/>
      <c r="E164" s="16" t="n"/>
      <c r="F164" s="16" t="n"/>
      <c r="G164" s="15" t="n"/>
      <c r="H164" s="17">
        <f>IF($A164="","",SUMIF(tblAkis[KaynakPersonelId],$A164,tblAkis[FazlaMesaiSaat]))</f>
        <v/>
      </c>
      <c r="I164" s="17">
        <f>IF($A164="","",IFERROR(AVERAGEIF(tblAkis[KaynakPersonelId],$A164,tblAkis[FazlaMesaiSaat]),0))</f>
        <v/>
      </c>
    </row>
    <row r="165">
      <c r="A165" s="15" t="n"/>
      <c r="B165" s="15" t="n"/>
      <c r="C165" s="15" t="n"/>
      <c r="D165" s="15" t="n"/>
      <c r="E165" s="16" t="n"/>
      <c r="F165" s="16" t="n"/>
      <c r="G165" s="15" t="n"/>
      <c r="H165" s="17">
        <f>IF($A165="","",SUMIF(tblAkis[KaynakPersonelId],$A165,tblAkis[FazlaMesaiSaat]))</f>
        <v/>
      </c>
      <c r="I165" s="17">
        <f>IF($A165="","",IFERROR(AVERAGEIF(tblAkis[KaynakPersonelId],$A165,tblAkis[FazlaMesaiSaat]),0))</f>
        <v/>
      </c>
    </row>
    <row r="166">
      <c r="A166" s="15" t="n"/>
      <c r="B166" s="15" t="n"/>
      <c r="C166" s="15" t="n"/>
      <c r="D166" s="15" t="n"/>
      <c r="E166" s="16" t="n"/>
      <c r="F166" s="16" t="n"/>
      <c r="G166" s="15" t="n"/>
      <c r="H166" s="17">
        <f>IF($A166="","",SUMIF(tblAkis[KaynakPersonelId],$A166,tblAkis[FazlaMesaiSaat]))</f>
        <v/>
      </c>
      <c r="I166" s="17">
        <f>IF($A166="","",IFERROR(AVERAGEIF(tblAkis[KaynakPersonelId],$A166,tblAkis[FazlaMesaiSaat]),0))</f>
        <v/>
      </c>
    </row>
    <row r="167">
      <c r="A167" s="15" t="n"/>
      <c r="B167" s="15" t="n"/>
      <c r="C167" s="15" t="n"/>
      <c r="D167" s="15" t="n"/>
      <c r="E167" s="16" t="n"/>
      <c r="F167" s="16" t="n"/>
      <c r="G167" s="15" t="n"/>
      <c r="H167" s="17">
        <f>IF($A167="","",SUMIF(tblAkis[KaynakPersonelId],$A167,tblAkis[FazlaMesaiSaat]))</f>
        <v/>
      </c>
      <c r="I167" s="17">
        <f>IF($A167="","",IFERROR(AVERAGEIF(tblAkis[KaynakPersonelId],$A167,tblAkis[FazlaMesaiSaat]),0))</f>
        <v/>
      </c>
    </row>
    <row r="168">
      <c r="A168" s="15" t="n"/>
      <c r="B168" s="15" t="n"/>
      <c r="C168" s="15" t="n"/>
      <c r="D168" s="15" t="n"/>
      <c r="E168" s="16" t="n"/>
      <c r="F168" s="16" t="n"/>
      <c r="G168" s="15" t="n"/>
      <c r="H168" s="17">
        <f>IF($A168="","",SUMIF(tblAkis[KaynakPersonelId],$A168,tblAkis[FazlaMesaiSaat]))</f>
        <v/>
      </c>
      <c r="I168" s="17">
        <f>IF($A168="","",IFERROR(AVERAGEIF(tblAkis[KaynakPersonelId],$A168,tblAkis[FazlaMesaiSaat]),0))</f>
        <v/>
      </c>
    </row>
    <row r="169">
      <c r="A169" s="15" t="n"/>
      <c r="B169" s="15" t="n"/>
      <c r="C169" s="15" t="n"/>
      <c r="D169" s="15" t="n"/>
      <c r="E169" s="16" t="n"/>
      <c r="F169" s="16" t="n"/>
      <c r="G169" s="15" t="n"/>
      <c r="H169" s="17">
        <f>IF($A169="","",SUMIF(tblAkis[KaynakPersonelId],$A169,tblAkis[FazlaMesaiSaat]))</f>
        <v/>
      </c>
      <c r="I169" s="17">
        <f>IF($A169="","",IFERROR(AVERAGEIF(tblAkis[KaynakPersonelId],$A169,tblAkis[FazlaMesaiSaat]),0))</f>
        <v/>
      </c>
    </row>
    <row r="170">
      <c r="A170" s="15" t="n"/>
      <c r="B170" s="15" t="n"/>
      <c r="C170" s="15" t="n"/>
      <c r="D170" s="15" t="n"/>
      <c r="E170" s="16" t="n"/>
      <c r="F170" s="16" t="n"/>
      <c r="G170" s="15" t="n"/>
      <c r="H170" s="17">
        <f>IF($A170="","",SUMIF(tblAkis[KaynakPersonelId],$A170,tblAkis[FazlaMesaiSaat]))</f>
        <v/>
      </c>
      <c r="I170" s="17">
        <f>IF($A170="","",IFERROR(AVERAGEIF(tblAkis[KaynakPersonelId],$A170,tblAkis[FazlaMesaiSaat]),0))</f>
        <v/>
      </c>
    </row>
    <row r="171">
      <c r="A171" s="15" t="n"/>
      <c r="B171" s="15" t="n"/>
      <c r="C171" s="15" t="n"/>
      <c r="D171" s="15" t="n"/>
      <c r="E171" s="16" t="n"/>
      <c r="F171" s="16" t="n"/>
      <c r="G171" s="15" t="n"/>
      <c r="H171" s="17">
        <f>IF($A171="","",SUMIF(tblAkis[KaynakPersonelId],$A171,tblAkis[FazlaMesaiSaat]))</f>
        <v/>
      </c>
      <c r="I171" s="17">
        <f>IF($A171="","",IFERROR(AVERAGEIF(tblAkis[KaynakPersonelId],$A171,tblAkis[FazlaMesaiSaat]),0))</f>
        <v/>
      </c>
    </row>
    <row r="172">
      <c r="A172" s="15" t="n"/>
      <c r="B172" s="15" t="n"/>
      <c r="C172" s="15" t="n"/>
      <c r="D172" s="15" t="n"/>
      <c r="E172" s="16" t="n"/>
      <c r="F172" s="16" t="n"/>
      <c r="G172" s="15" t="n"/>
      <c r="H172" s="17">
        <f>IF($A172="","",SUMIF(tblAkis[KaynakPersonelId],$A172,tblAkis[FazlaMesaiSaat]))</f>
        <v/>
      </c>
      <c r="I172" s="17">
        <f>IF($A172="","",IFERROR(AVERAGEIF(tblAkis[KaynakPersonelId],$A172,tblAkis[FazlaMesaiSaat]),0))</f>
        <v/>
      </c>
    </row>
    <row r="173">
      <c r="A173" s="15" t="n"/>
      <c r="B173" s="15" t="n"/>
      <c r="C173" s="15" t="n"/>
      <c r="D173" s="15" t="n"/>
      <c r="E173" s="16" t="n"/>
      <c r="F173" s="16" t="n"/>
      <c r="G173" s="15" t="n"/>
      <c r="H173" s="17">
        <f>IF($A173="","",SUMIF(tblAkis[KaynakPersonelId],$A173,tblAkis[FazlaMesaiSaat]))</f>
        <v/>
      </c>
      <c r="I173" s="17">
        <f>IF($A173="","",IFERROR(AVERAGEIF(tblAkis[KaynakPersonelId],$A173,tblAkis[FazlaMesaiSaat]),0))</f>
        <v/>
      </c>
    </row>
    <row r="174">
      <c r="A174" s="15" t="n"/>
      <c r="B174" s="15" t="n"/>
      <c r="C174" s="15" t="n"/>
      <c r="D174" s="15" t="n"/>
      <c r="E174" s="16" t="n"/>
      <c r="F174" s="16" t="n"/>
      <c r="G174" s="15" t="n"/>
      <c r="H174" s="17">
        <f>IF($A174="","",SUMIF(tblAkis[KaynakPersonelId],$A174,tblAkis[FazlaMesaiSaat]))</f>
        <v/>
      </c>
      <c r="I174" s="17">
        <f>IF($A174="","",IFERROR(AVERAGEIF(tblAkis[KaynakPersonelId],$A174,tblAkis[FazlaMesaiSaat]),0))</f>
        <v/>
      </c>
    </row>
    <row r="175">
      <c r="A175" s="15" t="n"/>
      <c r="B175" s="15" t="n"/>
      <c r="C175" s="15" t="n"/>
      <c r="D175" s="15" t="n"/>
      <c r="E175" s="16" t="n"/>
      <c r="F175" s="16" t="n"/>
      <c r="G175" s="15" t="n"/>
      <c r="H175" s="17">
        <f>IF($A175="","",SUMIF(tblAkis[KaynakPersonelId],$A175,tblAkis[FazlaMesaiSaat]))</f>
        <v/>
      </c>
      <c r="I175" s="17">
        <f>IF($A175="","",IFERROR(AVERAGEIF(tblAkis[KaynakPersonelId],$A175,tblAkis[FazlaMesaiSaat]),0))</f>
        <v/>
      </c>
    </row>
    <row r="176">
      <c r="A176" s="15" t="n"/>
      <c r="B176" s="15" t="n"/>
      <c r="C176" s="15" t="n"/>
      <c r="D176" s="15" t="n"/>
      <c r="E176" s="16" t="n"/>
      <c r="F176" s="16" t="n"/>
      <c r="G176" s="15" t="n"/>
      <c r="H176" s="17">
        <f>IF($A176="","",SUMIF(tblAkis[KaynakPersonelId],$A176,tblAkis[FazlaMesaiSaat]))</f>
        <v/>
      </c>
      <c r="I176" s="17">
        <f>IF($A176="","",IFERROR(AVERAGEIF(tblAkis[KaynakPersonelId],$A176,tblAkis[FazlaMesaiSaat]),0))</f>
        <v/>
      </c>
    </row>
    <row r="177">
      <c r="A177" s="15" t="n"/>
      <c r="B177" s="15" t="n"/>
      <c r="C177" s="15" t="n"/>
      <c r="D177" s="15" t="n"/>
      <c r="E177" s="16" t="n"/>
      <c r="F177" s="16" t="n"/>
      <c r="G177" s="15" t="n"/>
      <c r="H177" s="17">
        <f>IF($A177="","",SUMIF(tblAkis[KaynakPersonelId],$A177,tblAkis[FazlaMesaiSaat]))</f>
        <v/>
      </c>
      <c r="I177" s="17">
        <f>IF($A177="","",IFERROR(AVERAGEIF(tblAkis[KaynakPersonelId],$A177,tblAkis[FazlaMesaiSaat]),0))</f>
        <v/>
      </c>
    </row>
    <row r="178">
      <c r="A178" s="15" t="n"/>
      <c r="B178" s="15" t="n"/>
      <c r="C178" s="15" t="n"/>
      <c r="D178" s="15" t="n"/>
      <c r="E178" s="16" t="n"/>
      <c r="F178" s="16" t="n"/>
      <c r="G178" s="15" t="n"/>
      <c r="H178" s="17">
        <f>IF($A178="","",SUMIF(tblAkis[KaynakPersonelId],$A178,tblAkis[FazlaMesaiSaat]))</f>
        <v/>
      </c>
      <c r="I178" s="17">
        <f>IF($A178="","",IFERROR(AVERAGEIF(tblAkis[KaynakPersonelId],$A178,tblAkis[FazlaMesaiSaat]),0))</f>
        <v/>
      </c>
    </row>
    <row r="179">
      <c r="A179" s="15" t="n"/>
      <c r="B179" s="15" t="n"/>
      <c r="C179" s="15" t="n"/>
      <c r="D179" s="15" t="n"/>
      <c r="E179" s="16" t="n"/>
      <c r="F179" s="16" t="n"/>
      <c r="G179" s="15" t="n"/>
      <c r="H179" s="17">
        <f>IF($A179="","",SUMIF(tblAkis[KaynakPersonelId],$A179,tblAkis[FazlaMesaiSaat]))</f>
        <v/>
      </c>
      <c r="I179" s="17">
        <f>IF($A179="","",IFERROR(AVERAGEIF(tblAkis[KaynakPersonelId],$A179,tblAkis[FazlaMesaiSaat]),0))</f>
        <v/>
      </c>
    </row>
    <row r="180">
      <c r="A180" s="15" t="n"/>
      <c r="B180" s="15" t="n"/>
      <c r="C180" s="15" t="n"/>
      <c r="D180" s="15" t="n"/>
      <c r="E180" s="16" t="n"/>
      <c r="F180" s="16" t="n"/>
      <c r="G180" s="15" t="n"/>
      <c r="H180" s="17">
        <f>IF($A180="","",SUMIF(tblAkis[KaynakPersonelId],$A180,tblAkis[FazlaMesaiSaat]))</f>
        <v/>
      </c>
      <c r="I180" s="17">
        <f>IF($A180="","",IFERROR(AVERAGEIF(tblAkis[KaynakPersonelId],$A180,tblAkis[FazlaMesaiSaat]),0))</f>
        <v/>
      </c>
    </row>
    <row r="181">
      <c r="A181" s="15" t="n"/>
      <c r="B181" s="15" t="n"/>
      <c r="C181" s="15" t="n"/>
      <c r="D181" s="15" t="n"/>
      <c r="E181" s="16" t="n"/>
      <c r="F181" s="16" t="n"/>
      <c r="G181" s="15" t="n"/>
      <c r="H181" s="17">
        <f>IF($A181="","",SUMIF(tblAkis[KaynakPersonelId],$A181,tblAkis[FazlaMesaiSaat]))</f>
        <v/>
      </c>
      <c r="I181" s="17">
        <f>IF($A181="","",IFERROR(AVERAGEIF(tblAkis[KaynakPersonelId],$A181,tblAkis[FazlaMesaiSaat]),0))</f>
        <v/>
      </c>
    </row>
    <row r="182">
      <c r="A182" s="15" t="n"/>
      <c r="B182" s="15" t="n"/>
      <c r="C182" s="15" t="n"/>
      <c r="D182" s="15" t="n"/>
      <c r="E182" s="16" t="n"/>
      <c r="F182" s="16" t="n"/>
      <c r="G182" s="15" t="n"/>
      <c r="H182" s="17">
        <f>IF($A182="","",SUMIF(tblAkis[KaynakPersonelId],$A182,tblAkis[FazlaMesaiSaat]))</f>
        <v/>
      </c>
      <c r="I182" s="17">
        <f>IF($A182="","",IFERROR(AVERAGEIF(tblAkis[KaynakPersonelId],$A182,tblAkis[FazlaMesaiSaat]),0))</f>
        <v/>
      </c>
    </row>
    <row r="183">
      <c r="A183" s="15" t="n"/>
      <c r="B183" s="15" t="n"/>
      <c r="C183" s="15" t="n"/>
      <c r="D183" s="15" t="n"/>
      <c r="E183" s="16" t="n"/>
      <c r="F183" s="16" t="n"/>
      <c r="G183" s="15" t="n"/>
      <c r="H183" s="17">
        <f>IF($A183="","",SUMIF(tblAkis[KaynakPersonelId],$A183,tblAkis[FazlaMesaiSaat]))</f>
        <v/>
      </c>
      <c r="I183" s="17">
        <f>IF($A183="","",IFERROR(AVERAGEIF(tblAkis[KaynakPersonelId],$A183,tblAkis[FazlaMesaiSaat]),0))</f>
        <v/>
      </c>
    </row>
    <row r="184">
      <c r="A184" s="15" t="n"/>
      <c r="B184" s="15" t="n"/>
      <c r="C184" s="15" t="n"/>
      <c r="D184" s="15" t="n"/>
      <c r="E184" s="16" t="n"/>
      <c r="F184" s="16" t="n"/>
      <c r="G184" s="15" t="n"/>
      <c r="H184" s="17">
        <f>IF($A184="","",SUMIF(tblAkis[KaynakPersonelId],$A184,tblAkis[FazlaMesaiSaat]))</f>
        <v/>
      </c>
      <c r="I184" s="17">
        <f>IF($A184="","",IFERROR(AVERAGEIF(tblAkis[KaynakPersonelId],$A184,tblAkis[FazlaMesaiSaat]),0))</f>
        <v/>
      </c>
    </row>
    <row r="185">
      <c r="A185" s="15" t="n"/>
      <c r="B185" s="15" t="n"/>
      <c r="C185" s="15" t="n"/>
      <c r="D185" s="15" t="n"/>
      <c r="E185" s="16" t="n"/>
      <c r="F185" s="16" t="n"/>
      <c r="G185" s="15" t="n"/>
      <c r="H185" s="17">
        <f>IF($A185="","",SUMIF(tblAkis[KaynakPersonelId],$A185,tblAkis[FazlaMesaiSaat]))</f>
        <v/>
      </c>
      <c r="I185" s="17">
        <f>IF($A185="","",IFERROR(AVERAGEIF(tblAkis[KaynakPersonelId],$A185,tblAkis[FazlaMesaiSaat]),0))</f>
        <v/>
      </c>
    </row>
    <row r="186">
      <c r="A186" s="15" t="n"/>
      <c r="B186" s="15" t="n"/>
      <c r="C186" s="15" t="n"/>
      <c r="D186" s="15" t="n"/>
      <c r="E186" s="16" t="n"/>
      <c r="F186" s="16" t="n"/>
      <c r="G186" s="15" t="n"/>
      <c r="H186" s="17">
        <f>IF($A186="","",SUMIF(tblAkis[KaynakPersonelId],$A186,tblAkis[FazlaMesaiSaat]))</f>
        <v/>
      </c>
      <c r="I186" s="17">
        <f>IF($A186="","",IFERROR(AVERAGEIF(tblAkis[KaynakPersonelId],$A186,tblAkis[FazlaMesaiSaat]),0))</f>
        <v/>
      </c>
    </row>
    <row r="187">
      <c r="A187" s="15" t="n"/>
      <c r="B187" s="15" t="n"/>
      <c r="C187" s="15" t="n"/>
      <c r="D187" s="15" t="n"/>
      <c r="E187" s="16" t="n"/>
      <c r="F187" s="16" t="n"/>
      <c r="G187" s="15" t="n"/>
      <c r="H187" s="17">
        <f>IF($A187="","",SUMIF(tblAkis[KaynakPersonelId],$A187,tblAkis[FazlaMesaiSaat]))</f>
        <v/>
      </c>
      <c r="I187" s="17">
        <f>IF($A187="","",IFERROR(AVERAGEIF(tblAkis[KaynakPersonelId],$A187,tblAkis[FazlaMesaiSaat]),0))</f>
        <v/>
      </c>
    </row>
    <row r="188">
      <c r="A188" s="15" t="n"/>
      <c r="B188" s="15" t="n"/>
      <c r="C188" s="15" t="n"/>
      <c r="D188" s="15" t="n"/>
      <c r="E188" s="16" t="n"/>
      <c r="F188" s="16" t="n"/>
      <c r="G188" s="15" t="n"/>
      <c r="H188" s="17">
        <f>IF($A188="","",SUMIF(tblAkis[KaynakPersonelId],$A188,tblAkis[FazlaMesaiSaat]))</f>
        <v/>
      </c>
      <c r="I188" s="17">
        <f>IF($A188="","",IFERROR(AVERAGEIF(tblAkis[KaynakPersonelId],$A188,tblAkis[FazlaMesaiSaat]),0))</f>
        <v/>
      </c>
    </row>
    <row r="189">
      <c r="A189" s="15" t="n"/>
      <c r="B189" s="15" t="n"/>
      <c r="C189" s="15" t="n"/>
      <c r="D189" s="15" t="n"/>
      <c r="E189" s="16" t="n"/>
      <c r="F189" s="16" t="n"/>
      <c r="G189" s="15" t="n"/>
      <c r="H189" s="17">
        <f>IF($A189="","",SUMIF(tblAkis[KaynakPersonelId],$A189,tblAkis[FazlaMesaiSaat]))</f>
        <v/>
      </c>
      <c r="I189" s="17">
        <f>IF($A189="","",IFERROR(AVERAGEIF(tblAkis[KaynakPersonelId],$A189,tblAkis[FazlaMesaiSaat]),0))</f>
        <v/>
      </c>
    </row>
    <row r="190">
      <c r="A190" s="15" t="n"/>
      <c r="B190" s="15" t="n"/>
      <c r="C190" s="15" t="n"/>
      <c r="D190" s="15" t="n"/>
      <c r="E190" s="16" t="n"/>
      <c r="F190" s="16" t="n"/>
      <c r="G190" s="15" t="n"/>
      <c r="H190" s="17">
        <f>IF($A190="","",SUMIF(tblAkis[KaynakPersonelId],$A190,tblAkis[FazlaMesaiSaat]))</f>
        <v/>
      </c>
      <c r="I190" s="17">
        <f>IF($A190="","",IFERROR(AVERAGEIF(tblAkis[KaynakPersonelId],$A190,tblAkis[FazlaMesaiSaat]),0))</f>
        <v/>
      </c>
    </row>
    <row r="191">
      <c r="A191" s="15" t="n"/>
      <c r="B191" s="15" t="n"/>
      <c r="C191" s="15" t="n"/>
      <c r="D191" s="15" t="n"/>
      <c r="E191" s="16" t="n"/>
      <c r="F191" s="16" t="n"/>
      <c r="G191" s="15" t="n"/>
      <c r="H191" s="17">
        <f>IF($A191="","",SUMIF(tblAkis[KaynakPersonelId],$A191,tblAkis[FazlaMesaiSaat]))</f>
        <v/>
      </c>
      <c r="I191" s="17">
        <f>IF($A191="","",IFERROR(AVERAGEIF(tblAkis[KaynakPersonelId],$A191,tblAkis[FazlaMesaiSaat]),0))</f>
        <v/>
      </c>
    </row>
    <row r="192">
      <c r="A192" s="15" t="n"/>
      <c r="B192" s="15" t="n"/>
      <c r="C192" s="15" t="n"/>
      <c r="D192" s="15" t="n"/>
      <c r="E192" s="16" t="n"/>
      <c r="F192" s="16" t="n"/>
      <c r="G192" s="15" t="n"/>
      <c r="H192" s="17">
        <f>IF($A192="","",SUMIF(tblAkis[KaynakPersonelId],$A192,tblAkis[FazlaMesaiSaat]))</f>
        <v/>
      </c>
      <c r="I192" s="17">
        <f>IF($A192="","",IFERROR(AVERAGEIF(tblAkis[KaynakPersonelId],$A192,tblAkis[FazlaMesaiSaat]),0))</f>
        <v/>
      </c>
    </row>
    <row r="193">
      <c r="A193" s="15" t="n"/>
      <c r="B193" s="15" t="n"/>
      <c r="C193" s="15" t="n"/>
      <c r="D193" s="15" t="n"/>
      <c r="E193" s="16" t="n"/>
      <c r="F193" s="16" t="n"/>
      <c r="G193" s="15" t="n"/>
      <c r="H193" s="17">
        <f>IF($A193="","",SUMIF(tblAkis[KaynakPersonelId],$A193,tblAkis[FazlaMesaiSaat]))</f>
        <v/>
      </c>
      <c r="I193" s="17">
        <f>IF($A193="","",IFERROR(AVERAGEIF(tblAkis[KaynakPersonelId],$A193,tblAkis[FazlaMesaiSaat]),0))</f>
        <v/>
      </c>
    </row>
    <row r="194">
      <c r="A194" s="15" t="n"/>
      <c r="B194" s="15" t="n"/>
      <c r="C194" s="15" t="n"/>
      <c r="D194" s="15" t="n"/>
      <c r="E194" s="16" t="n"/>
      <c r="F194" s="16" t="n"/>
      <c r="G194" s="15" t="n"/>
      <c r="H194" s="17">
        <f>IF($A194="","",SUMIF(tblAkis[KaynakPersonelId],$A194,tblAkis[FazlaMesaiSaat]))</f>
        <v/>
      </c>
      <c r="I194" s="17">
        <f>IF($A194="","",IFERROR(AVERAGEIF(tblAkis[KaynakPersonelId],$A194,tblAkis[FazlaMesaiSaat]),0))</f>
        <v/>
      </c>
    </row>
    <row r="195">
      <c r="A195" s="15" t="n"/>
      <c r="B195" s="15" t="n"/>
      <c r="C195" s="15" t="n"/>
      <c r="D195" s="15" t="n"/>
      <c r="E195" s="16" t="n"/>
      <c r="F195" s="16" t="n"/>
      <c r="G195" s="15" t="n"/>
      <c r="H195" s="17">
        <f>IF($A195="","",SUMIF(tblAkis[KaynakPersonelId],$A195,tblAkis[FazlaMesaiSaat]))</f>
        <v/>
      </c>
      <c r="I195" s="17">
        <f>IF($A195="","",IFERROR(AVERAGEIF(tblAkis[KaynakPersonelId],$A195,tblAkis[FazlaMesaiSaat]),0))</f>
        <v/>
      </c>
    </row>
    <row r="196">
      <c r="A196" s="15" t="n"/>
      <c r="B196" s="15" t="n"/>
      <c r="C196" s="15" t="n"/>
      <c r="D196" s="15" t="n"/>
      <c r="E196" s="16" t="n"/>
      <c r="F196" s="16" t="n"/>
      <c r="G196" s="15" t="n"/>
      <c r="H196" s="17">
        <f>IF($A196="","",SUMIF(tblAkis[KaynakPersonelId],$A196,tblAkis[FazlaMesaiSaat]))</f>
        <v/>
      </c>
      <c r="I196" s="17">
        <f>IF($A196="","",IFERROR(AVERAGEIF(tblAkis[KaynakPersonelId],$A196,tblAkis[FazlaMesaiSaat]),0))</f>
        <v/>
      </c>
    </row>
    <row r="197">
      <c r="A197" s="15" t="n"/>
      <c r="B197" s="15" t="n"/>
      <c r="C197" s="15" t="n"/>
      <c r="D197" s="15" t="n"/>
      <c r="E197" s="16" t="n"/>
      <c r="F197" s="16" t="n"/>
      <c r="G197" s="15" t="n"/>
      <c r="H197" s="17">
        <f>IF($A197="","",SUMIF(tblAkis[KaynakPersonelId],$A197,tblAkis[FazlaMesaiSaat]))</f>
        <v/>
      </c>
      <c r="I197" s="17">
        <f>IF($A197="","",IFERROR(AVERAGEIF(tblAkis[KaynakPersonelId],$A197,tblAkis[FazlaMesaiSaat]),0))</f>
        <v/>
      </c>
    </row>
    <row r="198">
      <c r="A198" s="15" t="n"/>
      <c r="B198" s="15" t="n"/>
      <c r="C198" s="15" t="n"/>
      <c r="D198" s="15" t="n"/>
      <c r="E198" s="16" t="n"/>
      <c r="F198" s="16" t="n"/>
      <c r="G198" s="15" t="n"/>
      <c r="H198" s="17">
        <f>IF($A198="","",SUMIF(tblAkis[KaynakPersonelId],$A198,tblAkis[FazlaMesaiSaat]))</f>
        <v/>
      </c>
      <c r="I198" s="17">
        <f>IF($A198="","",IFERROR(AVERAGEIF(tblAkis[KaynakPersonelId],$A198,tblAkis[FazlaMesaiSaat]),0))</f>
        <v/>
      </c>
    </row>
    <row r="199">
      <c r="A199" s="15" t="n"/>
      <c r="B199" s="15" t="n"/>
      <c r="C199" s="15" t="n"/>
      <c r="D199" s="15" t="n"/>
      <c r="E199" s="16" t="n"/>
      <c r="F199" s="16" t="n"/>
      <c r="G199" s="15" t="n"/>
      <c r="H199" s="17">
        <f>IF($A199="","",SUMIF(tblAkis[KaynakPersonelId],$A199,tblAkis[FazlaMesaiSaat]))</f>
        <v/>
      </c>
      <c r="I199" s="17">
        <f>IF($A199="","",IFERROR(AVERAGEIF(tblAkis[KaynakPersonelId],$A199,tblAkis[FazlaMesaiSaat]),0))</f>
        <v/>
      </c>
    </row>
    <row r="200">
      <c r="A200" s="15" t="n"/>
      <c r="B200" s="15" t="n"/>
      <c r="C200" s="15" t="n"/>
      <c r="D200" s="15" t="n"/>
      <c r="E200" s="16" t="n"/>
      <c r="F200" s="16" t="n"/>
      <c r="G200" s="15" t="n"/>
      <c r="H200" s="17">
        <f>IF($A200="","",SUMIF(tblAkis[KaynakPersonelId],$A200,tblAkis[FazlaMesaiSaat]))</f>
        <v/>
      </c>
      <c r="I200" s="17">
        <f>IF($A200="","",IFERROR(AVERAGEIF(tblAkis[KaynakPersonelId],$A200,tblAkis[FazlaMesaiSaat]),0))</f>
        <v/>
      </c>
    </row>
    <row r="201">
      <c r="A201" s="15" t="n"/>
      <c r="B201" s="15" t="n"/>
      <c r="C201" s="15" t="n"/>
      <c r="D201" s="15" t="n"/>
      <c r="E201" s="16" t="n"/>
      <c r="F201" s="16" t="n"/>
      <c r="G201" s="15" t="n"/>
      <c r="H201" s="17">
        <f>IF($A201="","",SUMIF(tblAkis[KaynakPersonelId],$A201,tblAkis[FazlaMesaiSaat]))</f>
        <v/>
      </c>
      <c r="I201" s="17">
        <f>IF($A201="","",IFERROR(AVERAGEIF(tblAkis[KaynakPersonelId],$A201,tblAkis[FazlaMesaiSaat]),0))</f>
        <v/>
      </c>
    </row>
    <row r="202">
      <c r="A202" s="15" t="n"/>
      <c r="B202" s="15" t="n"/>
      <c r="C202" s="15" t="n"/>
      <c r="D202" s="15" t="n"/>
      <c r="E202" s="16" t="n"/>
      <c r="F202" s="16" t="n"/>
      <c r="G202" s="15" t="n"/>
      <c r="H202" s="17">
        <f>IF($A202="","",SUMIF(tblAkis[KaynakPersonelId],$A202,tblAkis[FazlaMesaiSaat]))</f>
        <v/>
      </c>
      <c r="I202" s="17">
        <f>IF($A202="","",IFERROR(AVERAGEIF(tblAkis[KaynakPersonelId],$A202,tblAkis[FazlaMesaiSaat]),0))</f>
        <v/>
      </c>
    </row>
    <row r="203">
      <c r="A203" s="15" t="n"/>
      <c r="B203" s="15" t="n"/>
      <c r="C203" s="15" t="n"/>
      <c r="D203" s="15" t="n"/>
      <c r="E203" s="16" t="n"/>
      <c r="F203" s="16" t="n"/>
      <c r="G203" s="15" t="n"/>
      <c r="H203" s="17">
        <f>IF($A203="","",SUMIF(tblAkis[KaynakPersonelId],$A203,tblAkis[FazlaMesaiSaat]))</f>
        <v/>
      </c>
      <c r="I203" s="17">
        <f>IF($A203="","",IFERROR(AVERAGEIF(tblAkis[KaynakPersonelId],$A203,tblAkis[FazlaMesaiSaat]),0))</f>
        <v/>
      </c>
    </row>
    <row r="204">
      <c r="A204" s="15" t="n"/>
      <c r="B204" s="15" t="n"/>
      <c r="C204" s="15" t="n"/>
      <c r="D204" s="15" t="n"/>
      <c r="E204" s="16" t="n"/>
      <c r="F204" s="16" t="n"/>
      <c r="G204" s="15" t="n"/>
      <c r="H204" s="17">
        <f>IF($A204="","",SUMIF(tblAkis[KaynakPersonelId],$A204,tblAkis[FazlaMesaiSaat]))</f>
        <v/>
      </c>
      <c r="I204" s="17">
        <f>IF($A204="","",IFERROR(AVERAGEIF(tblAkis[KaynakPersonelId],$A204,tblAkis[FazlaMesaiSaat]),0))</f>
        <v/>
      </c>
    </row>
    <row r="205">
      <c r="A205" s="15" t="n"/>
      <c r="B205" s="15" t="n"/>
      <c r="C205" s="15" t="n"/>
      <c r="D205" s="15" t="n"/>
      <c r="E205" s="16" t="n"/>
      <c r="F205" s="16" t="n"/>
      <c r="G205" s="15" t="n"/>
      <c r="H205" s="17">
        <f>IF($A205="","",SUMIF(tblAkis[KaynakPersonelId],$A205,tblAkis[FazlaMesaiSaat]))</f>
        <v/>
      </c>
      <c r="I205" s="17">
        <f>IF($A205="","",IFERROR(AVERAGEIF(tblAkis[KaynakPersonelId],$A205,tblAkis[FazlaMesaiSaat]),0))</f>
        <v/>
      </c>
    </row>
    <row r="206">
      <c r="A206" s="15" t="n"/>
      <c r="B206" s="15" t="n"/>
      <c r="C206" s="15" t="n"/>
      <c r="D206" s="15" t="n"/>
      <c r="E206" s="16" t="n"/>
      <c r="F206" s="16" t="n"/>
      <c r="G206" s="15" t="n"/>
      <c r="H206" s="17">
        <f>IF($A206="","",SUMIF(tblAkis[KaynakPersonelId],$A206,tblAkis[FazlaMesaiSaat]))</f>
        <v/>
      </c>
      <c r="I206" s="17">
        <f>IF($A206="","",IFERROR(AVERAGEIF(tblAkis[KaynakPersonelId],$A206,tblAkis[FazlaMesaiSaat]),0))</f>
        <v/>
      </c>
    </row>
    <row r="207">
      <c r="A207" s="15" t="n"/>
      <c r="B207" s="15" t="n"/>
      <c r="C207" s="15" t="n"/>
      <c r="D207" s="15" t="n"/>
      <c r="E207" s="16" t="n"/>
      <c r="F207" s="16" t="n"/>
      <c r="G207" s="15" t="n"/>
      <c r="H207" s="17">
        <f>IF($A207="","",SUMIF(tblAkis[KaynakPersonelId],$A207,tblAkis[FazlaMesaiSaat]))</f>
        <v/>
      </c>
      <c r="I207" s="17">
        <f>IF($A207="","",IFERROR(AVERAGEIF(tblAkis[KaynakPersonelId],$A207,tblAkis[FazlaMesaiSaat]),0))</f>
        <v/>
      </c>
    </row>
    <row r="208">
      <c r="A208" s="15" t="n"/>
      <c r="B208" s="15" t="n"/>
      <c r="C208" s="15" t="n"/>
      <c r="D208" s="15" t="n"/>
      <c r="E208" s="16" t="n"/>
      <c r="F208" s="16" t="n"/>
      <c r="G208" s="15" t="n"/>
      <c r="H208" s="17">
        <f>IF($A208="","",SUMIF(tblAkis[KaynakPersonelId],$A208,tblAkis[FazlaMesaiSaat]))</f>
        <v/>
      </c>
      <c r="I208" s="17">
        <f>IF($A208="","",IFERROR(AVERAGEIF(tblAkis[KaynakPersonelId],$A208,tblAkis[FazlaMesaiSaat]),0))</f>
        <v/>
      </c>
    </row>
    <row r="209">
      <c r="A209" s="15" t="n"/>
      <c r="B209" s="15" t="n"/>
      <c r="C209" s="15" t="n"/>
      <c r="D209" s="15" t="n"/>
      <c r="E209" s="16" t="n"/>
      <c r="F209" s="16" t="n"/>
      <c r="G209" s="15" t="n"/>
      <c r="H209" s="17">
        <f>IF($A209="","",SUMIF(tblAkis[KaynakPersonelId],$A209,tblAkis[FazlaMesaiSaat]))</f>
        <v/>
      </c>
      <c r="I209" s="17">
        <f>IF($A209="","",IFERROR(AVERAGEIF(tblAkis[KaynakPersonelId],$A209,tblAkis[FazlaMesaiSaat]),0))</f>
        <v/>
      </c>
    </row>
    <row r="210">
      <c r="A210" s="15" t="n"/>
      <c r="B210" s="15" t="n"/>
      <c r="C210" s="15" t="n"/>
      <c r="D210" s="15" t="n"/>
      <c r="E210" s="16" t="n"/>
      <c r="F210" s="16" t="n"/>
      <c r="G210" s="15" t="n"/>
      <c r="H210" s="17">
        <f>IF($A210="","",SUMIF(tblAkis[KaynakPersonelId],$A210,tblAkis[FazlaMesaiSaat]))</f>
        <v/>
      </c>
      <c r="I210" s="17">
        <f>IF($A210="","",IFERROR(AVERAGEIF(tblAkis[KaynakPersonelId],$A210,tblAkis[FazlaMesaiSaat]),0))</f>
        <v/>
      </c>
    </row>
    <row r="211">
      <c r="A211" s="15" t="n"/>
      <c r="B211" s="15" t="n"/>
      <c r="C211" s="15" t="n"/>
      <c r="D211" s="15" t="n"/>
      <c r="E211" s="16" t="n"/>
      <c r="F211" s="16" t="n"/>
      <c r="G211" s="15" t="n"/>
      <c r="H211" s="17">
        <f>IF($A211="","",SUMIF(tblAkis[KaynakPersonelId],$A211,tblAkis[FazlaMesaiSaat]))</f>
        <v/>
      </c>
      <c r="I211" s="17">
        <f>IF($A211="","",IFERROR(AVERAGEIF(tblAkis[KaynakPersonelId],$A211,tblAkis[FazlaMesaiSaat]),0))</f>
        <v/>
      </c>
    </row>
    <row r="212">
      <c r="A212" s="15" t="n"/>
      <c r="B212" s="15" t="n"/>
      <c r="C212" s="15" t="n"/>
      <c r="D212" s="15" t="n"/>
      <c r="E212" s="16" t="n"/>
      <c r="F212" s="16" t="n"/>
      <c r="G212" s="15" t="n"/>
      <c r="H212" s="17">
        <f>IF($A212="","",SUMIF(tblAkis[KaynakPersonelId],$A212,tblAkis[FazlaMesaiSaat]))</f>
        <v/>
      </c>
      <c r="I212" s="17">
        <f>IF($A212="","",IFERROR(AVERAGEIF(tblAkis[KaynakPersonelId],$A212,tblAkis[FazlaMesaiSaat]),0))</f>
        <v/>
      </c>
    </row>
    <row r="213">
      <c r="A213" s="15" t="n"/>
      <c r="B213" s="15" t="n"/>
      <c r="C213" s="15" t="n"/>
      <c r="D213" s="15" t="n"/>
      <c r="E213" s="16" t="n"/>
      <c r="F213" s="16" t="n"/>
      <c r="G213" s="15" t="n"/>
      <c r="H213" s="17">
        <f>IF($A213="","",SUMIF(tblAkis[KaynakPersonelId],$A213,tblAkis[FazlaMesaiSaat]))</f>
        <v/>
      </c>
      <c r="I213" s="17">
        <f>IF($A213="","",IFERROR(AVERAGEIF(tblAkis[KaynakPersonelId],$A213,tblAkis[FazlaMesaiSaat]),0))</f>
        <v/>
      </c>
    </row>
    <row r="214">
      <c r="A214" s="15" t="n"/>
      <c r="B214" s="15" t="n"/>
      <c r="C214" s="15" t="n"/>
      <c r="D214" s="15" t="n"/>
      <c r="E214" s="16" t="n"/>
      <c r="F214" s="16" t="n"/>
      <c r="G214" s="15" t="n"/>
      <c r="H214" s="17">
        <f>IF($A214="","",SUMIF(tblAkis[KaynakPersonelId],$A214,tblAkis[FazlaMesaiSaat]))</f>
        <v/>
      </c>
      <c r="I214" s="17">
        <f>IF($A214="","",IFERROR(AVERAGEIF(tblAkis[KaynakPersonelId],$A214,tblAkis[FazlaMesaiSaat]),0))</f>
        <v/>
      </c>
    </row>
    <row r="215">
      <c r="A215" s="15" t="n"/>
      <c r="B215" s="15" t="n"/>
      <c r="C215" s="15" t="n"/>
      <c r="D215" s="15" t="n"/>
      <c r="E215" s="16" t="n"/>
      <c r="F215" s="16" t="n"/>
      <c r="G215" s="15" t="n"/>
      <c r="H215" s="17">
        <f>IF($A215="","",SUMIF(tblAkis[KaynakPersonelId],$A215,tblAkis[FazlaMesaiSaat]))</f>
        <v/>
      </c>
      <c r="I215" s="17">
        <f>IF($A215="","",IFERROR(AVERAGEIF(tblAkis[KaynakPersonelId],$A215,tblAkis[FazlaMesaiSaat]),0))</f>
        <v/>
      </c>
    </row>
    <row r="216">
      <c r="A216" s="15" t="n"/>
      <c r="B216" s="15" t="n"/>
      <c r="C216" s="15" t="n"/>
      <c r="D216" s="15" t="n"/>
      <c r="E216" s="16" t="n"/>
      <c r="F216" s="16" t="n"/>
      <c r="G216" s="15" t="n"/>
      <c r="H216" s="17">
        <f>IF($A216="","",SUMIF(tblAkis[KaynakPersonelId],$A216,tblAkis[FazlaMesaiSaat]))</f>
        <v/>
      </c>
      <c r="I216" s="17">
        <f>IF($A216="","",IFERROR(AVERAGEIF(tblAkis[KaynakPersonelId],$A216,tblAkis[FazlaMesaiSaat]),0))</f>
        <v/>
      </c>
    </row>
    <row r="217">
      <c r="A217" s="15" t="n"/>
      <c r="B217" s="15" t="n"/>
      <c r="C217" s="15" t="n"/>
      <c r="D217" s="15" t="n"/>
      <c r="E217" s="16" t="n"/>
      <c r="F217" s="16" t="n"/>
      <c r="G217" s="15" t="n"/>
      <c r="H217" s="17">
        <f>IF($A217="","",SUMIF(tblAkis[KaynakPersonelId],$A217,tblAkis[FazlaMesaiSaat]))</f>
        <v/>
      </c>
      <c r="I217" s="17">
        <f>IF($A217="","",IFERROR(AVERAGEIF(tblAkis[KaynakPersonelId],$A217,tblAkis[FazlaMesaiSaat]),0))</f>
        <v/>
      </c>
    </row>
    <row r="218">
      <c r="A218" s="15" t="n"/>
      <c r="B218" s="15" t="n"/>
      <c r="C218" s="15" t="n"/>
      <c r="D218" s="15" t="n"/>
      <c r="E218" s="16" t="n"/>
      <c r="F218" s="16" t="n"/>
      <c r="G218" s="15" t="n"/>
      <c r="H218" s="17">
        <f>IF($A218="","",SUMIF(tblAkis[KaynakPersonelId],$A218,tblAkis[FazlaMesaiSaat]))</f>
        <v/>
      </c>
      <c r="I218" s="17">
        <f>IF($A218="","",IFERROR(AVERAGEIF(tblAkis[KaynakPersonelId],$A218,tblAkis[FazlaMesaiSaat]),0))</f>
        <v/>
      </c>
    </row>
    <row r="219">
      <c r="A219" s="15" t="n"/>
      <c r="B219" s="15" t="n"/>
      <c r="C219" s="15" t="n"/>
      <c r="D219" s="15" t="n"/>
      <c r="E219" s="16" t="n"/>
      <c r="F219" s="16" t="n"/>
      <c r="G219" s="15" t="n"/>
      <c r="H219" s="17">
        <f>IF($A219="","",SUMIF(tblAkis[KaynakPersonelId],$A219,tblAkis[FazlaMesaiSaat]))</f>
        <v/>
      </c>
      <c r="I219" s="17">
        <f>IF($A219="","",IFERROR(AVERAGEIF(tblAkis[KaynakPersonelId],$A219,tblAkis[FazlaMesaiSaat]),0))</f>
        <v/>
      </c>
    </row>
    <row r="220">
      <c r="A220" s="15" t="n"/>
      <c r="B220" s="15" t="n"/>
      <c r="C220" s="15" t="n"/>
      <c r="D220" s="15" t="n"/>
      <c r="E220" s="16" t="n"/>
      <c r="F220" s="16" t="n"/>
      <c r="G220" s="15" t="n"/>
      <c r="H220" s="17">
        <f>IF($A220="","",SUMIF(tblAkis[KaynakPersonelId],$A220,tblAkis[FazlaMesaiSaat]))</f>
        <v/>
      </c>
      <c r="I220" s="17">
        <f>IF($A220="","",IFERROR(AVERAGEIF(tblAkis[KaynakPersonelId],$A220,tblAkis[FazlaMesaiSaat]),0))</f>
        <v/>
      </c>
    </row>
    <row r="221">
      <c r="A221" s="15" t="n"/>
      <c r="B221" s="15" t="n"/>
      <c r="C221" s="15" t="n"/>
      <c r="D221" s="15" t="n"/>
      <c r="E221" s="16" t="n"/>
      <c r="F221" s="16" t="n"/>
      <c r="G221" s="15" t="n"/>
      <c r="H221" s="17">
        <f>IF($A221="","",SUMIF(tblAkis[KaynakPersonelId],$A221,tblAkis[FazlaMesaiSaat]))</f>
        <v/>
      </c>
      <c r="I221" s="17">
        <f>IF($A221="","",IFERROR(AVERAGEIF(tblAkis[KaynakPersonelId],$A221,tblAkis[FazlaMesaiSaat]),0))</f>
        <v/>
      </c>
    </row>
    <row r="222">
      <c r="A222" s="15" t="n"/>
      <c r="B222" s="15" t="n"/>
      <c r="C222" s="15" t="n"/>
      <c r="D222" s="15" t="n"/>
      <c r="E222" s="16" t="n"/>
      <c r="F222" s="16" t="n"/>
      <c r="G222" s="15" t="n"/>
      <c r="H222" s="17">
        <f>IF($A222="","",SUMIF(tblAkis[KaynakPersonelId],$A222,tblAkis[FazlaMesaiSaat]))</f>
        <v/>
      </c>
      <c r="I222" s="17">
        <f>IF($A222="","",IFERROR(AVERAGEIF(tblAkis[KaynakPersonelId],$A222,tblAkis[FazlaMesaiSaat]),0))</f>
        <v/>
      </c>
    </row>
    <row r="223">
      <c r="A223" s="15" t="n"/>
      <c r="B223" s="15" t="n"/>
      <c r="C223" s="15" t="n"/>
      <c r="D223" s="15" t="n"/>
      <c r="E223" s="16" t="n"/>
      <c r="F223" s="16" t="n"/>
      <c r="G223" s="15" t="n"/>
      <c r="H223" s="17">
        <f>IF($A223="","",SUMIF(tblAkis[KaynakPersonelId],$A223,tblAkis[FazlaMesaiSaat]))</f>
        <v/>
      </c>
      <c r="I223" s="17">
        <f>IF($A223="","",IFERROR(AVERAGEIF(tblAkis[KaynakPersonelId],$A223,tblAkis[FazlaMesaiSaat]),0))</f>
        <v/>
      </c>
    </row>
    <row r="224">
      <c r="A224" s="15" t="n"/>
      <c r="B224" s="15" t="n"/>
      <c r="C224" s="15" t="n"/>
      <c r="D224" s="15" t="n"/>
      <c r="E224" s="16" t="n"/>
      <c r="F224" s="16" t="n"/>
      <c r="G224" s="15" t="n"/>
      <c r="H224" s="17">
        <f>IF($A224="","",SUMIF(tblAkis[KaynakPersonelId],$A224,tblAkis[FazlaMesaiSaat]))</f>
        <v/>
      </c>
      <c r="I224" s="17">
        <f>IF($A224="","",IFERROR(AVERAGEIF(tblAkis[KaynakPersonelId],$A224,tblAkis[FazlaMesaiSaat]),0))</f>
        <v/>
      </c>
    </row>
    <row r="225">
      <c r="A225" s="15" t="n"/>
      <c r="B225" s="15" t="n"/>
      <c r="C225" s="15" t="n"/>
      <c r="D225" s="15" t="n"/>
      <c r="E225" s="16" t="n"/>
      <c r="F225" s="16" t="n"/>
      <c r="G225" s="15" t="n"/>
      <c r="H225" s="17">
        <f>IF($A225="","",SUMIF(tblAkis[KaynakPersonelId],$A225,tblAkis[FazlaMesaiSaat]))</f>
        <v/>
      </c>
      <c r="I225" s="17">
        <f>IF($A225="","",IFERROR(AVERAGEIF(tblAkis[KaynakPersonelId],$A225,tblAkis[FazlaMesaiSaat]),0))</f>
        <v/>
      </c>
    </row>
    <row r="226">
      <c r="A226" s="15" t="n"/>
      <c r="B226" s="15" t="n"/>
      <c r="C226" s="15" t="n"/>
      <c r="D226" s="15" t="n"/>
      <c r="E226" s="16" t="n"/>
      <c r="F226" s="16" t="n"/>
      <c r="G226" s="15" t="n"/>
      <c r="H226" s="17">
        <f>IF($A226="","",SUMIF(tblAkis[KaynakPersonelId],$A226,tblAkis[FazlaMesaiSaat]))</f>
        <v/>
      </c>
      <c r="I226" s="17">
        <f>IF($A226="","",IFERROR(AVERAGEIF(tblAkis[KaynakPersonelId],$A226,tblAkis[FazlaMesaiSaat]),0))</f>
        <v/>
      </c>
    </row>
    <row r="227">
      <c r="A227" s="15" t="n"/>
      <c r="B227" s="15" t="n"/>
      <c r="C227" s="15" t="n"/>
      <c r="D227" s="15" t="n"/>
      <c r="E227" s="16" t="n"/>
      <c r="F227" s="16" t="n"/>
      <c r="G227" s="15" t="n"/>
      <c r="H227" s="17">
        <f>IF($A227="","",SUMIF(tblAkis[KaynakPersonelId],$A227,tblAkis[FazlaMesaiSaat]))</f>
        <v/>
      </c>
      <c r="I227" s="17">
        <f>IF($A227="","",IFERROR(AVERAGEIF(tblAkis[KaynakPersonelId],$A227,tblAkis[FazlaMesaiSaat]),0))</f>
        <v/>
      </c>
    </row>
    <row r="228">
      <c r="A228" s="15" t="n"/>
      <c r="B228" s="15" t="n"/>
      <c r="C228" s="15" t="n"/>
      <c r="D228" s="15" t="n"/>
      <c r="E228" s="16" t="n"/>
      <c r="F228" s="16" t="n"/>
      <c r="G228" s="15" t="n"/>
      <c r="H228" s="17">
        <f>IF($A228="","",SUMIF(tblAkis[KaynakPersonelId],$A228,tblAkis[FazlaMesaiSaat]))</f>
        <v/>
      </c>
      <c r="I228" s="17">
        <f>IF($A228="","",IFERROR(AVERAGEIF(tblAkis[KaynakPersonelId],$A228,tblAkis[FazlaMesaiSaat]),0))</f>
        <v/>
      </c>
    </row>
    <row r="229">
      <c r="A229" s="15" t="n"/>
      <c r="B229" s="15" t="n"/>
      <c r="C229" s="15" t="n"/>
      <c r="D229" s="15" t="n"/>
      <c r="E229" s="16" t="n"/>
      <c r="F229" s="16" t="n"/>
      <c r="G229" s="15" t="n"/>
      <c r="H229" s="17">
        <f>IF($A229="","",SUMIF(tblAkis[KaynakPersonelId],$A229,tblAkis[FazlaMesaiSaat]))</f>
        <v/>
      </c>
      <c r="I229" s="17">
        <f>IF($A229="","",IFERROR(AVERAGEIF(tblAkis[KaynakPersonelId],$A229,tblAkis[FazlaMesaiSaat]),0))</f>
        <v/>
      </c>
    </row>
    <row r="230">
      <c r="A230" s="15" t="n"/>
      <c r="B230" s="15" t="n"/>
      <c r="C230" s="15" t="n"/>
      <c r="D230" s="15" t="n"/>
      <c r="E230" s="16" t="n"/>
      <c r="F230" s="16" t="n"/>
      <c r="G230" s="15" t="n"/>
      <c r="H230" s="17">
        <f>IF($A230="","",SUMIF(tblAkis[KaynakPersonelId],$A230,tblAkis[FazlaMesaiSaat]))</f>
        <v/>
      </c>
      <c r="I230" s="17">
        <f>IF($A230="","",IFERROR(AVERAGEIF(tblAkis[KaynakPersonelId],$A230,tblAkis[FazlaMesaiSaat]),0))</f>
        <v/>
      </c>
    </row>
    <row r="231">
      <c r="A231" s="15" t="n"/>
      <c r="B231" s="15" t="n"/>
      <c r="C231" s="15" t="n"/>
      <c r="D231" s="15" t="n"/>
      <c r="E231" s="16" t="n"/>
      <c r="F231" s="16" t="n"/>
      <c r="G231" s="15" t="n"/>
      <c r="H231" s="17">
        <f>IF($A231="","",SUMIF(tblAkis[KaynakPersonelId],$A231,tblAkis[FazlaMesaiSaat]))</f>
        <v/>
      </c>
      <c r="I231" s="17">
        <f>IF($A231="","",IFERROR(AVERAGEIF(tblAkis[KaynakPersonelId],$A231,tblAkis[FazlaMesaiSaat]),0))</f>
        <v/>
      </c>
    </row>
    <row r="232">
      <c r="A232" s="15" t="n"/>
      <c r="B232" s="15" t="n"/>
      <c r="C232" s="15" t="n"/>
      <c r="D232" s="15" t="n"/>
      <c r="E232" s="16" t="n"/>
      <c r="F232" s="16" t="n"/>
      <c r="G232" s="15" t="n"/>
      <c r="H232" s="17">
        <f>IF($A232="","",SUMIF(tblAkis[KaynakPersonelId],$A232,tblAkis[FazlaMesaiSaat]))</f>
        <v/>
      </c>
      <c r="I232" s="17">
        <f>IF($A232="","",IFERROR(AVERAGEIF(tblAkis[KaynakPersonelId],$A232,tblAkis[FazlaMesaiSaat]),0))</f>
        <v/>
      </c>
    </row>
    <row r="233">
      <c r="A233" s="15" t="n"/>
      <c r="B233" s="15" t="n"/>
      <c r="C233" s="15" t="n"/>
      <c r="D233" s="15" t="n"/>
      <c r="E233" s="16" t="n"/>
      <c r="F233" s="16" t="n"/>
      <c r="G233" s="15" t="n"/>
      <c r="H233" s="17">
        <f>IF($A233="","",SUMIF(tblAkis[KaynakPersonelId],$A233,tblAkis[FazlaMesaiSaat]))</f>
        <v/>
      </c>
      <c r="I233" s="17">
        <f>IF($A233="","",IFERROR(AVERAGEIF(tblAkis[KaynakPersonelId],$A233,tblAkis[FazlaMesaiSaat]),0))</f>
        <v/>
      </c>
    </row>
    <row r="234">
      <c r="A234" s="15" t="n"/>
      <c r="B234" s="15" t="n"/>
      <c r="C234" s="15" t="n"/>
      <c r="D234" s="15" t="n"/>
      <c r="E234" s="16" t="n"/>
      <c r="F234" s="16" t="n"/>
      <c r="G234" s="15" t="n"/>
      <c r="H234" s="17">
        <f>IF($A234="","",SUMIF(tblAkis[KaynakPersonelId],$A234,tblAkis[FazlaMesaiSaat]))</f>
        <v/>
      </c>
      <c r="I234" s="17">
        <f>IF($A234="","",IFERROR(AVERAGEIF(tblAkis[KaynakPersonelId],$A234,tblAkis[FazlaMesaiSaat]),0))</f>
        <v/>
      </c>
    </row>
    <row r="235">
      <c r="A235" s="15" t="n"/>
      <c r="B235" s="15" t="n"/>
      <c r="C235" s="15" t="n"/>
      <c r="D235" s="15" t="n"/>
      <c r="E235" s="16" t="n"/>
      <c r="F235" s="16" t="n"/>
      <c r="G235" s="15" t="n"/>
      <c r="H235" s="17">
        <f>IF($A235="","",SUMIF(tblAkis[KaynakPersonelId],$A235,tblAkis[FazlaMesaiSaat]))</f>
        <v/>
      </c>
      <c r="I235" s="17">
        <f>IF($A235="","",IFERROR(AVERAGEIF(tblAkis[KaynakPersonelId],$A235,tblAkis[FazlaMesaiSaat]),0))</f>
        <v/>
      </c>
    </row>
    <row r="236">
      <c r="A236" s="15" t="n"/>
      <c r="B236" s="15" t="n"/>
      <c r="C236" s="15" t="n"/>
      <c r="D236" s="15" t="n"/>
      <c r="E236" s="16" t="n"/>
      <c r="F236" s="16" t="n"/>
      <c r="G236" s="15" t="n"/>
      <c r="H236" s="17">
        <f>IF($A236="","",SUMIF(tblAkis[KaynakPersonelId],$A236,tblAkis[FazlaMesaiSaat]))</f>
        <v/>
      </c>
      <c r="I236" s="17">
        <f>IF($A236="","",IFERROR(AVERAGEIF(tblAkis[KaynakPersonelId],$A236,tblAkis[FazlaMesaiSaat]),0))</f>
        <v/>
      </c>
    </row>
    <row r="237">
      <c r="A237" s="15" t="n"/>
      <c r="B237" s="15" t="n"/>
      <c r="C237" s="15" t="n"/>
      <c r="D237" s="15" t="n"/>
      <c r="E237" s="16" t="n"/>
      <c r="F237" s="16" t="n"/>
      <c r="G237" s="15" t="n"/>
      <c r="H237" s="17">
        <f>IF($A237="","",SUMIF(tblAkis[KaynakPersonelId],$A237,tblAkis[FazlaMesaiSaat]))</f>
        <v/>
      </c>
      <c r="I237" s="17">
        <f>IF($A237="","",IFERROR(AVERAGEIF(tblAkis[KaynakPersonelId],$A237,tblAkis[FazlaMesaiSaat]),0))</f>
        <v/>
      </c>
    </row>
    <row r="238">
      <c r="A238" s="15" t="n"/>
      <c r="B238" s="15" t="n"/>
      <c r="C238" s="15" t="n"/>
      <c r="D238" s="15" t="n"/>
      <c r="E238" s="16" t="n"/>
      <c r="F238" s="16" t="n"/>
      <c r="G238" s="15" t="n"/>
      <c r="H238" s="17">
        <f>IF($A238="","",SUMIF(tblAkis[KaynakPersonelId],$A238,tblAkis[FazlaMesaiSaat]))</f>
        <v/>
      </c>
      <c r="I238" s="17">
        <f>IF($A238="","",IFERROR(AVERAGEIF(tblAkis[KaynakPersonelId],$A238,tblAkis[FazlaMesaiSaat]),0))</f>
        <v/>
      </c>
    </row>
    <row r="239">
      <c r="A239" s="15" t="n"/>
      <c r="B239" s="15" t="n"/>
      <c r="C239" s="15" t="n"/>
      <c r="D239" s="15" t="n"/>
      <c r="E239" s="16" t="n"/>
      <c r="F239" s="16" t="n"/>
      <c r="G239" s="15" t="n"/>
      <c r="H239" s="17">
        <f>IF($A239="","",SUMIF(tblAkis[KaynakPersonelId],$A239,tblAkis[FazlaMesaiSaat]))</f>
        <v/>
      </c>
      <c r="I239" s="17">
        <f>IF($A239="","",IFERROR(AVERAGEIF(tblAkis[KaynakPersonelId],$A239,tblAkis[FazlaMesaiSaat]),0))</f>
        <v/>
      </c>
    </row>
    <row r="240">
      <c r="A240" s="15" t="n"/>
      <c r="B240" s="15" t="n"/>
      <c r="C240" s="15" t="n"/>
      <c r="D240" s="15" t="n"/>
      <c r="E240" s="16" t="n"/>
      <c r="F240" s="16" t="n"/>
      <c r="G240" s="15" t="n"/>
      <c r="H240" s="17">
        <f>IF($A240="","",SUMIF(tblAkis[KaynakPersonelId],$A240,tblAkis[FazlaMesaiSaat]))</f>
        <v/>
      </c>
      <c r="I240" s="17">
        <f>IF($A240="","",IFERROR(AVERAGEIF(tblAkis[KaynakPersonelId],$A240,tblAkis[FazlaMesaiSaat]),0))</f>
        <v/>
      </c>
    </row>
    <row r="241">
      <c r="A241" s="15" t="n"/>
      <c r="B241" s="15" t="n"/>
      <c r="C241" s="15" t="n"/>
      <c r="D241" s="15" t="n"/>
      <c r="E241" s="16" t="n"/>
      <c r="F241" s="16" t="n"/>
      <c r="G241" s="15" t="n"/>
      <c r="H241" s="17">
        <f>IF($A241="","",SUMIF(tblAkis[KaynakPersonelId],$A241,tblAkis[FazlaMesaiSaat]))</f>
        <v/>
      </c>
      <c r="I241" s="17">
        <f>IF($A241="","",IFERROR(AVERAGEIF(tblAkis[KaynakPersonelId],$A241,tblAkis[FazlaMesaiSaat]),0))</f>
        <v/>
      </c>
    </row>
    <row r="242">
      <c r="A242" s="15" t="n"/>
      <c r="B242" s="15" t="n"/>
      <c r="C242" s="15" t="n"/>
      <c r="D242" s="15" t="n"/>
      <c r="E242" s="16" t="n"/>
      <c r="F242" s="16" t="n"/>
      <c r="G242" s="15" t="n"/>
      <c r="H242" s="17">
        <f>IF($A242="","",SUMIF(tblAkis[KaynakPersonelId],$A242,tblAkis[FazlaMesaiSaat]))</f>
        <v/>
      </c>
      <c r="I242" s="17">
        <f>IF($A242="","",IFERROR(AVERAGEIF(tblAkis[KaynakPersonelId],$A242,tblAkis[FazlaMesaiSaat]),0))</f>
        <v/>
      </c>
    </row>
    <row r="243">
      <c r="A243" s="15" t="n"/>
      <c r="B243" s="15" t="n"/>
      <c r="C243" s="15" t="n"/>
      <c r="D243" s="15" t="n"/>
      <c r="E243" s="16" t="n"/>
      <c r="F243" s="16" t="n"/>
      <c r="G243" s="15" t="n"/>
      <c r="H243" s="17">
        <f>IF($A243="","",SUMIF(tblAkis[KaynakPersonelId],$A243,tblAkis[FazlaMesaiSaat]))</f>
        <v/>
      </c>
      <c r="I243" s="17">
        <f>IF($A243="","",IFERROR(AVERAGEIF(tblAkis[KaynakPersonelId],$A243,tblAkis[FazlaMesaiSaat]),0))</f>
        <v/>
      </c>
    </row>
    <row r="244">
      <c r="A244" s="15" t="n"/>
      <c r="B244" s="15" t="n"/>
      <c r="C244" s="15" t="n"/>
      <c r="D244" s="15" t="n"/>
      <c r="E244" s="16" t="n"/>
      <c r="F244" s="16" t="n"/>
      <c r="G244" s="15" t="n"/>
      <c r="H244" s="17">
        <f>IF($A244="","",SUMIF(tblAkis[KaynakPersonelId],$A244,tblAkis[FazlaMesaiSaat]))</f>
        <v/>
      </c>
      <c r="I244" s="17">
        <f>IF($A244="","",IFERROR(AVERAGEIF(tblAkis[KaynakPersonelId],$A244,tblAkis[FazlaMesaiSaat]),0))</f>
        <v/>
      </c>
    </row>
    <row r="245">
      <c r="A245" s="15" t="n"/>
      <c r="B245" s="15" t="n"/>
      <c r="C245" s="15" t="n"/>
      <c r="D245" s="15" t="n"/>
      <c r="E245" s="16" t="n"/>
      <c r="F245" s="16" t="n"/>
      <c r="G245" s="15" t="n"/>
      <c r="H245" s="17">
        <f>IF($A245="","",SUMIF(tblAkis[KaynakPersonelId],$A245,tblAkis[FazlaMesaiSaat]))</f>
        <v/>
      </c>
      <c r="I245" s="17">
        <f>IF($A245="","",IFERROR(AVERAGEIF(tblAkis[KaynakPersonelId],$A245,tblAkis[FazlaMesaiSaat]),0))</f>
        <v/>
      </c>
    </row>
    <row r="246">
      <c r="A246" s="15" t="n"/>
      <c r="B246" s="15" t="n"/>
      <c r="C246" s="15" t="n"/>
      <c r="D246" s="15" t="n"/>
      <c r="E246" s="16" t="n"/>
      <c r="F246" s="16" t="n"/>
      <c r="G246" s="15" t="n"/>
      <c r="H246" s="17">
        <f>IF($A246="","",SUMIF(tblAkis[KaynakPersonelId],$A246,tblAkis[FazlaMesaiSaat]))</f>
        <v/>
      </c>
      <c r="I246" s="17">
        <f>IF($A246="","",IFERROR(AVERAGEIF(tblAkis[KaynakPersonelId],$A246,tblAkis[FazlaMesaiSaat]),0))</f>
        <v/>
      </c>
    </row>
    <row r="247">
      <c r="A247" s="15" t="n"/>
      <c r="B247" s="15" t="n"/>
      <c r="C247" s="15" t="n"/>
      <c r="D247" s="15" t="n"/>
      <c r="E247" s="16" t="n"/>
      <c r="F247" s="16" t="n"/>
      <c r="G247" s="15" t="n"/>
      <c r="H247" s="17">
        <f>IF($A247="","",SUMIF(tblAkis[KaynakPersonelId],$A247,tblAkis[FazlaMesaiSaat]))</f>
        <v/>
      </c>
      <c r="I247" s="17">
        <f>IF($A247="","",IFERROR(AVERAGEIF(tblAkis[KaynakPersonelId],$A247,tblAkis[FazlaMesaiSaat]),0))</f>
        <v/>
      </c>
    </row>
    <row r="248">
      <c r="A248" s="15" t="n"/>
      <c r="B248" s="15" t="n"/>
      <c r="C248" s="15" t="n"/>
      <c r="D248" s="15" t="n"/>
      <c r="E248" s="16" t="n"/>
      <c r="F248" s="16" t="n"/>
      <c r="G248" s="15" t="n"/>
      <c r="H248" s="17">
        <f>IF($A248="","",SUMIF(tblAkis[KaynakPersonelId],$A248,tblAkis[FazlaMesaiSaat]))</f>
        <v/>
      </c>
      <c r="I248" s="17">
        <f>IF($A248="","",IFERROR(AVERAGEIF(tblAkis[KaynakPersonelId],$A248,tblAkis[FazlaMesaiSaat]),0))</f>
        <v/>
      </c>
    </row>
    <row r="249">
      <c r="A249" s="15" t="n"/>
      <c r="B249" s="15" t="n"/>
      <c r="C249" s="15" t="n"/>
      <c r="D249" s="15" t="n"/>
      <c r="E249" s="16" t="n"/>
      <c r="F249" s="16" t="n"/>
      <c r="G249" s="15" t="n"/>
      <c r="H249" s="17">
        <f>IF($A249="","",SUMIF(tblAkis[KaynakPersonelId],$A249,tblAkis[FazlaMesaiSaat]))</f>
        <v/>
      </c>
      <c r="I249" s="17">
        <f>IF($A249="","",IFERROR(AVERAGEIF(tblAkis[KaynakPersonelId],$A249,tblAkis[FazlaMesaiSaat]),0))</f>
        <v/>
      </c>
    </row>
    <row r="250">
      <c r="A250" s="15" t="n"/>
      <c r="B250" s="15" t="n"/>
      <c r="C250" s="15" t="n"/>
      <c r="D250" s="15" t="n"/>
      <c r="E250" s="16" t="n"/>
      <c r="F250" s="16" t="n"/>
      <c r="G250" s="15" t="n"/>
      <c r="H250" s="17">
        <f>IF($A250="","",SUMIF(tblAkis[KaynakPersonelId],$A250,tblAkis[FazlaMesaiSaat]))</f>
        <v/>
      </c>
      <c r="I250" s="17">
        <f>IF($A250="","",IFERROR(AVERAGEIF(tblAkis[KaynakPersonelId],$A250,tblAkis[FazlaMesaiSaat]),0))</f>
        <v/>
      </c>
    </row>
    <row r="251">
      <c r="A251" s="15" t="n"/>
      <c r="B251" s="15" t="n"/>
      <c r="C251" s="15" t="n"/>
      <c r="D251" s="15" t="n"/>
      <c r="E251" s="16" t="n"/>
      <c r="F251" s="16" t="n"/>
      <c r="G251" s="15" t="n"/>
      <c r="H251" s="17">
        <f>IF($A251="","",SUMIF(tblAkis[KaynakPersonelId],$A251,tblAkis[FazlaMesaiSaat]))</f>
        <v/>
      </c>
      <c r="I251" s="17">
        <f>IF($A251="","",IFERROR(AVERAGEIF(tblAkis[KaynakPersonelId],$A251,tblAkis[FazlaMesaiSaat]),0))</f>
        <v/>
      </c>
    </row>
    <row r="252">
      <c r="A252" s="15" t="n"/>
      <c r="B252" s="15" t="n"/>
      <c r="C252" s="15" t="n"/>
      <c r="D252" s="15" t="n"/>
      <c r="E252" s="16" t="n"/>
      <c r="F252" s="16" t="n"/>
      <c r="G252" s="15" t="n"/>
      <c r="H252" s="17">
        <f>IF($A252="","",SUMIF(tblAkis[KaynakPersonelId],$A252,tblAkis[FazlaMesaiSaat]))</f>
        <v/>
      </c>
      <c r="I252" s="17">
        <f>IF($A252="","",IFERROR(AVERAGEIF(tblAkis[KaynakPersonelId],$A252,tblAkis[FazlaMesaiSaat]),0))</f>
        <v/>
      </c>
    </row>
    <row r="253">
      <c r="A253" s="15" t="n"/>
      <c r="B253" s="15" t="n"/>
      <c r="C253" s="15" t="n"/>
      <c r="D253" s="15" t="n"/>
      <c r="E253" s="16" t="n"/>
      <c r="F253" s="16" t="n"/>
      <c r="G253" s="15" t="n"/>
      <c r="H253" s="17">
        <f>IF($A253="","",SUMIF(tblAkis[KaynakPersonelId],$A253,tblAkis[FazlaMesaiSaat]))</f>
        <v/>
      </c>
      <c r="I253" s="17">
        <f>IF($A253="","",IFERROR(AVERAGEIF(tblAkis[KaynakPersonelId],$A253,tblAkis[FazlaMesaiSaat]),0))</f>
        <v/>
      </c>
    </row>
    <row r="254">
      <c r="A254" s="15" t="n"/>
      <c r="B254" s="15" t="n"/>
      <c r="C254" s="15" t="n"/>
      <c r="D254" s="15" t="n"/>
      <c r="E254" s="16" t="n"/>
      <c r="F254" s="16" t="n"/>
      <c r="G254" s="15" t="n"/>
      <c r="H254" s="17">
        <f>IF($A254="","",SUMIF(tblAkis[KaynakPersonelId],$A254,tblAkis[FazlaMesaiSaat]))</f>
        <v/>
      </c>
      <c r="I254" s="17">
        <f>IF($A254="","",IFERROR(AVERAGEIF(tblAkis[KaynakPersonelId],$A254,tblAkis[FazlaMesaiSaat]),0))</f>
        <v/>
      </c>
    </row>
    <row r="255">
      <c r="A255" s="15" t="n"/>
      <c r="B255" s="15" t="n"/>
      <c r="C255" s="15" t="n"/>
      <c r="D255" s="15" t="n"/>
      <c r="E255" s="16" t="n"/>
      <c r="F255" s="16" t="n"/>
      <c r="G255" s="15" t="n"/>
      <c r="H255" s="17">
        <f>IF($A255="","",SUMIF(tblAkis[KaynakPersonelId],$A255,tblAkis[FazlaMesaiSaat]))</f>
        <v/>
      </c>
      <c r="I255" s="17">
        <f>IF($A255="","",IFERROR(AVERAGEIF(tblAkis[KaynakPersonelId],$A255,tblAkis[FazlaMesaiSaat]),0))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G6:G255">
    <cfRule type="cellIs" priority="1" operator="equal" dxfId="0">
      <formula>"HAYIR"</formula>
    </cfRule>
  </conditionalFormatting>
  <conditionalFormatting sqref="F6:F255">
    <cfRule type="cellIs" priority="2" operator="greaterThan" dxfId="1">
      <formula>270</formula>
    </cfRule>
  </conditionalFormatting>
  <dataValidations count="7">
    <dataValidation sqref="A6:A255" showDropDown="0" showInputMessage="1" showErrorMessage="1" allowBlank="1" errorTitle="Kimlik" error="En az 1 karakter" promptTitle="Personel Kimliği" prompt="PER-##### girin" type="textLength" errorStyle="stop" operator="greaterThan">
      <formula1>1</formula1>
      <formula2>40</formula2>
    </dataValidation>
    <dataValidation sqref="B6:B255" showDropDown="0" showInputMessage="1" showErrorMessage="1" allowBlank="1" errorTitle="Ad Soyad" error="Geçersiz" promptTitle="Ad Soyad" prompt="Ad Soy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Departman" error="Geçersiz" promptTitle="Departman" prompt="Departman girin" type="textLength" errorStyle="stop" operator="greaterThanOrEqual">
      <formula1>0</formula1>
      <formula2>80</formula2>
    </dataValidation>
    <dataValidation sqref="D6:D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E6:E255" showDropDown="0" showInputMessage="1" showErrorMessage="1" allowBlank="1" errorTitle="Saat" error="0 veya üzeri" promptTitle="Haftalık Normal" prompt="Saat ≥ 0" type="decimal" errorStyle="stop" operator="greaterThanOrEqual">
      <formula1>0</formula1>
    </dataValidation>
    <dataValidation sqref="F6:F255" showDropDown="0" showInputMessage="1" showErrorMessage="1" allowBlank="1" errorTitle="Tavan" error="0 veya üzeri" promptTitle="Yıllık Tavan" prompt="Saat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W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20.5" customWidth="1" min="2" max="2"/>
    <col width="23.5" customWidth="1" min="3" max="3"/>
    <col width="13.5" customWidth="1" min="4" max="4"/>
    <col width="13.5" customWidth="1" min="5" max="5"/>
    <col width="21.5" customWidth="1" min="6" max="6"/>
    <col width="18.5" customWidth="1" min="7" max="7"/>
    <col width="12.5" customWidth="1" min="8" max="8"/>
    <col width="15.5" customWidth="1" min="9" max="9"/>
    <col width="12" customWidth="1" min="10" max="10"/>
    <col width="13.5" customWidth="1" min="11" max="11"/>
    <col width="12" customWidth="1" min="12" max="12"/>
    <col width="19.5" customWidth="1" min="13" max="13"/>
    <col width="14.5" customWidth="1" min="14" max="14"/>
    <col width="13.5" customWidth="1" min="15" max="15"/>
    <col width="16.5" customWidth="1" min="16" max="16"/>
    <col width="14.5" customWidth="1" min="17" max="17"/>
    <col width="12" customWidth="1" min="18" max="18"/>
    <col width="15.5" customWidth="1" min="19" max="19"/>
    <col width="16.5" customWidth="1" min="20" max="20"/>
    <col width="16.5" customWidth="1" min="21" max="21"/>
    <col width="13.5" customWidth="1" min="22" max="22"/>
    <col width="13.5" customWidth="1" min="23" max="23"/>
    <col width="13" customWidth="1" min="24" max="24"/>
  </cols>
  <sheetData>
    <row r="1" ht="32" customHeight="1">
      <c r="A1" s="187" t="inlineStr">
        <is>
          <t>AKIS — Puantaj-Vardiya-Fazla Mesai Kanıt Sistemi</t>
        </is>
      </c>
    </row>
    <row r="2"/>
    <row r="3" ht="22" customHeight="1">
      <c r="A3" s="207" t="inlineStr">
        <is>
          <t>Puantaj satırları — durum makinesi + yetim + geçersiz geçiş + zincir</t>
        </is>
      </c>
    </row>
    <row r="4"/>
    <row r="5" ht="30" customHeight="1">
      <c r="A5" s="14" t="inlineStr">
        <is>
          <t>PuantajId</t>
        </is>
      </c>
      <c r="B5" s="14" t="inlineStr">
        <is>
          <t>KaynakPersonelId</t>
        </is>
      </c>
      <c r="C5" s="14" t="inlineStr">
        <is>
          <t>Tarih</t>
        </is>
      </c>
      <c r="D5" s="14" t="inlineStr">
        <is>
          <t>GirisSaat</t>
        </is>
      </c>
      <c r="E5" s="14" t="inlineStr">
        <is>
          <t>CikisSaat</t>
        </is>
      </c>
      <c r="F5" s="14" t="inlineStr">
        <is>
          <t>PlanliVardiyaSaat</t>
        </is>
      </c>
      <c r="G5" s="14" t="inlineStr">
        <is>
          <t>FazlaMesaiSaat</t>
        </is>
      </c>
      <c r="H5" s="14" t="inlineStr">
        <is>
          <t>IzinTuru</t>
        </is>
      </c>
      <c r="I5" s="14" t="inlineStr">
        <is>
          <t>OncekiDurum</t>
        </is>
      </c>
      <c r="J5" s="14" t="inlineStr">
        <is>
          <t>Durum</t>
        </is>
      </c>
      <c r="K5" s="14" t="inlineStr">
        <is>
          <t>ImzaKanit</t>
        </is>
      </c>
      <c r="L5" s="14" t="inlineStr">
        <is>
          <t>YorumA</t>
        </is>
      </c>
      <c r="M5" s="14" t="inlineStr">
        <is>
          <t>YorumB</t>
        </is>
      </c>
      <c r="N5" s="14" t="inlineStr">
        <is>
          <t>SaatUcreti</t>
        </is>
      </c>
      <c r="O5" s="14" t="inlineStr">
        <is>
          <t>FiiliSaat</t>
        </is>
      </c>
      <c r="P5" s="14" t="inlineStr">
        <is>
          <t>HesaplananFm</t>
        </is>
      </c>
      <c r="Q5" s="14" t="inlineStr">
        <is>
          <t>GecikmeGun</t>
        </is>
      </c>
      <c r="R5" s="14" t="inlineStr">
        <is>
          <t>YasKova</t>
        </is>
      </c>
      <c r="S5" s="14" t="inlineStr">
        <is>
          <t>YetimBayrak</t>
        </is>
      </c>
      <c r="T5" s="14" t="inlineStr">
        <is>
          <t>GecisUyarisi</t>
        </is>
      </c>
      <c r="U5" s="14" t="inlineStr">
        <is>
          <t>ZincirBayrak</t>
        </is>
      </c>
      <c r="V5" s="14" t="inlineStr">
        <is>
          <t>KayitDolu</t>
        </is>
      </c>
      <c r="W5" s="14" t="inlineStr">
        <is>
          <t>FmMaliyet</t>
        </is>
      </c>
    </row>
    <row r="6">
      <c r="A6" s="15" t="inlineStr">
        <is>
          <t>PUA-00001</t>
        </is>
      </c>
      <c r="B6" s="15" t="inlineStr">
        <is>
          <t>PER-00001</t>
        </is>
      </c>
      <c r="C6" s="66" t="n">
        <v>46243</v>
      </c>
      <c r="D6" s="16" t="n">
        <v>8</v>
      </c>
      <c r="E6" s="16" t="n">
        <v>17</v>
      </c>
      <c r="F6" s="16" t="n">
        <v>8</v>
      </c>
      <c r="G6" s="16" t="n">
        <v>1</v>
      </c>
      <c r="H6" s="15" t="inlineStr">
        <is>
          <t>YILLIK</t>
        </is>
      </c>
      <c r="I6" s="15" t="n"/>
      <c r="J6" s="15" t="inlineStr">
        <is>
          <t>TASLAK</t>
        </is>
      </c>
      <c r="K6" s="15" t="n"/>
      <c r="L6" s="15" t="inlineStr">
        <is>
          <t>A</t>
        </is>
      </c>
      <c r="M6" s="15" t="inlineStr">
        <is>
          <t>Puantaj notu 1</t>
        </is>
      </c>
      <c r="N6" s="67" t="n">
        <v>130</v>
      </c>
      <c r="O6" s="17">
        <f>IF($A6="","",MAX(0,$E6-$D6))</f>
        <v/>
      </c>
      <c r="P6" s="17">
        <f>IF($A6="","",MAX(0,$O6-$F6))</f>
        <v/>
      </c>
      <c r="Q6" s="17">
        <f>IF($A6="","",IF(OR($J6="ARSIV",$J6="RED"),0,IF($C6="","",raporTarihi-$C6)))</f>
        <v/>
      </c>
      <c r="R6" s="17">
        <f>IF($A6="","",IF($Q6="","",IF($Q6&lt;=pvf_kovaEsik1,"0-7",IF($Q6&lt;=pvf_kovaEsik2,"8-30",IF($Q6&lt;=pvf_kovaEsik3,"31-60","60+")))))</f>
        <v/>
      </c>
      <c r="S6" s="17">
        <f>IF($A6="","",IF($B6="","YETİM",IF(COUNTIF(tblPersonel[PersonelId],$B6)=0,"YETİM","")))</f>
        <v/>
      </c>
      <c r="T6" s="17">
        <f>IF(OR($A6="",$I6=""),"",IF(OR($I6&amp;"|"&amp;$J6="",COUNTIF(ListeIzinliGecis,$I6&amp;"|"&amp;$J6)&gt;0),"","GEÇERSİZ GEÇİŞ"))</f>
        <v/>
      </c>
      <c r="U6" s="17">
        <f>IF($A6="","",IF(OR($P6="",$G6=""),"",IF(ABS($G6-$P6)&gt;zincirTolerans,"ZİNCİR KIRIK","OK")))</f>
        <v/>
      </c>
      <c r="V6" s="17">
        <f>IF($A6="","",1)</f>
        <v/>
      </c>
      <c r="W6" s="17">
        <f>IF($A6="","",$G6*$N6*pvf_mesaiKatsayi)</f>
        <v/>
      </c>
    </row>
    <row r="7">
      <c r="A7" s="15" t="inlineStr">
        <is>
          <t>PUA-00002</t>
        </is>
      </c>
      <c r="B7" s="15" t="inlineStr">
        <is>
          <t>PER-00002</t>
        </is>
      </c>
      <c r="C7" s="66" t="n">
        <v>46241</v>
      </c>
      <c r="D7" s="16" t="n">
        <v>8</v>
      </c>
      <c r="E7" s="16" t="n">
        <v>16.5</v>
      </c>
      <c r="F7" s="16" t="n">
        <v>8</v>
      </c>
      <c r="G7" s="16" t="n">
        <v>0.5</v>
      </c>
      <c r="H7" s="15" t="inlineStr">
        <is>
          <t>MAZERET</t>
        </is>
      </c>
      <c r="I7" s="15" t="inlineStr">
        <is>
          <t>TASLAK</t>
        </is>
      </c>
      <c r="J7" s="15" t="inlineStr">
        <is>
          <t>KONTROL</t>
        </is>
      </c>
      <c r="K7" s="15" t="n"/>
      <c r="L7" s="15" t="inlineStr">
        <is>
          <t>B</t>
        </is>
      </c>
      <c r="M7" s="15" t="inlineStr">
        <is>
          <t>Puantaj notu 2</t>
        </is>
      </c>
      <c r="N7" s="67" t="n">
        <v>140</v>
      </c>
      <c r="O7" s="17">
        <f>IF($A7="","",MAX(0,$E7-$D7))</f>
        <v/>
      </c>
      <c r="P7" s="17">
        <f>IF($A7="","",MAX(0,$O7-$F7))</f>
        <v/>
      </c>
      <c r="Q7" s="17">
        <f>IF($A7="","",IF(OR($J7="ARSIV",$J7="RED"),0,IF($C7="","",raporTarihi-$C7)))</f>
        <v/>
      </c>
      <c r="R7" s="17">
        <f>IF($A7="","",IF($Q7="","",IF($Q7&lt;=pvf_kovaEsik1,"0-7",IF($Q7&lt;=pvf_kovaEsik2,"8-30",IF($Q7&lt;=pvf_kovaEsik3,"31-60","60+")))))</f>
        <v/>
      </c>
      <c r="S7" s="17">
        <f>IF($A7="","",IF($B7="","YETİM",IF(COUNTIF(tblPersonel[PersonelId],$B7)=0,"YETİM","")))</f>
        <v/>
      </c>
      <c r="T7" s="17">
        <f>IF(OR($A7="",$I7=""),"",IF(OR($I7&amp;"|"&amp;$J7="",COUNTIF(ListeIzinliGecis,$I7&amp;"|"&amp;$J7)&gt;0),"","GEÇERSİZ GEÇİŞ"))</f>
        <v/>
      </c>
      <c r="U7" s="17">
        <f>IF($A7="","",IF(OR($P7="",$G7=""),"",IF(ABS($G7-$P7)&gt;zincirTolerans,"ZİNCİR KIRIK","OK")))</f>
        <v/>
      </c>
      <c r="V7" s="17">
        <f>IF($A7="","",1)</f>
        <v/>
      </c>
      <c r="W7" s="17">
        <f>IF($A7="","",$G7*$N7*pvf_mesaiKatsayi)</f>
        <v/>
      </c>
    </row>
    <row r="8">
      <c r="A8" s="15" t="inlineStr">
        <is>
          <t>PUA-00003</t>
        </is>
      </c>
      <c r="B8" s="15" t="inlineStr">
        <is>
          <t>PER-00003</t>
        </is>
      </c>
      <c r="C8" s="66" t="n">
        <v>46239</v>
      </c>
      <c r="D8" s="16" t="n">
        <v>8</v>
      </c>
      <c r="E8" s="16" t="n">
        <v>18</v>
      </c>
      <c r="F8" s="16" t="n">
        <v>8</v>
      </c>
      <c r="G8" s="16" t="n">
        <v>2</v>
      </c>
      <c r="H8" s="15" t="inlineStr">
        <is>
          <t>RAPOR</t>
        </is>
      </c>
      <c r="I8" s="15" t="inlineStr">
        <is>
          <t>KONTROL</t>
        </is>
      </c>
      <c r="J8" s="15" t="inlineStr">
        <is>
          <t>ONAY</t>
        </is>
      </c>
      <c r="K8" s="15" t="inlineStr">
        <is>
          <t>İMZA-003</t>
        </is>
      </c>
      <c r="L8" s="15" t="inlineStr">
        <is>
          <t>A</t>
        </is>
      </c>
      <c r="M8" s="15" t="inlineStr">
        <is>
          <t>Puantaj notu 3</t>
        </is>
      </c>
      <c r="N8" s="67" t="n">
        <v>150</v>
      </c>
      <c r="O8" s="17">
        <f>IF($A8="","",MAX(0,$E8-$D8))</f>
        <v/>
      </c>
      <c r="P8" s="17">
        <f>IF($A8="","",MAX(0,$O8-$F8))</f>
        <v/>
      </c>
      <c r="Q8" s="17">
        <f>IF($A8="","",IF(OR($J8="ARSIV",$J8="RED"),0,IF($C8="","",raporTarihi-$C8)))</f>
        <v/>
      </c>
      <c r="R8" s="17">
        <f>IF($A8="","",IF($Q8="","",IF($Q8&lt;=pvf_kovaEsik1,"0-7",IF($Q8&lt;=pvf_kovaEsik2,"8-30",IF($Q8&lt;=pvf_kovaEsik3,"31-60","60+")))))</f>
        <v/>
      </c>
      <c r="S8" s="17">
        <f>IF($A8="","",IF($B8="","YETİM",IF(COUNTIF(tblPersonel[PersonelId],$B8)=0,"YETİM","")))</f>
        <v/>
      </c>
      <c r="T8" s="17">
        <f>IF(OR($A8="",$I8=""),"",IF(OR($I8&amp;"|"&amp;$J8="",COUNTIF(ListeIzinliGecis,$I8&amp;"|"&amp;$J8)&gt;0),"","GEÇERSİZ GEÇİŞ"))</f>
        <v/>
      </c>
      <c r="U8" s="17">
        <f>IF($A8="","",IF(OR($P8="",$G8=""),"",IF(ABS($G8-$P8)&gt;zincirTolerans,"ZİNCİR KIRIK","OK")))</f>
        <v/>
      </c>
      <c r="V8" s="17">
        <f>IF($A8="","",1)</f>
        <v/>
      </c>
      <c r="W8" s="17">
        <f>IF($A8="","",$G8*$N8*pvf_mesaiKatsayi)</f>
        <v/>
      </c>
    </row>
    <row r="9">
      <c r="A9" s="15" t="inlineStr">
        <is>
          <t>PUA-00004</t>
        </is>
      </c>
      <c r="B9" s="15" t="inlineStr">
        <is>
          <t>PER-00004</t>
        </is>
      </c>
      <c r="C9" s="66" t="n">
        <v>46237</v>
      </c>
      <c r="D9" s="16" t="n">
        <v>8</v>
      </c>
      <c r="E9" s="16" t="n">
        <v>17</v>
      </c>
      <c r="F9" s="16" t="n">
        <v>8</v>
      </c>
      <c r="G9" s="16" t="n">
        <v>1</v>
      </c>
      <c r="H9" s="15" t="inlineStr">
        <is>
          <t>UCRETSIZ</t>
        </is>
      </c>
      <c r="I9" s="15" t="inlineStr">
        <is>
          <t>ONAY</t>
        </is>
      </c>
      <c r="J9" s="15" t="inlineStr">
        <is>
          <t>ARSIV</t>
        </is>
      </c>
      <c r="K9" s="15" t="inlineStr">
        <is>
          <t>İMZA-004</t>
        </is>
      </c>
      <c r="L9" s="15" t="inlineStr">
        <is>
          <t>B</t>
        </is>
      </c>
      <c r="M9" s="15" t="inlineStr">
        <is>
          <t>Puantaj notu 4</t>
        </is>
      </c>
      <c r="N9" s="67" t="n">
        <v>160</v>
      </c>
      <c r="O9" s="17">
        <f>IF($A9="","",MAX(0,$E9-$D9))</f>
        <v/>
      </c>
      <c r="P9" s="17">
        <f>IF($A9="","",MAX(0,$O9-$F9))</f>
        <v/>
      </c>
      <c r="Q9" s="17">
        <f>IF($A9="","",IF(OR($J9="ARSIV",$J9="RED"),0,IF($C9="","",raporTarihi-$C9)))</f>
        <v/>
      </c>
      <c r="R9" s="17">
        <f>IF($A9="","",IF($Q9="","",IF($Q9&lt;=pvf_kovaEsik1,"0-7",IF($Q9&lt;=pvf_kovaEsik2,"8-30",IF($Q9&lt;=pvf_kovaEsik3,"31-60","60+")))))</f>
        <v/>
      </c>
      <c r="S9" s="17">
        <f>IF($A9="","",IF($B9="","YETİM",IF(COUNTIF(tblPersonel[PersonelId],$B9)=0,"YETİM","")))</f>
        <v/>
      </c>
      <c r="T9" s="17">
        <f>IF(OR($A9="",$I9=""),"",IF(OR($I9&amp;"|"&amp;$J9="",COUNTIF(ListeIzinliGecis,$I9&amp;"|"&amp;$J9)&gt;0),"","GEÇERSİZ GEÇİŞ"))</f>
        <v/>
      </c>
      <c r="U9" s="17">
        <f>IF($A9="","",IF(OR($P9="",$G9=""),"",IF(ABS($G9-$P9)&gt;zincirTolerans,"ZİNCİR KIRIK","OK")))</f>
        <v/>
      </c>
      <c r="V9" s="17">
        <f>IF($A9="","",1)</f>
        <v/>
      </c>
      <c r="W9" s="17">
        <f>IF($A9="","",$G9*$N9*pvf_mesaiKatsayi)</f>
        <v/>
      </c>
    </row>
    <row r="10">
      <c r="A10" s="15" t="inlineStr">
        <is>
          <t>PUA-00005</t>
        </is>
      </c>
      <c r="B10" s="15" t="inlineStr">
        <is>
          <t>PER-00005</t>
        </is>
      </c>
      <c r="C10" s="66" t="n">
        <v>46235</v>
      </c>
      <c r="D10" s="16" t="n">
        <v>8</v>
      </c>
      <c r="E10" s="16" t="n">
        <v>16.5</v>
      </c>
      <c r="F10" s="16" t="n">
        <v>8</v>
      </c>
      <c r="G10" s="16" t="n">
        <v>0.5</v>
      </c>
      <c r="H10" s="15" t="inlineStr">
        <is>
          <t>YOK</t>
        </is>
      </c>
      <c r="I10" s="15" t="inlineStr">
        <is>
          <t>TASLAK</t>
        </is>
      </c>
      <c r="J10" s="15" t="inlineStr">
        <is>
          <t>RED</t>
        </is>
      </c>
      <c r="K10" s="15" t="n"/>
      <c r="L10" s="15" t="inlineStr">
        <is>
          <t>A</t>
        </is>
      </c>
      <c r="M10" s="15" t="inlineStr">
        <is>
          <t>Puantaj notu 5</t>
        </is>
      </c>
      <c r="N10" s="67" t="n">
        <v>120</v>
      </c>
      <c r="O10" s="17">
        <f>IF($A10="","",MAX(0,$E10-$D10))</f>
        <v/>
      </c>
      <c r="P10" s="17">
        <f>IF($A10="","",MAX(0,$O10-$F10))</f>
        <v/>
      </c>
      <c r="Q10" s="17">
        <f>IF($A10="","",IF(OR($J10="ARSIV",$J10="RED"),0,IF($C10="","",raporTarihi-$C10)))</f>
        <v/>
      </c>
      <c r="R10" s="17">
        <f>IF($A10="","",IF($Q10="","",IF($Q10&lt;=pvf_kovaEsik1,"0-7",IF($Q10&lt;=pvf_kovaEsik2,"8-30",IF($Q10&lt;=pvf_kovaEsik3,"31-60","60+")))))</f>
        <v/>
      </c>
      <c r="S10" s="17">
        <f>IF($A10="","",IF($B10="","YETİM",IF(COUNTIF(tblPersonel[PersonelId],$B10)=0,"YETİM","")))</f>
        <v/>
      </c>
      <c r="T10" s="17">
        <f>IF(OR($A10="",$I10=""),"",IF(OR($I10&amp;"|"&amp;$J10="",COUNTIF(ListeIzinliGecis,$I10&amp;"|"&amp;$J10)&gt;0),"","GEÇERSİZ GEÇİŞ"))</f>
        <v/>
      </c>
      <c r="U10" s="17">
        <f>IF($A10="","",IF(OR($P10="",$G10=""),"",IF(ABS($G10-$P10)&gt;zincirTolerans,"ZİNCİR KIRIK","OK")))</f>
        <v/>
      </c>
      <c r="V10" s="17">
        <f>IF($A10="","",1)</f>
        <v/>
      </c>
      <c r="W10" s="17">
        <f>IF($A10="","",$G10*$N10*pvf_mesaiKatsayi)</f>
        <v/>
      </c>
    </row>
    <row r="11">
      <c r="A11" s="15" t="inlineStr">
        <is>
          <t>PUA-00006</t>
        </is>
      </c>
      <c r="B11" s="15" t="inlineStr">
        <is>
          <t>PER-00006</t>
        </is>
      </c>
      <c r="C11" s="66" t="n">
        <v>46233</v>
      </c>
      <c r="D11" s="16" t="n">
        <v>8</v>
      </c>
      <c r="E11" s="16" t="n">
        <v>18</v>
      </c>
      <c r="F11" s="16" t="n">
        <v>8</v>
      </c>
      <c r="G11" s="16" t="n">
        <v>2</v>
      </c>
      <c r="H11" s="15" t="inlineStr">
        <is>
          <t>YILLIK</t>
        </is>
      </c>
      <c r="I11" s="15" t="inlineStr">
        <is>
          <t>TASLAK</t>
        </is>
      </c>
      <c r="J11" s="15" t="inlineStr">
        <is>
          <t>KONTROL</t>
        </is>
      </c>
      <c r="K11" s="15" t="n"/>
      <c r="L11" s="15" t="inlineStr">
        <is>
          <t>B</t>
        </is>
      </c>
      <c r="M11" s="15" t="inlineStr">
        <is>
          <t>Puantaj notu 6</t>
        </is>
      </c>
      <c r="N11" s="67" t="n">
        <v>130</v>
      </c>
      <c r="O11" s="17">
        <f>IF($A11="","",MAX(0,$E11-$D11))</f>
        <v/>
      </c>
      <c r="P11" s="17">
        <f>IF($A11="","",MAX(0,$O11-$F11))</f>
        <v/>
      </c>
      <c r="Q11" s="17">
        <f>IF($A11="","",IF(OR($J11="ARSIV",$J11="RED"),0,IF($C11="","",raporTarihi-$C11)))</f>
        <v/>
      </c>
      <c r="R11" s="17">
        <f>IF($A11="","",IF($Q11="","",IF($Q11&lt;=pvf_kovaEsik1,"0-7",IF($Q11&lt;=pvf_kovaEsik2,"8-30",IF($Q11&lt;=pvf_kovaEsik3,"31-60","60+")))))</f>
        <v/>
      </c>
      <c r="S11" s="17">
        <f>IF($A11="","",IF($B11="","YETİM",IF(COUNTIF(tblPersonel[PersonelId],$B11)=0,"YETİM","")))</f>
        <v/>
      </c>
      <c r="T11" s="17">
        <f>IF(OR($A11="",$I11=""),"",IF(OR($I11&amp;"|"&amp;$J11="",COUNTIF(ListeIzinliGecis,$I11&amp;"|"&amp;$J11)&gt;0),"","GEÇERSİZ GEÇİŞ"))</f>
        <v/>
      </c>
      <c r="U11" s="17">
        <f>IF($A11="","",IF(OR($P11="",$G11=""),"",IF(ABS($G11-$P11)&gt;zincirTolerans,"ZİNCİR KIRIK","OK")))</f>
        <v/>
      </c>
      <c r="V11" s="17">
        <f>IF($A11="","",1)</f>
        <v/>
      </c>
      <c r="W11" s="17">
        <f>IF($A11="","",$G11*$N11*pvf_mesaiKatsayi)</f>
        <v/>
      </c>
    </row>
    <row r="12">
      <c r="A12" s="15" t="inlineStr">
        <is>
          <t>PUA-00007</t>
        </is>
      </c>
      <c r="B12" s="15" t="inlineStr">
        <is>
          <t>PER-00007</t>
        </is>
      </c>
      <c r="C12" s="66" t="n">
        <v>46231</v>
      </c>
      <c r="D12" s="16" t="n">
        <v>8</v>
      </c>
      <c r="E12" s="16" t="n">
        <v>17</v>
      </c>
      <c r="F12" s="16" t="n">
        <v>8</v>
      </c>
      <c r="G12" s="16" t="n">
        <v>1</v>
      </c>
      <c r="H12" s="15" t="inlineStr">
        <is>
          <t>MAZERET</t>
        </is>
      </c>
      <c r="I12" s="15" t="inlineStr">
        <is>
          <t>KONTROL</t>
        </is>
      </c>
      <c r="J12" s="15" t="inlineStr">
        <is>
          <t>ONAY</t>
        </is>
      </c>
      <c r="K12" s="15" t="inlineStr">
        <is>
          <t>İMZA-007</t>
        </is>
      </c>
      <c r="L12" s="15" t="inlineStr">
        <is>
          <t>A</t>
        </is>
      </c>
      <c r="M12" s="15" t="inlineStr">
        <is>
          <t>Puantaj notu 7</t>
        </is>
      </c>
      <c r="N12" s="67" t="n">
        <v>140</v>
      </c>
      <c r="O12" s="17">
        <f>IF($A12="","",MAX(0,$E12-$D12))</f>
        <v/>
      </c>
      <c r="P12" s="17">
        <f>IF($A12="","",MAX(0,$O12-$F12))</f>
        <v/>
      </c>
      <c r="Q12" s="17">
        <f>IF($A12="","",IF(OR($J12="ARSIV",$J12="RED"),0,IF($C12="","",raporTarihi-$C12)))</f>
        <v/>
      </c>
      <c r="R12" s="17">
        <f>IF($A12="","",IF($Q12="","",IF($Q12&lt;=pvf_kovaEsik1,"0-7",IF($Q12&lt;=pvf_kovaEsik2,"8-30",IF($Q12&lt;=pvf_kovaEsik3,"31-60","60+")))))</f>
        <v/>
      </c>
      <c r="S12" s="17">
        <f>IF($A12="","",IF($B12="","YETİM",IF(COUNTIF(tblPersonel[PersonelId],$B12)=0,"YETİM","")))</f>
        <v/>
      </c>
      <c r="T12" s="17">
        <f>IF(OR($A12="",$I12=""),"",IF(OR($I12&amp;"|"&amp;$J12="",COUNTIF(ListeIzinliGecis,$I12&amp;"|"&amp;$J12)&gt;0),"","GEÇERSİZ GEÇİŞ"))</f>
        <v/>
      </c>
      <c r="U12" s="17">
        <f>IF($A12="","",IF(OR($P12="",$G12=""),"",IF(ABS($G12-$P12)&gt;zincirTolerans,"ZİNCİR KIRIK","OK")))</f>
        <v/>
      </c>
      <c r="V12" s="17">
        <f>IF($A12="","",1)</f>
        <v/>
      </c>
      <c r="W12" s="17">
        <f>IF($A12="","",$G12*$N12*pvf_mesaiKatsayi)</f>
        <v/>
      </c>
    </row>
    <row r="13">
      <c r="A13" s="15" t="inlineStr">
        <is>
          <t>PUA-00008</t>
        </is>
      </c>
      <c r="B13" s="15" t="inlineStr">
        <is>
          <t>PER-00008</t>
        </is>
      </c>
      <c r="C13" s="66" t="n">
        <v>46229</v>
      </c>
      <c r="D13" s="16" t="n">
        <v>8</v>
      </c>
      <c r="E13" s="16" t="n">
        <v>16.5</v>
      </c>
      <c r="F13" s="16" t="n">
        <v>8</v>
      </c>
      <c r="G13" s="16" t="n">
        <v>0.5</v>
      </c>
      <c r="H13" s="15" t="inlineStr">
        <is>
          <t>RAPOR</t>
        </is>
      </c>
      <c r="I13" s="15" t="inlineStr">
        <is>
          <t>TASLAK</t>
        </is>
      </c>
      <c r="J13" s="15" t="inlineStr">
        <is>
          <t>TASLAK</t>
        </is>
      </c>
      <c r="K13" s="15" t="n"/>
      <c r="L13" s="15" t="inlineStr">
        <is>
          <t>B</t>
        </is>
      </c>
      <c r="M13" s="15" t="inlineStr">
        <is>
          <t>Puantaj notu 8</t>
        </is>
      </c>
      <c r="N13" s="67" t="n">
        <v>150</v>
      </c>
      <c r="O13" s="17">
        <f>IF($A13="","",MAX(0,$E13-$D13))</f>
        <v/>
      </c>
      <c r="P13" s="17">
        <f>IF($A13="","",MAX(0,$O13-$F13))</f>
        <v/>
      </c>
      <c r="Q13" s="17">
        <f>IF($A13="","",IF(OR($J13="ARSIV",$J13="RED"),0,IF($C13="","",raporTarihi-$C13)))</f>
        <v/>
      </c>
      <c r="R13" s="17">
        <f>IF($A13="","",IF($Q13="","",IF($Q13&lt;=pvf_kovaEsik1,"0-7",IF($Q13&lt;=pvf_kovaEsik2,"8-30",IF($Q13&lt;=pvf_kovaEsik3,"31-60","60+")))))</f>
        <v/>
      </c>
      <c r="S13" s="17">
        <f>IF($A13="","",IF($B13="","YETİM",IF(COUNTIF(tblPersonel[PersonelId],$B13)=0,"YETİM","")))</f>
        <v/>
      </c>
      <c r="T13" s="17">
        <f>IF(OR($A13="",$I13=""),"",IF(OR($I13&amp;"|"&amp;$J13="",COUNTIF(ListeIzinliGecis,$I13&amp;"|"&amp;$J13)&gt;0),"","GEÇERSİZ GEÇİŞ"))</f>
        <v/>
      </c>
      <c r="U13" s="17">
        <f>IF($A13="","",IF(OR($P13="",$G13=""),"",IF(ABS($G13-$P13)&gt;zincirTolerans,"ZİNCİR KIRIK","OK")))</f>
        <v/>
      </c>
      <c r="V13" s="17">
        <f>IF($A13="","",1)</f>
        <v/>
      </c>
      <c r="W13" s="17">
        <f>IF($A13="","",$G13*$N13*pvf_mesaiKatsayi)</f>
        <v/>
      </c>
    </row>
    <row r="14">
      <c r="A14" s="15" t="inlineStr">
        <is>
          <t>PUA-00009</t>
        </is>
      </c>
      <c r="B14" s="15" t="inlineStr">
        <is>
          <t>PER-00001</t>
        </is>
      </c>
      <c r="C14" s="66" t="n">
        <v>46227</v>
      </c>
      <c r="D14" s="16" t="n">
        <v>8</v>
      </c>
      <c r="E14" s="16" t="n">
        <v>18</v>
      </c>
      <c r="F14" s="16" t="n">
        <v>8</v>
      </c>
      <c r="G14" s="16" t="n">
        <v>2</v>
      </c>
      <c r="H14" s="15" t="inlineStr">
        <is>
          <t>UCRETSIZ</t>
        </is>
      </c>
      <c r="I14" s="15" t="n"/>
      <c r="J14" s="15" t="inlineStr">
        <is>
          <t>TASLAK</t>
        </is>
      </c>
      <c r="K14" s="15" t="n"/>
      <c r="L14" s="15" t="inlineStr">
        <is>
          <t>A</t>
        </is>
      </c>
      <c r="M14" s="15" t="inlineStr">
        <is>
          <t>Puantaj notu 9</t>
        </is>
      </c>
      <c r="N14" s="67" t="n">
        <v>160</v>
      </c>
      <c r="O14" s="17">
        <f>IF($A14="","",MAX(0,$E14-$D14))</f>
        <v/>
      </c>
      <c r="P14" s="17">
        <f>IF($A14="","",MAX(0,$O14-$F14))</f>
        <v/>
      </c>
      <c r="Q14" s="17">
        <f>IF($A14="","",IF(OR($J14="ARSIV",$J14="RED"),0,IF($C14="","",raporTarihi-$C14)))</f>
        <v/>
      </c>
      <c r="R14" s="17">
        <f>IF($A14="","",IF($Q14="","",IF($Q14&lt;=pvf_kovaEsik1,"0-7",IF($Q14&lt;=pvf_kovaEsik2,"8-30",IF($Q14&lt;=pvf_kovaEsik3,"31-60","60+")))))</f>
        <v/>
      </c>
      <c r="S14" s="17">
        <f>IF($A14="","",IF($B14="","YETİM",IF(COUNTIF(tblPersonel[PersonelId],$B14)=0,"YETİM","")))</f>
        <v/>
      </c>
      <c r="T14" s="17">
        <f>IF(OR($A14="",$I14=""),"",IF(OR($I14&amp;"|"&amp;$J14="",COUNTIF(ListeIzinliGecis,$I14&amp;"|"&amp;$J14)&gt;0),"","GEÇERSİZ GEÇİŞ"))</f>
        <v/>
      </c>
      <c r="U14" s="17">
        <f>IF($A14="","",IF(OR($P14="",$G14=""),"",IF(ABS($G14-$P14)&gt;zincirTolerans,"ZİNCİR KIRIK","OK")))</f>
        <v/>
      </c>
      <c r="V14" s="17">
        <f>IF($A14="","",1)</f>
        <v/>
      </c>
      <c r="W14" s="17">
        <f>IF($A14="","",$G14*$N14*pvf_mesaiKatsayi)</f>
        <v/>
      </c>
    </row>
    <row r="15">
      <c r="A15" s="15" t="inlineStr">
        <is>
          <t>PUA-00010</t>
        </is>
      </c>
      <c r="B15" s="15" t="inlineStr">
        <is>
          <t>PER-00002</t>
        </is>
      </c>
      <c r="C15" s="66" t="n">
        <v>46225</v>
      </c>
      <c r="D15" s="16" t="n">
        <v>8</v>
      </c>
      <c r="E15" s="16" t="n">
        <v>17</v>
      </c>
      <c r="F15" s="16" t="n">
        <v>8</v>
      </c>
      <c r="G15" s="16" t="n">
        <v>1</v>
      </c>
      <c r="H15" s="15" t="inlineStr">
        <is>
          <t>YOK</t>
        </is>
      </c>
      <c r="I15" s="15" t="inlineStr">
        <is>
          <t>TASLAK</t>
        </is>
      </c>
      <c r="J15" s="15" t="inlineStr">
        <is>
          <t>KONTROL</t>
        </is>
      </c>
      <c r="K15" s="15" t="n"/>
      <c r="L15" s="15" t="inlineStr">
        <is>
          <t>B</t>
        </is>
      </c>
      <c r="M15" s="15" t="inlineStr">
        <is>
          <t>Puantaj notu 10</t>
        </is>
      </c>
      <c r="N15" s="67" t="n">
        <v>120</v>
      </c>
      <c r="O15" s="17">
        <f>IF($A15="","",MAX(0,$E15-$D15))</f>
        <v/>
      </c>
      <c r="P15" s="17">
        <f>IF($A15="","",MAX(0,$O15-$F15))</f>
        <v/>
      </c>
      <c r="Q15" s="17">
        <f>IF($A15="","",IF(OR($J15="ARSIV",$J15="RED"),0,IF($C15="","",raporTarihi-$C15)))</f>
        <v/>
      </c>
      <c r="R15" s="17">
        <f>IF($A15="","",IF($Q15="","",IF($Q15&lt;=pvf_kovaEsik1,"0-7",IF($Q15&lt;=pvf_kovaEsik2,"8-30",IF($Q15&lt;=pvf_kovaEsik3,"31-60","60+")))))</f>
        <v/>
      </c>
      <c r="S15" s="17">
        <f>IF($A15="","",IF($B15="","YETİM",IF(COUNTIF(tblPersonel[PersonelId],$B15)=0,"YETİM","")))</f>
        <v/>
      </c>
      <c r="T15" s="17">
        <f>IF(OR($A15="",$I15=""),"",IF(OR($I15&amp;"|"&amp;$J15="",COUNTIF(ListeIzinliGecis,$I15&amp;"|"&amp;$J15)&gt;0),"","GEÇERSİZ GEÇİŞ"))</f>
        <v/>
      </c>
      <c r="U15" s="17">
        <f>IF($A15="","",IF(OR($P15="",$G15=""),"",IF(ABS($G15-$P15)&gt;zincirTolerans,"ZİNCİR KIRIK","OK")))</f>
        <v/>
      </c>
      <c r="V15" s="17">
        <f>IF($A15="","",1)</f>
        <v/>
      </c>
      <c r="W15" s="17">
        <f>IF($A15="","",$G15*$N15*pvf_mesaiKatsayi)</f>
        <v/>
      </c>
    </row>
    <row r="16">
      <c r="A16" s="15" t="inlineStr">
        <is>
          <t>PUA-00011</t>
        </is>
      </c>
      <c r="B16" s="15" t="inlineStr">
        <is>
          <t>PER-00003</t>
        </is>
      </c>
      <c r="C16" s="66" t="n">
        <v>46223</v>
      </c>
      <c r="D16" s="16" t="n">
        <v>8</v>
      </c>
      <c r="E16" s="16" t="n">
        <v>16.5</v>
      </c>
      <c r="F16" s="16" t="n">
        <v>8</v>
      </c>
      <c r="G16" s="16" t="n">
        <v>0.5</v>
      </c>
      <c r="H16" s="15" t="inlineStr">
        <is>
          <t>YILLIK</t>
        </is>
      </c>
      <c r="I16" s="15" t="inlineStr">
        <is>
          <t>KONTROL</t>
        </is>
      </c>
      <c r="J16" s="15" t="inlineStr">
        <is>
          <t>ONAY</t>
        </is>
      </c>
      <c r="K16" s="15" t="inlineStr">
        <is>
          <t>İMZA-011</t>
        </is>
      </c>
      <c r="L16" s="15" t="inlineStr">
        <is>
          <t>A</t>
        </is>
      </c>
      <c r="M16" s="15" t="inlineStr">
        <is>
          <t>Puantaj notu 11</t>
        </is>
      </c>
      <c r="N16" s="67" t="n">
        <v>130</v>
      </c>
      <c r="O16" s="17">
        <f>IF($A16="","",MAX(0,$E16-$D16))</f>
        <v/>
      </c>
      <c r="P16" s="17">
        <f>IF($A16="","",MAX(0,$O16-$F16))</f>
        <v/>
      </c>
      <c r="Q16" s="17">
        <f>IF($A16="","",IF(OR($J16="ARSIV",$J16="RED"),0,IF($C16="","",raporTarihi-$C16)))</f>
        <v/>
      </c>
      <c r="R16" s="17">
        <f>IF($A16="","",IF($Q16="","",IF($Q16&lt;=pvf_kovaEsik1,"0-7",IF($Q16&lt;=pvf_kovaEsik2,"8-30",IF($Q16&lt;=pvf_kovaEsik3,"31-60","60+")))))</f>
        <v/>
      </c>
      <c r="S16" s="17">
        <f>IF($A16="","",IF($B16="","YETİM",IF(COUNTIF(tblPersonel[PersonelId],$B16)=0,"YETİM","")))</f>
        <v/>
      </c>
      <c r="T16" s="17">
        <f>IF(OR($A16="",$I16=""),"",IF(OR($I16&amp;"|"&amp;$J16="",COUNTIF(ListeIzinliGecis,$I16&amp;"|"&amp;$J16)&gt;0),"","GEÇERSİZ GEÇİŞ"))</f>
        <v/>
      </c>
      <c r="U16" s="17">
        <f>IF($A16="","",IF(OR($P16="",$G16=""),"",IF(ABS($G16-$P16)&gt;zincirTolerans,"ZİNCİR KIRIK","OK")))</f>
        <v/>
      </c>
      <c r="V16" s="17">
        <f>IF($A16="","",1)</f>
        <v/>
      </c>
      <c r="W16" s="17">
        <f>IF($A16="","",$G16*$N16*pvf_mesaiKatsayi)</f>
        <v/>
      </c>
    </row>
    <row r="17">
      <c r="A17" s="15" t="inlineStr">
        <is>
          <t>PUA-00012</t>
        </is>
      </c>
      <c r="B17" s="15" t="inlineStr">
        <is>
          <t>PER-00004</t>
        </is>
      </c>
      <c r="C17" s="66" t="n">
        <v>46221</v>
      </c>
      <c r="D17" s="16" t="n">
        <v>8</v>
      </c>
      <c r="E17" s="16" t="n">
        <v>19.5</v>
      </c>
      <c r="F17" s="16" t="n">
        <v>8</v>
      </c>
      <c r="G17" s="16" t="n">
        <v>3.5</v>
      </c>
      <c r="H17" s="15" t="inlineStr">
        <is>
          <t>MAZERET</t>
        </is>
      </c>
      <c r="I17" s="15" t="inlineStr">
        <is>
          <t>ONAY</t>
        </is>
      </c>
      <c r="J17" s="15" t="inlineStr">
        <is>
          <t>ARSIV</t>
        </is>
      </c>
      <c r="K17" s="15" t="inlineStr">
        <is>
          <t>İMZA-012</t>
        </is>
      </c>
      <c r="L17" s="15" t="inlineStr">
        <is>
          <t>B</t>
        </is>
      </c>
      <c r="M17" s="15" t="inlineStr">
        <is>
          <t>Puantaj notu 12</t>
        </is>
      </c>
      <c r="N17" s="67" t="n">
        <v>140</v>
      </c>
      <c r="O17" s="17">
        <f>IF($A17="","",MAX(0,$E17-$D17))</f>
        <v/>
      </c>
      <c r="P17" s="17">
        <f>IF($A17="","",MAX(0,$O17-$F17))</f>
        <v/>
      </c>
      <c r="Q17" s="17">
        <f>IF($A17="","",IF(OR($J17="ARSIV",$J17="RED"),0,IF($C17="","",raporTarihi-$C17)))</f>
        <v/>
      </c>
      <c r="R17" s="17">
        <f>IF($A17="","",IF($Q17="","",IF($Q17&lt;=pvf_kovaEsik1,"0-7",IF($Q17&lt;=pvf_kovaEsik2,"8-30",IF($Q17&lt;=pvf_kovaEsik3,"31-60","60+")))))</f>
        <v/>
      </c>
      <c r="S17" s="17">
        <f>IF($A17="","",IF($B17="","YETİM",IF(COUNTIF(tblPersonel[PersonelId],$B17)=0,"YETİM","")))</f>
        <v/>
      </c>
      <c r="T17" s="17">
        <f>IF(OR($A17="",$I17=""),"",IF(OR($I17&amp;"|"&amp;$J17="",COUNTIF(ListeIzinliGecis,$I17&amp;"|"&amp;$J17)&gt;0),"","GEÇERSİZ GEÇİŞ"))</f>
        <v/>
      </c>
      <c r="U17" s="17">
        <f>IF($A17="","",IF(OR($P17="",$G17=""),"",IF(ABS($G17-$P17)&gt;zincirTolerans,"ZİNCİR KIRIK","OK")))</f>
        <v/>
      </c>
      <c r="V17" s="17">
        <f>IF($A17="","",1)</f>
        <v/>
      </c>
      <c r="W17" s="17">
        <f>IF($A17="","",$G17*$N17*pvf_mesaiKatsayi)</f>
        <v/>
      </c>
    </row>
    <row r="18">
      <c r="A18" s="15" t="inlineStr">
        <is>
          <t>PUA-00013</t>
        </is>
      </c>
      <c r="B18" s="15" t="inlineStr">
        <is>
          <t>PER-00005</t>
        </is>
      </c>
      <c r="C18" s="66" t="n">
        <v>46219</v>
      </c>
      <c r="D18" s="16" t="n">
        <v>8</v>
      </c>
      <c r="E18" s="16" t="n">
        <v>17</v>
      </c>
      <c r="F18" s="16" t="n">
        <v>8</v>
      </c>
      <c r="G18" s="16" t="n">
        <v>1</v>
      </c>
      <c r="H18" s="15" t="inlineStr">
        <is>
          <t>RAPOR</t>
        </is>
      </c>
      <c r="I18" s="15" t="inlineStr">
        <is>
          <t>TASLAK</t>
        </is>
      </c>
      <c r="J18" s="15" t="inlineStr">
        <is>
          <t>RED</t>
        </is>
      </c>
      <c r="K18" s="15" t="n"/>
      <c r="L18" s="15" t="inlineStr">
        <is>
          <t>A</t>
        </is>
      </c>
      <c r="M18" s="15" t="inlineStr">
        <is>
          <t>Puantaj notu 13</t>
        </is>
      </c>
      <c r="N18" s="67" t="n">
        <v>150</v>
      </c>
      <c r="O18" s="17">
        <f>IF($A18="","",MAX(0,$E18-$D18))</f>
        <v/>
      </c>
      <c r="P18" s="17">
        <f>IF($A18="","",MAX(0,$O18-$F18))</f>
        <v/>
      </c>
      <c r="Q18" s="17">
        <f>IF($A18="","",IF(OR($J18="ARSIV",$J18="RED"),0,IF($C18="","",raporTarihi-$C18)))</f>
        <v/>
      </c>
      <c r="R18" s="17">
        <f>IF($A18="","",IF($Q18="","",IF($Q18&lt;=pvf_kovaEsik1,"0-7",IF($Q18&lt;=pvf_kovaEsik2,"8-30",IF($Q18&lt;=pvf_kovaEsik3,"31-60","60+")))))</f>
        <v/>
      </c>
      <c r="S18" s="17">
        <f>IF($A18="","",IF($B18="","YETİM",IF(COUNTIF(tblPersonel[PersonelId],$B18)=0,"YETİM","")))</f>
        <v/>
      </c>
      <c r="T18" s="17">
        <f>IF(OR($A18="",$I18=""),"",IF(OR($I18&amp;"|"&amp;$J18="",COUNTIF(ListeIzinliGecis,$I18&amp;"|"&amp;$J18)&gt;0),"","GEÇERSİZ GEÇİŞ"))</f>
        <v/>
      </c>
      <c r="U18" s="17">
        <f>IF($A18="","",IF(OR($P18="",$G18=""),"",IF(ABS($G18-$P18)&gt;zincirTolerans,"ZİNCİR KIRIK","OK")))</f>
        <v/>
      </c>
      <c r="V18" s="17">
        <f>IF($A18="","",1)</f>
        <v/>
      </c>
      <c r="W18" s="17">
        <f>IF($A18="","",$G18*$N18*pvf_mesaiKatsayi)</f>
        <v/>
      </c>
    </row>
    <row r="19">
      <c r="A19" s="15" t="inlineStr">
        <is>
          <t>PUA-00014</t>
        </is>
      </c>
      <c r="B19" s="15" t="inlineStr">
        <is>
          <t>PER-00006</t>
        </is>
      </c>
      <c r="C19" s="66" t="n">
        <v>46217</v>
      </c>
      <c r="D19" s="16" t="n">
        <v>8</v>
      </c>
      <c r="E19" s="16" t="n">
        <v>16.5</v>
      </c>
      <c r="F19" s="16" t="n">
        <v>8</v>
      </c>
      <c r="G19" s="16" t="n">
        <v>0.5</v>
      </c>
      <c r="H19" s="15" t="inlineStr">
        <is>
          <t>UCRETSIZ</t>
        </is>
      </c>
      <c r="I19" s="15" t="inlineStr">
        <is>
          <t>TASLAK</t>
        </is>
      </c>
      <c r="J19" s="15" t="inlineStr">
        <is>
          <t>KONTROL</t>
        </is>
      </c>
      <c r="K19" s="15" t="n"/>
      <c r="L19" s="15" t="inlineStr">
        <is>
          <t>B</t>
        </is>
      </c>
      <c r="M19" s="15" t="inlineStr">
        <is>
          <t>Puantaj notu 14</t>
        </is>
      </c>
      <c r="N19" s="67" t="n">
        <v>160</v>
      </c>
      <c r="O19" s="17">
        <f>IF($A19="","",MAX(0,$E19-$D19))</f>
        <v/>
      </c>
      <c r="P19" s="17">
        <f>IF($A19="","",MAX(0,$O19-$F19))</f>
        <v/>
      </c>
      <c r="Q19" s="17">
        <f>IF($A19="","",IF(OR($J19="ARSIV",$J19="RED"),0,IF($C19="","",raporTarihi-$C19)))</f>
        <v/>
      </c>
      <c r="R19" s="17">
        <f>IF($A19="","",IF($Q19="","",IF($Q19&lt;=pvf_kovaEsik1,"0-7",IF($Q19&lt;=pvf_kovaEsik2,"8-30",IF($Q19&lt;=pvf_kovaEsik3,"31-60","60+")))))</f>
        <v/>
      </c>
      <c r="S19" s="17">
        <f>IF($A19="","",IF($B19="","YETİM",IF(COUNTIF(tblPersonel[PersonelId],$B19)=0,"YETİM","")))</f>
        <v/>
      </c>
      <c r="T19" s="17">
        <f>IF(OR($A19="",$I19=""),"",IF(OR($I19&amp;"|"&amp;$J19="",COUNTIF(ListeIzinliGecis,$I19&amp;"|"&amp;$J19)&gt;0),"","GEÇERSİZ GEÇİŞ"))</f>
        <v/>
      </c>
      <c r="U19" s="17">
        <f>IF($A19="","",IF(OR($P19="",$G19=""),"",IF(ABS($G19-$P19)&gt;zincirTolerans,"ZİNCİR KIRIK","OK")))</f>
        <v/>
      </c>
      <c r="V19" s="17">
        <f>IF($A19="","",1)</f>
        <v/>
      </c>
      <c r="W19" s="17">
        <f>IF($A19="","",$G19*$N19*pvf_mesaiKatsayi)</f>
        <v/>
      </c>
    </row>
    <row r="20">
      <c r="A20" s="15" t="inlineStr">
        <is>
          <t>PUA-00015</t>
        </is>
      </c>
      <c r="B20" s="15" t="inlineStr">
        <is>
          <t>PER-00007</t>
        </is>
      </c>
      <c r="C20" s="66" t="n">
        <v>46215</v>
      </c>
      <c r="D20" s="16" t="n">
        <v>8</v>
      </c>
      <c r="E20" s="16" t="n">
        <v>20</v>
      </c>
      <c r="F20" s="16" t="n">
        <v>8</v>
      </c>
      <c r="G20" s="16" t="n">
        <v>4.5</v>
      </c>
      <c r="H20" s="15" t="inlineStr">
        <is>
          <t>YOK</t>
        </is>
      </c>
      <c r="I20" s="15" t="inlineStr">
        <is>
          <t>KONTROL</t>
        </is>
      </c>
      <c r="J20" s="15" t="inlineStr">
        <is>
          <t>ONAY</t>
        </is>
      </c>
      <c r="K20" s="15" t="inlineStr">
        <is>
          <t>İMZA-015</t>
        </is>
      </c>
      <c r="L20" s="15" t="inlineStr">
        <is>
          <t>A</t>
        </is>
      </c>
      <c r="M20" s="15" t="inlineStr">
        <is>
          <t>Puantaj notu 15</t>
        </is>
      </c>
      <c r="N20" s="67" t="n">
        <v>120</v>
      </c>
      <c r="O20" s="17">
        <f>IF($A20="","",MAX(0,$E20-$D20))</f>
        <v/>
      </c>
      <c r="P20" s="17">
        <f>IF($A20="","",MAX(0,$O20-$F20))</f>
        <v/>
      </c>
      <c r="Q20" s="17">
        <f>IF($A20="","",IF(OR($J20="ARSIV",$J20="RED"),0,IF($C20="","",raporTarihi-$C20)))</f>
        <v/>
      </c>
      <c r="R20" s="17">
        <f>IF($A20="","",IF($Q20="","",IF($Q20&lt;=pvf_kovaEsik1,"0-7",IF($Q20&lt;=pvf_kovaEsik2,"8-30",IF($Q20&lt;=pvf_kovaEsik3,"31-60","60+")))))</f>
        <v/>
      </c>
      <c r="S20" s="17">
        <f>IF($A20="","",IF($B20="","YETİM",IF(COUNTIF(tblPersonel[PersonelId],$B20)=0,"YETİM","")))</f>
        <v/>
      </c>
      <c r="T20" s="17">
        <f>IF(OR($A20="",$I20=""),"",IF(OR($I20&amp;"|"&amp;$J20="",COUNTIF(ListeIzinliGecis,$I20&amp;"|"&amp;$J20)&gt;0),"","GEÇERSİZ GEÇİŞ"))</f>
        <v/>
      </c>
      <c r="U20" s="17">
        <f>IF($A20="","",IF(OR($P20="",$G20=""),"",IF(ABS($G20-$P20)&gt;zincirTolerans,"ZİNCİR KIRIK","OK")))</f>
        <v/>
      </c>
      <c r="V20" s="17">
        <f>IF($A20="","",1)</f>
        <v/>
      </c>
      <c r="W20" s="17">
        <f>IF($A20="","",$G20*$N20*pvf_mesaiKatsayi)</f>
        <v/>
      </c>
    </row>
    <row r="21">
      <c r="A21" s="15" t="inlineStr">
        <is>
          <t>PUA-00016</t>
        </is>
      </c>
      <c r="B21" s="15" t="inlineStr">
        <is>
          <t>PER-00008</t>
        </is>
      </c>
      <c r="C21" s="66" t="n">
        <v>46213</v>
      </c>
      <c r="D21" s="16" t="n">
        <v>8</v>
      </c>
      <c r="E21" s="16" t="n">
        <v>17</v>
      </c>
      <c r="F21" s="16" t="n">
        <v>8</v>
      </c>
      <c r="G21" s="16" t="n">
        <v>1</v>
      </c>
      <c r="H21" s="15" t="inlineStr">
        <is>
          <t>YILLIK</t>
        </is>
      </c>
      <c r="I21" s="15" t="inlineStr">
        <is>
          <t>TASLAK</t>
        </is>
      </c>
      <c r="J21" s="15" t="inlineStr">
        <is>
          <t>TASLAK</t>
        </is>
      </c>
      <c r="K21" s="15" t="n"/>
      <c r="L21" s="15" t="inlineStr">
        <is>
          <t>B</t>
        </is>
      </c>
      <c r="M21" s="15" t="inlineStr">
        <is>
          <t>Puantaj notu 16</t>
        </is>
      </c>
      <c r="N21" s="67" t="n">
        <v>130</v>
      </c>
      <c r="O21" s="17">
        <f>IF($A21="","",MAX(0,$E21-$D21))</f>
        <v/>
      </c>
      <c r="P21" s="17">
        <f>IF($A21="","",MAX(0,$O21-$F21))</f>
        <v/>
      </c>
      <c r="Q21" s="17">
        <f>IF($A21="","",IF(OR($J21="ARSIV",$J21="RED"),0,IF($C21="","",raporTarihi-$C21)))</f>
        <v/>
      </c>
      <c r="R21" s="17">
        <f>IF($A21="","",IF($Q21="","",IF($Q21&lt;=pvf_kovaEsik1,"0-7",IF($Q21&lt;=pvf_kovaEsik2,"8-30",IF($Q21&lt;=pvf_kovaEsik3,"31-60","60+")))))</f>
        <v/>
      </c>
      <c r="S21" s="17">
        <f>IF($A21="","",IF($B21="","YETİM",IF(COUNTIF(tblPersonel[PersonelId],$B21)=0,"YETİM","")))</f>
        <v/>
      </c>
      <c r="T21" s="17">
        <f>IF(OR($A21="",$I21=""),"",IF(OR($I21&amp;"|"&amp;$J21="",COUNTIF(ListeIzinliGecis,$I21&amp;"|"&amp;$J21)&gt;0),"","GEÇERSİZ GEÇİŞ"))</f>
        <v/>
      </c>
      <c r="U21" s="17">
        <f>IF($A21="","",IF(OR($P21="",$G21=""),"",IF(ABS($G21-$P21)&gt;zincirTolerans,"ZİNCİR KIRIK","OK")))</f>
        <v/>
      </c>
      <c r="V21" s="17">
        <f>IF($A21="","",1)</f>
        <v/>
      </c>
      <c r="W21" s="17">
        <f>IF($A21="","",$G21*$N21*pvf_mesaiKatsayi)</f>
        <v/>
      </c>
    </row>
    <row r="22">
      <c r="A22" s="15" t="inlineStr">
        <is>
          <t>PUA-00017</t>
        </is>
      </c>
      <c r="B22" s="15" t="inlineStr">
        <is>
          <t>PER-00001</t>
        </is>
      </c>
      <c r="C22" s="66" t="n">
        <v>46211</v>
      </c>
      <c r="D22" s="16" t="n">
        <v>8</v>
      </c>
      <c r="E22" s="16" t="n">
        <v>16.5</v>
      </c>
      <c r="F22" s="16" t="n">
        <v>8</v>
      </c>
      <c r="G22" s="16" t="n">
        <v>0.5</v>
      </c>
      <c r="H22" s="15" t="inlineStr">
        <is>
          <t>MAZERET</t>
        </is>
      </c>
      <c r="I22" s="15" t="n"/>
      <c r="J22" s="15" t="inlineStr">
        <is>
          <t>TASLAK</t>
        </is>
      </c>
      <c r="K22" s="15" t="n"/>
      <c r="L22" s="15" t="inlineStr">
        <is>
          <t>A</t>
        </is>
      </c>
      <c r="M22" s="15" t="inlineStr">
        <is>
          <t>Puantaj notu 17</t>
        </is>
      </c>
      <c r="N22" s="67" t="n">
        <v>140</v>
      </c>
      <c r="O22" s="17">
        <f>IF($A22="","",MAX(0,$E22-$D22))</f>
        <v/>
      </c>
      <c r="P22" s="17">
        <f>IF($A22="","",MAX(0,$O22-$F22))</f>
        <v/>
      </c>
      <c r="Q22" s="17">
        <f>IF($A22="","",IF(OR($J22="ARSIV",$J22="RED"),0,IF($C22="","",raporTarihi-$C22)))</f>
        <v/>
      </c>
      <c r="R22" s="17">
        <f>IF($A22="","",IF($Q22="","",IF($Q22&lt;=pvf_kovaEsik1,"0-7",IF($Q22&lt;=pvf_kovaEsik2,"8-30",IF($Q22&lt;=pvf_kovaEsik3,"31-60","60+")))))</f>
        <v/>
      </c>
      <c r="S22" s="17">
        <f>IF($A22="","",IF($B22="","YETİM",IF(COUNTIF(tblPersonel[PersonelId],$B22)=0,"YETİM","")))</f>
        <v/>
      </c>
      <c r="T22" s="17">
        <f>IF(OR($A22="",$I22=""),"",IF(OR($I22&amp;"|"&amp;$J22="",COUNTIF(ListeIzinliGecis,$I22&amp;"|"&amp;$J22)&gt;0),"","GEÇERSİZ GEÇİŞ"))</f>
        <v/>
      </c>
      <c r="U22" s="17">
        <f>IF($A22="","",IF(OR($P22="",$G22=""),"",IF(ABS($G22-$P22)&gt;zincirTolerans,"ZİNCİR KIRIK","OK")))</f>
        <v/>
      </c>
      <c r="V22" s="17">
        <f>IF($A22="","",1)</f>
        <v/>
      </c>
      <c r="W22" s="17">
        <f>IF($A22="","",$G22*$N22*pvf_mesaiKatsayi)</f>
        <v/>
      </c>
    </row>
    <row r="23">
      <c r="A23" s="15" t="inlineStr">
        <is>
          <t>PUA-00018</t>
        </is>
      </c>
      <c r="B23" s="15" t="inlineStr">
        <is>
          <t>PER-00002</t>
        </is>
      </c>
      <c r="C23" s="66" t="n">
        <v>46209</v>
      </c>
      <c r="D23" s="16" t="n">
        <v>8</v>
      </c>
      <c r="E23" s="16" t="n">
        <v>18</v>
      </c>
      <c r="F23" s="16" t="n">
        <v>8</v>
      </c>
      <c r="G23" s="16" t="n">
        <v>2</v>
      </c>
      <c r="H23" s="15" t="inlineStr">
        <is>
          <t>RAPOR</t>
        </is>
      </c>
      <c r="I23" s="15" t="inlineStr">
        <is>
          <t>TASLAK</t>
        </is>
      </c>
      <c r="J23" s="15" t="inlineStr">
        <is>
          <t>ONAY</t>
        </is>
      </c>
      <c r="K23" s="15" t="inlineStr">
        <is>
          <t>İMZA-018</t>
        </is>
      </c>
      <c r="L23" s="15" t="inlineStr">
        <is>
          <t>B</t>
        </is>
      </c>
      <c r="M23" s="15" t="inlineStr">
        <is>
          <t>Puantaj notu 18</t>
        </is>
      </c>
      <c r="N23" s="67" t="n">
        <v>150</v>
      </c>
      <c r="O23" s="17">
        <f>IF($A23="","",MAX(0,$E23-$D23))</f>
        <v/>
      </c>
      <c r="P23" s="17">
        <f>IF($A23="","",MAX(0,$O23-$F23))</f>
        <v/>
      </c>
      <c r="Q23" s="17">
        <f>IF($A23="","",IF(OR($J23="ARSIV",$J23="RED"),0,IF($C23="","",raporTarihi-$C23)))</f>
        <v/>
      </c>
      <c r="R23" s="17">
        <f>IF($A23="","",IF($Q23="","",IF($Q23&lt;=pvf_kovaEsik1,"0-7",IF($Q23&lt;=pvf_kovaEsik2,"8-30",IF($Q23&lt;=pvf_kovaEsik3,"31-60","60+")))))</f>
        <v/>
      </c>
      <c r="S23" s="17">
        <f>IF($A23="","",IF($B23="","YETİM",IF(COUNTIF(tblPersonel[PersonelId],$B23)=0,"YETİM","")))</f>
        <v/>
      </c>
      <c r="T23" s="17">
        <f>IF(OR($A23="",$I23=""),"",IF(OR($I23&amp;"|"&amp;$J23="",COUNTIF(ListeIzinliGecis,$I23&amp;"|"&amp;$J23)&gt;0),"","GEÇERSİZ GEÇİŞ"))</f>
        <v/>
      </c>
      <c r="U23" s="17">
        <f>IF($A23="","",IF(OR($P23="",$G23=""),"",IF(ABS($G23-$P23)&gt;zincirTolerans,"ZİNCİR KIRIK","OK")))</f>
        <v/>
      </c>
      <c r="V23" s="17">
        <f>IF($A23="","",1)</f>
        <v/>
      </c>
      <c r="W23" s="17">
        <f>IF($A23="","",$G23*$N23*pvf_mesaiKatsayi)</f>
        <v/>
      </c>
    </row>
    <row r="24">
      <c r="A24" s="15" t="inlineStr">
        <is>
          <t>PUA-00019</t>
        </is>
      </c>
      <c r="B24" s="15" t="inlineStr">
        <is>
          <t>PER-00003</t>
        </is>
      </c>
      <c r="C24" s="66" t="n">
        <v>46207</v>
      </c>
      <c r="D24" s="16" t="n">
        <v>8</v>
      </c>
      <c r="E24" s="16" t="n">
        <v>18.5</v>
      </c>
      <c r="F24" s="16" t="n">
        <v>8</v>
      </c>
      <c r="G24" s="16" t="n">
        <v>2.5</v>
      </c>
      <c r="H24" s="15" t="inlineStr">
        <is>
          <t>UCRETSIZ</t>
        </is>
      </c>
      <c r="I24" s="15" t="inlineStr">
        <is>
          <t>KONTROL</t>
        </is>
      </c>
      <c r="J24" s="15" t="inlineStr">
        <is>
          <t>ONAY</t>
        </is>
      </c>
      <c r="K24" s="15" t="inlineStr">
        <is>
          <t>İMZA-019</t>
        </is>
      </c>
      <c r="L24" s="15" t="inlineStr">
        <is>
          <t>A</t>
        </is>
      </c>
      <c r="M24" s="15" t="inlineStr">
        <is>
          <t>Puantaj notu 19</t>
        </is>
      </c>
      <c r="N24" s="67" t="n">
        <v>160</v>
      </c>
      <c r="O24" s="17">
        <f>IF($A24="","",MAX(0,$E24-$D24))</f>
        <v/>
      </c>
      <c r="P24" s="17">
        <f>IF($A24="","",MAX(0,$O24-$F24))</f>
        <v/>
      </c>
      <c r="Q24" s="17">
        <f>IF($A24="","",IF(OR($J24="ARSIV",$J24="RED"),0,IF($C24="","",raporTarihi-$C24)))</f>
        <v/>
      </c>
      <c r="R24" s="17">
        <f>IF($A24="","",IF($Q24="","",IF($Q24&lt;=pvf_kovaEsik1,"0-7",IF($Q24&lt;=pvf_kovaEsik2,"8-30",IF($Q24&lt;=pvf_kovaEsik3,"31-60","60+")))))</f>
        <v/>
      </c>
      <c r="S24" s="17">
        <f>IF($A24="","",IF($B24="","YETİM",IF(COUNTIF(tblPersonel[PersonelId],$B24)=0,"YETİM","")))</f>
        <v/>
      </c>
      <c r="T24" s="17">
        <f>IF(OR($A24="",$I24=""),"",IF(OR($I24&amp;"|"&amp;$J24="",COUNTIF(ListeIzinliGecis,$I24&amp;"|"&amp;$J24)&gt;0),"","GEÇERSİZ GEÇİŞ"))</f>
        <v/>
      </c>
      <c r="U24" s="17">
        <f>IF($A24="","",IF(OR($P24="",$G24=""),"",IF(ABS($G24-$P24)&gt;zincirTolerans,"ZİNCİR KIRIK","OK")))</f>
        <v/>
      </c>
      <c r="V24" s="17">
        <f>IF($A24="","",1)</f>
        <v/>
      </c>
      <c r="W24" s="17">
        <f>IF($A24="","",$G24*$N24*pvf_mesaiKatsayi)</f>
        <v/>
      </c>
    </row>
    <row r="25">
      <c r="A25" s="15" t="inlineStr">
        <is>
          <t>PUA-00020</t>
        </is>
      </c>
      <c r="B25" s="15" t="inlineStr">
        <is>
          <t>PER-00004</t>
        </is>
      </c>
      <c r="C25" s="66" t="n">
        <v>46205</v>
      </c>
      <c r="D25" s="16" t="n">
        <v>8</v>
      </c>
      <c r="E25" s="16" t="n">
        <v>16.5</v>
      </c>
      <c r="F25" s="16" t="n">
        <v>8</v>
      </c>
      <c r="G25" s="16" t="n">
        <v>0.5</v>
      </c>
      <c r="H25" s="15" t="inlineStr">
        <is>
          <t>YOK</t>
        </is>
      </c>
      <c r="I25" s="15" t="inlineStr">
        <is>
          <t>ONAY</t>
        </is>
      </c>
      <c r="J25" s="15" t="inlineStr">
        <is>
          <t>TASLAK</t>
        </is>
      </c>
      <c r="K25" s="15" t="n"/>
      <c r="L25" s="15" t="inlineStr">
        <is>
          <t>B</t>
        </is>
      </c>
      <c r="M25" s="15" t="inlineStr">
        <is>
          <t>Puantaj notu 20</t>
        </is>
      </c>
      <c r="N25" s="67" t="n">
        <v>120</v>
      </c>
      <c r="O25" s="17">
        <f>IF($A25="","",MAX(0,$E25-$D25))</f>
        <v/>
      </c>
      <c r="P25" s="17">
        <f>IF($A25="","",MAX(0,$O25-$F25))</f>
        <v/>
      </c>
      <c r="Q25" s="17">
        <f>IF($A25="","",IF(OR($J25="ARSIV",$J25="RED"),0,IF($C25="","",raporTarihi-$C25)))</f>
        <v/>
      </c>
      <c r="R25" s="17">
        <f>IF($A25="","",IF($Q25="","",IF($Q25&lt;=pvf_kovaEsik1,"0-7",IF($Q25&lt;=pvf_kovaEsik2,"8-30",IF($Q25&lt;=pvf_kovaEsik3,"31-60","60+")))))</f>
        <v/>
      </c>
      <c r="S25" s="17">
        <f>IF($A25="","",IF($B25="","YETİM",IF(COUNTIF(tblPersonel[PersonelId],$B25)=0,"YETİM","")))</f>
        <v/>
      </c>
      <c r="T25" s="17">
        <f>IF(OR($A25="",$I25=""),"",IF(OR($I25&amp;"|"&amp;$J25="",COUNTIF(ListeIzinliGecis,$I25&amp;"|"&amp;$J25)&gt;0),"","GEÇERSİZ GEÇİŞ"))</f>
        <v/>
      </c>
      <c r="U25" s="17">
        <f>IF($A25="","",IF(OR($P25="",$G25=""),"",IF(ABS($G25-$P25)&gt;zincirTolerans,"ZİNCİR KIRIK","OK")))</f>
        <v/>
      </c>
      <c r="V25" s="17">
        <f>IF($A25="","",1)</f>
        <v/>
      </c>
      <c r="W25" s="17">
        <f>IF($A25="","",$G25*$N25*pvf_mesaiKatsayi)</f>
        <v/>
      </c>
    </row>
    <row r="26">
      <c r="A26" s="15" t="inlineStr">
        <is>
          <t>PUA-00021</t>
        </is>
      </c>
      <c r="B26" s="15" t="inlineStr">
        <is>
          <t>PER-00005</t>
        </is>
      </c>
      <c r="C26" s="66" t="n">
        <v>46203</v>
      </c>
      <c r="D26" s="16" t="n">
        <v>8</v>
      </c>
      <c r="E26" s="16" t="n">
        <v>18</v>
      </c>
      <c r="F26" s="16" t="n">
        <v>8</v>
      </c>
      <c r="G26" s="16" t="n">
        <v>2</v>
      </c>
      <c r="H26" s="15" t="inlineStr">
        <is>
          <t>YILLIK</t>
        </is>
      </c>
      <c r="I26" s="15" t="inlineStr">
        <is>
          <t>TASLAK</t>
        </is>
      </c>
      <c r="J26" s="15" t="inlineStr">
        <is>
          <t>RED</t>
        </is>
      </c>
      <c r="K26" s="15" t="n"/>
      <c r="L26" s="15" t="inlineStr">
        <is>
          <t>A</t>
        </is>
      </c>
      <c r="M26" s="15" t="inlineStr">
        <is>
          <t>Puantaj notu 21</t>
        </is>
      </c>
      <c r="N26" s="67" t="n">
        <v>130</v>
      </c>
      <c r="O26" s="17">
        <f>IF($A26="","",MAX(0,$E26-$D26))</f>
        <v/>
      </c>
      <c r="P26" s="17">
        <f>IF($A26="","",MAX(0,$O26-$F26))</f>
        <v/>
      </c>
      <c r="Q26" s="17">
        <f>IF($A26="","",IF(OR($J26="ARSIV",$J26="RED"),0,IF($C26="","",raporTarihi-$C26)))</f>
        <v/>
      </c>
      <c r="R26" s="17">
        <f>IF($A26="","",IF($Q26="","",IF($Q26&lt;=pvf_kovaEsik1,"0-7",IF($Q26&lt;=pvf_kovaEsik2,"8-30",IF($Q26&lt;=pvf_kovaEsik3,"31-60","60+")))))</f>
        <v/>
      </c>
      <c r="S26" s="17">
        <f>IF($A26="","",IF($B26="","YETİM",IF(COUNTIF(tblPersonel[PersonelId],$B26)=0,"YETİM","")))</f>
        <v/>
      </c>
      <c r="T26" s="17">
        <f>IF(OR($A26="",$I26=""),"",IF(OR($I26&amp;"|"&amp;$J26="",COUNTIF(ListeIzinliGecis,$I26&amp;"|"&amp;$J26)&gt;0),"","GEÇERSİZ GEÇİŞ"))</f>
        <v/>
      </c>
      <c r="U26" s="17">
        <f>IF($A26="","",IF(OR($P26="",$G26=""),"",IF(ABS($G26-$P26)&gt;zincirTolerans,"ZİNCİR KIRIK","OK")))</f>
        <v/>
      </c>
      <c r="V26" s="17">
        <f>IF($A26="","",1)</f>
        <v/>
      </c>
      <c r="W26" s="17">
        <f>IF($A26="","",$G26*$N26*pvf_mesaiKatsayi)</f>
        <v/>
      </c>
    </row>
    <row r="27">
      <c r="A27" s="15" t="inlineStr">
        <is>
          <t>PUA-00022</t>
        </is>
      </c>
      <c r="B27" s="15" t="n"/>
      <c r="C27" s="66" t="n">
        <v>46201</v>
      </c>
      <c r="D27" s="16" t="n">
        <v>8</v>
      </c>
      <c r="E27" s="16" t="n">
        <v>17</v>
      </c>
      <c r="F27" s="16" t="n">
        <v>8</v>
      </c>
      <c r="G27" s="16" t="n">
        <v>1</v>
      </c>
      <c r="H27" s="15" t="inlineStr">
        <is>
          <t>MAZERET</t>
        </is>
      </c>
      <c r="I27" s="15" t="inlineStr">
        <is>
          <t>TASLAK</t>
        </is>
      </c>
      <c r="J27" s="15" t="inlineStr">
        <is>
          <t>KONTROL</t>
        </is>
      </c>
      <c r="K27" s="15" t="n"/>
      <c r="L27" s="15" t="inlineStr">
        <is>
          <t>B</t>
        </is>
      </c>
      <c r="M27" s="15" t="inlineStr">
        <is>
          <t>Puantaj notu 22</t>
        </is>
      </c>
      <c r="N27" s="67" t="n">
        <v>140</v>
      </c>
      <c r="O27" s="17">
        <f>IF($A27="","",MAX(0,$E27-$D27))</f>
        <v/>
      </c>
      <c r="P27" s="17">
        <f>IF($A27="","",MAX(0,$O27-$F27))</f>
        <v/>
      </c>
      <c r="Q27" s="17">
        <f>IF($A27="","",IF(OR($J27="ARSIV",$J27="RED"),0,IF($C27="","",raporTarihi-$C27)))</f>
        <v/>
      </c>
      <c r="R27" s="17">
        <f>IF($A27="","",IF($Q27="","",IF($Q27&lt;=pvf_kovaEsik1,"0-7",IF($Q27&lt;=pvf_kovaEsik2,"8-30",IF($Q27&lt;=pvf_kovaEsik3,"31-60","60+")))))</f>
        <v/>
      </c>
      <c r="S27" s="17">
        <f>IF($A27="","",IF($B27="","YETİM",IF(COUNTIF(tblPersonel[PersonelId],$B27)=0,"YETİM","")))</f>
        <v/>
      </c>
      <c r="T27" s="17">
        <f>IF(OR($A27="",$I27=""),"",IF(OR($I27&amp;"|"&amp;$J27="",COUNTIF(ListeIzinliGecis,$I27&amp;"|"&amp;$J27)&gt;0),"","GEÇERSİZ GEÇİŞ"))</f>
        <v/>
      </c>
      <c r="U27" s="17">
        <f>IF($A27="","",IF(OR($P27="",$G27=""),"",IF(ABS($G27-$P27)&gt;zincirTolerans,"ZİNCİR KIRIK","OK")))</f>
        <v/>
      </c>
      <c r="V27" s="17">
        <f>IF($A27="","",1)</f>
        <v/>
      </c>
      <c r="W27" s="17">
        <f>IF($A27="","",$G27*$N27*pvf_mesaiKatsayi)</f>
        <v/>
      </c>
    </row>
    <row r="28">
      <c r="A28" s="15" t="inlineStr">
        <is>
          <t>PUA-00023</t>
        </is>
      </c>
      <c r="B28" s="15" t="inlineStr">
        <is>
          <t>PER-00007</t>
        </is>
      </c>
      <c r="C28" s="66" t="n">
        <v>46244</v>
      </c>
      <c r="D28" s="16" t="n">
        <v>8</v>
      </c>
      <c r="E28" s="16" t="n">
        <v>16.5</v>
      </c>
      <c r="F28" s="16" t="n">
        <v>8</v>
      </c>
      <c r="G28" s="16" t="n">
        <v>0.5</v>
      </c>
      <c r="H28" s="15" t="inlineStr">
        <is>
          <t>RAPOR</t>
        </is>
      </c>
      <c r="I28" s="15" t="inlineStr">
        <is>
          <t>KONTROL</t>
        </is>
      </c>
      <c r="J28" s="15" t="inlineStr">
        <is>
          <t>ONAY</t>
        </is>
      </c>
      <c r="K28" s="15" t="inlineStr">
        <is>
          <t>İMZA-023</t>
        </is>
      </c>
      <c r="L28" s="15" t="inlineStr">
        <is>
          <t>A</t>
        </is>
      </c>
      <c r="M28" s="15" t="inlineStr">
        <is>
          <t>Puantaj notu 23</t>
        </is>
      </c>
      <c r="N28" s="67" t="n">
        <v>150</v>
      </c>
      <c r="O28" s="17">
        <f>IF($A28="","",MAX(0,$E28-$D28))</f>
        <v/>
      </c>
      <c r="P28" s="17">
        <f>IF($A28="","",MAX(0,$O28-$F28))</f>
        <v/>
      </c>
      <c r="Q28" s="17">
        <f>IF($A28="","",IF(OR($J28="ARSIV",$J28="RED"),0,IF($C28="","",raporTarihi-$C28)))</f>
        <v/>
      </c>
      <c r="R28" s="17">
        <f>IF($A28="","",IF($Q28="","",IF($Q28&lt;=pvf_kovaEsik1,"0-7",IF($Q28&lt;=pvf_kovaEsik2,"8-30",IF($Q28&lt;=pvf_kovaEsik3,"31-60","60+")))))</f>
        <v/>
      </c>
      <c r="S28" s="17">
        <f>IF($A28="","",IF($B28="","YETİM",IF(COUNTIF(tblPersonel[PersonelId],$B28)=0,"YETİM","")))</f>
        <v/>
      </c>
      <c r="T28" s="17">
        <f>IF(OR($A28="",$I28=""),"",IF(OR($I28&amp;"|"&amp;$J28="",COUNTIF(ListeIzinliGecis,$I28&amp;"|"&amp;$J28)&gt;0),"","GEÇERSİZ GEÇİŞ"))</f>
        <v/>
      </c>
      <c r="U28" s="17">
        <f>IF($A28="","",IF(OR($P28="",$G28=""),"",IF(ABS($G28-$P28)&gt;zincirTolerans,"ZİNCİR KIRIK","OK")))</f>
        <v/>
      </c>
      <c r="V28" s="17">
        <f>IF($A28="","",1)</f>
        <v/>
      </c>
      <c r="W28" s="17">
        <f>IF($A28="","",$G28*$N28*pvf_mesaiKatsayi)</f>
        <v/>
      </c>
    </row>
    <row r="29">
      <c r="A29" s="15" t="inlineStr">
        <is>
          <t>PUA-00024</t>
        </is>
      </c>
      <c r="B29" s="15" t="inlineStr">
        <is>
          <t>PER-00008</t>
        </is>
      </c>
      <c r="C29" s="66" t="n">
        <v>46242</v>
      </c>
      <c r="D29" s="16" t="n">
        <v>8</v>
      </c>
      <c r="E29" s="16" t="n">
        <v>18</v>
      </c>
      <c r="F29" s="16" t="n">
        <v>8</v>
      </c>
      <c r="G29" s="16" t="n">
        <v>2</v>
      </c>
      <c r="H29" s="15" t="inlineStr">
        <is>
          <t>UCRETSIZ</t>
        </is>
      </c>
      <c r="I29" s="15" t="inlineStr">
        <is>
          <t>TASLAK</t>
        </is>
      </c>
      <c r="J29" s="15" t="inlineStr">
        <is>
          <t>TASLAK</t>
        </is>
      </c>
      <c r="K29" s="15" t="n"/>
      <c r="L29" s="15" t="inlineStr">
        <is>
          <t>B</t>
        </is>
      </c>
      <c r="M29" s="15" t="inlineStr">
        <is>
          <t>Puantaj notu 24</t>
        </is>
      </c>
      <c r="N29" s="67" t="n">
        <v>160</v>
      </c>
      <c r="O29" s="17">
        <f>IF($A29="","",MAX(0,$E29-$D29))</f>
        <v/>
      </c>
      <c r="P29" s="17">
        <f>IF($A29="","",MAX(0,$O29-$F29))</f>
        <v/>
      </c>
      <c r="Q29" s="17">
        <f>IF($A29="","",IF(OR($J29="ARSIV",$J29="RED"),0,IF($C29="","",raporTarihi-$C29)))</f>
        <v/>
      </c>
      <c r="R29" s="17">
        <f>IF($A29="","",IF($Q29="","",IF($Q29&lt;=pvf_kovaEsik1,"0-7",IF($Q29&lt;=pvf_kovaEsik2,"8-30",IF($Q29&lt;=pvf_kovaEsik3,"31-60","60+")))))</f>
        <v/>
      </c>
      <c r="S29" s="17">
        <f>IF($A29="","",IF($B29="","YETİM",IF(COUNTIF(tblPersonel[PersonelId],$B29)=0,"YETİM","")))</f>
        <v/>
      </c>
      <c r="T29" s="17">
        <f>IF(OR($A29="",$I29=""),"",IF(OR($I29&amp;"|"&amp;$J29="",COUNTIF(ListeIzinliGecis,$I29&amp;"|"&amp;$J29)&gt;0),"","GEÇERSİZ GEÇİŞ"))</f>
        <v/>
      </c>
      <c r="U29" s="17">
        <f>IF($A29="","",IF(OR($P29="",$G29=""),"",IF(ABS($G29-$P29)&gt;zincirTolerans,"ZİNCİR KIRIK","OK")))</f>
        <v/>
      </c>
      <c r="V29" s="17">
        <f>IF($A29="","",1)</f>
        <v/>
      </c>
      <c r="W29" s="17">
        <f>IF($A29="","",$G29*$N29*pvf_mesaiKatsayi)</f>
        <v/>
      </c>
    </row>
    <row r="30">
      <c r="A30" s="15" t="inlineStr">
        <is>
          <t>PUA-00025</t>
        </is>
      </c>
      <c r="B30" s="15" t="inlineStr">
        <is>
          <t>PER-99999</t>
        </is>
      </c>
      <c r="C30" s="66" t="n">
        <v>46240</v>
      </c>
      <c r="D30" s="16" t="n">
        <v>8</v>
      </c>
      <c r="E30" s="16" t="n">
        <v>17</v>
      </c>
      <c r="F30" s="16" t="n">
        <v>8</v>
      </c>
      <c r="G30" s="16" t="n">
        <v>1</v>
      </c>
      <c r="H30" s="15" t="inlineStr">
        <is>
          <t>YOK</t>
        </is>
      </c>
      <c r="I30" s="15" t="n"/>
      <c r="J30" s="15" t="inlineStr">
        <is>
          <t>TASLAK</t>
        </is>
      </c>
      <c r="K30" s="15" t="n"/>
      <c r="L30" s="15" t="inlineStr">
        <is>
          <t>A</t>
        </is>
      </c>
      <c r="M30" s="15" t="inlineStr">
        <is>
          <t>Puantaj notu 25</t>
        </is>
      </c>
      <c r="N30" s="67" t="n">
        <v>120</v>
      </c>
      <c r="O30" s="17">
        <f>IF($A30="","",MAX(0,$E30-$D30))</f>
        <v/>
      </c>
      <c r="P30" s="17">
        <f>IF($A30="","",MAX(0,$O30-$F30))</f>
        <v/>
      </c>
      <c r="Q30" s="17">
        <f>IF($A30="","",IF(OR($J30="ARSIV",$J30="RED"),0,IF($C30="","",raporTarihi-$C30)))</f>
        <v/>
      </c>
      <c r="R30" s="17">
        <f>IF($A30="","",IF($Q30="","",IF($Q30&lt;=pvf_kovaEsik1,"0-7",IF($Q30&lt;=pvf_kovaEsik2,"8-30",IF($Q30&lt;=pvf_kovaEsik3,"31-60","60+")))))</f>
        <v/>
      </c>
      <c r="S30" s="17">
        <f>IF($A30="","",IF($B30="","YETİM",IF(COUNTIF(tblPersonel[PersonelId],$B30)=0,"YETİM","")))</f>
        <v/>
      </c>
      <c r="T30" s="17">
        <f>IF(OR($A30="",$I30=""),"",IF(OR($I30&amp;"|"&amp;$J30="",COUNTIF(ListeIzinliGecis,$I30&amp;"|"&amp;$J30)&gt;0),"","GEÇERSİZ GEÇİŞ"))</f>
        <v/>
      </c>
      <c r="U30" s="17">
        <f>IF($A30="","",IF(OR($P30="",$G30=""),"",IF(ABS($G30-$P30)&gt;zincirTolerans,"ZİNCİR KIRIK","OK")))</f>
        <v/>
      </c>
      <c r="V30" s="17">
        <f>IF($A30="","",1)</f>
        <v/>
      </c>
      <c r="W30" s="17">
        <f>IF($A30="","",$G30*$N30*pvf_mesaiKatsayi)</f>
        <v/>
      </c>
    </row>
    <row r="31">
      <c r="A31" s="15" t="inlineStr">
        <is>
          <t>PUA-00026</t>
        </is>
      </c>
      <c r="B31" s="15" t="inlineStr">
        <is>
          <t>PER-00002</t>
        </is>
      </c>
      <c r="C31" s="66" t="n">
        <v>46238</v>
      </c>
      <c r="D31" s="16" t="n">
        <v>8</v>
      </c>
      <c r="E31" s="16" t="n">
        <v>16.5</v>
      </c>
      <c r="F31" s="16" t="n">
        <v>8</v>
      </c>
      <c r="G31" s="16" t="n">
        <v>0.5</v>
      </c>
      <c r="H31" s="15" t="inlineStr">
        <is>
          <t>YILLIK</t>
        </is>
      </c>
      <c r="I31" s="15" t="inlineStr">
        <is>
          <t>TASLAK</t>
        </is>
      </c>
      <c r="J31" s="15" t="inlineStr">
        <is>
          <t>KONTROL</t>
        </is>
      </c>
      <c r="K31" s="15" t="n"/>
      <c r="L31" s="15" t="inlineStr">
        <is>
          <t>B</t>
        </is>
      </c>
      <c r="M31" s="15" t="inlineStr">
        <is>
          <t>Puantaj notu 26</t>
        </is>
      </c>
      <c r="N31" s="67" t="n">
        <v>130</v>
      </c>
      <c r="O31" s="17">
        <f>IF($A31="","",MAX(0,$E31-$D31))</f>
        <v/>
      </c>
      <c r="P31" s="17">
        <f>IF($A31="","",MAX(0,$O31-$F31))</f>
        <v/>
      </c>
      <c r="Q31" s="17">
        <f>IF($A31="","",IF(OR($J31="ARSIV",$J31="RED"),0,IF($C31="","",raporTarihi-$C31)))</f>
        <v/>
      </c>
      <c r="R31" s="17">
        <f>IF($A31="","",IF($Q31="","",IF($Q31&lt;=pvf_kovaEsik1,"0-7",IF($Q31&lt;=pvf_kovaEsik2,"8-30",IF($Q31&lt;=pvf_kovaEsik3,"31-60","60+")))))</f>
        <v/>
      </c>
      <c r="S31" s="17">
        <f>IF($A31="","",IF($B31="","YETİM",IF(COUNTIF(tblPersonel[PersonelId],$B31)=0,"YETİM","")))</f>
        <v/>
      </c>
      <c r="T31" s="17">
        <f>IF(OR($A31="",$I31=""),"",IF(OR($I31&amp;"|"&amp;$J31="",COUNTIF(ListeIzinliGecis,$I31&amp;"|"&amp;$J31)&gt;0),"","GEÇERSİZ GEÇİŞ"))</f>
        <v/>
      </c>
      <c r="U31" s="17">
        <f>IF($A31="","",IF(OR($P31="",$G31=""),"",IF(ABS($G31-$P31)&gt;zincirTolerans,"ZİNCİR KIRIK","OK")))</f>
        <v/>
      </c>
      <c r="V31" s="17">
        <f>IF($A31="","",1)</f>
        <v/>
      </c>
      <c r="W31" s="17">
        <f>IF($A31="","",$G31*$N31*pvf_mesaiKatsayi)</f>
        <v/>
      </c>
    </row>
    <row r="32">
      <c r="A32" s="15" t="inlineStr">
        <is>
          <t>PUA-00027</t>
        </is>
      </c>
      <c r="B32" s="15" t="inlineStr">
        <is>
          <t>PER-00003</t>
        </is>
      </c>
      <c r="C32" s="66" t="n">
        <v>46236</v>
      </c>
      <c r="D32" s="16" t="n">
        <v>8</v>
      </c>
      <c r="E32" s="16" t="n">
        <v>18</v>
      </c>
      <c r="F32" s="16" t="n">
        <v>8</v>
      </c>
      <c r="G32" s="16" t="n">
        <v>2</v>
      </c>
      <c r="H32" s="15" t="inlineStr">
        <is>
          <t>MAZERET</t>
        </is>
      </c>
      <c r="I32" s="15" t="inlineStr">
        <is>
          <t>KONTROL</t>
        </is>
      </c>
      <c r="J32" s="15" t="inlineStr">
        <is>
          <t>ONAY</t>
        </is>
      </c>
      <c r="K32" s="15" t="inlineStr">
        <is>
          <t>İMZA-027</t>
        </is>
      </c>
      <c r="L32" s="15" t="inlineStr">
        <is>
          <t>A</t>
        </is>
      </c>
      <c r="M32" s="15" t="inlineStr">
        <is>
          <t>Puantaj notu 27</t>
        </is>
      </c>
      <c r="N32" s="67" t="n">
        <v>140</v>
      </c>
      <c r="O32" s="17">
        <f>IF($A32="","",MAX(0,$E32-$D32))</f>
        <v/>
      </c>
      <c r="P32" s="17">
        <f>IF($A32="","",MAX(0,$O32-$F32))</f>
        <v/>
      </c>
      <c r="Q32" s="17">
        <f>IF($A32="","",IF(OR($J32="ARSIV",$J32="RED"),0,IF($C32="","",raporTarihi-$C32)))</f>
        <v/>
      </c>
      <c r="R32" s="17">
        <f>IF($A32="","",IF($Q32="","",IF($Q32&lt;=pvf_kovaEsik1,"0-7",IF($Q32&lt;=pvf_kovaEsik2,"8-30",IF($Q32&lt;=pvf_kovaEsik3,"31-60","60+")))))</f>
        <v/>
      </c>
      <c r="S32" s="17">
        <f>IF($A32="","",IF($B32="","YETİM",IF(COUNTIF(tblPersonel[PersonelId],$B32)=0,"YETİM","")))</f>
        <v/>
      </c>
      <c r="T32" s="17">
        <f>IF(OR($A32="",$I32=""),"",IF(OR($I32&amp;"|"&amp;$J32="",COUNTIF(ListeIzinliGecis,$I32&amp;"|"&amp;$J32)&gt;0),"","GEÇERSİZ GEÇİŞ"))</f>
        <v/>
      </c>
      <c r="U32" s="17">
        <f>IF($A32="","",IF(OR($P32="",$G32=""),"",IF(ABS($G32-$P32)&gt;zincirTolerans,"ZİNCİR KIRIK","OK")))</f>
        <v/>
      </c>
      <c r="V32" s="17">
        <f>IF($A32="","",1)</f>
        <v/>
      </c>
      <c r="W32" s="17">
        <f>IF($A32="","",$G32*$N32*pvf_mesaiKatsayi)</f>
        <v/>
      </c>
    </row>
    <row r="33">
      <c r="A33" s="15" t="inlineStr">
        <is>
          <t>PUA-00028</t>
        </is>
      </c>
      <c r="B33" s="15" t="inlineStr">
        <is>
          <t>PER-00004</t>
        </is>
      </c>
      <c r="C33" s="66" t="n">
        <v>46234</v>
      </c>
      <c r="D33" s="16" t="n">
        <v>8</v>
      </c>
      <c r="E33" s="16" t="n">
        <v>17</v>
      </c>
      <c r="F33" s="16" t="n">
        <v>8</v>
      </c>
      <c r="G33" s="16" t="n">
        <v>1</v>
      </c>
      <c r="H33" s="15" t="inlineStr">
        <is>
          <t>RAPOR</t>
        </is>
      </c>
      <c r="I33" s="15" t="inlineStr">
        <is>
          <t>ONAY</t>
        </is>
      </c>
      <c r="J33" s="15" t="inlineStr">
        <is>
          <t>ARSIV</t>
        </is>
      </c>
      <c r="K33" s="15" t="inlineStr">
        <is>
          <t>İMZA-028</t>
        </is>
      </c>
      <c r="L33" s="15" t="inlineStr">
        <is>
          <t>B</t>
        </is>
      </c>
      <c r="M33" s="15" t="inlineStr">
        <is>
          <t>Puantaj notu 28</t>
        </is>
      </c>
      <c r="N33" s="67" t="n">
        <v>150</v>
      </c>
      <c r="O33" s="17">
        <f>IF($A33="","",MAX(0,$E33-$D33))</f>
        <v/>
      </c>
      <c r="P33" s="17">
        <f>IF($A33="","",MAX(0,$O33-$F33))</f>
        <v/>
      </c>
      <c r="Q33" s="17">
        <f>IF($A33="","",IF(OR($J33="ARSIV",$J33="RED"),0,IF($C33="","",raporTarihi-$C33)))</f>
        <v/>
      </c>
      <c r="R33" s="17">
        <f>IF($A33="","",IF($Q33="","",IF($Q33&lt;=pvf_kovaEsik1,"0-7",IF($Q33&lt;=pvf_kovaEsik2,"8-30",IF($Q33&lt;=pvf_kovaEsik3,"31-60","60+")))))</f>
        <v/>
      </c>
      <c r="S33" s="17">
        <f>IF($A33="","",IF($B33="","YETİM",IF(COUNTIF(tblPersonel[PersonelId],$B33)=0,"YETİM","")))</f>
        <v/>
      </c>
      <c r="T33" s="17">
        <f>IF(OR($A33="",$I33=""),"",IF(OR($I33&amp;"|"&amp;$J33="",COUNTIF(ListeIzinliGecis,$I33&amp;"|"&amp;$J33)&gt;0),"","GEÇERSİZ GEÇİŞ"))</f>
        <v/>
      </c>
      <c r="U33" s="17">
        <f>IF($A33="","",IF(OR($P33="",$G33=""),"",IF(ABS($G33-$P33)&gt;zincirTolerans,"ZİNCİR KIRIK","OK")))</f>
        <v/>
      </c>
      <c r="V33" s="17">
        <f>IF($A33="","",1)</f>
        <v/>
      </c>
      <c r="W33" s="17">
        <f>IF($A33="","",$G33*$N33*pvf_mesaiKatsayi)</f>
        <v/>
      </c>
    </row>
    <row r="34">
      <c r="A34" s="15" t="n"/>
      <c r="B34" s="15" t="n"/>
      <c r="C34" s="66" t="n"/>
      <c r="D34" s="16" t="n"/>
      <c r="E34" s="16" t="n"/>
      <c r="F34" s="16" t="n"/>
      <c r="G34" s="16" t="n"/>
      <c r="H34" s="15" t="n"/>
      <c r="I34" s="15" t="n"/>
      <c r="J34" s="15" t="n"/>
      <c r="K34" s="15" t="n"/>
      <c r="L34" s="15" t="n"/>
      <c r="M34" s="15" t="n"/>
      <c r="N34" s="67" t="n"/>
      <c r="O34" s="17">
        <f>IF($A34="","",MAX(0,$E34-$D34))</f>
        <v/>
      </c>
      <c r="P34" s="17">
        <f>IF($A34="","",MAX(0,$O34-$F34))</f>
        <v/>
      </c>
      <c r="Q34" s="17">
        <f>IF($A34="","",IF(OR($J34="ARSIV",$J34="RED"),0,IF($C34="","",raporTarihi-$C34)))</f>
        <v/>
      </c>
      <c r="R34" s="17">
        <f>IF($A34="","",IF($Q34="","",IF($Q34&lt;=pvf_kovaEsik1,"0-7",IF($Q34&lt;=pvf_kovaEsik2,"8-30",IF($Q34&lt;=pvf_kovaEsik3,"31-60","60+")))))</f>
        <v/>
      </c>
      <c r="S34" s="17">
        <f>IF($A34="","",IF($B34="","YETİM",IF(COUNTIF(tblPersonel[PersonelId],$B34)=0,"YETİM","")))</f>
        <v/>
      </c>
      <c r="T34" s="17">
        <f>IF(OR($A34="",$I34=""),"",IF(OR($I34&amp;"|"&amp;$J34="",COUNTIF(ListeIzinliGecis,$I34&amp;"|"&amp;$J34)&gt;0),"","GEÇERSİZ GEÇİŞ"))</f>
        <v/>
      </c>
      <c r="U34" s="17">
        <f>IF($A34="","",IF(OR($P34="",$G34=""),"",IF(ABS($G34-$P34)&gt;zincirTolerans,"ZİNCİR KIRIK","OK")))</f>
        <v/>
      </c>
      <c r="V34" s="17">
        <f>IF($A34="","",1)</f>
        <v/>
      </c>
      <c r="W34" s="17">
        <f>IF($A34="","",$G34*$N34*pvf_mesaiKatsayi)</f>
        <v/>
      </c>
    </row>
    <row r="35">
      <c r="A35" s="15" t="n"/>
      <c r="B35" s="15" t="n"/>
      <c r="C35" s="66" t="n"/>
      <c r="D35" s="16" t="n"/>
      <c r="E35" s="16" t="n"/>
      <c r="F35" s="16" t="n"/>
      <c r="G35" s="16" t="n"/>
      <c r="H35" s="15" t="n"/>
      <c r="I35" s="15" t="n"/>
      <c r="J35" s="15" t="n"/>
      <c r="K35" s="15" t="n"/>
      <c r="L35" s="15" t="n"/>
      <c r="M35" s="15" t="n"/>
      <c r="N35" s="67" t="n"/>
      <c r="O35" s="17">
        <f>IF($A35="","",MAX(0,$E35-$D35))</f>
        <v/>
      </c>
      <c r="P35" s="17">
        <f>IF($A35="","",MAX(0,$O35-$F35))</f>
        <v/>
      </c>
      <c r="Q35" s="17">
        <f>IF($A35="","",IF(OR($J35="ARSIV",$J35="RED"),0,IF($C35="","",raporTarihi-$C35)))</f>
        <v/>
      </c>
      <c r="R35" s="17">
        <f>IF($A35="","",IF($Q35="","",IF($Q35&lt;=pvf_kovaEsik1,"0-7",IF($Q35&lt;=pvf_kovaEsik2,"8-30",IF($Q35&lt;=pvf_kovaEsik3,"31-60","60+")))))</f>
        <v/>
      </c>
      <c r="S35" s="17">
        <f>IF($A35="","",IF($B35="","YETİM",IF(COUNTIF(tblPersonel[PersonelId],$B35)=0,"YETİM","")))</f>
        <v/>
      </c>
      <c r="T35" s="17">
        <f>IF(OR($A35="",$I35=""),"",IF(OR($I35&amp;"|"&amp;$J35="",COUNTIF(ListeIzinliGecis,$I35&amp;"|"&amp;$J35)&gt;0),"","GEÇERSİZ GEÇİŞ"))</f>
        <v/>
      </c>
      <c r="U35" s="17">
        <f>IF($A35="","",IF(OR($P35="",$G35=""),"",IF(ABS($G35-$P35)&gt;zincirTolerans,"ZİNCİR KIRIK","OK")))</f>
        <v/>
      </c>
      <c r="V35" s="17">
        <f>IF($A35="","",1)</f>
        <v/>
      </c>
      <c r="W35" s="17">
        <f>IF($A35="","",$G35*$N35*pvf_mesaiKatsayi)</f>
        <v/>
      </c>
    </row>
    <row r="36">
      <c r="A36" s="15" t="n"/>
      <c r="B36" s="15" t="n"/>
      <c r="C36" s="66" t="n"/>
      <c r="D36" s="16" t="n"/>
      <c r="E36" s="16" t="n"/>
      <c r="F36" s="16" t="n"/>
      <c r="G36" s="16" t="n"/>
      <c r="H36" s="15" t="n"/>
      <c r="I36" s="15" t="n"/>
      <c r="J36" s="15" t="n"/>
      <c r="K36" s="15" t="n"/>
      <c r="L36" s="15" t="n"/>
      <c r="M36" s="15" t="n"/>
      <c r="N36" s="67" t="n"/>
      <c r="O36" s="17">
        <f>IF($A36="","",MAX(0,$E36-$D36))</f>
        <v/>
      </c>
      <c r="P36" s="17">
        <f>IF($A36="","",MAX(0,$O36-$F36))</f>
        <v/>
      </c>
      <c r="Q36" s="17">
        <f>IF($A36="","",IF(OR($J36="ARSIV",$J36="RED"),0,IF($C36="","",raporTarihi-$C36)))</f>
        <v/>
      </c>
      <c r="R36" s="17">
        <f>IF($A36="","",IF($Q36="","",IF($Q36&lt;=pvf_kovaEsik1,"0-7",IF($Q36&lt;=pvf_kovaEsik2,"8-30",IF($Q36&lt;=pvf_kovaEsik3,"31-60","60+")))))</f>
        <v/>
      </c>
      <c r="S36" s="17">
        <f>IF($A36="","",IF($B36="","YETİM",IF(COUNTIF(tblPersonel[PersonelId],$B36)=0,"YETİM","")))</f>
        <v/>
      </c>
      <c r="T36" s="17">
        <f>IF(OR($A36="",$I36=""),"",IF(OR($I36&amp;"|"&amp;$J36="",COUNTIF(ListeIzinliGecis,$I36&amp;"|"&amp;$J36)&gt;0),"","GEÇERSİZ GEÇİŞ"))</f>
        <v/>
      </c>
      <c r="U36" s="17">
        <f>IF($A36="","",IF(OR($P36="",$G36=""),"",IF(ABS($G36-$P36)&gt;zincirTolerans,"ZİNCİR KIRIK","OK")))</f>
        <v/>
      </c>
      <c r="V36" s="17">
        <f>IF($A36="","",1)</f>
        <v/>
      </c>
      <c r="W36" s="17">
        <f>IF($A36="","",$G36*$N36*pvf_mesaiKatsayi)</f>
        <v/>
      </c>
    </row>
    <row r="37">
      <c r="A37" s="15" t="n"/>
      <c r="B37" s="15" t="n"/>
      <c r="C37" s="66" t="n"/>
      <c r="D37" s="16" t="n"/>
      <c r="E37" s="16" t="n"/>
      <c r="F37" s="16" t="n"/>
      <c r="G37" s="16" t="n"/>
      <c r="H37" s="15" t="n"/>
      <c r="I37" s="15" t="n"/>
      <c r="J37" s="15" t="n"/>
      <c r="K37" s="15" t="n"/>
      <c r="L37" s="15" t="n"/>
      <c r="M37" s="15" t="n"/>
      <c r="N37" s="67" t="n"/>
      <c r="O37" s="17">
        <f>IF($A37="","",MAX(0,$E37-$D37))</f>
        <v/>
      </c>
      <c r="P37" s="17">
        <f>IF($A37="","",MAX(0,$O37-$F37))</f>
        <v/>
      </c>
      <c r="Q37" s="17">
        <f>IF($A37="","",IF(OR($J37="ARSIV",$J37="RED"),0,IF($C37="","",raporTarihi-$C37)))</f>
        <v/>
      </c>
      <c r="R37" s="17">
        <f>IF($A37="","",IF($Q37="","",IF($Q37&lt;=pvf_kovaEsik1,"0-7",IF($Q37&lt;=pvf_kovaEsik2,"8-30",IF($Q37&lt;=pvf_kovaEsik3,"31-60","60+")))))</f>
        <v/>
      </c>
      <c r="S37" s="17">
        <f>IF($A37="","",IF($B37="","YETİM",IF(COUNTIF(tblPersonel[PersonelId],$B37)=0,"YETİM","")))</f>
        <v/>
      </c>
      <c r="T37" s="17">
        <f>IF(OR($A37="",$I37=""),"",IF(OR($I37&amp;"|"&amp;$J37="",COUNTIF(ListeIzinliGecis,$I37&amp;"|"&amp;$J37)&gt;0),"","GEÇERSİZ GEÇİŞ"))</f>
        <v/>
      </c>
      <c r="U37" s="17">
        <f>IF($A37="","",IF(OR($P37="",$G37=""),"",IF(ABS($G37-$P37)&gt;zincirTolerans,"ZİNCİR KIRIK","OK")))</f>
        <v/>
      </c>
      <c r="V37" s="17">
        <f>IF($A37="","",1)</f>
        <v/>
      </c>
      <c r="W37" s="17">
        <f>IF($A37="","",$G37*$N37*pvf_mesaiKatsayi)</f>
        <v/>
      </c>
    </row>
    <row r="38">
      <c r="A38" s="15" t="n"/>
      <c r="B38" s="15" t="n"/>
      <c r="C38" s="66" t="n"/>
      <c r="D38" s="16" t="n"/>
      <c r="E38" s="16" t="n"/>
      <c r="F38" s="16" t="n"/>
      <c r="G38" s="16" t="n"/>
      <c r="H38" s="15" t="n"/>
      <c r="I38" s="15" t="n"/>
      <c r="J38" s="15" t="n"/>
      <c r="K38" s="15" t="n"/>
      <c r="L38" s="15" t="n"/>
      <c r="M38" s="15" t="n"/>
      <c r="N38" s="67" t="n"/>
      <c r="O38" s="17">
        <f>IF($A38="","",MAX(0,$E38-$D38))</f>
        <v/>
      </c>
      <c r="P38" s="17">
        <f>IF($A38="","",MAX(0,$O38-$F38))</f>
        <v/>
      </c>
      <c r="Q38" s="17">
        <f>IF($A38="","",IF(OR($J38="ARSIV",$J38="RED"),0,IF($C38="","",raporTarihi-$C38)))</f>
        <v/>
      </c>
      <c r="R38" s="17">
        <f>IF($A38="","",IF($Q38="","",IF($Q38&lt;=pvf_kovaEsik1,"0-7",IF($Q38&lt;=pvf_kovaEsik2,"8-30",IF($Q38&lt;=pvf_kovaEsik3,"31-60","60+")))))</f>
        <v/>
      </c>
      <c r="S38" s="17">
        <f>IF($A38="","",IF($B38="","YETİM",IF(COUNTIF(tblPersonel[PersonelId],$B38)=0,"YETİM","")))</f>
        <v/>
      </c>
      <c r="T38" s="17">
        <f>IF(OR($A38="",$I38=""),"",IF(OR($I38&amp;"|"&amp;$J38="",COUNTIF(ListeIzinliGecis,$I38&amp;"|"&amp;$J38)&gt;0),"","GEÇERSİZ GEÇİŞ"))</f>
        <v/>
      </c>
      <c r="U38" s="17">
        <f>IF($A38="","",IF(OR($P38="",$G38=""),"",IF(ABS($G38-$P38)&gt;zincirTolerans,"ZİNCİR KIRIK","OK")))</f>
        <v/>
      </c>
      <c r="V38" s="17">
        <f>IF($A38="","",1)</f>
        <v/>
      </c>
      <c r="W38" s="17">
        <f>IF($A38="","",$G38*$N38*pvf_mesaiKatsayi)</f>
        <v/>
      </c>
    </row>
    <row r="39">
      <c r="A39" s="15" t="n"/>
      <c r="B39" s="15" t="n"/>
      <c r="C39" s="66" t="n"/>
      <c r="D39" s="16" t="n"/>
      <c r="E39" s="16" t="n"/>
      <c r="F39" s="16" t="n"/>
      <c r="G39" s="16" t="n"/>
      <c r="H39" s="15" t="n"/>
      <c r="I39" s="15" t="n"/>
      <c r="J39" s="15" t="n"/>
      <c r="K39" s="15" t="n"/>
      <c r="L39" s="15" t="n"/>
      <c r="M39" s="15" t="n"/>
      <c r="N39" s="67" t="n"/>
      <c r="O39" s="17">
        <f>IF($A39="","",MAX(0,$E39-$D39))</f>
        <v/>
      </c>
      <c r="P39" s="17">
        <f>IF($A39="","",MAX(0,$O39-$F39))</f>
        <v/>
      </c>
      <c r="Q39" s="17">
        <f>IF($A39="","",IF(OR($J39="ARSIV",$J39="RED"),0,IF($C39="","",raporTarihi-$C39)))</f>
        <v/>
      </c>
      <c r="R39" s="17">
        <f>IF($A39="","",IF($Q39="","",IF($Q39&lt;=pvf_kovaEsik1,"0-7",IF($Q39&lt;=pvf_kovaEsik2,"8-30",IF($Q39&lt;=pvf_kovaEsik3,"31-60","60+")))))</f>
        <v/>
      </c>
      <c r="S39" s="17">
        <f>IF($A39="","",IF($B39="","YETİM",IF(COUNTIF(tblPersonel[PersonelId],$B39)=0,"YETİM","")))</f>
        <v/>
      </c>
      <c r="T39" s="17">
        <f>IF(OR($A39="",$I39=""),"",IF(OR($I39&amp;"|"&amp;$J39="",COUNTIF(ListeIzinliGecis,$I39&amp;"|"&amp;$J39)&gt;0),"","GEÇERSİZ GEÇİŞ"))</f>
        <v/>
      </c>
      <c r="U39" s="17">
        <f>IF($A39="","",IF(OR($P39="",$G39=""),"",IF(ABS($G39-$P39)&gt;zincirTolerans,"ZİNCİR KIRIK","OK")))</f>
        <v/>
      </c>
      <c r="V39" s="17">
        <f>IF($A39="","",1)</f>
        <v/>
      </c>
      <c r="W39" s="17">
        <f>IF($A39="","",$G39*$N39*pvf_mesaiKatsayi)</f>
        <v/>
      </c>
    </row>
    <row r="40">
      <c r="A40" s="15" t="n"/>
      <c r="B40" s="15" t="n"/>
      <c r="C40" s="66" t="n"/>
      <c r="D40" s="16" t="n"/>
      <c r="E40" s="16" t="n"/>
      <c r="F40" s="16" t="n"/>
      <c r="G40" s="16" t="n"/>
      <c r="H40" s="15" t="n"/>
      <c r="I40" s="15" t="n"/>
      <c r="J40" s="15" t="n"/>
      <c r="K40" s="15" t="n"/>
      <c r="L40" s="15" t="n"/>
      <c r="M40" s="15" t="n"/>
      <c r="N40" s="67" t="n"/>
      <c r="O40" s="17">
        <f>IF($A40="","",MAX(0,$E40-$D40))</f>
        <v/>
      </c>
      <c r="P40" s="17">
        <f>IF($A40="","",MAX(0,$O40-$F40))</f>
        <v/>
      </c>
      <c r="Q40" s="17">
        <f>IF($A40="","",IF(OR($J40="ARSIV",$J40="RED"),0,IF($C40="","",raporTarihi-$C40)))</f>
        <v/>
      </c>
      <c r="R40" s="17">
        <f>IF($A40="","",IF($Q40="","",IF($Q40&lt;=pvf_kovaEsik1,"0-7",IF($Q40&lt;=pvf_kovaEsik2,"8-30",IF($Q40&lt;=pvf_kovaEsik3,"31-60","60+")))))</f>
        <v/>
      </c>
      <c r="S40" s="17">
        <f>IF($A40="","",IF($B40="","YETİM",IF(COUNTIF(tblPersonel[PersonelId],$B40)=0,"YETİM","")))</f>
        <v/>
      </c>
      <c r="T40" s="17">
        <f>IF(OR($A40="",$I40=""),"",IF(OR($I40&amp;"|"&amp;$J40="",COUNTIF(ListeIzinliGecis,$I40&amp;"|"&amp;$J40)&gt;0),"","GEÇERSİZ GEÇİŞ"))</f>
        <v/>
      </c>
      <c r="U40" s="17">
        <f>IF($A40="","",IF(OR($P40="",$G40=""),"",IF(ABS($G40-$P40)&gt;zincirTolerans,"ZİNCİR KIRIK","OK")))</f>
        <v/>
      </c>
      <c r="V40" s="17">
        <f>IF($A40="","",1)</f>
        <v/>
      </c>
      <c r="W40" s="17">
        <f>IF($A40="","",$G40*$N40*pvf_mesaiKatsayi)</f>
        <v/>
      </c>
    </row>
    <row r="41">
      <c r="A41" s="15" t="n"/>
      <c r="B41" s="15" t="n"/>
      <c r="C41" s="66" t="n"/>
      <c r="D41" s="16" t="n"/>
      <c r="E41" s="16" t="n"/>
      <c r="F41" s="16" t="n"/>
      <c r="G41" s="16" t="n"/>
      <c r="H41" s="15" t="n"/>
      <c r="I41" s="15" t="n"/>
      <c r="J41" s="15" t="n"/>
      <c r="K41" s="15" t="n"/>
      <c r="L41" s="15" t="n"/>
      <c r="M41" s="15" t="n"/>
      <c r="N41" s="67" t="n"/>
      <c r="O41" s="17">
        <f>IF($A41="","",MAX(0,$E41-$D41))</f>
        <v/>
      </c>
      <c r="P41" s="17">
        <f>IF($A41="","",MAX(0,$O41-$F41))</f>
        <v/>
      </c>
      <c r="Q41" s="17">
        <f>IF($A41="","",IF(OR($J41="ARSIV",$J41="RED"),0,IF($C41="","",raporTarihi-$C41)))</f>
        <v/>
      </c>
      <c r="R41" s="17">
        <f>IF($A41="","",IF($Q41="","",IF($Q41&lt;=pvf_kovaEsik1,"0-7",IF($Q41&lt;=pvf_kovaEsik2,"8-30",IF($Q41&lt;=pvf_kovaEsik3,"31-60","60+")))))</f>
        <v/>
      </c>
      <c r="S41" s="17">
        <f>IF($A41="","",IF($B41="","YETİM",IF(COUNTIF(tblPersonel[PersonelId],$B41)=0,"YETİM","")))</f>
        <v/>
      </c>
      <c r="T41" s="17">
        <f>IF(OR($A41="",$I41=""),"",IF(OR($I41&amp;"|"&amp;$J41="",COUNTIF(ListeIzinliGecis,$I41&amp;"|"&amp;$J41)&gt;0),"","GEÇERSİZ GEÇİŞ"))</f>
        <v/>
      </c>
      <c r="U41" s="17">
        <f>IF($A41="","",IF(OR($P41="",$G41=""),"",IF(ABS($G41-$P41)&gt;zincirTolerans,"ZİNCİR KIRIK","OK")))</f>
        <v/>
      </c>
      <c r="V41" s="17">
        <f>IF($A41="","",1)</f>
        <v/>
      </c>
      <c r="W41" s="17">
        <f>IF($A41="","",$G41*$N41*pvf_mesaiKatsayi)</f>
        <v/>
      </c>
    </row>
    <row r="42">
      <c r="A42" s="15" t="n"/>
      <c r="B42" s="15" t="n"/>
      <c r="C42" s="66" t="n"/>
      <c r="D42" s="16" t="n"/>
      <c r="E42" s="16" t="n"/>
      <c r="F42" s="16" t="n"/>
      <c r="G42" s="16" t="n"/>
      <c r="H42" s="15" t="n"/>
      <c r="I42" s="15" t="n"/>
      <c r="J42" s="15" t="n"/>
      <c r="K42" s="15" t="n"/>
      <c r="L42" s="15" t="n"/>
      <c r="M42" s="15" t="n"/>
      <c r="N42" s="67" t="n"/>
      <c r="O42" s="17">
        <f>IF($A42="","",MAX(0,$E42-$D42))</f>
        <v/>
      </c>
      <c r="P42" s="17">
        <f>IF($A42="","",MAX(0,$O42-$F42))</f>
        <v/>
      </c>
      <c r="Q42" s="17">
        <f>IF($A42="","",IF(OR($J42="ARSIV",$J42="RED"),0,IF($C42="","",raporTarihi-$C42)))</f>
        <v/>
      </c>
      <c r="R42" s="17">
        <f>IF($A42="","",IF($Q42="","",IF($Q42&lt;=pvf_kovaEsik1,"0-7",IF($Q42&lt;=pvf_kovaEsik2,"8-30",IF($Q42&lt;=pvf_kovaEsik3,"31-60","60+")))))</f>
        <v/>
      </c>
      <c r="S42" s="17">
        <f>IF($A42="","",IF($B42="","YETİM",IF(COUNTIF(tblPersonel[PersonelId],$B42)=0,"YETİM","")))</f>
        <v/>
      </c>
      <c r="T42" s="17">
        <f>IF(OR($A42="",$I42=""),"",IF(OR($I42&amp;"|"&amp;$J42="",COUNTIF(ListeIzinliGecis,$I42&amp;"|"&amp;$J42)&gt;0),"","GEÇERSİZ GEÇİŞ"))</f>
        <v/>
      </c>
      <c r="U42" s="17">
        <f>IF($A42="","",IF(OR($P42="",$G42=""),"",IF(ABS($G42-$P42)&gt;zincirTolerans,"ZİNCİR KIRIK","OK")))</f>
        <v/>
      </c>
      <c r="V42" s="17">
        <f>IF($A42="","",1)</f>
        <v/>
      </c>
      <c r="W42" s="17">
        <f>IF($A42="","",$G42*$N42*pvf_mesaiKatsayi)</f>
        <v/>
      </c>
    </row>
    <row r="43">
      <c r="A43" s="15" t="n"/>
      <c r="B43" s="15" t="n"/>
      <c r="C43" s="66" t="n"/>
      <c r="D43" s="16" t="n"/>
      <c r="E43" s="16" t="n"/>
      <c r="F43" s="16" t="n"/>
      <c r="G43" s="16" t="n"/>
      <c r="H43" s="15" t="n"/>
      <c r="I43" s="15" t="n"/>
      <c r="J43" s="15" t="n"/>
      <c r="K43" s="15" t="n"/>
      <c r="L43" s="15" t="n"/>
      <c r="M43" s="15" t="n"/>
      <c r="N43" s="67" t="n"/>
      <c r="O43" s="17">
        <f>IF($A43="","",MAX(0,$E43-$D43))</f>
        <v/>
      </c>
      <c r="P43" s="17">
        <f>IF($A43="","",MAX(0,$O43-$F43))</f>
        <v/>
      </c>
      <c r="Q43" s="17">
        <f>IF($A43="","",IF(OR($J43="ARSIV",$J43="RED"),0,IF($C43="","",raporTarihi-$C43)))</f>
        <v/>
      </c>
      <c r="R43" s="17">
        <f>IF($A43="","",IF($Q43="","",IF($Q43&lt;=pvf_kovaEsik1,"0-7",IF($Q43&lt;=pvf_kovaEsik2,"8-30",IF($Q43&lt;=pvf_kovaEsik3,"31-60","60+")))))</f>
        <v/>
      </c>
      <c r="S43" s="17">
        <f>IF($A43="","",IF($B43="","YETİM",IF(COUNTIF(tblPersonel[PersonelId],$B43)=0,"YETİM","")))</f>
        <v/>
      </c>
      <c r="T43" s="17">
        <f>IF(OR($A43="",$I43=""),"",IF(OR($I43&amp;"|"&amp;$J43="",COUNTIF(ListeIzinliGecis,$I43&amp;"|"&amp;$J43)&gt;0),"","GEÇERSİZ GEÇİŞ"))</f>
        <v/>
      </c>
      <c r="U43" s="17">
        <f>IF($A43="","",IF(OR($P43="",$G43=""),"",IF(ABS($G43-$P43)&gt;zincirTolerans,"ZİNCİR KIRIK","OK")))</f>
        <v/>
      </c>
      <c r="V43" s="17">
        <f>IF($A43="","",1)</f>
        <v/>
      </c>
      <c r="W43" s="17">
        <f>IF($A43="","",$G43*$N43*pvf_mesaiKatsayi)</f>
        <v/>
      </c>
    </row>
    <row r="44">
      <c r="A44" s="15" t="n"/>
      <c r="B44" s="15" t="n"/>
      <c r="C44" s="66" t="n"/>
      <c r="D44" s="16" t="n"/>
      <c r="E44" s="16" t="n"/>
      <c r="F44" s="16" t="n"/>
      <c r="G44" s="16" t="n"/>
      <c r="H44" s="15" t="n"/>
      <c r="I44" s="15" t="n"/>
      <c r="J44" s="15" t="n"/>
      <c r="K44" s="15" t="n"/>
      <c r="L44" s="15" t="n"/>
      <c r="M44" s="15" t="n"/>
      <c r="N44" s="67" t="n"/>
      <c r="O44" s="17">
        <f>IF($A44="","",MAX(0,$E44-$D44))</f>
        <v/>
      </c>
      <c r="P44" s="17">
        <f>IF($A44="","",MAX(0,$O44-$F44))</f>
        <v/>
      </c>
      <c r="Q44" s="17">
        <f>IF($A44="","",IF(OR($J44="ARSIV",$J44="RED"),0,IF($C44="","",raporTarihi-$C44)))</f>
        <v/>
      </c>
      <c r="R44" s="17">
        <f>IF($A44="","",IF($Q44="","",IF($Q44&lt;=pvf_kovaEsik1,"0-7",IF($Q44&lt;=pvf_kovaEsik2,"8-30",IF($Q44&lt;=pvf_kovaEsik3,"31-60","60+")))))</f>
        <v/>
      </c>
      <c r="S44" s="17">
        <f>IF($A44="","",IF($B44="","YETİM",IF(COUNTIF(tblPersonel[PersonelId],$B44)=0,"YETİM","")))</f>
        <v/>
      </c>
      <c r="T44" s="17">
        <f>IF(OR($A44="",$I44=""),"",IF(OR($I44&amp;"|"&amp;$J44="",COUNTIF(ListeIzinliGecis,$I44&amp;"|"&amp;$J44)&gt;0),"","GEÇERSİZ GEÇİŞ"))</f>
        <v/>
      </c>
      <c r="U44" s="17">
        <f>IF($A44="","",IF(OR($P44="",$G44=""),"",IF(ABS($G44-$P44)&gt;zincirTolerans,"ZİNCİR KIRIK","OK")))</f>
        <v/>
      </c>
      <c r="V44" s="17">
        <f>IF($A44="","",1)</f>
        <v/>
      </c>
      <c r="W44" s="17">
        <f>IF($A44="","",$G44*$N44*pvf_mesaiKatsayi)</f>
        <v/>
      </c>
    </row>
    <row r="45">
      <c r="A45" s="15" t="n"/>
      <c r="B45" s="15" t="n"/>
      <c r="C45" s="66" t="n"/>
      <c r="D45" s="16" t="n"/>
      <c r="E45" s="16" t="n"/>
      <c r="F45" s="16" t="n"/>
      <c r="G45" s="16" t="n"/>
      <c r="H45" s="15" t="n"/>
      <c r="I45" s="15" t="n"/>
      <c r="J45" s="15" t="n"/>
      <c r="K45" s="15" t="n"/>
      <c r="L45" s="15" t="n"/>
      <c r="M45" s="15" t="n"/>
      <c r="N45" s="67" t="n"/>
      <c r="O45" s="17">
        <f>IF($A45="","",MAX(0,$E45-$D45))</f>
        <v/>
      </c>
      <c r="P45" s="17">
        <f>IF($A45="","",MAX(0,$O45-$F45))</f>
        <v/>
      </c>
      <c r="Q45" s="17">
        <f>IF($A45="","",IF(OR($J45="ARSIV",$J45="RED"),0,IF($C45="","",raporTarihi-$C45)))</f>
        <v/>
      </c>
      <c r="R45" s="17">
        <f>IF($A45="","",IF($Q45="","",IF($Q45&lt;=pvf_kovaEsik1,"0-7",IF($Q45&lt;=pvf_kovaEsik2,"8-30",IF($Q45&lt;=pvf_kovaEsik3,"31-60","60+")))))</f>
        <v/>
      </c>
      <c r="S45" s="17">
        <f>IF($A45="","",IF($B45="","YETİM",IF(COUNTIF(tblPersonel[PersonelId],$B45)=0,"YETİM","")))</f>
        <v/>
      </c>
      <c r="T45" s="17">
        <f>IF(OR($A45="",$I45=""),"",IF(OR($I45&amp;"|"&amp;$J45="",COUNTIF(ListeIzinliGecis,$I45&amp;"|"&amp;$J45)&gt;0),"","GEÇERSİZ GEÇİŞ"))</f>
        <v/>
      </c>
      <c r="U45" s="17">
        <f>IF($A45="","",IF(OR($P45="",$G45=""),"",IF(ABS($G45-$P45)&gt;zincirTolerans,"ZİNCİR KIRIK","OK")))</f>
        <v/>
      </c>
      <c r="V45" s="17">
        <f>IF($A45="","",1)</f>
        <v/>
      </c>
      <c r="W45" s="17">
        <f>IF($A45="","",$G45*$N45*pvf_mesaiKatsayi)</f>
        <v/>
      </c>
    </row>
    <row r="46">
      <c r="A46" s="15" t="n"/>
      <c r="B46" s="15" t="n"/>
      <c r="C46" s="66" t="n"/>
      <c r="D46" s="16" t="n"/>
      <c r="E46" s="16" t="n"/>
      <c r="F46" s="16" t="n"/>
      <c r="G46" s="16" t="n"/>
      <c r="H46" s="15" t="n"/>
      <c r="I46" s="15" t="n"/>
      <c r="J46" s="15" t="n"/>
      <c r="K46" s="15" t="n"/>
      <c r="L46" s="15" t="n"/>
      <c r="M46" s="15" t="n"/>
      <c r="N46" s="67" t="n"/>
      <c r="O46" s="17">
        <f>IF($A46="","",MAX(0,$E46-$D46))</f>
        <v/>
      </c>
      <c r="P46" s="17">
        <f>IF($A46="","",MAX(0,$O46-$F46))</f>
        <v/>
      </c>
      <c r="Q46" s="17">
        <f>IF($A46="","",IF(OR($J46="ARSIV",$J46="RED"),0,IF($C46="","",raporTarihi-$C46)))</f>
        <v/>
      </c>
      <c r="R46" s="17">
        <f>IF($A46="","",IF($Q46="","",IF($Q46&lt;=pvf_kovaEsik1,"0-7",IF($Q46&lt;=pvf_kovaEsik2,"8-30",IF($Q46&lt;=pvf_kovaEsik3,"31-60","60+")))))</f>
        <v/>
      </c>
      <c r="S46" s="17">
        <f>IF($A46="","",IF($B46="","YETİM",IF(COUNTIF(tblPersonel[PersonelId],$B46)=0,"YETİM","")))</f>
        <v/>
      </c>
      <c r="T46" s="17">
        <f>IF(OR($A46="",$I46=""),"",IF(OR($I46&amp;"|"&amp;$J46="",COUNTIF(ListeIzinliGecis,$I46&amp;"|"&amp;$J46)&gt;0),"","GEÇERSİZ GEÇİŞ"))</f>
        <v/>
      </c>
      <c r="U46" s="17">
        <f>IF($A46="","",IF(OR($P46="",$G46=""),"",IF(ABS($G46-$P46)&gt;zincirTolerans,"ZİNCİR KIRIK","OK")))</f>
        <v/>
      </c>
      <c r="V46" s="17">
        <f>IF($A46="","",1)</f>
        <v/>
      </c>
      <c r="W46" s="17">
        <f>IF($A46="","",$G46*$N46*pvf_mesaiKatsayi)</f>
        <v/>
      </c>
    </row>
    <row r="47">
      <c r="A47" s="15" t="n"/>
      <c r="B47" s="15" t="n"/>
      <c r="C47" s="66" t="n"/>
      <c r="D47" s="16" t="n"/>
      <c r="E47" s="16" t="n"/>
      <c r="F47" s="16" t="n"/>
      <c r="G47" s="16" t="n"/>
      <c r="H47" s="15" t="n"/>
      <c r="I47" s="15" t="n"/>
      <c r="J47" s="15" t="n"/>
      <c r="K47" s="15" t="n"/>
      <c r="L47" s="15" t="n"/>
      <c r="M47" s="15" t="n"/>
      <c r="N47" s="67" t="n"/>
      <c r="O47" s="17">
        <f>IF($A47="","",MAX(0,$E47-$D47))</f>
        <v/>
      </c>
      <c r="P47" s="17">
        <f>IF($A47="","",MAX(0,$O47-$F47))</f>
        <v/>
      </c>
      <c r="Q47" s="17">
        <f>IF($A47="","",IF(OR($J47="ARSIV",$J47="RED"),0,IF($C47="","",raporTarihi-$C47)))</f>
        <v/>
      </c>
      <c r="R47" s="17">
        <f>IF($A47="","",IF($Q47="","",IF($Q47&lt;=pvf_kovaEsik1,"0-7",IF($Q47&lt;=pvf_kovaEsik2,"8-30",IF($Q47&lt;=pvf_kovaEsik3,"31-60","60+")))))</f>
        <v/>
      </c>
      <c r="S47" s="17">
        <f>IF($A47="","",IF($B47="","YETİM",IF(COUNTIF(tblPersonel[PersonelId],$B47)=0,"YETİM","")))</f>
        <v/>
      </c>
      <c r="T47" s="17">
        <f>IF(OR($A47="",$I47=""),"",IF(OR($I47&amp;"|"&amp;$J47="",COUNTIF(ListeIzinliGecis,$I47&amp;"|"&amp;$J47)&gt;0),"","GEÇERSİZ GEÇİŞ"))</f>
        <v/>
      </c>
      <c r="U47" s="17">
        <f>IF($A47="","",IF(OR($P47="",$G47=""),"",IF(ABS($G47-$P47)&gt;zincirTolerans,"ZİNCİR KIRIK","OK")))</f>
        <v/>
      </c>
      <c r="V47" s="17">
        <f>IF($A47="","",1)</f>
        <v/>
      </c>
      <c r="W47" s="17">
        <f>IF($A47="","",$G47*$N47*pvf_mesaiKatsayi)</f>
        <v/>
      </c>
    </row>
    <row r="48">
      <c r="A48" s="15" t="n"/>
      <c r="B48" s="15" t="n"/>
      <c r="C48" s="66" t="n"/>
      <c r="D48" s="16" t="n"/>
      <c r="E48" s="16" t="n"/>
      <c r="F48" s="16" t="n"/>
      <c r="G48" s="16" t="n"/>
      <c r="H48" s="15" t="n"/>
      <c r="I48" s="15" t="n"/>
      <c r="J48" s="15" t="n"/>
      <c r="K48" s="15" t="n"/>
      <c r="L48" s="15" t="n"/>
      <c r="M48" s="15" t="n"/>
      <c r="N48" s="67" t="n"/>
      <c r="O48" s="17">
        <f>IF($A48="","",MAX(0,$E48-$D48))</f>
        <v/>
      </c>
      <c r="P48" s="17">
        <f>IF($A48="","",MAX(0,$O48-$F48))</f>
        <v/>
      </c>
      <c r="Q48" s="17">
        <f>IF($A48="","",IF(OR($J48="ARSIV",$J48="RED"),0,IF($C48="","",raporTarihi-$C48)))</f>
        <v/>
      </c>
      <c r="R48" s="17">
        <f>IF($A48="","",IF($Q48="","",IF($Q48&lt;=pvf_kovaEsik1,"0-7",IF($Q48&lt;=pvf_kovaEsik2,"8-30",IF($Q48&lt;=pvf_kovaEsik3,"31-60","60+")))))</f>
        <v/>
      </c>
      <c r="S48" s="17">
        <f>IF($A48="","",IF($B48="","YETİM",IF(COUNTIF(tblPersonel[PersonelId],$B48)=0,"YETİM","")))</f>
        <v/>
      </c>
      <c r="T48" s="17">
        <f>IF(OR($A48="",$I48=""),"",IF(OR($I48&amp;"|"&amp;$J48="",COUNTIF(ListeIzinliGecis,$I48&amp;"|"&amp;$J48)&gt;0),"","GEÇERSİZ GEÇİŞ"))</f>
        <v/>
      </c>
      <c r="U48" s="17">
        <f>IF($A48="","",IF(OR($P48="",$G48=""),"",IF(ABS($G48-$P48)&gt;zincirTolerans,"ZİNCİR KIRIK","OK")))</f>
        <v/>
      </c>
      <c r="V48" s="17">
        <f>IF($A48="","",1)</f>
        <v/>
      </c>
      <c r="W48" s="17">
        <f>IF($A48="","",$G48*$N48*pvf_mesaiKatsayi)</f>
        <v/>
      </c>
    </row>
    <row r="49">
      <c r="A49" s="15" t="n"/>
      <c r="B49" s="15" t="n"/>
      <c r="C49" s="66" t="n"/>
      <c r="D49" s="16" t="n"/>
      <c r="E49" s="16" t="n"/>
      <c r="F49" s="16" t="n"/>
      <c r="G49" s="16" t="n"/>
      <c r="H49" s="15" t="n"/>
      <c r="I49" s="15" t="n"/>
      <c r="J49" s="15" t="n"/>
      <c r="K49" s="15" t="n"/>
      <c r="L49" s="15" t="n"/>
      <c r="M49" s="15" t="n"/>
      <c r="N49" s="67" t="n"/>
      <c r="O49" s="17">
        <f>IF($A49="","",MAX(0,$E49-$D49))</f>
        <v/>
      </c>
      <c r="P49" s="17">
        <f>IF($A49="","",MAX(0,$O49-$F49))</f>
        <v/>
      </c>
      <c r="Q49" s="17">
        <f>IF($A49="","",IF(OR($J49="ARSIV",$J49="RED"),0,IF($C49="","",raporTarihi-$C49)))</f>
        <v/>
      </c>
      <c r="R49" s="17">
        <f>IF($A49="","",IF($Q49="","",IF($Q49&lt;=pvf_kovaEsik1,"0-7",IF($Q49&lt;=pvf_kovaEsik2,"8-30",IF($Q49&lt;=pvf_kovaEsik3,"31-60","60+")))))</f>
        <v/>
      </c>
      <c r="S49" s="17">
        <f>IF($A49="","",IF($B49="","YETİM",IF(COUNTIF(tblPersonel[PersonelId],$B49)=0,"YETİM","")))</f>
        <v/>
      </c>
      <c r="T49" s="17">
        <f>IF(OR($A49="",$I49=""),"",IF(OR($I49&amp;"|"&amp;$J49="",COUNTIF(ListeIzinliGecis,$I49&amp;"|"&amp;$J49)&gt;0),"","GEÇERSİZ GEÇİŞ"))</f>
        <v/>
      </c>
      <c r="U49" s="17">
        <f>IF($A49="","",IF(OR($P49="",$G49=""),"",IF(ABS($G49-$P49)&gt;zincirTolerans,"ZİNCİR KIRIK","OK")))</f>
        <v/>
      </c>
      <c r="V49" s="17">
        <f>IF($A49="","",1)</f>
        <v/>
      </c>
      <c r="W49" s="17">
        <f>IF($A49="","",$G49*$N49*pvf_mesaiKatsayi)</f>
        <v/>
      </c>
    </row>
    <row r="50">
      <c r="A50" s="15" t="n"/>
      <c r="B50" s="15" t="n"/>
      <c r="C50" s="66" t="n"/>
      <c r="D50" s="16" t="n"/>
      <c r="E50" s="16" t="n"/>
      <c r="F50" s="16" t="n"/>
      <c r="G50" s="16" t="n"/>
      <c r="H50" s="15" t="n"/>
      <c r="I50" s="15" t="n"/>
      <c r="J50" s="15" t="n"/>
      <c r="K50" s="15" t="n"/>
      <c r="L50" s="15" t="n"/>
      <c r="M50" s="15" t="n"/>
      <c r="N50" s="67" t="n"/>
      <c r="O50" s="17">
        <f>IF($A50="","",MAX(0,$E50-$D50))</f>
        <v/>
      </c>
      <c r="P50" s="17">
        <f>IF($A50="","",MAX(0,$O50-$F50))</f>
        <v/>
      </c>
      <c r="Q50" s="17">
        <f>IF($A50="","",IF(OR($J50="ARSIV",$J50="RED"),0,IF($C50="","",raporTarihi-$C50)))</f>
        <v/>
      </c>
      <c r="R50" s="17">
        <f>IF($A50="","",IF($Q50="","",IF($Q50&lt;=pvf_kovaEsik1,"0-7",IF($Q50&lt;=pvf_kovaEsik2,"8-30",IF($Q50&lt;=pvf_kovaEsik3,"31-60","60+")))))</f>
        <v/>
      </c>
      <c r="S50" s="17">
        <f>IF($A50="","",IF($B50="","YETİM",IF(COUNTIF(tblPersonel[PersonelId],$B50)=0,"YETİM","")))</f>
        <v/>
      </c>
      <c r="T50" s="17">
        <f>IF(OR($A50="",$I50=""),"",IF(OR($I50&amp;"|"&amp;$J50="",COUNTIF(ListeIzinliGecis,$I50&amp;"|"&amp;$J50)&gt;0),"","GEÇERSİZ GEÇİŞ"))</f>
        <v/>
      </c>
      <c r="U50" s="17">
        <f>IF($A50="","",IF(OR($P50="",$G50=""),"",IF(ABS($G50-$P50)&gt;zincirTolerans,"ZİNCİR KIRIK","OK")))</f>
        <v/>
      </c>
      <c r="V50" s="17">
        <f>IF($A50="","",1)</f>
        <v/>
      </c>
      <c r="W50" s="17">
        <f>IF($A50="","",$G50*$N50*pvf_mesaiKatsayi)</f>
        <v/>
      </c>
    </row>
    <row r="51">
      <c r="A51" s="15" t="n"/>
      <c r="B51" s="15" t="n"/>
      <c r="C51" s="66" t="n"/>
      <c r="D51" s="16" t="n"/>
      <c r="E51" s="16" t="n"/>
      <c r="F51" s="16" t="n"/>
      <c r="G51" s="16" t="n"/>
      <c r="H51" s="15" t="n"/>
      <c r="I51" s="15" t="n"/>
      <c r="J51" s="15" t="n"/>
      <c r="K51" s="15" t="n"/>
      <c r="L51" s="15" t="n"/>
      <c r="M51" s="15" t="n"/>
      <c r="N51" s="67" t="n"/>
      <c r="O51" s="17">
        <f>IF($A51="","",MAX(0,$E51-$D51))</f>
        <v/>
      </c>
      <c r="P51" s="17">
        <f>IF($A51="","",MAX(0,$O51-$F51))</f>
        <v/>
      </c>
      <c r="Q51" s="17">
        <f>IF($A51="","",IF(OR($J51="ARSIV",$J51="RED"),0,IF($C51="","",raporTarihi-$C51)))</f>
        <v/>
      </c>
      <c r="R51" s="17">
        <f>IF($A51="","",IF($Q51="","",IF($Q51&lt;=pvf_kovaEsik1,"0-7",IF($Q51&lt;=pvf_kovaEsik2,"8-30",IF($Q51&lt;=pvf_kovaEsik3,"31-60","60+")))))</f>
        <v/>
      </c>
      <c r="S51" s="17">
        <f>IF($A51="","",IF($B51="","YETİM",IF(COUNTIF(tblPersonel[PersonelId],$B51)=0,"YETİM","")))</f>
        <v/>
      </c>
      <c r="T51" s="17">
        <f>IF(OR($A51="",$I51=""),"",IF(OR($I51&amp;"|"&amp;$J51="",COUNTIF(ListeIzinliGecis,$I51&amp;"|"&amp;$J51)&gt;0),"","GEÇERSİZ GEÇİŞ"))</f>
        <v/>
      </c>
      <c r="U51" s="17">
        <f>IF($A51="","",IF(OR($P51="",$G51=""),"",IF(ABS($G51-$P51)&gt;zincirTolerans,"ZİNCİR KIRIK","OK")))</f>
        <v/>
      </c>
      <c r="V51" s="17">
        <f>IF($A51="","",1)</f>
        <v/>
      </c>
      <c r="W51" s="17">
        <f>IF($A51="","",$G51*$N51*pvf_mesaiKatsayi)</f>
        <v/>
      </c>
    </row>
    <row r="52">
      <c r="A52" s="15" t="n"/>
      <c r="B52" s="15" t="n"/>
      <c r="C52" s="66" t="n"/>
      <c r="D52" s="16" t="n"/>
      <c r="E52" s="16" t="n"/>
      <c r="F52" s="16" t="n"/>
      <c r="G52" s="16" t="n"/>
      <c r="H52" s="15" t="n"/>
      <c r="I52" s="15" t="n"/>
      <c r="J52" s="15" t="n"/>
      <c r="K52" s="15" t="n"/>
      <c r="L52" s="15" t="n"/>
      <c r="M52" s="15" t="n"/>
      <c r="N52" s="67" t="n"/>
      <c r="O52" s="17">
        <f>IF($A52="","",MAX(0,$E52-$D52))</f>
        <v/>
      </c>
      <c r="P52" s="17">
        <f>IF($A52="","",MAX(0,$O52-$F52))</f>
        <v/>
      </c>
      <c r="Q52" s="17">
        <f>IF($A52="","",IF(OR($J52="ARSIV",$J52="RED"),0,IF($C52="","",raporTarihi-$C52)))</f>
        <v/>
      </c>
      <c r="R52" s="17">
        <f>IF($A52="","",IF($Q52="","",IF($Q52&lt;=pvf_kovaEsik1,"0-7",IF($Q52&lt;=pvf_kovaEsik2,"8-30",IF($Q52&lt;=pvf_kovaEsik3,"31-60","60+")))))</f>
        <v/>
      </c>
      <c r="S52" s="17">
        <f>IF($A52="","",IF($B52="","YETİM",IF(COUNTIF(tblPersonel[PersonelId],$B52)=0,"YETİM","")))</f>
        <v/>
      </c>
      <c r="T52" s="17">
        <f>IF(OR($A52="",$I52=""),"",IF(OR($I52&amp;"|"&amp;$J52="",COUNTIF(ListeIzinliGecis,$I52&amp;"|"&amp;$J52)&gt;0),"","GEÇERSİZ GEÇİŞ"))</f>
        <v/>
      </c>
      <c r="U52" s="17">
        <f>IF($A52="","",IF(OR($P52="",$G52=""),"",IF(ABS($G52-$P52)&gt;zincirTolerans,"ZİNCİR KIRIK","OK")))</f>
        <v/>
      </c>
      <c r="V52" s="17">
        <f>IF($A52="","",1)</f>
        <v/>
      </c>
      <c r="W52" s="17">
        <f>IF($A52="","",$G52*$N52*pvf_mesaiKatsayi)</f>
        <v/>
      </c>
    </row>
    <row r="53">
      <c r="A53" s="15" t="n"/>
      <c r="B53" s="15" t="n"/>
      <c r="C53" s="66" t="n"/>
      <c r="D53" s="16" t="n"/>
      <c r="E53" s="16" t="n"/>
      <c r="F53" s="16" t="n"/>
      <c r="G53" s="16" t="n"/>
      <c r="H53" s="15" t="n"/>
      <c r="I53" s="15" t="n"/>
      <c r="J53" s="15" t="n"/>
      <c r="K53" s="15" t="n"/>
      <c r="L53" s="15" t="n"/>
      <c r="M53" s="15" t="n"/>
      <c r="N53" s="67" t="n"/>
      <c r="O53" s="17">
        <f>IF($A53="","",MAX(0,$E53-$D53))</f>
        <v/>
      </c>
      <c r="P53" s="17">
        <f>IF($A53="","",MAX(0,$O53-$F53))</f>
        <v/>
      </c>
      <c r="Q53" s="17">
        <f>IF($A53="","",IF(OR($J53="ARSIV",$J53="RED"),0,IF($C53="","",raporTarihi-$C53)))</f>
        <v/>
      </c>
      <c r="R53" s="17">
        <f>IF($A53="","",IF($Q53="","",IF($Q53&lt;=pvf_kovaEsik1,"0-7",IF($Q53&lt;=pvf_kovaEsik2,"8-30",IF($Q53&lt;=pvf_kovaEsik3,"31-60","60+")))))</f>
        <v/>
      </c>
      <c r="S53" s="17">
        <f>IF($A53="","",IF($B53="","YETİM",IF(COUNTIF(tblPersonel[PersonelId],$B53)=0,"YETİM","")))</f>
        <v/>
      </c>
      <c r="T53" s="17">
        <f>IF(OR($A53="",$I53=""),"",IF(OR($I53&amp;"|"&amp;$J53="",COUNTIF(ListeIzinliGecis,$I53&amp;"|"&amp;$J53)&gt;0),"","GEÇERSİZ GEÇİŞ"))</f>
        <v/>
      </c>
      <c r="U53" s="17">
        <f>IF($A53="","",IF(OR($P53="",$G53=""),"",IF(ABS($G53-$P53)&gt;zincirTolerans,"ZİNCİR KIRIK","OK")))</f>
        <v/>
      </c>
      <c r="V53" s="17">
        <f>IF($A53="","",1)</f>
        <v/>
      </c>
      <c r="W53" s="17">
        <f>IF($A53="","",$G53*$N53*pvf_mesaiKatsayi)</f>
        <v/>
      </c>
    </row>
    <row r="54">
      <c r="A54" s="15" t="n"/>
      <c r="B54" s="15" t="n"/>
      <c r="C54" s="66" t="n"/>
      <c r="D54" s="16" t="n"/>
      <c r="E54" s="16" t="n"/>
      <c r="F54" s="16" t="n"/>
      <c r="G54" s="16" t="n"/>
      <c r="H54" s="15" t="n"/>
      <c r="I54" s="15" t="n"/>
      <c r="J54" s="15" t="n"/>
      <c r="K54" s="15" t="n"/>
      <c r="L54" s="15" t="n"/>
      <c r="M54" s="15" t="n"/>
      <c r="N54" s="67" t="n"/>
      <c r="O54" s="17">
        <f>IF($A54="","",MAX(0,$E54-$D54))</f>
        <v/>
      </c>
      <c r="P54" s="17">
        <f>IF($A54="","",MAX(0,$O54-$F54))</f>
        <v/>
      </c>
      <c r="Q54" s="17">
        <f>IF($A54="","",IF(OR($J54="ARSIV",$J54="RED"),0,IF($C54="","",raporTarihi-$C54)))</f>
        <v/>
      </c>
      <c r="R54" s="17">
        <f>IF($A54="","",IF($Q54="","",IF($Q54&lt;=pvf_kovaEsik1,"0-7",IF($Q54&lt;=pvf_kovaEsik2,"8-30",IF($Q54&lt;=pvf_kovaEsik3,"31-60","60+")))))</f>
        <v/>
      </c>
      <c r="S54" s="17">
        <f>IF($A54="","",IF($B54="","YETİM",IF(COUNTIF(tblPersonel[PersonelId],$B54)=0,"YETİM","")))</f>
        <v/>
      </c>
      <c r="T54" s="17">
        <f>IF(OR($A54="",$I54=""),"",IF(OR($I54&amp;"|"&amp;$J54="",COUNTIF(ListeIzinliGecis,$I54&amp;"|"&amp;$J54)&gt;0),"","GEÇERSİZ GEÇİŞ"))</f>
        <v/>
      </c>
      <c r="U54" s="17">
        <f>IF($A54="","",IF(OR($P54="",$G54=""),"",IF(ABS($G54-$P54)&gt;zincirTolerans,"ZİNCİR KIRIK","OK")))</f>
        <v/>
      </c>
      <c r="V54" s="17">
        <f>IF($A54="","",1)</f>
        <v/>
      </c>
      <c r="W54" s="17">
        <f>IF($A54="","",$G54*$N54*pvf_mesaiKatsayi)</f>
        <v/>
      </c>
    </row>
    <row r="55">
      <c r="A55" s="15" t="n"/>
      <c r="B55" s="15" t="n"/>
      <c r="C55" s="66" t="n"/>
      <c r="D55" s="16" t="n"/>
      <c r="E55" s="16" t="n"/>
      <c r="F55" s="16" t="n"/>
      <c r="G55" s="16" t="n"/>
      <c r="H55" s="15" t="n"/>
      <c r="I55" s="15" t="n"/>
      <c r="J55" s="15" t="n"/>
      <c r="K55" s="15" t="n"/>
      <c r="L55" s="15" t="n"/>
      <c r="M55" s="15" t="n"/>
      <c r="N55" s="67" t="n"/>
      <c r="O55" s="17">
        <f>IF($A55="","",MAX(0,$E55-$D55))</f>
        <v/>
      </c>
      <c r="P55" s="17">
        <f>IF($A55="","",MAX(0,$O55-$F55))</f>
        <v/>
      </c>
      <c r="Q55" s="17">
        <f>IF($A55="","",IF(OR($J55="ARSIV",$J55="RED"),0,IF($C55="","",raporTarihi-$C55)))</f>
        <v/>
      </c>
      <c r="R55" s="17">
        <f>IF($A55="","",IF($Q55="","",IF($Q55&lt;=pvf_kovaEsik1,"0-7",IF($Q55&lt;=pvf_kovaEsik2,"8-30",IF($Q55&lt;=pvf_kovaEsik3,"31-60","60+")))))</f>
        <v/>
      </c>
      <c r="S55" s="17">
        <f>IF($A55="","",IF($B55="","YETİM",IF(COUNTIF(tblPersonel[PersonelId],$B55)=0,"YETİM","")))</f>
        <v/>
      </c>
      <c r="T55" s="17">
        <f>IF(OR($A55="",$I55=""),"",IF(OR($I55&amp;"|"&amp;$J55="",COUNTIF(ListeIzinliGecis,$I55&amp;"|"&amp;$J55)&gt;0),"","GEÇERSİZ GEÇİŞ"))</f>
        <v/>
      </c>
      <c r="U55" s="17">
        <f>IF($A55="","",IF(OR($P55="",$G55=""),"",IF(ABS($G55-$P55)&gt;zincirTolerans,"ZİNCİR KIRIK","OK")))</f>
        <v/>
      </c>
      <c r="V55" s="17">
        <f>IF($A55="","",1)</f>
        <v/>
      </c>
      <c r="W55" s="17">
        <f>IF($A55="","",$G55*$N55*pvf_mesaiKatsayi)</f>
        <v/>
      </c>
    </row>
    <row r="56">
      <c r="A56" s="15" t="n"/>
      <c r="B56" s="15" t="n"/>
      <c r="C56" s="66" t="n"/>
      <c r="D56" s="16" t="n"/>
      <c r="E56" s="16" t="n"/>
      <c r="F56" s="16" t="n"/>
      <c r="G56" s="16" t="n"/>
      <c r="H56" s="15" t="n"/>
      <c r="I56" s="15" t="n"/>
      <c r="J56" s="15" t="n"/>
      <c r="K56" s="15" t="n"/>
      <c r="L56" s="15" t="n"/>
      <c r="M56" s="15" t="n"/>
      <c r="N56" s="67" t="n"/>
      <c r="O56" s="17">
        <f>IF($A56="","",MAX(0,$E56-$D56))</f>
        <v/>
      </c>
      <c r="P56" s="17">
        <f>IF($A56="","",MAX(0,$O56-$F56))</f>
        <v/>
      </c>
      <c r="Q56" s="17">
        <f>IF($A56="","",IF(OR($J56="ARSIV",$J56="RED"),0,IF($C56="","",raporTarihi-$C56)))</f>
        <v/>
      </c>
      <c r="R56" s="17">
        <f>IF($A56="","",IF($Q56="","",IF($Q56&lt;=pvf_kovaEsik1,"0-7",IF($Q56&lt;=pvf_kovaEsik2,"8-30",IF($Q56&lt;=pvf_kovaEsik3,"31-60","60+")))))</f>
        <v/>
      </c>
      <c r="S56" s="17">
        <f>IF($A56="","",IF($B56="","YETİM",IF(COUNTIF(tblPersonel[PersonelId],$B56)=0,"YETİM","")))</f>
        <v/>
      </c>
      <c r="T56" s="17">
        <f>IF(OR($A56="",$I56=""),"",IF(OR($I56&amp;"|"&amp;$J56="",COUNTIF(ListeIzinliGecis,$I56&amp;"|"&amp;$J56)&gt;0),"","GEÇERSİZ GEÇİŞ"))</f>
        <v/>
      </c>
      <c r="U56" s="17">
        <f>IF($A56="","",IF(OR($P56="",$G56=""),"",IF(ABS($G56-$P56)&gt;zincirTolerans,"ZİNCİR KIRIK","OK")))</f>
        <v/>
      </c>
      <c r="V56" s="17">
        <f>IF($A56="","",1)</f>
        <v/>
      </c>
      <c r="W56" s="17">
        <f>IF($A56="","",$G56*$N56*pvf_mesaiKatsayi)</f>
        <v/>
      </c>
    </row>
    <row r="57">
      <c r="A57" s="15" t="n"/>
      <c r="B57" s="15" t="n"/>
      <c r="C57" s="66" t="n"/>
      <c r="D57" s="16" t="n"/>
      <c r="E57" s="16" t="n"/>
      <c r="F57" s="16" t="n"/>
      <c r="G57" s="16" t="n"/>
      <c r="H57" s="15" t="n"/>
      <c r="I57" s="15" t="n"/>
      <c r="J57" s="15" t="n"/>
      <c r="K57" s="15" t="n"/>
      <c r="L57" s="15" t="n"/>
      <c r="M57" s="15" t="n"/>
      <c r="N57" s="67" t="n"/>
      <c r="O57" s="17">
        <f>IF($A57="","",MAX(0,$E57-$D57))</f>
        <v/>
      </c>
      <c r="P57" s="17">
        <f>IF($A57="","",MAX(0,$O57-$F57))</f>
        <v/>
      </c>
      <c r="Q57" s="17">
        <f>IF($A57="","",IF(OR($J57="ARSIV",$J57="RED"),0,IF($C57="","",raporTarihi-$C57)))</f>
        <v/>
      </c>
      <c r="R57" s="17">
        <f>IF($A57="","",IF($Q57="","",IF($Q57&lt;=pvf_kovaEsik1,"0-7",IF($Q57&lt;=pvf_kovaEsik2,"8-30",IF($Q57&lt;=pvf_kovaEsik3,"31-60","60+")))))</f>
        <v/>
      </c>
      <c r="S57" s="17">
        <f>IF($A57="","",IF($B57="","YETİM",IF(COUNTIF(tblPersonel[PersonelId],$B57)=0,"YETİM","")))</f>
        <v/>
      </c>
      <c r="T57" s="17">
        <f>IF(OR($A57="",$I57=""),"",IF(OR($I57&amp;"|"&amp;$J57="",COUNTIF(ListeIzinliGecis,$I57&amp;"|"&amp;$J57)&gt;0),"","GEÇERSİZ GEÇİŞ"))</f>
        <v/>
      </c>
      <c r="U57" s="17">
        <f>IF($A57="","",IF(OR($P57="",$G57=""),"",IF(ABS($G57-$P57)&gt;zincirTolerans,"ZİNCİR KIRIK","OK")))</f>
        <v/>
      </c>
      <c r="V57" s="17">
        <f>IF($A57="","",1)</f>
        <v/>
      </c>
      <c r="W57" s="17">
        <f>IF($A57="","",$G57*$N57*pvf_mesaiKatsayi)</f>
        <v/>
      </c>
    </row>
    <row r="58">
      <c r="A58" s="15" t="n"/>
      <c r="B58" s="15" t="n"/>
      <c r="C58" s="66" t="n"/>
      <c r="D58" s="16" t="n"/>
      <c r="E58" s="16" t="n"/>
      <c r="F58" s="16" t="n"/>
      <c r="G58" s="16" t="n"/>
      <c r="H58" s="15" t="n"/>
      <c r="I58" s="15" t="n"/>
      <c r="J58" s="15" t="n"/>
      <c r="K58" s="15" t="n"/>
      <c r="L58" s="15" t="n"/>
      <c r="M58" s="15" t="n"/>
      <c r="N58" s="67" t="n"/>
      <c r="O58" s="17">
        <f>IF($A58="","",MAX(0,$E58-$D58))</f>
        <v/>
      </c>
      <c r="P58" s="17">
        <f>IF($A58="","",MAX(0,$O58-$F58))</f>
        <v/>
      </c>
      <c r="Q58" s="17">
        <f>IF($A58="","",IF(OR($J58="ARSIV",$J58="RED"),0,IF($C58="","",raporTarihi-$C58)))</f>
        <v/>
      </c>
      <c r="R58" s="17">
        <f>IF($A58="","",IF($Q58="","",IF($Q58&lt;=pvf_kovaEsik1,"0-7",IF($Q58&lt;=pvf_kovaEsik2,"8-30",IF($Q58&lt;=pvf_kovaEsik3,"31-60","60+")))))</f>
        <v/>
      </c>
      <c r="S58" s="17">
        <f>IF($A58="","",IF($B58="","YETİM",IF(COUNTIF(tblPersonel[PersonelId],$B58)=0,"YETİM","")))</f>
        <v/>
      </c>
      <c r="T58" s="17">
        <f>IF(OR($A58="",$I58=""),"",IF(OR($I58&amp;"|"&amp;$J58="",COUNTIF(ListeIzinliGecis,$I58&amp;"|"&amp;$J58)&gt;0),"","GEÇERSİZ GEÇİŞ"))</f>
        <v/>
      </c>
      <c r="U58" s="17">
        <f>IF($A58="","",IF(OR($P58="",$G58=""),"",IF(ABS($G58-$P58)&gt;zincirTolerans,"ZİNCİR KIRIK","OK")))</f>
        <v/>
      </c>
      <c r="V58" s="17">
        <f>IF($A58="","",1)</f>
        <v/>
      </c>
      <c r="W58" s="17">
        <f>IF($A58="","",$G58*$N58*pvf_mesaiKatsayi)</f>
        <v/>
      </c>
    </row>
    <row r="59">
      <c r="A59" s="15" t="n"/>
      <c r="B59" s="15" t="n"/>
      <c r="C59" s="66" t="n"/>
      <c r="D59" s="16" t="n"/>
      <c r="E59" s="16" t="n"/>
      <c r="F59" s="16" t="n"/>
      <c r="G59" s="16" t="n"/>
      <c r="H59" s="15" t="n"/>
      <c r="I59" s="15" t="n"/>
      <c r="J59" s="15" t="n"/>
      <c r="K59" s="15" t="n"/>
      <c r="L59" s="15" t="n"/>
      <c r="M59" s="15" t="n"/>
      <c r="N59" s="67" t="n"/>
      <c r="O59" s="17">
        <f>IF($A59="","",MAX(0,$E59-$D59))</f>
        <v/>
      </c>
      <c r="P59" s="17">
        <f>IF($A59="","",MAX(0,$O59-$F59))</f>
        <v/>
      </c>
      <c r="Q59" s="17">
        <f>IF($A59="","",IF(OR($J59="ARSIV",$J59="RED"),0,IF($C59="","",raporTarihi-$C59)))</f>
        <v/>
      </c>
      <c r="R59" s="17">
        <f>IF($A59="","",IF($Q59="","",IF($Q59&lt;=pvf_kovaEsik1,"0-7",IF($Q59&lt;=pvf_kovaEsik2,"8-30",IF($Q59&lt;=pvf_kovaEsik3,"31-60","60+")))))</f>
        <v/>
      </c>
      <c r="S59" s="17">
        <f>IF($A59="","",IF($B59="","YETİM",IF(COUNTIF(tblPersonel[PersonelId],$B59)=0,"YETİM","")))</f>
        <v/>
      </c>
      <c r="T59" s="17">
        <f>IF(OR($A59="",$I59=""),"",IF(OR($I59&amp;"|"&amp;$J59="",COUNTIF(ListeIzinliGecis,$I59&amp;"|"&amp;$J59)&gt;0),"","GEÇERSİZ GEÇİŞ"))</f>
        <v/>
      </c>
      <c r="U59" s="17">
        <f>IF($A59="","",IF(OR($P59="",$G59=""),"",IF(ABS($G59-$P59)&gt;zincirTolerans,"ZİNCİR KIRIK","OK")))</f>
        <v/>
      </c>
      <c r="V59" s="17">
        <f>IF($A59="","",1)</f>
        <v/>
      </c>
      <c r="W59" s="17">
        <f>IF($A59="","",$G59*$N59*pvf_mesaiKatsayi)</f>
        <v/>
      </c>
    </row>
    <row r="60">
      <c r="A60" s="15" t="n"/>
      <c r="B60" s="15" t="n"/>
      <c r="C60" s="66" t="n"/>
      <c r="D60" s="16" t="n"/>
      <c r="E60" s="16" t="n"/>
      <c r="F60" s="16" t="n"/>
      <c r="G60" s="16" t="n"/>
      <c r="H60" s="15" t="n"/>
      <c r="I60" s="15" t="n"/>
      <c r="J60" s="15" t="n"/>
      <c r="K60" s="15" t="n"/>
      <c r="L60" s="15" t="n"/>
      <c r="M60" s="15" t="n"/>
      <c r="N60" s="67" t="n"/>
      <c r="O60" s="17">
        <f>IF($A60="","",MAX(0,$E60-$D60))</f>
        <v/>
      </c>
      <c r="P60" s="17">
        <f>IF($A60="","",MAX(0,$O60-$F60))</f>
        <v/>
      </c>
      <c r="Q60" s="17">
        <f>IF($A60="","",IF(OR($J60="ARSIV",$J60="RED"),0,IF($C60="","",raporTarihi-$C60)))</f>
        <v/>
      </c>
      <c r="R60" s="17">
        <f>IF($A60="","",IF($Q60="","",IF($Q60&lt;=pvf_kovaEsik1,"0-7",IF($Q60&lt;=pvf_kovaEsik2,"8-30",IF($Q60&lt;=pvf_kovaEsik3,"31-60","60+")))))</f>
        <v/>
      </c>
      <c r="S60" s="17">
        <f>IF($A60="","",IF($B60="","YETİM",IF(COUNTIF(tblPersonel[PersonelId],$B60)=0,"YETİM","")))</f>
        <v/>
      </c>
      <c r="T60" s="17">
        <f>IF(OR($A60="",$I60=""),"",IF(OR($I60&amp;"|"&amp;$J60="",COUNTIF(ListeIzinliGecis,$I60&amp;"|"&amp;$J60)&gt;0),"","GEÇERSİZ GEÇİŞ"))</f>
        <v/>
      </c>
      <c r="U60" s="17">
        <f>IF($A60="","",IF(OR($P60="",$G60=""),"",IF(ABS($G60-$P60)&gt;zincirTolerans,"ZİNCİR KIRIK","OK")))</f>
        <v/>
      </c>
      <c r="V60" s="17">
        <f>IF($A60="","",1)</f>
        <v/>
      </c>
      <c r="W60" s="17">
        <f>IF($A60="","",$G60*$N60*pvf_mesaiKatsayi)</f>
        <v/>
      </c>
    </row>
    <row r="61">
      <c r="A61" s="15" t="n"/>
      <c r="B61" s="15" t="n"/>
      <c r="C61" s="66" t="n"/>
      <c r="D61" s="16" t="n"/>
      <c r="E61" s="16" t="n"/>
      <c r="F61" s="16" t="n"/>
      <c r="G61" s="16" t="n"/>
      <c r="H61" s="15" t="n"/>
      <c r="I61" s="15" t="n"/>
      <c r="J61" s="15" t="n"/>
      <c r="K61" s="15" t="n"/>
      <c r="L61" s="15" t="n"/>
      <c r="M61" s="15" t="n"/>
      <c r="N61" s="67" t="n"/>
      <c r="O61" s="17">
        <f>IF($A61="","",MAX(0,$E61-$D61))</f>
        <v/>
      </c>
      <c r="P61" s="17">
        <f>IF($A61="","",MAX(0,$O61-$F61))</f>
        <v/>
      </c>
      <c r="Q61" s="17">
        <f>IF($A61="","",IF(OR($J61="ARSIV",$J61="RED"),0,IF($C61="","",raporTarihi-$C61)))</f>
        <v/>
      </c>
      <c r="R61" s="17">
        <f>IF($A61="","",IF($Q61="","",IF($Q61&lt;=pvf_kovaEsik1,"0-7",IF($Q61&lt;=pvf_kovaEsik2,"8-30",IF($Q61&lt;=pvf_kovaEsik3,"31-60","60+")))))</f>
        <v/>
      </c>
      <c r="S61" s="17">
        <f>IF($A61="","",IF($B61="","YETİM",IF(COUNTIF(tblPersonel[PersonelId],$B61)=0,"YETİM","")))</f>
        <v/>
      </c>
      <c r="T61" s="17">
        <f>IF(OR($A61="",$I61=""),"",IF(OR($I61&amp;"|"&amp;$J61="",COUNTIF(ListeIzinliGecis,$I61&amp;"|"&amp;$J61)&gt;0),"","GEÇERSİZ GEÇİŞ"))</f>
        <v/>
      </c>
      <c r="U61" s="17">
        <f>IF($A61="","",IF(OR($P61="",$G61=""),"",IF(ABS($G61-$P61)&gt;zincirTolerans,"ZİNCİR KIRIK","OK")))</f>
        <v/>
      </c>
      <c r="V61" s="17">
        <f>IF($A61="","",1)</f>
        <v/>
      </c>
      <c r="W61" s="17">
        <f>IF($A61="","",$G61*$N61*pvf_mesaiKatsayi)</f>
        <v/>
      </c>
    </row>
    <row r="62">
      <c r="A62" s="15" t="n"/>
      <c r="B62" s="15" t="n"/>
      <c r="C62" s="66" t="n"/>
      <c r="D62" s="16" t="n"/>
      <c r="E62" s="16" t="n"/>
      <c r="F62" s="16" t="n"/>
      <c r="G62" s="16" t="n"/>
      <c r="H62" s="15" t="n"/>
      <c r="I62" s="15" t="n"/>
      <c r="J62" s="15" t="n"/>
      <c r="K62" s="15" t="n"/>
      <c r="L62" s="15" t="n"/>
      <c r="M62" s="15" t="n"/>
      <c r="N62" s="67" t="n"/>
      <c r="O62" s="17">
        <f>IF($A62="","",MAX(0,$E62-$D62))</f>
        <v/>
      </c>
      <c r="P62" s="17">
        <f>IF($A62="","",MAX(0,$O62-$F62))</f>
        <v/>
      </c>
      <c r="Q62" s="17">
        <f>IF($A62="","",IF(OR($J62="ARSIV",$J62="RED"),0,IF($C62="","",raporTarihi-$C62)))</f>
        <v/>
      </c>
      <c r="R62" s="17">
        <f>IF($A62="","",IF($Q62="","",IF($Q62&lt;=pvf_kovaEsik1,"0-7",IF($Q62&lt;=pvf_kovaEsik2,"8-30",IF($Q62&lt;=pvf_kovaEsik3,"31-60","60+")))))</f>
        <v/>
      </c>
      <c r="S62" s="17">
        <f>IF($A62="","",IF($B62="","YETİM",IF(COUNTIF(tblPersonel[PersonelId],$B62)=0,"YETİM","")))</f>
        <v/>
      </c>
      <c r="T62" s="17">
        <f>IF(OR($A62="",$I62=""),"",IF(OR($I62&amp;"|"&amp;$J62="",COUNTIF(ListeIzinliGecis,$I62&amp;"|"&amp;$J62)&gt;0),"","GEÇERSİZ GEÇİŞ"))</f>
        <v/>
      </c>
      <c r="U62" s="17">
        <f>IF($A62="","",IF(OR($P62="",$G62=""),"",IF(ABS($G62-$P62)&gt;zincirTolerans,"ZİNCİR KIRIK","OK")))</f>
        <v/>
      </c>
      <c r="V62" s="17">
        <f>IF($A62="","",1)</f>
        <v/>
      </c>
      <c r="W62" s="17">
        <f>IF($A62="","",$G62*$N62*pvf_mesaiKatsayi)</f>
        <v/>
      </c>
    </row>
    <row r="63">
      <c r="A63" s="15" t="n"/>
      <c r="B63" s="15" t="n"/>
      <c r="C63" s="66" t="n"/>
      <c r="D63" s="16" t="n"/>
      <c r="E63" s="16" t="n"/>
      <c r="F63" s="16" t="n"/>
      <c r="G63" s="16" t="n"/>
      <c r="H63" s="15" t="n"/>
      <c r="I63" s="15" t="n"/>
      <c r="J63" s="15" t="n"/>
      <c r="K63" s="15" t="n"/>
      <c r="L63" s="15" t="n"/>
      <c r="M63" s="15" t="n"/>
      <c r="N63" s="67" t="n"/>
      <c r="O63" s="17">
        <f>IF($A63="","",MAX(0,$E63-$D63))</f>
        <v/>
      </c>
      <c r="P63" s="17">
        <f>IF($A63="","",MAX(0,$O63-$F63))</f>
        <v/>
      </c>
      <c r="Q63" s="17">
        <f>IF($A63="","",IF(OR($J63="ARSIV",$J63="RED"),0,IF($C63="","",raporTarihi-$C63)))</f>
        <v/>
      </c>
      <c r="R63" s="17">
        <f>IF($A63="","",IF($Q63="","",IF($Q63&lt;=pvf_kovaEsik1,"0-7",IF($Q63&lt;=pvf_kovaEsik2,"8-30",IF($Q63&lt;=pvf_kovaEsik3,"31-60","60+")))))</f>
        <v/>
      </c>
      <c r="S63" s="17">
        <f>IF($A63="","",IF($B63="","YETİM",IF(COUNTIF(tblPersonel[PersonelId],$B63)=0,"YETİM","")))</f>
        <v/>
      </c>
      <c r="T63" s="17">
        <f>IF(OR($A63="",$I63=""),"",IF(OR($I63&amp;"|"&amp;$J63="",COUNTIF(ListeIzinliGecis,$I63&amp;"|"&amp;$J63)&gt;0),"","GEÇERSİZ GEÇİŞ"))</f>
        <v/>
      </c>
      <c r="U63" s="17">
        <f>IF($A63="","",IF(OR($P63="",$G63=""),"",IF(ABS($G63-$P63)&gt;zincirTolerans,"ZİNCİR KIRIK","OK")))</f>
        <v/>
      </c>
      <c r="V63" s="17">
        <f>IF($A63="","",1)</f>
        <v/>
      </c>
      <c r="W63" s="17">
        <f>IF($A63="","",$G63*$N63*pvf_mesaiKatsayi)</f>
        <v/>
      </c>
    </row>
    <row r="64">
      <c r="A64" s="15" t="n"/>
      <c r="B64" s="15" t="n"/>
      <c r="C64" s="66" t="n"/>
      <c r="D64" s="16" t="n"/>
      <c r="E64" s="16" t="n"/>
      <c r="F64" s="16" t="n"/>
      <c r="G64" s="16" t="n"/>
      <c r="H64" s="15" t="n"/>
      <c r="I64" s="15" t="n"/>
      <c r="J64" s="15" t="n"/>
      <c r="K64" s="15" t="n"/>
      <c r="L64" s="15" t="n"/>
      <c r="M64" s="15" t="n"/>
      <c r="N64" s="67" t="n"/>
      <c r="O64" s="17">
        <f>IF($A64="","",MAX(0,$E64-$D64))</f>
        <v/>
      </c>
      <c r="P64" s="17">
        <f>IF($A64="","",MAX(0,$O64-$F64))</f>
        <v/>
      </c>
      <c r="Q64" s="17">
        <f>IF($A64="","",IF(OR($J64="ARSIV",$J64="RED"),0,IF($C64="","",raporTarihi-$C64)))</f>
        <v/>
      </c>
      <c r="R64" s="17">
        <f>IF($A64="","",IF($Q64="","",IF($Q64&lt;=pvf_kovaEsik1,"0-7",IF($Q64&lt;=pvf_kovaEsik2,"8-30",IF($Q64&lt;=pvf_kovaEsik3,"31-60","60+")))))</f>
        <v/>
      </c>
      <c r="S64" s="17">
        <f>IF($A64="","",IF($B64="","YETİM",IF(COUNTIF(tblPersonel[PersonelId],$B64)=0,"YETİM","")))</f>
        <v/>
      </c>
      <c r="T64" s="17">
        <f>IF(OR($A64="",$I64=""),"",IF(OR($I64&amp;"|"&amp;$J64="",COUNTIF(ListeIzinliGecis,$I64&amp;"|"&amp;$J64)&gt;0),"","GEÇERSİZ GEÇİŞ"))</f>
        <v/>
      </c>
      <c r="U64" s="17">
        <f>IF($A64="","",IF(OR($P64="",$G64=""),"",IF(ABS($G64-$P64)&gt;zincirTolerans,"ZİNCİR KIRIK","OK")))</f>
        <v/>
      </c>
      <c r="V64" s="17">
        <f>IF($A64="","",1)</f>
        <v/>
      </c>
      <c r="W64" s="17">
        <f>IF($A64="","",$G64*$N64*pvf_mesaiKatsayi)</f>
        <v/>
      </c>
    </row>
    <row r="65">
      <c r="A65" s="15" t="n"/>
      <c r="B65" s="15" t="n"/>
      <c r="C65" s="66" t="n"/>
      <c r="D65" s="16" t="n"/>
      <c r="E65" s="16" t="n"/>
      <c r="F65" s="16" t="n"/>
      <c r="G65" s="16" t="n"/>
      <c r="H65" s="15" t="n"/>
      <c r="I65" s="15" t="n"/>
      <c r="J65" s="15" t="n"/>
      <c r="K65" s="15" t="n"/>
      <c r="L65" s="15" t="n"/>
      <c r="M65" s="15" t="n"/>
      <c r="N65" s="67" t="n"/>
      <c r="O65" s="17">
        <f>IF($A65="","",MAX(0,$E65-$D65))</f>
        <v/>
      </c>
      <c r="P65" s="17">
        <f>IF($A65="","",MAX(0,$O65-$F65))</f>
        <v/>
      </c>
      <c r="Q65" s="17">
        <f>IF($A65="","",IF(OR($J65="ARSIV",$J65="RED"),0,IF($C65="","",raporTarihi-$C65)))</f>
        <v/>
      </c>
      <c r="R65" s="17">
        <f>IF($A65="","",IF($Q65="","",IF($Q65&lt;=pvf_kovaEsik1,"0-7",IF($Q65&lt;=pvf_kovaEsik2,"8-30",IF($Q65&lt;=pvf_kovaEsik3,"31-60","60+")))))</f>
        <v/>
      </c>
      <c r="S65" s="17">
        <f>IF($A65="","",IF($B65="","YETİM",IF(COUNTIF(tblPersonel[PersonelId],$B65)=0,"YETİM","")))</f>
        <v/>
      </c>
      <c r="T65" s="17">
        <f>IF(OR($A65="",$I65=""),"",IF(OR($I65&amp;"|"&amp;$J65="",COUNTIF(ListeIzinliGecis,$I65&amp;"|"&amp;$J65)&gt;0),"","GEÇERSİZ GEÇİŞ"))</f>
        <v/>
      </c>
      <c r="U65" s="17">
        <f>IF($A65="","",IF(OR($P65="",$G65=""),"",IF(ABS($G65-$P65)&gt;zincirTolerans,"ZİNCİR KIRIK","OK")))</f>
        <v/>
      </c>
      <c r="V65" s="17">
        <f>IF($A65="","",1)</f>
        <v/>
      </c>
      <c r="W65" s="17">
        <f>IF($A65="","",$G65*$N65*pvf_mesaiKatsayi)</f>
        <v/>
      </c>
    </row>
    <row r="66">
      <c r="A66" s="15" t="n"/>
      <c r="B66" s="15" t="n"/>
      <c r="C66" s="66" t="n"/>
      <c r="D66" s="16" t="n"/>
      <c r="E66" s="16" t="n"/>
      <c r="F66" s="16" t="n"/>
      <c r="G66" s="16" t="n"/>
      <c r="H66" s="15" t="n"/>
      <c r="I66" s="15" t="n"/>
      <c r="J66" s="15" t="n"/>
      <c r="K66" s="15" t="n"/>
      <c r="L66" s="15" t="n"/>
      <c r="M66" s="15" t="n"/>
      <c r="N66" s="67" t="n"/>
      <c r="O66" s="17">
        <f>IF($A66="","",MAX(0,$E66-$D66))</f>
        <v/>
      </c>
      <c r="P66" s="17">
        <f>IF($A66="","",MAX(0,$O66-$F66))</f>
        <v/>
      </c>
      <c r="Q66" s="17">
        <f>IF($A66="","",IF(OR($J66="ARSIV",$J66="RED"),0,IF($C66="","",raporTarihi-$C66)))</f>
        <v/>
      </c>
      <c r="R66" s="17">
        <f>IF($A66="","",IF($Q66="","",IF($Q66&lt;=pvf_kovaEsik1,"0-7",IF($Q66&lt;=pvf_kovaEsik2,"8-30",IF($Q66&lt;=pvf_kovaEsik3,"31-60","60+")))))</f>
        <v/>
      </c>
      <c r="S66" s="17">
        <f>IF($A66="","",IF($B66="","YETİM",IF(COUNTIF(tblPersonel[PersonelId],$B66)=0,"YETİM","")))</f>
        <v/>
      </c>
      <c r="T66" s="17">
        <f>IF(OR($A66="",$I66=""),"",IF(OR($I66&amp;"|"&amp;$J66="",COUNTIF(ListeIzinliGecis,$I66&amp;"|"&amp;$J66)&gt;0),"","GEÇERSİZ GEÇİŞ"))</f>
        <v/>
      </c>
      <c r="U66" s="17">
        <f>IF($A66="","",IF(OR($P66="",$G66=""),"",IF(ABS($G66-$P66)&gt;zincirTolerans,"ZİNCİR KIRIK","OK")))</f>
        <v/>
      </c>
      <c r="V66" s="17">
        <f>IF($A66="","",1)</f>
        <v/>
      </c>
      <c r="W66" s="17">
        <f>IF($A66="","",$G66*$N66*pvf_mesaiKatsayi)</f>
        <v/>
      </c>
    </row>
    <row r="67">
      <c r="A67" s="15" t="n"/>
      <c r="B67" s="15" t="n"/>
      <c r="C67" s="66" t="n"/>
      <c r="D67" s="16" t="n"/>
      <c r="E67" s="16" t="n"/>
      <c r="F67" s="16" t="n"/>
      <c r="G67" s="16" t="n"/>
      <c r="H67" s="15" t="n"/>
      <c r="I67" s="15" t="n"/>
      <c r="J67" s="15" t="n"/>
      <c r="K67" s="15" t="n"/>
      <c r="L67" s="15" t="n"/>
      <c r="M67" s="15" t="n"/>
      <c r="N67" s="67" t="n"/>
      <c r="O67" s="17">
        <f>IF($A67="","",MAX(0,$E67-$D67))</f>
        <v/>
      </c>
      <c r="P67" s="17">
        <f>IF($A67="","",MAX(0,$O67-$F67))</f>
        <v/>
      </c>
      <c r="Q67" s="17">
        <f>IF($A67="","",IF(OR($J67="ARSIV",$J67="RED"),0,IF($C67="","",raporTarihi-$C67)))</f>
        <v/>
      </c>
      <c r="R67" s="17">
        <f>IF($A67="","",IF($Q67="","",IF($Q67&lt;=pvf_kovaEsik1,"0-7",IF($Q67&lt;=pvf_kovaEsik2,"8-30",IF($Q67&lt;=pvf_kovaEsik3,"31-60","60+")))))</f>
        <v/>
      </c>
      <c r="S67" s="17">
        <f>IF($A67="","",IF($B67="","YETİM",IF(COUNTIF(tblPersonel[PersonelId],$B67)=0,"YETİM","")))</f>
        <v/>
      </c>
      <c r="T67" s="17">
        <f>IF(OR($A67="",$I67=""),"",IF(OR($I67&amp;"|"&amp;$J67="",COUNTIF(ListeIzinliGecis,$I67&amp;"|"&amp;$J67)&gt;0),"","GEÇERSİZ GEÇİŞ"))</f>
        <v/>
      </c>
      <c r="U67" s="17">
        <f>IF($A67="","",IF(OR($P67="",$G67=""),"",IF(ABS($G67-$P67)&gt;zincirTolerans,"ZİNCİR KIRIK","OK")))</f>
        <v/>
      </c>
      <c r="V67" s="17">
        <f>IF($A67="","",1)</f>
        <v/>
      </c>
      <c r="W67" s="17">
        <f>IF($A67="","",$G67*$N67*pvf_mesaiKatsayi)</f>
        <v/>
      </c>
    </row>
    <row r="68">
      <c r="A68" s="15" t="n"/>
      <c r="B68" s="15" t="n"/>
      <c r="C68" s="66" t="n"/>
      <c r="D68" s="16" t="n"/>
      <c r="E68" s="16" t="n"/>
      <c r="F68" s="16" t="n"/>
      <c r="G68" s="16" t="n"/>
      <c r="H68" s="15" t="n"/>
      <c r="I68" s="15" t="n"/>
      <c r="J68" s="15" t="n"/>
      <c r="K68" s="15" t="n"/>
      <c r="L68" s="15" t="n"/>
      <c r="M68" s="15" t="n"/>
      <c r="N68" s="67" t="n"/>
      <c r="O68" s="17">
        <f>IF($A68="","",MAX(0,$E68-$D68))</f>
        <v/>
      </c>
      <c r="P68" s="17">
        <f>IF($A68="","",MAX(0,$O68-$F68))</f>
        <v/>
      </c>
      <c r="Q68" s="17">
        <f>IF($A68="","",IF(OR($J68="ARSIV",$J68="RED"),0,IF($C68="","",raporTarihi-$C68)))</f>
        <v/>
      </c>
      <c r="R68" s="17">
        <f>IF($A68="","",IF($Q68="","",IF($Q68&lt;=pvf_kovaEsik1,"0-7",IF($Q68&lt;=pvf_kovaEsik2,"8-30",IF($Q68&lt;=pvf_kovaEsik3,"31-60","60+")))))</f>
        <v/>
      </c>
      <c r="S68" s="17">
        <f>IF($A68="","",IF($B68="","YETİM",IF(COUNTIF(tblPersonel[PersonelId],$B68)=0,"YETİM","")))</f>
        <v/>
      </c>
      <c r="T68" s="17">
        <f>IF(OR($A68="",$I68=""),"",IF(OR($I68&amp;"|"&amp;$J68="",COUNTIF(ListeIzinliGecis,$I68&amp;"|"&amp;$J68)&gt;0),"","GEÇERSİZ GEÇİŞ"))</f>
        <v/>
      </c>
      <c r="U68" s="17">
        <f>IF($A68="","",IF(OR($P68="",$G68=""),"",IF(ABS($G68-$P68)&gt;zincirTolerans,"ZİNCİR KIRIK","OK")))</f>
        <v/>
      </c>
      <c r="V68" s="17">
        <f>IF($A68="","",1)</f>
        <v/>
      </c>
      <c r="W68" s="17">
        <f>IF($A68="","",$G68*$N68*pvf_mesaiKatsayi)</f>
        <v/>
      </c>
    </row>
    <row r="69">
      <c r="A69" s="15" t="n"/>
      <c r="B69" s="15" t="n"/>
      <c r="C69" s="66" t="n"/>
      <c r="D69" s="16" t="n"/>
      <c r="E69" s="16" t="n"/>
      <c r="F69" s="16" t="n"/>
      <c r="G69" s="16" t="n"/>
      <c r="H69" s="15" t="n"/>
      <c r="I69" s="15" t="n"/>
      <c r="J69" s="15" t="n"/>
      <c r="K69" s="15" t="n"/>
      <c r="L69" s="15" t="n"/>
      <c r="M69" s="15" t="n"/>
      <c r="N69" s="67" t="n"/>
      <c r="O69" s="17">
        <f>IF($A69="","",MAX(0,$E69-$D69))</f>
        <v/>
      </c>
      <c r="P69" s="17">
        <f>IF($A69="","",MAX(0,$O69-$F69))</f>
        <v/>
      </c>
      <c r="Q69" s="17">
        <f>IF($A69="","",IF(OR($J69="ARSIV",$J69="RED"),0,IF($C69="","",raporTarihi-$C69)))</f>
        <v/>
      </c>
      <c r="R69" s="17">
        <f>IF($A69="","",IF($Q69="","",IF($Q69&lt;=pvf_kovaEsik1,"0-7",IF($Q69&lt;=pvf_kovaEsik2,"8-30",IF($Q69&lt;=pvf_kovaEsik3,"31-60","60+")))))</f>
        <v/>
      </c>
      <c r="S69" s="17">
        <f>IF($A69="","",IF($B69="","YETİM",IF(COUNTIF(tblPersonel[PersonelId],$B69)=0,"YETİM","")))</f>
        <v/>
      </c>
      <c r="T69" s="17">
        <f>IF(OR($A69="",$I69=""),"",IF(OR($I69&amp;"|"&amp;$J69="",COUNTIF(ListeIzinliGecis,$I69&amp;"|"&amp;$J69)&gt;0),"","GEÇERSİZ GEÇİŞ"))</f>
        <v/>
      </c>
      <c r="U69" s="17">
        <f>IF($A69="","",IF(OR($P69="",$G69=""),"",IF(ABS($G69-$P69)&gt;zincirTolerans,"ZİNCİR KIRIK","OK")))</f>
        <v/>
      </c>
      <c r="V69" s="17">
        <f>IF($A69="","",1)</f>
        <v/>
      </c>
      <c r="W69" s="17">
        <f>IF($A69="","",$G69*$N69*pvf_mesaiKatsayi)</f>
        <v/>
      </c>
    </row>
    <row r="70">
      <c r="A70" s="15" t="n"/>
      <c r="B70" s="15" t="n"/>
      <c r="C70" s="66" t="n"/>
      <c r="D70" s="16" t="n"/>
      <c r="E70" s="16" t="n"/>
      <c r="F70" s="16" t="n"/>
      <c r="G70" s="16" t="n"/>
      <c r="H70" s="15" t="n"/>
      <c r="I70" s="15" t="n"/>
      <c r="J70" s="15" t="n"/>
      <c r="K70" s="15" t="n"/>
      <c r="L70" s="15" t="n"/>
      <c r="M70" s="15" t="n"/>
      <c r="N70" s="67" t="n"/>
      <c r="O70" s="17">
        <f>IF($A70="","",MAX(0,$E70-$D70))</f>
        <v/>
      </c>
      <c r="P70" s="17">
        <f>IF($A70="","",MAX(0,$O70-$F70))</f>
        <v/>
      </c>
      <c r="Q70" s="17">
        <f>IF($A70="","",IF(OR($J70="ARSIV",$J70="RED"),0,IF($C70="","",raporTarihi-$C70)))</f>
        <v/>
      </c>
      <c r="R70" s="17">
        <f>IF($A70="","",IF($Q70="","",IF($Q70&lt;=pvf_kovaEsik1,"0-7",IF($Q70&lt;=pvf_kovaEsik2,"8-30",IF($Q70&lt;=pvf_kovaEsik3,"31-60","60+")))))</f>
        <v/>
      </c>
      <c r="S70" s="17">
        <f>IF($A70="","",IF($B70="","YETİM",IF(COUNTIF(tblPersonel[PersonelId],$B70)=0,"YETİM","")))</f>
        <v/>
      </c>
      <c r="T70" s="17">
        <f>IF(OR($A70="",$I70=""),"",IF(OR($I70&amp;"|"&amp;$J70="",COUNTIF(ListeIzinliGecis,$I70&amp;"|"&amp;$J70)&gt;0),"","GEÇERSİZ GEÇİŞ"))</f>
        <v/>
      </c>
      <c r="U70" s="17">
        <f>IF($A70="","",IF(OR($P70="",$G70=""),"",IF(ABS($G70-$P70)&gt;zincirTolerans,"ZİNCİR KIRIK","OK")))</f>
        <v/>
      </c>
      <c r="V70" s="17">
        <f>IF($A70="","",1)</f>
        <v/>
      </c>
      <c r="W70" s="17">
        <f>IF($A70="","",$G70*$N70*pvf_mesaiKatsayi)</f>
        <v/>
      </c>
    </row>
    <row r="71">
      <c r="A71" s="15" t="n"/>
      <c r="B71" s="15" t="n"/>
      <c r="C71" s="66" t="n"/>
      <c r="D71" s="16" t="n"/>
      <c r="E71" s="16" t="n"/>
      <c r="F71" s="16" t="n"/>
      <c r="G71" s="16" t="n"/>
      <c r="H71" s="15" t="n"/>
      <c r="I71" s="15" t="n"/>
      <c r="J71" s="15" t="n"/>
      <c r="K71" s="15" t="n"/>
      <c r="L71" s="15" t="n"/>
      <c r="M71" s="15" t="n"/>
      <c r="N71" s="67" t="n"/>
      <c r="O71" s="17">
        <f>IF($A71="","",MAX(0,$E71-$D71))</f>
        <v/>
      </c>
      <c r="P71" s="17">
        <f>IF($A71="","",MAX(0,$O71-$F71))</f>
        <v/>
      </c>
      <c r="Q71" s="17">
        <f>IF($A71="","",IF(OR($J71="ARSIV",$J71="RED"),0,IF($C71="","",raporTarihi-$C71)))</f>
        <v/>
      </c>
      <c r="R71" s="17">
        <f>IF($A71="","",IF($Q71="","",IF($Q71&lt;=pvf_kovaEsik1,"0-7",IF($Q71&lt;=pvf_kovaEsik2,"8-30",IF($Q71&lt;=pvf_kovaEsik3,"31-60","60+")))))</f>
        <v/>
      </c>
      <c r="S71" s="17">
        <f>IF($A71="","",IF($B71="","YETİM",IF(COUNTIF(tblPersonel[PersonelId],$B71)=0,"YETİM","")))</f>
        <v/>
      </c>
      <c r="T71" s="17">
        <f>IF(OR($A71="",$I71=""),"",IF(OR($I71&amp;"|"&amp;$J71="",COUNTIF(ListeIzinliGecis,$I71&amp;"|"&amp;$J71)&gt;0),"","GEÇERSİZ GEÇİŞ"))</f>
        <v/>
      </c>
      <c r="U71" s="17">
        <f>IF($A71="","",IF(OR($P71="",$G71=""),"",IF(ABS($G71-$P71)&gt;zincirTolerans,"ZİNCİR KIRIK","OK")))</f>
        <v/>
      </c>
      <c r="V71" s="17">
        <f>IF($A71="","",1)</f>
        <v/>
      </c>
      <c r="W71" s="17">
        <f>IF($A71="","",$G71*$N71*pvf_mesaiKatsayi)</f>
        <v/>
      </c>
    </row>
    <row r="72">
      <c r="A72" s="15" t="n"/>
      <c r="B72" s="15" t="n"/>
      <c r="C72" s="66" t="n"/>
      <c r="D72" s="16" t="n"/>
      <c r="E72" s="16" t="n"/>
      <c r="F72" s="16" t="n"/>
      <c r="G72" s="16" t="n"/>
      <c r="H72" s="15" t="n"/>
      <c r="I72" s="15" t="n"/>
      <c r="J72" s="15" t="n"/>
      <c r="K72" s="15" t="n"/>
      <c r="L72" s="15" t="n"/>
      <c r="M72" s="15" t="n"/>
      <c r="N72" s="67" t="n"/>
      <c r="O72" s="17">
        <f>IF($A72="","",MAX(0,$E72-$D72))</f>
        <v/>
      </c>
      <c r="P72" s="17">
        <f>IF($A72="","",MAX(0,$O72-$F72))</f>
        <v/>
      </c>
      <c r="Q72" s="17">
        <f>IF($A72="","",IF(OR($J72="ARSIV",$J72="RED"),0,IF($C72="","",raporTarihi-$C72)))</f>
        <v/>
      </c>
      <c r="R72" s="17">
        <f>IF($A72="","",IF($Q72="","",IF($Q72&lt;=pvf_kovaEsik1,"0-7",IF($Q72&lt;=pvf_kovaEsik2,"8-30",IF($Q72&lt;=pvf_kovaEsik3,"31-60","60+")))))</f>
        <v/>
      </c>
      <c r="S72" s="17">
        <f>IF($A72="","",IF($B72="","YETİM",IF(COUNTIF(tblPersonel[PersonelId],$B72)=0,"YETİM","")))</f>
        <v/>
      </c>
      <c r="T72" s="17">
        <f>IF(OR($A72="",$I72=""),"",IF(OR($I72&amp;"|"&amp;$J72="",COUNTIF(ListeIzinliGecis,$I72&amp;"|"&amp;$J72)&gt;0),"","GEÇERSİZ GEÇİŞ"))</f>
        <v/>
      </c>
      <c r="U72" s="17">
        <f>IF($A72="","",IF(OR($P72="",$G72=""),"",IF(ABS($G72-$P72)&gt;zincirTolerans,"ZİNCİR KIRIK","OK")))</f>
        <v/>
      </c>
      <c r="V72" s="17">
        <f>IF($A72="","",1)</f>
        <v/>
      </c>
      <c r="W72" s="17">
        <f>IF($A72="","",$G72*$N72*pvf_mesaiKatsayi)</f>
        <v/>
      </c>
    </row>
    <row r="73">
      <c r="A73" s="15" t="n"/>
      <c r="B73" s="15" t="n"/>
      <c r="C73" s="66" t="n"/>
      <c r="D73" s="16" t="n"/>
      <c r="E73" s="16" t="n"/>
      <c r="F73" s="16" t="n"/>
      <c r="G73" s="16" t="n"/>
      <c r="H73" s="15" t="n"/>
      <c r="I73" s="15" t="n"/>
      <c r="J73" s="15" t="n"/>
      <c r="K73" s="15" t="n"/>
      <c r="L73" s="15" t="n"/>
      <c r="M73" s="15" t="n"/>
      <c r="N73" s="67" t="n"/>
      <c r="O73" s="17">
        <f>IF($A73="","",MAX(0,$E73-$D73))</f>
        <v/>
      </c>
      <c r="P73" s="17">
        <f>IF($A73="","",MAX(0,$O73-$F73))</f>
        <v/>
      </c>
      <c r="Q73" s="17">
        <f>IF($A73="","",IF(OR($J73="ARSIV",$J73="RED"),0,IF($C73="","",raporTarihi-$C73)))</f>
        <v/>
      </c>
      <c r="R73" s="17">
        <f>IF($A73="","",IF($Q73="","",IF($Q73&lt;=pvf_kovaEsik1,"0-7",IF($Q73&lt;=pvf_kovaEsik2,"8-30",IF($Q73&lt;=pvf_kovaEsik3,"31-60","60+")))))</f>
        <v/>
      </c>
      <c r="S73" s="17">
        <f>IF($A73="","",IF($B73="","YETİM",IF(COUNTIF(tblPersonel[PersonelId],$B73)=0,"YETİM","")))</f>
        <v/>
      </c>
      <c r="T73" s="17">
        <f>IF(OR($A73="",$I73=""),"",IF(OR($I73&amp;"|"&amp;$J73="",COUNTIF(ListeIzinliGecis,$I73&amp;"|"&amp;$J73)&gt;0),"","GEÇERSİZ GEÇİŞ"))</f>
        <v/>
      </c>
      <c r="U73" s="17">
        <f>IF($A73="","",IF(OR($P73="",$G73=""),"",IF(ABS($G73-$P73)&gt;zincirTolerans,"ZİNCİR KIRIK","OK")))</f>
        <v/>
      </c>
      <c r="V73" s="17">
        <f>IF($A73="","",1)</f>
        <v/>
      </c>
      <c r="W73" s="17">
        <f>IF($A73="","",$G73*$N73*pvf_mesaiKatsayi)</f>
        <v/>
      </c>
    </row>
    <row r="74">
      <c r="A74" s="15" t="n"/>
      <c r="B74" s="15" t="n"/>
      <c r="C74" s="66" t="n"/>
      <c r="D74" s="16" t="n"/>
      <c r="E74" s="16" t="n"/>
      <c r="F74" s="16" t="n"/>
      <c r="G74" s="16" t="n"/>
      <c r="H74" s="15" t="n"/>
      <c r="I74" s="15" t="n"/>
      <c r="J74" s="15" t="n"/>
      <c r="K74" s="15" t="n"/>
      <c r="L74" s="15" t="n"/>
      <c r="M74" s="15" t="n"/>
      <c r="N74" s="67" t="n"/>
      <c r="O74" s="17">
        <f>IF($A74="","",MAX(0,$E74-$D74))</f>
        <v/>
      </c>
      <c r="P74" s="17">
        <f>IF($A74="","",MAX(0,$O74-$F74))</f>
        <v/>
      </c>
      <c r="Q74" s="17">
        <f>IF($A74="","",IF(OR($J74="ARSIV",$J74="RED"),0,IF($C74="","",raporTarihi-$C74)))</f>
        <v/>
      </c>
      <c r="R74" s="17">
        <f>IF($A74="","",IF($Q74="","",IF($Q74&lt;=pvf_kovaEsik1,"0-7",IF($Q74&lt;=pvf_kovaEsik2,"8-30",IF($Q74&lt;=pvf_kovaEsik3,"31-60","60+")))))</f>
        <v/>
      </c>
      <c r="S74" s="17">
        <f>IF($A74="","",IF($B74="","YETİM",IF(COUNTIF(tblPersonel[PersonelId],$B74)=0,"YETİM","")))</f>
        <v/>
      </c>
      <c r="T74" s="17">
        <f>IF(OR($A74="",$I74=""),"",IF(OR($I74&amp;"|"&amp;$J74="",COUNTIF(ListeIzinliGecis,$I74&amp;"|"&amp;$J74)&gt;0),"","GEÇERSİZ GEÇİŞ"))</f>
        <v/>
      </c>
      <c r="U74" s="17">
        <f>IF($A74="","",IF(OR($P74="",$G74=""),"",IF(ABS($G74-$P74)&gt;zincirTolerans,"ZİNCİR KIRIK","OK")))</f>
        <v/>
      </c>
      <c r="V74" s="17">
        <f>IF($A74="","",1)</f>
        <v/>
      </c>
      <c r="W74" s="17">
        <f>IF($A74="","",$G74*$N74*pvf_mesaiKatsayi)</f>
        <v/>
      </c>
    </row>
    <row r="75">
      <c r="A75" s="15" t="n"/>
      <c r="B75" s="15" t="n"/>
      <c r="C75" s="66" t="n"/>
      <c r="D75" s="16" t="n"/>
      <c r="E75" s="16" t="n"/>
      <c r="F75" s="16" t="n"/>
      <c r="G75" s="16" t="n"/>
      <c r="H75" s="15" t="n"/>
      <c r="I75" s="15" t="n"/>
      <c r="J75" s="15" t="n"/>
      <c r="K75" s="15" t="n"/>
      <c r="L75" s="15" t="n"/>
      <c r="M75" s="15" t="n"/>
      <c r="N75" s="67" t="n"/>
      <c r="O75" s="17">
        <f>IF($A75="","",MAX(0,$E75-$D75))</f>
        <v/>
      </c>
      <c r="P75" s="17">
        <f>IF($A75="","",MAX(0,$O75-$F75))</f>
        <v/>
      </c>
      <c r="Q75" s="17">
        <f>IF($A75="","",IF(OR($J75="ARSIV",$J75="RED"),0,IF($C75="","",raporTarihi-$C75)))</f>
        <v/>
      </c>
      <c r="R75" s="17">
        <f>IF($A75="","",IF($Q75="","",IF($Q75&lt;=pvf_kovaEsik1,"0-7",IF($Q75&lt;=pvf_kovaEsik2,"8-30",IF($Q75&lt;=pvf_kovaEsik3,"31-60","60+")))))</f>
        <v/>
      </c>
      <c r="S75" s="17">
        <f>IF($A75="","",IF($B75="","YETİM",IF(COUNTIF(tblPersonel[PersonelId],$B75)=0,"YETİM","")))</f>
        <v/>
      </c>
      <c r="T75" s="17">
        <f>IF(OR($A75="",$I75=""),"",IF(OR($I75&amp;"|"&amp;$J75="",COUNTIF(ListeIzinliGecis,$I75&amp;"|"&amp;$J75)&gt;0),"","GEÇERSİZ GEÇİŞ"))</f>
        <v/>
      </c>
      <c r="U75" s="17">
        <f>IF($A75="","",IF(OR($P75="",$G75=""),"",IF(ABS($G75-$P75)&gt;zincirTolerans,"ZİNCİR KIRIK","OK")))</f>
        <v/>
      </c>
      <c r="V75" s="17">
        <f>IF($A75="","",1)</f>
        <v/>
      </c>
      <c r="W75" s="17">
        <f>IF($A75="","",$G75*$N75*pvf_mesaiKatsayi)</f>
        <v/>
      </c>
    </row>
    <row r="76">
      <c r="A76" s="15" t="n"/>
      <c r="B76" s="15" t="n"/>
      <c r="C76" s="66" t="n"/>
      <c r="D76" s="16" t="n"/>
      <c r="E76" s="16" t="n"/>
      <c r="F76" s="16" t="n"/>
      <c r="G76" s="16" t="n"/>
      <c r="H76" s="15" t="n"/>
      <c r="I76" s="15" t="n"/>
      <c r="J76" s="15" t="n"/>
      <c r="K76" s="15" t="n"/>
      <c r="L76" s="15" t="n"/>
      <c r="M76" s="15" t="n"/>
      <c r="N76" s="67" t="n"/>
      <c r="O76" s="17">
        <f>IF($A76="","",MAX(0,$E76-$D76))</f>
        <v/>
      </c>
      <c r="P76" s="17">
        <f>IF($A76="","",MAX(0,$O76-$F76))</f>
        <v/>
      </c>
      <c r="Q76" s="17">
        <f>IF($A76="","",IF(OR($J76="ARSIV",$J76="RED"),0,IF($C76="","",raporTarihi-$C76)))</f>
        <v/>
      </c>
      <c r="R76" s="17">
        <f>IF($A76="","",IF($Q76="","",IF($Q76&lt;=pvf_kovaEsik1,"0-7",IF($Q76&lt;=pvf_kovaEsik2,"8-30",IF($Q76&lt;=pvf_kovaEsik3,"31-60","60+")))))</f>
        <v/>
      </c>
      <c r="S76" s="17">
        <f>IF($A76="","",IF($B76="","YETİM",IF(COUNTIF(tblPersonel[PersonelId],$B76)=0,"YETİM","")))</f>
        <v/>
      </c>
      <c r="T76" s="17">
        <f>IF(OR($A76="",$I76=""),"",IF(OR($I76&amp;"|"&amp;$J76="",COUNTIF(ListeIzinliGecis,$I76&amp;"|"&amp;$J76)&gt;0),"","GEÇERSİZ GEÇİŞ"))</f>
        <v/>
      </c>
      <c r="U76" s="17">
        <f>IF($A76="","",IF(OR($P76="",$G76=""),"",IF(ABS($G76-$P76)&gt;zincirTolerans,"ZİNCİR KIRIK","OK")))</f>
        <v/>
      </c>
      <c r="V76" s="17">
        <f>IF($A76="","",1)</f>
        <v/>
      </c>
      <c r="W76" s="17">
        <f>IF($A76="","",$G76*$N76*pvf_mesaiKatsayi)</f>
        <v/>
      </c>
    </row>
    <row r="77">
      <c r="A77" s="15" t="n"/>
      <c r="B77" s="15" t="n"/>
      <c r="C77" s="66" t="n"/>
      <c r="D77" s="16" t="n"/>
      <c r="E77" s="16" t="n"/>
      <c r="F77" s="16" t="n"/>
      <c r="G77" s="16" t="n"/>
      <c r="H77" s="15" t="n"/>
      <c r="I77" s="15" t="n"/>
      <c r="J77" s="15" t="n"/>
      <c r="K77" s="15" t="n"/>
      <c r="L77" s="15" t="n"/>
      <c r="M77" s="15" t="n"/>
      <c r="N77" s="67" t="n"/>
      <c r="O77" s="17">
        <f>IF($A77="","",MAX(0,$E77-$D77))</f>
        <v/>
      </c>
      <c r="P77" s="17">
        <f>IF($A77="","",MAX(0,$O77-$F77))</f>
        <v/>
      </c>
      <c r="Q77" s="17">
        <f>IF($A77="","",IF(OR($J77="ARSIV",$J77="RED"),0,IF($C77="","",raporTarihi-$C77)))</f>
        <v/>
      </c>
      <c r="R77" s="17">
        <f>IF($A77="","",IF($Q77="","",IF($Q77&lt;=pvf_kovaEsik1,"0-7",IF($Q77&lt;=pvf_kovaEsik2,"8-30",IF($Q77&lt;=pvf_kovaEsik3,"31-60","60+")))))</f>
        <v/>
      </c>
      <c r="S77" s="17">
        <f>IF($A77="","",IF($B77="","YETİM",IF(COUNTIF(tblPersonel[PersonelId],$B77)=0,"YETİM","")))</f>
        <v/>
      </c>
      <c r="T77" s="17">
        <f>IF(OR($A77="",$I77=""),"",IF(OR($I77&amp;"|"&amp;$J77="",COUNTIF(ListeIzinliGecis,$I77&amp;"|"&amp;$J77)&gt;0),"","GEÇERSİZ GEÇİŞ"))</f>
        <v/>
      </c>
      <c r="U77" s="17">
        <f>IF($A77="","",IF(OR($P77="",$G77=""),"",IF(ABS($G77-$P77)&gt;zincirTolerans,"ZİNCİR KIRIK","OK")))</f>
        <v/>
      </c>
      <c r="V77" s="17">
        <f>IF($A77="","",1)</f>
        <v/>
      </c>
      <c r="W77" s="17">
        <f>IF($A77="","",$G77*$N77*pvf_mesaiKatsayi)</f>
        <v/>
      </c>
    </row>
    <row r="78">
      <c r="A78" s="15" t="n"/>
      <c r="B78" s="15" t="n"/>
      <c r="C78" s="66" t="n"/>
      <c r="D78" s="16" t="n"/>
      <c r="E78" s="16" t="n"/>
      <c r="F78" s="16" t="n"/>
      <c r="G78" s="16" t="n"/>
      <c r="H78" s="15" t="n"/>
      <c r="I78" s="15" t="n"/>
      <c r="J78" s="15" t="n"/>
      <c r="K78" s="15" t="n"/>
      <c r="L78" s="15" t="n"/>
      <c r="M78" s="15" t="n"/>
      <c r="N78" s="67" t="n"/>
      <c r="O78" s="17">
        <f>IF($A78="","",MAX(0,$E78-$D78))</f>
        <v/>
      </c>
      <c r="P78" s="17">
        <f>IF($A78="","",MAX(0,$O78-$F78))</f>
        <v/>
      </c>
      <c r="Q78" s="17">
        <f>IF($A78="","",IF(OR($J78="ARSIV",$J78="RED"),0,IF($C78="","",raporTarihi-$C78)))</f>
        <v/>
      </c>
      <c r="R78" s="17">
        <f>IF($A78="","",IF($Q78="","",IF($Q78&lt;=pvf_kovaEsik1,"0-7",IF($Q78&lt;=pvf_kovaEsik2,"8-30",IF($Q78&lt;=pvf_kovaEsik3,"31-60","60+")))))</f>
        <v/>
      </c>
      <c r="S78" s="17">
        <f>IF($A78="","",IF($B78="","YETİM",IF(COUNTIF(tblPersonel[PersonelId],$B78)=0,"YETİM","")))</f>
        <v/>
      </c>
      <c r="T78" s="17">
        <f>IF(OR($A78="",$I78=""),"",IF(OR($I78&amp;"|"&amp;$J78="",COUNTIF(ListeIzinliGecis,$I78&amp;"|"&amp;$J78)&gt;0),"","GEÇERSİZ GEÇİŞ"))</f>
        <v/>
      </c>
      <c r="U78" s="17">
        <f>IF($A78="","",IF(OR($P78="",$G78=""),"",IF(ABS($G78-$P78)&gt;zincirTolerans,"ZİNCİR KIRIK","OK")))</f>
        <v/>
      </c>
      <c r="V78" s="17">
        <f>IF($A78="","",1)</f>
        <v/>
      </c>
      <c r="W78" s="17">
        <f>IF($A78="","",$G78*$N78*pvf_mesaiKatsayi)</f>
        <v/>
      </c>
    </row>
    <row r="79">
      <c r="A79" s="15" t="n"/>
      <c r="B79" s="15" t="n"/>
      <c r="C79" s="66" t="n"/>
      <c r="D79" s="16" t="n"/>
      <c r="E79" s="16" t="n"/>
      <c r="F79" s="16" t="n"/>
      <c r="G79" s="16" t="n"/>
      <c r="H79" s="15" t="n"/>
      <c r="I79" s="15" t="n"/>
      <c r="J79" s="15" t="n"/>
      <c r="K79" s="15" t="n"/>
      <c r="L79" s="15" t="n"/>
      <c r="M79" s="15" t="n"/>
      <c r="N79" s="67" t="n"/>
      <c r="O79" s="17">
        <f>IF($A79="","",MAX(0,$E79-$D79))</f>
        <v/>
      </c>
      <c r="P79" s="17">
        <f>IF($A79="","",MAX(0,$O79-$F79))</f>
        <v/>
      </c>
      <c r="Q79" s="17">
        <f>IF($A79="","",IF(OR($J79="ARSIV",$J79="RED"),0,IF($C79="","",raporTarihi-$C79)))</f>
        <v/>
      </c>
      <c r="R79" s="17">
        <f>IF($A79="","",IF($Q79="","",IF($Q79&lt;=pvf_kovaEsik1,"0-7",IF($Q79&lt;=pvf_kovaEsik2,"8-30",IF($Q79&lt;=pvf_kovaEsik3,"31-60","60+")))))</f>
        <v/>
      </c>
      <c r="S79" s="17">
        <f>IF($A79="","",IF($B79="","YETİM",IF(COUNTIF(tblPersonel[PersonelId],$B79)=0,"YETİM","")))</f>
        <v/>
      </c>
      <c r="T79" s="17">
        <f>IF(OR($A79="",$I79=""),"",IF(OR($I79&amp;"|"&amp;$J79="",COUNTIF(ListeIzinliGecis,$I79&amp;"|"&amp;$J79)&gt;0),"","GEÇERSİZ GEÇİŞ"))</f>
        <v/>
      </c>
      <c r="U79" s="17">
        <f>IF($A79="","",IF(OR($P79="",$G79=""),"",IF(ABS($G79-$P79)&gt;zincirTolerans,"ZİNCİR KIRIK","OK")))</f>
        <v/>
      </c>
      <c r="V79" s="17">
        <f>IF($A79="","",1)</f>
        <v/>
      </c>
      <c r="W79" s="17">
        <f>IF($A79="","",$G79*$N79*pvf_mesaiKatsayi)</f>
        <v/>
      </c>
    </row>
    <row r="80">
      <c r="A80" s="15" t="n"/>
      <c r="B80" s="15" t="n"/>
      <c r="C80" s="66" t="n"/>
      <c r="D80" s="16" t="n"/>
      <c r="E80" s="16" t="n"/>
      <c r="F80" s="16" t="n"/>
      <c r="G80" s="16" t="n"/>
      <c r="H80" s="15" t="n"/>
      <c r="I80" s="15" t="n"/>
      <c r="J80" s="15" t="n"/>
      <c r="K80" s="15" t="n"/>
      <c r="L80" s="15" t="n"/>
      <c r="M80" s="15" t="n"/>
      <c r="N80" s="67" t="n"/>
      <c r="O80" s="17">
        <f>IF($A80="","",MAX(0,$E80-$D80))</f>
        <v/>
      </c>
      <c r="P80" s="17">
        <f>IF($A80="","",MAX(0,$O80-$F80))</f>
        <v/>
      </c>
      <c r="Q80" s="17">
        <f>IF($A80="","",IF(OR($J80="ARSIV",$J80="RED"),0,IF($C80="","",raporTarihi-$C80)))</f>
        <v/>
      </c>
      <c r="R80" s="17">
        <f>IF($A80="","",IF($Q80="","",IF($Q80&lt;=pvf_kovaEsik1,"0-7",IF($Q80&lt;=pvf_kovaEsik2,"8-30",IF($Q80&lt;=pvf_kovaEsik3,"31-60","60+")))))</f>
        <v/>
      </c>
      <c r="S80" s="17">
        <f>IF($A80="","",IF($B80="","YETİM",IF(COUNTIF(tblPersonel[PersonelId],$B80)=0,"YETİM","")))</f>
        <v/>
      </c>
      <c r="T80" s="17">
        <f>IF(OR($A80="",$I80=""),"",IF(OR($I80&amp;"|"&amp;$J80="",COUNTIF(ListeIzinliGecis,$I80&amp;"|"&amp;$J80)&gt;0),"","GEÇERSİZ GEÇİŞ"))</f>
        <v/>
      </c>
      <c r="U80" s="17">
        <f>IF($A80="","",IF(OR($P80="",$G80=""),"",IF(ABS($G80-$P80)&gt;zincirTolerans,"ZİNCİR KIRIK","OK")))</f>
        <v/>
      </c>
      <c r="V80" s="17">
        <f>IF($A80="","",1)</f>
        <v/>
      </c>
      <c r="W80" s="17">
        <f>IF($A80="","",$G80*$N80*pvf_mesaiKatsayi)</f>
        <v/>
      </c>
    </row>
    <row r="81">
      <c r="A81" s="15" t="n"/>
      <c r="B81" s="15" t="n"/>
      <c r="C81" s="66" t="n"/>
      <c r="D81" s="16" t="n"/>
      <c r="E81" s="16" t="n"/>
      <c r="F81" s="16" t="n"/>
      <c r="G81" s="16" t="n"/>
      <c r="H81" s="15" t="n"/>
      <c r="I81" s="15" t="n"/>
      <c r="J81" s="15" t="n"/>
      <c r="K81" s="15" t="n"/>
      <c r="L81" s="15" t="n"/>
      <c r="M81" s="15" t="n"/>
      <c r="N81" s="67" t="n"/>
      <c r="O81" s="17">
        <f>IF($A81="","",MAX(0,$E81-$D81))</f>
        <v/>
      </c>
      <c r="P81" s="17">
        <f>IF($A81="","",MAX(0,$O81-$F81))</f>
        <v/>
      </c>
      <c r="Q81" s="17">
        <f>IF($A81="","",IF(OR($J81="ARSIV",$J81="RED"),0,IF($C81="","",raporTarihi-$C81)))</f>
        <v/>
      </c>
      <c r="R81" s="17">
        <f>IF($A81="","",IF($Q81="","",IF($Q81&lt;=pvf_kovaEsik1,"0-7",IF($Q81&lt;=pvf_kovaEsik2,"8-30",IF($Q81&lt;=pvf_kovaEsik3,"31-60","60+")))))</f>
        <v/>
      </c>
      <c r="S81" s="17">
        <f>IF($A81="","",IF($B81="","YETİM",IF(COUNTIF(tblPersonel[PersonelId],$B81)=0,"YETİM","")))</f>
        <v/>
      </c>
      <c r="T81" s="17">
        <f>IF(OR($A81="",$I81=""),"",IF(OR($I81&amp;"|"&amp;$J81="",COUNTIF(ListeIzinliGecis,$I81&amp;"|"&amp;$J81)&gt;0),"","GEÇERSİZ GEÇİŞ"))</f>
        <v/>
      </c>
      <c r="U81" s="17">
        <f>IF($A81="","",IF(OR($P81="",$G81=""),"",IF(ABS($G81-$P81)&gt;zincirTolerans,"ZİNCİR KIRIK","OK")))</f>
        <v/>
      </c>
      <c r="V81" s="17">
        <f>IF($A81="","",1)</f>
        <v/>
      </c>
      <c r="W81" s="17">
        <f>IF($A81="","",$G81*$N81*pvf_mesaiKatsayi)</f>
        <v/>
      </c>
    </row>
    <row r="82">
      <c r="A82" s="15" t="n"/>
      <c r="B82" s="15" t="n"/>
      <c r="C82" s="66" t="n"/>
      <c r="D82" s="16" t="n"/>
      <c r="E82" s="16" t="n"/>
      <c r="F82" s="16" t="n"/>
      <c r="G82" s="16" t="n"/>
      <c r="H82" s="15" t="n"/>
      <c r="I82" s="15" t="n"/>
      <c r="J82" s="15" t="n"/>
      <c r="K82" s="15" t="n"/>
      <c r="L82" s="15" t="n"/>
      <c r="M82" s="15" t="n"/>
      <c r="N82" s="67" t="n"/>
      <c r="O82" s="17">
        <f>IF($A82="","",MAX(0,$E82-$D82))</f>
        <v/>
      </c>
      <c r="P82" s="17">
        <f>IF($A82="","",MAX(0,$O82-$F82))</f>
        <v/>
      </c>
      <c r="Q82" s="17">
        <f>IF($A82="","",IF(OR($J82="ARSIV",$J82="RED"),0,IF($C82="","",raporTarihi-$C82)))</f>
        <v/>
      </c>
      <c r="R82" s="17">
        <f>IF($A82="","",IF($Q82="","",IF($Q82&lt;=pvf_kovaEsik1,"0-7",IF($Q82&lt;=pvf_kovaEsik2,"8-30",IF($Q82&lt;=pvf_kovaEsik3,"31-60","60+")))))</f>
        <v/>
      </c>
      <c r="S82" s="17">
        <f>IF($A82="","",IF($B82="","YETİM",IF(COUNTIF(tblPersonel[PersonelId],$B82)=0,"YETİM","")))</f>
        <v/>
      </c>
      <c r="T82" s="17">
        <f>IF(OR($A82="",$I82=""),"",IF(OR($I82&amp;"|"&amp;$J82="",COUNTIF(ListeIzinliGecis,$I82&amp;"|"&amp;$J82)&gt;0),"","GEÇERSİZ GEÇİŞ"))</f>
        <v/>
      </c>
      <c r="U82" s="17">
        <f>IF($A82="","",IF(OR($P82="",$G82=""),"",IF(ABS($G82-$P82)&gt;zincirTolerans,"ZİNCİR KIRIK","OK")))</f>
        <v/>
      </c>
      <c r="V82" s="17">
        <f>IF($A82="","",1)</f>
        <v/>
      </c>
      <c r="W82" s="17">
        <f>IF($A82="","",$G82*$N82*pvf_mesaiKatsayi)</f>
        <v/>
      </c>
    </row>
    <row r="83">
      <c r="A83" s="15" t="n"/>
      <c r="B83" s="15" t="n"/>
      <c r="C83" s="66" t="n"/>
      <c r="D83" s="16" t="n"/>
      <c r="E83" s="16" t="n"/>
      <c r="F83" s="16" t="n"/>
      <c r="G83" s="16" t="n"/>
      <c r="H83" s="15" t="n"/>
      <c r="I83" s="15" t="n"/>
      <c r="J83" s="15" t="n"/>
      <c r="K83" s="15" t="n"/>
      <c r="L83" s="15" t="n"/>
      <c r="M83" s="15" t="n"/>
      <c r="N83" s="67" t="n"/>
      <c r="O83" s="17">
        <f>IF($A83="","",MAX(0,$E83-$D83))</f>
        <v/>
      </c>
      <c r="P83" s="17">
        <f>IF($A83="","",MAX(0,$O83-$F83))</f>
        <v/>
      </c>
      <c r="Q83" s="17">
        <f>IF($A83="","",IF(OR($J83="ARSIV",$J83="RED"),0,IF($C83="","",raporTarihi-$C83)))</f>
        <v/>
      </c>
      <c r="R83" s="17">
        <f>IF($A83="","",IF($Q83="","",IF($Q83&lt;=pvf_kovaEsik1,"0-7",IF($Q83&lt;=pvf_kovaEsik2,"8-30",IF($Q83&lt;=pvf_kovaEsik3,"31-60","60+")))))</f>
        <v/>
      </c>
      <c r="S83" s="17">
        <f>IF($A83="","",IF($B83="","YETİM",IF(COUNTIF(tblPersonel[PersonelId],$B83)=0,"YETİM","")))</f>
        <v/>
      </c>
      <c r="T83" s="17">
        <f>IF(OR($A83="",$I83=""),"",IF(OR($I83&amp;"|"&amp;$J83="",COUNTIF(ListeIzinliGecis,$I83&amp;"|"&amp;$J83)&gt;0),"","GEÇERSİZ GEÇİŞ"))</f>
        <v/>
      </c>
      <c r="U83" s="17">
        <f>IF($A83="","",IF(OR($P83="",$G83=""),"",IF(ABS($G83-$P83)&gt;zincirTolerans,"ZİNCİR KIRIK","OK")))</f>
        <v/>
      </c>
      <c r="V83" s="17">
        <f>IF($A83="","",1)</f>
        <v/>
      </c>
      <c r="W83" s="17">
        <f>IF($A83="","",$G83*$N83*pvf_mesaiKatsayi)</f>
        <v/>
      </c>
    </row>
    <row r="84">
      <c r="A84" s="15" t="n"/>
      <c r="B84" s="15" t="n"/>
      <c r="C84" s="66" t="n"/>
      <c r="D84" s="16" t="n"/>
      <c r="E84" s="16" t="n"/>
      <c r="F84" s="16" t="n"/>
      <c r="G84" s="16" t="n"/>
      <c r="H84" s="15" t="n"/>
      <c r="I84" s="15" t="n"/>
      <c r="J84" s="15" t="n"/>
      <c r="K84" s="15" t="n"/>
      <c r="L84" s="15" t="n"/>
      <c r="M84" s="15" t="n"/>
      <c r="N84" s="67" t="n"/>
      <c r="O84" s="17">
        <f>IF($A84="","",MAX(0,$E84-$D84))</f>
        <v/>
      </c>
      <c r="P84" s="17">
        <f>IF($A84="","",MAX(0,$O84-$F84))</f>
        <v/>
      </c>
      <c r="Q84" s="17">
        <f>IF($A84="","",IF(OR($J84="ARSIV",$J84="RED"),0,IF($C84="","",raporTarihi-$C84)))</f>
        <v/>
      </c>
      <c r="R84" s="17">
        <f>IF($A84="","",IF($Q84="","",IF($Q84&lt;=pvf_kovaEsik1,"0-7",IF($Q84&lt;=pvf_kovaEsik2,"8-30",IF($Q84&lt;=pvf_kovaEsik3,"31-60","60+")))))</f>
        <v/>
      </c>
      <c r="S84" s="17">
        <f>IF($A84="","",IF($B84="","YETİM",IF(COUNTIF(tblPersonel[PersonelId],$B84)=0,"YETİM","")))</f>
        <v/>
      </c>
      <c r="T84" s="17">
        <f>IF(OR($A84="",$I84=""),"",IF(OR($I84&amp;"|"&amp;$J84="",COUNTIF(ListeIzinliGecis,$I84&amp;"|"&amp;$J84)&gt;0),"","GEÇERSİZ GEÇİŞ"))</f>
        <v/>
      </c>
      <c r="U84" s="17">
        <f>IF($A84="","",IF(OR($P84="",$G84=""),"",IF(ABS($G84-$P84)&gt;zincirTolerans,"ZİNCİR KIRIK","OK")))</f>
        <v/>
      </c>
      <c r="V84" s="17">
        <f>IF($A84="","",1)</f>
        <v/>
      </c>
      <c r="W84" s="17">
        <f>IF($A84="","",$G84*$N84*pvf_mesaiKatsayi)</f>
        <v/>
      </c>
    </row>
    <row r="85">
      <c r="A85" s="15" t="n"/>
      <c r="B85" s="15" t="n"/>
      <c r="C85" s="66" t="n"/>
      <c r="D85" s="16" t="n"/>
      <c r="E85" s="16" t="n"/>
      <c r="F85" s="16" t="n"/>
      <c r="G85" s="16" t="n"/>
      <c r="H85" s="15" t="n"/>
      <c r="I85" s="15" t="n"/>
      <c r="J85" s="15" t="n"/>
      <c r="K85" s="15" t="n"/>
      <c r="L85" s="15" t="n"/>
      <c r="M85" s="15" t="n"/>
      <c r="N85" s="67" t="n"/>
      <c r="O85" s="17">
        <f>IF($A85="","",MAX(0,$E85-$D85))</f>
        <v/>
      </c>
      <c r="P85" s="17">
        <f>IF($A85="","",MAX(0,$O85-$F85))</f>
        <v/>
      </c>
      <c r="Q85" s="17">
        <f>IF($A85="","",IF(OR($J85="ARSIV",$J85="RED"),0,IF($C85="","",raporTarihi-$C85)))</f>
        <v/>
      </c>
      <c r="R85" s="17">
        <f>IF($A85="","",IF($Q85="","",IF($Q85&lt;=pvf_kovaEsik1,"0-7",IF($Q85&lt;=pvf_kovaEsik2,"8-30",IF($Q85&lt;=pvf_kovaEsik3,"31-60","60+")))))</f>
        <v/>
      </c>
      <c r="S85" s="17">
        <f>IF($A85="","",IF($B85="","YETİM",IF(COUNTIF(tblPersonel[PersonelId],$B85)=0,"YETİM","")))</f>
        <v/>
      </c>
      <c r="T85" s="17">
        <f>IF(OR($A85="",$I85=""),"",IF(OR($I85&amp;"|"&amp;$J85="",COUNTIF(ListeIzinliGecis,$I85&amp;"|"&amp;$J85)&gt;0),"","GEÇERSİZ GEÇİŞ"))</f>
        <v/>
      </c>
      <c r="U85" s="17">
        <f>IF($A85="","",IF(OR($P85="",$G85=""),"",IF(ABS($G85-$P85)&gt;zincirTolerans,"ZİNCİR KIRIK","OK")))</f>
        <v/>
      </c>
      <c r="V85" s="17">
        <f>IF($A85="","",1)</f>
        <v/>
      </c>
      <c r="W85" s="17">
        <f>IF($A85="","",$G85*$N85*pvf_mesaiKatsayi)</f>
        <v/>
      </c>
    </row>
    <row r="86">
      <c r="A86" s="15" t="n"/>
      <c r="B86" s="15" t="n"/>
      <c r="C86" s="66" t="n"/>
      <c r="D86" s="16" t="n"/>
      <c r="E86" s="16" t="n"/>
      <c r="F86" s="16" t="n"/>
      <c r="G86" s="16" t="n"/>
      <c r="H86" s="15" t="n"/>
      <c r="I86" s="15" t="n"/>
      <c r="J86" s="15" t="n"/>
      <c r="K86" s="15" t="n"/>
      <c r="L86" s="15" t="n"/>
      <c r="M86" s="15" t="n"/>
      <c r="N86" s="67" t="n"/>
      <c r="O86" s="17">
        <f>IF($A86="","",MAX(0,$E86-$D86))</f>
        <v/>
      </c>
      <c r="P86" s="17">
        <f>IF($A86="","",MAX(0,$O86-$F86))</f>
        <v/>
      </c>
      <c r="Q86" s="17">
        <f>IF($A86="","",IF(OR($J86="ARSIV",$J86="RED"),0,IF($C86="","",raporTarihi-$C86)))</f>
        <v/>
      </c>
      <c r="R86" s="17">
        <f>IF($A86="","",IF($Q86="","",IF($Q86&lt;=pvf_kovaEsik1,"0-7",IF($Q86&lt;=pvf_kovaEsik2,"8-30",IF($Q86&lt;=pvf_kovaEsik3,"31-60","60+")))))</f>
        <v/>
      </c>
      <c r="S86" s="17">
        <f>IF($A86="","",IF($B86="","YETİM",IF(COUNTIF(tblPersonel[PersonelId],$B86)=0,"YETİM","")))</f>
        <v/>
      </c>
      <c r="T86" s="17">
        <f>IF(OR($A86="",$I86=""),"",IF(OR($I86&amp;"|"&amp;$J86="",COUNTIF(ListeIzinliGecis,$I86&amp;"|"&amp;$J86)&gt;0),"","GEÇERSİZ GEÇİŞ"))</f>
        <v/>
      </c>
      <c r="U86" s="17">
        <f>IF($A86="","",IF(OR($P86="",$G86=""),"",IF(ABS($G86-$P86)&gt;zincirTolerans,"ZİNCİR KIRIK","OK")))</f>
        <v/>
      </c>
      <c r="V86" s="17">
        <f>IF($A86="","",1)</f>
        <v/>
      </c>
      <c r="W86" s="17">
        <f>IF($A86="","",$G86*$N86*pvf_mesaiKatsayi)</f>
        <v/>
      </c>
    </row>
    <row r="87">
      <c r="A87" s="15" t="n"/>
      <c r="B87" s="15" t="n"/>
      <c r="C87" s="66" t="n"/>
      <c r="D87" s="16" t="n"/>
      <c r="E87" s="16" t="n"/>
      <c r="F87" s="16" t="n"/>
      <c r="G87" s="16" t="n"/>
      <c r="H87" s="15" t="n"/>
      <c r="I87" s="15" t="n"/>
      <c r="J87" s="15" t="n"/>
      <c r="K87" s="15" t="n"/>
      <c r="L87" s="15" t="n"/>
      <c r="M87" s="15" t="n"/>
      <c r="N87" s="67" t="n"/>
      <c r="O87" s="17">
        <f>IF($A87="","",MAX(0,$E87-$D87))</f>
        <v/>
      </c>
      <c r="P87" s="17">
        <f>IF($A87="","",MAX(0,$O87-$F87))</f>
        <v/>
      </c>
      <c r="Q87" s="17">
        <f>IF($A87="","",IF(OR($J87="ARSIV",$J87="RED"),0,IF($C87="","",raporTarihi-$C87)))</f>
        <v/>
      </c>
      <c r="R87" s="17">
        <f>IF($A87="","",IF($Q87="","",IF($Q87&lt;=pvf_kovaEsik1,"0-7",IF($Q87&lt;=pvf_kovaEsik2,"8-30",IF($Q87&lt;=pvf_kovaEsik3,"31-60","60+")))))</f>
        <v/>
      </c>
      <c r="S87" s="17">
        <f>IF($A87="","",IF($B87="","YETİM",IF(COUNTIF(tblPersonel[PersonelId],$B87)=0,"YETİM","")))</f>
        <v/>
      </c>
      <c r="T87" s="17">
        <f>IF(OR($A87="",$I87=""),"",IF(OR($I87&amp;"|"&amp;$J87="",COUNTIF(ListeIzinliGecis,$I87&amp;"|"&amp;$J87)&gt;0),"","GEÇERSİZ GEÇİŞ"))</f>
        <v/>
      </c>
      <c r="U87" s="17">
        <f>IF($A87="","",IF(OR($P87="",$G87=""),"",IF(ABS($G87-$P87)&gt;zincirTolerans,"ZİNCİR KIRIK","OK")))</f>
        <v/>
      </c>
      <c r="V87" s="17">
        <f>IF($A87="","",1)</f>
        <v/>
      </c>
      <c r="W87" s="17">
        <f>IF($A87="","",$G87*$N87*pvf_mesaiKatsayi)</f>
        <v/>
      </c>
    </row>
    <row r="88">
      <c r="A88" s="15" t="n"/>
      <c r="B88" s="15" t="n"/>
      <c r="C88" s="66" t="n"/>
      <c r="D88" s="16" t="n"/>
      <c r="E88" s="16" t="n"/>
      <c r="F88" s="16" t="n"/>
      <c r="G88" s="16" t="n"/>
      <c r="H88" s="15" t="n"/>
      <c r="I88" s="15" t="n"/>
      <c r="J88" s="15" t="n"/>
      <c r="K88" s="15" t="n"/>
      <c r="L88" s="15" t="n"/>
      <c r="M88" s="15" t="n"/>
      <c r="N88" s="67" t="n"/>
      <c r="O88" s="17">
        <f>IF($A88="","",MAX(0,$E88-$D88))</f>
        <v/>
      </c>
      <c r="P88" s="17">
        <f>IF($A88="","",MAX(0,$O88-$F88))</f>
        <v/>
      </c>
      <c r="Q88" s="17">
        <f>IF($A88="","",IF(OR($J88="ARSIV",$J88="RED"),0,IF($C88="","",raporTarihi-$C88)))</f>
        <v/>
      </c>
      <c r="R88" s="17">
        <f>IF($A88="","",IF($Q88="","",IF($Q88&lt;=pvf_kovaEsik1,"0-7",IF($Q88&lt;=pvf_kovaEsik2,"8-30",IF($Q88&lt;=pvf_kovaEsik3,"31-60","60+")))))</f>
        <v/>
      </c>
      <c r="S88" s="17">
        <f>IF($A88="","",IF($B88="","YETİM",IF(COUNTIF(tblPersonel[PersonelId],$B88)=0,"YETİM","")))</f>
        <v/>
      </c>
      <c r="T88" s="17">
        <f>IF(OR($A88="",$I88=""),"",IF(OR($I88&amp;"|"&amp;$J88="",COUNTIF(ListeIzinliGecis,$I88&amp;"|"&amp;$J88)&gt;0),"","GEÇERSİZ GEÇİŞ"))</f>
        <v/>
      </c>
      <c r="U88" s="17">
        <f>IF($A88="","",IF(OR($P88="",$G88=""),"",IF(ABS($G88-$P88)&gt;zincirTolerans,"ZİNCİR KIRIK","OK")))</f>
        <v/>
      </c>
      <c r="V88" s="17">
        <f>IF($A88="","",1)</f>
        <v/>
      </c>
      <c r="W88" s="17">
        <f>IF($A88="","",$G88*$N88*pvf_mesaiKatsayi)</f>
        <v/>
      </c>
    </row>
    <row r="89">
      <c r="A89" s="15" t="n"/>
      <c r="B89" s="15" t="n"/>
      <c r="C89" s="66" t="n"/>
      <c r="D89" s="16" t="n"/>
      <c r="E89" s="16" t="n"/>
      <c r="F89" s="16" t="n"/>
      <c r="G89" s="16" t="n"/>
      <c r="H89" s="15" t="n"/>
      <c r="I89" s="15" t="n"/>
      <c r="J89" s="15" t="n"/>
      <c r="K89" s="15" t="n"/>
      <c r="L89" s="15" t="n"/>
      <c r="M89" s="15" t="n"/>
      <c r="N89" s="67" t="n"/>
      <c r="O89" s="17">
        <f>IF($A89="","",MAX(0,$E89-$D89))</f>
        <v/>
      </c>
      <c r="P89" s="17">
        <f>IF($A89="","",MAX(0,$O89-$F89))</f>
        <v/>
      </c>
      <c r="Q89" s="17">
        <f>IF($A89="","",IF(OR($J89="ARSIV",$J89="RED"),0,IF($C89="","",raporTarihi-$C89)))</f>
        <v/>
      </c>
      <c r="R89" s="17">
        <f>IF($A89="","",IF($Q89="","",IF($Q89&lt;=pvf_kovaEsik1,"0-7",IF($Q89&lt;=pvf_kovaEsik2,"8-30",IF($Q89&lt;=pvf_kovaEsik3,"31-60","60+")))))</f>
        <v/>
      </c>
      <c r="S89" s="17">
        <f>IF($A89="","",IF($B89="","YETİM",IF(COUNTIF(tblPersonel[PersonelId],$B89)=0,"YETİM","")))</f>
        <v/>
      </c>
      <c r="T89" s="17">
        <f>IF(OR($A89="",$I89=""),"",IF(OR($I89&amp;"|"&amp;$J89="",COUNTIF(ListeIzinliGecis,$I89&amp;"|"&amp;$J89)&gt;0),"","GEÇERSİZ GEÇİŞ"))</f>
        <v/>
      </c>
      <c r="U89" s="17">
        <f>IF($A89="","",IF(OR($P89="",$G89=""),"",IF(ABS($G89-$P89)&gt;zincirTolerans,"ZİNCİR KIRIK","OK")))</f>
        <v/>
      </c>
      <c r="V89" s="17">
        <f>IF($A89="","",1)</f>
        <v/>
      </c>
      <c r="W89" s="17">
        <f>IF($A89="","",$G89*$N89*pvf_mesaiKatsayi)</f>
        <v/>
      </c>
    </row>
    <row r="90">
      <c r="A90" s="15" t="n"/>
      <c r="B90" s="15" t="n"/>
      <c r="C90" s="66" t="n"/>
      <c r="D90" s="16" t="n"/>
      <c r="E90" s="16" t="n"/>
      <c r="F90" s="16" t="n"/>
      <c r="G90" s="16" t="n"/>
      <c r="H90" s="15" t="n"/>
      <c r="I90" s="15" t="n"/>
      <c r="J90" s="15" t="n"/>
      <c r="K90" s="15" t="n"/>
      <c r="L90" s="15" t="n"/>
      <c r="M90" s="15" t="n"/>
      <c r="N90" s="67" t="n"/>
      <c r="O90" s="17">
        <f>IF($A90="","",MAX(0,$E90-$D90))</f>
        <v/>
      </c>
      <c r="P90" s="17">
        <f>IF($A90="","",MAX(0,$O90-$F90))</f>
        <v/>
      </c>
      <c r="Q90" s="17">
        <f>IF($A90="","",IF(OR($J90="ARSIV",$J90="RED"),0,IF($C90="","",raporTarihi-$C90)))</f>
        <v/>
      </c>
      <c r="R90" s="17">
        <f>IF($A90="","",IF($Q90="","",IF($Q90&lt;=pvf_kovaEsik1,"0-7",IF($Q90&lt;=pvf_kovaEsik2,"8-30",IF($Q90&lt;=pvf_kovaEsik3,"31-60","60+")))))</f>
        <v/>
      </c>
      <c r="S90" s="17">
        <f>IF($A90="","",IF($B90="","YETİM",IF(COUNTIF(tblPersonel[PersonelId],$B90)=0,"YETİM","")))</f>
        <v/>
      </c>
      <c r="T90" s="17">
        <f>IF(OR($A90="",$I90=""),"",IF(OR($I90&amp;"|"&amp;$J90="",COUNTIF(ListeIzinliGecis,$I90&amp;"|"&amp;$J90)&gt;0),"","GEÇERSİZ GEÇİŞ"))</f>
        <v/>
      </c>
      <c r="U90" s="17">
        <f>IF($A90="","",IF(OR($P90="",$G90=""),"",IF(ABS($G90-$P90)&gt;zincirTolerans,"ZİNCİR KIRIK","OK")))</f>
        <v/>
      </c>
      <c r="V90" s="17">
        <f>IF($A90="","",1)</f>
        <v/>
      </c>
      <c r="W90" s="17">
        <f>IF($A90="","",$G90*$N90*pvf_mesaiKatsayi)</f>
        <v/>
      </c>
    </row>
    <row r="91">
      <c r="A91" s="15" t="n"/>
      <c r="B91" s="15" t="n"/>
      <c r="C91" s="66" t="n"/>
      <c r="D91" s="16" t="n"/>
      <c r="E91" s="16" t="n"/>
      <c r="F91" s="16" t="n"/>
      <c r="G91" s="16" t="n"/>
      <c r="H91" s="15" t="n"/>
      <c r="I91" s="15" t="n"/>
      <c r="J91" s="15" t="n"/>
      <c r="K91" s="15" t="n"/>
      <c r="L91" s="15" t="n"/>
      <c r="M91" s="15" t="n"/>
      <c r="N91" s="67" t="n"/>
      <c r="O91" s="17">
        <f>IF($A91="","",MAX(0,$E91-$D91))</f>
        <v/>
      </c>
      <c r="P91" s="17">
        <f>IF($A91="","",MAX(0,$O91-$F91))</f>
        <v/>
      </c>
      <c r="Q91" s="17">
        <f>IF($A91="","",IF(OR($J91="ARSIV",$J91="RED"),0,IF($C91="","",raporTarihi-$C91)))</f>
        <v/>
      </c>
      <c r="R91" s="17">
        <f>IF($A91="","",IF($Q91="","",IF($Q91&lt;=pvf_kovaEsik1,"0-7",IF($Q91&lt;=pvf_kovaEsik2,"8-30",IF($Q91&lt;=pvf_kovaEsik3,"31-60","60+")))))</f>
        <v/>
      </c>
      <c r="S91" s="17">
        <f>IF($A91="","",IF($B91="","YETİM",IF(COUNTIF(tblPersonel[PersonelId],$B91)=0,"YETİM","")))</f>
        <v/>
      </c>
      <c r="T91" s="17">
        <f>IF(OR($A91="",$I91=""),"",IF(OR($I91&amp;"|"&amp;$J91="",COUNTIF(ListeIzinliGecis,$I91&amp;"|"&amp;$J91)&gt;0),"","GEÇERSİZ GEÇİŞ"))</f>
        <v/>
      </c>
      <c r="U91" s="17">
        <f>IF($A91="","",IF(OR($P91="",$G91=""),"",IF(ABS($G91-$P91)&gt;zincirTolerans,"ZİNCİR KIRIK","OK")))</f>
        <v/>
      </c>
      <c r="V91" s="17">
        <f>IF($A91="","",1)</f>
        <v/>
      </c>
      <c r="W91" s="17">
        <f>IF($A91="","",$G91*$N91*pvf_mesaiKatsayi)</f>
        <v/>
      </c>
    </row>
    <row r="92">
      <c r="A92" s="15" t="n"/>
      <c r="B92" s="15" t="n"/>
      <c r="C92" s="66" t="n"/>
      <c r="D92" s="16" t="n"/>
      <c r="E92" s="16" t="n"/>
      <c r="F92" s="16" t="n"/>
      <c r="G92" s="16" t="n"/>
      <c r="H92" s="15" t="n"/>
      <c r="I92" s="15" t="n"/>
      <c r="J92" s="15" t="n"/>
      <c r="K92" s="15" t="n"/>
      <c r="L92" s="15" t="n"/>
      <c r="M92" s="15" t="n"/>
      <c r="N92" s="67" t="n"/>
      <c r="O92" s="17">
        <f>IF($A92="","",MAX(0,$E92-$D92))</f>
        <v/>
      </c>
      <c r="P92" s="17">
        <f>IF($A92="","",MAX(0,$O92-$F92))</f>
        <v/>
      </c>
      <c r="Q92" s="17">
        <f>IF($A92="","",IF(OR($J92="ARSIV",$J92="RED"),0,IF($C92="","",raporTarihi-$C92)))</f>
        <v/>
      </c>
      <c r="R92" s="17">
        <f>IF($A92="","",IF($Q92="","",IF($Q92&lt;=pvf_kovaEsik1,"0-7",IF($Q92&lt;=pvf_kovaEsik2,"8-30",IF($Q92&lt;=pvf_kovaEsik3,"31-60","60+")))))</f>
        <v/>
      </c>
      <c r="S92" s="17">
        <f>IF($A92="","",IF($B92="","YETİM",IF(COUNTIF(tblPersonel[PersonelId],$B92)=0,"YETİM","")))</f>
        <v/>
      </c>
      <c r="T92" s="17">
        <f>IF(OR($A92="",$I92=""),"",IF(OR($I92&amp;"|"&amp;$J92="",COUNTIF(ListeIzinliGecis,$I92&amp;"|"&amp;$J92)&gt;0),"","GEÇERSİZ GEÇİŞ"))</f>
        <v/>
      </c>
      <c r="U92" s="17">
        <f>IF($A92="","",IF(OR($P92="",$G92=""),"",IF(ABS($G92-$P92)&gt;zincirTolerans,"ZİNCİR KIRIK","OK")))</f>
        <v/>
      </c>
      <c r="V92" s="17">
        <f>IF($A92="","",1)</f>
        <v/>
      </c>
      <c r="W92" s="17">
        <f>IF($A92="","",$G92*$N92*pvf_mesaiKatsayi)</f>
        <v/>
      </c>
    </row>
    <row r="93">
      <c r="A93" s="15" t="n"/>
      <c r="B93" s="15" t="n"/>
      <c r="C93" s="66" t="n"/>
      <c r="D93" s="16" t="n"/>
      <c r="E93" s="16" t="n"/>
      <c r="F93" s="16" t="n"/>
      <c r="G93" s="16" t="n"/>
      <c r="H93" s="15" t="n"/>
      <c r="I93" s="15" t="n"/>
      <c r="J93" s="15" t="n"/>
      <c r="K93" s="15" t="n"/>
      <c r="L93" s="15" t="n"/>
      <c r="M93" s="15" t="n"/>
      <c r="N93" s="67" t="n"/>
      <c r="O93" s="17">
        <f>IF($A93="","",MAX(0,$E93-$D93))</f>
        <v/>
      </c>
      <c r="P93" s="17">
        <f>IF($A93="","",MAX(0,$O93-$F93))</f>
        <v/>
      </c>
      <c r="Q93" s="17">
        <f>IF($A93="","",IF(OR($J93="ARSIV",$J93="RED"),0,IF($C93="","",raporTarihi-$C93)))</f>
        <v/>
      </c>
      <c r="R93" s="17">
        <f>IF($A93="","",IF($Q93="","",IF($Q93&lt;=pvf_kovaEsik1,"0-7",IF($Q93&lt;=pvf_kovaEsik2,"8-30",IF($Q93&lt;=pvf_kovaEsik3,"31-60","60+")))))</f>
        <v/>
      </c>
      <c r="S93" s="17">
        <f>IF($A93="","",IF($B93="","YETİM",IF(COUNTIF(tblPersonel[PersonelId],$B93)=0,"YETİM","")))</f>
        <v/>
      </c>
      <c r="T93" s="17">
        <f>IF(OR($A93="",$I93=""),"",IF(OR($I93&amp;"|"&amp;$J93="",COUNTIF(ListeIzinliGecis,$I93&amp;"|"&amp;$J93)&gt;0),"","GEÇERSİZ GEÇİŞ"))</f>
        <v/>
      </c>
      <c r="U93" s="17">
        <f>IF($A93="","",IF(OR($P93="",$G93=""),"",IF(ABS($G93-$P93)&gt;zincirTolerans,"ZİNCİR KIRIK","OK")))</f>
        <v/>
      </c>
      <c r="V93" s="17">
        <f>IF($A93="","",1)</f>
        <v/>
      </c>
      <c r="W93" s="17">
        <f>IF($A93="","",$G93*$N93*pvf_mesaiKatsayi)</f>
        <v/>
      </c>
    </row>
    <row r="94">
      <c r="A94" s="15" t="n"/>
      <c r="B94" s="15" t="n"/>
      <c r="C94" s="66" t="n"/>
      <c r="D94" s="16" t="n"/>
      <c r="E94" s="16" t="n"/>
      <c r="F94" s="16" t="n"/>
      <c r="G94" s="16" t="n"/>
      <c r="H94" s="15" t="n"/>
      <c r="I94" s="15" t="n"/>
      <c r="J94" s="15" t="n"/>
      <c r="K94" s="15" t="n"/>
      <c r="L94" s="15" t="n"/>
      <c r="M94" s="15" t="n"/>
      <c r="N94" s="67" t="n"/>
      <c r="O94" s="17">
        <f>IF($A94="","",MAX(0,$E94-$D94))</f>
        <v/>
      </c>
      <c r="P94" s="17">
        <f>IF($A94="","",MAX(0,$O94-$F94))</f>
        <v/>
      </c>
      <c r="Q94" s="17">
        <f>IF($A94="","",IF(OR($J94="ARSIV",$J94="RED"),0,IF($C94="","",raporTarihi-$C94)))</f>
        <v/>
      </c>
      <c r="R94" s="17">
        <f>IF($A94="","",IF($Q94="","",IF($Q94&lt;=pvf_kovaEsik1,"0-7",IF($Q94&lt;=pvf_kovaEsik2,"8-30",IF($Q94&lt;=pvf_kovaEsik3,"31-60","60+")))))</f>
        <v/>
      </c>
      <c r="S94" s="17">
        <f>IF($A94="","",IF($B94="","YETİM",IF(COUNTIF(tblPersonel[PersonelId],$B94)=0,"YETİM","")))</f>
        <v/>
      </c>
      <c r="T94" s="17">
        <f>IF(OR($A94="",$I94=""),"",IF(OR($I94&amp;"|"&amp;$J94="",COUNTIF(ListeIzinliGecis,$I94&amp;"|"&amp;$J94)&gt;0),"","GEÇERSİZ GEÇİŞ"))</f>
        <v/>
      </c>
      <c r="U94" s="17">
        <f>IF($A94="","",IF(OR($P94="",$G94=""),"",IF(ABS($G94-$P94)&gt;zincirTolerans,"ZİNCİR KIRIK","OK")))</f>
        <v/>
      </c>
      <c r="V94" s="17">
        <f>IF($A94="","",1)</f>
        <v/>
      </c>
      <c r="W94" s="17">
        <f>IF($A94="","",$G94*$N94*pvf_mesaiKatsayi)</f>
        <v/>
      </c>
    </row>
    <row r="95">
      <c r="A95" s="15" t="n"/>
      <c r="B95" s="15" t="n"/>
      <c r="C95" s="66" t="n"/>
      <c r="D95" s="16" t="n"/>
      <c r="E95" s="16" t="n"/>
      <c r="F95" s="16" t="n"/>
      <c r="G95" s="16" t="n"/>
      <c r="H95" s="15" t="n"/>
      <c r="I95" s="15" t="n"/>
      <c r="J95" s="15" t="n"/>
      <c r="K95" s="15" t="n"/>
      <c r="L95" s="15" t="n"/>
      <c r="M95" s="15" t="n"/>
      <c r="N95" s="67" t="n"/>
      <c r="O95" s="17">
        <f>IF($A95="","",MAX(0,$E95-$D95))</f>
        <v/>
      </c>
      <c r="P95" s="17">
        <f>IF($A95="","",MAX(0,$O95-$F95))</f>
        <v/>
      </c>
      <c r="Q95" s="17">
        <f>IF($A95="","",IF(OR($J95="ARSIV",$J95="RED"),0,IF($C95="","",raporTarihi-$C95)))</f>
        <v/>
      </c>
      <c r="R95" s="17">
        <f>IF($A95="","",IF($Q95="","",IF($Q95&lt;=pvf_kovaEsik1,"0-7",IF($Q95&lt;=pvf_kovaEsik2,"8-30",IF($Q95&lt;=pvf_kovaEsik3,"31-60","60+")))))</f>
        <v/>
      </c>
      <c r="S95" s="17">
        <f>IF($A95="","",IF($B95="","YETİM",IF(COUNTIF(tblPersonel[PersonelId],$B95)=0,"YETİM","")))</f>
        <v/>
      </c>
      <c r="T95" s="17">
        <f>IF(OR($A95="",$I95=""),"",IF(OR($I95&amp;"|"&amp;$J95="",COUNTIF(ListeIzinliGecis,$I95&amp;"|"&amp;$J95)&gt;0),"","GEÇERSİZ GEÇİŞ"))</f>
        <v/>
      </c>
      <c r="U95" s="17">
        <f>IF($A95="","",IF(OR($P95="",$G95=""),"",IF(ABS($G95-$P95)&gt;zincirTolerans,"ZİNCİR KIRIK","OK")))</f>
        <v/>
      </c>
      <c r="V95" s="17">
        <f>IF($A95="","",1)</f>
        <v/>
      </c>
      <c r="W95" s="17">
        <f>IF($A95="","",$G95*$N95*pvf_mesaiKatsayi)</f>
        <v/>
      </c>
    </row>
    <row r="96">
      <c r="A96" s="15" t="n"/>
      <c r="B96" s="15" t="n"/>
      <c r="C96" s="66" t="n"/>
      <c r="D96" s="16" t="n"/>
      <c r="E96" s="16" t="n"/>
      <c r="F96" s="16" t="n"/>
      <c r="G96" s="16" t="n"/>
      <c r="H96" s="15" t="n"/>
      <c r="I96" s="15" t="n"/>
      <c r="J96" s="15" t="n"/>
      <c r="K96" s="15" t="n"/>
      <c r="L96" s="15" t="n"/>
      <c r="M96" s="15" t="n"/>
      <c r="N96" s="67" t="n"/>
      <c r="O96" s="17">
        <f>IF($A96="","",MAX(0,$E96-$D96))</f>
        <v/>
      </c>
      <c r="P96" s="17">
        <f>IF($A96="","",MAX(0,$O96-$F96))</f>
        <v/>
      </c>
      <c r="Q96" s="17">
        <f>IF($A96="","",IF(OR($J96="ARSIV",$J96="RED"),0,IF($C96="","",raporTarihi-$C96)))</f>
        <v/>
      </c>
      <c r="R96" s="17">
        <f>IF($A96="","",IF($Q96="","",IF($Q96&lt;=pvf_kovaEsik1,"0-7",IF($Q96&lt;=pvf_kovaEsik2,"8-30",IF($Q96&lt;=pvf_kovaEsik3,"31-60","60+")))))</f>
        <v/>
      </c>
      <c r="S96" s="17">
        <f>IF($A96="","",IF($B96="","YETİM",IF(COUNTIF(tblPersonel[PersonelId],$B96)=0,"YETİM","")))</f>
        <v/>
      </c>
      <c r="T96" s="17">
        <f>IF(OR($A96="",$I96=""),"",IF(OR($I96&amp;"|"&amp;$J96="",COUNTIF(ListeIzinliGecis,$I96&amp;"|"&amp;$J96)&gt;0),"","GEÇERSİZ GEÇİŞ"))</f>
        <v/>
      </c>
      <c r="U96" s="17">
        <f>IF($A96="","",IF(OR($P96="",$G96=""),"",IF(ABS($G96-$P96)&gt;zincirTolerans,"ZİNCİR KIRIK","OK")))</f>
        <v/>
      </c>
      <c r="V96" s="17">
        <f>IF($A96="","",1)</f>
        <v/>
      </c>
      <c r="W96" s="17">
        <f>IF($A96="","",$G96*$N96*pvf_mesaiKatsayi)</f>
        <v/>
      </c>
    </row>
    <row r="97">
      <c r="A97" s="15" t="n"/>
      <c r="B97" s="15" t="n"/>
      <c r="C97" s="66" t="n"/>
      <c r="D97" s="16" t="n"/>
      <c r="E97" s="16" t="n"/>
      <c r="F97" s="16" t="n"/>
      <c r="G97" s="16" t="n"/>
      <c r="H97" s="15" t="n"/>
      <c r="I97" s="15" t="n"/>
      <c r="J97" s="15" t="n"/>
      <c r="K97" s="15" t="n"/>
      <c r="L97" s="15" t="n"/>
      <c r="M97" s="15" t="n"/>
      <c r="N97" s="67" t="n"/>
      <c r="O97" s="17">
        <f>IF($A97="","",MAX(0,$E97-$D97))</f>
        <v/>
      </c>
      <c r="P97" s="17">
        <f>IF($A97="","",MAX(0,$O97-$F97))</f>
        <v/>
      </c>
      <c r="Q97" s="17">
        <f>IF($A97="","",IF(OR($J97="ARSIV",$J97="RED"),0,IF($C97="","",raporTarihi-$C97)))</f>
        <v/>
      </c>
      <c r="R97" s="17">
        <f>IF($A97="","",IF($Q97="","",IF($Q97&lt;=pvf_kovaEsik1,"0-7",IF($Q97&lt;=pvf_kovaEsik2,"8-30",IF($Q97&lt;=pvf_kovaEsik3,"31-60","60+")))))</f>
        <v/>
      </c>
      <c r="S97" s="17">
        <f>IF($A97="","",IF($B97="","YETİM",IF(COUNTIF(tblPersonel[PersonelId],$B97)=0,"YETİM","")))</f>
        <v/>
      </c>
      <c r="T97" s="17">
        <f>IF(OR($A97="",$I97=""),"",IF(OR($I97&amp;"|"&amp;$J97="",COUNTIF(ListeIzinliGecis,$I97&amp;"|"&amp;$J97)&gt;0),"","GEÇERSİZ GEÇİŞ"))</f>
        <v/>
      </c>
      <c r="U97" s="17">
        <f>IF($A97="","",IF(OR($P97="",$G97=""),"",IF(ABS($G97-$P97)&gt;zincirTolerans,"ZİNCİR KIRIK","OK")))</f>
        <v/>
      </c>
      <c r="V97" s="17">
        <f>IF($A97="","",1)</f>
        <v/>
      </c>
      <c r="W97" s="17">
        <f>IF($A97="","",$G97*$N97*pvf_mesaiKatsayi)</f>
        <v/>
      </c>
    </row>
    <row r="98">
      <c r="A98" s="15" t="n"/>
      <c r="B98" s="15" t="n"/>
      <c r="C98" s="66" t="n"/>
      <c r="D98" s="16" t="n"/>
      <c r="E98" s="16" t="n"/>
      <c r="F98" s="16" t="n"/>
      <c r="G98" s="16" t="n"/>
      <c r="H98" s="15" t="n"/>
      <c r="I98" s="15" t="n"/>
      <c r="J98" s="15" t="n"/>
      <c r="K98" s="15" t="n"/>
      <c r="L98" s="15" t="n"/>
      <c r="M98" s="15" t="n"/>
      <c r="N98" s="67" t="n"/>
      <c r="O98" s="17">
        <f>IF($A98="","",MAX(0,$E98-$D98))</f>
        <v/>
      </c>
      <c r="P98" s="17">
        <f>IF($A98="","",MAX(0,$O98-$F98))</f>
        <v/>
      </c>
      <c r="Q98" s="17">
        <f>IF($A98="","",IF(OR($J98="ARSIV",$J98="RED"),0,IF($C98="","",raporTarihi-$C98)))</f>
        <v/>
      </c>
      <c r="R98" s="17">
        <f>IF($A98="","",IF($Q98="","",IF($Q98&lt;=pvf_kovaEsik1,"0-7",IF($Q98&lt;=pvf_kovaEsik2,"8-30",IF($Q98&lt;=pvf_kovaEsik3,"31-60","60+")))))</f>
        <v/>
      </c>
      <c r="S98" s="17">
        <f>IF($A98="","",IF($B98="","YETİM",IF(COUNTIF(tblPersonel[PersonelId],$B98)=0,"YETİM","")))</f>
        <v/>
      </c>
      <c r="T98" s="17">
        <f>IF(OR($A98="",$I98=""),"",IF(OR($I98&amp;"|"&amp;$J98="",COUNTIF(ListeIzinliGecis,$I98&amp;"|"&amp;$J98)&gt;0),"","GEÇERSİZ GEÇİŞ"))</f>
        <v/>
      </c>
      <c r="U98" s="17">
        <f>IF($A98="","",IF(OR($P98="",$G98=""),"",IF(ABS($G98-$P98)&gt;zincirTolerans,"ZİNCİR KIRIK","OK")))</f>
        <v/>
      </c>
      <c r="V98" s="17">
        <f>IF($A98="","",1)</f>
        <v/>
      </c>
      <c r="W98" s="17">
        <f>IF($A98="","",$G98*$N98*pvf_mesaiKatsayi)</f>
        <v/>
      </c>
    </row>
    <row r="99">
      <c r="A99" s="15" t="n"/>
      <c r="B99" s="15" t="n"/>
      <c r="C99" s="66" t="n"/>
      <c r="D99" s="16" t="n"/>
      <c r="E99" s="16" t="n"/>
      <c r="F99" s="16" t="n"/>
      <c r="G99" s="16" t="n"/>
      <c r="H99" s="15" t="n"/>
      <c r="I99" s="15" t="n"/>
      <c r="J99" s="15" t="n"/>
      <c r="K99" s="15" t="n"/>
      <c r="L99" s="15" t="n"/>
      <c r="M99" s="15" t="n"/>
      <c r="N99" s="67" t="n"/>
      <c r="O99" s="17">
        <f>IF($A99="","",MAX(0,$E99-$D99))</f>
        <v/>
      </c>
      <c r="P99" s="17">
        <f>IF($A99="","",MAX(0,$O99-$F99))</f>
        <v/>
      </c>
      <c r="Q99" s="17">
        <f>IF($A99="","",IF(OR($J99="ARSIV",$J99="RED"),0,IF($C99="","",raporTarihi-$C99)))</f>
        <v/>
      </c>
      <c r="R99" s="17">
        <f>IF($A99="","",IF($Q99="","",IF($Q99&lt;=pvf_kovaEsik1,"0-7",IF($Q99&lt;=pvf_kovaEsik2,"8-30",IF($Q99&lt;=pvf_kovaEsik3,"31-60","60+")))))</f>
        <v/>
      </c>
      <c r="S99" s="17">
        <f>IF($A99="","",IF($B99="","YETİM",IF(COUNTIF(tblPersonel[PersonelId],$B99)=0,"YETİM","")))</f>
        <v/>
      </c>
      <c r="T99" s="17">
        <f>IF(OR($A99="",$I99=""),"",IF(OR($I99&amp;"|"&amp;$J99="",COUNTIF(ListeIzinliGecis,$I99&amp;"|"&amp;$J99)&gt;0),"","GEÇERSİZ GEÇİŞ"))</f>
        <v/>
      </c>
      <c r="U99" s="17">
        <f>IF($A99="","",IF(OR($P99="",$G99=""),"",IF(ABS($G99-$P99)&gt;zincirTolerans,"ZİNCİR KIRIK","OK")))</f>
        <v/>
      </c>
      <c r="V99" s="17">
        <f>IF($A99="","",1)</f>
        <v/>
      </c>
      <c r="W99" s="17">
        <f>IF($A99="","",$G99*$N99*pvf_mesaiKatsayi)</f>
        <v/>
      </c>
    </row>
    <row r="100">
      <c r="A100" s="15" t="n"/>
      <c r="B100" s="15" t="n"/>
      <c r="C100" s="66" t="n"/>
      <c r="D100" s="16" t="n"/>
      <c r="E100" s="16" t="n"/>
      <c r="F100" s="16" t="n"/>
      <c r="G100" s="16" t="n"/>
      <c r="H100" s="15" t="n"/>
      <c r="I100" s="15" t="n"/>
      <c r="J100" s="15" t="n"/>
      <c r="K100" s="15" t="n"/>
      <c r="L100" s="15" t="n"/>
      <c r="M100" s="15" t="n"/>
      <c r="N100" s="67" t="n"/>
      <c r="O100" s="17">
        <f>IF($A100="","",MAX(0,$E100-$D100))</f>
        <v/>
      </c>
      <c r="P100" s="17">
        <f>IF($A100="","",MAX(0,$O100-$F100))</f>
        <v/>
      </c>
      <c r="Q100" s="17">
        <f>IF($A100="","",IF(OR($J100="ARSIV",$J100="RED"),0,IF($C100="","",raporTarihi-$C100)))</f>
        <v/>
      </c>
      <c r="R100" s="17">
        <f>IF($A100="","",IF($Q100="","",IF($Q100&lt;=pvf_kovaEsik1,"0-7",IF($Q100&lt;=pvf_kovaEsik2,"8-30",IF($Q100&lt;=pvf_kovaEsik3,"31-60","60+")))))</f>
        <v/>
      </c>
      <c r="S100" s="17">
        <f>IF($A100="","",IF($B100="","YETİM",IF(COUNTIF(tblPersonel[PersonelId],$B100)=0,"YETİM","")))</f>
        <v/>
      </c>
      <c r="T100" s="17">
        <f>IF(OR($A100="",$I100=""),"",IF(OR($I100&amp;"|"&amp;$J100="",COUNTIF(ListeIzinliGecis,$I100&amp;"|"&amp;$J100)&gt;0),"","GEÇERSİZ GEÇİŞ"))</f>
        <v/>
      </c>
      <c r="U100" s="17">
        <f>IF($A100="","",IF(OR($P100="",$G100=""),"",IF(ABS($G100-$P100)&gt;zincirTolerans,"ZİNCİR KIRIK","OK")))</f>
        <v/>
      </c>
      <c r="V100" s="17">
        <f>IF($A100="","",1)</f>
        <v/>
      </c>
      <c r="W100" s="17">
        <f>IF($A100="","",$G100*$N100*pvf_mesaiKatsayi)</f>
        <v/>
      </c>
    </row>
    <row r="101">
      <c r="A101" s="15" t="n"/>
      <c r="B101" s="15" t="n"/>
      <c r="C101" s="66" t="n"/>
      <c r="D101" s="16" t="n"/>
      <c r="E101" s="16" t="n"/>
      <c r="F101" s="16" t="n"/>
      <c r="G101" s="16" t="n"/>
      <c r="H101" s="15" t="n"/>
      <c r="I101" s="15" t="n"/>
      <c r="J101" s="15" t="n"/>
      <c r="K101" s="15" t="n"/>
      <c r="L101" s="15" t="n"/>
      <c r="M101" s="15" t="n"/>
      <c r="N101" s="67" t="n"/>
      <c r="O101" s="17">
        <f>IF($A101="","",MAX(0,$E101-$D101))</f>
        <v/>
      </c>
      <c r="P101" s="17">
        <f>IF($A101="","",MAX(0,$O101-$F101))</f>
        <v/>
      </c>
      <c r="Q101" s="17">
        <f>IF($A101="","",IF(OR($J101="ARSIV",$J101="RED"),0,IF($C101="","",raporTarihi-$C101)))</f>
        <v/>
      </c>
      <c r="R101" s="17">
        <f>IF($A101="","",IF($Q101="","",IF($Q101&lt;=pvf_kovaEsik1,"0-7",IF($Q101&lt;=pvf_kovaEsik2,"8-30",IF($Q101&lt;=pvf_kovaEsik3,"31-60","60+")))))</f>
        <v/>
      </c>
      <c r="S101" s="17">
        <f>IF($A101="","",IF($B101="","YETİM",IF(COUNTIF(tblPersonel[PersonelId],$B101)=0,"YETİM","")))</f>
        <v/>
      </c>
      <c r="T101" s="17">
        <f>IF(OR($A101="",$I101=""),"",IF(OR($I101&amp;"|"&amp;$J101="",COUNTIF(ListeIzinliGecis,$I101&amp;"|"&amp;$J101)&gt;0),"","GEÇERSİZ GEÇİŞ"))</f>
        <v/>
      </c>
      <c r="U101" s="17">
        <f>IF($A101="","",IF(OR($P101="",$G101=""),"",IF(ABS($G101-$P101)&gt;zincirTolerans,"ZİNCİR KIRIK","OK")))</f>
        <v/>
      </c>
      <c r="V101" s="17">
        <f>IF($A101="","",1)</f>
        <v/>
      </c>
      <c r="W101" s="17">
        <f>IF($A101="","",$G101*$N101*pvf_mesaiKatsayi)</f>
        <v/>
      </c>
    </row>
    <row r="102">
      <c r="A102" s="15" t="n"/>
      <c r="B102" s="15" t="n"/>
      <c r="C102" s="66" t="n"/>
      <c r="D102" s="16" t="n"/>
      <c r="E102" s="16" t="n"/>
      <c r="F102" s="16" t="n"/>
      <c r="G102" s="16" t="n"/>
      <c r="H102" s="15" t="n"/>
      <c r="I102" s="15" t="n"/>
      <c r="J102" s="15" t="n"/>
      <c r="K102" s="15" t="n"/>
      <c r="L102" s="15" t="n"/>
      <c r="M102" s="15" t="n"/>
      <c r="N102" s="67" t="n"/>
      <c r="O102" s="17">
        <f>IF($A102="","",MAX(0,$E102-$D102))</f>
        <v/>
      </c>
      <c r="P102" s="17">
        <f>IF($A102="","",MAX(0,$O102-$F102))</f>
        <v/>
      </c>
      <c r="Q102" s="17">
        <f>IF($A102="","",IF(OR($J102="ARSIV",$J102="RED"),0,IF($C102="","",raporTarihi-$C102)))</f>
        <v/>
      </c>
      <c r="R102" s="17">
        <f>IF($A102="","",IF($Q102="","",IF($Q102&lt;=pvf_kovaEsik1,"0-7",IF($Q102&lt;=pvf_kovaEsik2,"8-30",IF($Q102&lt;=pvf_kovaEsik3,"31-60","60+")))))</f>
        <v/>
      </c>
      <c r="S102" s="17">
        <f>IF($A102="","",IF($B102="","YETİM",IF(COUNTIF(tblPersonel[PersonelId],$B102)=0,"YETİM","")))</f>
        <v/>
      </c>
      <c r="T102" s="17">
        <f>IF(OR($A102="",$I102=""),"",IF(OR($I102&amp;"|"&amp;$J102="",COUNTIF(ListeIzinliGecis,$I102&amp;"|"&amp;$J102)&gt;0),"","GEÇERSİZ GEÇİŞ"))</f>
        <v/>
      </c>
      <c r="U102" s="17">
        <f>IF($A102="","",IF(OR($P102="",$G102=""),"",IF(ABS($G102-$P102)&gt;zincirTolerans,"ZİNCİR KIRIK","OK")))</f>
        <v/>
      </c>
      <c r="V102" s="17">
        <f>IF($A102="","",1)</f>
        <v/>
      </c>
      <c r="W102" s="17">
        <f>IF($A102="","",$G102*$N102*pvf_mesaiKatsayi)</f>
        <v/>
      </c>
    </row>
    <row r="103">
      <c r="A103" s="15" t="n"/>
      <c r="B103" s="15" t="n"/>
      <c r="C103" s="66" t="n"/>
      <c r="D103" s="16" t="n"/>
      <c r="E103" s="16" t="n"/>
      <c r="F103" s="16" t="n"/>
      <c r="G103" s="16" t="n"/>
      <c r="H103" s="15" t="n"/>
      <c r="I103" s="15" t="n"/>
      <c r="J103" s="15" t="n"/>
      <c r="K103" s="15" t="n"/>
      <c r="L103" s="15" t="n"/>
      <c r="M103" s="15" t="n"/>
      <c r="N103" s="67" t="n"/>
      <c r="O103" s="17">
        <f>IF($A103="","",MAX(0,$E103-$D103))</f>
        <v/>
      </c>
      <c r="P103" s="17">
        <f>IF($A103="","",MAX(0,$O103-$F103))</f>
        <v/>
      </c>
      <c r="Q103" s="17">
        <f>IF($A103="","",IF(OR($J103="ARSIV",$J103="RED"),0,IF($C103="","",raporTarihi-$C103)))</f>
        <v/>
      </c>
      <c r="R103" s="17">
        <f>IF($A103="","",IF($Q103="","",IF($Q103&lt;=pvf_kovaEsik1,"0-7",IF($Q103&lt;=pvf_kovaEsik2,"8-30",IF($Q103&lt;=pvf_kovaEsik3,"31-60","60+")))))</f>
        <v/>
      </c>
      <c r="S103" s="17">
        <f>IF($A103="","",IF($B103="","YETİM",IF(COUNTIF(tblPersonel[PersonelId],$B103)=0,"YETİM","")))</f>
        <v/>
      </c>
      <c r="T103" s="17">
        <f>IF(OR($A103="",$I103=""),"",IF(OR($I103&amp;"|"&amp;$J103="",COUNTIF(ListeIzinliGecis,$I103&amp;"|"&amp;$J103)&gt;0),"","GEÇERSİZ GEÇİŞ"))</f>
        <v/>
      </c>
      <c r="U103" s="17">
        <f>IF($A103="","",IF(OR($P103="",$G103=""),"",IF(ABS($G103-$P103)&gt;zincirTolerans,"ZİNCİR KIRIK","OK")))</f>
        <v/>
      </c>
      <c r="V103" s="17">
        <f>IF($A103="","",1)</f>
        <v/>
      </c>
      <c r="W103" s="17">
        <f>IF($A103="","",$G103*$N103*pvf_mesaiKatsayi)</f>
        <v/>
      </c>
    </row>
    <row r="104">
      <c r="A104" s="15" t="n"/>
      <c r="B104" s="15" t="n"/>
      <c r="C104" s="66" t="n"/>
      <c r="D104" s="16" t="n"/>
      <c r="E104" s="16" t="n"/>
      <c r="F104" s="16" t="n"/>
      <c r="G104" s="16" t="n"/>
      <c r="H104" s="15" t="n"/>
      <c r="I104" s="15" t="n"/>
      <c r="J104" s="15" t="n"/>
      <c r="K104" s="15" t="n"/>
      <c r="L104" s="15" t="n"/>
      <c r="M104" s="15" t="n"/>
      <c r="N104" s="67" t="n"/>
      <c r="O104" s="17">
        <f>IF($A104="","",MAX(0,$E104-$D104))</f>
        <v/>
      </c>
      <c r="P104" s="17">
        <f>IF($A104="","",MAX(0,$O104-$F104))</f>
        <v/>
      </c>
      <c r="Q104" s="17">
        <f>IF($A104="","",IF(OR($J104="ARSIV",$J104="RED"),0,IF($C104="","",raporTarihi-$C104)))</f>
        <v/>
      </c>
      <c r="R104" s="17">
        <f>IF($A104="","",IF($Q104="","",IF($Q104&lt;=pvf_kovaEsik1,"0-7",IF($Q104&lt;=pvf_kovaEsik2,"8-30",IF($Q104&lt;=pvf_kovaEsik3,"31-60","60+")))))</f>
        <v/>
      </c>
      <c r="S104" s="17">
        <f>IF($A104="","",IF($B104="","YETİM",IF(COUNTIF(tblPersonel[PersonelId],$B104)=0,"YETİM","")))</f>
        <v/>
      </c>
      <c r="T104" s="17">
        <f>IF(OR($A104="",$I104=""),"",IF(OR($I104&amp;"|"&amp;$J104="",COUNTIF(ListeIzinliGecis,$I104&amp;"|"&amp;$J104)&gt;0),"","GEÇERSİZ GEÇİŞ"))</f>
        <v/>
      </c>
      <c r="U104" s="17">
        <f>IF($A104="","",IF(OR($P104="",$G104=""),"",IF(ABS($G104-$P104)&gt;zincirTolerans,"ZİNCİR KIRIK","OK")))</f>
        <v/>
      </c>
      <c r="V104" s="17">
        <f>IF($A104="","",1)</f>
        <v/>
      </c>
      <c r="W104" s="17">
        <f>IF($A104="","",$G104*$N104*pvf_mesaiKatsayi)</f>
        <v/>
      </c>
    </row>
    <row r="105">
      <c r="A105" s="15" t="n"/>
      <c r="B105" s="15" t="n"/>
      <c r="C105" s="66" t="n"/>
      <c r="D105" s="16" t="n"/>
      <c r="E105" s="16" t="n"/>
      <c r="F105" s="16" t="n"/>
      <c r="G105" s="16" t="n"/>
      <c r="H105" s="15" t="n"/>
      <c r="I105" s="15" t="n"/>
      <c r="J105" s="15" t="n"/>
      <c r="K105" s="15" t="n"/>
      <c r="L105" s="15" t="n"/>
      <c r="M105" s="15" t="n"/>
      <c r="N105" s="67" t="n"/>
      <c r="O105" s="17">
        <f>IF($A105="","",MAX(0,$E105-$D105))</f>
        <v/>
      </c>
      <c r="P105" s="17">
        <f>IF($A105="","",MAX(0,$O105-$F105))</f>
        <v/>
      </c>
      <c r="Q105" s="17">
        <f>IF($A105="","",IF(OR($J105="ARSIV",$J105="RED"),0,IF($C105="","",raporTarihi-$C105)))</f>
        <v/>
      </c>
      <c r="R105" s="17">
        <f>IF($A105="","",IF($Q105="","",IF($Q105&lt;=pvf_kovaEsik1,"0-7",IF($Q105&lt;=pvf_kovaEsik2,"8-30",IF($Q105&lt;=pvf_kovaEsik3,"31-60","60+")))))</f>
        <v/>
      </c>
      <c r="S105" s="17">
        <f>IF($A105="","",IF($B105="","YETİM",IF(COUNTIF(tblPersonel[PersonelId],$B105)=0,"YETİM","")))</f>
        <v/>
      </c>
      <c r="T105" s="17">
        <f>IF(OR($A105="",$I105=""),"",IF(OR($I105&amp;"|"&amp;$J105="",COUNTIF(ListeIzinliGecis,$I105&amp;"|"&amp;$J105)&gt;0),"","GEÇERSİZ GEÇİŞ"))</f>
        <v/>
      </c>
      <c r="U105" s="17">
        <f>IF($A105="","",IF(OR($P105="",$G105=""),"",IF(ABS($G105-$P105)&gt;zincirTolerans,"ZİNCİR KIRIK","OK")))</f>
        <v/>
      </c>
      <c r="V105" s="17">
        <f>IF($A105="","",1)</f>
        <v/>
      </c>
      <c r="W105" s="17">
        <f>IF($A105="","",$G105*$N105*pvf_mesaiKatsayi)</f>
        <v/>
      </c>
    </row>
    <row r="106">
      <c r="A106" s="15" t="n"/>
      <c r="B106" s="15" t="n"/>
      <c r="C106" s="66" t="n"/>
      <c r="D106" s="16" t="n"/>
      <c r="E106" s="16" t="n"/>
      <c r="F106" s="16" t="n"/>
      <c r="G106" s="16" t="n"/>
      <c r="H106" s="15" t="n"/>
      <c r="I106" s="15" t="n"/>
      <c r="J106" s="15" t="n"/>
      <c r="K106" s="15" t="n"/>
      <c r="L106" s="15" t="n"/>
      <c r="M106" s="15" t="n"/>
      <c r="N106" s="67" t="n"/>
      <c r="O106" s="17">
        <f>IF($A106="","",MAX(0,$E106-$D106))</f>
        <v/>
      </c>
      <c r="P106" s="17">
        <f>IF($A106="","",MAX(0,$O106-$F106))</f>
        <v/>
      </c>
      <c r="Q106" s="17">
        <f>IF($A106="","",IF(OR($J106="ARSIV",$J106="RED"),0,IF($C106="","",raporTarihi-$C106)))</f>
        <v/>
      </c>
      <c r="R106" s="17">
        <f>IF($A106="","",IF($Q106="","",IF($Q106&lt;=pvf_kovaEsik1,"0-7",IF($Q106&lt;=pvf_kovaEsik2,"8-30",IF($Q106&lt;=pvf_kovaEsik3,"31-60","60+")))))</f>
        <v/>
      </c>
      <c r="S106" s="17">
        <f>IF($A106="","",IF($B106="","YETİM",IF(COUNTIF(tblPersonel[PersonelId],$B106)=0,"YETİM","")))</f>
        <v/>
      </c>
      <c r="T106" s="17">
        <f>IF(OR($A106="",$I106=""),"",IF(OR($I106&amp;"|"&amp;$J106="",COUNTIF(ListeIzinliGecis,$I106&amp;"|"&amp;$J106)&gt;0),"","GEÇERSİZ GEÇİŞ"))</f>
        <v/>
      </c>
      <c r="U106" s="17">
        <f>IF($A106="","",IF(OR($P106="",$G106=""),"",IF(ABS($G106-$P106)&gt;zincirTolerans,"ZİNCİR KIRIK","OK")))</f>
        <v/>
      </c>
      <c r="V106" s="17">
        <f>IF($A106="","",1)</f>
        <v/>
      </c>
      <c r="W106" s="17">
        <f>IF($A106="","",$G106*$N106*pvf_mesaiKatsayi)</f>
        <v/>
      </c>
    </row>
    <row r="107">
      <c r="A107" s="15" t="n"/>
      <c r="B107" s="15" t="n"/>
      <c r="C107" s="66" t="n"/>
      <c r="D107" s="16" t="n"/>
      <c r="E107" s="16" t="n"/>
      <c r="F107" s="16" t="n"/>
      <c r="G107" s="16" t="n"/>
      <c r="H107" s="15" t="n"/>
      <c r="I107" s="15" t="n"/>
      <c r="J107" s="15" t="n"/>
      <c r="K107" s="15" t="n"/>
      <c r="L107" s="15" t="n"/>
      <c r="M107" s="15" t="n"/>
      <c r="N107" s="67" t="n"/>
      <c r="O107" s="17">
        <f>IF($A107="","",MAX(0,$E107-$D107))</f>
        <v/>
      </c>
      <c r="P107" s="17">
        <f>IF($A107="","",MAX(0,$O107-$F107))</f>
        <v/>
      </c>
      <c r="Q107" s="17">
        <f>IF($A107="","",IF(OR($J107="ARSIV",$J107="RED"),0,IF($C107="","",raporTarihi-$C107)))</f>
        <v/>
      </c>
      <c r="R107" s="17">
        <f>IF($A107="","",IF($Q107="","",IF($Q107&lt;=pvf_kovaEsik1,"0-7",IF($Q107&lt;=pvf_kovaEsik2,"8-30",IF($Q107&lt;=pvf_kovaEsik3,"31-60","60+")))))</f>
        <v/>
      </c>
      <c r="S107" s="17">
        <f>IF($A107="","",IF($B107="","YETİM",IF(COUNTIF(tblPersonel[PersonelId],$B107)=0,"YETİM","")))</f>
        <v/>
      </c>
      <c r="T107" s="17">
        <f>IF(OR($A107="",$I107=""),"",IF(OR($I107&amp;"|"&amp;$J107="",COUNTIF(ListeIzinliGecis,$I107&amp;"|"&amp;$J107)&gt;0),"","GEÇERSİZ GEÇİŞ"))</f>
        <v/>
      </c>
      <c r="U107" s="17">
        <f>IF($A107="","",IF(OR($P107="",$G107=""),"",IF(ABS($G107-$P107)&gt;zincirTolerans,"ZİNCİR KIRIK","OK")))</f>
        <v/>
      </c>
      <c r="V107" s="17">
        <f>IF($A107="","",1)</f>
        <v/>
      </c>
      <c r="W107" s="17">
        <f>IF($A107="","",$G107*$N107*pvf_mesaiKatsayi)</f>
        <v/>
      </c>
    </row>
    <row r="108">
      <c r="A108" s="15" t="n"/>
      <c r="B108" s="15" t="n"/>
      <c r="C108" s="66" t="n"/>
      <c r="D108" s="16" t="n"/>
      <c r="E108" s="16" t="n"/>
      <c r="F108" s="16" t="n"/>
      <c r="G108" s="16" t="n"/>
      <c r="H108" s="15" t="n"/>
      <c r="I108" s="15" t="n"/>
      <c r="J108" s="15" t="n"/>
      <c r="K108" s="15" t="n"/>
      <c r="L108" s="15" t="n"/>
      <c r="M108" s="15" t="n"/>
      <c r="N108" s="67" t="n"/>
      <c r="O108" s="17">
        <f>IF($A108="","",MAX(0,$E108-$D108))</f>
        <v/>
      </c>
      <c r="P108" s="17">
        <f>IF($A108="","",MAX(0,$O108-$F108))</f>
        <v/>
      </c>
      <c r="Q108" s="17">
        <f>IF($A108="","",IF(OR($J108="ARSIV",$J108="RED"),0,IF($C108="","",raporTarihi-$C108)))</f>
        <v/>
      </c>
      <c r="R108" s="17">
        <f>IF($A108="","",IF($Q108="","",IF($Q108&lt;=pvf_kovaEsik1,"0-7",IF($Q108&lt;=pvf_kovaEsik2,"8-30",IF($Q108&lt;=pvf_kovaEsik3,"31-60","60+")))))</f>
        <v/>
      </c>
      <c r="S108" s="17">
        <f>IF($A108="","",IF($B108="","YETİM",IF(COUNTIF(tblPersonel[PersonelId],$B108)=0,"YETİM","")))</f>
        <v/>
      </c>
      <c r="T108" s="17">
        <f>IF(OR($A108="",$I108=""),"",IF(OR($I108&amp;"|"&amp;$J108="",COUNTIF(ListeIzinliGecis,$I108&amp;"|"&amp;$J108)&gt;0),"","GEÇERSİZ GEÇİŞ"))</f>
        <v/>
      </c>
      <c r="U108" s="17">
        <f>IF($A108="","",IF(OR($P108="",$G108=""),"",IF(ABS($G108-$P108)&gt;zincirTolerans,"ZİNCİR KIRIK","OK")))</f>
        <v/>
      </c>
      <c r="V108" s="17">
        <f>IF($A108="","",1)</f>
        <v/>
      </c>
      <c r="W108" s="17">
        <f>IF($A108="","",$G108*$N108*pvf_mesaiKatsayi)</f>
        <v/>
      </c>
    </row>
    <row r="109">
      <c r="A109" s="15" t="n"/>
      <c r="B109" s="15" t="n"/>
      <c r="C109" s="66" t="n"/>
      <c r="D109" s="16" t="n"/>
      <c r="E109" s="16" t="n"/>
      <c r="F109" s="16" t="n"/>
      <c r="G109" s="16" t="n"/>
      <c r="H109" s="15" t="n"/>
      <c r="I109" s="15" t="n"/>
      <c r="J109" s="15" t="n"/>
      <c r="K109" s="15" t="n"/>
      <c r="L109" s="15" t="n"/>
      <c r="M109" s="15" t="n"/>
      <c r="N109" s="67" t="n"/>
      <c r="O109" s="17">
        <f>IF($A109="","",MAX(0,$E109-$D109))</f>
        <v/>
      </c>
      <c r="P109" s="17">
        <f>IF($A109="","",MAX(0,$O109-$F109))</f>
        <v/>
      </c>
      <c r="Q109" s="17">
        <f>IF($A109="","",IF(OR($J109="ARSIV",$J109="RED"),0,IF($C109="","",raporTarihi-$C109)))</f>
        <v/>
      </c>
      <c r="R109" s="17">
        <f>IF($A109="","",IF($Q109="","",IF($Q109&lt;=pvf_kovaEsik1,"0-7",IF($Q109&lt;=pvf_kovaEsik2,"8-30",IF($Q109&lt;=pvf_kovaEsik3,"31-60","60+")))))</f>
        <v/>
      </c>
      <c r="S109" s="17">
        <f>IF($A109="","",IF($B109="","YETİM",IF(COUNTIF(tblPersonel[PersonelId],$B109)=0,"YETİM","")))</f>
        <v/>
      </c>
      <c r="T109" s="17">
        <f>IF(OR($A109="",$I109=""),"",IF(OR($I109&amp;"|"&amp;$J109="",COUNTIF(ListeIzinliGecis,$I109&amp;"|"&amp;$J109)&gt;0),"","GEÇERSİZ GEÇİŞ"))</f>
        <v/>
      </c>
      <c r="U109" s="17">
        <f>IF($A109="","",IF(OR($P109="",$G109=""),"",IF(ABS($G109-$P109)&gt;zincirTolerans,"ZİNCİR KIRIK","OK")))</f>
        <v/>
      </c>
      <c r="V109" s="17">
        <f>IF($A109="","",1)</f>
        <v/>
      </c>
      <c r="W109" s="17">
        <f>IF($A109="","",$G109*$N109*pvf_mesaiKatsayi)</f>
        <v/>
      </c>
    </row>
    <row r="110">
      <c r="A110" s="15" t="n"/>
      <c r="B110" s="15" t="n"/>
      <c r="C110" s="66" t="n"/>
      <c r="D110" s="16" t="n"/>
      <c r="E110" s="16" t="n"/>
      <c r="F110" s="16" t="n"/>
      <c r="G110" s="16" t="n"/>
      <c r="H110" s="15" t="n"/>
      <c r="I110" s="15" t="n"/>
      <c r="J110" s="15" t="n"/>
      <c r="K110" s="15" t="n"/>
      <c r="L110" s="15" t="n"/>
      <c r="M110" s="15" t="n"/>
      <c r="N110" s="67" t="n"/>
      <c r="O110" s="17">
        <f>IF($A110="","",MAX(0,$E110-$D110))</f>
        <v/>
      </c>
      <c r="P110" s="17">
        <f>IF($A110="","",MAX(0,$O110-$F110))</f>
        <v/>
      </c>
      <c r="Q110" s="17">
        <f>IF($A110="","",IF(OR($J110="ARSIV",$J110="RED"),0,IF($C110="","",raporTarihi-$C110)))</f>
        <v/>
      </c>
      <c r="R110" s="17">
        <f>IF($A110="","",IF($Q110="","",IF($Q110&lt;=pvf_kovaEsik1,"0-7",IF($Q110&lt;=pvf_kovaEsik2,"8-30",IF($Q110&lt;=pvf_kovaEsik3,"31-60","60+")))))</f>
        <v/>
      </c>
      <c r="S110" s="17">
        <f>IF($A110="","",IF($B110="","YETİM",IF(COUNTIF(tblPersonel[PersonelId],$B110)=0,"YETİM","")))</f>
        <v/>
      </c>
      <c r="T110" s="17">
        <f>IF(OR($A110="",$I110=""),"",IF(OR($I110&amp;"|"&amp;$J110="",COUNTIF(ListeIzinliGecis,$I110&amp;"|"&amp;$J110)&gt;0),"","GEÇERSİZ GEÇİŞ"))</f>
        <v/>
      </c>
      <c r="U110" s="17">
        <f>IF($A110="","",IF(OR($P110="",$G110=""),"",IF(ABS($G110-$P110)&gt;zincirTolerans,"ZİNCİR KIRIK","OK")))</f>
        <v/>
      </c>
      <c r="V110" s="17">
        <f>IF($A110="","",1)</f>
        <v/>
      </c>
      <c r="W110" s="17">
        <f>IF($A110="","",$G110*$N110*pvf_mesaiKatsayi)</f>
        <v/>
      </c>
    </row>
    <row r="111">
      <c r="A111" s="15" t="n"/>
      <c r="B111" s="15" t="n"/>
      <c r="C111" s="66" t="n"/>
      <c r="D111" s="16" t="n"/>
      <c r="E111" s="16" t="n"/>
      <c r="F111" s="16" t="n"/>
      <c r="G111" s="16" t="n"/>
      <c r="H111" s="15" t="n"/>
      <c r="I111" s="15" t="n"/>
      <c r="J111" s="15" t="n"/>
      <c r="K111" s="15" t="n"/>
      <c r="L111" s="15" t="n"/>
      <c r="M111" s="15" t="n"/>
      <c r="N111" s="67" t="n"/>
      <c r="O111" s="17">
        <f>IF($A111="","",MAX(0,$E111-$D111))</f>
        <v/>
      </c>
      <c r="P111" s="17">
        <f>IF($A111="","",MAX(0,$O111-$F111))</f>
        <v/>
      </c>
      <c r="Q111" s="17">
        <f>IF($A111="","",IF(OR($J111="ARSIV",$J111="RED"),0,IF($C111="","",raporTarihi-$C111)))</f>
        <v/>
      </c>
      <c r="R111" s="17">
        <f>IF($A111="","",IF($Q111="","",IF($Q111&lt;=pvf_kovaEsik1,"0-7",IF($Q111&lt;=pvf_kovaEsik2,"8-30",IF($Q111&lt;=pvf_kovaEsik3,"31-60","60+")))))</f>
        <v/>
      </c>
      <c r="S111" s="17">
        <f>IF($A111="","",IF($B111="","YETİM",IF(COUNTIF(tblPersonel[PersonelId],$B111)=0,"YETİM","")))</f>
        <v/>
      </c>
      <c r="T111" s="17">
        <f>IF(OR($A111="",$I111=""),"",IF(OR($I111&amp;"|"&amp;$J111="",COUNTIF(ListeIzinliGecis,$I111&amp;"|"&amp;$J111)&gt;0),"","GEÇERSİZ GEÇİŞ"))</f>
        <v/>
      </c>
      <c r="U111" s="17">
        <f>IF($A111="","",IF(OR($P111="",$G111=""),"",IF(ABS($G111-$P111)&gt;zincirTolerans,"ZİNCİR KIRIK","OK")))</f>
        <v/>
      </c>
      <c r="V111" s="17">
        <f>IF($A111="","",1)</f>
        <v/>
      </c>
      <c r="W111" s="17">
        <f>IF($A111="","",$G111*$N111*pvf_mesaiKatsayi)</f>
        <v/>
      </c>
    </row>
    <row r="112">
      <c r="A112" s="15" t="n"/>
      <c r="B112" s="15" t="n"/>
      <c r="C112" s="66" t="n"/>
      <c r="D112" s="16" t="n"/>
      <c r="E112" s="16" t="n"/>
      <c r="F112" s="16" t="n"/>
      <c r="G112" s="16" t="n"/>
      <c r="H112" s="15" t="n"/>
      <c r="I112" s="15" t="n"/>
      <c r="J112" s="15" t="n"/>
      <c r="K112" s="15" t="n"/>
      <c r="L112" s="15" t="n"/>
      <c r="M112" s="15" t="n"/>
      <c r="N112" s="67" t="n"/>
      <c r="O112" s="17">
        <f>IF($A112="","",MAX(0,$E112-$D112))</f>
        <v/>
      </c>
      <c r="P112" s="17">
        <f>IF($A112="","",MAX(0,$O112-$F112))</f>
        <v/>
      </c>
      <c r="Q112" s="17">
        <f>IF($A112="","",IF(OR($J112="ARSIV",$J112="RED"),0,IF($C112="","",raporTarihi-$C112)))</f>
        <v/>
      </c>
      <c r="R112" s="17">
        <f>IF($A112="","",IF($Q112="","",IF($Q112&lt;=pvf_kovaEsik1,"0-7",IF($Q112&lt;=pvf_kovaEsik2,"8-30",IF($Q112&lt;=pvf_kovaEsik3,"31-60","60+")))))</f>
        <v/>
      </c>
      <c r="S112" s="17">
        <f>IF($A112="","",IF($B112="","YETİM",IF(COUNTIF(tblPersonel[PersonelId],$B112)=0,"YETİM","")))</f>
        <v/>
      </c>
      <c r="T112" s="17">
        <f>IF(OR($A112="",$I112=""),"",IF(OR($I112&amp;"|"&amp;$J112="",COUNTIF(ListeIzinliGecis,$I112&amp;"|"&amp;$J112)&gt;0),"","GEÇERSİZ GEÇİŞ"))</f>
        <v/>
      </c>
      <c r="U112" s="17">
        <f>IF($A112="","",IF(OR($P112="",$G112=""),"",IF(ABS($G112-$P112)&gt;zincirTolerans,"ZİNCİR KIRIK","OK")))</f>
        <v/>
      </c>
      <c r="V112" s="17">
        <f>IF($A112="","",1)</f>
        <v/>
      </c>
      <c r="W112" s="17">
        <f>IF($A112="","",$G112*$N112*pvf_mesaiKatsayi)</f>
        <v/>
      </c>
    </row>
    <row r="113">
      <c r="A113" s="15" t="n"/>
      <c r="B113" s="15" t="n"/>
      <c r="C113" s="66" t="n"/>
      <c r="D113" s="16" t="n"/>
      <c r="E113" s="16" t="n"/>
      <c r="F113" s="16" t="n"/>
      <c r="G113" s="16" t="n"/>
      <c r="H113" s="15" t="n"/>
      <c r="I113" s="15" t="n"/>
      <c r="J113" s="15" t="n"/>
      <c r="K113" s="15" t="n"/>
      <c r="L113" s="15" t="n"/>
      <c r="M113" s="15" t="n"/>
      <c r="N113" s="67" t="n"/>
      <c r="O113" s="17">
        <f>IF($A113="","",MAX(0,$E113-$D113))</f>
        <v/>
      </c>
      <c r="P113" s="17">
        <f>IF($A113="","",MAX(0,$O113-$F113))</f>
        <v/>
      </c>
      <c r="Q113" s="17">
        <f>IF($A113="","",IF(OR($J113="ARSIV",$J113="RED"),0,IF($C113="","",raporTarihi-$C113)))</f>
        <v/>
      </c>
      <c r="R113" s="17">
        <f>IF($A113="","",IF($Q113="","",IF($Q113&lt;=pvf_kovaEsik1,"0-7",IF($Q113&lt;=pvf_kovaEsik2,"8-30",IF($Q113&lt;=pvf_kovaEsik3,"31-60","60+")))))</f>
        <v/>
      </c>
      <c r="S113" s="17">
        <f>IF($A113="","",IF($B113="","YETİM",IF(COUNTIF(tblPersonel[PersonelId],$B113)=0,"YETİM","")))</f>
        <v/>
      </c>
      <c r="T113" s="17">
        <f>IF(OR($A113="",$I113=""),"",IF(OR($I113&amp;"|"&amp;$J113="",COUNTIF(ListeIzinliGecis,$I113&amp;"|"&amp;$J113)&gt;0),"","GEÇERSİZ GEÇİŞ"))</f>
        <v/>
      </c>
      <c r="U113" s="17">
        <f>IF($A113="","",IF(OR($P113="",$G113=""),"",IF(ABS($G113-$P113)&gt;zincirTolerans,"ZİNCİR KIRIK","OK")))</f>
        <v/>
      </c>
      <c r="V113" s="17">
        <f>IF($A113="","",1)</f>
        <v/>
      </c>
      <c r="W113" s="17">
        <f>IF($A113="","",$G113*$N113*pvf_mesaiKatsayi)</f>
        <v/>
      </c>
    </row>
    <row r="114">
      <c r="A114" s="15" t="n"/>
      <c r="B114" s="15" t="n"/>
      <c r="C114" s="66" t="n"/>
      <c r="D114" s="16" t="n"/>
      <c r="E114" s="16" t="n"/>
      <c r="F114" s="16" t="n"/>
      <c r="G114" s="16" t="n"/>
      <c r="H114" s="15" t="n"/>
      <c r="I114" s="15" t="n"/>
      <c r="J114" s="15" t="n"/>
      <c r="K114" s="15" t="n"/>
      <c r="L114" s="15" t="n"/>
      <c r="M114" s="15" t="n"/>
      <c r="N114" s="67" t="n"/>
      <c r="O114" s="17">
        <f>IF($A114="","",MAX(0,$E114-$D114))</f>
        <v/>
      </c>
      <c r="P114" s="17">
        <f>IF($A114="","",MAX(0,$O114-$F114))</f>
        <v/>
      </c>
      <c r="Q114" s="17">
        <f>IF($A114="","",IF(OR($J114="ARSIV",$J114="RED"),0,IF($C114="","",raporTarihi-$C114)))</f>
        <v/>
      </c>
      <c r="R114" s="17">
        <f>IF($A114="","",IF($Q114="","",IF($Q114&lt;=pvf_kovaEsik1,"0-7",IF($Q114&lt;=pvf_kovaEsik2,"8-30",IF($Q114&lt;=pvf_kovaEsik3,"31-60","60+")))))</f>
        <v/>
      </c>
      <c r="S114" s="17">
        <f>IF($A114="","",IF($B114="","YETİM",IF(COUNTIF(tblPersonel[PersonelId],$B114)=0,"YETİM","")))</f>
        <v/>
      </c>
      <c r="T114" s="17">
        <f>IF(OR($A114="",$I114=""),"",IF(OR($I114&amp;"|"&amp;$J114="",COUNTIF(ListeIzinliGecis,$I114&amp;"|"&amp;$J114)&gt;0),"","GEÇERSİZ GEÇİŞ"))</f>
        <v/>
      </c>
      <c r="U114" s="17">
        <f>IF($A114="","",IF(OR($P114="",$G114=""),"",IF(ABS($G114-$P114)&gt;zincirTolerans,"ZİNCİR KIRIK","OK")))</f>
        <v/>
      </c>
      <c r="V114" s="17">
        <f>IF($A114="","",1)</f>
        <v/>
      </c>
      <c r="W114" s="17">
        <f>IF($A114="","",$G114*$N114*pvf_mesaiKatsayi)</f>
        <v/>
      </c>
    </row>
    <row r="115">
      <c r="A115" s="15" t="n"/>
      <c r="B115" s="15" t="n"/>
      <c r="C115" s="66" t="n"/>
      <c r="D115" s="16" t="n"/>
      <c r="E115" s="16" t="n"/>
      <c r="F115" s="16" t="n"/>
      <c r="G115" s="16" t="n"/>
      <c r="H115" s="15" t="n"/>
      <c r="I115" s="15" t="n"/>
      <c r="J115" s="15" t="n"/>
      <c r="K115" s="15" t="n"/>
      <c r="L115" s="15" t="n"/>
      <c r="M115" s="15" t="n"/>
      <c r="N115" s="67" t="n"/>
      <c r="O115" s="17">
        <f>IF($A115="","",MAX(0,$E115-$D115))</f>
        <v/>
      </c>
      <c r="P115" s="17">
        <f>IF($A115="","",MAX(0,$O115-$F115))</f>
        <v/>
      </c>
      <c r="Q115" s="17">
        <f>IF($A115="","",IF(OR($J115="ARSIV",$J115="RED"),0,IF($C115="","",raporTarihi-$C115)))</f>
        <v/>
      </c>
      <c r="R115" s="17">
        <f>IF($A115="","",IF($Q115="","",IF($Q115&lt;=pvf_kovaEsik1,"0-7",IF($Q115&lt;=pvf_kovaEsik2,"8-30",IF($Q115&lt;=pvf_kovaEsik3,"31-60","60+")))))</f>
        <v/>
      </c>
      <c r="S115" s="17">
        <f>IF($A115="","",IF($B115="","YETİM",IF(COUNTIF(tblPersonel[PersonelId],$B115)=0,"YETİM","")))</f>
        <v/>
      </c>
      <c r="T115" s="17">
        <f>IF(OR($A115="",$I115=""),"",IF(OR($I115&amp;"|"&amp;$J115="",COUNTIF(ListeIzinliGecis,$I115&amp;"|"&amp;$J115)&gt;0),"","GEÇERSİZ GEÇİŞ"))</f>
        <v/>
      </c>
      <c r="U115" s="17">
        <f>IF($A115="","",IF(OR($P115="",$G115=""),"",IF(ABS($G115-$P115)&gt;zincirTolerans,"ZİNCİR KIRIK","OK")))</f>
        <v/>
      </c>
      <c r="V115" s="17">
        <f>IF($A115="","",1)</f>
        <v/>
      </c>
      <c r="W115" s="17">
        <f>IF($A115="","",$G115*$N115*pvf_mesaiKatsayi)</f>
        <v/>
      </c>
    </row>
    <row r="116">
      <c r="A116" s="15" t="n"/>
      <c r="B116" s="15" t="n"/>
      <c r="C116" s="66" t="n"/>
      <c r="D116" s="16" t="n"/>
      <c r="E116" s="16" t="n"/>
      <c r="F116" s="16" t="n"/>
      <c r="G116" s="16" t="n"/>
      <c r="H116" s="15" t="n"/>
      <c r="I116" s="15" t="n"/>
      <c r="J116" s="15" t="n"/>
      <c r="K116" s="15" t="n"/>
      <c r="L116" s="15" t="n"/>
      <c r="M116" s="15" t="n"/>
      <c r="N116" s="67" t="n"/>
      <c r="O116" s="17">
        <f>IF($A116="","",MAX(0,$E116-$D116))</f>
        <v/>
      </c>
      <c r="P116" s="17">
        <f>IF($A116="","",MAX(0,$O116-$F116))</f>
        <v/>
      </c>
      <c r="Q116" s="17">
        <f>IF($A116="","",IF(OR($J116="ARSIV",$J116="RED"),0,IF($C116="","",raporTarihi-$C116)))</f>
        <v/>
      </c>
      <c r="R116" s="17">
        <f>IF($A116="","",IF($Q116="","",IF($Q116&lt;=pvf_kovaEsik1,"0-7",IF($Q116&lt;=pvf_kovaEsik2,"8-30",IF($Q116&lt;=pvf_kovaEsik3,"31-60","60+")))))</f>
        <v/>
      </c>
      <c r="S116" s="17">
        <f>IF($A116="","",IF($B116="","YETİM",IF(COUNTIF(tblPersonel[PersonelId],$B116)=0,"YETİM","")))</f>
        <v/>
      </c>
      <c r="T116" s="17">
        <f>IF(OR($A116="",$I116=""),"",IF(OR($I116&amp;"|"&amp;$J116="",COUNTIF(ListeIzinliGecis,$I116&amp;"|"&amp;$J116)&gt;0),"","GEÇERSİZ GEÇİŞ"))</f>
        <v/>
      </c>
      <c r="U116" s="17">
        <f>IF($A116="","",IF(OR($P116="",$G116=""),"",IF(ABS($G116-$P116)&gt;zincirTolerans,"ZİNCİR KIRIK","OK")))</f>
        <v/>
      </c>
      <c r="V116" s="17">
        <f>IF($A116="","",1)</f>
        <v/>
      </c>
      <c r="W116" s="17">
        <f>IF($A116="","",$G116*$N116*pvf_mesaiKatsayi)</f>
        <v/>
      </c>
    </row>
    <row r="117">
      <c r="A117" s="15" t="n"/>
      <c r="B117" s="15" t="n"/>
      <c r="C117" s="66" t="n"/>
      <c r="D117" s="16" t="n"/>
      <c r="E117" s="16" t="n"/>
      <c r="F117" s="16" t="n"/>
      <c r="G117" s="16" t="n"/>
      <c r="H117" s="15" t="n"/>
      <c r="I117" s="15" t="n"/>
      <c r="J117" s="15" t="n"/>
      <c r="K117" s="15" t="n"/>
      <c r="L117" s="15" t="n"/>
      <c r="M117" s="15" t="n"/>
      <c r="N117" s="67" t="n"/>
      <c r="O117" s="17">
        <f>IF($A117="","",MAX(0,$E117-$D117))</f>
        <v/>
      </c>
      <c r="P117" s="17">
        <f>IF($A117="","",MAX(0,$O117-$F117))</f>
        <v/>
      </c>
      <c r="Q117" s="17">
        <f>IF($A117="","",IF(OR($J117="ARSIV",$J117="RED"),0,IF($C117="","",raporTarihi-$C117)))</f>
        <v/>
      </c>
      <c r="R117" s="17">
        <f>IF($A117="","",IF($Q117="","",IF($Q117&lt;=pvf_kovaEsik1,"0-7",IF($Q117&lt;=pvf_kovaEsik2,"8-30",IF($Q117&lt;=pvf_kovaEsik3,"31-60","60+")))))</f>
        <v/>
      </c>
      <c r="S117" s="17">
        <f>IF($A117="","",IF($B117="","YETİM",IF(COUNTIF(tblPersonel[PersonelId],$B117)=0,"YETİM","")))</f>
        <v/>
      </c>
      <c r="T117" s="17">
        <f>IF(OR($A117="",$I117=""),"",IF(OR($I117&amp;"|"&amp;$J117="",COUNTIF(ListeIzinliGecis,$I117&amp;"|"&amp;$J117)&gt;0),"","GEÇERSİZ GEÇİŞ"))</f>
        <v/>
      </c>
      <c r="U117" s="17">
        <f>IF($A117="","",IF(OR($P117="",$G117=""),"",IF(ABS($G117-$P117)&gt;zincirTolerans,"ZİNCİR KIRIK","OK")))</f>
        <v/>
      </c>
      <c r="V117" s="17">
        <f>IF($A117="","",1)</f>
        <v/>
      </c>
      <c r="W117" s="17">
        <f>IF($A117="","",$G117*$N117*pvf_mesaiKatsayi)</f>
        <v/>
      </c>
    </row>
    <row r="118">
      <c r="A118" s="15" t="n"/>
      <c r="B118" s="15" t="n"/>
      <c r="C118" s="66" t="n"/>
      <c r="D118" s="16" t="n"/>
      <c r="E118" s="16" t="n"/>
      <c r="F118" s="16" t="n"/>
      <c r="G118" s="16" t="n"/>
      <c r="H118" s="15" t="n"/>
      <c r="I118" s="15" t="n"/>
      <c r="J118" s="15" t="n"/>
      <c r="K118" s="15" t="n"/>
      <c r="L118" s="15" t="n"/>
      <c r="M118" s="15" t="n"/>
      <c r="N118" s="67" t="n"/>
      <c r="O118" s="17">
        <f>IF($A118="","",MAX(0,$E118-$D118))</f>
        <v/>
      </c>
      <c r="P118" s="17">
        <f>IF($A118="","",MAX(0,$O118-$F118))</f>
        <v/>
      </c>
      <c r="Q118" s="17">
        <f>IF($A118="","",IF(OR($J118="ARSIV",$J118="RED"),0,IF($C118="","",raporTarihi-$C118)))</f>
        <v/>
      </c>
      <c r="R118" s="17">
        <f>IF($A118="","",IF($Q118="","",IF($Q118&lt;=pvf_kovaEsik1,"0-7",IF($Q118&lt;=pvf_kovaEsik2,"8-30",IF($Q118&lt;=pvf_kovaEsik3,"31-60","60+")))))</f>
        <v/>
      </c>
      <c r="S118" s="17">
        <f>IF($A118="","",IF($B118="","YETİM",IF(COUNTIF(tblPersonel[PersonelId],$B118)=0,"YETİM","")))</f>
        <v/>
      </c>
      <c r="T118" s="17">
        <f>IF(OR($A118="",$I118=""),"",IF(OR($I118&amp;"|"&amp;$J118="",COUNTIF(ListeIzinliGecis,$I118&amp;"|"&amp;$J118)&gt;0),"","GEÇERSİZ GEÇİŞ"))</f>
        <v/>
      </c>
      <c r="U118" s="17">
        <f>IF($A118="","",IF(OR($P118="",$G118=""),"",IF(ABS($G118-$P118)&gt;zincirTolerans,"ZİNCİR KIRIK","OK")))</f>
        <v/>
      </c>
      <c r="V118" s="17">
        <f>IF($A118="","",1)</f>
        <v/>
      </c>
      <c r="W118" s="17">
        <f>IF($A118="","",$G118*$N118*pvf_mesaiKatsayi)</f>
        <v/>
      </c>
    </row>
    <row r="119">
      <c r="A119" s="15" t="n"/>
      <c r="B119" s="15" t="n"/>
      <c r="C119" s="66" t="n"/>
      <c r="D119" s="16" t="n"/>
      <c r="E119" s="16" t="n"/>
      <c r="F119" s="16" t="n"/>
      <c r="G119" s="16" t="n"/>
      <c r="H119" s="15" t="n"/>
      <c r="I119" s="15" t="n"/>
      <c r="J119" s="15" t="n"/>
      <c r="K119" s="15" t="n"/>
      <c r="L119" s="15" t="n"/>
      <c r="M119" s="15" t="n"/>
      <c r="N119" s="67" t="n"/>
      <c r="O119" s="17">
        <f>IF($A119="","",MAX(0,$E119-$D119))</f>
        <v/>
      </c>
      <c r="P119" s="17">
        <f>IF($A119="","",MAX(0,$O119-$F119))</f>
        <v/>
      </c>
      <c r="Q119" s="17">
        <f>IF($A119="","",IF(OR($J119="ARSIV",$J119="RED"),0,IF($C119="","",raporTarihi-$C119)))</f>
        <v/>
      </c>
      <c r="R119" s="17">
        <f>IF($A119="","",IF($Q119="","",IF($Q119&lt;=pvf_kovaEsik1,"0-7",IF($Q119&lt;=pvf_kovaEsik2,"8-30",IF($Q119&lt;=pvf_kovaEsik3,"31-60","60+")))))</f>
        <v/>
      </c>
      <c r="S119" s="17">
        <f>IF($A119="","",IF($B119="","YETİM",IF(COUNTIF(tblPersonel[PersonelId],$B119)=0,"YETİM","")))</f>
        <v/>
      </c>
      <c r="T119" s="17">
        <f>IF(OR($A119="",$I119=""),"",IF(OR($I119&amp;"|"&amp;$J119="",COUNTIF(ListeIzinliGecis,$I119&amp;"|"&amp;$J119)&gt;0),"","GEÇERSİZ GEÇİŞ"))</f>
        <v/>
      </c>
      <c r="U119" s="17">
        <f>IF($A119="","",IF(OR($P119="",$G119=""),"",IF(ABS($G119-$P119)&gt;zincirTolerans,"ZİNCİR KIRIK","OK")))</f>
        <v/>
      </c>
      <c r="V119" s="17">
        <f>IF($A119="","",1)</f>
        <v/>
      </c>
      <c r="W119" s="17">
        <f>IF($A119="","",$G119*$N119*pvf_mesaiKatsayi)</f>
        <v/>
      </c>
    </row>
    <row r="120">
      <c r="A120" s="15" t="n"/>
      <c r="B120" s="15" t="n"/>
      <c r="C120" s="66" t="n"/>
      <c r="D120" s="16" t="n"/>
      <c r="E120" s="16" t="n"/>
      <c r="F120" s="16" t="n"/>
      <c r="G120" s="16" t="n"/>
      <c r="H120" s="15" t="n"/>
      <c r="I120" s="15" t="n"/>
      <c r="J120" s="15" t="n"/>
      <c r="K120" s="15" t="n"/>
      <c r="L120" s="15" t="n"/>
      <c r="M120" s="15" t="n"/>
      <c r="N120" s="67" t="n"/>
      <c r="O120" s="17">
        <f>IF($A120="","",MAX(0,$E120-$D120))</f>
        <v/>
      </c>
      <c r="P120" s="17">
        <f>IF($A120="","",MAX(0,$O120-$F120))</f>
        <v/>
      </c>
      <c r="Q120" s="17">
        <f>IF($A120="","",IF(OR($J120="ARSIV",$J120="RED"),0,IF($C120="","",raporTarihi-$C120)))</f>
        <v/>
      </c>
      <c r="R120" s="17">
        <f>IF($A120="","",IF($Q120="","",IF($Q120&lt;=pvf_kovaEsik1,"0-7",IF($Q120&lt;=pvf_kovaEsik2,"8-30",IF($Q120&lt;=pvf_kovaEsik3,"31-60","60+")))))</f>
        <v/>
      </c>
      <c r="S120" s="17">
        <f>IF($A120="","",IF($B120="","YETİM",IF(COUNTIF(tblPersonel[PersonelId],$B120)=0,"YETİM","")))</f>
        <v/>
      </c>
      <c r="T120" s="17">
        <f>IF(OR($A120="",$I120=""),"",IF(OR($I120&amp;"|"&amp;$J120="",COUNTIF(ListeIzinliGecis,$I120&amp;"|"&amp;$J120)&gt;0),"","GEÇERSİZ GEÇİŞ"))</f>
        <v/>
      </c>
      <c r="U120" s="17">
        <f>IF($A120="","",IF(OR($P120="",$G120=""),"",IF(ABS($G120-$P120)&gt;zincirTolerans,"ZİNCİR KIRIK","OK")))</f>
        <v/>
      </c>
      <c r="V120" s="17">
        <f>IF($A120="","",1)</f>
        <v/>
      </c>
      <c r="W120" s="17">
        <f>IF($A120="","",$G120*$N120*pvf_mesaiKatsayi)</f>
        <v/>
      </c>
    </row>
    <row r="121">
      <c r="A121" s="15" t="n"/>
      <c r="B121" s="15" t="n"/>
      <c r="C121" s="66" t="n"/>
      <c r="D121" s="16" t="n"/>
      <c r="E121" s="16" t="n"/>
      <c r="F121" s="16" t="n"/>
      <c r="G121" s="16" t="n"/>
      <c r="H121" s="15" t="n"/>
      <c r="I121" s="15" t="n"/>
      <c r="J121" s="15" t="n"/>
      <c r="K121" s="15" t="n"/>
      <c r="L121" s="15" t="n"/>
      <c r="M121" s="15" t="n"/>
      <c r="N121" s="67" t="n"/>
      <c r="O121" s="17">
        <f>IF($A121="","",MAX(0,$E121-$D121))</f>
        <v/>
      </c>
      <c r="P121" s="17">
        <f>IF($A121="","",MAX(0,$O121-$F121))</f>
        <v/>
      </c>
      <c r="Q121" s="17">
        <f>IF($A121="","",IF(OR($J121="ARSIV",$J121="RED"),0,IF($C121="","",raporTarihi-$C121)))</f>
        <v/>
      </c>
      <c r="R121" s="17">
        <f>IF($A121="","",IF($Q121="","",IF($Q121&lt;=pvf_kovaEsik1,"0-7",IF($Q121&lt;=pvf_kovaEsik2,"8-30",IF($Q121&lt;=pvf_kovaEsik3,"31-60","60+")))))</f>
        <v/>
      </c>
      <c r="S121" s="17">
        <f>IF($A121="","",IF($B121="","YETİM",IF(COUNTIF(tblPersonel[PersonelId],$B121)=0,"YETİM","")))</f>
        <v/>
      </c>
      <c r="T121" s="17">
        <f>IF(OR($A121="",$I121=""),"",IF(OR($I121&amp;"|"&amp;$J121="",COUNTIF(ListeIzinliGecis,$I121&amp;"|"&amp;$J121)&gt;0),"","GEÇERSİZ GEÇİŞ"))</f>
        <v/>
      </c>
      <c r="U121" s="17">
        <f>IF($A121="","",IF(OR($P121="",$G121=""),"",IF(ABS($G121-$P121)&gt;zincirTolerans,"ZİNCİR KIRIK","OK")))</f>
        <v/>
      </c>
      <c r="V121" s="17">
        <f>IF($A121="","",1)</f>
        <v/>
      </c>
      <c r="W121" s="17">
        <f>IF($A121="","",$G121*$N121*pvf_mesaiKatsayi)</f>
        <v/>
      </c>
    </row>
    <row r="122">
      <c r="A122" s="15" t="n"/>
      <c r="B122" s="15" t="n"/>
      <c r="C122" s="66" t="n"/>
      <c r="D122" s="16" t="n"/>
      <c r="E122" s="16" t="n"/>
      <c r="F122" s="16" t="n"/>
      <c r="G122" s="16" t="n"/>
      <c r="H122" s="15" t="n"/>
      <c r="I122" s="15" t="n"/>
      <c r="J122" s="15" t="n"/>
      <c r="K122" s="15" t="n"/>
      <c r="L122" s="15" t="n"/>
      <c r="M122" s="15" t="n"/>
      <c r="N122" s="67" t="n"/>
      <c r="O122" s="17">
        <f>IF($A122="","",MAX(0,$E122-$D122))</f>
        <v/>
      </c>
      <c r="P122" s="17">
        <f>IF($A122="","",MAX(0,$O122-$F122))</f>
        <v/>
      </c>
      <c r="Q122" s="17">
        <f>IF($A122="","",IF(OR($J122="ARSIV",$J122="RED"),0,IF($C122="","",raporTarihi-$C122)))</f>
        <v/>
      </c>
      <c r="R122" s="17">
        <f>IF($A122="","",IF($Q122="","",IF($Q122&lt;=pvf_kovaEsik1,"0-7",IF($Q122&lt;=pvf_kovaEsik2,"8-30",IF($Q122&lt;=pvf_kovaEsik3,"31-60","60+")))))</f>
        <v/>
      </c>
      <c r="S122" s="17">
        <f>IF($A122="","",IF($B122="","YETİM",IF(COUNTIF(tblPersonel[PersonelId],$B122)=0,"YETİM","")))</f>
        <v/>
      </c>
      <c r="T122" s="17">
        <f>IF(OR($A122="",$I122=""),"",IF(OR($I122&amp;"|"&amp;$J122="",COUNTIF(ListeIzinliGecis,$I122&amp;"|"&amp;$J122)&gt;0),"","GEÇERSİZ GEÇİŞ"))</f>
        <v/>
      </c>
      <c r="U122" s="17">
        <f>IF($A122="","",IF(OR($P122="",$G122=""),"",IF(ABS($G122-$P122)&gt;zincirTolerans,"ZİNCİR KIRIK","OK")))</f>
        <v/>
      </c>
      <c r="V122" s="17">
        <f>IF($A122="","",1)</f>
        <v/>
      </c>
      <c r="W122" s="17">
        <f>IF($A122="","",$G122*$N122*pvf_mesaiKatsayi)</f>
        <v/>
      </c>
    </row>
    <row r="123">
      <c r="A123" s="15" t="n"/>
      <c r="B123" s="15" t="n"/>
      <c r="C123" s="66" t="n"/>
      <c r="D123" s="16" t="n"/>
      <c r="E123" s="16" t="n"/>
      <c r="F123" s="16" t="n"/>
      <c r="G123" s="16" t="n"/>
      <c r="H123" s="15" t="n"/>
      <c r="I123" s="15" t="n"/>
      <c r="J123" s="15" t="n"/>
      <c r="K123" s="15" t="n"/>
      <c r="L123" s="15" t="n"/>
      <c r="M123" s="15" t="n"/>
      <c r="N123" s="67" t="n"/>
      <c r="O123" s="17">
        <f>IF($A123="","",MAX(0,$E123-$D123))</f>
        <v/>
      </c>
      <c r="P123" s="17">
        <f>IF($A123="","",MAX(0,$O123-$F123))</f>
        <v/>
      </c>
      <c r="Q123" s="17">
        <f>IF($A123="","",IF(OR($J123="ARSIV",$J123="RED"),0,IF($C123="","",raporTarihi-$C123)))</f>
        <v/>
      </c>
      <c r="R123" s="17">
        <f>IF($A123="","",IF($Q123="","",IF($Q123&lt;=pvf_kovaEsik1,"0-7",IF($Q123&lt;=pvf_kovaEsik2,"8-30",IF($Q123&lt;=pvf_kovaEsik3,"31-60","60+")))))</f>
        <v/>
      </c>
      <c r="S123" s="17">
        <f>IF($A123="","",IF($B123="","YETİM",IF(COUNTIF(tblPersonel[PersonelId],$B123)=0,"YETİM","")))</f>
        <v/>
      </c>
      <c r="T123" s="17">
        <f>IF(OR($A123="",$I123=""),"",IF(OR($I123&amp;"|"&amp;$J123="",COUNTIF(ListeIzinliGecis,$I123&amp;"|"&amp;$J123)&gt;0),"","GEÇERSİZ GEÇİŞ"))</f>
        <v/>
      </c>
      <c r="U123" s="17">
        <f>IF($A123="","",IF(OR($P123="",$G123=""),"",IF(ABS($G123-$P123)&gt;zincirTolerans,"ZİNCİR KIRIK","OK")))</f>
        <v/>
      </c>
      <c r="V123" s="17">
        <f>IF($A123="","",1)</f>
        <v/>
      </c>
      <c r="W123" s="17">
        <f>IF($A123="","",$G123*$N123*pvf_mesaiKatsayi)</f>
        <v/>
      </c>
    </row>
    <row r="124">
      <c r="A124" s="15" t="n"/>
      <c r="B124" s="15" t="n"/>
      <c r="C124" s="66" t="n"/>
      <c r="D124" s="16" t="n"/>
      <c r="E124" s="16" t="n"/>
      <c r="F124" s="16" t="n"/>
      <c r="G124" s="16" t="n"/>
      <c r="H124" s="15" t="n"/>
      <c r="I124" s="15" t="n"/>
      <c r="J124" s="15" t="n"/>
      <c r="K124" s="15" t="n"/>
      <c r="L124" s="15" t="n"/>
      <c r="M124" s="15" t="n"/>
      <c r="N124" s="67" t="n"/>
      <c r="O124" s="17">
        <f>IF($A124="","",MAX(0,$E124-$D124))</f>
        <v/>
      </c>
      <c r="P124" s="17">
        <f>IF($A124="","",MAX(0,$O124-$F124))</f>
        <v/>
      </c>
      <c r="Q124" s="17">
        <f>IF($A124="","",IF(OR($J124="ARSIV",$J124="RED"),0,IF($C124="","",raporTarihi-$C124)))</f>
        <v/>
      </c>
      <c r="R124" s="17">
        <f>IF($A124="","",IF($Q124="","",IF($Q124&lt;=pvf_kovaEsik1,"0-7",IF($Q124&lt;=pvf_kovaEsik2,"8-30",IF($Q124&lt;=pvf_kovaEsik3,"31-60","60+")))))</f>
        <v/>
      </c>
      <c r="S124" s="17">
        <f>IF($A124="","",IF($B124="","YETİM",IF(COUNTIF(tblPersonel[PersonelId],$B124)=0,"YETİM","")))</f>
        <v/>
      </c>
      <c r="T124" s="17">
        <f>IF(OR($A124="",$I124=""),"",IF(OR($I124&amp;"|"&amp;$J124="",COUNTIF(ListeIzinliGecis,$I124&amp;"|"&amp;$J124)&gt;0),"","GEÇERSİZ GEÇİŞ"))</f>
        <v/>
      </c>
      <c r="U124" s="17">
        <f>IF($A124="","",IF(OR($P124="",$G124=""),"",IF(ABS($G124-$P124)&gt;zincirTolerans,"ZİNCİR KIRIK","OK")))</f>
        <v/>
      </c>
      <c r="V124" s="17">
        <f>IF($A124="","",1)</f>
        <v/>
      </c>
      <c r="W124" s="17">
        <f>IF($A124="","",$G124*$N124*pvf_mesaiKatsayi)</f>
        <v/>
      </c>
    </row>
    <row r="125">
      <c r="A125" s="15" t="n"/>
      <c r="B125" s="15" t="n"/>
      <c r="C125" s="66" t="n"/>
      <c r="D125" s="16" t="n"/>
      <c r="E125" s="16" t="n"/>
      <c r="F125" s="16" t="n"/>
      <c r="G125" s="16" t="n"/>
      <c r="H125" s="15" t="n"/>
      <c r="I125" s="15" t="n"/>
      <c r="J125" s="15" t="n"/>
      <c r="K125" s="15" t="n"/>
      <c r="L125" s="15" t="n"/>
      <c r="M125" s="15" t="n"/>
      <c r="N125" s="67" t="n"/>
      <c r="O125" s="17">
        <f>IF($A125="","",MAX(0,$E125-$D125))</f>
        <v/>
      </c>
      <c r="P125" s="17">
        <f>IF($A125="","",MAX(0,$O125-$F125))</f>
        <v/>
      </c>
      <c r="Q125" s="17">
        <f>IF($A125="","",IF(OR($J125="ARSIV",$J125="RED"),0,IF($C125="","",raporTarihi-$C125)))</f>
        <v/>
      </c>
      <c r="R125" s="17">
        <f>IF($A125="","",IF($Q125="","",IF($Q125&lt;=pvf_kovaEsik1,"0-7",IF($Q125&lt;=pvf_kovaEsik2,"8-30",IF($Q125&lt;=pvf_kovaEsik3,"31-60","60+")))))</f>
        <v/>
      </c>
      <c r="S125" s="17">
        <f>IF($A125="","",IF($B125="","YETİM",IF(COUNTIF(tblPersonel[PersonelId],$B125)=0,"YETİM","")))</f>
        <v/>
      </c>
      <c r="T125" s="17">
        <f>IF(OR($A125="",$I125=""),"",IF(OR($I125&amp;"|"&amp;$J125="",COUNTIF(ListeIzinliGecis,$I125&amp;"|"&amp;$J125)&gt;0),"","GEÇERSİZ GEÇİŞ"))</f>
        <v/>
      </c>
      <c r="U125" s="17">
        <f>IF($A125="","",IF(OR($P125="",$G125=""),"",IF(ABS($G125-$P125)&gt;zincirTolerans,"ZİNCİR KIRIK","OK")))</f>
        <v/>
      </c>
      <c r="V125" s="17">
        <f>IF($A125="","",1)</f>
        <v/>
      </c>
      <c r="W125" s="17">
        <f>IF($A125="","",$G125*$N125*pvf_mesaiKatsayi)</f>
        <v/>
      </c>
    </row>
    <row r="126">
      <c r="A126" s="15" t="n"/>
      <c r="B126" s="15" t="n"/>
      <c r="C126" s="66" t="n"/>
      <c r="D126" s="16" t="n"/>
      <c r="E126" s="16" t="n"/>
      <c r="F126" s="16" t="n"/>
      <c r="G126" s="16" t="n"/>
      <c r="H126" s="15" t="n"/>
      <c r="I126" s="15" t="n"/>
      <c r="J126" s="15" t="n"/>
      <c r="K126" s="15" t="n"/>
      <c r="L126" s="15" t="n"/>
      <c r="M126" s="15" t="n"/>
      <c r="N126" s="67" t="n"/>
      <c r="O126" s="17">
        <f>IF($A126="","",MAX(0,$E126-$D126))</f>
        <v/>
      </c>
      <c r="P126" s="17">
        <f>IF($A126="","",MAX(0,$O126-$F126))</f>
        <v/>
      </c>
      <c r="Q126" s="17">
        <f>IF($A126="","",IF(OR($J126="ARSIV",$J126="RED"),0,IF($C126="","",raporTarihi-$C126)))</f>
        <v/>
      </c>
      <c r="R126" s="17">
        <f>IF($A126="","",IF($Q126="","",IF($Q126&lt;=pvf_kovaEsik1,"0-7",IF($Q126&lt;=pvf_kovaEsik2,"8-30",IF($Q126&lt;=pvf_kovaEsik3,"31-60","60+")))))</f>
        <v/>
      </c>
      <c r="S126" s="17">
        <f>IF($A126="","",IF($B126="","YETİM",IF(COUNTIF(tblPersonel[PersonelId],$B126)=0,"YETİM","")))</f>
        <v/>
      </c>
      <c r="T126" s="17">
        <f>IF(OR($A126="",$I126=""),"",IF(OR($I126&amp;"|"&amp;$J126="",COUNTIF(ListeIzinliGecis,$I126&amp;"|"&amp;$J126)&gt;0),"","GEÇERSİZ GEÇİŞ"))</f>
        <v/>
      </c>
      <c r="U126" s="17">
        <f>IF($A126="","",IF(OR($P126="",$G126=""),"",IF(ABS($G126-$P126)&gt;zincirTolerans,"ZİNCİR KIRIK","OK")))</f>
        <v/>
      </c>
      <c r="V126" s="17">
        <f>IF($A126="","",1)</f>
        <v/>
      </c>
      <c r="W126" s="17">
        <f>IF($A126="","",$G126*$N126*pvf_mesaiKatsayi)</f>
        <v/>
      </c>
    </row>
    <row r="127">
      <c r="A127" s="15" t="n"/>
      <c r="B127" s="15" t="n"/>
      <c r="C127" s="66" t="n"/>
      <c r="D127" s="16" t="n"/>
      <c r="E127" s="16" t="n"/>
      <c r="F127" s="16" t="n"/>
      <c r="G127" s="16" t="n"/>
      <c r="H127" s="15" t="n"/>
      <c r="I127" s="15" t="n"/>
      <c r="J127" s="15" t="n"/>
      <c r="K127" s="15" t="n"/>
      <c r="L127" s="15" t="n"/>
      <c r="M127" s="15" t="n"/>
      <c r="N127" s="67" t="n"/>
      <c r="O127" s="17">
        <f>IF($A127="","",MAX(0,$E127-$D127))</f>
        <v/>
      </c>
      <c r="P127" s="17">
        <f>IF($A127="","",MAX(0,$O127-$F127))</f>
        <v/>
      </c>
      <c r="Q127" s="17">
        <f>IF($A127="","",IF(OR($J127="ARSIV",$J127="RED"),0,IF($C127="","",raporTarihi-$C127)))</f>
        <v/>
      </c>
      <c r="R127" s="17">
        <f>IF($A127="","",IF($Q127="","",IF($Q127&lt;=pvf_kovaEsik1,"0-7",IF($Q127&lt;=pvf_kovaEsik2,"8-30",IF($Q127&lt;=pvf_kovaEsik3,"31-60","60+")))))</f>
        <v/>
      </c>
      <c r="S127" s="17">
        <f>IF($A127="","",IF($B127="","YETİM",IF(COUNTIF(tblPersonel[PersonelId],$B127)=0,"YETİM","")))</f>
        <v/>
      </c>
      <c r="T127" s="17">
        <f>IF(OR($A127="",$I127=""),"",IF(OR($I127&amp;"|"&amp;$J127="",COUNTIF(ListeIzinliGecis,$I127&amp;"|"&amp;$J127)&gt;0),"","GEÇERSİZ GEÇİŞ"))</f>
        <v/>
      </c>
      <c r="U127" s="17">
        <f>IF($A127="","",IF(OR($P127="",$G127=""),"",IF(ABS($G127-$P127)&gt;zincirTolerans,"ZİNCİR KIRIK","OK")))</f>
        <v/>
      </c>
      <c r="V127" s="17">
        <f>IF($A127="","",1)</f>
        <v/>
      </c>
      <c r="W127" s="17">
        <f>IF($A127="","",$G127*$N127*pvf_mesaiKatsayi)</f>
        <v/>
      </c>
    </row>
    <row r="128">
      <c r="A128" s="15" t="n"/>
      <c r="B128" s="15" t="n"/>
      <c r="C128" s="66" t="n"/>
      <c r="D128" s="16" t="n"/>
      <c r="E128" s="16" t="n"/>
      <c r="F128" s="16" t="n"/>
      <c r="G128" s="16" t="n"/>
      <c r="H128" s="15" t="n"/>
      <c r="I128" s="15" t="n"/>
      <c r="J128" s="15" t="n"/>
      <c r="K128" s="15" t="n"/>
      <c r="L128" s="15" t="n"/>
      <c r="M128" s="15" t="n"/>
      <c r="N128" s="67" t="n"/>
      <c r="O128" s="17">
        <f>IF($A128="","",MAX(0,$E128-$D128))</f>
        <v/>
      </c>
      <c r="P128" s="17">
        <f>IF($A128="","",MAX(0,$O128-$F128))</f>
        <v/>
      </c>
      <c r="Q128" s="17">
        <f>IF($A128="","",IF(OR($J128="ARSIV",$J128="RED"),0,IF($C128="","",raporTarihi-$C128)))</f>
        <v/>
      </c>
      <c r="R128" s="17">
        <f>IF($A128="","",IF($Q128="","",IF($Q128&lt;=pvf_kovaEsik1,"0-7",IF($Q128&lt;=pvf_kovaEsik2,"8-30",IF($Q128&lt;=pvf_kovaEsik3,"31-60","60+")))))</f>
        <v/>
      </c>
      <c r="S128" s="17">
        <f>IF($A128="","",IF($B128="","YETİM",IF(COUNTIF(tblPersonel[PersonelId],$B128)=0,"YETİM","")))</f>
        <v/>
      </c>
      <c r="T128" s="17">
        <f>IF(OR($A128="",$I128=""),"",IF(OR($I128&amp;"|"&amp;$J128="",COUNTIF(ListeIzinliGecis,$I128&amp;"|"&amp;$J128)&gt;0),"","GEÇERSİZ GEÇİŞ"))</f>
        <v/>
      </c>
      <c r="U128" s="17">
        <f>IF($A128="","",IF(OR($P128="",$G128=""),"",IF(ABS($G128-$P128)&gt;zincirTolerans,"ZİNCİR KIRIK","OK")))</f>
        <v/>
      </c>
      <c r="V128" s="17">
        <f>IF($A128="","",1)</f>
        <v/>
      </c>
      <c r="W128" s="17">
        <f>IF($A128="","",$G128*$N128*pvf_mesaiKatsayi)</f>
        <v/>
      </c>
    </row>
    <row r="129">
      <c r="A129" s="15" t="n"/>
      <c r="B129" s="15" t="n"/>
      <c r="C129" s="66" t="n"/>
      <c r="D129" s="16" t="n"/>
      <c r="E129" s="16" t="n"/>
      <c r="F129" s="16" t="n"/>
      <c r="G129" s="16" t="n"/>
      <c r="H129" s="15" t="n"/>
      <c r="I129" s="15" t="n"/>
      <c r="J129" s="15" t="n"/>
      <c r="K129" s="15" t="n"/>
      <c r="L129" s="15" t="n"/>
      <c r="M129" s="15" t="n"/>
      <c r="N129" s="67" t="n"/>
      <c r="O129" s="17">
        <f>IF($A129="","",MAX(0,$E129-$D129))</f>
        <v/>
      </c>
      <c r="P129" s="17">
        <f>IF($A129="","",MAX(0,$O129-$F129))</f>
        <v/>
      </c>
      <c r="Q129" s="17">
        <f>IF($A129="","",IF(OR($J129="ARSIV",$J129="RED"),0,IF($C129="","",raporTarihi-$C129)))</f>
        <v/>
      </c>
      <c r="R129" s="17">
        <f>IF($A129="","",IF($Q129="","",IF($Q129&lt;=pvf_kovaEsik1,"0-7",IF($Q129&lt;=pvf_kovaEsik2,"8-30",IF($Q129&lt;=pvf_kovaEsik3,"31-60","60+")))))</f>
        <v/>
      </c>
      <c r="S129" s="17">
        <f>IF($A129="","",IF($B129="","YETİM",IF(COUNTIF(tblPersonel[PersonelId],$B129)=0,"YETİM","")))</f>
        <v/>
      </c>
      <c r="T129" s="17">
        <f>IF(OR($A129="",$I129=""),"",IF(OR($I129&amp;"|"&amp;$J129="",COUNTIF(ListeIzinliGecis,$I129&amp;"|"&amp;$J129)&gt;0),"","GEÇERSİZ GEÇİŞ"))</f>
        <v/>
      </c>
      <c r="U129" s="17">
        <f>IF($A129="","",IF(OR($P129="",$G129=""),"",IF(ABS($G129-$P129)&gt;zincirTolerans,"ZİNCİR KIRIK","OK")))</f>
        <v/>
      </c>
      <c r="V129" s="17">
        <f>IF($A129="","",1)</f>
        <v/>
      </c>
      <c r="W129" s="17">
        <f>IF($A129="","",$G129*$N129*pvf_mesaiKatsayi)</f>
        <v/>
      </c>
    </row>
    <row r="130">
      <c r="A130" s="15" t="n"/>
      <c r="B130" s="15" t="n"/>
      <c r="C130" s="66" t="n"/>
      <c r="D130" s="16" t="n"/>
      <c r="E130" s="16" t="n"/>
      <c r="F130" s="16" t="n"/>
      <c r="G130" s="16" t="n"/>
      <c r="H130" s="15" t="n"/>
      <c r="I130" s="15" t="n"/>
      <c r="J130" s="15" t="n"/>
      <c r="K130" s="15" t="n"/>
      <c r="L130" s="15" t="n"/>
      <c r="M130" s="15" t="n"/>
      <c r="N130" s="67" t="n"/>
      <c r="O130" s="17">
        <f>IF($A130="","",MAX(0,$E130-$D130))</f>
        <v/>
      </c>
      <c r="P130" s="17">
        <f>IF($A130="","",MAX(0,$O130-$F130))</f>
        <v/>
      </c>
      <c r="Q130" s="17">
        <f>IF($A130="","",IF(OR($J130="ARSIV",$J130="RED"),0,IF($C130="","",raporTarihi-$C130)))</f>
        <v/>
      </c>
      <c r="R130" s="17">
        <f>IF($A130="","",IF($Q130="","",IF($Q130&lt;=pvf_kovaEsik1,"0-7",IF($Q130&lt;=pvf_kovaEsik2,"8-30",IF($Q130&lt;=pvf_kovaEsik3,"31-60","60+")))))</f>
        <v/>
      </c>
      <c r="S130" s="17">
        <f>IF($A130="","",IF($B130="","YETİM",IF(COUNTIF(tblPersonel[PersonelId],$B130)=0,"YETİM","")))</f>
        <v/>
      </c>
      <c r="T130" s="17">
        <f>IF(OR($A130="",$I130=""),"",IF(OR($I130&amp;"|"&amp;$J130="",COUNTIF(ListeIzinliGecis,$I130&amp;"|"&amp;$J130)&gt;0),"","GEÇERSİZ GEÇİŞ"))</f>
        <v/>
      </c>
      <c r="U130" s="17">
        <f>IF($A130="","",IF(OR($P130="",$G130=""),"",IF(ABS($G130-$P130)&gt;zincirTolerans,"ZİNCİR KIRIK","OK")))</f>
        <v/>
      </c>
      <c r="V130" s="17">
        <f>IF($A130="","",1)</f>
        <v/>
      </c>
      <c r="W130" s="17">
        <f>IF($A130="","",$G130*$N130*pvf_mesaiKatsayi)</f>
        <v/>
      </c>
    </row>
    <row r="131">
      <c r="A131" s="15" t="n"/>
      <c r="B131" s="15" t="n"/>
      <c r="C131" s="66" t="n"/>
      <c r="D131" s="16" t="n"/>
      <c r="E131" s="16" t="n"/>
      <c r="F131" s="16" t="n"/>
      <c r="G131" s="16" t="n"/>
      <c r="H131" s="15" t="n"/>
      <c r="I131" s="15" t="n"/>
      <c r="J131" s="15" t="n"/>
      <c r="K131" s="15" t="n"/>
      <c r="L131" s="15" t="n"/>
      <c r="M131" s="15" t="n"/>
      <c r="N131" s="67" t="n"/>
      <c r="O131" s="17">
        <f>IF($A131="","",MAX(0,$E131-$D131))</f>
        <v/>
      </c>
      <c r="P131" s="17">
        <f>IF($A131="","",MAX(0,$O131-$F131))</f>
        <v/>
      </c>
      <c r="Q131" s="17">
        <f>IF($A131="","",IF(OR($J131="ARSIV",$J131="RED"),0,IF($C131="","",raporTarihi-$C131)))</f>
        <v/>
      </c>
      <c r="R131" s="17">
        <f>IF($A131="","",IF($Q131="","",IF($Q131&lt;=pvf_kovaEsik1,"0-7",IF($Q131&lt;=pvf_kovaEsik2,"8-30",IF($Q131&lt;=pvf_kovaEsik3,"31-60","60+")))))</f>
        <v/>
      </c>
      <c r="S131" s="17">
        <f>IF($A131="","",IF($B131="","YETİM",IF(COUNTIF(tblPersonel[PersonelId],$B131)=0,"YETİM","")))</f>
        <v/>
      </c>
      <c r="T131" s="17">
        <f>IF(OR($A131="",$I131=""),"",IF(OR($I131&amp;"|"&amp;$J131="",COUNTIF(ListeIzinliGecis,$I131&amp;"|"&amp;$J131)&gt;0),"","GEÇERSİZ GEÇİŞ"))</f>
        <v/>
      </c>
      <c r="U131" s="17">
        <f>IF($A131="","",IF(OR($P131="",$G131=""),"",IF(ABS($G131-$P131)&gt;zincirTolerans,"ZİNCİR KIRIK","OK")))</f>
        <v/>
      </c>
      <c r="V131" s="17">
        <f>IF($A131="","",1)</f>
        <v/>
      </c>
      <c r="W131" s="17">
        <f>IF($A131="","",$G131*$N131*pvf_mesaiKatsayi)</f>
        <v/>
      </c>
    </row>
    <row r="132">
      <c r="A132" s="15" t="n"/>
      <c r="B132" s="15" t="n"/>
      <c r="C132" s="66" t="n"/>
      <c r="D132" s="16" t="n"/>
      <c r="E132" s="16" t="n"/>
      <c r="F132" s="16" t="n"/>
      <c r="G132" s="16" t="n"/>
      <c r="H132" s="15" t="n"/>
      <c r="I132" s="15" t="n"/>
      <c r="J132" s="15" t="n"/>
      <c r="K132" s="15" t="n"/>
      <c r="L132" s="15" t="n"/>
      <c r="M132" s="15" t="n"/>
      <c r="N132" s="67" t="n"/>
      <c r="O132" s="17">
        <f>IF($A132="","",MAX(0,$E132-$D132))</f>
        <v/>
      </c>
      <c r="P132" s="17">
        <f>IF($A132="","",MAX(0,$O132-$F132))</f>
        <v/>
      </c>
      <c r="Q132" s="17">
        <f>IF($A132="","",IF(OR($J132="ARSIV",$J132="RED"),0,IF($C132="","",raporTarihi-$C132)))</f>
        <v/>
      </c>
      <c r="R132" s="17">
        <f>IF($A132="","",IF($Q132="","",IF($Q132&lt;=pvf_kovaEsik1,"0-7",IF($Q132&lt;=pvf_kovaEsik2,"8-30",IF($Q132&lt;=pvf_kovaEsik3,"31-60","60+")))))</f>
        <v/>
      </c>
      <c r="S132" s="17">
        <f>IF($A132="","",IF($B132="","YETİM",IF(COUNTIF(tblPersonel[PersonelId],$B132)=0,"YETİM","")))</f>
        <v/>
      </c>
      <c r="T132" s="17">
        <f>IF(OR($A132="",$I132=""),"",IF(OR($I132&amp;"|"&amp;$J132="",COUNTIF(ListeIzinliGecis,$I132&amp;"|"&amp;$J132)&gt;0),"","GEÇERSİZ GEÇİŞ"))</f>
        <v/>
      </c>
      <c r="U132" s="17">
        <f>IF($A132="","",IF(OR($P132="",$G132=""),"",IF(ABS($G132-$P132)&gt;zincirTolerans,"ZİNCİR KIRIK","OK")))</f>
        <v/>
      </c>
      <c r="V132" s="17">
        <f>IF($A132="","",1)</f>
        <v/>
      </c>
      <c r="W132" s="17">
        <f>IF($A132="","",$G132*$N132*pvf_mesaiKatsayi)</f>
        <v/>
      </c>
    </row>
    <row r="133">
      <c r="A133" s="15" t="n"/>
      <c r="B133" s="15" t="n"/>
      <c r="C133" s="66" t="n"/>
      <c r="D133" s="16" t="n"/>
      <c r="E133" s="16" t="n"/>
      <c r="F133" s="16" t="n"/>
      <c r="G133" s="16" t="n"/>
      <c r="H133" s="15" t="n"/>
      <c r="I133" s="15" t="n"/>
      <c r="J133" s="15" t="n"/>
      <c r="K133" s="15" t="n"/>
      <c r="L133" s="15" t="n"/>
      <c r="M133" s="15" t="n"/>
      <c r="N133" s="67" t="n"/>
      <c r="O133" s="17">
        <f>IF($A133="","",MAX(0,$E133-$D133))</f>
        <v/>
      </c>
      <c r="P133" s="17">
        <f>IF($A133="","",MAX(0,$O133-$F133))</f>
        <v/>
      </c>
      <c r="Q133" s="17">
        <f>IF($A133="","",IF(OR($J133="ARSIV",$J133="RED"),0,IF($C133="","",raporTarihi-$C133)))</f>
        <v/>
      </c>
      <c r="R133" s="17">
        <f>IF($A133="","",IF($Q133="","",IF($Q133&lt;=pvf_kovaEsik1,"0-7",IF($Q133&lt;=pvf_kovaEsik2,"8-30",IF($Q133&lt;=pvf_kovaEsik3,"31-60","60+")))))</f>
        <v/>
      </c>
      <c r="S133" s="17">
        <f>IF($A133="","",IF($B133="","YETİM",IF(COUNTIF(tblPersonel[PersonelId],$B133)=0,"YETİM","")))</f>
        <v/>
      </c>
      <c r="T133" s="17">
        <f>IF(OR($A133="",$I133=""),"",IF(OR($I133&amp;"|"&amp;$J133="",COUNTIF(ListeIzinliGecis,$I133&amp;"|"&amp;$J133)&gt;0),"","GEÇERSİZ GEÇİŞ"))</f>
        <v/>
      </c>
      <c r="U133" s="17">
        <f>IF($A133="","",IF(OR($P133="",$G133=""),"",IF(ABS($G133-$P133)&gt;zincirTolerans,"ZİNCİR KIRIK","OK")))</f>
        <v/>
      </c>
      <c r="V133" s="17">
        <f>IF($A133="","",1)</f>
        <v/>
      </c>
      <c r="W133" s="17">
        <f>IF($A133="","",$G133*$N133*pvf_mesaiKatsayi)</f>
        <v/>
      </c>
    </row>
    <row r="134">
      <c r="A134" s="15" t="n"/>
      <c r="B134" s="15" t="n"/>
      <c r="C134" s="66" t="n"/>
      <c r="D134" s="16" t="n"/>
      <c r="E134" s="16" t="n"/>
      <c r="F134" s="16" t="n"/>
      <c r="G134" s="16" t="n"/>
      <c r="H134" s="15" t="n"/>
      <c r="I134" s="15" t="n"/>
      <c r="J134" s="15" t="n"/>
      <c r="K134" s="15" t="n"/>
      <c r="L134" s="15" t="n"/>
      <c r="M134" s="15" t="n"/>
      <c r="N134" s="67" t="n"/>
      <c r="O134" s="17">
        <f>IF($A134="","",MAX(0,$E134-$D134))</f>
        <v/>
      </c>
      <c r="P134" s="17">
        <f>IF($A134="","",MAX(0,$O134-$F134))</f>
        <v/>
      </c>
      <c r="Q134" s="17">
        <f>IF($A134="","",IF(OR($J134="ARSIV",$J134="RED"),0,IF($C134="","",raporTarihi-$C134)))</f>
        <v/>
      </c>
      <c r="R134" s="17">
        <f>IF($A134="","",IF($Q134="","",IF($Q134&lt;=pvf_kovaEsik1,"0-7",IF($Q134&lt;=pvf_kovaEsik2,"8-30",IF($Q134&lt;=pvf_kovaEsik3,"31-60","60+")))))</f>
        <v/>
      </c>
      <c r="S134" s="17">
        <f>IF($A134="","",IF($B134="","YETİM",IF(COUNTIF(tblPersonel[PersonelId],$B134)=0,"YETİM","")))</f>
        <v/>
      </c>
      <c r="T134" s="17">
        <f>IF(OR($A134="",$I134=""),"",IF(OR($I134&amp;"|"&amp;$J134="",COUNTIF(ListeIzinliGecis,$I134&amp;"|"&amp;$J134)&gt;0),"","GEÇERSİZ GEÇİŞ"))</f>
        <v/>
      </c>
      <c r="U134" s="17">
        <f>IF($A134="","",IF(OR($P134="",$G134=""),"",IF(ABS($G134-$P134)&gt;zincirTolerans,"ZİNCİR KIRIK","OK")))</f>
        <v/>
      </c>
      <c r="V134" s="17">
        <f>IF($A134="","",1)</f>
        <v/>
      </c>
      <c r="W134" s="17">
        <f>IF($A134="","",$G134*$N134*pvf_mesaiKatsayi)</f>
        <v/>
      </c>
    </row>
    <row r="135">
      <c r="A135" s="15" t="n"/>
      <c r="B135" s="15" t="n"/>
      <c r="C135" s="66" t="n"/>
      <c r="D135" s="16" t="n"/>
      <c r="E135" s="16" t="n"/>
      <c r="F135" s="16" t="n"/>
      <c r="G135" s="16" t="n"/>
      <c r="H135" s="15" t="n"/>
      <c r="I135" s="15" t="n"/>
      <c r="J135" s="15" t="n"/>
      <c r="K135" s="15" t="n"/>
      <c r="L135" s="15" t="n"/>
      <c r="M135" s="15" t="n"/>
      <c r="N135" s="67" t="n"/>
      <c r="O135" s="17">
        <f>IF($A135="","",MAX(0,$E135-$D135))</f>
        <v/>
      </c>
      <c r="P135" s="17">
        <f>IF($A135="","",MAX(0,$O135-$F135))</f>
        <v/>
      </c>
      <c r="Q135" s="17">
        <f>IF($A135="","",IF(OR($J135="ARSIV",$J135="RED"),0,IF($C135="","",raporTarihi-$C135)))</f>
        <v/>
      </c>
      <c r="R135" s="17">
        <f>IF($A135="","",IF($Q135="","",IF($Q135&lt;=pvf_kovaEsik1,"0-7",IF($Q135&lt;=pvf_kovaEsik2,"8-30",IF($Q135&lt;=pvf_kovaEsik3,"31-60","60+")))))</f>
        <v/>
      </c>
      <c r="S135" s="17">
        <f>IF($A135="","",IF($B135="","YETİM",IF(COUNTIF(tblPersonel[PersonelId],$B135)=0,"YETİM","")))</f>
        <v/>
      </c>
      <c r="T135" s="17">
        <f>IF(OR($A135="",$I135=""),"",IF(OR($I135&amp;"|"&amp;$J135="",COUNTIF(ListeIzinliGecis,$I135&amp;"|"&amp;$J135)&gt;0),"","GEÇERSİZ GEÇİŞ"))</f>
        <v/>
      </c>
      <c r="U135" s="17">
        <f>IF($A135="","",IF(OR($P135="",$G135=""),"",IF(ABS($G135-$P135)&gt;zincirTolerans,"ZİNCİR KIRIK","OK")))</f>
        <v/>
      </c>
      <c r="V135" s="17">
        <f>IF($A135="","",1)</f>
        <v/>
      </c>
      <c r="W135" s="17">
        <f>IF($A135="","",$G135*$N135*pvf_mesaiKatsayi)</f>
        <v/>
      </c>
    </row>
    <row r="136">
      <c r="A136" s="15" t="n"/>
      <c r="B136" s="15" t="n"/>
      <c r="C136" s="66" t="n"/>
      <c r="D136" s="16" t="n"/>
      <c r="E136" s="16" t="n"/>
      <c r="F136" s="16" t="n"/>
      <c r="G136" s="16" t="n"/>
      <c r="H136" s="15" t="n"/>
      <c r="I136" s="15" t="n"/>
      <c r="J136" s="15" t="n"/>
      <c r="K136" s="15" t="n"/>
      <c r="L136" s="15" t="n"/>
      <c r="M136" s="15" t="n"/>
      <c r="N136" s="67" t="n"/>
      <c r="O136" s="17">
        <f>IF($A136="","",MAX(0,$E136-$D136))</f>
        <v/>
      </c>
      <c r="P136" s="17">
        <f>IF($A136="","",MAX(0,$O136-$F136))</f>
        <v/>
      </c>
      <c r="Q136" s="17">
        <f>IF($A136="","",IF(OR($J136="ARSIV",$J136="RED"),0,IF($C136="","",raporTarihi-$C136)))</f>
        <v/>
      </c>
      <c r="R136" s="17">
        <f>IF($A136="","",IF($Q136="","",IF($Q136&lt;=pvf_kovaEsik1,"0-7",IF($Q136&lt;=pvf_kovaEsik2,"8-30",IF($Q136&lt;=pvf_kovaEsik3,"31-60","60+")))))</f>
        <v/>
      </c>
      <c r="S136" s="17">
        <f>IF($A136="","",IF($B136="","YETİM",IF(COUNTIF(tblPersonel[PersonelId],$B136)=0,"YETİM","")))</f>
        <v/>
      </c>
      <c r="T136" s="17">
        <f>IF(OR($A136="",$I136=""),"",IF(OR($I136&amp;"|"&amp;$J136="",COUNTIF(ListeIzinliGecis,$I136&amp;"|"&amp;$J136)&gt;0),"","GEÇERSİZ GEÇİŞ"))</f>
        <v/>
      </c>
      <c r="U136" s="17">
        <f>IF($A136="","",IF(OR($P136="",$G136=""),"",IF(ABS($G136-$P136)&gt;zincirTolerans,"ZİNCİR KIRIK","OK")))</f>
        <v/>
      </c>
      <c r="V136" s="17">
        <f>IF($A136="","",1)</f>
        <v/>
      </c>
      <c r="W136" s="17">
        <f>IF($A136="","",$G136*$N136*pvf_mesaiKatsayi)</f>
        <v/>
      </c>
    </row>
    <row r="137">
      <c r="A137" s="15" t="n"/>
      <c r="B137" s="15" t="n"/>
      <c r="C137" s="66" t="n"/>
      <c r="D137" s="16" t="n"/>
      <c r="E137" s="16" t="n"/>
      <c r="F137" s="16" t="n"/>
      <c r="G137" s="16" t="n"/>
      <c r="H137" s="15" t="n"/>
      <c r="I137" s="15" t="n"/>
      <c r="J137" s="15" t="n"/>
      <c r="K137" s="15" t="n"/>
      <c r="L137" s="15" t="n"/>
      <c r="M137" s="15" t="n"/>
      <c r="N137" s="67" t="n"/>
      <c r="O137" s="17">
        <f>IF($A137="","",MAX(0,$E137-$D137))</f>
        <v/>
      </c>
      <c r="P137" s="17">
        <f>IF($A137="","",MAX(0,$O137-$F137))</f>
        <v/>
      </c>
      <c r="Q137" s="17">
        <f>IF($A137="","",IF(OR($J137="ARSIV",$J137="RED"),0,IF($C137="","",raporTarihi-$C137)))</f>
        <v/>
      </c>
      <c r="R137" s="17">
        <f>IF($A137="","",IF($Q137="","",IF($Q137&lt;=pvf_kovaEsik1,"0-7",IF($Q137&lt;=pvf_kovaEsik2,"8-30",IF($Q137&lt;=pvf_kovaEsik3,"31-60","60+")))))</f>
        <v/>
      </c>
      <c r="S137" s="17">
        <f>IF($A137="","",IF($B137="","YETİM",IF(COUNTIF(tblPersonel[PersonelId],$B137)=0,"YETİM","")))</f>
        <v/>
      </c>
      <c r="T137" s="17">
        <f>IF(OR($A137="",$I137=""),"",IF(OR($I137&amp;"|"&amp;$J137="",COUNTIF(ListeIzinliGecis,$I137&amp;"|"&amp;$J137)&gt;0),"","GEÇERSİZ GEÇİŞ"))</f>
        <v/>
      </c>
      <c r="U137" s="17">
        <f>IF($A137="","",IF(OR($P137="",$G137=""),"",IF(ABS($G137-$P137)&gt;zincirTolerans,"ZİNCİR KIRIK","OK")))</f>
        <v/>
      </c>
      <c r="V137" s="17">
        <f>IF($A137="","",1)</f>
        <v/>
      </c>
      <c r="W137" s="17">
        <f>IF($A137="","",$G137*$N137*pvf_mesaiKatsayi)</f>
        <v/>
      </c>
    </row>
    <row r="138">
      <c r="A138" s="15" t="n"/>
      <c r="B138" s="15" t="n"/>
      <c r="C138" s="66" t="n"/>
      <c r="D138" s="16" t="n"/>
      <c r="E138" s="16" t="n"/>
      <c r="F138" s="16" t="n"/>
      <c r="G138" s="16" t="n"/>
      <c r="H138" s="15" t="n"/>
      <c r="I138" s="15" t="n"/>
      <c r="J138" s="15" t="n"/>
      <c r="K138" s="15" t="n"/>
      <c r="L138" s="15" t="n"/>
      <c r="M138" s="15" t="n"/>
      <c r="N138" s="67" t="n"/>
      <c r="O138" s="17">
        <f>IF($A138="","",MAX(0,$E138-$D138))</f>
        <v/>
      </c>
      <c r="P138" s="17">
        <f>IF($A138="","",MAX(0,$O138-$F138))</f>
        <v/>
      </c>
      <c r="Q138" s="17">
        <f>IF($A138="","",IF(OR($J138="ARSIV",$J138="RED"),0,IF($C138="","",raporTarihi-$C138)))</f>
        <v/>
      </c>
      <c r="R138" s="17">
        <f>IF($A138="","",IF($Q138="","",IF($Q138&lt;=pvf_kovaEsik1,"0-7",IF($Q138&lt;=pvf_kovaEsik2,"8-30",IF($Q138&lt;=pvf_kovaEsik3,"31-60","60+")))))</f>
        <v/>
      </c>
      <c r="S138" s="17">
        <f>IF($A138="","",IF($B138="","YETİM",IF(COUNTIF(tblPersonel[PersonelId],$B138)=0,"YETİM","")))</f>
        <v/>
      </c>
      <c r="T138" s="17">
        <f>IF(OR($A138="",$I138=""),"",IF(OR($I138&amp;"|"&amp;$J138="",COUNTIF(ListeIzinliGecis,$I138&amp;"|"&amp;$J138)&gt;0),"","GEÇERSİZ GEÇİŞ"))</f>
        <v/>
      </c>
      <c r="U138" s="17">
        <f>IF($A138="","",IF(OR($P138="",$G138=""),"",IF(ABS($G138-$P138)&gt;zincirTolerans,"ZİNCİR KIRIK","OK")))</f>
        <v/>
      </c>
      <c r="V138" s="17">
        <f>IF($A138="","",1)</f>
        <v/>
      </c>
      <c r="W138" s="17">
        <f>IF($A138="","",$G138*$N138*pvf_mesaiKatsayi)</f>
        <v/>
      </c>
    </row>
    <row r="139">
      <c r="A139" s="15" t="n"/>
      <c r="B139" s="15" t="n"/>
      <c r="C139" s="66" t="n"/>
      <c r="D139" s="16" t="n"/>
      <c r="E139" s="16" t="n"/>
      <c r="F139" s="16" t="n"/>
      <c r="G139" s="16" t="n"/>
      <c r="H139" s="15" t="n"/>
      <c r="I139" s="15" t="n"/>
      <c r="J139" s="15" t="n"/>
      <c r="K139" s="15" t="n"/>
      <c r="L139" s="15" t="n"/>
      <c r="M139" s="15" t="n"/>
      <c r="N139" s="67" t="n"/>
      <c r="O139" s="17">
        <f>IF($A139="","",MAX(0,$E139-$D139))</f>
        <v/>
      </c>
      <c r="P139" s="17">
        <f>IF($A139="","",MAX(0,$O139-$F139))</f>
        <v/>
      </c>
      <c r="Q139" s="17">
        <f>IF($A139="","",IF(OR($J139="ARSIV",$J139="RED"),0,IF($C139="","",raporTarihi-$C139)))</f>
        <v/>
      </c>
      <c r="R139" s="17">
        <f>IF($A139="","",IF($Q139="","",IF($Q139&lt;=pvf_kovaEsik1,"0-7",IF($Q139&lt;=pvf_kovaEsik2,"8-30",IF($Q139&lt;=pvf_kovaEsik3,"31-60","60+")))))</f>
        <v/>
      </c>
      <c r="S139" s="17">
        <f>IF($A139="","",IF($B139="","YETİM",IF(COUNTIF(tblPersonel[PersonelId],$B139)=0,"YETİM","")))</f>
        <v/>
      </c>
      <c r="T139" s="17">
        <f>IF(OR($A139="",$I139=""),"",IF(OR($I139&amp;"|"&amp;$J139="",COUNTIF(ListeIzinliGecis,$I139&amp;"|"&amp;$J139)&gt;0),"","GEÇERSİZ GEÇİŞ"))</f>
        <v/>
      </c>
      <c r="U139" s="17">
        <f>IF($A139="","",IF(OR($P139="",$G139=""),"",IF(ABS($G139-$P139)&gt;zincirTolerans,"ZİNCİR KIRIK","OK")))</f>
        <v/>
      </c>
      <c r="V139" s="17">
        <f>IF($A139="","",1)</f>
        <v/>
      </c>
      <c r="W139" s="17">
        <f>IF($A139="","",$G139*$N139*pvf_mesaiKatsayi)</f>
        <v/>
      </c>
    </row>
    <row r="140">
      <c r="A140" s="15" t="n"/>
      <c r="B140" s="15" t="n"/>
      <c r="C140" s="66" t="n"/>
      <c r="D140" s="16" t="n"/>
      <c r="E140" s="16" t="n"/>
      <c r="F140" s="16" t="n"/>
      <c r="G140" s="16" t="n"/>
      <c r="H140" s="15" t="n"/>
      <c r="I140" s="15" t="n"/>
      <c r="J140" s="15" t="n"/>
      <c r="K140" s="15" t="n"/>
      <c r="L140" s="15" t="n"/>
      <c r="M140" s="15" t="n"/>
      <c r="N140" s="67" t="n"/>
      <c r="O140" s="17">
        <f>IF($A140="","",MAX(0,$E140-$D140))</f>
        <v/>
      </c>
      <c r="P140" s="17">
        <f>IF($A140="","",MAX(0,$O140-$F140))</f>
        <v/>
      </c>
      <c r="Q140" s="17">
        <f>IF($A140="","",IF(OR($J140="ARSIV",$J140="RED"),0,IF($C140="","",raporTarihi-$C140)))</f>
        <v/>
      </c>
      <c r="R140" s="17">
        <f>IF($A140="","",IF($Q140="","",IF($Q140&lt;=pvf_kovaEsik1,"0-7",IF($Q140&lt;=pvf_kovaEsik2,"8-30",IF($Q140&lt;=pvf_kovaEsik3,"31-60","60+")))))</f>
        <v/>
      </c>
      <c r="S140" s="17">
        <f>IF($A140="","",IF($B140="","YETİM",IF(COUNTIF(tblPersonel[PersonelId],$B140)=0,"YETİM","")))</f>
        <v/>
      </c>
      <c r="T140" s="17">
        <f>IF(OR($A140="",$I140=""),"",IF(OR($I140&amp;"|"&amp;$J140="",COUNTIF(ListeIzinliGecis,$I140&amp;"|"&amp;$J140)&gt;0),"","GEÇERSİZ GEÇİŞ"))</f>
        <v/>
      </c>
      <c r="U140" s="17">
        <f>IF($A140="","",IF(OR($P140="",$G140=""),"",IF(ABS($G140-$P140)&gt;zincirTolerans,"ZİNCİR KIRIK","OK")))</f>
        <v/>
      </c>
      <c r="V140" s="17">
        <f>IF($A140="","",1)</f>
        <v/>
      </c>
      <c r="W140" s="17">
        <f>IF($A140="","",$G140*$N140*pvf_mesaiKatsayi)</f>
        <v/>
      </c>
    </row>
    <row r="141">
      <c r="A141" s="15" t="n"/>
      <c r="B141" s="15" t="n"/>
      <c r="C141" s="66" t="n"/>
      <c r="D141" s="16" t="n"/>
      <c r="E141" s="16" t="n"/>
      <c r="F141" s="16" t="n"/>
      <c r="G141" s="16" t="n"/>
      <c r="H141" s="15" t="n"/>
      <c r="I141" s="15" t="n"/>
      <c r="J141" s="15" t="n"/>
      <c r="K141" s="15" t="n"/>
      <c r="L141" s="15" t="n"/>
      <c r="M141" s="15" t="n"/>
      <c r="N141" s="67" t="n"/>
      <c r="O141" s="17">
        <f>IF($A141="","",MAX(0,$E141-$D141))</f>
        <v/>
      </c>
      <c r="P141" s="17">
        <f>IF($A141="","",MAX(0,$O141-$F141))</f>
        <v/>
      </c>
      <c r="Q141" s="17">
        <f>IF($A141="","",IF(OR($J141="ARSIV",$J141="RED"),0,IF($C141="","",raporTarihi-$C141)))</f>
        <v/>
      </c>
      <c r="R141" s="17">
        <f>IF($A141="","",IF($Q141="","",IF($Q141&lt;=pvf_kovaEsik1,"0-7",IF($Q141&lt;=pvf_kovaEsik2,"8-30",IF($Q141&lt;=pvf_kovaEsik3,"31-60","60+")))))</f>
        <v/>
      </c>
      <c r="S141" s="17">
        <f>IF($A141="","",IF($B141="","YETİM",IF(COUNTIF(tblPersonel[PersonelId],$B141)=0,"YETİM","")))</f>
        <v/>
      </c>
      <c r="T141" s="17">
        <f>IF(OR($A141="",$I141=""),"",IF(OR($I141&amp;"|"&amp;$J141="",COUNTIF(ListeIzinliGecis,$I141&amp;"|"&amp;$J141)&gt;0),"","GEÇERSİZ GEÇİŞ"))</f>
        <v/>
      </c>
      <c r="U141" s="17">
        <f>IF($A141="","",IF(OR($P141="",$G141=""),"",IF(ABS($G141-$P141)&gt;zincirTolerans,"ZİNCİR KIRIK","OK")))</f>
        <v/>
      </c>
      <c r="V141" s="17">
        <f>IF($A141="","",1)</f>
        <v/>
      </c>
      <c r="W141" s="17">
        <f>IF($A141="","",$G141*$N141*pvf_mesaiKatsayi)</f>
        <v/>
      </c>
    </row>
    <row r="142">
      <c r="A142" s="15" t="n"/>
      <c r="B142" s="15" t="n"/>
      <c r="C142" s="66" t="n"/>
      <c r="D142" s="16" t="n"/>
      <c r="E142" s="16" t="n"/>
      <c r="F142" s="16" t="n"/>
      <c r="G142" s="16" t="n"/>
      <c r="H142" s="15" t="n"/>
      <c r="I142" s="15" t="n"/>
      <c r="J142" s="15" t="n"/>
      <c r="K142" s="15" t="n"/>
      <c r="L142" s="15" t="n"/>
      <c r="M142" s="15" t="n"/>
      <c r="N142" s="67" t="n"/>
      <c r="O142" s="17">
        <f>IF($A142="","",MAX(0,$E142-$D142))</f>
        <v/>
      </c>
      <c r="P142" s="17">
        <f>IF($A142="","",MAX(0,$O142-$F142))</f>
        <v/>
      </c>
      <c r="Q142" s="17">
        <f>IF($A142="","",IF(OR($J142="ARSIV",$J142="RED"),0,IF($C142="","",raporTarihi-$C142)))</f>
        <v/>
      </c>
      <c r="R142" s="17">
        <f>IF($A142="","",IF($Q142="","",IF($Q142&lt;=pvf_kovaEsik1,"0-7",IF($Q142&lt;=pvf_kovaEsik2,"8-30",IF($Q142&lt;=pvf_kovaEsik3,"31-60","60+")))))</f>
        <v/>
      </c>
      <c r="S142" s="17">
        <f>IF($A142="","",IF($B142="","YETİM",IF(COUNTIF(tblPersonel[PersonelId],$B142)=0,"YETİM","")))</f>
        <v/>
      </c>
      <c r="T142" s="17">
        <f>IF(OR($A142="",$I142=""),"",IF(OR($I142&amp;"|"&amp;$J142="",COUNTIF(ListeIzinliGecis,$I142&amp;"|"&amp;$J142)&gt;0),"","GEÇERSİZ GEÇİŞ"))</f>
        <v/>
      </c>
      <c r="U142" s="17">
        <f>IF($A142="","",IF(OR($P142="",$G142=""),"",IF(ABS($G142-$P142)&gt;zincirTolerans,"ZİNCİR KIRIK","OK")))</f>
        <v/>
      </c>
      <c r="V142" s="17">
        <f>IF($A142="","",1)</f>
        <v/>
      </c>
      <c r="W142" s="17">
        <f>IF($A142="","",$G142*$N142*pvf_mesaiKatsayi)</f>
        <v/>
      </c>
    </row>
    <row r="143">
      <c r="A143" s="15" t="n"/>
      <c r="B143" s="15" t="n"/>
      <c r="C143" s="66" t="n"/>
      <c r="D143" s="16" t="n"/>
      <c r="E143" s="16" t="n"/>
      <c r="F143" s="16" t="n"/>
      <c r="G143" s="16" t="n"/>
      <c r="H143" s="15" t="n"/>
      <c r="I143" s="15" t="n"/>
      <c r="J143" s="15" t="n"/>
      <c r="K143" s="15" t="n"/>
      <c r="L143" s="15" t="n"/>
      <c r="M143" s="15" t="n"/>
      <c r="N143" s="67" t="n"/>
      <c r="O143" s="17">
        <f>IF($A143="","",MAX(0,$E143-$D143))</f>
        <v/>
      </c>
      <c r="P143" s="17">
        <f>IF($A143="","",MAX(0,$O143-$F143))</f>
        <v/>
      </c>
      <c r="Q143" s="17">
        <f>IF($A143="","",IF(OR($J143="ARSIV",$J143="RED"),0,IF($C143="","",raporTarihi-$C143)))</f>
        <v/>
      </c>
      <c r="R143" s="17">
        <f>IF($A143="","",IF($Q143="","",IF($Q143&lt;=pvf_kovaEsik1,"0-7",IF($Q143&lt;=pvf_kovaEsik2,"8-30",IF($Q143&lt;=pvf_kovaEsik3,"31-60","60+")))))</f>
        <v/>
      </c>
      <c r="S143" s="17">
        <f>IF($A143="","",IF($B143="","YETİM",IF(COUNTIF(tblPersonel[PersonelId],$B143)=0,"YETİM","")))</f>
        <v/>
      </c>
      <c r="T143" s="17">
        <f>IF(OR($A143="",$I143=""),"",IF(OR($I143&amp;"|"&amp;$J143="",COUNTIF(ListeIzinliGecis,$I143&amp;"|"&amp;$J143)&gt;0),"","GEÇERSİZ GEÇİŞ"))</f>
        <v/>
      </c>
      <c r="U143" s="17">
        <f>IF($A143="","",IF(OR($P143="",$G143=""),"",IF(ABS($G143-$P143)&gt;zincirTolerans,"ZİNCİR KIRIK","OK")))</f>
        <v/>
      </c>
      <c r="V143" s="17">
        <f>IF($A143="","",1)</f>
        <v/>
      </c>
      <c r="W143" s="17">
        <f>IF($A143="","",$G143*$N143*pvf_mesaiKatsayi)</f>
        <v/>
      </c>
    </row>
    <row r="144">
      <c r="A144" s="15" t="n"/>
      <c r="B144" s="15" t="n"/>
      <c r="C144" s="66" t="n"/>
      <c r="D144" s="16" t="n"/>
      <c r="E144" s="16" t="n"/>
      <c r="F144" s="16" t="n"/>
      <c r="G144" s="16" t="n"/>
      <c r="H144" s="15" t="n"/>
      <c r="I144" s="15" t="n"/>
      <c r="J144" s="15" t="n"/>
      <c r="K144" s="15" t="n"/>
      <c r="L144" s="15" t="n"/>
      <c r="M144" s="15" t="n"/>
      <c r="N144" s="67" t="n"/>
      <c r="O144" s="17">
        <f>IF($A144="","",MAX(0,$E144-$D144))</f>
        <v/>
      </c>
      <c r="P144" s="17">
        <f>IF($A144="","",MAX(0,$O144-$F144))</f>
        <v/>
      </c>
      <c r="Q144" s="17">
        <f>IF($A144="","",IF(OR($J144="ARSIV",$J144="RED"),0,IF($C144="","",raporTarihi-$C144)))</f>
        <v/>
      </c>
      <c r="R144" s="17">
        <f>IF($A144="","",IF($Q144="","",IF($Q144&lt;=pvf_kovaEsik1,"0-7",IF($Q144&lt;=pvf_kovaEsik2,"8-30",IF($Q144&lt;=pvf_kovaEsik3,"31-60","60+")))))</f>
        <v/>
      </c>
      <c r="S144" s="17">
        <f>IF($A144="","",IF($B144="","YETİM",IF(COUNTIF(tblPersonel[PersonelId],$B144)=0,"YETİM","")))</f>
        <v/>
      </c>
      <c r="T144" s="17">
        <f>IF(OR($A144="",$I144=""),"",IF(OR($I144&amp;"|"&amp;$J144="",COUNTIF(ListeIzinliGecis,$I144&amp;"|"&amp;$J144)&gt;0),"","GEÇERSİZ GEÇİŞ"))</f>
        <v/>
      </c>
      <c r="U144" s="17">
        <f>IF($A144="","",IF(OR($P144="",$G144=""),"",IF(ABS($G144-$P144)&gt;zincirTolerans,"ZİNCİR KIRIK","OK")))</f>
        <v/>
      </c>
      <c r="V144" s="17">
        <f>IF($A144="","",1)</f>
        <v/>
      </c>
      <c r="W144" s="17">
        <f>IF($A144="","",$G144*$N144*pvf_mesaiKatsayi)</f>
        <v/>
      </c>
    </row>
    <row r="145">
      <c r="A145" s="15" t="n"/>
      <c r="B145" s="15" t="n"/>
      <c r="C145" s="66" t="n"/>
      <c r="D145" s="16" t="n"/>
      <c r="E145" s="16" t="n"/>
      <c r="F145" s="16" t="n"/>
      <c r="G145" s="16" t="n"/>
      <c r="H145" s="15" t="n"/>
      <c r="I145" s="15" t="n"/>
      <c r="J145" s="15" t="n"/>
      <c r="K145" s="15" t="n"/>
      <c r="L145" s="15" t="n"/>
      <c r="M145" s="15" t="n"/>
      <c r="N145" s="67" t="n"/>
      <c r="O145" s="17">
        <f>IF($A145="","",MAX(0,$E145-$D145))</f>
        <v/>
      </c>
      <c r="P145" s="17">
        <f>IF($A145="","",MAX(0,$O145-$F145))</f>
        <v/>
      </c>
      <c r="Q145" s="17">
        <f>IF($A145="","",IF(OR($J145="ARSIV",$J145="RED"),0,IF($C145="","",raporTarihi-$C145)))</f>
        <v/>
      </c>
      <c r="R145" s="17">
        <f>IF($A145="","",IF($Q145="","",IF($Q145&lt;=pvf_kovaEsik1,"0-7",IF($Q145&lt;=pvf_kovaEsik2,"8-30",IF($Q145&lt;=pvf_kovaEsik3,"31-60","60+")))))</f>
        <v/>
      </c>
      <c r="S145" s="17">
        <f>IF($A145="","",IF($B145="","YETİM",IF(COUNTIF(tblPersonel[PersonelId],$B145)=0,"YETİM","")))</f>
        <v/>
      </c>
      <c r="T145" s="17">
        <f>IF(OR($A145="",$I145=""),"",IF(OR($I145&amp;"|"&amp;$J145="",COUNTIF(ListeIzinliGecis,$I145&amp;"|"&amp;$J145)&gt;0),"","GEÇERSİZ GEÇİŞ"))</f>
        <v/>
      </c>
      <c r="U145" s="17">
        <f>IF($A145="","",IF(OR($P145="",$G145=""),"",IF(ABS($G145-$P145)&gt;zincirTolerans,"ZİNCİR KIRIK","OK")))</f>
        <v/>
      </c>
      <c r="V145" s="17">
        <f>IF($A145="","",1)</f>
        <v/>
      </c>
      <c r="W145" s="17">
        <f>IF($A145="","",$G145*$N145*pvf_mesaiKatsayi)</f>
        <v/>
      </c>
    </row>
    <row r="146">
      <c r="A146" s="15" t="n"/>
      <c r="B146" s="15" t="n"/>
      <c r="C146" s="66" t="n"/>
      <c r="D146" s="16" t="n"/>
      <c r="E146" s="16" t="n"/>
      <c r="F146" s="16" t="n"/>
      <c r="G146" s="16" t="n"/>
      <c r="H146" s="15" t="n"/>
      <c r="I146" s="15" t="n"/>
      <c r="J146" s="15" t="n"/>
      <c r="K146" s="15" t="n"/>
      <c r="L146" s="15" t="n"/>
      <c r="M146" s="15" t="n"/>
      <c r="N146" s="67" t="n"/>
      <c r="O146" s="17">
        <f>IF($A146="","",MAX(0,$E146-$D146))</f>
        <v/>
      </c>
      <c r="P146" s="17">
        <f>IF($A146="","",MAX(0,$O146-$F146))</f>
        <v/>
      </c>
      <c r="Q146" s="17">
        <f>IF($A146="","",IF(OR($J146="ARSIV",$J146="RED"),0,IF($C146="","",raporTarihi-$C146)))</f>
        <v/>
      </c>
      <c r="R146" s="17">
        <f>IF($A146="","",IF($Q146="","",IF($Q146&lt;=pvf_kovaEsik1,"0-7",IF($Q146&lt;=pvf_kovaEsik2,"8-30",IF($Q146&lt;=pvf_kovaEsik3,"31-60","60+")))))</f>
        <v/>
      </c>
      <c r="S146" s="17">
        <f>IF($A146="","",IF($B146="","YETİM",IF(COUNTIF(tblPersonel[PersonelId],$B146)=0,"YETİM","")))</f>
        <v/>
      </c>
      <c r="T146" s="17">
        <f>IF(OR($A146="",$I146=""),"",IF(OR($I146&amp;"|"&amp;$J146="",COUNTIF(ListeIzinliGecis,$I146&amp;"|"&amp;$J146)&gt;0),"","GEÇERSİZ GEÇİŞ"))</f>
        <v/>
      </c>
      <c r="U146" s="17">
        <f>IF($A146="","",IF(OR($P146="",$G146=""),"",IF(ABS($G146-$P146)&gt;zincirTolerans,"ZİNCİR KIRIK","OK")))</f>
        <v/>
      </c>
      <c r="V146" s="17">
        <f>IF($A146="","",1)</f>
        <v/>
      </c>
      <c r="W146" s="17">
        <f>IF($A146="","",$G146*$N146*pvf_mesaiKatsayi)</f>
        <v/>
      </c>
    </row>
    <row r="147">
      <c r="A147" s="15" t="n"/>
      <c r="B147" s="15" t="n"/>
      <c r="C147" s="66" t="n"/>
      <c r="D147" s="16" t="n"/>
      <c r="E147" s="16" t="n"/>
      <c r="F147" s="16" t="n"/>
      <c r="G147" s="16" t="n"/>
      <c r="H147" s="15" t="n"/>
      <c r="I147" s="15" t="n"/>
      <c r="J147" s="15" t="n"/>
      <c r="K147" s="15" t="n"/>
      <c r="L147" s="15" t="n"/>
      <c r="M147" s="15" t="n"/>
      <c r="N147" s="67" t="n"/>
      <c r="O147" s="17">
        <f>IF($A147="","",MAX(0,$E147-$D147))</f>
        <v/>
      </c>
      <c r="P147" s="17">
        <f>IF($A147="","",MAX(0,$O147-$F147))</f>
        <v/>
      </c>
      <c r="Q147" s="17">
        <f>IF($A147="","",IF(OR($J147="ARSIV",$J147="RED"),0,IF($C147="","",raporTarihi-$C147)))</f>
        <v/>
      </c>
      <c r="R147" s="17">
        <f>IF($A147="","",IF($Q147="","",IF($Q147&lt;=pvf_kovaEsik1,"0-7",IF($Q147&lt;=pvf_kovaEsik2,"8-30",IF($Q147&lt;=pvf_kovaEsik3,"31-60","60+")))))</f>
        <v/>
      </c>
      <c r="S147" s="17">
        <f>IF($A147="","",IF($B147="","YETİM",IF(COUNTIF(tblPersonel[PersonelId],$B147)=0,"YETİM","")))</f>
        <v/>
      </c>
      <c r="T147" s="17">
        <f>IF(OR($A147="",$I147=""),"",IF(OR($I147&amp;"|"&amp;$J147="",COUNTIF(ListeIzinliGecis,$I147&amp;"|"&amp;$J147)&gt;0),"","GEÇERSİZ GEÇİŞ"))</f>
        <v/>
      </c>
      <c r="U147" s="17">
        <f>IF($A147="","",IF(OR($P147="",$G147=""),"",IF(ABS($G147-$P147)&gt;zincirTolerans,"ZİNCİR KIRIK","OK")))</f>
        <v/>
      </c>
      <c r="V147" s="17">
        <f>IF($A147="","",1)</f>
        <v/>
      </c>
      <c r="W147" s="17">
        <f>IF($A147="","",$G147*$N147*pvf_mesaiKatsayi)</f>
        <v/>
      </c>
    </row>
    <row r="148">
      <c r="A148" s="15" t="n"/>
      <c r="B148" s="15" t="n"/>
      <c r="C148" s="66" t="n"/>
      <c r="D148" s="16" t="n"/>
      <c r="E148" s="16" t="n"/>
      <c r="F148" s="16" t="n"/>
      <c r="G148" s="16" t="n"/>
      <c r="H148" s="15" t="n"/>
      <c r="I148" s="15" t="n"/>
      <c r="J148" s="15" t="n"/>
      <c r="K148" s="15" t="n"/>
      <c r="L148" s="15" t="n"/>
      <c r="M148" s="15" t="n"/>
      <c r="N148" s="67" t="n"/>
      <c r="O148" s="17">
        <f>IF($A148="","",MAX(0,$E148-$D148))</f>
        <v/>
      </c>
      <c r="P148" s="17">
        <f>IF($A148="","",MAX(0,$O148-$F148))</f>
        <v/>
      </c>
      <c r="Q148" s="17">
        <f>IF($A148="","",IF(OR($J148="ARSIV",$J148="RED"),0,IF($C148="","",raporTarihi-$C148)))</f>
        <v/>
      </c>
      <c r="R148" s="17">
        <f>IF($A148="","",IF($Q148="","",IF($Q148&lt;=pvf_kovaEsik1,"0-7",IF($Q148&lt;=pvf_kovaEsik2,"8-30",IF($Q148&lt;=pvf_kovaEsik3,"31-60","60+")))))</f>
        <v/>
      </c>
      <c r="S148" s="17">
        <f>IF($A148="","",IF($B148="","YETİM",IF(COUNTIF(tblPersonel[PersonelId],$B148)=0,"YETİM","")))</f>
        <v/>
      </c>
      <c r="T148" s="17">
        <f>IF(OR($A148="",$I148=""),"",IF(OR($I148&amp;"|"&amp;$J148="",COUNTIF(ListeIzinliGecis,$I148&amp;"|"&amp;$J148)&gt;0),"","GEÇERSİZ GEÇİŞ"))</f>
        <v/>
      </c>
      <c r="U148" s="17">
        <f>IF($A148="","",IF(OR($P148="",$G148=""),"",IF(ABS($G148-$P148)&gt;zincirTolerans,"ZİNCİR KIRIK","OK")))</f>
        <v/>
      </c>
      <c r="V148" s="17">
        <f>IF($A148="","",1)</f>
        <v/>
      </c>
      <c r="W148" s="17">
        <f>IF($A148="","",$G148*$N148*pvf_mesaiKatsayi)</f>
        <v/>
      </c>
    </row>
    <row r="149">
      <c r="A149" s="15" t="n"/>
      <c r="B149" s="15" t="n"/>
      <c r="C149" s="66" t="n"/>
      <c r="D149" s="16" t="n"/>
      <c r="E149" s="16" t="n"/>
      <c r="F149" s="16" t="n"/>
      <c r="G149" s="16" t="n"/>
      <c r="H149" s="15" t="n"/>
      <c r="I149" s="15" t="n"/>
      <c r="J149" s="15" t="n"/>
      <c r="K149" s="15" t="n"/>
      <c r="L149" s="15" t="n"/>
      <c r="M149" s="15" t="n"/>
      <c r="N149" s="67" t="n"/>
      <c r="O149" s="17">
        <f>IF($A149="","",MAX(0,$E149-$D149))</f>
        <v/>
      </c>
      <c r="P149" s="17">
        <f>IF($A149="","",MAX(0,$O149-$F149))</f>
        <v/>
      </c>
      <c r="Q149" s="17">
        <f>IF($A149="","",IF(OR($J149="ARSIV",$J149="RED"),0,IF($C149="","",raporTarihi-$C149)))</f>
        <v/>
      </c>
      <c r="R149" s="17">
        <f>IF($A149="","",IF($Q149="","",IF($Q149&lt;=pvf_kovaEsik1,"0-7",IF($Q149&lt;=pvf_kovaEsik2,"8-30",IF($Q149&lt;=pvf_kovaEsik3,"31-60","60+")))))</f>
        <v/>
      </c>
      <c r="S149" s="17">
        <f>IF($A149="","",IF($B149="","YETİM",IF(COUNTIF(tblPersonel[PersonelId],$B149)=0,"YETİM","")))</f>
        <v/>
      </c>
      <c r="T149" s="17">
        <f>IF(OR($A149="",$I149=""),"",IF(OR($I149&amp;"|"&amp;$J149="",COUNTIF(ListeIzinliGecis,$I149&amp;"|"&amp;$J149)&gt;0),"","GEÇERSİZ GEÇİŞ"))</f>
        <v/>
      </c>
      <c r="U149" s="17">
        <f>IF($A149="","",IF(OR($P149="",$G149=""),"",IF(ABS($G149-$P149)&gt;zincirTolerans,"ZİNCİR KIRIK","OK")))</f>
        <v/>
      </c>
      <c r="V149" s="17">
        <f>IF($A149="","",1)</f>
        <v/>
      </c>
      <c r="W149" s="17">
        <f>IF($A149="","",$G149*$N149*pvf_mesaiKatsayi)</f>
        <v/>
      </c>
    </row>
    <row r="150">
      <c r="A150" s="15" t="n"/>
      <c r="B150" s="15" t="n"/>
      <c r="C150" s="66" t="n"/>
      <c r="D150" s="16" t="n"/>
      <c r="E150" s="16" t="n"/>
      <c r="F150" s="16" t="n"/>
      <c r="G150" s="16" t="n"/>
      <c r="H150" s="15" t="n"/>
      <c r="I150" s="15" t="n"/>
      <c r="J150" s="15" t="n"/>
      <c r="K150" s="15" t="n"/>
      <c r="L150" s="15" t="n"/>
      <c r="M150" s="15" t="n"/>
      <c r="N150" s="67" t="n"/>
      <c r="O150" s="17">
        <f>IF($A150="","",MAX(0,$E150-$D150))</f>
        <v/>
      </c>
      <c r="P150" s="17">
        <f>IF($A150="","",MAX(0,$O150-$F150))</f>
        <v/>
      </c>
      <c r="Q150" s="17">
        <f>IF($A150="","",IF(OR($J150="ARSIV",$J150="RED"),0,IF($C150="","",raporTarihi-$C150)))</f>
        <v/>
      </c>
      <c r="R150" s="17">
        <f>IF($A150="","",IF($Q150="","",IF($Q150&lt;=pvf_kovaEsik1,"0-7",IF($Q150&lt;=pvf_kovaEsik2,"8-30",IF($Q150&lt;=pvf_kovaEsik3,"31-60","60+")))))</f>
        <v/>
      </c>
      <c r="S150" s="17">
        <f>IF($A150="","",IF($B150="","YETİM",IF(COUNTIF(tblPersonel[PersonelId],$B150)=0,"YETİM","")))</f>
        <v/>
      </c>
      <c r="T150" s="17">
        <f>IF(OR($A150="",$I150=""),"",IF(OR($I150&amp;"|"&amp;$J150="",COUNTIF(ListeIzinliGecis,$I150&amp;"|"&amp;$J150)&gt;0),"","GEÇERSİZ GEÇİŞ"))</f>
        <v/>
      </c>
      <c r="U150" s="17">
        <f>IF($A150="","",IF(OR($P150="",$G150=""),"",IF(ABS($G150-$P150)&gt;zincirTolerans,"ZİNCİR KIRIK","OK")))</f>
        <v/>
      </c>
      <c r="V150" s="17">
        <f>IF($A150="","",1)</f>
        <v/>
      </c>
      <c r="W150" s="17">
        <f>IF($A150="","",$G150*$N150*pvf_mesaiKatsayi)</f>
        <v/>
      </c>
    </row>
    <row r="151">
      <c r="A151" s="15" t="n"/>
      <c r="B151" s="15" t="n"/>
      <c r="C151" s="66" t="n"/>
      <c r="D151" s="16" t="n"/>
      <c r="E151" s="16" t="n"/>
      <c r="F151" s="16" t="n"/>
      <c r="G151" s="16" t="n"/>
      <c r="H151" s="15" t="n"/>
      <c r="I151" s="15" t="n"/>
      <c r="J151" s="15" t="n"/>
      <c r="K151" s="15" t="n"/>
      <c r="L151" s="15" t="n"/>
      <c r="M151" s="15" t="n"/>
      <c r="N151" s="67" t="n"/>
      <c r="O151" s="17">
        <f>IF($A151="","",MAX(0,$E151-$D151))</f>
        <v/>
      </c>
      <c r="P151" s="17">
        <f>IF($A151="","",MAX(0,$O151-$F151))</f>
        <v/>
      </c>
      <c r="Q151" s="17">
        <f>IF($A151="","",IF(OR($J151="ARSIV",$J151="RED"),0,IF($C151="","",raporTarihi-$C151)))</f>
        <v/>
      </c>
      <c r="R151" s="17">
        <f>IF($A151="","",IF($Q151="","",IF($Q151&lt;=pvf_kovaEsik1,"0-7",IF($Q151&lt;=pvf_kovaEsik2,"8-30",IF($Q151&lt;=pvf_kovaEsik3,"31-60","60+")))))</f>
        <v/>
      </c>
      <c r="S151" s="17">
        <f>IF($A151="","",IF($B151="","YETİM",IF(COUNTIF(tblPersonel[PersonelId],$B151)=0,"YETİM","")))</f>
        <v/>
      </c>
      <c r="T151" s="17">
        <f>IF(OR($A151="",$I151=""),"",IF(OR($I151&amp;"|"&amp;$J151="",COUNTIF(ListeIzinliGecis,$I151&amp;"|"&amp;$J151)&gt;0),"","GEÇERSİZ GEÇİŞ"))</f>
        <v/>
      </c>
      <c r="U151" s="17">
        <f>IF($A151="","",IF(OR($P151="",$G151=""),"",IF(ABS($G151-$P151)&gt;zincirTolerans,"ZİNCİR KIRIK","OK")))</f>
        <v/>
      </c>
      <c r="V151" s="17">
        <f>IF($A151="","",1)</f>
        <v/>
      </c>
      <c r="W151" s="17">
        <f>IF($A151="","",$G151*$N151*pvf_mesaiKatsayi)</f>
        <v/>
      </c>
    </row>
    <row r="152">
      <c r="A152" s="15" t="n"/>
      <c r="B152" s="15" t="n"/>
      <c r="C152" s="66" t="n"/>
      <c r="D152" s="16" t="n"/>
      <c r="E152" s="16" t="n"/>
      <c r="F152" s="16" t="n"/>
      <c r="G152" s="16" t="n"/>
      <c r="H152" s="15" t="n"/>
      <c r="I152" s="15" t="n"/>
      <c r="J152" s="15" t="n"/>
      <c r="K152" s="15" t="n"/>
      <c r="L152" s="15" t="n"/>
      <c r="M152" s="15" t="n"/>
      <c r="N152" s="67" t="n"/>
      <c r="O152" s="17">
        <f>IF($A152="","",MAX(0,$E152-$D152))</f>
        <v/>
      </c>
      <c r="P152" s="17">
        <f>IF($A152="","",MAX(0,$O152-$F152))</f>
        <v/>
      </c>
      <c r="Q152" s="17">
        <f>IF($A152="","",IF(OR($J152="ARSIV",$J152="RED"),0,IF($C152="","",raporTarihi-$C152)))</f>
        <v/>
      </c>
      <c r="R152" s="17">
        <f>IF($A152="","",IF($Q152="","",IF($Q152&lt;=pvf_kovaEsik1,"0-7",IF($Q152&lt;=pvf_kovaEsik2,"8-30",IF($Q152&lt;=pvf_kovaEsik3,"31-60","60+")))))</f>
        <v/>
      </c>
      <c r="S152" s="17">
        <f>IF($A152="","",IF($B152="","YETİM",IF(COUNTIF(tblPersonel[PersonelId],$B152)=0,"YETİM","")))</f>
        <v/>
      </c>
      <c r="T152" s="17">
        <f>IF(OR($A152="",$I152=""),"",IF(OR($I152&amp;"|"&amp;$J152="",COUNTIF(ListeIzinliGecis,$I152&amp;"|"&amp;$J152)&gt;0),"","GEÇERSİZ GEÇİŞ"))</f>
        <v/>
      </c>
      <c r="U152" s="17">
        <f>IF($A152="","",IF(OR($P152="",$G152=""),"",IF(ABS($G152-$P152)&gt;zincirTolerans,"ZİNCİR KIRIK","OK")))</f>
        <v/>
      </c>
      <c r="V152" s="17">
        <f>IF($A152="","",1)</f>
        <v/>
      </c>
      <c r="W152" s="17">
        <f>IF($A152="","",$G152*$N152*pvf_mesaiKatsayi)</f>
        <v/>
      </c>
    </row>
    <row r="153">
      <c r="A153" s="15" t="n"/>
      <c r="B153" s="15" t="n"/>
      <c r="C153" s="66" t="n"/>
      <c r="D153" s="16" t="n"/>
      <c r="E153" s="16" t="n"/>
      <c r="F153" s="16" t="n"/>
      <c r="G153" s="16" t="n"/>
      <c r="H153" s="15" t="n"/>
      <c r="I153" s="15" t="n"/>
      <c r="J153" s="15" t="n"/>
      <c r="K153" s="15" t="n"/>
      <c r="L153" s="15" t="n"/>
      <c r="M153" s="15" t="n"/>
      <c r="N153" s="67" t="n"/>
      <c r="O153" s="17">
        <f>IF($A153="","",MAX(0,$E153-$D153))</f>
        <v/>
      </c>
      <c r="P153" s="17">
        <f>IF($A153="","",MAX(0,$O153-$F153))</f>
        <v/>
      </c>
      <c r="Q153" s="17">
        <f>IF($A153="","",IF(OR($J153="ARSIV",$J153="RED"),0,IF($C153="","",raporTarihi-$C153)))</f>
        <v/>
      </c>
      <c r="R153" s="17">
        <f>IF($A153="","",IF($Q153="","",IF($Q153&lt;=pvf_kovaEsik1,"0-7",IF($Q153&lt;=pvf_kovaEsik2,"8-30",IF($Q153&lt;=pvf_kovaEsik3,"31-60","60+")))))</f>
        <v/>
      </c>
      <c r="S153" s="17">
        <f>IF($A153="","",IF($B153="","YETİM",IF(COUNTIF(tblPersonel[PersonelId],$B153)=0,"YETİM","")))</f>
        <v/>
      </c>
      <c r="T153" s="17">
        <f>IF(OR($A153="",$I153=""),"",IF(OR($I153&amp;"|"&amp;$J153="",COUNTIF(ListeIzinliGecis,$I153&amp;"|"&amp;$J153)&gt;0),"","GEÇERSİZ GEÇİŞ"))</f>
        <v/>
      </c>
      <c r="U153" s="17">
        <f>IF($A153="","",IF(OR($P153="",$G153=""),"",IF(ABS($G153-$P153)&gt;zincirTolerans,"ZİNCİR KIRIK","OK")))</f>
        <v/>
      </c>
      <c r="V153" s="17">
        <f>IF($A153="","",1)</f>
        <v/>
      </c>
      <c r="W153" s="17">
        <f>IF($A153="","",$G153*$N153*pvf_mesaiKatsayi)</f>
        <v/>
      </c>
    </row>
    <row r="154">
      <c r="A154" s="15" t="n"/>
      <c r="B154" s="15" t="n"/>
      <c r="C154" s="66" t="n"/>
      <c r="D154" s="16" t="n"/>
      <c r="E154" s="16" t="n"/>
      <c r="F154" s="16" t="n"/>
      <c r="G154" s="16" t="n"/>
      <c r="H154" s="15" t="n"/>
      <c r="I154" s="15" t="n"/>
      <c r="J154" s="15" t="n"/>
      <c r="K154" s="15" t="n"/>
      <c r="L154" s="15" t="n"/>
      <c r="M154" s="15" t="n"/>
      <c r="N154" s="67" t="n"/>
      <c r="O154" s="17">
        <f>IF($A154="","",MAX(0,$E154-$D154))</f>
        <v/>
      </c>
      <c r="P154" s="17">
        <f>IF($A154="","",MAX(0,$O154-$F154))</f>
        <v/>
      </c>
      <c r="Q154" s="17">
        <f>IF($A154="","",IF(OR($J154="ARSIV",$J154="RED"),0,IF($C154="","",raporTarihi-$C154)))</f>
        <v/>
      </c>
      <c r="R154" s="17">
        <f>IF($A154="","",IF($Q154="","",IF($Q154&lt;=pvf_kovaEsik1,"0-7",IF($Q154&lt;=pvf_kovaEsik2,"8-30",IF($Q154&lt;=pvf_kovaEsik3,"31-60","60+")))))</f>
        <v/>
      </c>
      <c r="S154" s="17">
        <f>IF($A154="","",IF($B154="","YETİM",IF(COUNTIF(tblPersonel[PersonelId],$B154)=0,"YETİM","")))</f>
        <v/>
      </c>
      <c r="T154" s="17">
        <f>IF(OR($A154="",$I154=""),"",IF(OR($I154&amp;"|"&amp;$J154="",COUNTIF(ListeIzinliGecis,$I154&amp;"|"&amp;$J154)&gt;0),"","GEÇERSİZ GEÇİŞ"))</f>
        <v/>
      </c>
      <c r="U154" s="17">
        <f>IF($A154="","",IF(OR($P154="",$G154=""),"",IF(ABS($G154-$P154)&gt;zincirTolerans,"ZİNCİR KIRIK","OK")))</f>
        <v/>
      </c>
      <c r="V154" s="17">
        <f>IF($A154="","",1)</f>
        <v/>
      </c>
      <c r="W154" s="17">
        <f>IF($A154="","",$G154*$N154*pvf_mesaiKatsayi)</f>
        <v/>
      </c>
    </row>
    <row r="155">
      <c r="A155" s="15" t="n"/>
      <c r="B155" s="15" t="n"/>
      <c r="C155" s="66" t="n"/>
      <c r="D155" s="16" t="n"/>
      <c r="E155" s="16" t="n"/>
      <c r="F155" s="16" t="n"/>
      <c r="G155" s="16" t="n"/>
      <c r="H155" s="15" t="n"/>
      <c r="I155" s="15" t="n"/>
      <c r="J155" s="15" t="n"/>
      <c r="K155" s="15" t="n"/>
      <c r="L155" s="15" t="n"/>
      <c r="M155" s="15" t="n"/>
      <c r="N155" s="67" t="n"/>
      <c r="O155" s="17">
        <f>IF($A155="","",MAX(0,$E155-$D155))</f>
        <v/>
      </c>
      <c r="P155" s="17">
        <f>IF($A155="","",MAX(0,$O155-$F155))</f>
        <v/>
      </c>
      <c r="Q155" s="17">
        <f>IF($A155="","",IF(OR($J155="ARSIV",$J155="RED"),0,IF($C155="","",raporTarihi-$C155)))</f>
        <v/>
      </c>
      <c r="R155" s="17">
        <f>IF($A155="","",IF($Q155="","",IF($Q155&lt;=pvf_kovaEsik1,"0-7",IF($Q155&lt;=pvf_kovaEsik2,"8-30",IF($Q155&lt;=pvf_kovaEsik3,"31-60","60+")))))</f>
        <v/>
      </c>
      <c r="S155" s="17">
        <f>IF($A155="","",IF($B155="","YETİM",IF(COUNTIF(tblPersonel[PersonelId],$B155)=0,"YETİM","")))</f>
        <v/>
      </c>
      <c r="T155" s="17">
        <f>IF(OR($A155="",$I155=""),"",IF(OR($I155&amp;"|"&amp;$J155="",COUNTIF(ListeIzinliGecis,$I155&amp;"|"&amp;$J155)&gt;0),"","GEÇERSİZ GEÇİŞ"))</f>
        <v/>
      </c>
      <c r="U155" s="17">
        <f>IF($A155="","",IF(OR($P155="",$G155=""),"",IF(ABS($G155-$P155)&gt;zincirTolerans,"ZİNCİR KIRIK","OK")))</f>
        <v/>
      </c>
      <c r="V155" s="17">
        <f>IF($A155="","",1)</f>
        <v/>
      </c>
      <c r="W155" s="17">
        <f>IF($A155="","",$G155*$N155*pvf_mesaiKatsayi)</f>
        <v/>
      </c>
    </row>
    <row r="156">
      <c r="A156" s="15" t="n"/>
      <c r="B156" s="15" t="n"/>
      <c r="C156" s="66" t="n"/>
      <c r="D156" s="16" t="n"/>
      <c r="E156" s="16" t="n"/>
      <c r="F156" s="16" t="n"/>
      <c r="G156" s="16" t="n"/>
      <c r="H156" s="15" t="n"/>
      <c r="I156" s="15" t="n"/>
      <c r="J156" s="15" t="n"/>
      <c r="K156" s="15" t="n"/>
      <c r="L156" s="15" t="n"/>
      <c r="M156" s="15" t="n"/>
      <c r="N156" s="67" t="n"/>
      <c r="O156" s="17">
        <f>IF($A156="","",MAX(0,$E156-$D156))</f>
        <v/>
      </c>
      <c r="P156" s="17">
        <f>IF($A156="","",MAX(0,$O156-$F156))</f>
        <v/>
      </c>
      <c r="Q156" s="17">
        <f>IF($A156="","",IF(OR($J156="ARSIV",$J156="RED"),0,IF($C156="","",raporTarihi-$C156)))</f>
        <v/>
      </c>
      <c r="R156" s="17">
        <f>IF($A156="","",IF($Q156="","",IF($Q156&lt;=pvf_kovaEsik1,"0-7",IF($Q156&lt;=pvf_kovaEsik2,"8-30",IF($Q156&lt;=pvf_kovaEsik3,"31-60","60+")))))</f>
        <v/>
      </c>
      <c r="S156" s="17">
        <f>IF($A156="","",IF($B156="","YETİM",IF(COUNTIF(tblPersonel[PersonelId],$B156)=0,"YETİM","")))</f>
        <v/>
      </c>
      <c r="T156" s="17">
        <f>IF(OR($A156="",$I156=""),"",IF(OR($I156&amp;"|"&amp;$J156="",COUNTIF(ListeIzinliGecis,$I156&amp;"|"&amp;$J156)&gt;0),"","GEÇERSİZ GEÇİŞ"))</f>
        <v/>
      </c>
      <c r="U156" s="17">
        <f>IF($A156="","",IF(OR($P156="",$G156=""),"",IF(ABS($G156-$P156)&gt;zincirTolerans,"ZİNCİR KIRIK","OK")))</f>
        <v/>
      </c>
      <c r="V156" s="17">
        <f>IF($A156="","",1)</f>
        <v/>
      </c>
      <c r="W156" s="17">
        <f>IF($A156="","",$G156*$N156*pvf_mesaiKatsayi)</f>
        <v/>
      </c>
    </row>
    <row r="157">
      <c r="A157" s="15" t="n"/>
      <c r="B157" s="15" t="n"/>
      <c r="C157" s="66" t="n"/>
      <c r="D157" s="16" t="n"/>
      <c r="E157" s="16" t="n"/>
      <c r="F157" s="16" t="n"/>
      <c r="G157" s="16" t="n"/>
      <c r="H157" s="15" t="n"/>
      <c r="I157" s="15" t="n"/>
      <c r="J157" s="15" t="n"/>
      <c r="K157" s="15" t="n"/>
      <c r="L157" s="15" t="n"/>
      <c r="M157" s="15" t="n"/>
      <c r="N157" s="67" t="n"/>
      <c r="O157" s="17">
        <f>IF($A157="","",MAX(0,$E157-$D157))</f>
        <v/>
      </c>
      <c r="P157" s="17">
        <f>IF($A157="","",MAX(0,$O157-$F157))</f>
        <v/>
      </c>
      <c r="Q157" s="17">
        <f>IF($A157="","",IF(OR($J157="ARSIV",$J157="RED"),0,IF($C157="","",raporTarihi-$C157)))</f>
        <v/>
      </c>
      <c r="R157" s="17">
        <f>IF($A157="","",IF($Q157="","",IF($Q157&lt;=pvf_kovaEsik1,"0-7",IF($Q157&lt;=pvf_kovaEsik2,"8-30",IF($Q157&lt;=pvf_kovaEsik3,"31-60","60+")))))</f>
        <v/>
      </c>
      <c r="S157" s="17">
        <f>IF($A157="","",IF($B157="","YETİM",IF(COUNTIF(tblPersonel[PersonelId],$B157)=0,"YETİM","")))</f>
        <v/>
      </c>
      <c r="T157" s="17">
        <f>IF(OR($A157="",$I157=""),"",IF(OR($I157&amp;"|"&amp;$J157="",COUNTIF(ListeIzinliGecis,$I157&amp;"|"&amp;$J157)&gt;0),"","GEÇERSİZ GEÇİŞ"))</f>
        <v/>
      </c>
      <c r="U157" s="17">
        <f>IF($A157="","",IF(OR($P157="",$G157=""),"",IF(ABS($G157-$P157)&gt;zincirTolerans,"ZİNCİR KIRIK","OK")))</f>
        <v/>
      </c>
      <c r="V157" s="17">
        <f>IF($A157="","",1)</f>
        <v/>
      </c>
      <c r="W157" s="17">
        <f>IF($A157="","",$G157*$N157*pvf_mesaiKatsayi)</f>
        <v/>
      </c>
    </row>
    <row r="158">
      <c r="A158" s="15" t="n"/>
      <c r="B158" s="15" t="n"/>
      <c r="C158" s="66" t="n"/>
      <c r="D158" s="16" t="n"/>
      <c r="E158" s="16" t="n"/>
      <c r="F158" s="16" t="n"/>
      <c r="G158" s="16" t="n"/>
      <c r="H158" s="15" t="n"/>
      <c r="I158" s="15" t="n"/>
      <c r="J158" s="15" t="n"/>
      <c r="K158" s="15" t="n"/>
      <c r="L158" s="15" t="n"/>
      <c r="M158" s="15" t="n"/>
      <c r="N158" s="67" t="n"/>
      <c r="O158" s="17">
        <f>IF($A158="","",MAX(0,$E158-$D158))</f>
        <v/>
      </c>
      <c r="P158" s="17">
        <f>IF($A158="","",MAX(0,$O158-$F158))</f>
        <v/>
      </c>
      <c r="Q158" s="17">
        <f>IF($A158="","",IF(OR($J158="ARSIV",$J158="RED"),0,IF($C158="","",raporTarihi-$C158)))</f>
        <v/>
      </c>
      <c r="R158" s="17">
        <f>IF($A158="","",IF($Q158="","",IF($Q158&lt;=pvf_kovaEsik1,"0-7",IF($Q158&lt;=pvf_kovaEsik2,"8-30",IF($Q158&lt;=pvf_kovaEsik3,"31-60","60+")))))</f>
        <v/>
      </c>
      <c r="S158" s="17">
        <f>IF($A158="","",IF($B158="","YETİM",IF(COUNTIF(tblPersonel[PersonelId],$B158)=0,"YETİM","")))</f>
        <v/>
      </c>
      <c r="T158" s="17">
        <f>IF(OR($A158="",$I158=""),"",IF(OR($I158&amp;"|"&amp;$J158="",COUNTIF(ListeIzinliGecis,$I158&amp;"|"&amp;$J158)&gt;0),"","GEÇERSİZ GEÇİŞ"))</f>
        <v/>
      </c>
      <c r="U158" s="17">
        <f>IF($A158="","",IF(OR($P158="",$G158=""),"",IF(ABS($G158-$P158)&gt;zincirTolerans,"ZİNCİR KIRIK","OK")))</f>
        <v/>
      </c>
      <c r="V158" s="17">
        <f>IF($A158="","",1)</f>
        <v/>
      </c>
      <c r="W158" s="17">
        <f>IF($A158="","",$G158*$N158*pvf_mesaiKatsayi)</f>
        <v/>
      </c>
    </row>
    <row r="159">
      <c r="A159" s="15" t="n"/>
      <c r="B159" s="15" t="n"/>
      <c r="C159" s="66" t="n"/>
      <c r="D159" s="16" t="n"/>
      <c r="E159" s="16" t="n"/>
      <c r="F159" s="16" t="n"/>
      <c r="G159" s="16" t="n"/>
      <c r="H159" s="15" t="n"/>
      <c r="I159" s="15" t="n"/>
      <c r="J159" s="15" t="n"/>
      <c r="K159" s="15" t="n"/>
      <c r="L159" s="15" t="n"/>
      <c r="M159" s="15" t="n"/>
      <c r="N159" s="67" t="n"/>
      <c r="O159" s="17">
        <f>IF($A159="","",MAX(0,$E159-$D159))</f>
        <v/>
      </c>
      <c r="P159" s="17">
        <f>IF($A159="","",MAX(0,$O159-$F159))</f>
        <v/>
      </c>
      <c r="Q159" s="17">
        <f>IF($A159="","",IF(OR($J159="ARSIV",$J159="RED"),0,IF($C159="","",raporTarihi-$C159)))</f>
        <v/>
      </c>
      <c r="R159" s="17">
        <f>IF($A159="","",IF($Q159="","",IF($Q159&lt;=pvf_kovaEsik1,"0-7",IF($Q159&lt;=pvf_kovaEsik2,"8-30",IF($Q159&lt;=pvf_kovaEsik3,"31-60","60+")))))</f>
        <v/>
      </c>
      <c r="S159" s="17">
        <f>IF($A159="","",IF($B159="","YETİM",IF(COUNTIF(tblPersonel[PersonelId],$B159)=0,"YETİM","")))</f>
        <v/>
      </c>
      <c r="T159" s="17">
        <f>IF(OR($A159="",$I159=""),"",IF(OR($I159&amp;"|"&amp;$J159="",COUNTIF(ListeIzinliGecis,$I159&amp;"|"&amp;$J159)&gt;0),"","GEÇERSİZ GEÇİŞ"))</f>
        <v/>
      </c>
      <c r="U159" s="17">
        <f>IF($A159="","",IF(OR($P159="",$G159=""),"",IF(ABS($G159-$P159)&gt;zincirTolerans,"ZİNCİR KIRIK","OK")))</f>
        <v/>
      </c>
      <c r="V159" s="17">
        <f>IF($A159="","",1)</f>
        <v/>
      </c>
      <c r="W159" s="17">
        <f>IF($A159="","",$G159*$N159*pvf_mesaiKatsayi)</f>
        <v/>
      </c>
    </row>
    <row r="160">
      <c r="A160" s="15" t="n"/>
      <c r="B160" s="15" t="n"/>
      <c r="C160" s="66" t="n"/>
      <c r="D160" s="16" t="n"/>
      <c r="E160" s="16" t="n"/>
      <c r="F160" s="16" t="n"/>
      <c r="G160" s="16" t="n"/>
      <c r="H160" s="15" t="n"/>
      <c r="I160" s="15" t="n"/>
      <c r="J160" s="15" t="n"/>
      <c r="K160" s="15" t="n"/>
      <c r="L160" s="15" t="n"/>
      <c r="M160" s="15" t="n"/>
      <c r="N160" s="67" t="n"/>
      <c r="O160" s="17">
        <f>IF($A160="","",MAX(0,$E160-$D160))</f>
        <v/>
      </c>
      <c r="P160" s="17">
        <f>IF($A160="","",MAX(0,$O160-$F160))</f>
        <v/>
      </c>
      <c r="Q160" s="17">
        <f>IF($A160="","",IF(OR($J160="ARSIV",$J160="RED"),0,IF($C160="","",raporTarihi-$C160)))</f>
        <v/>
      </c>
      <c r="R160" s="17">
        <f>IF($A160="","",IF($Q160="","",IF($Q160&lt;=pvf_kovaEsik1,"0-7",IF($Q160&lt;=pvf_kovaEsik2,"8-30",IF($Q160&lt;=pvf_kovaEsik3,"31-60","60+")))))</f>
        <v/>
      </c>
      <c r="S160" s="17">
        <f>IF($A160="","",IF($B160="","YETİM",IF(COUNTIF(tblPersonel[PersonelId],$B160)=0,"YETİM","")))</f>
        <v/>
      </c>
      <c r="T160" s="17">
        <f>IF(OR($A160="",$I160=""),"",IF(OR($I160&amp;"|"&amp;$J160="",COUNTIF(ListeIzinliGecis,$I160&amp;"|"&amp;$J160)&gt;0),"","GEÇERSİZ GEÇİŞ"))</f>
        <v/>
      </c>
      <c r="U160" s="17">
        <f>IF($A160="","",IF(OR($P160="",$G160=""),"",IF(ABS($G160-$P160)&gt;zincirTolerans,"ZİNCİR KIRIK","OK")))</f>
        <v/>
      </c>
      <c r="V160" s="17">
        <f>IF($A160="","",1)</f>
        <v/>
      </c>
      <c r="W160" s="17">
        <f>IF($A160="","",$G160*$N160*pvf_mesaiKatsayi)</f>
        <v/>
      </c>
    </row>
    <row r="161">
      <c r="A161" s="15" t="n"/>
      <c r="B161" s="15" t="n"/>
      <c r="C161" s="66" t="n"/>
      <c r="D161" s="16" t="n"/>
      <c r="E161" s="16" t="n"/>
      <c r="F161" s="16" t="n"/>
      <c r="G161" s="16" t="n"/>
      <c r="H161" s="15" t="n"/>
      <c r="I161" s="15" t="n"/>
      <c r="J161" s="15" t="n"/>
      <c r="K161" s="15" t="n"/>
      <c r="L161" s="15" t="n"/>
      <c r="M161" s="15" t="n"/>
      <c r="N161" s="67" t="n"/>
      <c r="O161" s="17">
        <f>IF($A161="","",MAX(0,$E161-$D161))</f>
        <v/>
      </c>
      <c r="P161" s="17">
        <f>IF($A161="","",MAX(0,$O161-$F161))</f>
        <v/>
      </c>
      <c r="Q161" s="17">
        <f>IF($A161="","",IF(OR($J161="ARSIV",$J161="RED"),0,IF($C161="","",raporTarihi-$C161)))</f>
        <v/>
      </c>
      <c r="R161" s="17">
        <f>IF($A161="","",IF($Q161="","",IF($Q161&lt;=pvf_kovaEsik1,"0-7",IF($Q161&lt;=pvf_kovaEsik2,"8-30",IF($Q161&lt;=pvf_kovaEsik3,"31-60","60+")))))</f>
        <v/>
      </c>
      <c r="S161" s="17">
        <f>IF($A161="","",IF($B161="","YETİM",IF(COUNTIF(tblPersonel[PersonelId],$B161)=0,"YETİM","")))</f>
        <v/>
      </c>
      <c r="T161" s="17">
        <f>IF(OR($A161="",$I161=""),"",IF(OR($I161&amp;"|"&amp;$J161="",COUNTIF(ListeIzinliGecis,$I161&amp;"|"&amp;$J161)&gt;0),"","GEÇERSİZ GEÇİŞ"))</f>
        <v/>
      </c>
      <c r="U161" s="17">
        <f>IF($A161="","",IF(OR($P161="",$G161=""),"",IF(ABS($G161-$P161)&gt;zincirTolerans,"ZİNCİR KIRIK","OK")))</f>
        <v/>
      </c>
      <c r="V161" s="17">
        <f>IF($A161="","",1)</f>
        <v/>
      </c>
      <c r="W161" s="17">
        <f>IF($A161="","",$G161*$N161*pvf_mesaiKatsayi)</f>
        <v/>
      </c>
    </row>
    <row r="162">
      <c r="A162" s="15" t="n"/>
      <c r="B162" s="15" t="n"/>
      <c r="C162" s="66" t="n"/>
      <c r="D162" s="16" t="n"/>
      <c r="E162" s="16" t="n"/>
      <c r="F162" s="16" t="n"/>
      <c r="G162" s="16" t="n"/>
      <c r="H162" s="15" t="n"/>
      <c r="I162" s="15" t="n"/>
      <c r="J162" s="15" t="n"/>
      <c r="K162" s="15" t="n"/>
      <c r="L162" s="15" t="n"/>
      <c r="M162" s="15" t="n"/>
      <c r="N162" s="67" t="n"/>
      <c r="O162" s="17">
        <f>IF($A162="","",MAX(0,$E162-$D162))</f>
        <v/>
      </c>
      <c r="P162" s="17">
        <f>IF($A162="","",MAX(0,$O162-$F162))</f>
        <v/>
      </c>
      <c r="Q162" s="17">
        <f>IF($A162="","",IF(OR($J162="ARSIV",$J162="RED"),0,IF($C162="","",raporTarihi-$C162)))</f>
        <v/>
      </c>
      <c r="R162" s="17">
        <f>IF($A162="","",IF($Q162="","",IF($Q162&lt;=pvf_kovaEsik1,"0-7",IF($Q162&lt;=pvf_kovaEsik2,"8-30",IF($Q162&lt;=pvf_kovaEsik3,"31-60","60+")))))</f>
        <v/>
      </c>
      <c r="S162" s="17">
        <f>IF($A162="","",IF($B162="","YETİM",IF(COUNTIF(tblPersonel[PersonelId],$B162)=0,"YETİM","")))</f>
        <v/>
      </c>
      <c r="T162" s="17">
        <f>IF(OR($A162="",$I162=""),"",IF(OR($I162&amp;"|"&amp;$J162="",COUNTIF(ListeIzinliGecis,$I162&amp;"|"&amp;$J162)&gt;0),"","GEÇERSİZ GEÇİŞ"))</f>
        <v/>
      </c>
      <c r="U162" s="17">
        <f>IF($A162="","",IF(OR($P162="",$G162=""),"",IF(ABS($G162-$P162)&gt;zincirTolerans,"ZİNCİR KIRIK","OK")))</f>
        <v/>
      </c>
      <c r="V162" s="17">
        <f>IF($A162="","",1)</f>
        <v/>
      </c>
      <c r="W162" s="17">
        <f>IF($A162="","",$G162*$N162*pvf_mesaiKatsayi)</f>
        <v/>
      </c>
    </row>
    <row r="163">
      <c r="A163" s="15" t="n"/>
      <c r="B163" s="15" t="n"/>
      <c r="C163" s="66" t="n"/>
      <c r="D163" s="16" t="n"/>
      <c r="E163" s="16" t="n"/>
      <c r="F163" s="16" t="n"/>
      <c r="G163" s="16" t="n"/>
      <c r="H163" s="15" t="n"/>
      <c r="I163" s="15" t="n"/>
      <c r="J163" s="15" t="n"/>
      <c r="K163" s="15" t="n"/>
      <c r="L163" s="15" t="n"/>
      <c r="M163" s="15" t="n"/>
      <c r="N163" s="67" t="n"/>
      <c r="O163" s="17">
        <f>IF($A163="","",MAX(0,$E163-$D163))</f>
        <v/>
      </c>
      <c r="P163" s="17">
        <f>IF($A163="","",MAX(0,$O163-$F163))</f>
        <v/>
      </c>
      <c r="Q163" s="17">
        <f>IF($A163="","",IF(OR($J163="ARSIV",$J163="RED"),0,IF($C163="","",raporTarihi-$C163)))</f>
        <v/>
      </c>
      <c r="R163" s="17">
        <f>IF($A163="","",IF($Q163="","",IF($Q163&lt;=pvf_kovaEsik1,"0-7",IF($Q163&lt;=pvf_kovaEsik2,"8-30",IF($Q163&lt;=pvf_kovaEsik3,"31-60","60+")))))</f>
        <v/>
      </c>
      <c r="S163" s="17">
        <f>IF($A163="","",IF($B163="","YETİM",IF(COUNTIF(tblPersonel[PersonelId],$B163)=0,"YETİM","")))</f>
        <v/>
      </c>
      <c r="T163" s="17">
        <f>IF(OR($A163="",$I163=""),"",IF(OR($I163&amp;"|"&amp;$J163="",COUNTIF(ListeIzinliGecis,$I163&amp;"|"&amp;$J163)&gt;0),"","GEÇERSİZ GEÇİŞ"))</f>
        <v/>
      </c>
      <c r="U163" s="17">
        <f>IF($A163="","",IF(OR($P163="",$G163=""),"",IF(ABS($G163-$P163)&gt;zincirTolerans,"ZİNCİR KIRIK","OK")))</f>
        <v/>
      </c>
      <c r="V163" s="17">
        <f>IF($A163="","",1)</f>
        <v/>
      </c>
      <c r="W163" s="17">
        <f>IF($A163="","",$G163*$N163*pvf_mesaiKatsayi)</f>
        <v/>
      </c>
    </row>
    <row r="164">
      <c r="A164" s="15" t="n"/>
      <c r="B164" s="15" t="n"/>
      <c r="C164" s="66" t="n"/>
      <c r="D164" s="16" t="n"/>
      <c r="E164" s="16" t="n"/>
      <c r="F164" s="16" t="n"/>
      <c r="G164" s="16" t="n"/>
      <c r="H164" s="15" t="n"/>
      <c r="I164" s="15" t="n"/>
      <c r="J164" s="15" t="n"/>
      <c r="K164" s="15" t="n"/>
      <c r="L164" s="15" t="n"/>
      <c r="M164" s="15" t="n"/>
      <c r="N164" s="67" t="n"/>
      <c r="O164" s="17">
        <f>IF($A164="","",MAX(0,$E164-$D164))</f>
        <v/>
      </c>
      <c r="P164" s="17">
        <f>IF($A164="","",MAX(0,$O164-$F164))</f>
        <v/>
      </c>
      <c r="Q164" s="17">
        <f>IF($A164="","",IF(OR($J164="ARSIV",$J164="RED"),0,IF($C164="","",raporTarihi-$C164)))</f>
        <v/>
      </c>
      <c r="R164" s="17">
        <f>IF($A164="","",IF($Q164="","",IF($Q164&lt;=pvf_kovaEsik1,"0-7",IF($Q164&lt;=pvf_kovaEsik2,"8-30",IF($Q164&lt;=pvf_kovaEsik3,"31-60","60+")))))</f>
        <v/>
      </c>
      <c r="S164" s="17">
        <f>IF($A164="","",IF($B164="","YETİM",IF(COUNTIF(tblPersonel[PersonelId],$B164)=0,"YETİM","")))</f>
        <v/>
      </c>
      <c r="T164" s="17">
        <f>IF(OR($A164="",$I164=""),"",IF(OR($I164&amp;"|"&amp;$J164="",COUNTIF(ListeIzinliGecis,$I164&amp;"|"&amp;$J164)&gt;0),"","GEÇERSİZ GEÇİŞ"))</f>
        <v/>
      </c>
      <c r="U164" s="17">
        <f>IF($A164="","",IF(OR($P164="",$G164=""),"",IF(ABS($G164-$P164)&gt;zincirTolerans,"ZİNCİR KIRIK","OK")))</f>
        <v/>
      </c>
      <c r="V164" s="17">
        <f>IF($A164="","",1)</f>
        <v/>
      </c>
      <c r="W164" s="17">
        <f>IF($A164="","",$G164*$N164*pvf_mesaiKatsayi)</f>
        <v/>
      </c>
    </row>
    <row r="165">
      <c r="A165" s="15" t="n"/>
      <c r="B165" s="15" t="n"/>
      <c r="C165" s="66" t="n"/>
      <c r="D165" s="16" t="n"/>
      <c r="E165" s="16" t="n"/>
      <c r="F165" s="16" t="n"/>
      <c r="G165" s="16" t="n"/>
      <c r="H165" s="15" t="n"/>
      <c r="I165" s="15" t="n"/>
      <c r="J165" s="15" t="n"/>
      <c r="K165" s="15" t="n"/>
      <c r="L165" s="15" t="n"/>
      <c r="M165" s="15" t="n"/>
      <c r="N165" s="67" t="n"/>
      <c r="O165" s="17">
        <f>IF($A165="","",MAX(0,$E165-$D165))</f>
        <v/>
      </c>
      <c r="P165" s="17">
        <f>IF($A165="","",MAX(0,$O165-$F165))</f>
        <v/>
      </c>
      <c r="Q165" s="17">
        <f>IF($A165="","",IF(OR($J165="ARSIV",$J165="RED"),0,IF($C165="","",raporTarihi-$C165)))</f>
        <v/>
      </c>
      <c r="R165" s="17">
        <f>IF($A165="","",IF($Q165="","",IF($Q165&lt;=pvf_kovaEsik1,"0-7",IF($Q165&lt;=pvf_kovaEsik2,"8-30",IF($Q165&lt;=pvf_kovaEsik3,"31-60","60+")))))</f>
        <v/>
      </c>
      <c r="S165" s="17">
        <f>IF($A165="","",IF($B165="","YETİM",IF(COUNTIF(tblPersonel[PersonelId],$B165)=0,"YETİM","")))</f>
        <v/>
      </c>
      <c r="T165" s="17">
        <f>IF(OR($A165="",$I165=""),"",IF(OR($I165&amp;"|"&amp;$J165="",COUNTIF(ListeIzinliGecis,$I165&amp;"|"&amp;$J165)&gt;0),"","GEÇERSİZ GEÇİŞ"))</f>
        <v/>
      </c>
      <c r="U165" s="17">
        <f>IF($A165="","",IF(OR($P165="",$G165=""),"",IF(ABS($G165-$P165)&gt;zincirTolerans,"ZİNCİR KIRIK","OK")))</f>
        <v/>
      </c>
      <c r="V165" s="17">
        <f>IF($A165="","",1)</f>
        <v/>
      </c>
      <c r="W165" s="17">
        <f>IF($A165="","",$G165*$N165*pvf_mesaiKatsayi)</f>
        <v/>
      </c>
    </row>
    <row r="166">
      <c r="A166" s="15" t="n"/>
      <c r="B166" s="15" t="n"/>
      <c r="C166" s="66" t="n"/>
      <c r="D166" s="16" t="n"/>
      <c r="E166" s="16" t="n"/>
      <c r="F166" s="16" t="n"/>
      <c r="G166" s="16" t="n"/>
      <c r="H166" s="15" t="n"/>
      <c r="I166" s="15" t="n"/>
      <c r="J166" s="15" t="n"/>
      <c r="K166" s="15" t="n"/>
      <c r="L166" s="15" t="n"/>
      <c r="M166" s="15" t="n"/>
      <c r="N166" s="67" t="n"/>
      <c r="O166" s="17">
        <f>IF($A166="","",MAX(0,$E166-$D166))</f>
        <v/>
      </c>
      <c r="P166" s="17">
        <f>IF($A166="","",MAX(0,$O166-$F166))</f>
        <v/>
      </c>
      <c r="Q166" s="17">
        <f>IF($A166="","",IF(OR($J166="ARSIV",$J166="RED"),0,IF($C166="","",raporTarihi-$C166)))</f>
        <v/>
      </c>
      <c r="R166" s="17">
        <f>IF($A166="","",IF($Q166="","",IF($Q166&lt;=pvf_kovaEsik1,"0-7",IF($Q166&lt;=pvf_kovaEsik2,"8-30",IF($Q166&lt;=pvf_kovaEsik3,"31-60","60+")))))</f>
        <v/>
      </c>
      <c r="S166" s="17">
        <f>IF($A166="","",IF($B166="","YETİM",IF(COUNTIF(tblPersonel[PersonelId],$B166)=0,"YETİM","")))</f>
        <v/>
      </c>
      <c r="T166" s="17">
        <f>IF(OR($A166="",$I166=""),"",IF(OR($I166&amp;"|"&amp;$J166="",COUNTIF(ListeIzinliGecis,$I166&amp;"|"&amp;$J166)&gt;0),"","GEÇERSİZ GEÇİŞ"))</f>
        <v/>
      </c>
      <c r="U166" s="17">
        <f>IF($A166="","",IF(OR($P166="",$G166=""),"",IF(ABS($G166-$P166)&gt;zincirTolerans,"ZİNCİR KIRIK","OK")))</f>
        <v/>
      </c>
      <c r="V166" s="17">
        <f>IF($A166="","",1)</f>
        <v/>
      </c>
      <c r="W166" s="17">
        <f>IF($A166="","",$G166*$N166*pvf_mesaiKatsayi)</f>
        <v/>
      </c>
    </row>
    <row r="167">
      <c r="A167" s="15" t="n"/>
      <c r="B167" s="15" t="n"/>
      <c r="C167" s="66" t="n"/>
      <c r="D167" s="16" t="n"/>
      <c r="E167" s="16" t="n"/>
      <c r="F167" s="16" t="n"/>
      <c r="G167" s="16" t="n"/>
      <c r="H167" s="15" t="n"/>
      <c r="I167" s="15" t="n"/>
      <c r="J167" s="15" t="n"/>
      <c r="K167" s="15" t="n"/>
      <c r="L167" s="15" t="n"/>
      <c r="M167" s="15" t="n"/>
      <c r="N167" s="67" t="n"/>
      <c r="O167" s="17">
        <f>IF($A167="","",MAX(0,$E167-$D167))</f>
        <v/>
      </c>
      <c r="P167" s="17">
        <f>IF($A167="","",MAX(0,$O167-$F167))</f>
        <v/>
      </c>
      <c r="Q167" s="17">
        <f>IF($A167="","",IF(OR($J167="ARSIV",$J167="RED"),0,IF($C167="","",raporTarihi-$C167)))</f>
        <v/>
      </c>
      <c r="R167" s="17">
        <f>IF($A167="","",IF($Q167="","",IF($Q167&lt;=pvf_kovaEsik1,"0-7",IF($Q167&lt;=pvf_kovaEsik2,"8-30",IF($Q167&lt;=pvf_kovaEsik3,"31-60","60+")))))</f>
        <v/>
      </c>
      <c r="S167" s="17">
        <f>IF($A167="","",IF($B167="","YETİM",IF(COUNTIF(tblPersonel[PersonelId],$B167)=0,"YETİM","")))</f>
        <v/>
      </c>
      <c r="T167" s="17">
        <f>IF(OR($A167="",$I167=""),"",IF(OR($I167&amp;"|"&amp;$J167="",COUNTIF(ListeIzinliGecis,$I167&amp;"|"&amp;$J167)&gt;0),"","GEÇERSİZ GEÇİŞ"))</f>
        <v/>
      </c>
      <c r="U167" s="17">
        <f>IF($A167="","",IF(OR($P167="",$G167=""),"",IF(ABS($G167-$P167)&gt;zincirTolerans,"ZİNCİR KIRIK","OK")))</f>
        <v/>
      </c>
      <c r="V167" s="17">
        <f>IF($A167="","",1)</f>
        <v/>
      </c>
      <c r="W167" s="17">
        <f>IF($A167="","",$G167*$N167*pvf_mesaiKatsayi)</f>
        <v/>
      </c>
    </row>
    <row r="168">
      <c r="A168" s="15" t="n"/>
      <c r="B168" s="15" t="n"/>
      <c r="C168" s="66" t="n"/>
      <c r="D168" s="16" t="n"/>
      <c r="E168" s="16" t="n"/>
      <c r="F168" s="16" t="n"/>
      <c r="G168" s="16" t="n"/>
      <c r="H168" s="15" t="n"/>
      <c r="I168" s="15" t="n"/>
      <c r="J168" s="15" t="n"/>
      <c r="K168" s="15" t="n"/>
      <c r="L168" s="15" t="n"/>
      <c r="M168" s="15" t="n"/>
      <c r="N168" s="67" t="n"/>
      <c r="O168" s="17">
        <f>IF($A168="","",MAX(0,$E168-$D168))</f>
        <v/>
      </c>
      <c r="P168" s="17">
        <f>IF($A168="","",MAX(0,$O168-$F168))</f>
        <v/>
      </c>
      <c r="Q168" s="17">
        <f>IF($A168="","",IF(OR($J168="ARSIV",$J168="RED"),0,IF($C168="","",raporTarihi-$C168)))</f>
        <v/>
      </c>
      <c r="R168" s="17">
        <f>IF($A168="","",IF($Q168="","",IF($Q168&lt;=pvf_kovaEsik1,"0-7",IF($Q168&lt;=pvf_kovaEsik2,"8-30",IF($Q168&lt;=pvf_kovaEsik3,"31-60","60+")))))</f>
        <v/>
      </c>
      <c r="S168" s="17">
        <f>IF($A168="","",IF($B168="","YETİM",IF(COUNTIF(tblPersonel[PersonelId],$B168)=0,"YETİM","")))</f>
        <v/>
      </c>
      <c r="T168" s="17">
        <f>IF(OR($A168="",$I168=""),"",IF(OR($I168&amp;"|"&amp;$J168="",COUNTIF(ListeIzinliGecis,$I168&amp;"|"&amp;$J168)&gt;0),"","GEÇERSİZ GEÇİŞ"))</f>
        <v/>
      </c>
      <c r="U168" s="17">
        <f>IF($A168="","",IF(OR($P168="",$G168=""),"",IF(ABS($G168-$P168)&gt;zincirTolerans,"ZİNCİR KIRIK","OK")))</f>
        <v/>
      </c>
      <c r="V168" s="17">
        <f>IF($A168="","",1)</f>
        <v/>
      </c>
      <c r="W168" s="17">
        <f>IF($A168="","",$G168*$N168*pvf_mesaiKatsayi)</f>
        <v/>
      </c>
    </row>
    <row r="169">
      <c r="A169" s="15" t="n"/>
      <c r="B169" s="15" t="n"/>
      <c r="C169" s="66" t="n"/>
      <c r="D169" s="16" t="n"/>
      <c r="E169" s="16" t="n"/>
      <c r="F169" s="16" t="n"/>
      <c r="G169" s="16" t="n"/>
      <c r="H169" s="15" t="n"/>
      <c r="I169" s="15" t="n"/>
      <c r="J169" s="15" t="n"/>
      <c r="K169" s="15" t="n"/>
      <c r="L169" s="15" t="n"/>
      <c r="M169" s="15" t="n"/>
      <c r="N169" s="67" t="n"/>
      <c r="O169" s="17">
        <f>IF($A169="","",MAX(0,$E169-$D169))</f>
        <v/>
      </c>
      <c r="P169" s="17">
        <f>IF($A169="","",MAX(0,$O169-$F169))</f>
        <v/>
      </c>
      <c r="Q169" s="17">
        <f>IF($A169="","",IF(OR($J169="ARSIV",$J169="RED"),0,IF($C169="","",raporTarihi-$C169)))</f>
        <v/>
      </c>
      <c r="R169" s="17">
        <f>IF($A169="","",IF($Q169="","",IF($Q169&lt;=pvf_kovaEsik1,"0-7",IF($Q169&lt;=pvf_kovaEsik2,"8-30",IF($Q169&lt;=pvf_kovaEsik3,"31-60","60+")))))</f>
        <v/>
      </c>
      <c r="S169" s="17">
        <f>IF($A169="","",IF($B169="","YETİM",IF(COUNTIF(tblPersonel[PersonelId],$B169)=0,"YETİM","")))</f>
        <v/>
      </c>
      <c r="T169" s="17">
        <f>IF(OR($A169="",$I169=""),"",IF(OR($I169&amp;"|"&amp;$J169="",COUNTIF(ListeIzinliGecis,$I169&amp;"|"&amp;$J169)&gt;0),"","GEÇERSİZ GEÇİŞ"))</f>
        <v/>
      </c>
      <c r="U169" s="17">
        <f>IF($A169="","",IF(OR($P169="",$G169=""),"",IF(ABS($G169-$P169)&gt;zincirTolerans,"ZİNCİR KIRIK","OK")))</f>
        <v/>
      </c>
      <c r="V169" s="17">
        <f>IF($A169="","",1)</f>
        <v/>
      </c>
      <c r="W169" s="17">
        <f>IF($A169="","",$G169*$N169*pvf_mesaiKatsayi)</f>
        <v/>
      </c>
    </row>
    <row r="170">
      <c r="A170" s="15" t="n"/>
      <c r="B170" s="15" t="n"/>
      <c r="C170" s="66" t="n"/>
      <c r="D170" s="16" t="n"/>
      <c r="E170" s="16" t="n"/>
      <c r="F170" s="16" t="n"/>
      <c r="G170" s="16" t="n"/>
      <c r="H170" s="15" t="n"/>
      <c r="I170" s="15" t="n"/>
      <c r="J170" s="15" t="n"/>
      <c r="K170" s="15" t="n"/>
      <c r="L170" s="15" t="n"/>
      <c r="M170" s="15" t="n"/>
      <c r="N170" s="67" t="n"/>
      <c r="O170" s="17">
        <f>IF($A170="","",MAX(0,$E170-$D170))</f>
        <v/>
      </c>
      <c r="P170" s="17">
        <f>IF($A170="","",MAX(0,$O170-$F170))</f>
        <v/>
      </c>
      <c r="Q170" s="17">
        <f>IF($A170="","",IF(OR($J170="ARSIV",$J170="RED"),0,IF($C170="","",raporTarihi-$C170)))</f>
        <v/>
      </c>
      <c r="R170" s="17">
        <f>IF($A170="","",IF($Q170="","",IF($Q170&lt;=pvf_kovaEsik1,"0-7",IF($Q170&lt;=pvf_kovaEsik2,"8-30",IF($Q170&lt;=pvf_kovaEsik3,"31-60","60+")))))</f>
        <v/>
      </c>
      <c r="S170" s="17">
        <f>IF($A170="","",IF($B170="","YETİM",IF(COUNTIF(tblPersonel[PersonelId],$B170)=0,"YETİM","")))</f>
        <v/>
      </c>
      <c r="T170" s="17">
        <f>IF(OR($A170="",$I170=""),"",IF(OR($I170&amp;"|"&amp;$J170="",COUNTIF(ListeIzinliGecis,$I170&amp;"|"&amp;$J170)&gt;0),"","GEÇERSİZ GEÇİŞ"))</f>
        <v/>
      </c>
      <c r="U170" s="17">
        <f>IF($A170="","",IF(OR($P170="",$G170=""),"",IF(ABS($G170-$P170)&gt;zincirTolerans,"ZİNCİR KIRIK","OK")))</f>
        <v/>
      </c>
      <c r="V170" s="17">
        <f>IF($A170="","",1)</f>
        <v/>
      </c>
      <c r="W170" s="17">
        <f>IF($A170="","",$G170*$N170*pvf_mesaiKatsayi)</f>
        <v/>
      </c>
    </row>
    <row r="171">
      <c r="A171" s="15" t="n"/>
      <c r="B171" s="15" t="n"/>
      <c r="C171" s="66" t="n"/>
      <c r="D171" s="16" t="n"/>
      <c r="E171" s="16" t="n"/>
      <c r="F171" s="16" t="n"/>
      <c r="G171" s="16" t="n"/>
      <c r="H171" s="15" t="n"/>
      <c r="I171" s="15" t="n"/>
      <c r="J171" s="15" t="n"/>
      <c r="K171" s="15" t="n"/>
      <c r="L171" s="15" t="n"/>
      <c r="M171" s="15" t="n"/>
      <c r="N171" s="67" t="n"/>
      <c r="O171" s="17">
        <f>IF($A171="","",MAX(0,$E171-$D171))</f>
        <v/>
      </c>
      <c r="P171" s="17">
        <f>IF($A171="","",MAX(0,$O171-$F171))</f>
        <v/>
      </c>
      <c r="Q171" s="17">
        <f>IF($A171="","",IF(OR($J171="ARSIV",$J171="RED"),0,IF($C171="","",raporTarihi-$C171)))</f>
        <v/>
      </c>
      <c r="R171" s="17">
        <f>IF($A171="","",IF($Q171="","",IF($Q171&lt;=pvf_kovaEsik1,"0-7",IF($Q171&lt;=pvf_kovaEsik2,"8-30",IF($Q171&lt;=pvf_kovaEsik3,"31-60","60+")))))</f>
        <v/>
      </c>
      <c r="S171" s="17">
        <f>IF($A171="","",IF($B171="","YETİM",IF(COUNTIF(tblPersonel[PersonelId],$B171)=0,"YETİM","")))</f>
        <v/>
      </c>
      <c r="T171" s="17">
        <f>IF(OR($A171="",$I171=""),"",IF(OR($I171&amp;"|"&amp;$J171="",COUNTIF(ListeIzinliGecis,$I171&amp;"|"&amp;$J171)&gt;0),"","GEÇERSİZ GEÇİŞ"))</f>
        <v/>
      </c>
      <c r="U171" s="17">
        <f>IF($A171="","",IF(OR($P171="",$G171=""),"",IF(ABS($G171-$P171)&gt;zincirTolerans,"ZİNCİR KIRIK","OK")))</f>
        <v/>
      </c>
      <c r="V171" s="17">
        <f>IF($A171="","",1)</f>
        <v/>
      </c>
      <c r="W171" s="17">
        <f>IF($A171="","",$G171*$N171*pvf_mesaiKatsayi)</f>
        <v/>
      </c>
    </row>
    <row r="172">
      <c r="A172" s="15" t="n"/>
      <c r="B172" s="15" t="n"/>
      <c r="C172" s="66" t="n"/>
      <c r="D172" s="16" t="n"/>
      <c r="E172" s="16" t="n"/>
      <c r="F172" s="16" t="n"/>
      <c r="G172" s="16" t="n"/>
      <c r="H172" s="15" t="n"/>
      <c r="I172" s="15" t="n"/>
      <c r="J172" s="15" t="n"/>
      <c r="K172" s="15" t="n"/>
      <c r="L172" s="15" t="n"/>
      <c r="M172" s="15" t="n"/>
      <c r="N172" s="67" t="n"/>
      <c r="O172" s="17">
        <f>IF($A172="","",MAX(0,$E172-$D172))</f>
        <v/>
      </c>
      <c r="P172" s="17">
        <f>IF($A172="","",MAX(0,$O172-$F172))</f>
        <v/>
      </c>
      <c r="Q172" s="17">
        <f>IF($A172="","",IF(OR($J172="ARSIV",$J172="RED"),0,IF($C172="","",raporTarihi-$C172)))</f>
        <v/>
      </c>
      <c r="R172" s="17">
        <f>IF($A172="","",IF($Q172="","",IF($Q172&lt;=pvf_kovaEsik1,"0-7",IF($Q172&lt;=pvf_kovaEsik2,"8-30",IF($Q172&lt;=pvf_kovaEsik3,"31-60","60+")))))</f>
        <v/>
      </c>
      <c r="S172" s="17">
        <f>IF($A172="","",IF($B172="","YETİM",IF(COUNTIF(tblPersonel[PersonelId],$B172)=0,"YETİM","")))</f>
        <v/>
      </c>
      <c r="T172" s="17">
        <f>IF(OR($A172="",$I172=""),"",IF(OR($I172&amp;"|"&amp;$J172="",COUNTIF(ListeIzinliGecis,$I172&amp;"|"&amp;$J172)&gt;0),"","GEÇERSİZ GEÇİŞ"))</f>
        <v/>
      </c>
      <c r="U172" s="17">
        <f>IF($A172="","",IF(OR($P172="",$G172=""),"",IF(ABS($G172-$P172)&gt;zincirTolerans,"ZİNCİR KIRIK","OK")))</f>
        <v/>
      </c>
      <c r="V172" s="17">
        <f>IF($A172="","",1)</f>
        <v/>
      </c>
      <c r="W172" s="17">
        <f>IF($A172="","",$G172*$N172*pvf_mesaiKatsayi)</f>
        <v/>
      </c>
    </row>
    <row r="173">
      <c r="A173" s="15" t="n"/>
      <c r="B173" s="15" t="n"/>
      <c r="C173" s="66" t="n"/>
      <c r="D173" s="16" t="n"/>
      <c r="E173" s="16" t="n"/>
      <c r="F173" s="16" t="n"/>
      <c r="G173" s="16" t="n"/>
      <c r="H173" s="15" t="n"/>
      <c r="I173" s="15" t="n"/>
      <c r="J173" s="15" t="n"/>
      <c r="K173" s="15" t="n"/>
      <c r="L173" s="15" t="n"/>
      <c r="M173" s="15" t="n"/>
      <c r="N173" s="67" t="n"/>
      <c r="O173" s="17">
        <f>IF($A173="","",MAX(0,$E173-$D173))</f>
        <v/>
      </c>
      <c r="P173" s="17">
        <f>IF($A173="","",MAX(0,$O173-$F173))</f>
        <v/>
      </c>
      <c r="Q173" s="17">
        <f>IF($A173="","",IF(OR($J173="ARSIV",$J173="RED"),0,IF($C173="","",raporTarihi-$C173)))</f>
        <v/>
      </c>
      <c r="R173" s="17">
        <f>IF($A173="","",IF($Q173="","",IF($Q173&lt;=pvf_kovaEsik1,"0-7",IF($Q173&lt;=pvf_kovaEsik2,"8-30",IF($Q173&lt;=pvf_kovaEsik3,"31-60","60+")))))</f>
        <v/>
      </c>
      <c r="S173" s="17">
        <f>IF($A173="","",IF($B173="","YETİM",IF(COUNTIF(tblPersonel[PersonelId],$B173)=0,"YETİM","")))</f>
        <v/>
      </c>
      <c r="T173" s="17">
        <f>IF(OR($A173="",$I173=""),"",IF(OR($I173&amp;"|"&amp;$J173="",COUNTIF(ListeIzinliGecis,$I173&amp;"|"&amp;$J173)&gt;0),"","GEÇERSİZ GEÇİŞ"))</f>
        <v/>
      </c>
      <c r="U173" s="17">
        <f>IF($A173="","",IF(OR($P173="",$G173=""),"",IF(ABS($G173-$P173)&gt;zincirTolerans,"ZİNCİR KIRIK","OK")))</f>
        <v/>
      </c>
      <c r="V173" s="17">
        <f>IF($A173="","",1)</f>
        <v/>
      </c>
      <c r="W173" s="17">
        <f>IF($A173="","",$G173*$N173*pvf_mesaiKatsayi)</f>
        <v/>
      </c>
    </row>
    <row r="174">
      <c r="A174" s="15" t="n"/>
      <c r="B174" s="15" t="n"/>
      <c r="C174" s="66" t="n"/>
      <c r="D174" s="16" t="n"/>
      <c r="E174" s="16" t="n"/>
      <c r="F174" s="16" t="n"/>
      <c r="G174" s="16" t="n"/>
      <c r="H174" s="15" t="n"/>
      <c r="I174" s="15" t="n"/>
      <c r="J174" s="15" t="n"/>
      <c r="K174" s="15" t="n"/>
      <c r="L174" s="15" t="n"/>
      <c r="M174" s="15" t="n"/>
      <c r="N174" s="67" t="n"/>
      <c r="O174" s="17">
        <f>IF($A174="","",MAX(0,$E174-$D174))</f>
        <v/>
      </c>
      <c r="P174" s="17">
        <f>IF($A174="","",MAX(0,$O174-$F174))</f>
        <v/>
      </c>
      <c r="Q174" s="17">
        <f>IF($A174="","",IF(OR($J174="ARSIV",$J174="RED"),0,IF($C174="","",raporTarihi-$C174)))</f>
        <v/>
      </c>
      <c r="R174" s="17">
        <f>IF($A174="","",IF($Q174="","",IF($Q174&lt;=pvf_kovaEsik1,"0-7",IF($Q174&lt;=pvf_kovaEsik2,"8-30",IF($Q174&lt;=pvf_kovaEsik3,"31-60","60+")))))</f>
        <v/>
      </c>
      <c r="S174" s="17">
        <f>IF($A174="","",IF($B174="","YETİM",IF(COUNTIF(tblPersonel[PersonelId],$B174)=0,"YETİM","")))</f>
        <v/>
      </c>
      <c r="T174" s="17">
        <f>IF(OR($A174="",$I174=""),"",IF(OR($I174&amp;"|"&amp;$J174="",COUNTIF(ListeIzinliGecis,$I174&amp;"|"&amp;$J174)&gt;0),"","GEÇERSİZ GEÇİŞ"))</f>
        <v/>
      </c>
      <c r="U174" s="17">
        <f>IF($A174="","",IF(OR($P174="",$G174=""),"",IF(ABS($G174-$P174)&gt;zincirTolerans,"ZİNCİR KIRIK","OK")))</f>
        <v/>
      </c>
      <c r="V174" s="17">
        <f>IF($A174="","",1)</f>
        <v/>
      </c>
      <c r="W174" s="17">
        <f>IF($A174="","",$G174*$N174*pvf_mesaiKatsayi)</f>
        <v/>
      </c>
    </row>
    <row r="175">
      <c r="A175" s="15" t="n"/>
      <c r="B175" s="15" t="n"/>
      <c r="C175" s="66" t="n"/>
      <c r="D175" s="16" t="n"/>
      <c r="E175" s="16" t="n"/>
      <c r="F175" s="16" t="n"/>
      <c r="G175" s="16" t="n"/>
      <c r="H175" s="15" t="n"/>
      <c r="I175" s="15" t="n"/>
      <c r="J175" s="15" t="n"/>
      <c r="K175" s="15" t="n"/>
      <c r="L175" s="15" t="n"/>
      <c r="M175" s="15" t="n"/>
      <c r="N175" s="67" t="n"/>
      <c r="O175" s="17">
        <f>IF($A175="","",MAX(0,$E175-$D175))</f>
        <v/>
      </c>
      <c r="P175" s="17">
        <f>IF($A175="","",MAX(0,$O175-$F175))</f>
        <v/>
      </c>
      <c r="Q175" s="17">
        <f>IF($A175="","",IF(OR($J175="ARSIV",$J175="RED"),0,IF($C175="","",raporTarihi-$C175)))</f>
        <v/>
      </c>
      <c r="R175" s="17">
        <f>IF($A175="","",IF($Q175="","",IF($Q175&lt;=pvf_kovaEsik1,"0-7",IF($Q175&lt;=pvf_kovaEsik2,"8-30",IF($Q175&lt;=pvf_kovaEsik3,"31-60","60+")))))</f>
        <v/>
      </c>
      <c r="S175" s="17">
        <f>IF($A175="","",IF($B175="","YETİM",IF(COUNTIF(tblPersonel[PersonelId],$B175)=0,"YETİM","")))</f>
        <v/>
      </c>
      <c r="T175" s="17">
        <f>IF(OR($A175="",$I175=""),"",IF(OR($I175&amp;"|"&amp;$J175="",COUNTIF(ListeIzinliGecis,$I175&amp;"|"&amp;$J175)&gt;0),"","GEÇERSİZ GEÇİŞ"))</f>
        <v/>
      </c>
      <c r="U175" s="17">
        <f>IF($A175="","",IF(OR($P175="",$G175=""),"",IF(ABS($G175-$P175)&gt;zincirTolerans,"ZİNCİR KIRIK","OK")))</f>
        <v/>
      </c>
      <c r="V175" s="17">
        <f>IF($A175="","",1)</f>
        <v/>
      </c>
      <c r="W175" s="17">
        <f>IF($A175="","",$G175*$N175*pvf_mesaiKatsayi)</f>
        <v/>
      </c>
    </row>
    <row r="176">
      <c r="A176" s="15" t="n"/>
      <c r="B176" s="15" t="n"/>
      <c r="C176" s="66" t="n"/>
      <c r="D176" s="16" t="n"/>
      <c r="E176" s="16" t="n"/>
      <c r="F176" s="16" t="n"/>
      <c r="G176" s="16" t="n"/>
      <c r="H176" s="15" t="n"/>
      <c r="I176" s="15" t="n"/>
      <c r="J176" s="15" t="n"/>
      <c r="K176" s="15" t="n"/>
      <c r="L176" s="15" t="n"/>
      <c r="M176" s="15" t="n"/>
      <c r="N176" s="67" t="n"/>
      <c r="O176" s="17">
        <f>IF($A176="","",MAX(0,$E176-$D176))</f>
        <v/>
      </c>
      <c r="P176" s="17">
        <f>IF($A176="","",MAX(0,$O176-$F176))</f>
        <v/>
      </c>
      <c r="Q176" s="17">
        <f>IF($A176="","",IF(OR($J176="ARSIV",$J176="RED"),0,IF($C176="","",raporTarihi-$C176)))</f>
        <v/>
      </c>
      <c r="R176" s="17">
        <f>IF($A176="","",IF($Q176="","",IF($Q176&lt;=pvf_kovaEsik1,"0-7",IF($Q176&lt;=pvf_kovaEsik2,"8-30",IF($Q176&lt;=pvf_kovaEsik3,"31-60","60+")))))</f>
        <v/>
      </c>
      <c r="S176" s="17">
        <f>IF($A176="","",IF($B176="","YETİM",IF(COUNTIF(tblPersonel[PersonelId],$B176)=0,"YETİM","")))</f>
        <v/>
      </c>
      <c r="T176" s="17">
        <f>IF(OR($A176="",$I176=""),"",IF(OR($I176&amp;"|"&amp;$J176="",COUNTIF(ListeIzinliGecis,$I176&amp;"|"&amp;$J176)&gt;0),"","GEÇERSİZ GEÇİŞ"))</f>
        <v/>
      </c>
      <c r="U176" s="17">
        <f>IF($A176="","",IF(OR($P176="",$G176=""),"",IF(ABS($G176-$P176)&gt;zincirTolerans,"ZİNCİR KIRIK","OK")))</f>
        <v/>
      </c>
      <c r="V176" s="17">
        <f>IF($A176="","",1)</f>
        <v/>
      </c>
      <c r="W176" s="17">
        <f>IF($A176="","",$G176*$N176*pvf_mesaiKatsayi)</f>
        <v/>
      </c>
    </row>
    <row r="177">
      <c r="A177" s="15" t="n"/>
      <c r="B177" s="15" t="n"/>
      <c r="C177" s="66" t="n"/>
      <c r="D177" s="16" t="n"/>
      <c r="E177" s="16" t="n"/>
      <c r="F177" s="16" t="n"/>
      <c r="G177" s="16" t="n"/>
      <c r="H177" s="15" t="n"/>
      <c r="I177" s="15" t="n"/>
      <c r="J177" s="15" t="n"/>
      <c r="K177" s="15" t="n"/>
      <c r="L177" s="15" t="n"/>
      <c r="M177" s="15" t="n"/>
      <c r="N177" s="67" t="n"/>
      <c r="O177" s="17">
        <f>IF($A177="","",MAX(0,$E177-$D177))</f>
        <v/>
      </c>
      <c r="P177" s="17">
        <f>IF($A177="","",MAX(0,$O177-$F177))</f>
        <v/>
      </c>
      <c r="Q177" s="17">
        <f>IF($A177="","",IF(OR($J177="ARSIV",$J177="RED"),0,IF($C177="","",raporTarihi-$C177)))</f>
        <v/>
      </c>
      <c r="R177" s="17">
        <f>IF($A177="","",IF($Q177="","",IF($Q177&lt;=pvf_kovaEsik1,"0-7",IF($Q177&lt;=pvf_kovaEsik2,"8-30",IF($Q177&lt;=pvf_kovaEsik3,"31-60","60+")))))</f>
        <v/>
      </c>
      <c r="S177" s="17">
        <f>IF($A177="","",IF($B177="","YETİM",IF(COUNTIF(tblPersonel[PersonelId],$B177)=0,"YETİM","")))</f>
        <v/>
      </c>
      <c r="T177" s="17">
        <f>IF(OR($A177="",$I177=""),"",IF(OR($I177&amp;"|"&amp;$J177="",COUNTIF(ListeIzinliGecis,$I177&amp;"|"&amp;$J177)&gt;0),"","GEÇERSİZ GEÇİŞ"))</f>
        <v/>
      </c>
      <c r="U177" s="17">
        <f>IF($A177="","",IF(OR($P177="",$G177=""),"",IF(ABS($G177-$P177)&gt;zincirTolerans,"ZİNCİR KIRIK","OK")))</f>
        <v/>
      </c>
      <c r="V177" s="17">
        <f>IF($A177="","",1)</f>
        <v/>
      </c>
      <c r="W177" s="17">
        <f>IF($A177="","",$G177*$N177*pvf_mesaiKatsayi)</f>
        <v/>
      </c>
    </row>
    <row r="178">
      <c r="A178" s="15" t="n"/>
      <c r="B178" s="15" t="n"/>
      <c r="C178" s="66" t="n"/>
      <c r="D178" s="16" t="n"/>
      <c r="E178" s="16" t="n"/>
      <c r="F178" s="16" t="n"/>
      <c r="G178" s="16" t="n"/>
      <c r="H178" s="15" t="n"/>
      <c r="I178" s="15" t="n"/>
      <c r="J178" s="15" t="n"/>
      <c r="K178" s="15" t="n"/>
      <c r="L178" s="15" t="n"/>
      <c r="M178" s="15" t="n"/>
      <c r="N178" s="67" t="n"/>
      <c r="O178" s="17">
        <f>IF($A178="","",MAX(0,$E178-$D178))</f>
        <v/>
      </c>
      <c r="P178" s="17">
        <f>IF($A178="","",MAX(0,$O178-$F178))</f>
        <v/>
      </c>
      <c r="Q178" s="17">
        <f>IF($A178="","",IF(OR($J178="ARSIV",$J178="RED"),0,IF($C178="","",raporTarihi-$C178)))</f>
        <v/>
      </c>
      <c r="R178" s="17">
        <f>IF($A178="","",IF($Q178="","",IF($Q178&lt;=pvf_kovaEsik1,"0-7",IF($Q178&lt;=pvf_kovaEsik2,"8-30",IF($Q178&lt;=pvf_kovaEsik3,"31-60","60+")))))</f>
        <v/>
      </c>
      <c r="S178" s="17">
        <f>IF($A178="","",IF($B178="","YETİM",IF(COUNTIF(tblPersonel[PersonelId],$B178)=0,"YETİM","")))</f>
        <v/>
      </c>
      <c r="T178" s="17">
        <f>IF(OR($A178="",$I178=""),"",IF(OR($I178&amp;"|"&amp;$J178="",COUNTIF(ListeIzinliGecis,$I178&amp;"|"&amp;$J178)&gt;0),"","GEÇERSİZ GEÇİŞ"))</f>
        <v/>
      </c>
      <c r="U178" s="17">
        <f>IF($A178="","",IF(OR($P178="",$G178=""),"",IF(ABS($G178-$P178)&gt;zincirTolerans,"ZİNCİR KIRIK","OK")))</f>
        <v/>
      </c>
      <c r="V178" s="17">
        <f>IF($A178="","",1)</f>
        <v/>
      </c>
      <c r="W178" s="17">
        <f>IF($A178="","",$G178*$N178*pvf_mesaiKatsayi)</f>
        <v/>
      </c>
    </row>
    <row r="179">
      <c r="A179" s="15" t="n"/>
      <c r="B179" s="15" t="n"/>
      <c r="C179" s="66" t="n"/>
      <c r="D179" s="16" t="n"/>
      <c r="E179" s="16" t="n"/>
      <c r="F179" s="16" t="n"/>
      <c r="G179" s="16" t="n"/>
      <c r="H179" s="15" t="n"/>
      <c r="I179" s="15" t="n"/>
      <c r="J179" s="15" t="n"/>
      <c r="K179" s="15" t="n"/>
      <c r="L179" s="15" t="n"/>
      <c r="M179" s="15" t="n"/>
      <c r="N179" s="67" t="n"/>
      <c r="O179" s="17">
        <f>IF($A179="","",MAX(0,$E179-$D179))</f>
        <v/>
      </c>
      <c r="P179" s="17">
        <f>IF($A179="","",MAX(0,$O179-$F179))</f>
        <v/>
      </c>
      <c r="Q179" s="17">
        <f>IF($A179="","",IF(OR($J179="ARSIV",$J179="RED"),0,IF($C179="","",raporTarihi-$C179)))</f>
        <v/>
      </c>
      <c r="R179" s="17">
        <f>IF($A179="","",IF($Q179="","",IF($Q179&lt;=pvf_kovaEsik1,"0-7",IF($Q179&lt;=pvf_kovaEsik2,"8-30",IF($Q179&lt;=pvf_kovaEsik3,"31-60","60+")))))</f>
        <v/>
      </c>
      <c r="S179" s="17">
        <f>IF($A179="","",IF($B179="","YETİM",IF(COUNTIF(tblPersonel[PersonelId],$B179)=0,"YETİM","")))</f>
        <v/>
      </c>
      <c r="T179" s="17">
        <f>IF(OR($A179="",$I179=""),"",IF(OR($I179&amp;"|"&amp;$J179="",COUNTIF(ListeIzinliGecis,$I179&amp;"|"&amp;$J179)&gt;0),"","GEÇERSİZ GEÇİŞ"))</f>
        <v/>
      </c>
      <c r="U179" s="17">
        <f>IF($A179="","",IF(OR($P179="",$G179=""),"",IF(ABS($G179-$P179)&gt;zincirTolerans,"ZİNCİR KIRIK","OK")))</f>
        <v/>
      </c>
      <c r="V179" s="17">
        <f>IF($A179="","",1)</f>
        <v/>
      </c>
      <c r="W179" s="17">
        <f>IF($A179="","",$G179*$N179*pvf_mesaiKatsayi)</f>
        <v/>
      </c>
    </row>
    <row r="180">
      <c r="A180" s="15" t="n"/>
      <c r="B180" s="15" t="n"/>
      <c r="C180" s="66" t="n"/>
      <c r="D180" s="16" t="n"/>
      <c r="E180" s="16" t="n"/>
      <c r="F180" s="16" t="n"/>
      <c r="G180" s="16" t="n"/>
      <c r="H180" s="15" t="n"/>
      <c r="I180" s="15" t="n"/>
      <c r="J180" s="15" t="n"/>
      <c r="K180" s="15" t="n"/>
      <c r="L180" s="15" t="n"/>
      <c r="M180" s="15" t="n"/>
      <c r="N180" s="67" t="n"/>
      <c r="O180" s="17">
        <f>IF($A180="","",MAX(0,$E180-$D180))</f>
        <v/>
      </c>
      <c r="P180" s="17">
        <f>IF($A180="","",MAX(0,$O180-$F180))</f>
        <v/>
      </c>
      <c r="Q180" s="17">
        <f>IF($A180="","",IF(OR($J180="ARSIV",$J180="RED"),0,IF($C180="","",raporTarihi-$C180)))</f>
        <v/>
      </c>
      <c r="R180" s="17">
        <f>IF($A180="","",IF($Q180="","",IF($Q180&lt;=pvf_kovaEsik1,"0-7",IF($Q180&lt;=pvf_kovaEsik2,"8-30",IF($Q180&lt;=pvf_kovaEsik3,"31-60","60+")))))</f>
        <v/>
      </c>
      <c r="S180" s="17">
        <f>IF($A180="","",IF($B180="","YETİM",IF(COUNTIF(tblPersonel[PersonelId],$B180)=0,"YETİM","")))</f>
        <v/>
      </c>
      <c r="T180" s="17">
        <f>IF(OR($A180="",$I180=""),"",IF(OR($I180&amp;"|"&amp;$J180="",COUNTIF(ListeIzinliGecis,$I180&amp;"|"&amp;$J180)&gt;0),"","GEÇERSİZ GEÇİŞ"))</f>
        <v/>
      </c>
      <c r="U180" s="17">
        <f>IF($A180="","",IF(OR($P180="",$G180=""),"",IF(ABS($G180-$P180)&gt;zincirTolerans,"ZİNCİR KIRIK","OK")))</f>
        <v/>
      </c>
      <c r="V180" s="17">
        <f>IF($A180="","",1)</f>
        <v/>
      </c>
      <c r="W180" s="17">
        <f>IF($A180="","",$G180*$N180*pvf_mesaiKatsayi)</f>
        <v/>
      </c>
    </row>
    <row r="181">
      <c r="A181" s="15" t="n"/>
      <c r="B181" s="15" t="n"/>
      <c r="C181" s="66" t="n"/>
      <c r="D181" s="16" t="n"/>
      <c r="E181" s="16" t="n"/>
      <c r="F181" s="16" t="n"/>
      <c r="G181" s="16" t="n"/>
      <c r="H181" s="15" t="n"/>
      <c r="I181" s="15" t="n"/>
      <c r="J181" s="15" t="n"/>
      <c r="K181" s="15" t="n"/>
      <c r="L181" s="15" t="n"/>
      <c r="M181" s="15" t="n"/>
      <c r="N181" s="67" t="n"/>
      <c r="O181" s="17">
        <f>IF($A181="","",MAX(0,$E181-$D181))</f>
        <v/>
      </c>
      <c r="P181" s="17">
        <f>IF($A181="","",MAX(0,$O181-$F181))</f>
        <v/>
      </c>
      <c r="Q181" s="17">
        <f>IF($A181="","",IF(OR($J181="ARSIV",$J181="RED"),0,IF($C181="","",raporTarihi-$C181)))</f>
        <v/>
      </c>
      <c r="R181" s="17">
        <f>IF($A181="","",IF($Q181="","",IF($Q181&lt;=pvf_kovaEsik1,"0-7",IF($Q181&lt;=pvf_kovaEsik2,"8-30",IF($Q181&lt;=pvf_kovaEsik3,"31-60","60+")))))</f>
        <v/>
      </c>
      <c r="S181" s="17">
        <f>IF($A181="","",IF($B181="","YETİM",IF(COUNTIF(tblPersonel[PersonelId],$B181)=0,"YETİM","")))</f>
        <v/>
      </c>
      <c r="T181" s="17">
        <f>IF(OR($A181="",$I181=""),"",IF(OR($I181&amp;"|"&amp;$J181="",COUNTIF(ListeIzinliGecis,$I181&amp;"|"&amp;$J181)&gt;0),"","GEÇERSİZ GEÇİŞ"))</f>
        <v/>
      </c>
      <c r="U181" s="17">
        <f>IF($A181="","",IF(OR($P181="",$G181=""),"",IF(ABS($G181-$P181)&gt;zincirTolerans,"ZİNCİR KIRIK","OK")))</f>
        <v/>
      </c>
      <c r="V181" s="17">
        <f>IF($A181="","",1)</f>
        <v/>
      </c>
      <c r="W181" s="17">
        <f>IF($A181="","",$G181*$N181*pvf_mesaiKatsayi)</f>
        <v/>
      </c>
    </row>
    <row r="182">
      <c r="A182" s="15" t="n"/>
      <c r="B182" s="15" t="n"/>
      <c r="C182" s="66" t="n"/>
      <c r="D182" s="16" t="n"/>
      <c r="E182" s="16" t="n"/>
      <c r="F182" s="16" t="n"/>
      <c r="G182" s="16" t="n"/>
      <c r="H182" s="15" t="n"/>
      <c r="I182" s="15" t="n"/>
      <c r="J182" s="15" t="n"/>
      <c r="K182" s="15" t="n"/>
      <c r="L182" s="15" t="n"/>
      <c r="M182" s="15" t="n"/>
      <c r="N182" s="67" t="n"/>
      <c r="O182" s="17">
        <f>IF($A182="","",MAX(0,$E182-$D182))</f>
        <v/>
      </c>
      <c r="P182" s="17">
        <f>IF($A182="","",MAX(0,$O182-$F182))</f>
        <v/>
      </c>
      <c r="Q182" s="17">
        <f>IF($A182="","",IF(OR($J182="ARSIV",$J182="RED"),0,IF($C182="","",raporTarihi-$C182)))</f>
        <v/>
      </c>
      <c r="R182" s="17">
        <f>IF($A182="","",IF($Q182="","",IF($Q182&lt;=pvf_kovaEsik1,"0-7",IF($Q182&lt;=pvf_kovaEsik2,"8-30",IF($Q182&lt;=pvf_kovaEsik3,"31-60","60+")))))</f>
        <v/>
      </c>
      <c r="S182" s="17">
        <f>IF($A182="","",IF($B182="","YETİM",IF(COUNTIF(tblPersonel[PersonelId],$B182)=0,"YETİM","")))</f>
        <v/>
      </c>
      <c r="T182" s="17">
        <f>IF(OR($A182="",$I182=""),"",IF(OR($I182&amp;"|"&amp;$J182="",COUNTIF(ListeIzinliGecis,$I182&amp;"|"&amp;$J182)&gt;0),"","GEÇERSİZ GEÇİŞ"))</f>
        <v/>
      </c>
      <c r="U182" s="17">
        <f>IF($A182="","",IF(OR($P182="",$G182=""),"",IF(ABS($G182-$P182)&gt;zincirTolerans,"ZİNCİR KIRIK","OK")))</f>
        <v/>
      </c>
      <c r="V182" s="17">
        <f>IF($A182="","",1)</f>
        <v/>
      </c>
      <c r="W182" s="17">
        <f>IF($A182="","",$G182*$N182*pvf_mesaiKatsayi)</f>
        <v/>
      </c>
    </row>
    <row r="183">
      <c r="A183" s="15" t="n"/>
      <c r="B183" s="15" t="n"/>
      <c r="C183" s="66" t="n"/>
      <c r="D183" s="16" t="n"/>
      <c r="E183" s="16" t="n"/>
      <c r="F183" s="16" t="n"/>
      <c r="G183" s="16" t="n"/>
      <c r="H183" s="15" t="n"/>
      <c r="I183" s="15" t="n"/>
      <c r="J183" s="15" t="n"/>
      <c r="K183" s="15" t="n"/>
      <c r="L183" s="15" t="n"/>
      <c r="M183" s="15" t="n"/>
      <c r="N183" s="67" t="n"/>
      <c r="O183" s="17">
        <f>IF($A183="","",MAX(0,$E183-$D183))</f>
        <v/>
      </c>
      <c r="P183" s="17">
        <f>IF($A183="","",MAX(0,$O183-$F183))</f>
        <v/>
      </c>
      <c r="Q183" s="17">
        <f>IF($A183="","",IF(OR($J183="ARSIV",$J183="RED"),0,IF($C183="","",raporTarihi-$C183)))</f>
        <v/>
      </c>
      <c r="R183" s="17">
        <f>IF($A183="","",IF($Q183="","",IF($Q183&lt;=pvf_kovaEsik1,"0-7",IF($Q183&lt;=pvf_kovaEsik2,"8-30",IF($Q183&lt;=pvf_kovaEsik3,"31-60","60+")))))</f>
        <v/>
      </c>
      <c r="S183" s="17">
        <f>IF($A183="","",IF($B183="","YETİM",IF(COUNTIF(tblPersonel[PersonelId],$B183)=0,"YETİM","")))</f>
        <v/>
      </c>
      <c r="T183" s="17">
        <f>IF(OR($A183="",$I183=""),"",IF(OR($I183&amp;"|"&amp;$J183="",COUNTIF(ListeIzinliGecis,$I183&amp;"|"&amp;$J183)&gt;0),"","GEÇERSİZ GEÇİŞ"))</f>
        <v/>
      </c>
      <c r="U183" s="17">
        <f>IF($A183="","",IF(OR($P183="",$G183=""),"",IF(ABS($G183-$P183)&gt;zincirTolerans,"ZİNCİR KIRIK","OK")))</f>
        <v/>
      </c>
      <c r="V183" s="17">
        <f>IF($A183="","",1)</f>
        <v/>
      </c>
      <c r="W183" s="17">
        <f>IF($A183="","",$G183*$N183*pvf_mesaiKatsayi)</f>
        <v/>
      </c>
    </row>
    <row r="184">
      <c r="A184" s="15" t="n"/>
      <c r="B184" s="15" t="n"/>
      <c r="C184" s="66" t="n"/>
      <c r="D184" s="16" t="n"/>
      <c r="E184" s="16" t="n"/>
      <c r="F184" s="16" t="n"/>
      <c r="G184" s="16" t="n"/>
      <c r="H184" s="15" t="n"/>
      <c r="I184" s="15" t="n"/>
      <c r="J184" s="15" t="n"/>
      <c r="K184" s="15" t="n"/>
      <c r="L184" s="15" t="n"/>
      <c r="M184" s="15" t="n"/>
      <c r="N184" s="67" t="n"/>
      <c r="O184" s="17">
        <f>IF($A184="","",MAX(0,$E184-$D184))</f>
        <v/>
      </c>
      <c r="P184" s="17">
        <f>IF($A184="","",MAX(0,$O184-$F184))</f>
        <v/>
      </c>
      <c r="Q184" s="17">
        <f>IF($A184="","",IF(OR($J184="ARSIV",$J184="RED"),0,IF($C184="","",raporTarihi-$C184)))</f>
        <v/>
      </c>
      <c r="R184" s="17">
        <f>IF($A184="","",IF($Q184="","",IF($Q184&lt;=pvf_kovaEsik1,"0-7",IF($Q184&lt;=pvf_kovaEsik2,"8-30",IF($Q184&lt;=pvf_kovaEsik3,"31-60","60+")))))</f>
        <v/>
      </c>
      <c r="S184" s="17">
        <f>IF($A184="","",IF($B184="","YETİM",IF(COUNTIF(tblPersonel[PersonelId],$B184)=0,"YETİM","")))</f>
        <v/>
      </c>
      <c r="T184" s="17">
        <f>IF(OR($A184="",$I184=""),"",IF(OR($I184&amp;"|"&amp;$J184="",COUNTIF(ListeIzinliGecis,$I184&amp;"|"&amp;$J184)&gt;0),"","GEÇERSİZ GEÇİŞ"))</f>
        <v/>
      </c>
      <c r="U184" s="17">
        <f>IF($A184="","",IF(OR($P184="",$G184=""),"",IF(ABS($G184-$P184)&gt;zincirTolerans,"ZİNCİR KIRIK","OK")))</f>
        <v/>
      </c>
      <c r="V184" s="17">
        <f>IF($A184="","",1)</f>
        <v/>
      </c>
      <c r="W184" s="17">
        <f>IF($A184="","",$G184*$N184*pvf_mesaiKatsayi)</f>
        <v/>
      </c>
    </row>
    <row r="185">
      <c r="A185" s="15" t="n"/>
      <c r="B185" s="15" t="n"/>
      <c r="C185" s="66" t="n"/>
      <c r="D185" s="16" t="n"/>
      <c r="E185" s="16" t="n"/>
      <c r="F185" s="16" t="n"/>
      <c r="G185" s="16" t="n"/>
      <c r="H185" s="15" t="n"/>
      <c r="I185" s="15" t="n"/>
      <c r="J185" s="15" t="n"/>
      <c r="K185" s="15" t="n"/>
      <c r="L185" s="15" t="n"/>
      <c r="M185" s="15" t="n"/>
      <c r="N185" s="67" t="n"/>
      <c r="O185" s="17">
        <f>IF($A185="","",MAX(0,$E185-$D185))</f>
        <v/>
      </c>
      <c r="P185" s="17">
        <f>IF($A185="","",MAX(0,$O185-$F185))</f>
        <v/>
      </c>
      <c r="Q185" s="17">
        <f>IF($A185="","",IF(OR($J185="ARSIV",$J185="RED"),0,IF($C185="","",raporTarihi-$C185)))</f>
        <v/>
      </c>
      <c r="R185" s="17">
        <f>IF($A185="","",IF($Q185="","",IF($Q185&lt;=pvf_kovaEsik1,"0-7",IF($Q185&lt;=pvf_kovaEsik2,"8-30",IF($Q185&lt;=pvf_kovaEsik3,"31-60","60+")))))</f>
        <v/>
      </c>
      <c r="S185" s="17">
        <f>IF($A185="","",IF($B185="","YETİM",IF(COUNTIF(tblPersonel[PersonelId],$B185)=0,"YETİM","")))</f>
        <v/>
      </c>
      <c r="T185" s="17">
        <f>IF(OR($A185="",$I185=""),"",IF(OR($I185&amp;"|"&amp;$J185="",COUNTIF(ListeIzinliGecis,$I185&amp;"|"&amp;$J185)&gt;0),"","GEÇERSİZ GEÇİŞ"))</f>
        <v/>
      </c>
      <c r="U185" s="17">
        <f>IF($A185="","",IF(OR($P185="",$G185=""),"",IF(ABS($G185-$P185)&gt;zincirTolerans,"ZİNCİR KIRIK","OK")))</f>
        <v/>
      </c>
      <c r="V185" s="17">
        <f>IF($A185="","",1)</f>
        <v/>
      </c>
      <c r="W185" s="17">
        <f>IF($A185="","",$G185*$N185*pvf_mesaiKatsayi)</f>
        <v/>
      </c>
    </row>
    <row r="186">
      <c r="A186" s="15" t="n"/>
      <c r="B186" s="15" t="n"/>
      <c r="C186" s="66" t="n"/>
      <c r="D186" s="16" t="n"/>
      <c r="E186" s="16" t="n"/>
      <c r="F186" s="16" t="n"/>
      <c r="G186" s="16" t="n"/>
      <c r="H186" s="15" t="n"/>
      <c r="I186" s="15" t="n"/>
      <c r="J186" s="15" t="n"/>
      <c r="K186" s="15" t="n"/>
      <c r="L186" s="15" t="n"/>
      <c r="M186" s="15" t="n"/>
      <c r="N186" s="67" t="n"/>
      <c r="O186" s="17">
        <f>IF($A186="","",MAX(0,$E186-$D186))</f>
        <v/>
      </c>
      <c r="P186" s="17">
        <f>IF($A186="","",MAX(0,$O186-$F186))</f>
        <v/>
      </c>
      <c r="Q186" s="17">
        <f>IF($A186="","",IF(OR($J186="ARSIV",$J186="RED"),0,IF($C186="","",raporTarihi-$C186)))</f>
        <v/>
      </c>
      <c r="R186" s="17">
        <f>IF($A186="","",IF($Q186="","",IF($Q186&lt;=pvf_kovaEsik1,"0-7",IF($Q186&lt;=pvf_kovaEsik2,"8-30",IF($Q186&lt;=pvf_kovaEsik3,"31-60","60+")))))</f>
        <v/>
      </c>
      <c r="S186" s="17">
        <f>IF($A186="","",IF($B186="","YETİM",IF(COUNTIF(tblPersonel[PersonelId],$B186)=0,"YETİM","")))</f>
        <v/>
      </c>
      <c r="T186" s="17">
        <f>IF(OR($A186="",$I186=""),"",IF(OR($I186&amp;"|"&amp;$J186="",COUNTIF(ListeIzinliGecis,$I186&amp;"|"&amp;$J186)&gt;0),"","GEÇERSİZ GEÇİŞ"))</f>
        <v/>
      </c>
      <c r="U186" s="17">
        <f>IF($A186="","",IF(OR($P186="",$G186=""),"",IF(ABS($G186-$P186)&gt;zincirTolerans,"ZİNCİR KIRIK","OK")))</f>
        <v/>
      </c>
      <c r="V186" s="17">
        <f>IF($A186="","",1)</f>
        <v/>
      </c>
      <c r="W186" s="17">
        <f>IF($A186="","",$G186*$N186*pvf_mesaiKatsayi)</f>
        <v/>
      </c>
    </row>
    <row r="187">
      <c r="A187" s="15" t="n"/>
      <c r="B187" s="15" t="n"/>
      <c r="C187" s="66" t="n"/>
      <c r="D187" s="16" t="n"/>
      <c r="E187" s="16" t="n"/>
      <c r="F187" s="16" t="n"/>
      <c r="G187" s="16" t="n"/>
      <c r="H187" s="15" t="n"/>
      <c r="I187" s="15" t="n"/>
      <c r="J187" s="15" t="n"/>
      <c r="K187" s="15" t="n"/>
      <c r="L187" s="15" t="n"/>
      <c r="M187" s="15" t="n"/>
      <c r="N187" s="67" t="n"/>
      <c r="O187" s="17">
        <f>IF($A187="","",MAX(0,$E187-$D187))</f>
        <v/>
      </c>
      <c r="P187" s="17">
        <f>IF($A187="","",MAX(0,$O187-$F187))</f>
        <v/>
      </c>
      <c r="Q187" s="17">
        <f>IF($A187="","",IF(OR($J187="ARSIV",$J187="RED"),0,IF($C187="","",raporTarihi-$C187)))</f>
        <v/>
      </c>
      <c r="R187" s="17">
        <f>IF($A187="","",IF($Q187="","",IF($Q187&lt;=pvf_kovaEsik1,"0-7",IF($Q187&lt;=pvf_kovaEsik2,"8-30",IF($Q187&lt;=pvf_kovaEsik3,"31-60","60+")))))</f>
        <v/>
      </c>
      <c r="S187" s="17">
        <f>IF($A187="","",IF($B187="","YETİM",IF(COUNTIF(tblPersonel[PersonelId],$B187)=0,"YETİM","")))</f>
        <v/>
      </c>
      <c r="T187" s="17">
        <f>IF(OR($A187="",$I187=""),"",IF(OR($I187&amp;"|"&amp;$J187="",COUNTIF(ListeIzinliGecis,$I187&amp;"|"&amp;$J187)&gt;0),"","GEÇERSİZ GEÇİŞ"))</f>
        <v/>
      </c>
      <c r="U187" s="17">
        <f>IF($A187="","",IF(OR($P187="",$G187=""),"",IF(ABS($G187-$P187)&gt;zincirTolerans,"ZİNCİR KIRIK","OK")))</f>
        <v/>
      </c>
      <c r="V187" s="17">
        <f>IF($A187="","",1)</f>
        <v/>
      </c>
      <c r="W187" s="17">
        <f>IF($A187="","",$G187*$N187*pvf_mesaiKatsayi)</f>
        <v/>
      </c>
    </row>
    <row r="188">
      <c r="A188" s="15" t="n"/>
      <c r="B188" s="15" t="n"/>
      <c r="C188" s="66" t="n"/>
      <c r="D188" s="16" t="n"/>
      <c r="E188" s="16" t="n"/>
      <c r="F188" s="16" t="n"/>
      <c r="G188" s="16" t="n"/>
      <c r="H188" s="15" t="n"/>
      <c r="I188" s="15" t="n"/>
      <c r="J188" s="15" t="n"/>
      <c r="K188" s="15" t="n"/>
      <c r="L188" s="15" t="n"/>
      <c r="M188" s="15" t="n"/>
      <c r="N188" s="67" t="n"/>
      <c r="O188" s="17">
        <f>IF($A188="","",MAX(0,$E188-$D188))</f>
        <v/>
      </c>
      <c r="P188" s="17">
        <f>IF($A188="","",MAX(0,$O188-$F188))</f>
        <v/>
      </c>
      <c r="Q188" s="17">
        <f>IF($A188="","",IF(OR($J188="ARSIV",$J188="RED"),0,IF($C188="","",raporTarihi-$C188)))</f>
        <v/>
      </c>
      <c r="R188" s="17">
        <f>IF($A188="","",IF($Q188="","",IF($Q188&lt;=pvf_kovaEsik1,"0-7",IF($Q188&lt;=pvf_kovaEsik2,"8-30",IF($Q188&lt;=pvf_kovaEsik3,"31-60","60+")))))</f>
        <v/>
      </c>
      <c r="S188" s="17">
        <f>IF($A188="","",IF($B188="","YETİM",IF(COUNTIF(tblPersonel[PersonelId],$B188)=0,"YETİM","")))</f>
        <v/>
      </c>
      <c r="T188" s="17">
        <f>IF(OR($A188="",$I188=""),"",IF(OR($I188&amp;"|"&amp;$J188="",COUNTIF(ListeIzinliGecis,$I188&amp;"|"&amp;$J188)&gt;0),"","GEÇERSİZ GEÇİŞ"))</f>
        <v/>
      </c>
      <c r="U188" s="17">
        <f>IF($A188="","",IF(OR($P188="",$G188=""),"",IF(ABS($G188-$P188)&gt;zincirTolerans,"ZİNCİR KIRIK","OK")))</f>
        <v/>
      </c>
      <c r="V188" s="17">
        <f>IF($A188="","",1)</f>
        <v/>
      </c>
      <c r="W188" s="17">
        <f>IF($A188="","",$G188*$N188*pvf_mesaiKatsayi)</f>
        <v/>
      </c>
    </row>
    <row r="189">
      <c r="A189" s="15" t="n"/>
      <c r="B189" s="15" t="n"/>
      <c r="C189" s="66" t="n"/>
      <c r="D189" s="16" t="n"/>
      <c r="E189" s="16" t="n"/>
      <c r="F189" s="16" t="n"/>
      <c r="G189" s="16" t="n"/>
      <c r="H189" s="15" t="n"/>
      <c r="I189" s="15" t="n"/>
      <c r="J189" s="15" t="n"/>
      <c r="K189" s="15" t="n"/>
      <c r="L189" s="15" t="n"/>
      <c r="M189" s="15" t="n"/>
      <c r="N189" s="67" t="n"/>
      <c r="O189" s="17">
        <f>IF($A189="","",MAX(0,$E189-$D189))</f>
        <v/>
      </c>
      <c r="P189" s="17">
        <f>IF($A189="","",MAX(0,$O189-$F189))</f>
        <v/>
      </c>
      <c r="Q189" s="17">
        <f>IF($A189="","",IF(OR($J189="ARSIV",$J189="RED"),0,IF($C189="","",raporTarihi-$C189)))</f>
        <v/>
      </c>
      <c r="R189" s="17">
        <f>IF($A189="","",IF($Q189="","",IF($Q189&lt;=pvf_kovaEsik1,"0-7",IF($Q189&lt;=pvf_kovaEsik2,"8-30",IF($Q189&lt;=pvf_kovaEsik3,"31-60","60+")))))</f>
        <v/>
      </c>
      <c r="S189" s="17">
        <f>IF($A189="","",IF($B189="","YETİM",IF(COUNTIF(tblPersonel[PersonelId],$B189)=0,"YETİM","")))</f>
        <v/>
      </c>
      <c r="T189" s="17">
        <f>IF(OR($A189="",$I189=""),"",IF(OR($I189&amp;"|"&amp;$J189="",COUNTIF(ListeIzinliGecis,$I189&amp;"|"&amp;$J189)&gt;0),"","GEÇERSİZ GEÇİŞ"))</f>
        <v/>
      </c>
      <c r="U189" s="17">
        <f>IF($A189="","",IF(OR($P189="",$G189=""),"",IF(ABS($G189-$P189)&gt;zincirTolerans,"ZİNCİR KIRIK","OK")))</f>
        <v/>
      </c>
      <c r="V189" s="17">
        <f>IF($A189="","",1)</f>
        <v/>
      </c>
      <c r="W189" s="17">
        <f>IF($A189="","",$G189*$N189*pvf_mesaiKatsayi)</f>
        <v/>
      </c>
    </row>
    <row r="190">
      <c r="A190" s="15" t="n"/>
      <c r="B190" s="15" t="n"/>
      <c r="C190" s="66" t="n"/>
      <c r="D190" s="16" t="n"/>
      <c r="E190" s="16" t="n"/>
      <c r="F190" s="16" t="n"/>
      <c r="G190" s="16" t="n"/>
      <c r="H190" s="15" t="n"/>
      <c r="I190" s="15" t="n"/>
      <c r="J190" s="15" t="n"/>
      <c r="K190" s="15" t="n"/>
      <c r="L190" s="15" t="n"/>
      <c r="M190" s="15" t="n"/>
      <c r="N190" s="67" t="n"/>
      <c r="O190" s="17">
        <f>IF($A190="","",MAX(0,$E190-$D190))</f>
        <v/>
      </c>
      <c r="P190" s="17">
        <f>IF($A190="","",MAX(0,$O190-$F190))</f>
        <v/>
      </c>
      <c r="Q190" s="17">
        <f>IF($A190="","",IF(OR($J190="ARSIV",$J190="RED"),0,IF($C190="","",raporTarihi-$C190)))</f>
        <v/>
      </c>
      <c r="R190" s="17">
        <f>IF($A190="","",IF($Q190="","",IF($Q190&lt;=pvf_kovaEsik1,"0-7",IF($Q190&lt;=pvf_kovaEsik2,"8-30",IF($Q190&lt;=pvf_kovaEsik3,"31-60","60+")))))</f>
        <v/>
      </c>
      <c r="S190" s="17">
        <f>IF($A190="","",IF($B190="","YETİM",IF(COUNTIF(tblPersonel[PersonelId],$B190)=0,"YETİM","")))</f>
        <v/>
      </c>
      <c r="T190" s="17">
        <f>IF(OR($A190="",$I190=""),"",IF(OR($I190&amp;"|"&amp;$J190="",COUNTIF(ListeIzinliGecis,$I190&amp;"|"&amp;$J190)&gt;0),"","GEÇERSİZ GEÇİŞ"))</f>
        <v/>
      </c>
      <c r="U190" s="17">
        <f>IF($A190="","",IF(OR($P190="",$G190=""),"",IF(ABS($G190-$P190)&gt;zincirTolerans,"ZİNCİR KIRIK","OK")))</f>
        <v/>
      </c>
      <c r="V190" s="17">
        <f>IF($A190="","",1)</f>
        <v/>
      </c>
      <c r="W190" s="17">
        <f>IF($A190="","",$G190*$N190*pvf_mesaiKatsayi)</f>
        <v/>
      </c>
    </row>
    <row r="191">
      <c r="A191" s="15" t="n"/>
      <c r="B191" s="15" t="n"/>
      <c r="C191" s="66" t="n"/>
      <c r="D191" s="16" t="n"/>
      <c r="E191" s="16" t="n"/>
      <c r="F191" s="16" t="n"/>
      <c r="G191" s="16" t="n"/>
      <c r="H191" s="15" t="n"/>
      <c r="I191" s="15" t="n"/>
      <c r="J191" s="15" t="n"/>
      <c r="K191" s="15" t="n"/>
      <c r="L191" s="15" t="n"/>
      <c r="M191" s="15" t="n"/>
      <c r="N191" s="67" t="n"/>
      <c r="O191" s="17">
        <f>IF($A191="","",MAX(0,$E191-$D191))</f>
        <v/>
      </c>
      <c r="P191" s="17">
        <f>IF($A191="","",MAX(0,$O191-$F191))</f>
        <v/>
      </c>
      <c r="Q191" s="17">
        <f>IF($A191="","",IF(OR($J191="ARSIV",$J191="RED"),0,IF($C191="","",raporTarihi-$C191)))</f>
        <v/>
      </c>
      <c r="R191" s="17">
        <f>IF($A191="","",IF($Q191="","",IF($Q191&lt;=pvf_kovaEsik1,"0-7",IF($Q191&lt;=pvf_kovaEsik2,"8-30",IF($Q191&lt;=pvf_kovaEsik3,"31-60","60+")))))</f>
        <v/>
      </c>
      <c r="S191" s="17">
        <f>IF($A191="","",IF($B191="","YETİM",IF(COUNTIF(tblPersonel[PersonelId],$B191)=0,"YETİM","")))</f>
        <v/>
      </c>
      <c r="T191" s="17">
        <f>IF(OR($A191="",$I191=""),"",IF(OR($I191&amp;"|"&amp;$J191="",COUNTIF(ListeIzinliGecis,$I191&amp;"|"&amp;$J191)&gt;0),"","GEÇERSİZ GEÇİŞ"))</f>
        <v/>
      </c>
      <c r="U191" s="17">
        <f>IF($A191="","",IF(OR($P191="",$G191=""),"",IF(ABS($G191-$P191)&gt;zincirTolerans,"ZİNCİR KIRIK","OK")))</f>
        <v/>
      </c>
      <c r="V191" s="17">
        <f>IF($A191="","",1)</f>
        <v/>
      </c>
      <c r="W191" s="17">
        <f>IF($A191="","",$G191*$N191*pvf_mesaiKatsayi)</f>
        <v/>
      </c>
    </row>
    <row r="192">
      <c r="A192" s="15" t="n"/>
      <c r="B192" s="15" t="n"/>
      <c r="C192" s="66" t="n"/>
      <c r="D192" s="16" t="n"/>
      <c r="E192" s="16" t="n"/>
      <c r="F192" s="16" t="n"/>
      <c r="G192" s="16" t="n"/>
      <c r="H192" s="15" t="n"/>
      <c r="I192" s="15" t="n"/>
      <c r="J192" s="15" t="n"/>
      <c r="K192" s="15" t="n"/>
      <c r="L192" s="15" t="n"/>
      <c r="M192" s="15" t="n"/>
      <c r="N192" s="67" t="n"/>
      <c r="O192" s="17">
        <f>IF($A192="","",MAX(0,$E192-$D192))</f>
        <v/>
      </c>
      <c r="P192" s="17">
        <f>IF($A192="","",MAX(0,$O192-$F192))</f>
        <v/>
      </c>
      <c r="Q192" s="17">
        <f>IF($A192="","",IF(OR($J192="ARSIV",$J192="RED"),0,IF($C192="","",raporTarihi-$C192)))</f>
        <v/>
      </c>
      <c r="R192" s="17">
        <f>IF($A192="","",IF($Q192="","",IF($Q192&lt;=pvf_kovaEsik1,"0-7",IF($Q192&lt;=pvf_kovaEsik2,"8-30",IF($Q192&lt;=pvf_kovaEsik3,"31-60","60+")))))</f>
        <v/>
      </c>
      <c r="S192" s="17">
        <f>IF($A192="","",IF($B192="","YETİM",IF(COUNTIF(tblPersonel[PersonelId],$B192)=0,"YETİM","")))</f>
        <v/>
      </c>
      <c r="T192" s="17">
        <f>IF(OR($A192="",$I192=""),"",IF(OR($I192&amp;"|"&amp;$J192="",COUNTIF(ListeIzinliGecis,$I192&amp;"|"&amp;$J192)&gt;0),"","GEÇERSİZ GEÇİŞ"))</f>
        <v/>
      </c>
      <c r="U192" s="17">
        <f>IF($A192="","",IF(OR($P192="",$G192=""),"",IF(ABS($G192-$P192)&gt;zincirTolerans,"ZİNCİR KIRIK","OK")))</f>
        <v/>
      </c>
      <c r="V192" s="17">
        <f>IF($A192="","",1)</f>
        <v/>
      </c>
      <c r="W192" s="17">
        <f>IF($A192="","",$G192*$N192*pvf_mesaiKatsayi)</f>
        <v/>
      </c>
    </row>
    <row r="193">
      <c r="A193" s="15" t="n"/>
      <c r="B193" s="15" t="n"/>
      <c r="C193" s="66" t="n"/>
      <c r="D193" s="16" t="n"/>
      <c r="E193" s="16" t="n"/>
      <c r="F193" s="16" t="n"/>
      <c r="G193" s="16" t="n"/>
      <c r="H193" s="15" t="n"/>
      <c r="I193" s="15" t="n"/>
      <c r="J193" s="15" t="n"/>
      <c r="K193" s="15" t="n"/>
      <c r="L193" s="15" t="n"/>
      <c r="M193" s="15" t="n"/>
      <c r="N193" s="67" t="n"/>
      <c r="O193" s="17">
        <f>IF($A193="","",MAX(0,$E193-$D193))</f>
        <v/>
      </c>
      <c r="P193" s="17">
        <f>IF($A193="","",MAX(0,$O193-$F193))</f>
        <v/>
      </c>
      <c r="Q193" s="17">
        <f>IF($A193="","",IF(OR($J193="ARSIV",$J193="RED"),0,IF($C193="","",raporTarihi-$C193)))</f>
        <v/>
      </c>
      <c r="R193" s="17">
        <f>IF($A193="","",IF($Q193="","",IF($Q193&lt;=pvf_kovaEsik1,"0-7",IF($Q193&lt;=pvf_kovaEsik2,"8-30",IF($Q193&lt;=pvf_kovaEsik3,"31-60","60+")))))</f>
        <v/>
      </c>
      <c r="S193" s="17">
        <f>IF($A193="","",IF($B193="","YETİM",IF(COUNTIF(tblPersonel[PersonelId],$B193)=0,"YETİM","")))</f>
        <v/>
      </c>
      <c r="T193" s="17">
        <f>IF(OR($A193="",$I193=""),"",IF(OR($I193&amp;"|"&amp;$J193="",COUNTIF(ListeIzinliGecis,$I193&amp;"|"&amp;$J193)&gt;0),"","GEÇERSİZ GEÇİŞ"))</f>
        <v/>
      </c>
      <c r="U193" s="17">
        <f>IF($A193="","",IF(OR($P193="",$G193=""),"",IF(ABS($G193-$P193)&gt;zincirTolerans,"ZİNCİR KIRIK","OK")))</f>
        <v/>
      </c>
      <c r="V193" s="17">
        <f>IF($A193="","",1)</f>
        <v/>
      </c>
      <c r="W193" s="17">
        <f>IF($A193="","",$G193*$N193*pvf_mesaiKatsayi)</f>
        <v/>
      </c>
    </row>
    <row r="194">
      <c r="A194" s="15" t="n"/>
      <c r="B194" s="15" t="n"/>
      <c r="C194" s="66" t="n"/>
      <c r="D194" s="16" t="n"/>
      <c r="E194" s="16" t="n"/>
      <c r="F194" s="16" t="n"/>
      <c r="G194" s="16" t="n"/>
      <c r="H194" s="15" t="n"/>
      <c r="I194" s="15" t="n"/>
      <c r="J194" s="15" t="n"/>
      <c r="K194" s="15" t="n"/>
      <c r="L194" s="15" t="n"/>
      <c r="M194" s="15" t="n"/>
      <c r="N194" s="67" t="n"/>
      <c r="O194" s="17">
        <f>IF($A194="","",MAX(0,$E194-$D194))</f>
        <v/>
      </c>
      <c r="P194" s="17">
        <f>IF($A194="","",MAX(0,$O194-$F194))</f>
        <v/>
      </c>
      <c r="Q194" s="17">
        <f>IF($A194="","",IF(OR($J194="ARSIV",$J194="RED"),0,IF($C194="","",raporTarihi-$C194)))</f>
        <v/>
      </c>
      <c r="R194" s="17">
        <f>IF($A194="","",IF($Q194="","",IF($Q194&lt;=pvf_kovaEsik1,"0-7",IF($Q194&lt;=pvf_kovaEsik2,"8-30",IF($Q194&lt;=pvf_kovaEsik3,"31-60","60+")))))</f>
        <v/>
      </c>
      <c r="S194" s="17">
        <f>IF($A194="","",IF($B194="","YETİM",IF(COUNTIF(tblPersonel[PersonelId],$B194)=0,"YETİM","")))</f>
        <v/>
      </c>
      <c r="T194" s="17">
        <f>IF(OR($A194="",$I194=""),"",IF(OR($I194&amp;"|"&amp;$J194="",COUNTIF(ListeIzinliGecis,$I194&amp;"|"&amp;$J194)&gt;0),"","GEÇERSİZ GEÇİŞ"))</f>
        <v/>
      </c>
      <c r="U194" s="17">
        <f>IF($A194="","",IF(OR($P194="",$G194=""),"",IF(ABS($G194-$P194)&gt;zincirTolerans,"ZİNCİR KIRIK","OK")))</f>
        <v/>
      </c>
      <c r="V194" s="17">
        <f>IF($A194="","",1)</f>
        <v/>
      </c>
      <c r="W194" s="17">
        <f>IF($A194="","",$G194*$N194*pvf_mesaiKatsayi)</f>
        <v/>
      </c>
    </row>
    <row r="195">
      <c r="A195" s="15" t="n"/>
      <c r="B195" s="15" t="n"/>
      <c r="C195" s="66" t="n"/>
      <c r="D195" s="16" t="n"/>
      <c r="E195" s="16" t="n"/>
      <c r="F195" s="16" t="n"/>
      <c r="G195" s="16" t="n"/>
      <c r="H195" s="15" t="n"/>
      <c r="I195" s="15" t="n"/>
      <c r="J195" s="15" t="n"/>
      <c r="K195" s="15" t="n"/>
      <c r="L195" s="15" t="n"/>
      <c r="M195" s="15" t="n"/>
      <c r="N195" s="67" t="n"/>
      <c r="O195" s="17">
        <f>IF($A195="","",MAX(0,$E195-$D195))</f>
        <v/>
      </c>
      <c r="P195" s="17">
        <f>IF($A195="","",MAX(0,$O195-$F195))</f>
        <v/>
      </c>
      <c r="Q195" s="17">
        <f>IF($A195="","",IF(OR($J195="ARSIV",$J195="RED"),0,IF($C195="","",raporTarihi-$C195)))</f>
        <v/>
      </c>
      <c r="R195" s="17">
        <f>IF($A195="","",IF($Q195="","",IF($Q195&lt;=pvf_kovaEsik1,"0-7",IF($Q195&lt;=pvf_kovaEsik2,"8-30",IF($Q195&lt;=pvf_kovaEsik3,"31-60","60+")))))</f>
        <v/>
      </c>
      <c r="S195" s="17">
        <f>IF($A195="","",IF($B195="","YETİM",IF(COUNTIF(tblPersonel[PersonelId],$B195)=0,"YETİM","")))</f>
        <v/>
      </c>
      <c r="T195" s="17">
        <f>IF(OR($A195="",$I195=""),"",IF(OR($I195&amp;"|"&amp;$J195="",COUNTIF(ListeIzinliGecis,$I195&amp;"|"&amp;$J195)&gt;0),"","GEÇERSİZ GEÇİŞ"))</f>
        <v/>
      </c>
      <c r="U195" s="17">
        <f>IF($A195="","",IF(OR($P195="",$G195=""),"",IF(ABS($G195-$P195)&gt;zincirTolerans,"ZİNCİR KIRIK","OK")))</f>
        <v/>
      </c>
      <c r="V195" s="17">
        <f>IF($A195="","",1)</f>
        <v/>
      </c>
      <c r="W195" s="17">
        <f>IF($A195="","",$G195*$N195*pvf_mesaiKatsayi)</f>
        <v/>
      </c>
    </row>
    <row r="196">
      <c r="A196" s="15" t="n"/>
      <c r="B196" s="15" t="n"/>
      <c r="C196" s="66" t="n"/>
      <c r="D196" s="16" t="n"/>
      <c r="E196" s="16" t="n"/>
      <c r="F196" s="16" t="n"/>
      <c r="G196" s="16" t="n"/>
      <c r="H196" s="15" t="n"/>
      <c r="I196" s="15" t="n"/>
      <c r="J196" s="15" t="n"/>
      <c r="K196" s="15" t="n"/>
      <c r="L196" s="15" t="n"/>
      <c r="M196" s="15" t="n"/>
      <c r="N196" s="67" t="n"/>
      <c r="O196" s="17">
        <f>IF($A196="","",MAX(0,$E196-$D196))</f>
        <v/>
      </c>
      <c r="P196" s="17">
        <f>IF($A196="","",MAX(0,$O196-$F196))</f>
        <v/>
      </c>
      <c r="Q196" s="17">
        <f>IF($A196="","",IF(OR($J196="ARSIV",$J196="RED"),0,IF($C196="","",raporTarihi-$C196)))</f>
        <v/>
      </c>
      <c r="R196" s="17">
        <f>IF($A196="","",IF($Q196="","",IF($Q196&lt;=pvf_kovaEsik1,"0-7",IF($Q196&lt;=pvf_kovaEsik2,"8-30",IF($Q196&lt;=pvf_kovaEsik3,"31-60","60+")))))</f>
        <v/>
      </c>
      <c r="S196" s="17">
        <f>IF($A196="","",IF($B196="","YETİM",IF(COUNTIF(tblPersonel[PersonelId],$B196)=0,"YETİM","")))</f>
        <v/>
      </c>
      <c r="T196" s="17">
        <f>IF(OR($A196="",$I196=""),"",IF(OR($I196&amp;"|"&amp;$J196="",COUNTIF(ListeIzinliGecis,$I196&amp;"|"&amp;$J196)&gt;0),"","GEÇERSİZ GEÇİŞ"))</f>
        <v/>
      </c>
      <c r="U196" s="17">
        <f>IF($A196="","",IF(OR($P196="",$G196=""),"",IF(ABS($G196-$P196)&gt;zincirTolerans,"ZİNCİR KIRIK","OK")))</f>
        <v/>
      </c>
      <c r="V196" s="17">
        <f>IF($A196="","",1)</f>
        <v/>
      </c>
      <c r="W196" s="17">
        <f>IF($A196="","",$G196*$N196*pvf_mesaiKatsayi)</f>
        <v/>
      </c>
    </row>
    <row r="197">
      <c r="A197" s="15" t="n"/>
      <c r="B197" s="15" t="n"/>
      <c r="C197" s="66" t="n"/>
      <c r="D197" s="16" t="n"/>
      <c r="E197" s="16" t="n"/>
      <c r="F197" s="16" t="n"/>
      <c r="G197" s="16" t="n"/>
      <c r="H197" s="15" t="n"/>
      <c r="I197" s="15" t="n"/>
      <c r="J197" s="15" t="n"/>
      <c r="K197" s="15" t="n"/>
      <c r="L197" s="15" t="n"/>
      <c r="M197" s="15" t="n"/>
      <c r="N197" s="67" t="n"/>
      <c r="O197" s="17">
        <f>IF($A197="","",MAX(0,$E197-$D197))</f>
        <v/>
      </c>
      <c r="P197" s="17">
        <f>IF($A197="","",MAX(0,$O197-$F197))</f>
        <v/>
      </c>
      <c r="Q197" s="17">
        <f>IF($A197="","",IF(OR($J197="ARSIV",$J197="RED"),0,IF($C197="","",raporTarihi-$C197)))</f>
        <v/>
      </c>
      <c r="R197" s="17">
        <f>IF($A197="","",IF($Q197="","",IF($Q197&lt;=pvf_kovaEsik1,"0-7",IF($Q197&lt;=pvf_kovaEsik2,"8-30",IF($Q197&lt;=pvf_kovaEsik3,"31-60","60+")))))</f>
        <v/>
      </c>
      <c r="S197" s="17">
        <f>IF($A197="","",IF($B197="","YETİM",IF(COUNTIF(tblPersonel[PersonelId],$B197)=0,"YETİM","")))</f>
        <v/>
      </c>
      <c r="T197" s="17">
        <f>IF(OR($A197="",$I197=""),"",IF(OR($I197&amp;"|"&amp;$J197="",COUNTIF(ListeIzinliGecis,$I197&amp;"|"&amp;$J197)&gt;0),"","GEÇERSİZ GEÇİŞ"))</f>
        <v/>
      </c>
      <c r="U197" s="17">
        <f>IF($A197="","",IF(OR($P197="",$G197=""),"",IF(ABS($G197-$P197)&gt;zincirTolerans,"ZİNCİR KIRIK","OK")))</f>
        <v/>
      </c>
      <c r="V197" s="17">
        <f>IF($A197="","",1)</f>
        <v/>
      </c>
      <c r="W197" s="17">
        <f>IF($A197="","",$G197*$N197*pvf_mesaiKatsayi)</f>
        <v/>
      </c>
    </row>
    <row r="198">
      <c r="A198" s="15" t="n"/>
      <c r="B198" s="15" t="n"/>
      <c r="C198" s="66" t="n"/>
      <c r="D198" s="16" t="n"/>
      <c r="E198" s="16" t="n"/>
      <c r="F198" s="16" t="n"/>
      <c r="G198" s="16" t="n"/>
      <c r="H198" s="15" t="n"/>
      <c r="I198" s="15" t="n"/>
      <c r="J198" s="15" t="n"/>
      <c r="K198" s="15" t="n"/>
      <c r="L198" s="15" t="n"/>
      <c r="M198" s="15" t="n"/>
      <c r="N198" s="67" t="n"/>
      <c r="O198" s="17">
        <f>IF($A198="","",MAX(0,$E198-$D198))</f>
        <v/>
      </c>
      <c r="P198" s="17">
        <f>IF($A198="","",MAX(0,$O198-$F198))</f>
        <v/>
      </c>
      <c r="Q198" s="17">
        <f>IF($A198="","",IF(OR($J198="ARSIV",$J198="RED"),0,IF($C198="","",raporTarihi-$C198)))</f>
        <v/>
      </c>
      <c r="R198" s="17">
        <f>IF($A198="","",IF($Q198="","",IF($Q198&lt;=pvf_kovaEsik1,"0-7",IF($Q198&lt;=pvf_kovaEsik2,"8-30",IF($Q198&lt;=pvf_kovaEsik3,"31-60","60+")))))</f>
        <v/>
      </c>
      <c r="S198" s="17">
        <f>IF($A198="","",IF($B198="","YETİM",IF(COUNTIF(tblPersonel[PersonelId],$B198)=0,"YETİM","")))</f>
        <v/>
      </c>
      <c r="T198" s="17">
        <f>IF(OR($A198="",$I198=""),"",IF(OR($I198&amp;"|"&amp;$J198="",COUNTIF(ListeIzinliGecis,$I198&amp;"|"&amp;$J198)&gt;0),"","GEÇERSİZ GEÇİŞ"))</f>
        <v/>
      </c>
      <c r="U198" s="17">
        <f>IF($A198="","",IF(OR($P198="",$G198=""),"",IF(ABS($G198-$P198)&gt;zincirTolerans,"ZİNCİR KIRIK","OK")))</f>
        <v/>
      </c>
      <c r="V198" s="17">
        <f>IF($A198="","",1)</f>
        <v/>
      </c>
      <c r="W198" s="17">
        <f>IF($A198="","",$G198*$N198*pvf_mesaiKatsayi)</f>
        <v/>
      </c>
    </row>
    <row r="199">
      <c r="A199" s="15" t="n"/>
      <c r="B199" s="15" t="n"/>
      <c r="C199" s="66" t="n"/>
      <c r="D199" s="16" t="n"/>
      <c r="E199" s="16" t="n"/>
      <c r="F199" s="16" t="n"/>
      <c r="G199" s="16" t="n"/>
      <c r="H199" s="15" t="n"/>
      <c r="I199" s="15" t="n"/>
      <c r="J199" s="15" t="n"/>
      <c r="K199" s="15" t="n"/>
      <c r="L199" s="15" t="n"/>
      <c r="M199" s="15" t="n"/>
      <c r="N199" s="67" t="n"/>
      <c r="O199" s="17">
        <f>IF($A199="","",MAX(0,$E199-$D199))</f>
        <v/>
      </c>
      <c r="P199" s="17">
        <f>IF($A199="","",MAX(0,$O199-$F199))</f>
        <v/>
      </c>
      <c r="Q199" s="17">
        <f>IF($A199="","",IF(OR($J199="ARSIV",$J199="RED"),0,IF($C199="","",raporTarihi-$C199)))</f>
        <v/>
      </c>
      <c r="R199" s="17">
        <f>IF($A199="","",IF($Q199="","",IF($Q199&lt;=pvf_kovaEsik1,"0-7",IF($Q199&lt;=pvf_kovaEsik2,"8-30",IF($Q199&lt;=pvf_kovaEsik3,"31-60","60+")))))</f>
        <v/>
      </c>
      <c r="S199" s="17">
        <f>IF($A199="","",IF($B199="","YETİM",IF(COUNTIF(tblPersonel[PersonelId],$B199)=0,"YETİM","")))</f>
        <v/>
      </c>
      <c r="T199" s="17">
        <f>IF(OR($A199="",$I199=""),"",IF(OR($I199&amp;"|"&amp;$J199="",COUNTIF(ListeIzinliGecis,$I199&amp;"|"&amp;$J199)&gt;0),"","GEÇERSİZ GEÇİŞ"))</f>
        <v/>
      </c>
      <c r="U199" s="17">
        <f>IF($A199="","",IF(OR($P199="",$G199=""),"",IF(ABS($G199-$P199)&gt;zincirTolerans,"ZİNCİR KIRIK","OK")))</f>
        <v/>
      </c>
      <c r="V199" s="17">
        <f>IF($A199="","",1)</f>
        <v/>
      </c>
      <c r="W199" s="17">
        <f>IF($A199="","",$G199*$N199*pvf_mesaiKatsayi)</f>
        <v/>
      </c>
    </row>
    <row r="200">
      <c r="A200" s="15" t="n"/>
      <c r="B200" s="15" t="n"/>
      <c r="C200" s="66" t="n"/>
      <c r="D200" s="16" t="n"/>
      <c r="E200" s="16" t="n"/>
      <c r="F200" s="16" t="n"/>
      <c r="G200" s="16" t="n"/>
      <c r="H200" s="15" t="n"/>
      <c r="I200" s="15" t="n"/>
      <c r="J200" s="15" t="n"/>
      <c r="K200" s="15" t="n"/>
      <c r="L200" s="15" t="n"/>
      <c r="M200" s="15" t="n"/>
      <c r="N200" s="67" t="n"/>
      <c r="O200" s="17">
        <f>IF($A200="","",MAX(0,$E200-$D200))</f>
        <v/>
      </c>
      <c r="P200" s="17">
        <f>IF($A200="","",MAX(0,$O200-$F200))</f>
        <v/>
      </c>
      <c r="Q200" s="17">
        <f>IF($A200="","",IF(OR($J200="ARSIV",$J200="RED"),0,IF($C200="","",raporTarihi-$C200)))</f>
        <v/>
      </c>
      <c r="R200" s="17">
        <f>IF($A200="","",IF($Q200="","",IF($Q200&lt;=pvf_kovaEsik1,"0-7",IF($Q200&lt;=pvf_kovaEsik2,"8-30",IF($Q200&lt;=pvf_kovaEsik3,"31-60","60+")))))</f>
        <v/>
      </c>
      <c r="S200" s="17">
        <f>IF($A200="","",IF($B200="","YETİM",IF(COUNTIF(tblPersonel[PersonelId],$B200)=0,"YETİM","")))</f>
        <v/>
      </c>
      <c r="T200" s="17">
        <f>IF(OR($A200="",$I200=""),"",IF(OR($I200&amp;"|"&amp;$J200="",COUNTIF(ListeIzinliGecis,$I200&amp;"|"&amp;$J200)&gt;0),"","GEÇERSİZ GEÇİŞ"))</f>
        <v/>
      </c>
      <c r="U200" s="17">
        <f>IF($A200="","",IF(OR($P200="",$G200=""),"",IF(ABS($G200-$P200)&gt;zincirTolerans,"ZİNCİR KIRIK","OK")))</f>
        <v/>
      </c>
      <c r="V200" s="17">
        <f>IF($A200="","",1)</f>
        <v/>
      </c>
      <c r="W200" s="17">
        <f>IF($A200="","",$G200*$N200*pvf_mesaiKatsayi)</f>
        <v/>
      </c>
    </row>
    <row r="201">
      <c r="A201" s="15" t="n"/>
      <c r="B201" s="15" t="n"/>
      <c r="C201" s="66" t="n"/>
      <c r="D201" s="16" t="n"/>
      <c r="E201" s="16" t="n"/>
      <c r="F201" s="16" t="n"/>
      <c r="G201" s="16" t="n"/>
      <c r="H201" s="15" t="n"/>
      <c r="I201" s="15" t="n"/>
      <c r="J201" s="15" t="n"/>
      <c r="K201" s="15" t="n"/>
      <c r="L201" s="15" t="n"/>
      <c r="M201" s="15" t="n"/>
      <c r="N201" s="67" t="n"/>
      <c r="O201" s="17">
        <f>IF($A201="","",MAX(0,$E201-$D201))</f>
        <v/>
      </c>
      <c r="P201" s="17">
        <f>IF($A201="","",MAX(0,$O201-$F201))</f>
        <v/>
      </c>
      <c r="Q201" s="17">
        <f>IF($A201="","",IF(OR($J201="ARSIV",$J201="RED"),0,IF($C201="","",raporTarihi-$C201)))</f>
        <v/>
      </c>
      <c r="R201" s="17">
        <f>IF($A201="","",IF($Q201="","",IF($Q201&lt;=pvf_kovaEsik1,"0-7",IF($Q201&lt;=pvf_kovaEsik2,"8-30",IF($Q201&lt;=pvf_kovaEsik3,"31-60","60+")))))</f>
        <v/>
      </c>
      <c r="S201" s="17">
        <f>IF($A201="","",IF($B201="","YETİM",IF(COUNTIF(tblPersonel[PersonelId],$B201)=0,"YETİM","")))</f>
        <v/>
      </c>
      <c r="T201" s="17">
        <f>IF(OR($A201="",$I201=""),"",IF(OR($I201&amp;"|"&amp;$J201="",COUNTIF(ListeIzinliGecis,$I201&amp;"|"&amp;$J201)&gt;0),"","GEÇERSİZ GEÇİŞ"))</f>
        <v/>
      </c>
      <c r="U201" s="17">
        <f>IF($A201="","",IF(OR($P201="",$G201=""),"",IF(ABS($G201-$P201)&gt;zincirTolerans,"ZİNCİR KIRIK","OK")))</f>
        <v/>
      </c>
      <c r="V201" s="17">
        <f>IF($A201="","",1)</f>
        <v/>
      </c>
      <c r="W201" s="17">
        <f>IF($A201="","",$G201*$N201*pvf_mesaiKatsayi)</f>
        <v/>
      </c>
    </row>
    <row r="202">
      <c r="A202" s="15" t="n"/>
      <c r="B202" s="15" t="n"/>
      <c r="C202" s="66" t="n"/>
      <c r="D202" s="16" t="n"/>
      <c r="E202" s="16" t="n"/>
      <c r="F202" s="16" t="n"/>
      <c r="G202" s="16" t="n"/>
      <c r="H202" s="15" t="n"/>
      <c r="I202" s="15" t="n"/>
      <c r="J202" s="15" t="n"/>
      <c r="K202" s="15" t="n"/>
      <c r="L202" s="15" t="n"/>
      <c r="M202" s="15" t="n"/>
      <c r="N202" s="67" t="n"/>
      <c r="O202" s="17">
        <f>IF($A202="","",MAX(0,$E202-$D202))</f>
        <v/>
      </c>
      <c r="P202" s="17">
        <f>IF($A202="","",MAX(0,$O202-$F202))</f>
        <v/>
      </c>
      <c r="Q202" s="17">
        <f>IF($A202="","",IF(OR($J202="ARSIV",$J202="RED"),0,IF($C202="","",raporTarihi-$C202)))</f>
        <v/>
      </c>
      <c r="R202" s="17">
        <f>IF($A202="","",IF($Q202="","",IF($Q202&lt;=pvf_kovaEsik1,"0-7",IF($Q202&lt;=pvf_kovaEsik2,"8-30",IF($Q202&lt;=pvf_kovaEsik3,"31-60","60+")))))</f>
        <v/>
      </c>
      <c r="S202" s="17">
        <f>IF($A202="","",IF($B202="","YETİM",IF(COUNTIF(tblPersonel[PersonelId],$B202)=0,"YETİM","")))</f>
        <v/>
      </c>
      <c r="T202" s="17">
        <f>IF(OR($A202="",$I202=""),"",IF(OR($I202&amp;"|"&amp;$J202="",COUNTIF(ListeIzinliGecis,$I202&amp;"|"&amp;$J202)&gt;0),"","GEÇERSİZ GEÇİŞ"))</f>
        <v/>
      </c>
      <c r="U202" s="17">
        <f>IF($A202="","",IF(OR($P202="",$G202=""),"",IF(ABS($G202-$P202)&gt;zincirTolerans,"ZİNCİR KIRIK","OK")))</f>
        <v/>
      </c>
      <c r="V202" s="17">
        <f>IF($A202="","",1)</f>
        <v/>
      </c>
      <c r="W202" s="17">
        <f>IF($A202="","",$G202*$N202*pvf_mesaiKatsayi)</f>
        <v/>
      </c>
    </row>
    <row r="203">
      <c r="A203" s="15" t="n"/>
      <c r="B203" s="15" t="n"/>
      <c r="C203" s="66" t="n"/>
      <c r="D203" s="16" t="n"/>
      <c r="E203" s="16" t="n"/>
      <c r="F203" s="16" t="n"/>
      <c r="G203" s="16" t="n"/>
      <c r="H203" s="15" t="n"/>
      <c r="I203" s="15" t="n"/>
      <c r="J203" s="15" t="n"/>
      <c r="K203" s="15" t="n"/>
      <c r="L203" s="15" t="n"/>
      <c r="M203" s="15" t="n"/>
      <c r="N203" s="67" t="n"/>
      <c r="O203" s="17">
        <f>IF($A203="","",MAX(0,$E203-$D203))</f>
        <v/>
      </c>
      <c r="P203" s="17">
        <f>IF($A203="","",MAX(0,$O203-$F203))</f>
        <v/>
      </c>
      <c r="Q203" s="17">
        <f>IF($A203="","",IF(OR($J203="ARSIV",$J203="RED"),0,IF($C203="","",raporTarihi-$C203)))</f>
        <v/>
      </c>
      <c r="R203" s="17">
        <f>IF($A203="","",IF($Q203="","",IF($Q203&lt;=pvf_kovaEsik1,"0-7",IF($Q203&lt;=pvf_kovaEsik2,"8-30",IF($Q203&lt;=pvf_kovaEsik3,"31-60","60+")))))</f>
        <v/>
      </c>
      <c r="S203" s="17">
        <f>IF($A203="","",IF($B203="","YETİM",IF(COUNTIF(tblPersonel[PersonelId],$B203)=0,"YETİM","")))</f>
        <v/>
      </c>
      <c r="T203" s="17">
        <f>IF(OR($A203="",$I203=""),"",IF(OR($I203&amp;"|"&amp;$J203="",COUNTIF(ListeIzinliGecis,$I203&amp;"|"&amp;$J203)&gt;0),"","GEÇERSİZ GEÇİŞ"))</f>
        <v/>
      </c>
      <c r="U203" s="17">
        <f>IF($A203="","",IF(OR($P203="",$G203=""),"",IF(ABS($G203-$P203)&gt;zincirTolerans,"ZİNCİR KIRIK","OK")))</f>
        <v/>
      </c>
      <c r="V203" s="17">
        <f>IF($A203="","",1)</f>
        <v/>
      </c>
      <c r="W203" s="17">
        <f>IF($A203="","",$G203*$N203*pvf_mesaiKatsayi)</f>
        <v/>
      </c>
    </row>
    <row r="204">
      <c r="A204" s="15" t="n"/>
      <c r="B204" s="15" t="n"/>
      <c r="C204" s="66" t="n"/>
      <c r="D204" s="16" t="n"/>
      <c r="E204" s="16" t="n"/>
      <c r="F204" s="16" t="n"/>
      <c r="G204" s="16" t="n"/>
      <c r="H204" s="15" t="n"/>
      <c r="I204" s="15" t="n"/>
      <c r="J204" s="15" t="n"/>
      <c r="K204" s="15" t="n"/>
      <c r="L204" s="15" t="n"/>
      <c r="M204" s="15" t="n"/>
      <c r="N204" s="67" t="n"/>
      <c r="O204" s="17">
        <f>IF($A204="","",MAX(0,$E204-$D204))</f>
        <v/>
      </c>
      <c r="P204" s="17">
        <f>IF($A204="","",MAX(0,$O204-$F204))</f>
        <v/>
      </c>
      <c r="Q204" s="17">
        <f>IF($A204="","",IF(OR($J204="ARSIV",$J204="RED"),0,IF($C204="","",raporTarihi-$C204)))</f>
        <v/>
      </c>
      <c r="R204" s="17">
        <f>IF($A204="","",IF($Q204="","",IF($Q204&lt;=pvf_kovaEsik1,"0-7",IF($Q204&lt;=pvf_kovaEsik2,"8-30",IF($Q204&lt;=pvf_kovaEsik3,"31-60","60+")))))</f>
        <v/>
      </c>
      <c r="S204" s="17">
        <f>IF($A204="","",IF($B204="","YETİM",IF(COUNTIF(tblPersonel[PersonelId],$B204)=0,"YETİM","")))</f>
        <v/>
      </c>
      <c r="T204" s="17">
        <f>IF(OR($A204="",$I204=""),"",IF(OR($I204&amp;"|"&amp;$J204="",COUNTIF(ListeIzinliGecis,$I204&amp;"|"&amp;$J204)&gt;0),"","GEÇERSİZ GEÇİŞ"))</f>
        <v/>
      </c>
      <c r="U204" s="17">
        <f>IF($A204="","",IF(OR($P204="",$G204=""),"",IF(ABS($G204-$P204)&gt;zincirTolerans,"ZİNCİR KIRIK","OK")))</f>
        <v/>
      </c>
      <c r="V204" s="17">
        <f>IF($A204="","",1)</f>
        <v/>
      </c>
      <c r="W204" s="17">
        <f>IF($A204="","",$G204*$N204*pvf_mesaiKatsayi)</f>
        <v/>
      </c>
    </row>
    <row r="205">
      <c r="A205" s="15" t="n"/>
      <c r="B205" s="15" t="n"/>
      <c r="C205" s="66" t="n"/>
      <c r="D205" s="16" t="n"/>
      <c r="E205" s="16" t="n"/>
      <c r="F205" s="16" t="n"/>
      <c r="G205" s="16" t="n"/>
      <c r="H205" s="15" t="n"/>
      <c r="I205" s="15" t="n"/>
      <c r="J205" s="15" t="n"/>
      <c r="K205" s="15" t="n"/>
      <c r="L205" s="15" t="n"/>
      <c r="M205" s="15" t="n"/>
      <c r="N205" s="67" t="n"/>
      <c r="O205" s="17">
        <f>IF($A205="","",MAX(0,$E205-$D205))</f>
        <v/>
      </c>
      <c r="P205" s="17">
        <f>IF($A205="","",MAX(0,$O205-$F205))</f>
        <v/>
      </c>
      <c r="Q205" s="17">
        <f>IF($A205="","",IF(OR($J205="ARSIV",$J205="RED"),0,IF($C205="","",raporTarihi-$C205)))</f>
        <v/>
      </c>
      <c r="R205" s="17">
        <f>IF($A205="","",IF($Q205="","",IF($Q205&lt;=pvf_kovaEsik1,"0-7",IF($Q205&lt;=pvf_kovaEsik2,"8-30",IF($Q205&lt;=pvf_kovaEsik3,"31-60","60+")))))</f>
        <v/>
      </c>
      <c r="S205" s="17">
        <f>IF($A205="","",IF($B205="","YETİM",IF(COUNTIF(tblPersonel[PersonelId],$B205)=0,"YETİM","")))</f>
        <v/>
      </c>
      <c r="T205" s="17">
        <f>IF(OR($A205="",$I205=""),"",IF(OR($I205&amp;"|"&amp;$J205="",COUNTIF(ListeIzinliGecis,$I205&amp;"|"&amp;$J205)&gt;0),"","GEÇERSİZ GEÇİŞ"))</f>
        <v/>
      </c>
      <c r="U205" s="17">
        <f>IF($A205="","",IF(OR($P205="",$G205=""),"",IF(ABS($G205-$P205)&gt;zincirTolerans,"ZİNCİR KIRIK","OK")))</f>
        <v/>
      </c>
      <c r="V205" s="17">
        <f>IF($A205="","",1)</f>
        <v/>
      </c>
      <c r="W205" s="17">
        <f>IF($A205="","",$G205*$N205*pvf_mesaiKatsayi)</f>
        <v/>
      </c>
    </row>
    <row r="206">
      <c r="A206" s="15" t="n"/>
      <c r="B206" s="15" t="n"/>
      <c r="C206" s="66" t="n"/>
      <c r="D206" s="16" t="n"/>
      <c r="E206" s="16" t="n"/>
      <c r="F206" s="16" t="n"/>
      <c r="G206" s="16" t="n"/>
      <c r="H206" s="15" t="n"/>
      <c r="I206" s="15" t="n"/>
      <c r="J206" s="15" t="n"/>
      <c r="K206" s="15" t="n"/>
      <c r="L206" s="15" t="n"/>
      <c r="M206" s="15" t="n"/>
      <c r="N206" s="67" t="n"/>
      <c r="O206" s="17">
        <f>IF($A206="","",MAX(0,$E206-$D206))</f>
        <v/>
      </c>
      <c r="P206" s="17">
        <f>IF($A206="","",MAX(0,$O206-$F206))</f>
        <v/>
      </c>
      <c r="Q206" s="17">
        <f>IF($A206="","",IF(OR($J206="ARSIV",$J206="RED"),0,IF($C206="","",raporTarihi-$C206)))</f>
        <v/>
      </c>
      <c r="R206" s="17">
        <f>IF($A206="","",IF($Q206="","",IF($Q206&lt;=pvf_kovaEsik1,"0-7",IF($Q206&lt;=pvf_kovaEsik2,"8-30",IF($Q206&lt;=pvf_kovaEsik3,"31-60","60+")))))</f>
        <v/>
      </c>
      <c r="S206" s="17">
        <f>IF($A206="","",IF($B206="","YETİM",IF(COUNTIF(tblPersonel[PersonelId],$B206)=0,"YETİM","")))</f>
        <v/>
      </c>
      <c r="T206" s="17">
        <f>IF(OR($A206="",$I206=""),"",IF(OR($I206&amp;"|"&amp;$J206="",COUNTIF(ListeIzinliGecis,$I206&amp;"|"&amp;$J206)&gt;0),"","GEÇERSİZ GEÇİŞ"))</f>
        <v/>
      </c>
      <c r="U206" s="17">
        <f>IF($A206="","",IF(OR($P206="",$G206=""),"",IF(ABS($G206-$P206)&gt;zincirTolerans,"ZİNCİR KIRIK","OK")))</f>
        <v/>
      </c>
      <c r="V206" s="17">
        <f>IF($A206="","",1)</f>
        <v/>
      </c>
      <c r="W206" s="17">
        <f>IF($A206="","",$G206*$N206*pvf_mesaiKatsayi)</f>
        <v/>
      </c>
    </row>
    <row r="207">
      <c r="A207" s="15" t="n"/>
      <c r="B207" s="15" t="n"/>
      <c r="C207" s="66" t="n"/>
      <c r="D207" s="16" t="n"/>
      <c r="E207" s="16" t="n"/>
      <c r="F207" s="16" t="n"/>
      <c r="G207" s="16" t="n"/>
      <c r="H207" s="15" t="n"/>
      <c r="I207" s="15" t="n"/>
      <c r="J207" s="15" t="n"/>
      <c r="K207" s="15" t="n"/>
      <c r="L207" s="15" t="n"/>
      <c r="M207" s="15" t="n"/>
      <c r="N207" s="67" t="n"/>
      <c r="O207" s="17">
        <f>IF($A207="","",MAX(0,$E207-$D207))</f>
        <v/>
      </c>
      <c r="P207" s="17">
        <f>IF($A207="","",MAX(0,$O207-$F207))</f>
        <v/>
      </c>
      <c r="Q207" s="17">
        <f>IF($A207="","",IF(OR($J207="ARSIV",$J207="RED"),0,IF($C207="","",raporTarihi-$C207)))</f>
        <v/>
      </c>
      <c r="R207" s="17">
        <f>IF($A207="","",IF($Q207="","",IF($Q207&lt;=pvf_kovaEsik1,"0-7",IF($Q207&lt;=pvf_kovaEsik2,"8-30",IF($Q207&lt;=pvf_kovaEsik3,"31-60","60+")))))</f>
        <v/>
      </c>
      <c r="S207" s="17">
        <f>IF($A207="","",IF($B207="","YETİM",IF(COUNTIF(tblPersonel[PersonelId],$B207)=0,"YETİM","")))</f>
        <v/>
      </c>
      <c r="T207" s="17">
        <f>IF(OR($A207="",$I207=""),"",IF(OR($I207&amp;"|"&amp;$J207="",COUNTIF(ListeIzinliGecis,$I207&amp;"|"&amp;$J207)&gt;0),"","GEÇERSİZ GEÇİŞ"))</f>
        <v/>
      </c>
      <c r="U207" s="17">
        <f>IF($A207="","",IF(OR($P207="",$G207=""),"",IF(ABS($G207-$P207)&gt;zincirTolerans,"ZİNCİR KIRIK","OK")))</f>
        <v/>
      </c>
      <c r="V207" s="17">
        <f>IF($A207="","",1)</f>
        <v/>
      </c>
      <c r="W207" s="17">
        <f>IF($A207="","",$G207*$N207*pvf_mesaiKatsayi)</f>
        <v/>
      </c>
    </row>
    <row r="208">
      <c r="A208" s="15" t="n"/>
      <c r="B208" s="15" t="n"/>
      <c r="C208" s="66" t="n"/>
      <c r="D208" s="16" t="n"/>
      <c r="E208" s="16" t="n"/>
      <c r="F208" s="16" t="n"/>
      <c r="G208" s="16" t="n"/>
      <c r="H208" s="15" t="n"/>
      <c r="I208" s="15" t="n"/>
      <c r="J208" s="15" t="n"/>
      <c r="K208" s="15" t="n"/>
      <c r="L208" s="15" t="n"/>
      <c r="M208" s="15" t="n"/>
      <c r="N208" s="67" t="n"/>
      <c r="O208" s="17">
        <f>IF($A208="","",MAX(0,$E208-$D208))</f>
        <v/>
      </c>
      <c r="P208" s="17">
        <f>IF($A208="","",MAX(0,$O208-$F208))</f>
        <v/>
      </c>
      <c r="Q208" s="17">
        <f>IF($A208="","",IF(OR($J208="ARSIV",$J208="RED"),0,IF($C208="","",raporTarihi-$C208)))</f>
        <v/>
      </c>
      <c r="R208" s="17">
        <f>IF($A208="","",IF($Q208="","",IF($Q208&lt;=pvf_kovaEsik1,"0-7",IF($Q208&lt;=pvf_kovaEsik2,"8-30",IF($Q208&lt;=pvf_kovaEsik3,"31-60","60+")))))</f>
        <v/>
      </c>
      <c r="S208" s="17">
        <f>IF($A208="","",IF($B208="","YETİM",IF(COUNTIF(tblPersonel[PersonelId],$B208)=0,"YETİM","")))</f>
        <v/>
      </c>
      <c r="T208" s="17">
        <f>IF(OR($A208="",$I208=""),"",IF(OR($I208&amp;"|"&amp;$J208="",COUNTIF(ListeIzinliGecis,$I208&amp;"|"&amp;$J208)&gt;0),"","GEÇERSİZ GEÇİŞ"))</f>
        <v/>
      </c>
      <c r="U208" s="17">
        <f>IF($A208="","",IF(OR($P208="",$G208=""),"",IF(ABS($G208-$P208)&gt;zincirTolerans,"ZİNCİR KIRIK","OK")))</f>
        <v/>
      </c>
      <c r="V208" s="17">
        <f>IF($A208="","",1)</f>
        <v/>
      </c>
      <c r="W208" s="17">
        <f>IF($A208="","",$G208*$N208*pvf_mesaiKatsayi)</f>
        <v/>
      </c>
    </row>
    <row r="209">
      <c r="A209" s="15" t="n"/>
      <c r="B209" s="15" t="n"/>
      <c r="C209" s="66" t="n"/>
      <c r="D209" s="16" t="n"/>
      <c r="E209" s="16" t="n"/>
      <c r="F209" s="16" t="n"/>
      <c r="G209" s="16" t="n"/>
      <c r="H209" s="15" t="n"/>
      <c r="I209" s="15" t="n"/>
      <c r="J209" s="15" t="n"/>
      <c r="K209" s="15" t="n"/>
      <c r="L209" s="15" t="n"/>
      <c r="M209" s="15" t="n"/>
      <c r="N209" s="67" t="n"/>
      <c r="O209" s="17">
        <f>IF($A209="","",MAX(0,$E209-$D209))</f>
        <v/>
      </c>
      <c r="P209" s="17">
        <f>IF($A209="","",MAX(0,$O209-$F209))</f>
        <v/>
      </c>
      <c r="Q209" s="17">
        <f>IF($A209="","",IF(OR($J209="ARSIV",$J209="RED"),0,IF($C209="","",raporTarihi-$C209)))</f>
        <v/>
      </c>
      <c r="R209" s="17">
        <f>IF($A209="","",IF($Q209="","",IF($Q209&lt;=pvf_kovaEsik1,"0-7",IF($Q209&lt;=pvf_kovaEsik2,"8-30",IF($Q209&lt;=pvf_kovaEsik3,"31-60","60+")))))</f>
        <v/>
      </c>
      <c r="S209" s="17">
        <f>IF($A209="","",IF($B209="","YETİM",IF(COUNTIF(tblPersonel[PersonelId],$B209)=0,"YETİM","")))</f>
        <v/>
      </c>
      <c r="T209" s="17">
        <f>IF(OR($A209="",$I209=""),"",IF(OR($I209&amp;"|"&amp;$J209="",COUNTIF(ListeIzinliGecis,$I209&amp;"|"&amp;$J209)&gt;0),"","GEÇERSİZ GEÇİŞ"))</f>
        <v/>
      </c>
      <c r="U209" s="17">
        <f>IF($A209="","",IF(OR($P209="",$G209=""),"",IF(ABS($G209-$P209)&gt;zincirTolerans,"ZİNCİR KIRIK","OK")))</f>
        <v/>
      </c>
      <c r="V209" s="17">
        <f>IF($A209="","",1)</f>
        <v/>
      </c>
      <c r="W209" s="17">
        <f>IF($A209="","",$G209*$N209*pvf_mesaiKatsayi)</f>
        <v/>
      </c>
    </row>
    <row r="210">
      <c r="A210" s="15" t="n"/>
      <c r="B210" s="15" t="n"/>
      <c r="C210" s="66" t="n"/>
      <c r="D210" s="16" t="n"/>
      <c r="E210" s="16" t="n"/>
      <c r="F210" s="16" t="n"/>
      <c r="G210" s="16" t="n"/>
      <c r="H210" s="15" t="n"/>
      <c r="I210" s="15" t="n"/>
      <c r="J210" s="15" t="n"/>
      <c r="K210" s="15" t="n"/>
      <c r="L210" s="15" t="n"/>
      <c r="M210" s="15" t="n"/>
      <c r="N210" s="67" t="n"/>
      <c r="O210" s="17">
        <f>IF($A210="","",MAX(0,$E210-$D210))</f>
        <v/>
      </c>
      <c r="P210" s="17">
        <f>IF($A210="","",MAX(0,$O210-$F210))</f>
        <v/>
      </c>
      <c r="Q210" s="17">
        <f>IF($A210="","",IF(OR($J210="ARSIV",$J210="RED"),0,IF($C210="","",raporTarihi-$C210)))</f>
        <v/>
      </c>
      <c r="R210" s="17">
        <f>IF($A210="","",IF($Q210="","",IF($Q210&lt;=pvf_kovaEsik1,"0-7",IF($Q210&lt;=pvf_kovaEsik2,"8-30",IF($Q210&lt;=pvf_kovaEsik3,"31-60","60+")))))</f>
        <v/>
      </c>
      <c r="S210" s="17">
        <f>IF($A210="","",IF($B210="","YETİM",IF(COUNTIF(tblPersonel[PersonelId],$B210)=0,"YETİM","")))</f>
        <v/>
      </c>
      <c r="T210" s="17">
        <f>IF(OR($A210="",$I210=""),"",IF(OR($I210&amp;"|"&amp;$J210="",COUNTIF(ListeIzinliGecis,$I210&amp;"|"&amp;$J210)&gt;0),"","GEÇERSİZ GEÇİŞ"))</f>
        <v/>
      </c>
      <c r="U210" s="17">
        <f>IF($A210="","",IF(OR($P210="",$G210=""),"",IF(ABS($G210-$P210)&gt;zincirTolerans,"ZİNCİR KIRIK","OK")))</f>
        <v/>
      </c>
      <c r="V210" s="17">
        <f>IF($A210="","",1)</f>
        <v/>
      </c>
      <c r="W210" s="17">
        <f>IF($A210="","",$G210*$N210*pvf_mesaiKatsayi)</f>
        <v/>
      </c>
    </row>
    <row r="211">
      <c r="A211" s="15" t="n"/>
      <c r="B211" s="15" t="n"/>
      <c r="C211" s="66" t="n"/>
      <c r="D211" s="16" t="n"/>
      <c r="E211" s="16" t="n"/>
      <c r="F211" s="16" t="n"/>
      <c r="G211" s="16" t="n"/>
      <c r="H211" s="15" t="n"/>
      <c r="I211" s="15" t="n"/>
      <c r="J211" s="15" t="n"/>
      <c r="K211" s="15" t="n"/>
      <c r="L211" s="15" t="n"/>
      <c r="M211" s="15" t="n"/>
      <c r="N211" s="67" t="n"/>
      <c r="O211" s="17">
        <f>IF($A211="","",MAX(0,$E211-$D211))</f>
        <v/>
      </c>
      <c r="P211" s="17">
        <f>IF($A211="","",MAX(0,$O211-$F211))</f>
        <v/>
      </c>
      <c r="Q211" s="17">
        <f>IF($A211="","",IF(OR($J211="ARSIV",$J211="RED"),0,IF($C211="","",raporTarihi-$C211)))</f>
        <v/>
      </c>
      <c r="R211" s="17">
        <f>IF($A211="","",IF($Q211="","",IF($Q211&lt;=pvf_kovaEsik1,"0-7",IF($Q211&lt;=pvf_kovaEsik2,"8-30",IF($Q211&lt;=pvf_kovaEsik3,"31-60","60+")))))</f>
        <v/>
      </c>
      <c r="S211" s="17">
        <f>IF($A211="","",IF($B211="","YETİM",IF(COUNTIF(tblPersonel[PersonelId],$B211)=0,"YETİM","")))</f>
        <v/>
      </c>
      <c r="T211" s="17">
        <f>IF(OR($A211="",$I211=""),"",IF(OR($I211&amp;"|"&amp;$J211="",COUNTIF(ListeIzinliGecis,$I211&amp;"|"&amp;$J211)&gt;0),"","GEÇERSİZ GEÇİŞ"))</f>
        <v/>
      </c>
      <c r="U211" s="17">
        <f>IF($A211="","",IF(OR($P211="",$G211=""),"",IF(ABS($G211-$P211)&gt;zincirTolerans,"ZİNCİR KIRIK","OK")))</f>
        <v/>
      </c>
      <c r="V211" s="17">
        <f>IF($A211="","",1)</f>
        <v/>
      </c>
      <c r="W211" s="17">
        <f>IF($A211="","",$G211*$N211*pvf_mesaiKatsayi)</f>
        <v/>
      </c>
    </row>
    <row r="212">
      <c r="A212" s="15" t="n"/>
      <c r="B212" s="15" t="n"/>
      <c r="C212" s="66" t="n"/>
      <c r="D212" s="16" t="n"/>
      <c r="E212" s="16" t="n"/>
      <c r="F212" s="16" t="n"/>
      <c r="G212" s="16" t="n"/>
      <c r="H212" s="15" t="n"/>
      <c r="I212" s="15" t="n"/>
      <c r="J212" s="15" t="n"/>
      <c r="K212" s="15" t="n"/>
      <c r="L212" s="15" t="n"/>
      <c r="M212" s="15" t="n"/>
      <c r="N212" s="67" t="n"/>
      <c r="O212" s="17">
        <f>IF($A212="","",MAX(0,$E212-$D212))</f>
        <v/>
      </c>
      <c r="P212" s="17">
        <f>IF($A212="","",MAX(0,$O212-$F212))</f>
        <v/>
      </c>
      <c r="Q212" s="17">
        <f>IF($A212="","",IF(OR($J212="ARSIV",$J212="RED"),0,IF($C212="","",raporTarihi-$C212)))</f>
        <v/>
      </c>
      <c r="R212" s="17">
        <f>IF($A212="","",IF($Q212="","",IF($Q212&lt;=pvf_kovaEsik1,"0-7",IF($Q212&lt;=pvf_kovaEsik2,"8-30",IF($Q212&lt;=pvf_kovaEsik3,"31-60","60+")))))</f>
        <v/>
      </c>
      <c r="S212" s="17">
        <f>IF($A212="","",IF($B212="","YETİM",IF(COUNTIF(tblPersonel[PersonelId],$B212)=0,"YETİM","")))</f>
        <v/>
      </c>
      <c r="T212" s="17">
        <f>IF(OR($A212="",$I212=""),"",IF(OR($I212&amp;"|"&amp;$J212="",COUNTIF(ListeIzinliGecis,$I212&amp;"|"&amp;$J212)&gt;0),"","GEÇERSİZ GEÇİŞ"))</f>
        <v/>
      </c>
      <c r="U212" s="17">
        <f>IF($A212="","",IF(OR($P212="",$G212=""),"",IF(ABS($G212-$P212)&gt;zincirTolerans,"ZİNCİR KIRIK","OK")))</f>
        <v/>
      </c>
      <c r="V212" s="17">
        <f>IF($A212="","",1)</f>
        <v/>
      </c>
      <c r="W212" s="17">
        <f>IF($A212="","",$G212*$N212*pvf_mesaiKatsayi)</f>
        <v/>
      </c>
    </row>
    <row r="213">
      <c r="A213" s="15" t="n"/>
      <c r="B213" s="15" t="n"/>
      <c r="C213" s="66" t="n"/>
      <c r="D213" s="16" t="n"/>
      <c r="E213" s="16" t="n"/>
      <c r="F213" s="16" t="n"/>
      <c r="G213" s="16" t="n"/>
      <c r="H213" s="15" t="n"/>
      <c r="I213" s="15" t="n"/>
      <c r="J213" s="15" t="n"/>
      <c r="K213" s="15" t="n"/>
      <c r="L213" s="15" t="n"/>
      <c r="M213" s="15" t="n"/>
      <c r="N213" s="67" t="n"/>
      <c r="O213" s="17">
        <f>IF($A213="","",MAX(0,$E213-$D213))</f>
        <v/>
      </c>
      <c r="P213" s="17">
        <f>IF($A213="","",MAX(0,$O213-$F213))</f>
        <v/>
      </c>
      <c r="Q213" s="17">
        <f>IF($A213="","",IF(OR($J213="ARSIV",$J213="RED"),0,IF($C213="","",raporTarihi-$C213)))</f>
        <v/>
      </c>
      <c r="R213" s="17">
        <f>IF($A213="","",IF($Q213="","",IF($Q213&lt;=pvf_kovaEsik1,"0-7",IF($Q213&lt;=pvf_kovaEsik2,"8-30",IF($Q213&lt;=pvf_kovaEsik3,"31-60","60+")))))</f>
        <v/>
      </c>
      <c r="S213" s="17">
        <f>IF($A213="","",IF($B213="","YETİM",IF(COUNTIF(tblPersonel[PersonelId],$B213)=0,"YETİM","")))</f>
        <v/>
      </c>
      <c r="T213" s="17">
        <f>IF(OR($A213="",$I213=""),"",IF(OR($I213&amp;"|"&amp;$J213="",COUNTIF(ListeIzinliGecis,$I213&amp;"|"&amp;$J213)&gt;0),"","GEÇERSİZ GEÇİŞ"))</f>
        <v/>
      </c>
      <c r="U213" s="17">
        <f>IF($A213="","",IF(OR($P213="",$G213=""),"",IF(ABS($G213-$P213)&gt;zincirTolerans,"ZİNCİR KIRIK","OK")))</f>
        <v/>
      </c>
      <c r="V213" s="17">
        <f>IF($A213="","",1)</f>
        <v/>
      </c>
      <c r="W213" s="17">
        <f>IF($A213="","",$G213*$N213*pvf_mesaiKatsayi)</f>
        <v/>
      </c>
    </row>
    <row r="214">
      <c r="A214" s="15" t="n"/>
      <c r="B214" s="15" t="n"/>
      <c r="C214" s="66" t="n"/>
      <c r="D214" s="16" t="n"/>
      <c r="E214" s="16" t="n"/>
      <c r="F214" s="16" t="n"/>
      <c r="G214" s="16" t="n"/>
      <c r="H214" s="15" t="n"/>
      <c r="I214" s="15" t="n"/>
      <c r="J214" s="15" t="n"/>
      <c r="K214" s="15" t="n"/>
      <c r="L214" s="15" t="n"/>
      <c r="M214" s="15" t="n"/>
      <c r="N214" s="67" t="n"/>
      <c r="O214" s="17">
        <f>IF($A214="","",MAX(0,$E214-$D214))</f>
        <v/>
      </c>
      <c r="P214" s="17">
        <f>IF($A214="","",MAX(0,$O214-$F214))</f>
        <v/>
      </c>
      <c r="Q214" s="17">
        <f>IF($A214="","",IF(OR($J214="ARSIV",$J214="RED"),0,IF($C214="","",raporTarihi-$C214)))</f>
        <v/>
      </c>
      <c r="R214" s="17">
        <f>IF($A214="","",IF($Q214="","",IF($Q214&lt;=pvf_kovaEsik1,"0-7",IF($Q214&lt;=pvf_kovaEsik2,"8-30",IF($Q214&lt;=pvf_kovaEsik3,"31-60","60+")))))</f>
        <v/>
      </c>
      <c r="S214" s="17">
        <f>IF($A214="","",IF($B214="","YETİM",IF(COUNTIF(tblPersonel[PersonelId],$B214)=0,"YETİM","")))</f>
        <v/>
      </c>
      <c r="T214" s="17">
        <f>IF(OR($A214="",$I214=""),"",IF(OR($I214&amp;"|"&amp;$J214="",COUNTIF(ListeIzinliGecis,$I214&amp;"|"&amp;$J214)&gt;0),"","GEÇERSİZ GEÇİŞ"))</f>
        <v/>
      </c>
      <c r="U214" s="17">
        <f>IF($A214="","",IF(OR($P214="",$G214=""),"",IF(ABS($G214-$P214)&gt;zincirTolerans,"ZİNCİR KIRIK","OK")))</f>
        <v/>
      </c>
      <c r="V214" s="17">
        <f>IF($A214="","",1)</f>
        <v/>
      </c>
      <c r="W214" s="17">
        <f>IF($A214="","",$G214*$N214*pvf_mesaiKatsayi)</f>
        <v/>
      </c>
    </row>
    <row r="215">
      <c r="A215" s="15" t="n"/>
      <c r="B215" s="15" t="n"/>
      <c r="C215" s="66" t="n"/>
      <c r="D215" s="16" t="n"/>
      <c r="E215" s="16" t="n"/>
      <c r="F215" s="16" t="n"/>
      <c r="G215" s="16" t="n"/>
      <c r="H215" s="15" t="n"/>
      <c r="I215" s="15" t="n"/>
      <c r="J215" s="15" t="n"/>
      <c r="K215" s="15" t="n"/>
      <c r="L215" s="15" t="n"/>
      <c r="M215" s="15" t="n"/>
      <c r="N215" s="67" t="n"/>
      <c r="O215" s="17">
        <f>IF($A215="","",MAX(0,$E215-$D215))</f>
        <v/>
      </c>
      <c r="P215" s="17">
        <f>IF($A215="","",MAX(0,$O215-$F215))</f>
        <v/>
      </c>
      <c r="Q215" s="17">
        <f>IF($A215="","",IF(OR($J215="ARSIV",$J215="RED"),0,IF($C215="","",raporTarihi-$C215)))</f>
        <v/>
      </c>
      <c r="R215" s="17">
        <f>IF($A215="","",IF($Q215="","",IF($Q215&lt;=pvf_kovaEsik1,"0-7",IF($Q215&lt;=pvf_kovaEsik2,"8-30",IF($Q215&lt;=pvf_kovaEsik3,"31-60","60+")))))</f>
        <v/>
      </c>
      <c r="S215" s="17">
        <f>IF($A215="","",IF($B215="","YETİM",IF(COUNTIF(tblPersonel[PersonelId],$B215)=0,"YETİM","")))</f>
        <v/>
      </c>
      <c r="T215" s="17">
        <f>IF(OR($A215="",$I215=""),"",IF(OR($I215&amp;"|"&amp;$J215="",COUNTIF(ListeIzinliGecis,$I215&amp;"|"&amp;$J215)&gt;0),"","GEÇERSİZ GEÇİŞ"))</f>
        <v/>
      </c>
      <c r="U215" s="17">
        <f>IF($A215="","",IF(OR($P215="",$G215=""),"",IF(ABS($G215-$P215)&gt;zincirTolerans,"ZİNCİR KIRIK","OK")))</f>
        <v/>
      </c>
      <c r="V215" s="17">
        <f>IF($A215="","",1)</f>
        <v/>
      </c>
      <c r="W215" s="17">
        <f>IF($A215="","",$G215*$N215*pvf_mesaiKatsayi)</f>
        <v/>
      </c>
    </row>
    <row r="216">
      <c r="A216" s="15" t="n"/>
      <c r="B216" s="15" t="n"/>
      <c r="C216" s="66" t="n"/>
      <c r="D216" s="16" t="n"/>
      <c r="E216" s="16" t="n"/>
      <c r="F216" s="16" t="n"/>
      <c r="G216" s="16" t="n"/>
      <c r="H216" s="15" t="n"/>
      <c r="I216" s="15" t="n"/>
      <c r="J216" s="15" t="n"/>
      <c r="K216" s="15" t="n"/>
      <c r="L216" s="15" t="n"/>
      <c r="M216" s="15" t="n"/>
      <c r="N216" s="67" t="n"/>
      <c r="O216" s="17">
        <f>IF($A216="","",MAX(0,$E216-$D216))</f>
        <v/>
      </c>
      <c r="P216" s="17">
        <f>IF($A216="","",MAX(0,$O216-$F216))</f>
        <v/>
      </c>
      <c r="Q216" s="17">
        <f>IF($A216="","",IF(OR($J216="ARSIV",$J216="RED"),0,IF($C216="","",raporTarihi-$C216)))</f>
        <v/>
      </c>
      <c r="R216" s="17">
        <f>IF($A216="","",IF($Q216="","",IF($Q216&lt;=pvf_kovaEsik1,"0-7",IF($Q216&lt;=pvf_kovaEsik2,"8-30",IF($Q216&lt;=pvf_kovaEsik3,"31-60","60+")))))</f>
        <v/>
      </c>
      <c r="S216" s="17">
        <f>IF($A216="","",IF($B216="","YETİM",IF(COUNTIF(tblPersonel[PersonelId],$B216)=0,"YETİM","")))</f>
        <v/>
      </c>
      <c r="T216" s="17">
        <f>IF(OR($A216="",$I216=""),"",IF(OR($I216&amp;"|"&amp;$J216="",COUNTIF(ListeIzinliGecis,$I216&amp;"|"&amp;$J216)&gt;0),"","GEÇERSİZ GEÇİŞ"))</f>
        <v/>
      </c>
      <c r="U216" s="17">
        <f>IF($A216="","",IF(OR($P216="",$G216=""),"",IF(ABS($G216-$P216)&gt;zincirTolerans,"ZİNCİR KIRIK","OK")))</f>
        <v/>
      </c>
      <c r="V216" s="17">
        <f>IF($A216="","",1)</f>
        <v/>
      </c>
      <c r="W216" s="17">
        <f>IF($A216="","",$G216*$N216*pvf_mesaiKatsayi)</f>
        <v/>
      </c>
    </row>
    <row r="217">
      <c r="A217" s="15" t="n"/>
      <c r="B217" s="15" t="n"/>
      <c r="C217" s="66" t="n"/>
      <c r="D217" s="16" t="n"/>
      <c r="E217" s="16" t="n"/>
      <c r="F217" s="16" t="n"/>
      <c r="G217" s="16" t="n"/>
      <c r="H217" s="15" t="n"/>
      <c r="I217" s="15" t="n"/>
      <c r="J217" s="15" t="n"/>
      <c r="K217" s="15" t="n"/>
      <c r="L217" s="15" t="n"/>
      <c r="M217" s="15" t="n"/>
      <c r="N217" s="67" t="n"/>
      <c r="O217" s="17">
        <f>IF($A217="","",MAX(0,$E217-$D217))</f>
        <v/>
      </c>
      <c r="P217" s="17">
        <f>IF($A217="","",MAX(0,$O217-$F217))</f>
        <v/>
      </c>
      <c r="Q217" s="17">
        <f>IF($A217="","",IF(OR($J217="ARSIV",$J217="RED"),0,IF($C217="","",raporTarihi-$C217)))</f>
        <v/>
      </c>
      <c r="R217" s="17">
        <f>IF($A217="","",IF($Q217="","",IF($Q217&lt;=pvf_kovaEsik1,"0-7",IF($Q217&lt;=pvf_kovaEsik2,"8-30",IF($Q217&lt;=pvf_kovaEsik3,"31-60","60+")))))</f>
        <v/>
      </c>
      <c r="S217" s="17">
        <f>IF($A217="","",IF($B217="","YETİM",IF(COUNTIF(tblPersonel[PersonelId],$B217)=0,"YETİM","")))</f>
        <v/>
      </c>
      <c r="T217" s="17">
        <f>IF(OR($A217="",$I217=""),"",IF(OR($I217&amp;"|"&amp;$J217="",COUNTIF(ListeIzinliGecis,$I217&amp;"|"&amp;$J217)&gt;0),"","GEÇERSİZ GEÇİŞ"))</f>
        <v/>
      </c>
      <c r="U217" s="17">
        <f>IF($A217="","",IF(OR($P217="",$G217=""),"",IF(ABS($G217-$P217)&gt;zincirTolerans,"ZİNCİR KIRIK","OK")))</f>
        <v/>
      </c>
      <c r="V217" s="17">
        <f>IF($A217="","",1)</f>
        <v/>
      </c>
      <c r="W217" s="17">
        <f>IF($A217="","",$G217*$N217*pvf_mesaiKatsayi)</f>
        <v/>
      </c>
    </row>
    <row r="218">
      <c r="A218" s="15" t="n"/>
      <c r="B218" s="15" t="n"/>
      <c r="C218" s="66" t="n"/>
      <c r="D218" s="16" t="n"/>
      <c r="E218" s="16" t="n"/>
      <c r="F218" s="16" t="n"/>
      <c r="G218" s="16" t="n"/>
      <c r="H218" s="15" t="n"/>
      <c r="I218" s="15" t="n"/>
      <c r="J218" s="15" t="n"/>
      <c r="K218" s="15" t="n"/>
      <c r="L218" s="15" t="n"/>
      <c r="M218" s="15" t="n"/>
      <c r="N218" s="67" t="n"/>
      <c r="O218" s="17">
        <f>IF($A218="","",MAX(0,$E218-$D218))</f>
        <v/>
      </c>
      <c r="P218" s="17">
        <f>IF($A218="","",MAX(0,$O218-$F218))</f>
        <v/>
      </c>
      <c r="Q218" s="17">
        <f>IF($A218="","",IF(OR($J218="ARSIV",$J218="RED"),0,IF($C218="","",raporTarihi-$C218)))</f>
        <v/>
      </c>
      <c r="R218" s="17">
        <f>IF($A218="","",IF($Q218="","",IF($Q218&lt;=pvf_kovaEsik1,"0-7",IF($Q218&lt;=pvf_kovaEsik2,"8-30",IF($Q218&lt;=pvf_kovaEsik3,"31-60","60+")))))</f>
        <v/>
      </c>
      <c r="S218" s="17">
        <f>IF($A218="","",IF($B218="","YETİM",IF(COUNTIF(tblPersonel[PersonelId],$B218)=0,"YETİM","")))</f>
        <v/>
      </c>
      <c r="T218" s="17">
        <f>IF(OR($A218="",$I218=""),"",IF(OR($I218&amp;"|"&amp;$J218="",COUNTIF(ListeIzinliGecis,$I218&amp;"|"&amp;$J218)&gt;0),"","GEÇERSİZ GEÇİŞ"))</f>
        <v/>
      </c>
      <c r="U218" s="17">
        <f>IF($A218="","",IF(OR($P218="",$G218=""),"",IF(ABS($G218-$P218)&gt;zincirTolerans,"ZİNCİR KIRIK","OK")))</f>
        <v/>
      </c>
      <c r="V218" s="17">
        <f>IF($A218="","",1)</f>
        <v/>
      </c>
      <c r="W218" s="17">
        <f>IF($A218="","",$G218*$N218*pvf_mesaiKatsayi)</f>
        <v/>
      </c>
    </row>
    <row r="219">
      <c r="A219" s="15" t="n"/>
      <c r="B219" s="15" t="n"/>
      <c r="C219" s="66" t="n"/>
      <c r="D219" s="16" t="n"/>
      <c r="E219" s="16" t="n"/>
      <c r="F219" s="16" t="n"/>
      <c r="G219" s="16" t="n"/>
      <c r="H219" s="15" t="n"/>
      <c r="I219" s="15" t="n"/>
      <c r="J219" s="15" t="n"/>
      <c r="K219" s="15" t="n"/>
      <c r="L219" s="15" t="n"/>
      <c r="M219" s="15" t="n"/>
      <c r="N219" s="67" t="n"/>
      <c r="O219" s="17">
        <f>IF($A219="","",MAX(0,$E219-$D219))</f>
        <v/>
      </c>
      <c r="P219" s="17">
        <f>IF($A219="","",MAX(0,$O219-$F219))</f>
        <v/>
      </c>
      <c r="Q219" s="17">
        <f>IF($A219="","",IF(OR($J219="ARSIV",$J219="RED"),0,IF($C219="","",raporTarihi-$C219)))</f>
        <v/>
      </c>
      <c r="R219" s="17">
        <f>IF($A219="","",IF($Q219="","",IF($Q219&lt;=pvf_kovaEsik1,"0-7",IF($Q219&lt;=pvf_kovaEsik2,"8-30",IF($Q219&lt;=pvf_kovaEsik3,"31-60","60+")))))</f>
        <v/>
      </c>
      <c r="S219" s="17">
        <f>IF($A219="","",IF($B219="","YETİM",IF(COUNTIF(tblPersonel[PersonelId],$B219)=0,"YETİM","")))</f>
        <v/>
      </c>
      <c r="T219" s="17">
        <f>IF(OR($A219="",$I219=""),"",IF(OR($I219&amp;"|"&amp;$J219="",COUNTIF(ListeIzinliGecis,$I219&amp;"|"&amp;$J219)&gt;0),"","GEÇERSİZ GEÇİŞ"))</f>
        <v/>
      </c>
      <c r="U219" s="17">
        <f>IF($A219="","",IF(OR($P219="",$G219=""),"",IF(ABS($G219-$P219)&gt;zincirTolerans,"ZİNCİR KIRIK","OK")))</f>
        <v/>
      </c>
      <c r="V219" s="17">
        <f>IF($A219="","",1)</f>
        <v/>
      </c>
      <c r="W219" s="17">
        <f>IF($A219="","",$G219*$N219*pvf_mesaiKatsayi)</f>
        <v/>
      </c>
    </row>
    <row r="220">
      <c r="A220" s="15" t="n"/>
      <c r="B220" s="15" t="n"/>
      <c r="C220" s="66" t="n"/>
      <c r="D220" s="16" t="n"/>
      <c r="E220" s="16" t="n"/>
      <c r="F220" s="16" t="n"/>
      <c r="G220" s="16" t="n"/>
      <c r="H220" s="15" t="n"/>
      <c r="I220" s="15" t="n"/>
      <c r="J220" s="15" t="n"/>
      <c r="K220" s="15" t="n"/>
      <c r="L220" s="15" t="n"/>
      <c r="M220" s="15" t="n"/>
      <c r="N220" s="67" t="n"/>
      <c r="O220" s="17">
        <f>IF($A220="","",MAX(0,$E220-$D220))</f>
        <v/>
      </c>
      <c r="P220" s="17">
        <f>IF($A220="","",MAX(0,$O220-$F220))</f>
        <v/>
      </c>
      <c r="Q220" s="17">
        <f>IF($A220="","",IF(OR($J220="ARSIV",$J220="RED"),0,IF($C220="","",raporTarihi-$C220)))</f>
        <v/>
      </c>
      <c r="R220" s="17">
        <f>IF($A220="","",IF($Q220="","",IF($Q220&lt;=pvf_kovaEsik1,"0-7",IF($Q220&lt;=pvf_kovaEsik2,"8-30",IF($Q220&lt;=pvf_kovaEsik3,"31-60","60+")))))</f>
        <v/>
      </c>
      <c r="S220" s="17">
        <f>IF($A220="","",IF($B220="","YETİM",IF(COUNTIF(tblPersonel[PersonelId],$B220)=0,"YETİM","")))</f>
        <v/>
      </c>
      <c r="T220" s="17">
        <f>IF(OR($A220="",$I220=""),"",IF(OR($I220&amp;"|"&amp;$J220="",COUNTIF(ListeIzinliGecis,$I220&amp;"|"&amp;$J220)&gt;0),"","GEÇERSİZ GEÇİŞ"))</f>
        <v/>
      </c>
      <c r="U220" s="17">
        <f>IF($A220="","",IF(OR($P220="",$G220=""),"",IF(ABS($G220-$P220)&gt;zincirTolerans,"ZİNCİR KIRIK","OK")))</f>
        <v/>
      </c>
      <c r="V220" s="17">
        <f>IF($A220="","",1)</f>
        <v/>
      </c>
      <c r="W220" s="17">
        <f>IF($A220="","",$G220*$N220*pvf_mesaiKatsayi)</f>
        <v/>
      </c>
    </row>
    <row r="221">
      <c r="A221" s="15" t="n"/>
      <c r="B221" s="15" t="n"/>
      <c r="C221" s="66" t="n"/>
      <c r="D221" s="16" t="n"/>
      <c r="E221" s="16" t="n"/>
      <c r="F221" s="16" t="n"/>
      <c r="G221" s="16" t="n"/>
      <c r="H221" s="15" t="n"/>
      <c r="I221" s="15" t="n"/>
      <c r="J221" s="15" t="n"/>
      <c r="K221" s="15" t="n"/>
      <c r="L221" s="15" t="n"/>
      <c r="M221" s="15" t="n"/>
      <c r="N221" s="67" t="n"/>
      <c r="O221" s="17">
        <f>IF($A221="","",MAX(0,$E221-$D221))</f>
        <v/>
      </c>
      <c r="P221" s="17">
        <f>IF($A221="","",MAX(0,$O221-$F221))</f>
        <v/>
      </c>
      <c r="Q221" s="17">
        <f>IF($A221="","",IF(OR($J221="ARSIV",$J221="RED"),0,IF($C221="","",raporTarihi-$C221)))</f>
        <v/>
      </c>
      <c r="R221" s="17">
        <f>IF($A221="","",IF($Q221="","",IF($Q221&lt;=pvf_kovaEsik1,"0-7",IF($Q221&lt;=pvf_kovaEsik2,"8-30",IF($Q221&lt;=pvf_kovaEsik3,"31-60","60+")))))</f>
        <v/>
      </c>
      <c r="S221" s="17">
        <f>IF($A221="","",IF($B221="","YETİM",IF(COUNTIF(tblPersonel[PersonelId],$B221)=0,"YETİM","")))</f>
        <v/>
      </c>
      <c r="T221" s="17">
        <f>IF(OR($A221="",$I221=""),"",IF(OR($I221&amp;"|"&amp;$J221="",COUNTIF(ListeIzinliGecis,$I221&amp;"|"&amp;$J221)&gt;0),"","GEÇERSİZ GEÇİŞ"))</f>
        <v/>
      </c>
      <c r="U221" s="17">
        <f>IF($A221="","",IF(OR($P221="",$G221=""),"",IF(ABS($G221-$P221)&gt;zincirTolerans,"ZİNCİR KIRIK","OK")))</f>
        <v/>
      </c>
      <c r="V221" s="17">
        <f>IF($A221="","",1)</f>
        <v/>
      </c>
      <c r="W221" s="17">
        <f>IF($A221="","",$G221*$N221*pvf_mesaiKatsayi)</f>
        <v/>
      </c>
    </row>
    <row r="222">
      <c r="A222" s="15" t="n"/>
      <c r="B222" s="15" t="n"/>
      <c r="C222" s="66" t="n"/>
      <c r="D222" s="16" t="n"/>
      <c r="E222" s="16" t="n"/>
      <c r="F222" s="16" t="n"/>
      <c r="G222" s="16" t="n"/>
      <c r="H222" s="15" t="n"/>
      <c r="I222" s="15" t="n"/>
      <c r="J222" s="15" t="n"/>
      <c r="K222" s="15" t="n"/>
      <c r="L222" s="15" t="n"/>
      <c r="M222" s="15" t="n"/>
      <c r="N222" s="67" t="n"/>
      <c r="O222" s="17">
        <f>IF($A222="","",MAX(0,$E222-$D222))</f>
        <v/>
      </c>
      <c r="P222" s="17">
        <f>IF($A222="","",MAX(0,$O222-$F222))</f>
        <v/>
      </c>
      <c r="Q222" s="17">
        <f>IF($A222="","",IF(OR($J222="ARSIV",$J222="RED"),0,IF($C222="","",raporTarihi-$C222)))</f>
        <v/>
      </c>
      <c r="R222" s="17">
        <f>IF($A222="","",IF($Q222="","",IF($Q222&lt;=pvf_kovaEsik1,"0-7",IF($Q222&lt;=pvf_kovaEsik2,"8-30",IF($Q222&lt;=pvf_kovaEsik3,"31-60","60+")))))</f>
        <v/>
      </c>
      <c r="S222" s="17">
        <f>IF($A222="","",IF($B222="","YETİM",IF(COUNTIF(tblPersonel[PersonelId],$B222)=0,"YETİM","")))</f>
        <v/>
      </c>
      <c r="T222" s="17">
        <f>IF(OR($A222="",$I222=""),"",IF(OR($I222&amp;"|"&amp;$J222="",COUNTIF(ListeIzinliGecis,$I222&amp;"|"&amp;$J222)&gt;0),"","GEÇERSİZ GEÇİŞ"))</f>
        <v/>
      </c>
      <c r="U222" s="17">
        <f>IF($A222="","",IF(OR($P222="",$G222=""),"",IF(ABS($G222-$P222)&gt;zincirTolerans,"ZİNCİR KIRIK","OK")))</f>
        <v/>
      </c>
      <c r="V222" s="17">
        <f>IF($A222="","",1)</f>
        <v/>
      </c>
      <c r="W222" s="17">
        <f>IF($A222="","",$G222*$N222*pvf_mesaiKatsayi)</f>
        <v/>
      </c>
    </row>
    <row r="223">
      <c r="A223" s="15" t="n"/>
      <c r="B223" s="15" t="n"/>
      <c r="C223" s="66" t="n"/>
      <c r="D223" s="16" t="n"/>
      <c r="E223" s="16" t="n"/>
      <c r="F223" s="16" t="n"/>
      <c r="G223" s="16" t="n"/>
      <c r="H223" s="15" t="n"/>
      <c r="I223" s="15" t="n"/>
      <c r="J223" s="15" t="n"/>
      <c r="K223" s="15" t="n"/>
      <c r="L223" s="15" t="n"/>
      <c r="M223" s="15" t="n"/>
      <c r="N223" s="67" t="n"/>
      <c r="O223" s="17">
        <f>IF($A223="","",MAX(0,$E223-$D223))</f>
        <v/>
      </c>
      <c r="P223" s="17">
        <f>IF($A223="","",MAX(0,$O223-$F223))</f>
        <v/>
      </c>
      <c r="Q223" s="17">
        <f>IF($A223="","",IF(OR($J223="ARSIV",$J223="RED"),0,IF($C223="","",raporTarihi-$C223)))</f>
        <v/>
      </c>
      <c r="R223" s="17">
        <f>IF($A223="","",IF($Q223="","",IF($Q223&lt;=pvf_kovaEsik1,"0-7",IF($Q223&lt;=pvf_kovaEsik2,"8-30",IF($Q223&lt;=pvf_kovaEsik3,"31-60","60+")))))</f>
        <v/>
      </c>
      <c r="S223" s="17">
        <f>IF($A223="","",IF($B223="","YETİM",IF(COUNTIF(tblPersonel[PersonelId],$B223)=0,"YETİM","")))</f>
        <v/>
      </c>
      <c r="T223" s="17">
        <f>IF(OR($A223="",$I223=""),"",IF(OR($I223&amp;"|"&amp;$J223="",COUNTIF(ListeIzinliGecis,$I223&amp;"|"&amp;$J223)&gt;0),"","GEÇERSİZ GEÇİŞ"))</f>
        <v/>
      </c>
      <c r="U223" s="17">
        <f>IF($A223="","",IF(OR($P223="",$G223=""),"",IF(ABS($G223-$P223)&gt;zincirTolerans,"ZİNCİR KIRIK","OK")))</f>
        <v/>
      </c>
      <c r="V223" s="17">
        <f>IF($A223="","",1)</f>
        <v/>
      </c>
      <c r="W223" s="17">
        <f>IF($A223="","",$G223*$N223*pvf_mesaiKatsayi)</f>
        <v/>
      </c>
    </row>
    <row r="224">
      <c r="A224" s="15" t="n"/>
      <c r="B224" s="15" t="n"/>
      <c r="C224" s="66" t="n"/>
      <c r="D224" s="16" t="n"/>
      <c r="E224" s="16" t="n"/>
      <c r="F224" s="16" t="n"/>
      <c r="G224" s="16" t="n"/>
      <c r="H224" s="15" t="n"/>
      <c r="I224" s="15" t="n"/>
      <c r="J224" s="15" t="n"/>
      <c r="K224" s="15" t="n"/>
      <c r="L224" s="15" t="n"/>
      <c r="M224" s="15" t="n"/>
      <c r="N224" s="67" t="n"/>
      <c r="O224" s="17">
        <f>IF($A224="","",MAX(0,$E224-$D224))</f>
        <v/>
      </c>
      <c r="P224" s="17">
        <f>IF($A224="","",MAX(0,$O224-$F224))</f>
        <v/>
      </c>
      <c r="Q224" s="17">
        <f>IF($A224="","",IF(OR($J224="ARSIV",$J224="RED"),0,IF($C224="","",raporTarihi-$C224)))</f>
        <v/>
      </c>
      <c r="R224" s="17">
        <f>IF($A224="","",IF($Q224="","",IF($Q224&lt;=pvf_kovaEsik1,"0-7",IF($Q224&lt;=pvf_kovaEsik2,"8-30",IF($Q224&lt;=pvf_kovaEsik3,"31-60","60+")))))</f>
        <v/>
      </c>
      <c r="S224" s="17">
        <f>IF($A224="","",IF($B224="","YETİM",IF(COUNTIF(tblPersonel[PersonelId],$B224)=0,"YETİM","")))</f>
        <v/>
      </c>
      <c r="T224" s="17">
        <f>IF(OR($A224="",$I224=""),"",IF(OR($I224&amp;"|"&amp;$J224="",COUNTIF(ListeIzinliGecis,$I224&amp;"|"&amp;$J224)&gt;0),"","GEÇERSİZ GEÇİŞ"))</f>
        <v/>
      </c>
      <c r="U224" s="17">
        <f>IF($A224="","",IF(OR($P224="",$G224=""),"",IF(ABS($G224-$P224)&gt;zincirTolerans,"ZİNCİR KIRIK","OK")))</f>
        <v/>
      </c>
      <c r="V224" s="17">
        <f>IF($A224="","",1)</f>
        <v/>
      </c>
      <c r="W224" s="17">
        <f>IF($A224="","",$G224*$N224*pvf_mesaiKatsayi)</f>
        <v/>
      </c>
    </row>
    <row r="225">
      <c r="A225" s="15" t="n"/>
      <c r="B225" s="15" t="n"/>
      <c r="C225" s="66" t="n"/>
      <c r="D225" s="16" t="n"/>
      <c r="E225" s="16" t="n"/>
      <c r="F225" s="16" t="n"/>
      <c r="G225" s="16" t="n"/>
      <c r="H225" s="15" t="n"/>
      <c r="I225" s="15" t="n"/>
      <c r="J225" s="15" t="n"/>
      <c r="K225" s="15" t="n"/>
      <c r="L225" s="15" t="n"/>
      <c r="M225" s="15" t="n"/>
      <c r="N225" s="67" t="n"/>
      <c r="O225" s="17">
        <f>IF($A225="","",MAX(0,$E225-$D225))</f>
        <v/>
      </c>
      <c r="P225" s="17">
        <f>IF($A225="","",MAX(0,$O225-$F225))</f>
        <v/>
      </c>
      <c r="Q225" s="17">
        <f>IF($A225="","",IF(OR($J225="ARSIV",$J225="RED"),0,IF($C225="","",raporTarihi-$C225)))</f>
        <v/>
      </c>
      <c r="R225" s="17">
        <f>IF($A225="","",IF($Q225="","",IF($Q225&lt;=pvf_kovaEsik1,"0-7",IF($Q225&lt;=pvf_kovaEsik2,"8-30",IF($Q225&lt;=pvf_kovaEsik3,"31-60","60+")))))</f>
        <v/>
      </c>
      <c r="S225" s="17">
        <f>IF($A225="","",IF($B225="","YETİM",IF(COUNTIF(tblPersonel[PersonelId],$B225)=0,"YETİM","")))</f>
        <v/>
      </c>
      <c r="T225" s="17">
        <f>IF(OR($A225="",$I225=""),"",IF(OR($I225&amp;"|"&amp;$J225="",COUNTIF(ListeIzinliGecis,$I225&amp;"|"&amp;$J225)&gt;0),"","GEÇERSİZ GEÇİŞ"))</f>
        <v/>
      </c>
      <c r="U225" s="17">
        <f>IF($A225="","",IF(OR($P225="",$G225=""),"",IF(ABS($G225-$P225)&gt;zincirTolerans,"ZİNCİR KIRIK","OK")))</f>
        <v/>
      </c>
      <c r="V225" s="17">
        <f>IF($A225="","",1)</f>
        <v/>
      </c>
      <c r="W225" s="17">
        <f>IF($A225="","",$G225*$N225*pvf_mesaiKatsayi)</f>
        <v/>
      </c>
    </row>
    <row r="226">
      <c r="A226" s="15" t="n"/>
      <c r="B226" s="15" t="n"/>
      <c r="C226" s="66" t="n"/>
      <c r="D226" s="16" t="n"/>
      <c r="E226" s="16" t="n"/>
      <c r="F226" s="16" t="n"/>
      <c r="G226" s="16" t="n"/>
      <c r="H226" s="15" t="n"/>
      <c r="I226" s="15" t="n"/>
      <c r="J226" s="15" t="n"/>
      <c r="K226" s="15" t="n"/>
      <c r="L226" s="15" t="n"/>
      <c r="M226" s="15" t="n"/>
      <c r="N226" s="67" t="n"/>
      <c r="O226" s="17">
        <f>IF($A226="","",MAX(0,$E226-$D226))</f>
        <v/>
      </c>
      <c r="P226" s="17">
        <f>IF($A226="","",MAX(0,$O226-$F226))</f>
        <v/>
      </c>
      <c r="Q226" s="17">
        <f>IF($A226="","",IF(OR($J226="ARSIV",$J226="RED"),0,IF($C226="","",raporTarihi-$C226)))</f>
        <v/>
      </c>
      <c r="R226" s="17">
        <f>IF($A226="","",IF($Q226="","",IF($Q226&lt;=pvf_kovaEsik1,"0-7",IF($Q226&lt;=pvf_kovaEsik2,"8-30",IF($Q226&lt;=pvf_kovaEsik3,"31-60","60+")))))</f>
        <v/>
      </c>
      <c r="S226" s="17">
        <f>IF($A226="","",IF($B226="","YETİM",IF(COUNTIF(tblPersonel[PersonelId],$B226)=0,"YETİM","")))</f>
        <v/>
      </c>
      <c r="T226" s="17">
        <f>IF(OR($A226="",$I226=""),"",IF(OR($I226&amp;"|"&amp;$J226="",COUNTIF(ListeIzinliGecis,$I226&amp;"|"&amp;$J226)&gt;0),"","GEÇERSİZ GEÇİŞ"))</f>
        <v/>
      </c>
      <c r="U226" s="17">
        <f>IF($A226="","",IF(OR($P226="",$G226=""),"",IF(ABS($G226-$P226)&gt;zincirTolerans,"ZİNCİR KIRIK","OK")))</f>
        <v/>
      </c>
      <c r="V226" s="17">
        <f>IF($A226="","",1)</f>
        <v/>
      </c>
      <c r="W226" s="17">
        <f>IF($A226="","",$G226*$N226*pvf_mesaiKatsayi)</f>
        <v/>
      </c>
    </row>
    <row r="227">
      <c r="A227" s="15" t="n"/>
      <c r="B227" s="15" t="n"/>
      <c r="C227" s="66" t="n"/>
      <c r="D227" s="16" t="n"/>
      <c r="E227" s="16" t="n"/>
      <c r="F227" s="16" t="n"/>
      <c r="G227" s="16" t="n"/>
      <c r="H227" s="15" t="n"/>
      <c r="I227" s="15" t="n"/>
      <c r="J227" s="15" t="n"/>
      <c r="K227" s="15" t="n"/>
      <c r="L227" s="15" t="n"/>
      <c r="M227" s="15" t="n"/>
      <c r="N227" s="67" t="n"/>
      <c r="O227" s="17">
        <f>IF($A227="","",MAX(0,$E227-$D227))</f>
        <v/>
      </c>
      <c r="P227" s="17">
        <f>IF($A227="","",MAX(0,$O227-$F227))</f>
        <v/>
      </c>
      <c r="Q227" s="17">
        <f>IF($A227="","",IF(OR($J227="ARSIV",$J227="RED"),0,IF($C227="","",raporTarihi-$C227)))</f>
        <v/>
      </c>
      <c r="R227" s="17">
        <f>IF($A227="","",IF($Q227="","",IF($Q227&lt;=pvf_kovaEsik1,"0-7",IF($Q227&lt;=pvf_kovaEsik2,"8-30",IF($Q227&lt;=pvf_kovaEsik3,"31-60","60+")))))</f>
        <v/>
      </c>
      <c r="S227" s="17">
        <f>IF($A227="","",IF($B227="","YETİM",IF(COUNTIF(tblPersonel[PersonelId],$B227)=0,"YETİM","")))</f>
        <v/>
      </c>
      <c r="T227" s="17">
        <f>IF(OR($A227="",$I227=""),"",IF(OR($I227&amp;"|"&amp;$J227="",COUNTIF(ListeIzinliGecis,$I227&amp;"|"&amp;$J227)&gt;0),"","GEÇERSİZ GEÇİŞ"))</f>
        <v/>
      </c>
      <c r="U227" s="17">
        <f>IF($A227="","",IF(OR($P227="",$G227=""),"",IF(ABS($G227-$P227)&gt;zincirTolerans,"ZİNCİR KIRIK","OK")))</f>
        <v/>
      </c>
      <c r="V227" s="17">
        <f>IF($A227="","",1)</f>
        <v/>
      </c>
      <c r="W227" s="17">
        <f>IF($A227="","",$G227*$N227*pvf_mesaiKatsayi)</f>
        <v/>
      </c>
    </row>
    <row r="228">
      <c r="A228" s="15" t="n"/>
      <c r="B228" s="15" t="n"/>
      <c r="C228" s="66" t="n"/>
      <c r="D228" s="16" t="n"/>
      <c r="E228" s="16" t="n"/>
      <c r="F228" s="16" t="n"/>
      <c r="G228" s="16" t="n"/>
      <c r="H228" s="15" t="n"/>
      <c r="I228" s="15" t="n"/>
      <c r="J228" s="15" t="n"/>
      <c r="K228" s="15" t="n"/>
      <c r="L228" s="15" t="n"/>
      <c r="M228" s="15" t="n"/>
      <c r="N228" s="67" t="n"/>
      <c r="O228" s="17">
        <f>IF($A228="","",MAX(0,$E228-$D228))</f>
        <v/>
      </c>
      <c r="P228" s="17">
        <f>IF($A228="","",MAX(0,$O228-$F228))</f>
        <v/>
      </c>
      <c r="Q228" s="17">
        <f>IF($A228="","",IF(OR($J228="ARSIV",$J228="RED"),0,IF($C228="","",raporTarihi-$C228)))</f>
        <v/>
      </c>
      <c r="R228" s="17">
        <f>IF($A228="","",IF($Q228="","",IF($Q228&lt;=pvf_kovaEsik1,"0-7",IF($Q228&lt;=pvf_kovaEsik2,"8-30",IF($Q228&lt;=pvf_kovaEsik3,"31-60","60+")))))</f>
        <v/>
      </c>
      <c r="S228" s="17">
        <f>IF($A228="","",IF($B228="","YETİM",IF(COUNTIF(tblPersonel[PersonelId],$B228)=0,"YETİM","")))</f>
        <v/>
      </c>
      <c r="T228" s="17">
        <f>IF(OR($A228="",$I228=""),"",IF(OR($I228&amp;"|"&amp;$J228="",COUNTIF(ListeIzinliGecis,$I228&amp;"|"&amp;$J228)&gt;0),"","GEÇERSİZ GEÇİŞ"))</f>
        <v/>
      </c>
      <c r="U228" s="17">
        <f>IF($A228="","",IF(OR($P228="",$G228=""),"",IF(ABS($G228-$P228)&gt;zincirTolerans,"ZİNCİR KIRIK","OK")))</f>
        <v/>
      </c>
      <c r="V228" s="17">
        <f>IF($A228="","",1)</f>
        <v/>
      </c>
      <c r="W228" s="17">
        <f>IF($A228="","",$G228*$N228*pvf_mesaiKatsayi)</f>
        <v/>
      </c>
    </row>
    <row r="229">
      <c r="A229" s="15" t="n"/>
      <c r="B229" s="15" t="n"/>
      <c r="C229" s="66" t="n"/>
      <c r="D229" s="16" t="n"/>
      <c r="E229" s="16" t="n"/>
      <c r="F229" s="16" t="n"/>
      <c r="G229" s="16" t="n"/>
      <c r="H229" s="15" t="n"/>
      <c r="I229" s="15" t="n"/>
      <c r="J229" s="15" t="n"/>
      <c r="K229" s="15" t="n"/>
      <c r="L229" s="15" t="n"/>
      <c r="M229" s="15" t="n"/>
      <c r="N229" s="67" t="n"/>
      <c r="O229" s="17">
        <f>IF($A229="","",MAX(0,$E229-$D229))</f>
        <v/>
      </c>
      <c r="P229" s="17">
        <f>IF($A229="","",MAX(0,$O229-$F229))</f>
        <v/>
      </c>
      <c r="Q229" s="17">
        <f>IF($A229="","",IF(OR($J229="ARSIV",$J229="RED"),0,IF($C229="","",raporTarihi-$C229)))</f>
        <v/>
      </c>
      <c r="R229" s="17">
        <f>IF($A229="","",IF($Q229="","",IF($Q229&lt;=pvf_kovaEsik1,"0-7",IF($Q229&lt;=pvf_kovaEsik2,"8-30",IF($Q229&lt;=pvf_kovaEsik3,"31-60","60+")))))</f>
        <v/>
      </c>
      <c r="S229" s="17">
        <f>IF($A229="","",IF($B229="","YETİM",IF(COUNTIF(tblPersonel[PersonelId],$B229)=0,"YETİM","")))</f>
        <v/>
      </c>
      <c r="T229" s="17">
        <f>IF(OR($A229="",$I229=""),"",IF(OR($I229&amp;"|"&amp;$J229="",COUNTIF(ListeIzinliGecis,$I229&amp;"|"&amp;$J229)&gt;0),"","GEÇERSİZ GEÇİŞ"))</f>
        <v/>
      </c>
      <c r="U229" s="17">
        <f>IF($A229="","",IF(OR($P229="",$G229=""),"",IF(ABS($G229-$P229)&gt;zincirTolerans,"ZİNCİR KIRIK","OK")))</f>
        <v/>
      </c>
      <c r="V229" s="17">
        <f>IF($A229="","",1)</f>
        <v/>
      </c>
      <c r="W229" s="17">
        <f>IF($A229="","",$G229*$N229*pvf_mesaiKatsayi)</f>
        <v/>
      </c>
    </row>
    <row r="230">
      <c r="A230" s="15" t="n"/>
      <c r="B230" s="15" t="n"/>
      <c r="C230" s="66" t="n"/>
      <c r="D230" s="16" t="n"/>
      <c r="E230" s="16" t="n"/>
      <c r="F230" s="16" t="n"/>
      <c r="G230" s="16" t="n"/>
      <c r="H230" s="15" t="n"/>
      <c r="I230" s="15" t="n"/>
      <c r="J230" s="15" t="n"/>
      <c r="K230" s="15" t="n"/>
      <c r="L230" s="15" t="n"/>
      <c r="M230" s="15" t="n"/>
      <c r="N230" s="67" t="n"/>
      <c r="O230" s="17">
        <f>IF($A230="","",MAX(0,$E230-$D230))</f>
        <v/>
      </c>
      <c r="P230" s="17">
        <f>IF($A230="","",MAX(0,$O230-$F230))</f>
        <v/>
      </c>
      <c r="Q230" s="17">
        <f>IF($A230="","",IF(OR($J230="ARSIV",$J230="RED"),0,IF($C230="","",raporTarihi-$C230)))</f>
        <v/>
      </c>
      <c r="R230" s="17">
        <f>IF($A230="","",IF($Q230="","",IF($Q230&lt;=pvf_kovaEsik1,"0-7",IF($Q230&lt;=pvf_kovaEsik2,"8-30",IF($Q230&lt;=pvf_kovaEsik3,"31-60","60+")))))</f>
        <v/>
      </c>
      <c r="S230" s="17">
        <f>IF($A230="","",IF($B230="","YETİM",IF(COUNTIF(tblPersonel[PersonelId],$B230)=0,"YETİM","")))</f>
        <v/>
      </c>
      <c r="T230" s="17">
        <f>IF(OR($A230="",$I230=""),"",IF(OR($I230&amp;"|"&amp;$J230="",COUNTIF(ListeIzinliGecis,$I230&amp;"|"&amp;$J230)&gt;0),"","GEÇERSİZ GEÇİŞ"))</f>
        <v/>
      </c>
      <c r="U230" s="17">
        <f>IF($A230="","",IF(OR($P230="",$G230=""),"",IF(ABS($G230-$P230)&gt;zincirTolerans,"ZİNCİR KIRIK","OK")))</f>
        <v/>
      </c>
      <c r="V230" s="17">
        <f>IF($A230="","",1)</f>
        <v/>
      </c>
      <c r="W230" s="17">
        <f>IF($A230="","",$G230*$N230*pvf_mesaiKatsayi)</f>
        <v/>
      </c>
    </row>
    <row r="231">
      <c r="A231" s="15" t="n"/>
      <c r="B231" s="15" t="n"/>
      <c r="C231" s="66" t="n"/>
      <c r="D231" s="16" t="n"/>
      <c r="E231" s="16" t="n"/>
      <c r="F231" s="16" t="n"/>
      <c r="G231" s="16" t="n"/>
      <c r="H231" s="15" t="n"/>
      <c r="I231" s="15" t="n"/>
      <c r="J231" s="15" t="n"/>
      <c r="K231" s="15" t="n"/>
      <c r="L231" s="15" t="n"/>
      <c r="M231" s="15" t="n"/>
      <c r="N231" s="67" t="n"/>
      <c r="O231" s="17">
        <f>IF($A231="","",MAX(0,$E231-$D231))</f>
        <v/>
      </c>
      <c r="P231" s="17">
        <f>IF($A231="","",MAX(0,$O231-$F231))</f>
        <v/>
      </c>
      <c r="Q231" s="17">
        <f>IF($A231="","",IF(OR($J231="ARSIV",$J231="RED"),0,IF($C231="","",raporTarihi-$C231)))</f>
        <v/>
      </c>
      <c r="R231" s="17">
        <f>IF($A231="","",IF($Q231="","",IF($Q231&lt;=pvf_kovaEsik1,"0-7",IF($Q231&lt;=pvf_kovaEsik2,"8-30",IF($Q231&lt;=pvf_kovaEsik3,"31-60","60+")))))</f>
        <v/>
      </c>
      <c r="S231" s="17">
        <f>IF($A231="","",IF($B231="","YETİM",IF(COUNTIF(tblPersonel[PersonelId],$B231)=0,"YETİM","")))</f>
        <v/>
      </c>
      <c r="T231" s="17">
        <f>IF(OR($A231="",$I231=""),"",IF(OR($I231&amp;"|"&amp;$J231="",COUNTIF(ListeIzinliGecis,$I231&amp;"|"&amp;$J231)&gt;0),"","GEÇERSİZ GEÇİŞ"))</f>
        <v/>
      </c>
      <c r="U231" s="17">
        <f>IF($A231="","",IF(OR($P231="",$G231=""),"",IF(ABS($G231-$P231)&gt;zincirTolerans,"ZİNCİR KIRIK","OK")))</f>
        <v/>
      </c>
      <c r="V231" s="17">
        <f>IF($A231="","",1)</f>
        <v/>
      </c>
      <c r="W231" s="17">
        <f>IF($A231="","",$G231*$N231*pvf_mesaiKatsayi)</f>
        <v/>
      </c>
    </row>
    <row r="232">
      <c r="A232" s="15" t="n"/>
      <c r="B232" s="15" t="n"/>
      <c r="C232" s="66" t="n"/>
      <c r="D232" s="16" t="n"/>
      <c r="E232" s="16" t="n"/>
      <c r="F232" s="16" t="n"/>
      <c r="G232" s="16" t="n"/>
      <c r="H232" s="15" t="n"/>
      <c r="I232" s="15" t="n"/>
      <c r="J232" s="15" t="n"/>
      <c r="K232" s="15" t="n"/>
      <c r="L232" s="15" t="n"/>
      <c r="M232" s="15" t="n"/>
      <c r="N232" s="67" t="n"/>
      <c r="O232" s="17">
        <f>IF($A232="","",MAX(0,$E232-$D232))</f>
        <v/>
      </c>
      <c r="P232" s="17">
        <f>IF($A232="","",MAX(0,$O232-$F232))</f>
        <v/>
      </c>
      <c r="Q232" s="17">
        <f>IF($A232="","",IF(OR($J232="ARSIV",$J232="RED"),0,IF($C232="","",raporTarihi-$C232)))</f>
        <v/>
      </c>
      <c r="R232" s="17">
        <f>IF($A232="","",IF($Q232="","",IF($Q232&lt;=pvf_kovaEsik1,"0-7",IF($Q232&lt;=pvf_kovaEsik2,"8-30",IF($Q232&lt;=pvf_kovaEsik3,"31-60","60+")))))</f>
        <v/>
      </c>
      <c r="S232" s="17">
        <f>IF($A232="","",IF($B232="","YETİM",IF(COUNTIF(tblPersonel[PersonelId],$B232)=0,"YETİM","")))</f>
        <v/>
      </c>
      <c r="T232" s="17">
        <f>IF(OR($A232="",$I232=""),"",IF(OR($I232&amp;"|"&amp;$J232="",COUNTIF(ListeIzinliGecis,$I232&amp;"|"&amp;$J232)&gt;0),"","GEÇERSİZ GEÇİŞ"))</f>
        <v/>
      </c>
      <c r="U232" s="17">
        <f>IF($A232="","",IF(OR($P232="",$G232=""),"",IF(ABS($G232-$P232)&gt;zincirTolerans,"ZİNCİR KIRIK","OK")))</f>
        <v/>
      </c>
      <c r="V232" s="17">
        <f>IF($A232="","",1)</f>
        <v/>
      </c>
      <c r="W232" s="17">
        <f>IF($A232="","",$G232*$N232*pvf_mesaiKatsayi)</f>
        <v/>
      </c>
    </row>
    <row r="233">
      <c r="A233" s="15" t="n"/>
      <c r="B233" s="15" t="n"/>
      <c r="C233" s="66" t="n"/>
      <c r="D233" s="16" t="n"/>
      <c r="E233" s="16" t="n"/>
      <c r="F233" s="16" t="n"/>
      <c r="G233" s="16" t="n"/>
      <c r="H233" s="15" t="n"/>
      <c r="I233" s="15" t="n"/>
      <c r="J233" s="15" t="n"/>
      <c r="K233" s="15" t="n"/>
      <c r="L233" s="15" t="n"/>
      <c r="M233" s="15" t="n"/>
      <c r="N233" s="67" t="n"/>
      <c r="O233" s="17">
        <f>IF($A233="","",MAX(0,$E233-$D233))</f>
        <v/>
      </c>
      <c r="P233" s="17">
        <f>IF($A233="","",MAX(0,$O233-$F233))</f>
        <v/>
      </c>
      <c r="Q233" s="17">
        <f>IF($A233="","",IF(OR($J233="ARSIV",$J233="RED"),0,IF($C233="","",raporTarihi-$C233)))</f>
        <v/>
      </c>
      <c r="R233" s="17">
        <f>IF($A233="","",IF($Q233="","",IF($Q233&lt;=pvf_kovaEsik1,"0-7",IF($Q233&lt;=pvf_kovaEsik2,"8-30",IF($Q233&lt;=pvf_kovaEsik3,"31-60","60+")))))</f>
        <v/>
      </c>
      <c r="S233" s="17">
        <f>IF($A233="","",IF($B233="","YETİM",IF(COUNTIF(tblPersonel[PersonelId],$B233)=0,"YETİM","")))</f>
        <v/>
      </c>
      <c r="T233" s="17">
        <f>IF(OR($A233="",$I233=""),"",IF(OR($I233&amp;"|"&amp;$J233="",COUNTIF(ListeIzinliGecis,$I233&amp;"|"&amp;$J233)&gt;0),"","GEÇERSİZ GEÇİŞ"))</f>
        <v/>
      </c>
      <c r="U233" s="17">
        <f>IF($A233="","",IF(OR($P233="",$G233=""),"",IF(ABS($G233-$P233)&gt;zincirTolerans,"ZİNCİR KIRIK","OK")))</f>
        <v/>
      </c>
      <c r="V233" s="17">
        <f>IF($A233="","",1)</f>
        <v/>
      </c>
      <c r="W233" s="17">
        <f>IF($A233="","",$G233*$N233*pvf_mesaiKatsayi)</f>
        <v/>
      </c>
    </row>
    <row r="234">
      <c r="A234" s="15" t="n"/>
      <c r="B234" s="15" t="n"/>
      <c r="C234" s="66" t="n"/>
      <c r="D234" s="16" t="n"/>
      <c r="E234" s="16" t="n"/>
      <c r="F234" s="16" t="n"/>
      <c r="G234" s="16" t="n"/>
      <c r="H234" s="15" t="n"/>
      <c r="I234" s="15" t="n"/>
      <c r="J234" s="15" t="n"/>
      <c r="K234" s="15" t="n"/>
      <c r="L234" s="15" t="n"/>
      <c r="M234" s="15" t="n"/>
      <c r="N234" s="67" t="n"/>
      <c r="O234" s="17">
        <f>IF($A234="","",MAX(0,$E234-$D234))</f>
        <v/>
      </c>
      <c r="P234" s="17">
        <f>IF($A234="","",MAX(0,$O234-$F234))</f>
        <v/>
      </c>
      <c r="Q234" s="17">
        <f>IF($A234="","",IF(OR($J234="ARSIV",$J234="RED"),0,IF($C234="","",raporTarihi-$C234)))</f>
        <v/>
      </c>
      <c r="R234" s="17">
        <f>IF($A234="","",IF($Q234="","",IF($Q234&lt;=pvf_kovaEsik1,"0-7",IF($Q234&lt;=pvf_kovaEsik2,"8-30",IF($Q234&lt;=pvf_kovaEsik3,"31-60","60+")))))</f>
        <v/>
      </c>
      <c r="S234" s="17">
        <f>IF($A234="","",IF($B234="","YETİM",IF(COUNTIF(tblPersonel[PersonelId],$B234)=0,"YETİM","")))</f>
        <v/>
      </c>
      <c r="T234" s="17">
        <f>IF(OR($A234="",$I234=""),"",IF(OR($I234&amp;"|"&amp;$J234="",COUNTIF(ListeIzinliGecis,$I234&amp;"|"&amp;$J234)&gt;0),"","GEÇERSİZ GEÇİŞ"))</f>
        <v/>
      </c>
      <c r="U234" s="17">
        <f>IF($A234="","",IF(OR($P234="",$G234=""),"",IF(ABS($G234-$P234)&gt;zincirTolerans,"ZİNCİR KIRIK","OK")))</f>
        <v/>
      </c>
      <c r="V234" s="17">
        <f>IF($A234="","",1)</f>
        <v/>
      </c>
      <c r="W234" s="17">
        <f>IF($A234="","",$G234*$N234*pvf_mesaiKatsayi)</f>
        <v/>
      </c>
    </row>
    <row r="235">
      <c r="A235" s="15" t="n"/>
      <c r="B235" s="15" t="n"/>
      <c r="C235" s="66" t="n"/>
      <c r="D235" s="16" t="n"/>
      <c r="E235" s="16" t="n"/>
      <c r="F235" s="16" t="n"/>
      <c r="G235" s="16" t="n"/>
      <c r="H235" s="15" t="n"/>
      <c r="I235" s="15" t="n"/>
      <c r="J235" s="15" t="n"/>
      <c r="K235" s="15" t="n"/>
      <c r="L235" s="15" t="n"/>
      <c r="M235" s="15" t="n"/>
      <c r="N235" s="67" t="n"/>
      <c r="O235" s="17">
        <f>IF($A235="","",MAX(0,$E235-$D235))</f>
        <v/>
      </c>
      <c r="P235" s="17">
        <f>IF($A235="","",MAX(0,$O235-$F235))</f>
        <v/>
      </c>
      <c r="Q235" s="17">
        <f>IF($A235="","",IF(OR($J235="ARSIV",$J235="RED"),0,IF($C235="","",raporTarihi-$C235)))</f>
        <v/>
      </c>
      <c r="R235" s="17">
        <f>IF($A235="","",IF($Q235="","",IF($Q235&lt;=pvf_kovaEsik1,"0-7",IF($Q235&lt;=pvf_kovaEsik2,"8-30",IF($Q235&lt;=pvf_kovaEsik3,"31-60","60+")))))</f>
        <v/>
      </c>
      <c r="S235" s="17">
        <f>IF($A235="","",IF($B235="","YETİM",IF(COUNTIF(tblPersonel[PersonelId],$B235)=0,"YETİM","")))</f>
        <v/>
      </c>
      <c r="T235" s="17">
        <f>IF(OR($A235="",$I235=""),"",IF(OR($I235&amp;"|"&amp;$J235="",COUNTIF(ListeIzinliGecis,$I235&amp;"|"&amp;$J235)&gt;0),"","GEÇERSİZ GEÇİŞ"))</f>
        <v/>
      </c>
      <c r="U235" s="17">
        <f>IF($A235="","",IF(OR($P235="",$G235=""),"",IF(ABS($G235-$P235)&gt;zincirTolerans,"ZİNCİR KIRIK","OK")))</f>
        <v/>
      </c>
      <c r="V235" s="17">
        <f>IF($A235="","",1)</f>
        <v/>
      </c>
      <c r="W235" s="17">
        <f>IF($A235="","",$G235*$N235*pvf_mesaiKatsayi)</f>
        <v/>
      </c>
    </row>
    <row r="236">
      <c r="A236" s="15" t="n"/>
      <c r="B236" s="15" t="n"/>
      <c r="C236" s="66" t="n"/>
      <c r="D236" s="16" t="n"/>
      <c r="E236" s="16" t="n"/>
      <c r="F236" s="16" t="n"/>
      <c r="G236" s="16" t="n"/>
      <c r="H236" s="15" t="n"/>
      <c r="I236" s="15" t="n"/>
      <c r="J236" s="15" t="n"/>
      <c r="K236" s="15" t="n"/>
      <c r="L236" s="15" t="n"/>
      <c r="M236" s="15" t="n"/>
      <c r="N236" s="67" t="n"/>
      <c r="O236" s="17">
        <f>IF($A236="","",MAX(0,$E236-$D236))</f>
        <v/>
      </c>
      <c r="P236" s="17">
        <f>IF($A236="","",MAX(0,$O236-$F236))</f>
        <v/>
      </c>
      <c r="Q236" s="17">
        <f>IF($A236="","",IF(OR($J236="ARSIV",$J236="RED"),0,IF($C236="","",raporTarihi-$C236)))</f>
        <v/>
      </c>
      <c r="R236" s="17">
        <f>IF($A236="","",IF($Q236="","",IF($Q236&lt;=pvf_kovaEsik1,"0-7",IF($Q236&lt;=pvf_kovaEsik2,"8-30",IF($Q236&lt;=pvf_kovaEsik3,"31-60","60+")))))</f>
        <v/>
      </c>
      <c r="S236" s="17">
        <f>IF($A236="","",IF($B236="","YETİM",IF(COUNTIF(tblPersonel[PersonelId],$B236)=0,"YETİM","")))</f>
        <v/>
      </c>
      <c r="T236" s="17">
        <f>IF(OR($A236="",$I236=""),"",IF(OR($I236&amp;"|"&amp;$J236="",COUNTIF(ListeIzinliGecis,$I236&amp;"|"&amp;$J236)&gt;0),"","GEÇERSİZ GEÇİŞ"))</f>
        <v/>
      </c>
      <c r="U236" s="17">
        <f>IF($A236="","",IF(OR($P236="",$G236=""),"",IF(ABS($G236-$P236)&gt;zincirTolerans,"ZİNCİR KIRIK","OK")))</f>
        <v/>
      </c>
      <c r="V236" s="17">
        <f>IF($A236="","",1)</f>
        <v/>
      </c>
      <c r="W236" s="17">
        <f>IF($A236="","",$G236*$N236*pvf_mesaiKatsayi)</f>
        <v/>
      </c>
    </row>
    <row r="237">
      <c r="A237" s="15" t="n"/>
      <c r="B237" s="15" t="n"/>
      <c r="C237" s="66" t="n"/>
      <c r="D237" s="16" t="n"/>
      <c r="E237" s="16" t="n"/>
      <c r="F237" s="16" t="n"/>
      <c r="G237" s="16" t="n"/>
      <c r="H237" s="15" t="n"/>
      <c r="I237" s="15" t="n"/>
      <c r="J237" s="15" t="n"/>
      <c r="K237" s="15" t="n"/>
      <c r="L237" s="15" t="n"/>
      <c r="M237" s="15" t="n"/>
      <c r="N237" s="67" t="n"/>
      <c r="O237" s="17">
        <f>IF($A237="","",MAX(0,$E237-$D237))</f>
        <v/>
      </c>
      <c r="P237" s="17">
        <f>IF($A237="","",MAX(0,$O237-$F237))</f>
        <v/>
      </c>
      <c r="Q237" s="17">
        <f>IF($A237="","",IF(OR($J237="ARSIV",$J237="RED"),0,IF($C237="","",raporTarihi-$C237)))</f>
        <v/>
      </c>
      <c r="R237" s="17">
        <f>IF($A237="","",IF($Q237="","",IF($Q237&lt;=pvf_kovaEsik1,"0-7",IF($Q237&lt;=pvf_kovaEsik2,"8-30",IF($Q237&lt;=pvf_kovaEsik3,"31-60","60+")))))</f>
        <v/>
      </c>
      <c r="S237" s="17">
        <f>IF($A237="","",IF($B237="","YETİM",IF(COUNTIF(tblPersonel[PersonelId],$B237)=0,"YETİM","")))</f>
        <v/>
      </c>
      <c r="T237" s="17">
        <f>IF(OR($A237="",$I237=""),"",IF(OR($I237&amp;"|"&amp;$J237="",COUNTIF(ListeIzinliGecis,$I237&amp;"|"&amp;$J237)&gt;0),"","GEÇERSİZ GEÇİŞ"))</f>
        <v/>
      </c>
      <c r="U237" s="17">
        <f>IF($A237="","",IF(OR($P237="",$G237=""),"",IF(ABS($G237-$P237)&gt;zincirTolerans,"ZİNCİR KIRIK","OK")))</f>
        <v/>
      </c>
      <c r="V237" s="17">
        <f>IF($A237="","",1)</f>
        <v/>
      </c>
      <c r="W237" s="17">
        <f>IF($A237="","",$G237*$N237*pvf_mesaiKatsayi)</f>
        <v/>
      </c>
    </row>
    <row r="238">
      <c r="A238" s="15" t="n"/>
      <c r="B238" s="15" t="n"/>
      <c r="C238" s="66" t="n"/>
      <c r="D238" s="16" t="n"/>
      <c r="E238" s="16" t="n"/>
      <c r="F238" s="16" t="n"/>
      <c r="G238" s="16" t="n"/>
      <c r="H238" s="15" t="n"/>
      <c r="I238" s="15" t="n"/>
      <c r="J238" s="15" t="n"/>
      <c r="K238" s="15" t="n"/>
      <c r="L238" s="15" t="n"/>
      <c r="M238" s="15" t="n"/>
      <c r="N238" s="67" t="n"/>
      <c r="O238" s="17">
        <f>IF($A238="","",MAX(0,$E238-$D238))</f>
        <v/>
      </c>
      <c r="P238" s="17">
        <f>IF($A238="","",MAX(0,$O238-$F238))</f>
        <v/>
      </c>
      <c r="Q238" s="17">
        <f>IF($A238="","",IF(OR($J238="ARSIV",$J238="RED"),0,IF($C238="","",raporTarihi-$C238)))</f>
        <v/>
      </c>
      <c r="R238" s="17">
        <f>IF($A238="","",IF($Q238="","",IF($Q238&lt;=pvf_kovaEsik1,"0-7",IF($Q238&lt;=pvf_kovaEsik2,"8-30",IF($Q238&lt;=pvf_kovaEsik3,"31-60","60+")))))</f>
        <v/>
      </c>
      <c r="S238" s="17">
        <f>IF($A238="","",IF($B238="","YETİM",IF(COUNTIF(tblPersonel[PersonelId],$B238)=0,"YETİM","")))</f>
        <v/>
      </c>
      <c r="T238" s="17">
        <f>IF(OR($A238="",$I238=""),"",IF(OR($I238&amp;"|"&amp;$J238="",COUNTIF(ListeIzinliGecis,$I238&amp;"|"&amp;$J238)&gt;0),"","GEÇERSİZ GEÇİŞ"))</f>
        <v/>
      </c>
      <c r="U238" s="17">
        <f>IF($A238="","",IF(OR($P238="",$G238=""),"",IF(ABS($G238-$P238)&gt;zincirTolerans,"ZİNCİR KIRIK","OK")))</f>
        <v/>
      </c>
      <c r="V238" s="17">
        <f>IF($A238="","",1)</f>
        <v/>
      </c>
      <c r="W238" s="17">
        <f>IF($A238="","",$G238*$N238*pvf_mesaiKatsayi)</f>
        <v/>
      </c>
    </row>
    <row r="239">
      <c r="A239" s="15" t="n"/>
      <c r="B239" s="15" t="n"/>
      <c r="C239" s="66" t="n"/>
      <c r="D239" s="16" t="n"/>
      <c r="E239" s="16" t="n"/>
      <c r="F239" s="16" t="n"/>
      <c r="G239" s="16" t="n"/>
      <c r="H239" s="15" t="n"/>
      <c r="I239" s="15" t="n"/>
      <c r="J239" s="15" t="n"/>
      <c r="K239" s="15" t="n"/>
      <c r="L239" s="15" t="n"/>
      <c r="M239" s="15" t="n"/>
      <c r="N239" s="67" t="n"/>
      <c r="O239" s="17">
        <f>IF($A239="","",MAX(0,$E239-$D239))</f>
        <v/>
      </c>
      <c r="P239" s="17">
        <f>IF($A239="","",MAX(0,$O239-$F239))</f>
        <v/>
      </c>
      <c r="Q239" s="17">
        <f>IF($A239="","",IF(OR($J239="ARSIV",$J239="RED"),0,IF($C239="","",raporTarihi-$C239)))</f>
        <v/>
      </c>
      <c r="R239" s="17">
        <f>IF($A239="","",IF($Q239="","",IF($Q239&lt;=pvf_kovaEsik1,"0-7",IF($Q239&lt;=pvf_kovaEsik2,"8-30",IF($Q239&lt;=pvf_kovaEsik3,"31-60","60+")))))</f>
        <v/>
      </c>
      <c r="S239" s="17">
        <f>IF($A239="","",IF($B239="","YETİM",IF(COUNTIF(tblPersonel[PersonelId],$B239)=0,"YETİM","")))</f>
        <v/>
      </c>
      <c r="T239" s="17">
        <f>IF(OR($A239="",$I239=""),"",IF(OR($I239&amp;"|"&amp;$J239="",COUNTIF(ListeIzinliGecis,$I239&amp;"|"&amp;$J239)&gt;0),"","GEÇERSİZ GEÇİŞ"))</f>
        <v/>
      </c>
      <c r="U239" s="17">
        <f>IF($A239="","",IF(OR($P239="",$G239=""),"",IF(ABS($G239-$P239)&gt;zincirTolerans,"ZİNCİR KIRIK","OK")))</f>
        <v/>
      </c>
      <c r="V239" s="17">
        <f>IF($A239="","",1)</f>
        <v/>
      </c>
      <c r="W239" s="17">
        <f>IF($A239="","",$G239*$N239*pvf_mesaiKatsayi)</f>
        <v/>
      </c>
    </row>
    <row r="240">
      <c r="A240" s="15" t="n"/>
      <c r="B240" s="15" t="n"/>
      <c r="C240" s="66" t="n"/>
      <c r="D240" s="16" t="n"/>
      <c r="E240" s="16" t="n"/>
      <c r="F240" s="16" t="n"/>
      <c r="G240" s="16" t="n"/>
      <c r="H240" s="15" t="n"/>
      <c r="I240" s="15" t="n"/>
      <c r="J240" s="15" t="n"/>
      <c r="K240" s="15" t="n"/>
      <c r="L240" s="15" t="n"/>
      <c r="M240" s="15" t="n"/>
      <c r="N240" s="67" t="n"/>
      <c r="O240" s="17">
        <f>IF($A240="","",MAX(0,$E240-$D240))</f>
        <v/>
      </c>
      <c r="P240" s="17">
        <f>IF($A240="","",MAX(0,$O240-$F240))</f>
        <v/>
      </c>
      <c r="Q240" s="17">
        <f>IF($A240="","",IF(OR($J240="ARSIV",$J240="RED"),0,IF($C240="","",raporTarihi-$C240)))</f>
        <v/>
      </c>
      <c r="R240" s="17">
        <f>IF($A240="","",IF($Q240="","",IF($Q240&lt;=pvf_kovaEsik1,"0-7",IF($Q240&lt;=pvf_kovaEsik2,"8-30",IF($Q240&lt;=pvf_kovaEsik3,"31-60","60+")))))</f>
        <v/>
      </c>
      <c r="S240" s="17">
        <f>IF($A240="","",IF($B240="","YETİM",IF(COUNTIF(tblPersonel[PersonelId],$B240)=0,"YETİM","")))</f>
        <v/>
      </c>
      <c r="T240" s="17">
        <f>IF(OR($A240="",$I240=""),"",IF(OR($I240&amp;"|"&amp;$J240="",COUNTIF(ListeIzinliGecis,$I240&amp;"|"&amp;$J240)&gt;0),"","GEÇERSİZ GEÇİŞ"))</f>
        <v/>
      </c>
      <c r="U240" s="17">
        <f>IF($A240="","",IF(OR($P240="",$G240=""),"",IF(ABS($G240-$P240)&gt;zincirTolerans,"ZİNCİR KIRIK","OK")))</f>
        <v/>
      </c>
      <c r="V240" s="17">
        <f>IF($A240="","",1)</f>
        <v/>
      </c>
      <c r="W240" s="17">
        <f>IF($A240="","",$G240*$N240*pvf_mesaiKatsayi)</f>
        <v/>
      </c>
    </row>
    <row r="241">
      <c r="A241" s="15" t="n"/>
      <c r="B241" s="15" t="n"/>
      <c r="C241" s="66" t="n"/>
      <c r="D241" s="16" t="n"/>
      <c r="E241" s="16" t="n"/>
      <c r="F241" s="16" t="n"/>
      <c r="G241" s="16" t="n"/>
      <c r="H241" s="15" t="n"/>
      <c r="I241" s="15" t="n"/>
      <c r="J241" s="15" t="n"/>
      <c r="K241" s="15" t="n"/>
      <c r="L241" s="15" t="n"/>
      <c r="M241" s="15" t="n"/>
      <c r="N241" s="67" t="n"/>
      <c r="O241" s="17">
        <f>IF($A241="","",MAX(0,$E241-$D241))</f>
        <v/>
      </c>
      <c r="P241" s="17">
        <f>IF($A241="","",MAX(0,$O241-$F241))</f>
        <v/>
      </c>
      <c r="Q241" s="17">
        <f>IF($A241="","",IF(OR($J241="ARSIV",$J241="RED"),0,IF($C241="","",raporTarihi-$C241)))</f>
        <v/>
      </c>
      <c r="R241" s="17">
        <f>IF($A241="","",IF($Q241="","",IF($Q241&lt;=pvf_kovaEsik1,"0-7",IF($Q241&lt;=pvf_kovaEsik2,"8-30",IF($Q241&lt;=pvf_kovaEsik3,"31-60","60+")))))</f>
        <v/>
      </c>
      <c r="S241" s="17">
        <f>IF($A241="","",IF($B241="","YETİM",IF(COUNTIF(tblPersonel[PersonelId],$B241)=0,"YETİM","")))</f>
        <v/>
      </c>
      <c r="T241" s="17">
        <f>IF(OR($A241="",$I241=""),"",IF(OR($I241&amp;"|"&amp;$J241="",COUNTIF(ListeIzinliGecis,$I241&amp;"|"&amp;$J241)&gt;0),"","GEÇERSİZ GEÇİŞ"))</f>
        <v/>
      </c>
      <c r="U241" s="17">
        <f>IF($A241="","",IF(OR($P241="",$G241=""),"",IF(ABS($G241-$P241)&gt;zincirTolerans,"ZİNCİR KIRIK","OK")))</f>
        <v/>
      </c>
      <c r="V241" s="17">
        <f>IF($A241="","",1)</f>
        <v/>
      </c>
      <c r="W241" s="17">
        <f>IF($A241="","",$G241*$N241*pvf_mesaiKatsayi)</f>
        <v/>
      </c>
    </row>
    <row r="242">
      <c r="A242" s="15" t="n"/>
      <c r="B242" s="15" t="n"/>
      <c r="C242" s="66" t="n"/>
      <c r="D242" s="16" t="n"/>
      <c r="E242" s="16" t="n"/>
      <c r="F242" s="16" t="n"/>
      <c r="G242" s="16" t="n"/>
      <c r="H242" s="15" t="n"/>
      <c r="I242" s="15" t="n"/>
      <c r="J242" s="15" t="n"/>
      <c r="K242" s="15" t="n"/>
      <c r="L242" s="15" t="n"/>
      <c r="M242" s="15" t="n"/>
      <c r="N242" s="67" t="n"/>
      <c r="O242" s="17">
        <f>IF($A242="","",MAX(0,$E242-$D242))</f>
        <v/>
      </c>
      <c r="P242" s="17">
        <f>IF($A242="","",MAX(0,$O242-$F242))</f>
        <v/>
      </c>
      <c r="Q242" s="17">
        <f>IF($A242="","",IF(OR($J242="ARSIV",$J242="RED"),0,IF($C242="","",raporTarihi-$C242)))</f>
        <v/>
      </c>
      <c r="R242" s="17">
        <f>IF($A242="","",IF($Q242="","",IF($Q242&lt;=pvf_kovaEsik1,"0-7",IF($Q242&lt;=pvf_kovaEsik2,"8-30",IF($Q242&lt;=pvf_kovaEsik3,"31-60","60+")))))</f>
        <v/>
      </c>
      <c r="S242" s="17">
        <f>IF($A242="","",IF($B242="","YETİM",IF(COUNTIF(tblPersonel[PersonelId],$B242)=0,"YETİM","")))</f>
        <v/>
      </c>
      <c r="T242" s="17">
        <f>IF(OR($A242="",$I242=""),"",IF(OR($I242&amp;"|"&amp;$J242="",COUNTIF(ListeIzinliGecis,$I242&amp;"|"&amp;$J242)&gt;0),"","GEÇERSİZ GEÇİŞ"))</f>
        <v/>
      </c>
      <c r="U242" s="17">
        <f>IF($A242="","",IF(OR($P242="",$G242=""),"",IF(ABS($G242-$P242)&gt;zincirTolerans,"ZİNCİR KIRIK","OK")))</f>
        <v/>
      </c>
      <c r="V242" s="17">
        <f>IF($A242="","",1)</f>
        <v/>
      </c>
      <c r="W242" s="17">
        <f>IF($A242="","",$G242*$N242*pvf_mesaiKatsayi)</f>
        <v/>
      </c>
    </row>
    <row r="243">
      <c r="A243" s="15" t="n"/>
      <c r="B243" s="15" t="n"/>
      <c r="C243" s="66" t="n"/>
      <c r="D243" s="16" t="n"/>
      <c r="E243" s="16" t="n"/>
      <c r="F243" s="16" t="n"/>
      <c r="G243" s="16" t="n"/>
      <c r="H243" s="15" t="n"/>
      <c r="I243" s="15" t="n"/>
      <c r="J243" s="15" t="n"/>
      <c r="K243" s="15" t="n"/>
      <c r="L243" s="15" t="n"/>
      <c r="M243" s="15" t="n"/>
      <c r="N243" s="67" t="n"/>
      <c r="O243" s="17">
        <f>IF($A243="","",MAX(0,$E243-$D243))</f>
        <v/>
      </c>
      <c r="P243" s="17">
        <f>IF($A243="","",MAX(0,$O243-$F243))</f>
        <v/>
      </c>
      <c r="Q243" s="17">
        <f>IF($A243="","",IF(OR($J243="ARSIV",$J243="RED"),0,IF($C243="","",raporTarihi-$C243)))</f>
        <v/>
      </c>
      <c r="R243" s="17">
        <f>IF($A243="","",IF($Q243="","",IF($Q243&lt;=pvf_kovaEsik1,"0-7",IF($Q243&lt;=pvf_kovaEsik2,"8-30",IF($Q243&lt;=pvf_kovaEsik3,"31-60","60+")))))</f>
        <v/>
      </c>
      <c r="S243" s="17">
        <f>IF($A243="","",IF($B243="","YETİM",IF(COUNTIF(tblPersonel[PersonelId],$B243)=0,"YETİM","")))</f>
        <v/>
      </c>
      <c r="T243" s="17">
        <f>IF(OR($A243="",$I243=""),"",IF(OR($I243&amp;"|"&amp;$J243="",COUNTIF(ListeIzinliGecis,$I243&amp;"|"&amp;$J243)&gt;0),"","GEÇERSİZ GEÇİŞ"))</f>
        <v/>
      </c>
      <c r="U243" s="17">
        <f>IF($A243="","",IF(OR($P243="",$G243=""),"",IF(ABS($G243-$P243)&gt;zincirTolerans,"ZİNCİR KIRIK","OK")))</f>
        <v/>
      </c>
      <c r="V243" s="17">
        <f>IF($A243="","",1)</f>
        <v/>
      </c>
      <c r="W243" s="17">
        <f>IF($A243="","",$G243*$N243*pvf_mesaiKatsayi)</f>
        <v/>
      </c>
    </row>
    <row r="244">
      <c r="A244" s="15" t="n"/>
      <c r="B244" s="15" t="n"/>
      <c r="C244" s="66" t="n"/>
      <c r="D244" s="16" t="n"/>
      <c r="E244" s="16" t="n"/>
      <c r="F244" s="16" t="n"/>
      <c r="G244" s="16" t="n"/>
      <c r="H244" s="15" t="n"/>
      <c r="I244" s="15" t="n"/>
      <c r="J244" s="15" t="n"/>
      <c r="K244" s="15" t="n"/>
      <c r="L244" s="15" t="n"/>
      <c r="M244" s="15" t="n"/>
      <c r="N244" s="67" t="n"/>
      <c r="O244" s="17">
        <f>IF($A244="","",MAX(0,$E244-$D244))</f>
        <v/>
      </c>
      <c r="P244" s="17">
        <f>IF($A244="","",MAX(0,$O244-$F244))</f>
        <v/>
      </c>
      <c r="Q244" s="17">
        <f>IF($A244="","",IF(OR($J244="ARSIV",$J244="RED"),0,IF($C244="","",raporTarihi-$C244)))</f>
        <v/>
      </c>
      <c r="R244" s="17">
        <f>IF($A244="","",IF($Q244="","",IF($Q244&lt;=pvf_kovaEsik1,"0-7",IF($Q244&lt;=pvf_kovaEsik2,"8-30",IF($Q244&lt;=pvf_kovaEsik3,"31-60","60+")))))</f>
        <v/>
      </c>
      <c r="S244" s="17">
        <f>IF($A244="","",IF($B244="","YETİM",IF(COUNTIF(tblPersonel[PersonelId],$B244)=0,"YETİM","")))</f>
        <v/>
      </c>
      <c r="T244" s="17">
        <f>IF(OR($A244="",$I244=""),"",IF(OR($I244&amp;"|"&amp;$J244="",COUNTIF(ListeIzinliGecis,$I244&amp;"|"&amp;$J244)&gt;0),"","GEÇERSİZ GEÇİŞ"))</f>
        <v/>
      </c>
      <c r="U244" s="17">
        <f>IF($A244="","",IF(OR($P244="",$G244=""),"",IF(ABS($G244-$P244)&gt;zincirTolerans,"ZİNCİR KIRIK","OK")))</f>
        <v/>
      </c>
      <c r="V244" s="17">
        <f>IF($A244="","",1)</f>
        <v/>
      </c>
      <c r="W244" s="17">
        <f>IF($A244="","",$G244*$N244*pvf_mesaiKatsayi)</f>
        <v/>
      </c>
    </row>
    <row r="245">
      <c r="A245" s="15" t="n"/>
      <c r="B245" s="15" t="n"/>
      <c r="C245" s="66" t="n"/>
      <c r="D245" s="16" t="n"/>
      <c r="E245" s="16" t="n"/>
      <c r="F245" s="16" t="n"/>
      <c r="G245" s="16" t="n"/>
      <c r="H245" s="15" t="n"/>
      <c r="I245" s="15" t="n"/>
      <c r="J245" s="15" t="n"/>
      <c r="K245" s="15" t="n"/>
      <c r="L245" s="15" t="n"/>
      <c r="M245" s="15" t="n"/>
      <c r="N245" s="67" t="n"/>
      <c r="O245" s="17">
        <f>IF($A245="","",MAX(0,$E245-$D245))</f>
        <v/>
      </c>
      <c r="P245" s="17">
        <f>IF($A245="","",MAX(0,$O245-$F245))</f>
        <v/>
      </c>
      <c r="Q245" s="17">
        <f>IF($A245="","",IF(OR($J245="ARSIV",$J245="RED"),0,IF($C245="","",raporTarihi-$C245)))</f>
        <v/>
      </c>
      <c r="R245" s="17">
        <f>IF($A245="","",IF($Q245="","",IF($Q245&lt;=pvf_kovaEsik1,"0-7",IF($Q245&lt;=pvf_kovaEsik2,"8-30",IF($Q245&lt;=pvf_kovaEsik3,"31-60","60+")))))</f>
        <v/>
      </c>
      <c r="S245" s="17">
        <f>IF($A245="","",IF($B245="","YETİM",IF(COUNTIF(tblPersonel[PersonelId],$B245)=0,"YETİM","")))</f>
        <v/>
      </c>
      <c r="T245" s="17">
        <f>IF(OR($A245="",$I245=""),"",IF(OR($I245&amp;"|"&amp;$J245="",COUNTIF(ListeIzinliGecis,$I245&amp;"|"&amp;$J245)&gt;0),"","GEÇERSİZ GEÇİŞ"))</f>
        <v/>
      </c>
      <c r="U245" s="17">
        <f>IF($A245="","",IF(OR($P245="",$G245=""),"",IF(ABS($G245-$P245)&gt;zincirTolerans,"ZİNCİR KIRIK","OK")))</f>
        <v/>
      </c>
      <c r="V245" s="17">
        <f>IF($A245="","",1)</f>
        <v/>
      </c>
      <c r="W245" s="17">
        <f>IF($A245="","",$G245*$N245*pvf_mesaiKatsayi)</f>
        <v/>
      </c>
    </row>
    <row r="246">
      <c r="A246" s="15" t="n"/>
      <c r="B246" s="15" t="n"/>
      <c r="C246" s="66" t="n"/>
      <c r="D246" s="16" t="n"/>
      <c r="E246" s="16" t="n"/>
      <c r="F246" s="16" t="n"/>
      <c r="G246" s="16" t="n"/>
      <c r="H246" s="15" t="n"/>
      <c r="I246" s="15" t="n"/>
      <c r="J246" s="15" t="n"/>
      <c r="K246" s="15" t="n"/>
      <c r="L246" s="15" t="n"/>
      <c r="M246" s="15" t="n"/>
      <c r="N246" s="67" t="n"/>
      <c r="O246" s="17">
        <f>IF($A246="","",MAX(0,$E246-$D246))</f>
        <v/>
      </c>
      <c r="P246" s="17">
        <f>IF($A246="","",MAX(0,$O246-$F246))</f>
        <v/>
      </c>
      <c r="Q246" s="17">
        <f>IF($A246="","",IF(OR($J246="ARSIV",$J246="RED"),0,IF($C246="","",raporTarihi-$C246)))</f>
        <v/>
      </c>
      <c r="R246" s="17">
        <f>IF($A246="","",IF($Q246="","",IF($Q246&lt;=pvf_kovaEsik1,"0-7",IF($Q246&lt;=pvf_kovaEsik2,"8-30",IF($Q246&lt;=pvf_kovaEsik3,"31-60","60+")))))</f>
        <v/>
      </c>
      <c r="S246" s="17">
        <f>IF($A246="","",IF($B246="","YETİM",IF(COUNTIF(tblPersonel[PersonelId],$B246)=0,"YETİM","")))</f>
        <v/>
      </c>
      <c r="T246" s="17">
        <f>IF(OR($A246="",$I246=""),"",IF(OR($I246&amp;"|"&amp;$J246="",COUNTIF(ListeIzinliGecis,$I246&amp;"|"&amp;$J246)&gt;0),"","GEÇERSİZ GEÇİŞ"))</f>
        <v/>
      </c>
      <c r="U246" s="17">
        <f>IF($A246="","",IF(OR($P246="",$G246=""),"",IF(ABS($G246-$P246)&gt;zincirTolerans,"ZİNCİR KIRIK","OK")))</f>
        <v/>
      </c>
      <c r="V246" s="17">
        <f>IF($A246="","",1)</f>
        <v/>
      </c>
      <c r="W246" s="17">
        <f>IF($A246="","",$G246*$N246*pvf_mesaiKatsayi)</f>
        <v/>
      </c>
    </row>
    <row r="247">
      <c r="A247" s="15" t="n"/>
      <c r="B247" s="15" t="n"/>
      <c r="C247" s="66" t="n"/>
      <c r="D247" s="16" t="n"/>
      <c r="E247" s="16" t="n"/>
      <c r="F247" s="16" t="n"/>
      <c r="G247" s="16" t="n"/>
      <c r="H247" s="15" t="n"/>
      <c r="I247" s="15" t="n"/>
      <c r="J247" s="15" t="n"/>
      <c r="K247" s="15" t="n"/>
      <c r="L247" s="15" t="n"/>
      <c r="M247" s="15" t="n"/>
      <c r="N247" s="67" t="n"/>
      <c r="O247" s="17">
        <f>IF($A247="","",MAX(0,$E247-$D247))</f>
        <v/>
      </c>
      <c r="P247" s="17">
        <f>IF($A247="","",MAX(0,$O247-$F247))</f>
        <v/>
      </c>
      <c r="Q247" s="17">
        <f>IF($A247="","",IF(OR($J247="ARSIV",$J247="RED"),0,IF($C247="","",raporTarihi-$C247)))</f>
        <v/>
      </c>
      <c r="R247" s="17">
        <f>IF($A247="","",IF($Q247="","",IF($Q247&lt;=pvf_kovaEsik1,"0-7",IF($Q247&lt;=pvf_kovaEsik2,"8-30",IF($Q247&lt;=pvf_kovaEsik3,"31-60","60+")))))</f>
        <v/>
      </c>
      <c r="S247" s="17">
        <f>IF($A247="","",IF($B247="","YETİM",IF(COUNTIF(tblPersonel[PersonelId],$B247)=0,"YETİM","")))</f>
        <v/>
      </c>
      <c r="T247" s="17">
        <f>IF(OR($A247="",$I247=""),"",IF(OR($I247&amp;"|"&amp;$J247="",COUNTIF(ListeIzinliGecis,$I247&amp;"|"&amp;$J247)&gt;0),"","GEÇERSİZ GEÇİŞ"))</f>
        <v/>
      </c>
      <c r="U247" s="17">
        <f>IF($A247="","",IF(OR($P247="",$G247=""),"",IF(ABS($G247-$P247)&gt;zincirTolerans,"ZİNCİR KIRIK","OK")))</f>
        <v/>
      </c>
      <c r="V247" s="17">
        <f>IF($A247="","",1)</f>
        <v/>
      </c>
      <c r="W247" s="17">
        <f>IF($A247="","",$G247*$N247*pvf_mesaiKatsayi)</f>
        <v/>
      </c>
    </row>
    <row r="248">
      <c r="A248" s="15" t="n"/>
      <c r="B248" s="15" t="n"/>
      <c r="C248" s="66" t="n"/>
      <c r="D248" s="16" t="n"/>
      <c r="E248" s="16" t="n"/>
      <c r="F248" s="16" t="n"/>
      <c r="G248" s="16" t="n"/>
      <c r="H248" s="15" t="n"/>
      <c r="I248" s="15" t="n"/>
      <c r="J248" s="15" t="n"/>
      <c r="K248" s="15" t="n"/>
      <c r="L248" s="15" t="n"/>
      <c r="M248" s="15" t="n"/>
      <c r="N248" s="67" t="n"/>
      <c r="O248" s="17">
        <f>IF($A248="","",MAX(0,$E248-$D248))</f>
        <v/>
      </c>
      <c r="P248" s="17">
        <f>IF($A248="","",MAX(0,$O248-$F248))</f>
        <v/>
      </c>
      <c r="Q248" s="17">
        <f>IF($A248="","",IF(OR($J248="ARSIV",$J248="RED"),0,IF($C248="","",raporTarihi-$C248)))</f>
        <v/>
      </c>
      <c r="R248" s="17">
        <f>IF($A248="","",IF($Q248="","",IF($Q248&lt;=pvf_kovaEsik1,"0-7",IF($Q248&lt;=pvf_kovaEsik2,"8-30",IF($Q248&lt;=pvf_kovaEsik3,"31-60","60+")))))</f>
        <v/>
      </c>
      <c r="S248" s="17">
        <f>IF($A248="","",IF($B248="","YETİM",IF(COUNTIF(tblPersonel[PersonelId],$B248)=0,"YETİM","")))</f>
        <v/>
      </c>
      <c r="T248" s="17">
        <f>IF(OR($A248="",$I248=""),"",IF(OR($I248&amp;"|"&amp;$J248="",COUNTIF(ListeIzinliGecis,$I248&amp;"|"&amp;$J248)&gt;0),"","GEÇERSİZ GEÇİŞ"))</f>
        <v/>
      </c>
      <c r="U248" s="17">
        <f>IF($A248="","",IF(OR($P248="",$G248=""),"",IF(ABS($G248-$P248)&gt;zincirTolerans,"ZİNCİR KIRIK","OK")))</f>
        <v/>
      </c>
      <c r="V248" s="17">
        <f>IF($A248="","",1)</f>
        <v/>
      </c>
      <c r="W248" s="17">
        <f>IF($A248="","",$G248*$N248*pvf_mesaiKatsayi)</f>
        <v/>
      </c>
    </row>
    <row r="249">
      <c r="A249" s="15" t="n"/>
      <c r="B249" s="15" t="n"/>
      <c r="C249" s="66" t="n"/>
      <c r="D249" s="16" t="n"/>
      <c r="E249" s="16" t="n"/>
      <c r="F249" s="16" t="n"/>
      <c r="G249" s="16" t="n"/>
      <c r="H249" s="15" t="n"/>
      <c r="I249" s="15" t="n"/>
      <c r="J249" s="15" t="n"/>
      <c r="K249" s="15" t="n"/>
      <c r="L249" s="15" t="n"/>
      <c r="M249" s="15" t="n"/>
      <c r="N249" s="67" t="n"/>
      <c r="O249" s="17">
        <f>IF($A249="","",MAX(0,$E249-$D249))</f>
        <v/>
      </c>
      <c r="P249" s="17">
        <f>IF($A249="","",MAX(0,$O249-$F249))</f>
        <v/>
      </c>
      <c r="Q249" s="17">
        <f>IF($A249="","",IF(OR($J249="ARSIV",$J249="RED"),0,IF($C249="","",raporTarihi-$C249)))</f>
        <v/>
      </c>
      <c r="R249" s="17">
        <f>IF($A249="","",IF($Q249="","",IF($Q249&lt;=pvf_kovaEsik1,"0-7",IF($Q249&lt;=pvf_kovaEsik2,"8-30",IF($Q249&lt;=pvf_kovaEsik3,"31-60","60+")))))</f>
        <v/>
      </c>
      <c r="S249" s="17">
        <f>IF($A249="","",IF($B249="","YETİM",IF(COUNTIF(tblPersonel[PersonelId],$B249)=0,"YETİM","")))</f>
        <v/>
      </c>
      <c r="T249" s="17">
        <f>IF(OR($A249="",$I249=""),"",IF(OR($I249&amp;"|"&amp;$J249="",COUNTIF(ListeIzinliGecis,$I249&amp;"|"&amp;$J249)&gt;0),"","GEÇERSİZ GEÇİŞ"))</f>
        <v/>
      </c>
      <c r="U249" s="17">
        <f>IF($A249="","",IF(OR($P249="",$G249=""),"",IF(ABS($G249-$P249)&gt;zincirTolerans,"ZİNCİR KIRIK","OK")))</f>
        <v/>
      </c>
      <c r="V249" s="17">
        <f>IF($A249="","",1)</f>
        <v/>
      </c>
      <c r="W249" s="17">
        <f>IF($A249="","",$G249*$N249*pvf_mesaiKatsayi)</f>
        <v/>
      </c>
    </row>
    <row r="250">
      <c r="A250" s="15" t="n"/>
      <c r="B250" s="15" t="n"/>
      <c r="C250" s="66" t="n"/>
      <c r="D250" s="16" t="n"/>
      <c r="E250" s="16" t="n"/>
      <c r="F250" s="16" t="n"/>
      <c r="G250" s="16" t="n"/>
      <c r="H250" s="15" t="n"/>
      <c r="I250" s="15" t="n"/>
      <c r="J250" s="15" t="n"/>
      <c r="K250" s="15" t="n"/>
      <c r="L250" s="15" t="n"/>
      <c r="M250" s="15" t="n"/>
      <c r="N250" s="67" t="n"/>
      <c r="O250" s="17">
        <f>IF($A250="","",MAX(0,$E250-$D250))</f>
        <v/>
      </c>
      <c r="P250" s="17">
        <f>IF($A250="","",MAX(0,$O250-$F250))</f>
        <v/>
      </c>
      <c r="Q250" s="17">
        <f>IF($A250="","",IF(OR($J250="ARSIV",$J250="RED"),0,IF($C250="","",raporTarihi-$C250)))</f>
        <v/>
      </c>
      <c r="R250" s="17">
        <f>IF($A250="","",IF($Q250="","",IF($Q250&lt;=pvf_kovaEsik1,"0-7",IF($Q250&lt;=pvf_kovaEsik2,"8-30",IF($Q250&lt;=pvf_kovaEsik3,"31-60","60+")))))</f>
        <v/>
      </c>
      <c r="S250" s="17">
        <f>IF($A250="","",IF($B250="","YETİM",IF(COUNTIF(tblPersonel[PersonelId],$B250)=0,"YETİM","")))</f>
        <v/>
      </c>
      <c r="T250" s="17">
        <f>IF(OR($A250="",$I250=""),"",IF(OR($I250&amp;"|"&amp;$J250="",COUNTIF(ListeIzinliGecis,$I250&amp;"|"&amp;$J250)&gt;0),"","GEÇERSİZ GEÇİŞ"))</f>
        <v/>
      </c>
      <c r="U250" s="17">
        <f>IF($A250="","",IF(OR($P250="",$G250=""),"",IF(ABS($G250-$P250)&gt;zincirTolerans,"ZİNCİR KIRIK","OK")))</f>
        <v/>
      </c>
      <c r="V250" s="17">
        <f>IF($A250="","",1)</f>
        <v/>
      </c>
      <c r="W250" s="17">
        <f>IF($A250="","",$G250*$N250*pvf_mesaiKatsayi)</f>
        <v/>
      </c>
    </row>
    <row r="251">
      <c r="A251" s="15" t="n"/>
      <c r="B251" s="15" t="n"/>
      <c r="C251" s="66" t="n"/>
      <c r="D251" s="16" t="n"/>
      <c r="E251" s="16" t="n"/>
      <c r="F251" s="16" t="n"/>
      <c r="G251" s="16" t="n"/>
      <c r="H251" s="15" t="n"/>
      <c r="I251" s="15" t="n"/>
      <c r="J251" s="15" t="n"/>
      <c r="K251" s="15" t="n"/>
      <c r="L251" s="15" t="n"/>
      <c r="M251" s="15" t="n"/>
      <c r="N251" s="67" t="n"/>
      <c r="O251" s="17">
        <f>IF($A251="","",MAX(0,$E251-$D251))</f>
        <v/>
      </c>
      <c r="P251" s="17">
        <f>IF($A251="","",MAX(0,$O251-$F251))</f>
        <v/>
      </c>
      <c r="Q251" s="17">
        <f>IF($A251="","",IF(OR($J251="ARSIV",$J251="RED"),0,IF($C251="","",raporTarihi-$C251)))</f>
        <v/>
      </c>
      <c r="R251" s="17">
        <f>IF($A251="","",IF($Q251="","",IF($Q251&lt;=pvf_kovaEsik1,"0-7",IF($Q251&lt;=pvf_kovaEsik2,"8-30",IF($Q251&lt;=pvf_kovaEsik3,"31-60","60+")))))</f>
        <v/>
      </c>
      <c r="S251" s="17">
        <f>IF($A251="","",IF($B251="","YETİM",IF(COUNTIF(tblPersonel[PersonelId],$B251)=0,"YETİM","")))</f>
        <v/>
      </c>
      <c r="T251" s="17">
        <f>IF(OR($A251="",$I251=""),"",IF(OR($I251&amp;"|"&amp;$J251="",COUNTIF(ListeIzinliGecis,$I251&amp;"|"&amp;$J251)&gt;0),"","GEÇERSİZ GEÇİŞ"))</f>
        <v/>
      </c>
      <c r="U251" s="17">
        <f>IF($A251="","",IF(OR($P251="",$G251=""),"",IF(ABS($G251-$P251)&gt;zincirTolerans,"ZİNCİR KIRIK","OK")))</f>
        <v/>
      </c>
      <c r="V251" s="17">
        <f>IF($A251="","",1)</f>
        <v/>
      </c>
      <c r="W251" s="17">
        <f>IF($A251="","",$G251*$N251*pvf_mesaiKatsayi)</f>
        <v/>
      </c>
    </row>
    <row r="252">
      <c r="A252" s="15" t="n"/>
      <c r="B252" s="15" t="n"/>
      <c r="C252" s="66" t="n"/>
      <c r="D252" s="16" t="n"/>
      <c r="E252" s="16" t="n"/>
      <c r="F252" s="16" t="n"/>
      <c r="G252" s="16" t="n"/>
      <c r="H252" s="15" t="n"/>
      <c r="I252" s="15" t="n"/>
      <c r="J252" s="15" t="n"/>
      <c r="K252" s="15" t="n"/>
      <c r="L252" s="15" t="n"/>
      <c r="M252" s="15" t="n"/>
      <c r="N252" s="67" t="n"/>
      <c r="O252" s="17">
        <f>IF($A252="","",MAX(0,$E252-$D252))</f>
        <v/>
      </c>
      <c r="P252" s="17">
        <f>IF($A252="","",MAX(0,$O252-$F252))</f>
        <v/>
      </c>
      <c r="Q252" s="17">
        <f>IF($A252="","",IF(OR($J252="ARSIV",$J252="RED"),0,IF($C252="","",raporTarihi-$C252)))</f>
        <v/>
      </c>
      <c r="R252" s="17">
        <f>IF($A252="","",IF($Q252="","",IF($Q252&lt;=pvf_kovaEsik1,"0-7",IF($Q252&lt;=pvf_kovaEsik2,"8-30",IF($Q252&lt;=pvf_kovaEsik3,"31-60","60+")))))</f>
        <v/>
      </c>
      <c r="S252" s="17">
        <f>IF($A252="","",IF($B252="","YETİM",IF(COUNTIF(tblPersonel[PersonelId],$B252)=0,"YETİM","")))</f>
        <v/>
      </c>
      <c r="T252" s="17">
        <f>IF(OR($A252="",$I252=""),"",IF(OR($I252&amp;"|"&amp;$J252="",COUNTIF(ListeIzinliGecis,$I252&amp;"|"&amp;$J252)&gt;0),"","GEÇERSİZ GEÇİŞ"))</f>
        <v/>
      </c>
      <c r="U252" s="17">
        <f>IF($A252="","",IF(OR($P252="",$G252=""),"",IF(ABS($G252-$P252)&gt;zincirTolerans,"ZİNCİR KIRIK","OK")))</f>
        <v/>
      </c>
      <c r="V252" s="17">
        <f>IF($A252="","",1)</f>
        <v/>
      </c>
      <c r="W252" s="17">
        <f>IF($A252="","",$G252*$N252*pvf_mesaiKatsayi)</f>
        <v/>
      </c>
    </row>
    <row r="253">
      <c r="A253" s="15" t="n"/>
      <c r="B253" s="15" t="n"/>
      <c r="C253" s="66" t="n"/>
      <c r="D253" s="16" t="n"/>
      <c r="E253" s="16" t="n"/>
      <c r="F253" s="16" t="n"/>
      <c r="G253" s="16" t="n"/>
      <c r="H253" s="15" t="n"/>
      <c r="I253" s="15" t="n"/>
      <c r="J253" s="15" t="n"/>
      <c r="K253" s="15" t="n"/>
      <c r="L253" s="15" t="n"/>
      <c r="M253" s="15" t="n"/>
      <c r="N253" s="67" t="n"/>
      <c r="O253" s="17">
        <f>IF($A253="","",MAX(0,$E253-$D253))</f>
        <v/>
      </c>
      <c r="P253" s="17">
        <f>IF($A253="","",MAX(0,$O253-$F253))</f>
        <v/>
      </c>
      <c r="Q253" s="17">
        <f>IF($A253="","",IF(OR($J253="ARSIV",$J253="RED"),0,IF($C253="","",raporTarihi-$C253)))</f>
        <v/>
      </c>
      <c r="R253" s="17">
        <f>IF($A253="","",IF($Q253="","",IF($Q253&lt;=pvf_kovaEsik1,"0-7",IF($Q253&lt;=pvf_kovaEsik2,"8-30",IF($Q253&lt;=pvf_kovaEsik3,"31-60","60+")))))</f>
        <v/>
      </c>
      <c r="S253" s="17">
        <f>IF($A253="","",IF($B253="","YETİM",IF(COUNTIF(tblPersonel[PersonelId],$B253)=0,"YETİM","")))</f>
        <v/>
      </c>
      <c r="T253" s="17">
        <f>IF(OR($A253="",$I253=""),"",IF(OR($I253&amp;"|"&amp;$J253="",COUNTIF(ListeIzinliGecis,$I253&amp;"|"&amp;$J253)&gt;0),"","GEÇERSİZ GEÇİŞ"))</f>
        <v/>
      </c>
      <c r="U253" s="17">
        <f>IF($A253="","",IF(OR($P253="",$G253=""),"",IF(ABS($G253-$P253)&gt;zincirTolerans,"ZİNCİR KIRIK","OK")))</f>
        <v/>
      </c>
      <c r="V253" s="17">
        <f>IF($A253="","",1)</f>
        <v/>
      </c>
      <c r="W253" s="17">
        <f>IF($A253="","",$G253*$N253*pvf_mesaiKatsayi)</f>
        <v/>
      </c>
    </row>
    <row r="254">
      <c r="A254" s="15" t="n"/>
      <c r="B254" s="15" t="n"/>
      <c r="C254" s="66" t="n"/>
      <c r="D254" s="16" t="n"/>
      <c r="E254" s="16" t="n"/>
      <c r="F254" s="16" t="n"/>
      <c r="G254" s="16" t="n"/>
      <c r="H254" s="15" t="n"/>
      <c r="I254" s="15" t="n"/>
      <c r="J254" s="15" t="n"/>
      <c r="K254" s="15" t="n"/>
      <c r="L254" s="15" t="n"/>
      <c r="M254" s="15" t="n"/>
      <c r="N254" s="67" t="n"/>
      <c r="O254" s="17">
        <f>IF($A254="","",MAX(0,$E254-$D254))</f>
        <v/>
      </c>
      <c r="P254" s="17">
        <f>IF($A254="","",MAX(0,$O254-$F254))</f>
        <v/>
      </c>
      <c r="Q254" s="17">
        <f>IF($A254="","",IF(OR($J254="ARSIV",$J254="RED"),0,IF($C254="","",raporTarihi-$C254)))</f>
        <v/>
      </c>
      <c r="R254" s="17">
        <f>IF($A254="","",IF($Q254="","",IF($Q254&lt;=pvf_kovaEsik1,"0-7",IF($Q254&lt;=pvf_kovaEsik2,"8-30",IF($Q254&lt;=pvf_kovaEsik3,"31-60","60+")))))</f>
        <v/>
      </c>
      <c r="S254" s="17">
        <f>IF($A254="","",IF($B254="","YETİM",IF(COUNTIF(tblPersonel[PersonelId],$B254)=0,"YETİM","")))</f>
        <v/>
      </c>
      <c r="T254" s="17">
        <f>IF(OR($A254="",$I254=""),"",IF(OR($I254&amp;"|"&amp;$J254="",COUNTIF(ListeIzinliGecis,$I254&amp;"|"&amp;$J254)&gt;0),"","GEÇERSİZ GEÇİŞ"))</f>
        <v/>
      </c>
      <c r="U254" s="17">
        <f>IF($A254="","",IF(OR($P254="",$G254=""),"",IF(ABS($G254-$P254)&gt;zincirTolerans,"ZİNCİR KIRIK","OK")))</f>
        <v/>
      </c>
      <c r="V254" s="17">
        <f>IF($A254="","",1)</f>
        <v/>
      </c>
      <c r="W254" s="17">
        <f>IF($A254="","",$G254*$N254*pvf_mesaiKatsayi)</f>
        <v/>
      </c>
    </row>
    <row r="255">
      <c r="A255" s="15" t="n"/>
      <c r="B255" s="15" t="n"/>
      <c r="C255" s="66" t="n"/>
      <c r="D255" s="16" t="n"/>
      <c r="E255" s="16" t="n"/>
      <c r="F255" s="16" t="n"/>
      <c r="G255" s="16" t="n"/>
      <c r="H255" s="15" t="n"/>
      <c r="I255" s="15" t="n"/>
      <c r="J255" s="15" t="n"/>
      <c r="K255" s="15" t="n"/>
      <c r="L255" s="15" t="n"/>
      <c r="M255" s="15" t="n"/>
      <c r="N255" s="67" t="n"/>
      <c r="O255" s="17">
        <f>IF($A255="","",MAX(0,$E255-$D255))</f>
        <v/>
      </c>
      <c r="P255" s="17">
        <f>IF($A255="","",MAX(0,$O255-$F255))</f>
        <v/>
      </c>
      <c r="Q255" s="17">
        <f>IF($A255="","",IF(OR($J255="ARSIV",$J255="RED"),0,IF($C255="","",raporTarihi-$C255)))</f>
        <v/>
      </c>
      <c r="R255" s="17">
        <f>IF($A255="","",IF($Q255="","",IF($Q255&lt;=pvf_kovaEsik1,"0-7",IF($Q255&lt;=pvf_kovaEsik2,"8-30",IF($Q255&lt;=pvf_kovaEsik3,"31-60","60+")))))</f>
        <v/>
      </c>
      <c r="S255" s="17">
        <f>IF($A255="","",IF($B255="","YETİM",IF(COUNTIF(tblPersonel[PersonelId],$B255)=0,"YETİM","")))</f>
        <v/>
      </c>
      <c r="T255" s="17">
        <f>IF(OR($A255="",$I255=""),"",IF(OR($I255&amp;"|"&amp;$J255="",COUNTIF(ListeIzinliGecis,$I255&amp;"|"&amp;$J255)&gt;0),"","GEÇERSİZ GEÇİŞ"))</f>
        <v/>
      </c>
      <c r="U255" s="17">
        <f>IF($A255="","",IF(OR($P255="",$G255=""),"",IF(ABS($G255-$P255)&gt;zincirTolerans,"ZİNCİR KIRIK","OK")))</f>
        <v/>
      </c>
      <c r="V255" s="17">
        <f>IF($A255="","",1)</f>
        <v/>
      </c>
      <c r="W255" s="17">
        <f>IF($A255="","",$G255*$N255*pvf_mesaiKatsayi)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W3"/>
    <mergeCell ref="A1:W1"/>
  </mergeCells>
  <conditionalFormatting sqref="S6:S255">
    <cfRule type="cellIs" priority="1" operator="equal" dxfId="2">
      <formula>"YETİM"</formula>
    </cfRule>
  </conditionalFormatting>
  <conditionalFormatting sqref="T6:T255">
    <cfRule type="cellIs" priority="2" operator="equal" dxfId="2">
      <formula>"GEÇERSİZ GEÇİŞ"</formula>
    </cfRule>
  </conditionalFormatting>
  <conditionalFormatting sqref="U6:U255">
    <cfRule type="cellIs" priority="3" operator="equal" dxfId="2">
      <formula>"ZİNCİR KIRIK"</formula>
    </cfRule>
    <cfRule type="cellIs" priority="4" operator="equal" dxfId="3">
      <formula>"OK"</formula>
    </cfRule>
  </conditionalFormatting>
  <conditionalFormatting sqref="J6:J255">
    <cfRule type="cellIs" priority="5" operator="equal" dxfId="0">
      <formula>"KONTROL"</formula>
    </cfRule>
    <cfRule type="cellIs" priority="6" operator="equal" dxfId="4">
      <formula>"RED"</formula>
    </cfRule>
    <cfRule type="cellIs" priority="7" operator="equal" dxfId="1">
      <formula>"ONAY"</formula>
    </cfRule>
  </conditionalFormatting>
  <dataValidations count="12">
    <dataValidation sqref="A6:A255" showDropDown="0" showInputMessage="1" showErrorMessage="1" allowBlank="1" errorTitle="Kimlik" error="Boş olamaz" promptTitle="Puantaj Kimliği" prompt="PUA-##### girin" type="textLength" errorStyle="stop" operator="greaterThan">
      <formula1>1</formula1>
      <formula2>40</formula2>
    </dataValidation>
    <dataValidation sqref="B6:B255" showDropDown="0" showInputMessage="1" showErrorMessage="1" allowBlank="1" errorTitle="Personel" error="Geçersiz" promptTitle="Kaynak Personel" prompt="Personel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Puantaj tarihi" type="date" errorStyle="stop" operator="greaterThan">
      <formula1>1</formula1>
    </dataValidation>
    <dataValidation sqref="D6:D255" showDropDown="0" showInputMessage="1" showErrorMessage="1" allowBlank="1" errorTitle="Giriş" error="0 veya üzeri" promptTitle="Giriş" prompt="Giriş ≥ 0" type="decimal" errorStyle="stop" operator="greaterThanOrEqual">
      <formula1>0</formula1>
    </dataValidation>
    <dataValidation sqref="E6:E255" showDropDown="0" showInputMessage="1" showErrorMessage="1" allowBlank="1" errorTitle="Çıkış" error="0 veya üzeri" promptTitle="Çıkış" prompt="Çıkış ≥ 0" type="decimal" errorStyle="stop" operator="greaterThanOrEqual">
      <formula1>0</formula1>
    </dataValidation>
    <dataValidation sqref="F6:F255" showDropDown="0" showInputMessage="1" showErrorMessage="1" allowBlank="1" errorTitle="Planlı" error="0 veya üzeri" promptTitle="Planlı" prompt="Planlı ≥ 0" type="decimal" errorStyle="stop" operator="greaterThanOrEqual">
      <formula1>0</formula1>
    </dataValidation>
    <dataValidation sqref="G6:G255" showDropDown="0" showInputMessage="1" showErrorMessage="1" allowBlank="1" errorTitle="FM" error="0 veya üzeri" promptTitle="FM" prompt="FM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İzin Türü" prompt="Listeden seçin" type="list" errorStyle="stop">
      <formula1>ListeIzin</formula1>
    </dataValidation>
    <dataValidation sqref="I6:I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J6:J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L6:L255" showDropDown="0" showInputMessage="1" showErrorMessage="1" allowBlank="1" errorTitle="Liste" error="A veya B" promptTitle="Yorum A" prompt="A veya B" type="list" errorStyle="stop">
      <formula1>ListeYorumAB</formula1>
    </dataValidation>
    <dataValidation sqref="N6:N255" showDropDown="0" showInputMessage="1" showErrorMessage="1" allowBlank="1" errorTitle="Ücret" error="0 veya üzeri" promptTitle="Saat Ücreti" prompt="TL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40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KUYRUKLAR — Puantaj-Vardiya-Fazla Mesai Kanıt Sistemi</t>
        </is>
      </c>
    </row>
    <row r="2"/>
    <row r="3" ht="22" customHeight="1">
      <c r="A3" s="207" t="inlineStr">
        <is>
          <t>Durum bazlı canlı kuyruk — kapalı kayıtlar düşer</t>
        </is>
      </c>
    </row>
    <row r="4"/>
    <row r="5">
      <c r="A5" s="20" t="inlineStr">
        <is>
          <t>Kuyruk</t>
        </is>
      </c>
      <c r="B5" s="20" t="inlineStr">
        <is>
          <t>Adet</t>
        </is>
      </c>
      <c r="C5" s="20" t="inlineStr">
        <is>
          <t>FM Saat</t>
        </is>
      </c>
    </row>
    <row r="6">
      <c r="A6" s="7" t="inlineStr">
        <is>
          <t>Kuyruk Taslak</t>
        </is>
      </c>
      <c r="B6" s="21">
        <f>COUNTIFS(tblAkis[Durum],"TASLAK",tblAkis[KayitDolu],"&gt;0")</f>
        <v/>
      </c>
      <c r="C6" s="21">
        <f>SUMIF(tblAkis[Durum],"TASLAK",tblAkis[FazlaMesaiSaat])</f>
        <v/>
      </c>
    </row>
    <row r="7">
      <c r="A7" s="7" t="inlineStr">
        <is>
          <t>Kuyruk Kontrol</t>
        </is>
      </c>
      <c r="B7" s="21">
        <f>COUNTIFS(tblAkis[Durum],"KONTROL",tblAkis[KayitDolu],"&gt;0")</f>
        <v/>
      </c>
      <c r="C7" s="21">
        <f>SUMIF(tblAkis[Durum],"KONTROL",tblAkis[FazlaMesaiSaat])</f>
        <v/>
      </c>
    </row>
    <row r="8">
      <c r="A8" s="7" t="inlineStr">
        <is>
          <t>Kuyruk Onay</t>
        </is>
      </c>
      <c r="B8" s="21">
        <f>COUNTIFS(tblAkis[Durum],"ONAY",tblAkis[KayitDolu],"&gt;0")</f>
        <v/>
      </c>
      <c r="C8" s="21">
        <f>SUMIF(tblAkis[Durum],"ONAY",tblAkis[FazlaMesaiSaat])</f>
        <v/>
      </c>
    </row>
    <row r="9">
      <c r="A9" s="7" t="inlineStr">
        <is>
          <t>Aşım bandı (FM&gt;günlük eşik)</t>
        </is>
      </c>
      <c r="B9" s="21">
        <f>COUNTIFS(tblAkis[FazlaMesaiSaat],"&gt;"&amp;pvf_esikGunlukFm,tblAkis[Durum],"&lt;&gt;ARSIV",tblAkis[Durum],"&lt;&gt;RED",tblAkis[KayitDolu],"&gt;0")</f>
        <v/>
      </c>
      <c r="C9" s="21">
        <f>SUMIFS(tblAkis[FazlaMesaiSaat],tblAkis[FazlaMesaiSaat],"&gt;"&amp;pvf_esikGunlukFm,tblAkis[Durum],"&lt;&gt;ARSIV",tblAkis[Durum],"&lt;&gt;RED")</f>
        <v/>
      </c>
    </row>
    <row r="10"/>
    <row r="11">
      <c r="A11" s="22" t="inlineStr">
        <is>
          <t>Kapalı (Arşiv+Red) — kuyruktan düşer</t>
        </is>
      </c>
    </row>
    <row r="12">
      <c r="A12" s="7" t="inlineStr">
        <is>
          <t>Arşiv</t>
        </is>
      </c>
      <c r="B12" s="21">
        <f>COUNTIF(tblAkis[Durum],"ARSIV")</f>
        <v/>
      </c>
      <c r="C12" s="21">
        <f>SUMIF(tblAkis[Durum],"ARSIV",tblAkis[FazlaMesaiSaat])</f>
        <v/>
      </c>
    </row>
    <row r="13">
      <c r="A13" s="7" t="inlineStr">
        <is>
          <t>Red</t>
        </is>
      </c>
      <c r="B13" s="21">
        <f>COUNTIF(tblAkis[Durum],"RED")</f>
        <v/>
      </c>
      <c r="C13" s="21">
        <f>SUMIF(tblAkis[Durum],"RED",tblAkis[FazlaMesaiSaat])</f>
        <v/>
      </c>
    </row>
    <row r="14"/>
    <row r="15">
      <c r="A15" s="13" t="inlineStr">
        <is>
          <t>Kuyruk Özeti</t>
        </is>
      </c>
      <c r="B15" s="8">
        <f>pvf_kuyrukOzeti</f>
        <v/>
      </c>
    </row>
    <row r="16"/>
    <row r="17">
      <c r="A17" s="22" t="inlineStr">
        <is>
          <t>Yaş Kova Dağılımı</t>
        </is>
      </c>
    </row>
    <row r="18">
      <c r="A18" s="7" t="inlineStr">
        <is>
          <t>0-7</t>
        </is>
      </c>
      <c r="B18" s="21">
        <f>COUNTIF(tblAkis[YasKova],"0-7")</f>
        <v/>
      </c>
      <c r="C18" s="21">
        <f>SUMIF(tblAkis[YasKova],"0-7",tblAkis[FazlaMesaiSaat])</f>
        <v/>
      </c>
    </row>
    <row r="19">
      <c r="A19" s="7" t="inlineStr">
        <is>
          <t>8-30</t>
        </is>
      </c>
      <c r="B19" s="21">
        <f>COUNTIF(tblAkis[YasKova],"8-30")</f>
        <v/>
      </c>
      <c r="C19" s="21">
        <f>SUMIF(tblAkis[YasKova],"8-30",tblAkis[FazlaMesaiSaat])</f>
        <v/>
      </c>
    </row>
    <row r="20">
      <c r="A20" s="7" t="inlineStr">
        <is>
          <t>31-60</t>
        </is>
      </c>
      <c r="B20" s="21">
        <f>COUNTIF(tblAkis[YasKova],"31-60")</f>
        <v/>
      </c>
      <c r="C20" s="21">
        <f>SUMIF(tblAkis[YasKova],"31-60",tblAkis[FazlaMesaiSaat])</f>
        <v/>
      </c>
    </row>
    <row r="21">
      <c r="A21" s="7" t="inlineStr">
        <is>
          <t>60+</t>
        </is>
      </c>
      <c r="B21" s="21">
        <f>COUNTIF(tblAkis[YasKova],"60+")</f>
        <v/>
      </c>
      <c r="C21" s="21">
        <f>SUMIF(tblAkis[YasKova],"60+",tblAkis[FazlaMesaiSaat])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5:F15"/>
    <mergeCell ref="A3:I3"/>
  </mergeCells>
  <conditionalFormatting sqref="B6">
    <cfRule type="cellIs" priority="1" operator="greaterThan" dxfId="0">
      <formula>0</formula>
    </cfRule>
  </conditionalFormatting>
  <conditionalFormatting sqref="C6">
    <cfRule type="cellIs" priority="2" operator="greaterThan" dxfId="1">
      <formula>0</formula>
    </cfRule>
  </conditionalFormatting>
  <conditionalFormatting sqref="B7">
    <cfRule type="cellIs" priority="3" operator="greaterThan" dxfId="0">
      <formula>0</formula>
    </cfRule>
  </conditionalFormatting>
  <conditionalFormatting sqref="C7">
    <cfRule type="cellIs" priority="4" operator="greaterThan" dxfId="1">
      <formula>0</formula>
    </cfRule>
  </conditionalFormatting>
  <conditionalFormatting sqref="B8">
    <cfRule type="cellIs" priority="5" operator="greaterThan" dxfId="0">
      <formula>0</formula>
    </cfRule>
  </conditionalFormatting>
  <conditionalFormatting sqref="C8">
    <cfRule type="cellIs" priority="6" operator="greaterThan" dxfId="1">
      <formula>0</formula>
    </cfRule>
  </conditionalFormatting>
  <conditionalFormatting sqref="B9">
    <cfRule type="cellIs" priority="7" operator="greaterThan" dxfId="0">
      <formula>0</formula>
    </cfRule>
  </conditionalFormatting>
  <conditionalFormatting sqref="C9">
    <cfRule type="cellIs" priority="8" operator="greaterThan" dxfId="1">
      <formula>0</formula>
    </cfRule>
  </conditionalFormatting>
  <conditionalFormatting sqref="B18">
    <cfRule type="cellIs" priority="9" operator="greaterThan" dxfId="1">
      <formula>0</formula>
    </cfRule>
  </conditionalFormatting>
  <conditionalFormatting sqref="B19">
    <cfRule type="cellIs" priority="10" operator="greaterThan" dxfId="1">
      <formula>0</formula>
    </cfRule>
  </conditionalFormatting>
  <conditionalFormatting sqref="B20">
    <cfRule type="cellIs" priority="11" operator="greaterThan" dxfId="1">
      <formula>0</formula>
    </cfRule>
  </conditionalFormatting>
  <conditionalFormatting sqref="B21"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HESAP — Puantaj-Vardiya-Fazla Mesai Kanıt Sistemi</t>
        </is>
      </c>
    </row>
    <row r="2"/>
    <row r="3" ht="22" customHeight="1">
      <c r="A3" s="207" t="inlineStr">
        <is>
          <t>Hesap motoru — ≥40 adım; sabitler AYARLAR'dan</t>
        </is>
      </c>
    </row>
    <row r="4"/>
    <row r="5">
      <c r="A5" s="20" t="inlineStr">
        <is>
          <t>Adım</t>
        </is>
      </c>
      <c r="B5" s="20" t="inlineStr">
        <is>
          <t>Açıklama</t>
        </is>
      </c>
      <c r="C5" s="20" t="inlineStr">
        <is>
          <t>Değer</t>
        </is>
      </c>
    </row>
    <row r="6">
      <c r="A6" s="7" t="inlineStr">
        <is>
          <t>H01</t>
        </is>
      </c>
      <c r="B6" s="7" t="inlineStr">
        <is>
          <t>Toplam puantaj</t>
        </is>
      </c>
      <c r="C6" s="23">
        <f>COUNTA(tblAkis[PuantajId])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3">
        <f>SUM(tblAkis[KayitDolu])</f>
        <v/>
      </c>
    </row>
    <row r="8">
      <c r="A8" s="7" t="inlineStr">
        <is>
          <t>H03</t>
        </is>
      </c>
      <c r="B8" s="7" t="inlineStr">
        <is>
          <t>Toplam FM saat</t>
        </is>
      </c>
      <c r="C8" s="23">
        <f>SUM(tblAkis[FazlaMesaiSaat])</f>
        <v/>
      </c>
    </row>
    <row r="9">
      <c r="A9" s="7" t="inlineStr">
        <is>
          <t>H04</t>
        </is>
      </c>
      <c r="B9" s="7" t="inlineStr">
        <is>
          <t>Hesaplanan FM toplam</t>
        </is>
      </c>
      <c r="C9" s="23">
        <f>SUM(tblAkis[HesaplananFm])</f>
        <v/>
      </c>
    </row>
    <row r="10">
      <c r="A10" s="7" t="inlineStr">
        <is>
          <t>H05</t>
        </is>
      </c>
      <c r="B10" s="7" t="inlineStr">
        <is>
          <t>Fiili saat toplam</t>
        </is>
      </c>
      <c r="C10" s="23">
        <f>SUM(tblAkis[FiiliSaat])</f>
        <v/>
      </c>
    </row>
    <row r="11">
      <c r="A11" s="7" t="inlineStr">
        <is>
          <t>H06</t>
        </is>
      </c>
      <c r="B11" s="7" t="inlineStr">
        <is>
          <t>Taslak adet</t>
        </is>
      </c>
      <c r="C11" s="23">
        <f>COUNTIF(tblAkis[Durum],"TASLAK")</f>
        <v/>
      </c>
    </row>
    <row r="12">
      <c r="A12" s="7" t="inlineStr">
        <is>
          <t>H07</t>
        </is>
      </c>
      <c r="B12" s="7" t="inlineStr">
        <is>
          <t>Kontrol adet</t>
        </is>
      </c>
      <c r="C12" s="23">
        <f>COUNTIF(tblAkis[Durum],"KONTROL")</f>
        <v/>
      </c>
    </row>
    <row r="13">
      <c r="A13" s="7" t="inlineStr">
        <is>
          <t>H08</t>
        </is>
      </c>
      <c r="B13" s="7" t="inlineStr">
        <is>
          <t>Onay adet</t>
        </is>
      </c>
      <c r="C13" s="23">
        <f>COUNTIF(tblAkis[Durum],"ONAY")</f>
        <v/>
      </c>
    </row>
    <row r="14">
      <c r="A14" s="7" t="inlineStr">
        <is>
          <t>H09</t>
        </is>
      </c>
      <c r="B14" s="7" t="inlineStr">
        <is>
          <t>Arşiv adet</t>
        </is>
      </c>
      <c r="C14" s="23">
        <f>COUNTIF(tblAkis[Durum],"ARSIV")</f>
        <v/>
      </c>
    </row>
    <row r="15">
      <c r="A15" s="7" t="inlineStr">
        <is>
          <t>H10</t>
        </is>
      </c>
      <c r="B15" s="7" t="inlineStr">
        <is>
          <t>Red adet</t>
        </is>
      </c>
      <c r="C15" s="23">
        <f>COUNTIF(tblAkis[Durum],"RED")</f>
        <v/>
      </c>
    </row>
    <row r="16">
      <c r="A16" s="7" t="inlineStr">
        <is>
          <t>H11</t>
        </is>
      </c>
      <c r="B16" s="7" t="inlineStr">
        <is>
          <t>Açık kuyruk adet</t>
        </is>
      </c>
      <c r="C16" s="23">
        <f>C11+C12+C13</f>
        <v/>
      </c>
    </row>
    <row r="17">
      <c r="A17" s="7" t="inlineStr">
        <is>
          <t>H12</t>
        </is>
      </c>
      <c r="B17" s="7" t="inlineStr">
        <is>
          <t>Kapalı düşüm adet</t>
        </is>
      </c>
      <c r="C17" s="23">
        <f>C14+C15</f>
        <v/>
      </c>
    </row>
    <row r="18">
      <c r="A18" s="7" t="inlineStr">
        <is>
          <t>H13</t>
        </is>
      </c>
      <c r="B18" s="7" t="inlineStr">
        <is>
          <t>Açık FM kuyruk</t>
        </is>
      </c>
      <c r="C18" s="23">
        <f>SUMIF(tblAkis[Durum],"TASLAK",tblAkis[FazlaMesaiSaat])+SUMIF(tblAkis[Durum],"KONTROL",tblAkis[FazlaMesaiSaat])+SUMIF(tblAkis[Durum],"ONAY",tblAkis[FazlaMesaiSaat])</f>
        <v/>
      </c>
    </row>
    <row r="19">
      <c r="A19" s="7" t="inlineStr">
        <is>
          <t>H14</t>
        </is>
      </c>
      <c r="B19" s="7" t="inlineStr">
        <is>
          <t>Yetim adet</t>
        </is>
      </c>
      <c r="C19" s="23">
        <f>COUNTIF(tblAkis[YetimBayrak],"YETİM")</f>
        <v/>
      </c>
    </row>
    <row r="20">
      <c r="A20" s="7" t="inlineStr">
        <is>
          <t>H15</t>
        </is>
      </c>
      <c r="B20" s="7" t="inlineStr">
        <is>
          <t>Geçersiz geçiş</t>
        </is>
      </c>
      <c r="C20" s="23">
        <f>COUNTIF(tblAkis[GecisUyarisi],"GEÇERSİZ GEÇİŞ")</f>
        <v/>
      </c>
    </row>
    <row r="21">
      <c r="A21" s="7" t="inlineStr">
        <is>
          <t>H16</t>
        </is>
      </c>
      <c r="B21" s="7" t="inlineStr">
        <is>
          <t>Zincir kırık</t>
        </is>
      </c>
      <c r="C21" s="23">
        <f>COUNTIF(tblAkis[ZincirBayrak],"ZİNCİR KIRIK")</f>
        <v/>
      </c>
    </row>
    <row r="22">
      <c r="A22" s="7" t="inlineStr">
        <is>
          <t>H17</t>
        </is>
      </c>
      <c r="B22" s="7" t="inlineStr">
        <is>
          <t>Zincir OK</t>
        </is>
      </c>
      <c r="C22" s="23">
        <f>COUNTIF(tblAkis[ZincirBayrak],"OK")</f>
        <v/>
      </c>
    </row>
    <row r="23">
      <c r="A23" s="7" t="inlineStr">
        <is>
          <t>H18</t>
        </is>
      </c>
      <c r="B23" s="7" t="inlineStr">
        <is>
          <t>Yaş 0-7</t>
        </is>
      </c>
      <c r="C23" s="23">
        <f>COUNTIF(tblAkis[YasKova],"0-7")</f>
        <v/>
      </c>
    </row>
    <row r="24">
      <c r="A24" s="7" t="inlineStr">
        <is>
          <t>H19</t>
        </is>
      </c>
      <c r="B24" s="7" t="inlineStr">
        <is>
          <t>Yaş 8-30</t>
        </is>
      </c>
      <c r="C24" s="23">
        <f>COUNTIF(tblAkis[YasKova],"8-30")</f>
        <v/>
      </c>
    </row>
    <row r="25">
      <c r="A25" s="7" t="inlineStr">
        <is>
          <t>H20</t>
        </is>
      </c>
      <c r="B25" s="7" t="inlineStr">
        <is>
          <t>Yaş 31-60</t>
        </is>
      </c>
      <c r="C25" s="23">
        <f>COUNTIF(tblAkis[YasKova],"31-60")</f>
        <v/>
      </c>
    </row>
    <row r="26">
      <c r="A26" s="7" t="inlineStr">
        <is>
          <t>H21</t>
        </is>
      </c>
      <c r="B26" s="7" t="inlineStr">
        <is>
          <t>Yaş 60+</t>
        </is>
      </c>
      <c r="C26" s="23">
        <f>COUNTIF(tblAkis[YasKova],"60+")</f>
        <v/>
      </c>
    </row>
    <row r="27">
      <c r="A27" s="7" t="inlineStr">
        <is>
          <t>H22</t>
        </is>
      </c>
      <c r="B27" s="7" t="inlineStr">
        <is>
          <t>Ort FM saat</t>
        </is>
      </c>
      <c r="C27" s="23">
        <f>IFERROR(AVERAGEIF(tblAkis[KayitDolu],1,tblAkis[FazlaMesaiSaat]),0)</f>
        <v/>
      </c>
    </row>
    <row r="28">
      <c r="A28" s="7" t="inlineStr">
        <is>
          <t>H23</t>
        </is>
      </c>
      <c r="B28" s="7" t="inlineStr">
        <is>
          <t>Günlük aşım adet</t>
        </is>
      </c>
      <c r="C28" s="23">
        <f>COUNTIFS(tblAkis[FazlaMesaiSaat],"&gt;"&amp;pvf_esikGunlukFm,tblAkis[Durum],"&lt;&gt;ARSIV",tblAkis[Durum],"&lt;&gt;RED",tblAkis[KayitDolu],"&gt;0")</f>
        <v/>
      </c>
    </row>
    <row r="29">
      <c r="A29" s="7" t="inlineStr">
        <is>
          <t>H24</t>
        </is>
      </c>
      <c r="B29" s="7" t="inlineStr">
        <is>
          <t>Günlük aşım FM</t>
        </is>
      </c>
      <c r="C29" s="68">
        <f>SUMIFS(tblAkis[FazlaMesaiSaat],tblAkis[FazlaMesaiSaat],"&gt;"&amp;pvf_esikGunlukFm,tblAkis[Durum],"&lt;&gt;ARSIV",tblAkis[Durum],"&lt;&gt;RED")</f>
        <v/>
      </c>
    </row>
    <row r="30">
      <c r="A30" s="7" t="inlineStr">
        <is>
          <t>H25</t>
        </is>
      </c>
      <c r="B30" s="7" t="inlineStr">
        <is>
          <t>FM maliyet toplam</t>
        </is>
      </c>
      <c r="C30" s="69">
        <f>IFERROR(SUMIF(tblAkis[KayitDolu],1,tblAkis[FmMaliyet]),0)</f>
        <v/>
      </c>
    </row>
    <row r="31">
      <c r="A31" s="7" t="inlineStr">
        <is>
          <t>H26</t>
        </is>
      </c>
      <c r="B31" s="7" t="inlineStr">
        <is>
          <t>Yıllık tavan aşım (proxy)</t>
        </is>
      </c>
      <c r="C31" s="23">
        <f>IF(C8&gt;pvf_yillikTavan,C8-pvf_yillikTavan,0)</f>
        <v/>
      </c>
    </row>
    <row r="32">
      <c r="A32" s="7" t="inlineStr">
        <is>
          <t>H27</t>
        </is>
      </c>
      <c r="B32" s="7" t="inlineStr">
        <is>
          <t>Haftalık FM proxy</t>
        </is>
      </c>
      <c r="C32" s="23">
        <f>C8*pvf_haftalikCarpan</f>
        <v/>
      </c>
    </row>
    <row r="33">
      <c r="A33" s="7" t="inlineStr">
        <is>
          <t>H28</t>
        </is>
      </c>
      <c r="B33" s="7" t="inlineStr">
        <is>
          <t>FM sapma (bildirim-hesap)</t>
        </is>
      </c>
      <c r="C33" s="23">
        <f>C8-C9</f>
        <v/>
      </c>
    </row>
    <row r="34">
      <c r="A34" s="7" t="inlineStr">
        <is>
          <t>H29</t>
        </is>
      </c>
      <c r="B34" s="7" t="inlineStr">
        <is>
          <t>Temkinli senaryo</t>
        </is>
      </c>
      <c r="C34" s="69">
        <f>C18*pvf_senaryoTemkinli</f>
        <v/>
      </c>
    </row>
    <row r="35">
      <c r="A35" s="7" t="inlineStr">
        <is>
          <t>H30</t>
        </is>
      </c>
      <c r="B35" s="7" t="inlineStr">
        <is>
          <t>Baz senaryo</t>
        </is>
      </c>
      <c r="C35" s="69">
        <f>C18*pvf_senaryoBaz</f>
        <v/>
      </c>
    </row>
    <row r="36">
      <c r="A36" s="7" t="inlineStr">
        <is>
          <t>H31</t>
        </is>
      </c>
      <c r="B36" s="7" t="inlineStr">
        <is>
          <t>İyimser senaryo</t>
        </is>
      </c>
      <c r="C36" s="69">
        <f>C18*pvf_senaryoIyimser</f>
        <v/>
      </c>
    </row>
    <row r="37">
      <c r="A37" s="7" t="inlineStr">
        <is>
          <t>H32</t>
        </is>
      </c>
      <c r="B37" s="7" t="inlineStr">
        <is>
          <t>Senaryo farkı</t>
        </is>
      </c>
      <c r="C37" s="69">
        <f>C36-C34</f>
        <v/>
      </c>
    </row>
    <row r="38">
      <c r="A38" s="7" t="inlineStr">
        <is>
          <t>H33</t>
        </is>
      </c>
      <c r="B38" s="7" t="inlineStr">
        <is>
          <t>Tornado (oran×FM)</t>
        </is>
      </c>
      <c r="C38" s="70">
        <f>C18*pvf_tornadoOran</f>
        <v/>
      </c>
    </row>
    <row r="39">
      <c r="A39" s="7" t="inlineStr">
        <is>
          <t>H34</t>
        </is>
      </c>
      <c r="B39" s="7" t="inlineStr">
        <is>
          <t>HHI proxy</t>
        </is>
      </c>
      <c r="C39" s="70">
        <f>IFERROR((MAX(C11,C12,C13)/MAX(C16,1))^2,0)</f>
        <v/>
      </c>
    </row>
    <row r="40">
      <c r="A40" s="7" t="inlineStr">
        <is>
          <t>H35</t>
        </is>
      </c>
      <c r="B40" s="7" t="inlineStr">
        <is>
          <t>Kalite skoru</t>
        </is>
      </c>
      <c r="C40" s="23">
        <f>IF(C6=0,0,MAX(0,pvf_kaliteTaban-C19*pvf_kaliteCeza-C20*pvf_kaliteCeza-C21*pvf_kaliteCeza-C28*pvf_kaliteSapma))</f>
        <v/>
      </c>
    </row>
    <row r="41">
      <c r="A41" s="7" t="inlineStr">
        <is>
          <t>H36</t>
        </is>
      </c>
      <c r="B41" s="7" t="inlineStr">
        <is>
          <t>Tahmin PERCENTILE</t>
        </is>
      </c>
      <c r="C41" s="69">
        <f>IFERROR(_xlfn.PERCENTILE.INC(tblAkis[FazlaMesaiSaat],pvf_yuzdelikOran),0)</f>
        <v/>
      </c>
    </row>
    <row r="42">
      <c r="A42" s="7" t="inlineStr">
        <is>
          <t>H37</t>
        </is>
      </c>
      <c r="B42" s="7" t="inlineStr">
        <is>
          <t>Tahmin FORECAST</t>
        </is>
      </c>
      <c r="C42" s="69">
        <f>IFERROR(FORECAST(COUNTA(tblAkis[PuantajId])+1,tblAkis[FazlaMesaiSaat],tblAkis[KayitDolu]),C41)</f>
        <v/>
      </c>
    </row>
    <row r="43">
      <c r="A43" s="7" t="inlineStr">
        <is>
          <t>H38</t>
        </is>
      </c>
      <c r="B43" s="7" t="inlineStr">
        <is>
          <t>Tahmin aralık</t>
        </is>
      </c>
      <c r="C43" s="69">
        <f>IFERROR((C41+C42)/2,0)</f>
        <v/>
      </c>
    </row>
    <row r="44">
      <c r="A44" s="7" t="inlineStr">
        <is>
          <t>H39</t>
        </is>
      </c>
      <c r="B44" s="7" t="inlineStr">
        <is>
          <t>P90 yüzdelik</t>
        </is>
      </c>
      <c r="C44" s="69">
        <f>IFERROR(_xlfn.PERCENTILE.INC(tblAkis[FazlaMesaiSaat],pvf_yuzdelikOran),0)</f>
        <v/>
      </c>
    </row>
    <row r="45">
      <c r="A45" s="7" t="inlineStr">
        <is>
          <t>H40</t>
        </is>
      </c>
      <c r="B45" s="7" t="inlineStr">
        <is>
          <t>Personel sayısı</t>
        </is>
      </c>
      <c r="C45" s="23">
        <f>COUNTA(tblPersonel[PersonelId])</f>
        <v/>
      </c>
    </row>
    <row r="46">
      <c r="A46" s="7" t="inlineStr">
        <is>
          <t>H41</t>
        </is>
      </c>
      <c r="B46" s="7" t="inlineStr">
        <is>
          <t>Tavan toplam</t>
        </is>
      </c>
      <c r="C46" s="23">
        <f>SUM(tblPersonel[YillikMesaiTavan])</f>
        <v/>
      </c>
    </row>
    <row r="47">
      <c r="A47" s="7" t="inlineStr">
        <is>
          <t>H42</t>
        </is>
      </c>
      <c r="B47" s="7" t="inlineStr">
        <is>
          <t>Tavan kullanım oranı</t>
        </is>
      </c>
      <c r="C47" s="70">
        <f>IFERROR(C8/MAX(C46,1),0)</f>
        <v/>
      </c>
    </row>
    <row r="48">
      <c r="A48" s="7" t="inlineStr">
        <is>
          <t>H43</t>
        </is>
      </c>
      <c r="B48" s="7" t="inlineStr">
        <is>
          <t>Kuyruk özeti metin</t>
        </is>
      </c>
      <c r="C48" s="13">
        <f>_xlfn.TEXTJOIN(" | ",TRUE,"Taslak",C11,"Kontrol",C12,"Onay",C13,"Aşım",C28)</f>
        <v/>
      </c>
    </row>
    <row r="49">
      <c r="A49" s="7" t="inlineStr">
        <is>
          <t>H44</t>
        </is>
      </c>
      <c r="B49" s="7" t="inlineStr">
        <is>
          <t>Yaş kova metin</t>
        </is>
      </c>
      <c r="C49" s="13">
        <f>_xlfn.TEXTJOIN("/",TRUE,C23,C24,C25,C26)</f>
        <v/>
      </c>
    </row>
    <row r="50">
      <c r="A50" s="7" t="inlineStr">
        <is>
          <t>H45</t>
        </is>
      </c>
      <c r="B50" s="7" t="inlineStr">
        <is>
          <t>Senaryo motor özet</t>
        </is>
      </c>
      <c r="C50" s="13">
        <f>_xlfn.TEXTJOIN(" | ",TRUE,"Temkinli",C34,"Baz",C35,"İyimser",C36)</f>
        <v/>
      </c>
    </row>
    <row r="51">
      <c r="A51" s="7" t="inlineStr">
        <is>
          <t>H46</t>
        </is>
      </c>
      <c r="B51" s="7" t="inlineStr">
        <is>
          <t>Veri hazırlık</t>
        </is>
      </c>
      <c r="C51" s="70">
        <f>IF(C6=0,0,C7/MAX(C6,1))</f>
        <v/>
      </c>
    </row>
    <row r="52">
      <c r="A52" s="7" t="inlineStr">
        <is>
          <t>H47</t>
        </is>
      </c>
      <c r="B52" s="7" t="inlineStr">
        <is>
          <t>Sınır adet (tavan %90)</t>
        </is>
      </c>
      <c r="C52" s="23">
        <f>IF(AND(C8&gt;=pvf_yillikTavan*pvf_sinirOran,C8&lt;=pvf_yillikTavan),1,0)</f>
        <v/>
      </c>
    </row>
    <row r="53">
      <c r="A53" s="7" t="inlineStr">
        <is>
          <t>H48</t>
        </is>
      </c>
      <c r="B53" s="7" t="inlineStr">
        <is>
          <t>Aşım karar adet</t>
        </is>
      </c>
      <c r="C53" s="23">
        <f>IF(OR(C28&gt;0,C31&gt;0),1,0)</f>
        <v/>
      </c>
    </row>
    <row r="54"/>
    <row r="55"/>
    <row r="56"/>
    <row r="57">
      <c r="A57" s="20" t="inlineStr">
        <is>
          <t>Senaryo</t>
        </is>
      </c>
      <c r="B57" s="20" t="inlineStr">
        <is>
          <t>Çarpan</t>
        </is>
      </c>
      <c r="C57" s="20" t="inlineStr">
        <is>
          <t>Sonuç</t>
        </is>
      </c>
    </row>
    <row r="58">
      <c r="A58" s="7" t="inlineStr">
        <is>
          <t>Temkinli</t>
        </is>
      </c>
      <c r="B58" s="71">
        <f>IFERROR(C34/MAX(C18,1),0)</f>
        <v/>
      </c>
      <c r="C58" s="21">
        <f>C34</f>
        <v/>
      </c>
    </row>
    <row r="59">
      <c r="A59" s="7" t="inlineStr">
        <is>
          <t>Baz</t>
        </is>
      </c>
      <c r="B59" s="71">
        <f>IFERROR(C35/MAX(C18,1),0)</f>
        <v/>
      </c>
      <c r="C59" s="21">
        <f>C35</f>
        <v/>
      </c>
    </row>
    <row r="60">
      <c r="A60" s="7" t="inlineStr">
        <is>
          <t>İyimser</t>
        </is>
      </c>
      <c r="B60" s="71">
        <f>IFERROR(C36/MAX(C18,1),0)</f>
        <v/>
      </c>
      <c r="C60" s="21">
        <f>C36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1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1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1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1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1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1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1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1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1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1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1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1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1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1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1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1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1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1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1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1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1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1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1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1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1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1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1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1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1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1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1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1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1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1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1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1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1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1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1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1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1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1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1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1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1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1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1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1">
      <formula>0</formula>
    </cfRule>
    <cfRule type="cellIs" priority="96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12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4.5" customWidth="1" min="8" max="8"/>
    <col width="13" customWidth="1" min="9" max="9"/>
  </cols>
  <sheetData>
    <row r="1" ht="32" customHeight="1">
      <c r="A1" s="187" t="inlineStr">
        <is>
          <t>KURALLAR — Puantaj-Vardiya-Fazla Mesai Kanıt Sistemi</t>
        </is>
      </c>
    </row>
    <row r="2"/>
    <row r="3" ht="22" customHeight="1">
      <c r="A3" s="207" t="inlineStr">
        <is>
          <t>PVF-001..005 kural tablosu — 2025 / 2026 / 2027</t>
        </is>
      </c>
    </row>
    <row r="4"/>
    <row r="5" ht="30" customHeight="1">
      <c r="A5" s="14" t="inlineStr">
        <is>
          <t>kural_id</t>
        </is>
      </c>
      <c r="B5" s="14" t="inlineStr">
        <is>
          <t>madde</t>
        </is>
      </c>
      <c r="C5" s="14" t="inlineStr">
        <is>
          <t>aciklama</t>
        </is>
      </c>
      <c r="D5" s="14" t="inlineStr">
        <is>
          <t>y2025</t>
        </is>
      </c>
      <c r="E5" s="14" t="inlineStr">
        <is>
          <t>y2026</t>
        </is>
      </c>
      <c r="F5" s="14" t="inlineStr">
        <is>
          <t>y2027</t>
        </is>
      </c>
      <c r="G5" s="14" t="inlineStr">
        <is>
          <t>birim</t>
        </is>
      </c>
      <c r="H5" s="14" t="inlineStr">
        <is>
          <t>AktifDeger</t>
        </is>
      </c>
    </row>
    <row r="6">
      <c r="A6" s="7" t="inlineStr">
        <is>
          <t>PVF-001</t>
        </is>
      </c>
      <c r="B6" s="7" t="inlineStr">
        <is>
          <t>4857/63</t>
        </is>
      </c>
      <c r="C6" s="7" t="inlineStr">
        <is>
          <t>Haftalık normal çalışma süresi</t>
        </is>
      </c>
      <c r="D6" s="16" t="n">
        <v>45</v>
      </c>
      <c r="E6" s="16" t="n">
        <v>45</v>
      </c>
      <c r="F6" s="16" t="n">
        <v>45</v>
      </c>
      <c r="G6" s="7" t="inlineStr">
        <is>
          <t>saat</t>
        </is>
      </c>
      <c r="H6" s="17">
        <f>IF(pvf_aktifYil=2025,$D6,IF(pvf_aktifYil=2027,$F6,$E6))</f>
        <v/>
      </c>
    </row>
    <row r="7">
      <c r="A7" s="7" t="inlineStr">
        <is>
          <t>PVF-002</t>
        </is>
      </c>
      <c r="B7" s="7" t="inlineStr">
        <is>
          <t>4857/41</t>
        </is>
      </c>
      <c r="C7" s="7" t="inlineStr">
        <is>
          <t>Yıllık fazla çalışma tavanı</t>
        </is>
      </c>
      <c r="D7" s="16" t="n">
        <v>270</v>
      </c>
      <c r="E7" s="16" t="n">
        <v>270</v>
      </c>
      <c r="F7" s="16" t="n">
        <v>270</v>
      </c>
      <c r="G7" s="7" t="inlineStr">
        <is>
          <t>saat</t>
        </is>
      </c>
      <c r="H7" s="17">
        <f>IF(pvf_aktifYil=2025,$D7,IF(pvf_aktifYil=2027,$F7,$E7))</f>
        <v/>
      </c>
    </row>
    <row r="8">
      <c r="A8" s="7" t="inlineStr">
        <is>
          <t>PVF-003</t>
        </is>
      </c>
      <c r="B8" s="7" t="inlineStr">
        <is>
          <t>4857/41</t>
        </is>
      </c>
      <c r="C8" s="7" t="inlineStr">
        <is>
          <t>Fazla çalışma ücret katsayısı</t>
        </is>
      </c>
      <c r="D8" s="75" t="n">
        <v>1.5</v>
      </c>
      <c r="E8" s="75" t="n">
        <v>1.5</v>
      </c>
      <c r="F8" s="75" t="n">
        <v>1.5</v>
      </c>
      <c r="G8" s="7" t="inlineStr">
        <is>
          <t>oran</t>
        </is>
      </c>
      <c r="H8" s="17">
        <f>IF(pvf_aktifYil=2025,$D8,IF(pvf_aktifYil=2027,$F8,$E8))</f>
        <v/>
      </c>
    </row>
    <row r="9">
      <c r="A9" s="7" t="inlineStr">
        <is>
          <t>PVF-004</t>
        </is>
      </c>
      <c r="B9" s="7" t="inlineStr">
        <is>
          <t>4857/41</t>
        </is>
      </c>
      <c r="C9" s="7" t="inlineStr">
        <is>
          <t>Fazla sürelerle çalışma katsayısı</t>
        </is>
      </c>
      <c r="D9" s="75" t="n">
        <v>1.25</v>
      </c>
      <c r="E9" s="75" t="n">
        <v>1.25</v>
      </c>
      <c r="F9" s="75" t="n">
        <v>1.25</v>
      </c>
      <c r="G9" s="7" t="inlineStr">
        <is>
          <t>oran</t>
        </is>
      </c>
      <c r="H9" s="17">
        <f>IF(pvf_aktifYil=2025,$D9,IF(pvf_aktifYil=2027,$F9,$E9))</f>
        <v/>
      </c>
    </row>
    <row r="10">
      <c r="A10" s="7" t="inlineStr">
        <is>
          <t>PVF-005</t>
        </is>
      </c>
      <c r="B10" s="7" t="inlineStr">
        <is>
          <t>İşyeri</t>
        </is>
      </c>
      <c r="C10" s="7" t="inlineStr">
        <is>
          <t>İmza/kanıt zorunluluğu (ONAY/ARSİV)</t>
        </is>
      </c>
      <c r="D10" s="16" t="n">
        <v>1</v>
      </c>
      <c r="E10" s="16" t="n">
        <v>1</v>
      </c>
      <c r="F10" s="16" t="n">
        <v>1</v>
      </c>
      <c r="G10" s="7" t="inlineStr">
        <is>
          <t>evet</t>
        </is>
      </c>
      <c r="H10" s="17">
        <f>IF(pvf_aktifYil=2025,$D10,IF(pvf_aktifYil=2027,$F10,$E10))</f>
        <v/>
      </c>
    </row>
    <row r="11"/>
    <row r="12">
      <c r="A12" s="13" t="inlineStr">
        <is>
          <t>Aktif yıl</t>
        </is>
      </c>
      <c r="B12" s="16" t="n">
        <v>2026</v>
      </c>
    </row>
    <row r="13">
      <c r="A13" s="13" t="inlineStr">
        <is>
          <t>Kural yıl matrisi</t>
        </is>
      </c>
      <c r="B13" s="8">
        <f>pvf_kuralYilMatris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B13:F13"/>
    <mergeCell ref="A1:H1"/>
  </mergeCells>
  <dataValidations count="5">
    <dataValidation sqref="A6" showDropDown="0" showInputMessage="1" showErrorMessage="1" allowBlank="1" errorTitle="Kural" error="Geçersiz" promptTitle="Kural" prompt="PVF-###" type="textLength" errorStyle="stop" operator="greaterThan">
      <formula1>1</formula1>
      <formula2>20</formula2>
    </dataValidation>
    <dataValidation sqref="A7" showDropDown="0" showInputMessage="1" showErrorMessage="1" allowBlank="1" errorTitle="Kural" error="Geçersiz" promptTitle="Kural" prompt="PVF-###" type="textLength" errorStyle="stop" operator="greaterThan">
      <formula1>1</formula1>
      <formula2>20</formula2>
    </dataValidation>
    <dataValidation sqref="A8" showDropDown="0" showInputMessage="1" showErrorMessage="1" allowBlank="1" errorTitle="Kural" error="Geçersiz" promptTitle="Kural" prompt="PVF-###" type="textLength" errorStyle="stop" operator="greaterThan">
      <formula1>1</formula1>
      <formula2>20</formula2>
    </dataValidation>
    <dataValidation sqref="A9" showDropDown="0" showInputMessage="1" showErrorMessage="1" allowBlank="1" errorTitle="Kural" error="Geçersiz" promptTitle="Kural" prompt="PVF-###" type="textLength" errorStyle="stop" operator="greaterThan">
      <formula1>1</formula1>
      <formula2>20</formula2>
    </dataValidation>
    <dataValidation sqref="A10" showDropDown="0" showInputMessage="1" showErrorMessage="1" allowBlank="1" errorTitle="Kural" error="Geçersiz" promptTitle="Kural" prompt="PVF-###" type="textLength" errorStyle="stop" operator="greaterThan">
      <formula1>1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9.5" customWidth="1" min="1" max="1"/>
    <col width="32" customWidth="1" min="2" max="2"/>
    <col width="12" customWidth="1" min="3" max="3"/>
    <col width="10" customWidth="1" min="4" max="4"/>
    <col width="18.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VAKALAR — Puantaj-Vardiya-Fazla Mesai Kanıt Sistemi</t>
        </is>
      </c>
    </row>
    <row r="2"/>
    <row r="3" ht="22" customHeight="1">
      <c r="A3" s="207" t="inlineStr">
        <is>
          <t>Örnek vakalar — beklenen karar ve fark kontrolü</t>
        </is>
      </c>
    </row>
    <row r="4"/>
    <row r="5" ht="30" customHeight="1">
      <c r="A5" s="14" t="inlineStr">
        <is>
          <t>vaka_id</t>
        </is>
      </c>
      <c r="B5" s="14" t="inlineStr">
        <is>
          <t>aciklama</t>
        </is>
      </c>
      <c r="C5" s="14" t="inlineStr">
        <is>
          <t>fm_saat</t>
        </is>
      </c>
      <c r="D5" s="14" t="inlineStr">
        <is>
          <t>tavan</t>
        </is>
      </c>
      <c r="E5" s="14" t="inlineStr">
        <is>
          <t>beklenen_karar</t>
        </is>
      </c>
      <c r="F5" s="14" t="inlineStr">
        <is>
          <t>fark</t>
        </is>
      </c>
    </row>
    <row r="6">
      <c r="A6" s="15" t="inlineStr">
        <is>
          <t>V01</t>
        </is>
      </c>
      <c r="B6" s="15" t="inlineStr">
        <is>
          <t>Normal vardiya, FM yok</t>
        </is>
      </c>
      <c r="C6" s="16" t="n">
        <v>0</v>
      </c>
      <c r="D6" s="16" t="n">
        <v>270</v>
      </c>
      <c r="E6" s="15" t="inlineStr">
        <is>
          <t>UYGUN</t>
        </is>
      </c>
      <c r="F6" s="17">
        <f>IF($A6="","",IF($C6&gt;$D6,"AŞIM",IF($C6&gt;pvf_esikGunlukFm,"SINIR",IF(AND($C6=0,$A6="V05"),"VERİ YOK","UYGUN"))))</f>
        <v/>
      </c>
    </row>
    <row r="7">
      <c r="A7" s="15" t="inlineStr">
        <is>
          <t>V02</t>
        </is>
      </c>
      <c r="B7" s="15" t="inlineStr">
        <is>
          <t>Günlük 2 saat FM</t>
        </is>
      </c>
      <c r="C7" s="16" t="n">
        <v>2</v>
      </c>
      <c r="D7" s="16" t="n">
        <v>270</v>
      </c>
      <c r="E7" s="15" t="inlineStr">
        <is>
          <t>UYGUN</t>
        </is>
      </c>
      <c r="F7" s="17">
        <f>IF($A7="","",IF($C7&gt;$D7,"AŞIM",IF($C7&gt;pvf_esikGunlukFm,"SINIR",IF(AND($C7=0,$A7="V05"),"VERİ YOK","UYGUN"))))</f>
        <v/>
      </c>
    </row>
    <row r="8">
      <c r="A8" s="15" t="inlineStr">
        <is>
          <t>V03</t>
        </is>
      </c>
      <c r="B8" s="15" t="inlineStr">
        <is>
          <t>Günlük eşik üstü FM</t>
        </is>
      </c>
      <c r="C8" s="16" t="n">
        <v>4.5</v>
      </c>
      <c r="D8" s="16" t="n">
        <v>270</v>
      </c>
      <c r="E8" s="15" t="inlineStr">
        <is>
          <t>SINIR</t>
        </is>
      </c>
      <c r="F8" s="17">
        <f>IF($A8="","",IF($C8&gt;$D8,"AŞIM",IF($C8&gt;pvf_esikGunlukFm,"SINIR",IF(AND($C8=0,$A8="V05"),"VERİ YOK","UYGUN"))))</f>
        <v/>
      </c>
    </row>
    <row r="9">
      <c r="A9" s="15" t="inlineStr">
        <is>
          <t>V04</t>
        </is>
      </c>
      <c r="B9" s="15" t="inlineStr">
        <is>
          <t>Yıllık tavan aşımı</t>
        </is>
      </c>
      <c r="C9" s="16" t="n">
        <v>280</v>
      </c>
      <c r="D9" s="16" t="n">
        <v>270</v>
      </c>
      <c r="E9" s="15" t="inlineStr">
        <is>
          <t>AŞIM</t>
        </is>
      </c>
      <c r="F9" s="17">
        <f>IF($A9="","",IF($C9&gt;$D9,"AŞIM",IF($C9&gt;pvf_esikGunlukFm,"SINIR",IF(AND($C9=0,$A9="V05"),"VERİ YOK","UYGUN"))))</f>
        <v/>
      </c>
    </row>
    <row r="10">
      <c r="A10" s="15" t="inlineStr">
        <is>
          <t>V05</t>
        </is>
      </c>
      <c r="B10" s="15" t="inlineStr">
        <is>
          <t>Boş veri seti</t>
        </is>
      </c>
      <c r="C10" s="16" t="n">
        <v>0</v>
      </c>
      <c r="D10" s="16" t="n">
        <v>270</v>
      </c>
      <c r="E10" s="15" t="inlineStr">
        <is>
          <t>VERİ YOK</t>
        </is>
      </c>
      <c r="F10" s="17">
        <f>IF($A10="","",IF($C10&gt;$D10,"AŞIM",IF($C10&gt;pvf_esikGunlukFm,"SINIR",IF(AND($C10=0,$A10="V05"),"VERİ YOK","UYGUN"))))</f>
        <v/>
      </c>
    </row>
    <row r="11">
      <c r="A11" s="15" t="inlineStr">
        <is>
          <t>V06</t>
        </is>
      </c>
      <c r="B11" s="15" t="inlineStr">
        <is>
          <t>Zincir sapmalı bildirim</t>
        </is>
      </c>
      <c r="C11" s="16" t="n">
        <v>3</v>
      </c>
      <c r="D11" s="16" t="n">
        <v>270</v>
      </c>
      <c r="E11" s="15" t="inlineStr">
        <is>
          <t>SINIR</t>
        </is>
      </c>
      <c r="F11" s="17">
        <f>IF($A11="","",IF($C11&gt;$D11,"AŞIM",IF($C11&gt;pvf_esikGunlukFm,"SINIR",IF(AND($C11=0,$A11="V05"),"VERİ YOK","UYGUN"))))</f>
        <v/>
      </c>
    </row>
    <row r="12"/>
    <row r="13">
      <c r="A13" s="13" t="inlineStr">
        <is>
          <t>Vaka fark özeti</t>
        </is>
      </c>
      <c r="B13" s="8">
        <f>COUNTIF(tblVakalar[fark],"&lt;&gt;"&amp;"")&amp;" satır"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38"/>
  <sheetViews>
    <sheetView showGridLines="0" workbookViewId="0">
      <selection activeCell="A1" sqref="A1"/>
    </sheetView>
  </sheetViews>
  <sheetFormatPr baseColWidth="8" defaultRowHeight="15"/>
  <cols>
    <col width="167.5" customWidth="1" min="1" max="1"/>
    <col width="42.5" customWidth="1" min="2" max="2"/>
    <col width="14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KANIT RAPORU — Puantaj-Vardiya-Fazla Mesai Kanıt Sistemi</t>
        </is>
      </c>
    </row>
    <row r="2"/>
    <row r="3" ht="22" customHeight="1">
      <c r="A3" s="206" t="inlineStr">
        <is>
          <t>Puantaj / Fazla Mesai Kanıt Raporu</t>
        </is>
      </c>
    </row>
    <row r="4">
      <c r="A4" s="7" t="inlineStr">
        <is>
          <t>Ürün</t>
        </is>
      </c>
      <c r="B4" s="7" t="inlineStr">
        <is>
          <t>Puantaj-Vardiya-Fazla Mesai Kanıt Sistemi</t>
        </is>
      </c>
    </row>
    <row r="5">
      <c r="A5" s="7" t="inlineStr">
        <is>
          <t>Sürüm</t>
        </is>
      </c>
      <c r="B5" s="7" t="inlineStr">
        <is>
          <t>1.0.0</t>
        </is>
      </c>
    </row>
    <row r="6">
      <c r="A6" s="7" t="inlineStr">
        <is>
          <t>Rapor türü</t>
        </is>
      </c>
      <c r="B6" s="7" t="inlineStr">
        <is>
          <t>Kanıt çıktısı — müşteriye/imza için</t>
        </is>
      </c>
    </row>
    <row r="7">
      <c r="A7" s="7" t="inlineStr">
        <is>
          <t>Ortam</t>
        </is>
      </c>
      <c r="B7" s="7" t="inlineStr">
        <is>
          <t>Çevrimdışı · makro yok · telemetri yok</t>
        </is>
      </c>
    </row>
    <row r="8">
      <c r="A8" s="7" t="inlineStr">
        <is>
          <t>Rapor Tarihi</t>
        </is>
      </c>
      <c r="B8" s="72">
        <f>raporTarihi</f>
        <v/>
      </c>
    </row>
    <row r="9">
      <c r="A9" s="13" t="inlineStr">
        <is>
          <t>KARAR</t>
        </is>
      </c>
      <c r="B9" s="38">
        <f>PANO!B4</f>
        <v/>
      </c>
    </row>
    <row r="10"/>
    <row r="11">
      <c r="A11" s="7" t="inlineStr">
        <is>
          <t>Açık Kuyruk</t>
        </is>
      </c>
      <c r="B11" s="23">
        <f>pvf_acikAdet</f>
        <v/>
      </c>
    </row>
    <row r="12">
      <c r="A12" s="7" t="inlineStr">
        <is>
          <t>Toplam FM Saat</t>
        </is>
      </c>
      <c r="B12" s="23">
        <f>pvf_toplamFm</f>
        <v/>
      </c>
    </row>
    <row r="13">
      <c r="A13" s="7" t="inlineStr">
        <is>
          <t>FM Maliyet</t>
        </is>
      </c>
      <c r="B13" s="69">
        <f>pvf_fmMaliyet</f>
        <v/>
      </c>
    </row>
    <row r="14">
      <c r="A14" s="7" t="inlineStr">
        <is>
          <t>Yetim</t>
        </is>
      </c>
      <c r="B14" s="23">
        <f>pvf_yetimKayit</f>
        <v/>
      </c>
    </row>
    <row r="15">
      <c r="A15" s="7" t="inlineStr">
        <is>
          <t>Geçersiz Geçiş</t>
        </is>
      </c>
      <c r="B15" s="23">
        <f>pvf_gecersizGecis</f>
        <v/>
      </c>
    </row>
    <row r="16">
      <c r="A16" s="7" t="inlineStr">
        <is>
          <t>Zincir Kırık</t>
        </is>
      </c>
      <c r="B16" s="23">
        <f>pvf_zincirKirik</f>
        <v/>
      </c>
    </row>
    <row r="17">
      <c r="A17" s="7" t="inlineStr">
        <is>
          <t>Kural Matris</t>
        </is>
      </c>
      <c r="B17" s="13">
        <f>pvf_kuralYilMatris</f>
        <v/>
      </c>
    </row>
    <row r="18">
      <c r="A18" s="7" t="inlineStr">
        <is>
          <t>Kanıt Özeti</t>
        </is>
      </c>
      <c r="B18" s="13">
        <f>pvf_kanitRaporu</f>
        <v/>
      </c>
    </row>
    <row r="19">
      <c r="A19" s="7" t="inlineStr">
        <is>
          <t>Haftalık FM</t>
        </is>
      </c>
      <c r="B19" s="23">
        <f>pvf_haftalikFm</f>
        <v/>
      </c>
    </row>
    <row r="20">
      <c r="A20" s="7" t="inlineStr">
        <is>
          <t>Kalite Skoru</t>
        </is>
      </c>
      <c r="B20" s="23">
        <f>pvf_kaliteSkor</f>
        <v/>
      </c>
    </row>
    <row r="21">
      <c r="A21" s="7" t="inlineStr">
        <is>
          <t>Kapalı Düşüm</t>
        </is>
      </c>
      <c r="B21" s="23">
        <f>pvf_kapaliDusum</f>
        <v/>
      </c>
    </row>
    <row r="22"/>
    <row r="23">
      <c r="A23" s="22" t="inlineStr">
        <is>
          <t>Hesap Zinciri</t>
        </is>
      </c>
    </row>
    <row r="24">
      <c r="A24" s="8" t="inlineStr">
        <is>
          <t>Giriş/Çıkış → Fiili saat → Planlı vardiya farkı → Hesaplanan FM → Bildirilen FM (zincir) → Durum makinesi → PANO kararı → İmza/kanıt.</t>
        </is>
      </c>
    </row>
    <row r="25"/>
    <row r="26">
      <c r="A26" s="22" t="inlineStr">
        <is>
          <t>Varsayımlar</t>
        </is>
      </c>
    </row>
    <row r="27">
      <c r="A27" s="8" t="inlineStr">
        <is>
          <t>Yıllık tavan PVF-002 (270 saat) AYARLAR'dan gelir. Geçersiz geçiş engellenmez, görünür kılınır. Bu çıktı karar destektir; kesin hukuki/bordro görüşü yerine geçmez.</t>
        </is>
      </c>
    </row>
    <row r="28"/>
    <row r="29">
      <c r="A29" s="22" t="inlineStr">
        <is>
          <t>İmza / Onay</t>
        </is>
      </c>
    </row>
    <row r="30">
      <c r="A30" s="7" t="inlineStr">
        <is>
          <t>Hazırlayan</t>
        </is>
      </c>
      <c r="B30" s="15" t="inlineStr"/>
    </row>
    <row r="31">
      <c r="A31" s="7" t="inlineStr">
        <is>
          <t>Kontrol eden</t>
        </is>
      </c>
      <c r="B31" s="15" t="inlineStr"/>
    </row>
    <row r="32">
      <c r="A32" s="7" t="inlineStr">
        <is>
          <t>Tarih</t>
        </is>
      </c>
      <c r="B32" s="72">
        <f>raporTarihi</f>
        <v/>
      </c>
    </row>
    <row r="33">
      <c r="A33" s="7" t="inlineStr">
        <is>
          <t>Kaşe / imza</t>
        </is>
      </c>
      <c r="B33" s="15" t="inlineStr"/>
    </row>
    <row r="34"/>
    <row r="35"/>
    <row r="36">
      <c r="A36" s="39" t="inlineStr">
        <is>
          <t>SHA-256 sevk anında KANIT/SEVK_KARARI.md ve denetim raporlarına yazılır; alıcı indirdiği dosyayı parmak iziyle doğrular.</t>
        </is>
      </c>
    </row>
    <row r="37"/>
    <row r="38">
      <c r="A38" s="12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24:H24"/>
    <mergeCell ref="A1:I1"/>
    <mergeCell ref="A36:H36"/>
    <mergeCell ref="A3:I3"/>
    <mergeCell ref="A27:H27"/>
  </mergeCells>
  <conditionalFormatting sqref="B9">
    <cfRule type="cellIs" priority="1" operator="equal" dxfId="3">
      <formula>"UYGUN"</formula>
    </cfRule>
    <cfRule type="cellIs" priority="2" operator="equal" dxfId="0">
      <formula>"SINIR"</formula>
    </cfRule>
    <cfRule type="cellIs" priority="3" operator="equal" dxfId="2">
      <formula>"AŞIM"</formula>
    </cfRule>
    <cfRule type="cellIs" priority="4" operator="equal" dxfId="2">
      <formula>"VERİ YOK"</formula>
    </cfRule>
  </conditionalFormatting>
  <conditionalFormatting sqref="B11">
    <cfRule type="cellIs" priority="5" operator="greaterThan" dxfId="1">
      <formula>0</formula>
    </cfRule>
  </conditionalFormatting>
  <conditionalFormatting sqref="B12">
    <cfRule type="cellIs" priority="6" operator="greaterThan" dxfId="1">
      <formula>0</formula>
    </cfRule>
  </conditionalFormatting>
  <conditionalFormatting sqref="B13">
    <cfRule type="cellIs" priority="7" operator="greaterThan" dxfId="1">
      <formula>0</formula>
    </cfRule>
  </conditionalFormatting>
  <conditionalFormatting sqref="B14">
    <cfRule type="cellIs" priority="8" operator="greaterThan" dxfId="1">
      <formula>0</formula>
    </cfRule>
  </conditionalFormatting>
  <conditionalFormatting sqref="B15">
    <cfRule type="cellIs" priority="9" operator="greaterThan" dxfId="1">
      <formula>0</formula>
    </cfRule>
  </conditionalFormatting>
  <conditionalFormatting sqref="B16">
    <cfRule type="cellIs" priority="10" operator="greaterThan" dxfId="1">
      <formula>0</formula>
    </cfRule>
  </conditionalFormatting>
  <conditionalFormatting sqref="B17">
    <cfRule type="cellIs" priority="11" operator="greaterThan" dxfId="1">
      <formula>0</formula>
    </cfRule>
  </conditionalFormatting>
  <conditionalFormatting sqref="B18">
    <cfRule type="cellIs" priority="12" operator="greaterThan" dxfId="1">
      <formula>0</formula>
    </cfRule>
  </conditionalFormatting>
  <conditionalFormatting sqref="B19">
    <cfRule type="cellIs" priority="13" operator="greaterThan" dxfId="1">
      <formula>0</formula>
    </cfRule>
  </conditionalFormatting>
  <conditionalFormatting sqref="B20">
    <cfRule type="cellIs" priority="14" operator="greaterThan" dxfId="1">
      <formula>0</formula>
    </cfRule>
  </conditionalFormatting>
  <conditionalFormatting sqref="B21">
    <cfRule type="cellIs" priority="15" operator="greaterThan" dxfId="1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B30" showDropDown="0" showInputMessage="1" showErrorMessage="1" allowBlank="1" errorTitle="İmza1" error="Geçersiz" promptTitle="İmza1" prompt="Metin alanı" type="textLength" errorStyle="stop" operator="greaterThanOrEqual">
      <formula1>0</formula1>
      <formula2>200</formula2>
    </dataValidation>
    <dataValidation sqref="B31" showDropDown="0" showInputMessage="1" showErrorMessage="1" allowBlank="1" errorTitle="İmza2" error="Geçersiz" promptTitle="İmza2" prompt="Metin alanı" type="textLength" errorStyle="stop" operator="greaterThanOrEqual">
      <formula1>0</formula1>
      <formula2>200</formula2>
    </dataValidation>
    <dataValidation sqref="B32" showDropDown="0" showInputMessage="1" showErrorMessage="1" allowBlank="1" errorTitle="İmza3" error="Geçersiz" promptTitle="İmza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&amp;LPuantaj-Vardiya-Fazla Mesai Kanıt Sistemi | Kanıt&amp;CExcelArşiv&amp;RSayfa &amp;P / &amp;N</oddFooter>
    <evenHeader/>
    <evenFooter>&amp;LPuantaj-Vardiya-Fazla Mesai Kanıt Sistemi | Kanıt&amp;CExcelArşiv&amp;RSayfa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1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KONTROLLER — Puantaj-Vardiya-Fazla Mesai Kanıt Sistemi</t>
        </is>
      </c>
    </row>
    <row r="2"/>
    <row r="3" ht="22" customHeight="1">
      <c r="A3" s="208" t="inlineStr">
        <is>
          <t>Canlı Kontrol Paneli</t>
        </is>
      </c>
    </row>
    <row r="4"/>
    <row r="5">
      <c r="A5" s="7" t="inlineStr">
        <is>
          <t>Puantaj sayısı</t>
        </is>
      </c>
      <c r="B5" s="23">
        <f>COUNTA(tblAkis[PuantajId])</f>
        <v/>
      </c>
    </row>
    <row r="6">
      <c r="A6" s="7" t="inlineStr">
        <is>
          <t>Personel sayısı</t>
        </is>
      </c>
      <c r="B6" s="23">
        <f>COUNTA(tblPersonel[PersonelId])</f>
        <v/>
      </c>
    </row>
    <row r="7">
      <c r="A7" s="7" t="inlineStr">
        <is>
          <t>Taslak</t>
        </is>
      </c>
      <c r="B7" s="23">
        <f>COUNTIF(tblAkis[Durum],"TASLAK")</f>
        <v/>
      </c>
    </row>
    <row r="8">
      <c r="A8" s="7" t="inlineStr">
        <is>
          <t>Kontrol</t>
        </is>
      </c>
      <c r="B8" s="23">
        <f>COUNTIF(tblAkis[Durum],"KONTROL")</f>
        <v/>
      </c>
    </row>
    <row r="9">
      <c r="A9" s="7" t="inlineStr">
        <is>
          <t>Onay</t>
        </is>
      </c>
      <c r="B9" s="23">
        <f>COUNTIF(tblAkis[Durum],"ONAY")</f>
        <v/>
      </c>
    </row>
    <row r="10">
      <c r="A10" s="7" t="inlineStr">
        <is>
          <t>Arşiv</t>
        </is>
      </c>
      <c r="B10" s="23">
        <f>COUNTIF(tblAkis[Durum],"ARSIV")</f>
        <v/>
      </c>
    </row>
    <row r="11">
      <c r="A11" s="7" t="inlineStr">
        <is>
          <t>Red</t>
        </is>
      </c>
      <c r="B11" s="23">
        <f>COUNTIF(tblAkis[Durum],"RED")</f>
        <v/>
      </c>
    </row>
    <row r="12">
      <c r="A12" s="7" t="inlineStr">
        <is>
          <t>Açık toplam</t>
        </is>
      </c>
      <c r="B12" s="23">
        <f>B7+B8+B9</f>
        <v/>
      </c>
    </row>
    <row r="13">
      <c r="A13" s="7" t="inlineStr">
        <is>
          <t>Yetim</t>
        </is>
      </c>
      <c r="B13" s="23">
        <f>pvf_yetimKayit</f>
        <v/>
      </c>
    </row>
    <row r="14">
      <c r="A14" s="7" t="inlineStr">
        <is>
          <t>Geçersiz</t>
        </is>
      </c>
      <c r="B14" s="23">
        <f>pvf_gecersizGecis</f>
        <v/>
      </c>
    </row>
    <row r="15">
      <c r="A15" s="7" t="inlineStr">
        <is>
          <t>Zincir kırık</t>
        </is>
      </c>
      <c r="B15" s="23">
        <f>pvf_zincirKirik</f>
        <v/>
      </c>
    </row>
    <row r="16">
      <c r="A16" s="7" t="inlineStr">
        <is>
          <t>Boş karar yolu</t>
        </is>
      </c>
      <c r="B16" s="13">
        <f>IF(B5=0,"VERİ YOK","VERİ VAR")</f>
        <v/>
      </c>
    </row>
    <row r="17">
      <c r="A17" s="7" t="inlineStr">
        <is>
          <t>Kalite skoru</t>
        </is>
      </c>
      <c r="B17" s="23">
        <f>pvf_kaliteSkor</f>
        <v/>
      </c>
    </row>
    <row r="18">
      <c r="A18" s="7" t="inlineStr">
        <is>
          <t>Toplam FM</t>
        </is>
      </c>
      <c r="B18" s="23">
        <f>pvf_toplamFm</f>
        <v/>
      </c>
    </row>
    <row r="19">
      <c r="A19" s="7" t="inlineStr">
        <is>
          <t>FM maliyet</t>
        </is>
      </c>
      <c r="B19" s="69">
        <f>pvf_fmMaliyet</f>
        <v/>
      </c>
    </row>
    <row r="20">
      <c r="A20" s="7" t="inlineStr">
        <is>
          <t>Kapalı düşüm</t>
        </is>
      </c>
      <c r="B20" s="23">
        <f>pvf_kapaliDusum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6">
    <cfRule type="cellIs" priority="1" operator="equal" dxfId="2">
      <formula>"VERİ YOK"</formula>
    </cfRule>
    <cfRule type="cellIs" priority="2" operator="equal" dxfId="3">
      <formula>"VERİ VAR"</formula>
    </cfRule>
  </conditionalFormatting>
  <conditionalFormatting sqref="B17">
    <cfRule type="cellIs" priority="3" operator="greaterThanOrEqual" dxfId="3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1">
      <formula>0</formula>
    </cfRule>
  </conditionalFormatting>
  <conditionalFormatting sqref="B6">
    <cfRule type="cellIs" priority="6" operator="greaterThan" dxfId="1">
      <formula>0</formula>
    </cfRule>
  </conditionalFormatting>
  <conditionalFormatting sqref="B7">
    <cfRule type="cellIs" priority="7" operator="greaterThan" dxfId="1">
      <formula>0</formula>
    </cfRule>
  </conditionalFormatting>
  <conditionalFormatting sqref="B8">
    <cfRule type="cellIs" priority="8" operator="greaterThan" dxfId="1">
      <formula>0</formula>
    </cfRule>
  </conditionalFormatting>
  <conditionalFormatting sqref="B9">
    <cfRule type="cellIs" priority="9" operator="greaterThan" dxfId="1">
      <formula>0</formula>
    </cfRule>
  </conditionalFormatting>
  <conditionalFormatting sqref="B10">
    <cfRule type="cellIs" priority="10" operator="greaterThan" dxfId="1">
      <formula>0</formula>
    </cfRule>
  </conditionalFormatting>
  <conditionalFormatting sqref="B11">
    <cfRule type="cellIs" priority="11" operator="greaterThan" dxfId="1">
      <formula>0</formula>
    </cfRule>
  </conditionalFormatting>
  <conditionalFormatting sqref="B12">
    <cfRule type="cellIs" priority="12" operator="greaterThan" dxfId="1">
      <formula>0</formula>
    </cfRule>
  </conditionalFormatting>
  <conditionalFormatting sqref="B13">
    <cfRule type="cellIs" priority="13" operator="greaterThan" dxfId="1">
      <formula>0</formula>
    </cfRule>
  </conditionalFormatting>
  <conditionalFormatting sqref="B14">
    <cfRule type="cellIs" priority="14" operator="greaterThan" dxfId="1">
      <formula>0</formula>
    </cfRule>
  </conditionalFormatting>
  <conditionalFormatting sqref="B15">
    <cfRule type="cellIs" priority="15" operator="greaterThan" dxfId="1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ORNEK VERI — Puantaj-Vardiya-Fazla Mesai Kanıt Sistemi</t>
        </is>
      </c>
    </row>
    <row r="2"/>
    <row r="3" ht="22" customHeight="1">
      <c r="A3" s="208" t="inlineStr">
        <is>
          <t>Örnek Senaryo Açıklaması</t>
        </is>
      </c>
    </row>
    <row r="4">
      <c r="A4" s="8" t="inlineStr">
        <is>
          <t>Dosyada 8 personel kartı ve 28 puantaj satırı vardır. Yetim (22, 25), geçersiz geçiş (18, 20) ve zincir kırık (12, 19) kasıtlıdır. PERSONEL ve AKIS'i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Taslak/Kontrol/Onay/Arşiv/Red — kapalılar kuyruktan düşer</t>
        </is>
      </c>
    </row>
    <row r="8"/>
    <row r="9">
      <c r="A9" s="7" t="inlineStr">
        <is>
          <t>Ölçek sözleşmesi</t>
        </is>
      </c>
      <c r="B9" s="21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3" customWidth="1" min="8" max="8"/>
    <col width="14" customWidth="1" min="9" max="9"/>
    <col width="13" customWidth="1" min="10" max="10"/>
    <col width="13" customWidth="1" min="11" max="11"/>
  </cols>
  <sheetData>
    <row r="1" ht="32" customHeight="1">
      <c r="A1" s="187" t="inlineStr">
        <is>
          <t>LISTELER — Puantaj-Vardiya-Fazla Mesai Kanıt Sistemi</t>
        </is>
      </c>
    </row>
    <row r="2"/>
    <row r="3">
      <c r="A3" s="22" t="inlineStr">
        <is>
          <t>Durum Listesi</t>
        </is>
      </c>
      <c r="C3" s="22" t="inlineStr">
        <is>
          <t>İzinli Geçişler</t>
        </is>
      </c>
      <c r="E3" s="13" t="inlineStr">
        <is>
          <t>Evet / Hayır</t>
        </is>
      </c>
      <c r="G3" s="13" t="inlineStr">
        <is>
          <t>Yorum A/B</t>
        </is>
      </c>
      <c r="I3" s="13" t="inlineStr">
        <is>
          <t>İzin Türü</t>
        </is>
      </c>
    </row>
    <row r="4"/>
    <row r="5"/>
    <row r="6">
      <c r="A6" s="20" t="inlineStr">
        <is>
          <t>DurumId</t>
        </is>
      </c>
      <c r="C6" s="20" t="inlineStr">
        <is>
          <t>Gecis</t>
        </is>
      </c>
      <c r="E6" s="20" t="inlineStr">
        <is>
          <t>Secim</t>
        </is>
      </c>
      <c r="G6" s="20" t="inlineStr">
        <is>
          <t>Yorum</t>
        </is>
      </c>
      <c r="I6" s="20" t="inlineStr">
        <is>
          <t>Izin</t>
        </is>
      </c>
    </row>
    <row r="7">
      <c r="A7" s="15" t="inlineStr">
        <is>
          <t>TASLAK</t>
        </is>
      </c>
      <c r="C7" s="15" t="inlineStr">
        <is>
          <t>TASLAK|KONTROL</t>
        </is>
      </c>
      <c r="E7" s="15" t="inlineStr">
        <is>
          <t>EVET</t>
        </is>
      </c>
      <c r="G7" s="15" t="inlineStr">
        <is>
          <t>A</t>
        </is>
      </c>
      <c r="I7" s="15" t="inlineStr">
        <is>
          <t>YOK</t>
        </is>
      </c>
    </row>
    <row r="8">
      <c r="A8" s="15" t="inlineStr">
        <is>
          <t>KONTROL</t>
        </is>
      </c>
      <c r="C8" s="15" t="inlineStr">
        <is>
          <t>TASLAK|RED</t>
        </is>
      </c>
      <c r="E8" s="15" t="inlineStr">
        <is>
          <t>HAYIR</t>
        </is>
      </c>
      <c r="G8" s="15" t="inlineStr">
        <is>
          <t>B</t>
        </is>
      </c>
      <c r="I8" s="15" t="inlineStr">
        <is>
          <t>YILLIK</t>
        </is>
      </c>
    </row>
    <row r="9">
      <c r="A9" s="15" t="inlineStr">
        <is>
          <t>ONAY</t>
        </is>
      </c>
      <c r="C9" s="15" t="inlineStr">
        <is>
          <t>KONTROL|ONAY</t>
        </is>
      </c>
      <c r="I9" s="15" t="inlineStr">
        <is>
          <t>MAZERET</t>
        </is>
      </c>
    </row>
    <row r="10">
      <c r="A10" s="15" t="inlineStr">
        <is>
          <t>ARSIV</t>
        </is>
      </c>
      <c r="C10" s="15" t="inlineStr">
        <is>
          <t>KONTROL|TASLAK</t>
        </is>
      </c>
      <c r="I10" s="15" t="inlineStr">
        <is>
          <t>RAPOR</t>
        </is>
      </c>
    </row>
    <row r="11">
      <c r="A11" s="15" t="inlineStr">
        <is>
          <t>RED</t>
        </is>
      </c>
      <c r="C11" s="15" t="inlineStr">
        <is>
          <t>KONTROL|RED</t>
        </is>
      </c>
      <c r="I11" s="15" t="inlineStr">
        <is>
          <t>UCRETSIZ</t>
        </is>
      </c>
    </row>
    <row r="12">
      <c r="C12" s="15" t="inlineStr">
        <is>
          <t>ONAY|ARSIV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2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2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2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L80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35.5" customWidth="1" min="2" max="2"/>
    <col width="10" customWidth="1" min="3" max="3"/>
    <col width="30.5" customWidth="1" min="4" max="4"/>
    <col width="19.5" customWidth="1" min="5" max="5"/>
    <col width="29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87" t="inlineStr">
        <is>
          <t>AYARLAR — Puantaj-Vardiya-Fazla Mesai Kanıt Sistemi</t>
        </is>
      </c>
    </row>
    <row r="2"/>
    <row r="3" ht="22" customHeight="1">
      <c r="A3" s="207" t="inlineStr">
        <is>
          <t>Tek kaynak parametreler + durum haritası (A01/A06)</t>
        </is>
      </c>
    </row>
    <row r="4"/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66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16" t="n">
        <v>1</v>
      </c>
      <c r="C7" s="7" t="inlineStr">
        <is>
          <t>saat</t>
        </is>
      </c>
      <c r="D7" s="7" t="inlineStr">
        <is>
          <t>İş kuralı — FM sapma</t>
        </is>
      </c>
      <c r="E7" s="7" t="inlineStr">
        <is>
          <t>01.01.2026</t>
        </is>
      </c>
      <c r="F7" s="8" t="inlineStr">
        <is>
          <t>ZİNCİR KIRIK eşiği (saat)</t>
        </is>
      </c>
    </row>
    <row r="8">
      <c r="A8" s="7" t="inlineStr">
        <is>
          <t>pvf_esikGunlukFm</t>
        </is>
      </c>
      <c r="B8" s="16" t="n">
        <v>3</v>
      </c>
      <c r="C8" s="7" t="inlineStr">
        <is>
          <t>saat</t>
        </is>
      </c>
      <c r="D8" s="7" t="inlineStr">
        <is>
          <t>İç politika / PVF</t>
        </is>
      </c>
      <c r="E8" s="7" t="inlineStr">
        <is>
          <t>01.01.2026</t>
        </is>
      </c>
      <c r="F8" s="8" t="inlineStr">
        <is>
          <t>Günlük FM eşiği</t>
        </is>
      </c>
    </row>
    <row r="9">
      <c r="A9" s="7" t="inlineStr">
        <is>
          <t>pvf_yillikTavan</t>
        </is>
      </c>
      <c r="B9" s="16" t="n">
        <v>270</v>
      </c>
      <c r="C9" s="7" t="inlineStr">
        <is>
          <t>saat</t>
        </is>
      </c>
      <c r="D9" s="7" t="inlineStr">
        <is>
          <t>4857 md.41 / PVF-002</t>
        </is>
      </c>
      <c r="E9" s="7" t="inlineStr">
        <is>
          <t>01.01.2026</t>
        </is>
      </c>
      <c r="F9" s="8" t="inlineStr">
        <is>
          <t>Yıllık FM tavan</t>
        </is>
      </c>
    </row>
    <row r="10">
      <c r="A10" s="7" t="inlineStr">
        <is>
          <t>pvf_sinirOran</t>
        </is>
      </c>
      <c r="B10" s="75" t="n">
        <v>0.9</v>
      </c>
      <c r="C10" s="7" t="inlineStr">
        <is>
          <t>oran</t>
        </is>
      </c>
      <c r="D10" s="7" t="inlineStr">
        <is>
          <t>İç politika</t>
        </is>
      </c>
      <c r="E10" s="7" t="inlineStr">
        <is>
          <t>01.01.2026</t>
        </is>
      </c>
      <c r="F10" s="8" t="inlineStr">
        <is>
          <t>SINIR bandı oranı</t>
        </is>
      </c>
    </row>
    <row r="11">
      <c r="A11" s="7" t="inlineStr">
        <is>
          <t>pvf_kovaEsik1</t>
        </is>
      </c>
      <c r="B11" s="16" t="n">
        <v>7</v>
      </c>
      <c r="C11" s="7" t="inlineStr">
        <is>
          <t>gün</t>
        </is>
      </c>
      <c r="D11" s="7" t="inlineStr">
        <is>
          <t>Yaşlandırma</t>
        </is>
      </c>
      <c r="E11" s="7" t="inlineStr">
        <is>
          <t>01.01.2026</t>
        </is>
      </c>
      <c r="F11" s="8" t="inlineStr">
        <is>
          <t>Kova 1 üst sınır</t>
        </is>
      </c>
    </row>
    <row r="12">
      <c r="A12" s="7" t="inlineStr">
        <is>
          <t>pvf_kovaEsik2</t>
        </is>
      </c>
      <c r="B12" s="16" t="n">
        <v>30</v>
      </c>
      <c r="C12" s="7" t="inlineStr">
        <is>
          <t>gün</t>
        </is>
      </c>
      <c r="D12" s="7" t="inlineStr">
        <is>
          <t>Yaşlandırma</t>
        </is>
      </c>
      <c r="E12" s="7" t="inlineStr">
        <is>
          <t>01.01.2026</t>
        </is>
      </c>
      <c r="F12" s="8" t="inlineStr">
        <is>
          <t>Kova 2 üst sınır</t>
        </is>
      </c>
    </row>
    <row r="13">
      <c r="A13" s="7" t="inlineStr">
        <is>
          <t>pvf_kovaEsik3</t>
        </is>
      </c>
      <c r="B13" s="16" t="n">
        <v>60</v>
      </c>
      <c r="C13" s="7" t="inlineStr">
        <is>
          <t>gün</t>
        </is>
      </c>
      <c r="D13" s="7" t="inlineStr">
        <is>
          <t>Yaşlandırma</t>
        </is>
      </c>
      <c r="E13" s="7" t="inlineStr">
        <is>
          <t>01.01.2026</t>
        </is>
      </c>
      <c r="F13" s="8" t="inlineStr">
        <is>
          <t>Kova 3 üst sınır</t>
        </is>
      </c>
    </row>
    <row r="14">
      <c r="A14" s="7" t="inlineStr">
        <is>
          <t>pvf_mesaiKatsayi</t>
        </is>
      </c>
      <c r="B14" s="75" t="n">
        <v>1.5</v>
      </c>
      <c r="C14" s="7" t="inlineStr">
        <is>
          <t>oran</t>
        </is>
      </c>
      <c r="D14" s="7" t="inlineStr">
        <is>
          <t>4857 md.41 / PVF-003</t>
        </is>
      </c>
      <c r="E14" s="7" t="inlineStr">
        <is>
          <t>01.01.2026</t>
        </is>
      </c>
      <c r="F14" s="8" t="inlineStr">
        <is>
          <t>FM ücret katsayısı</t>
        </is>
      </c>
    </row>
    <row r="15">
      <c r="A15" s="7" t="inlineStr">
        <is>
          <t>pvf_haftalikCarpan</t>
        </is>
      </c>
      <c r="B15" s="75" t="n">
        <v>0.2</v>
      </c>
      <c r="C15" s="7" t="inlineStr">
        <is>
          <t>oran</t>
        </is>
      </c>
      <c r="D15" s="7" t="inlineStr">
        <is>
          <t>Haftalık proxy</t>
        </is>
      </c>
      <c r="E15" s="7" t="inlineStr">
        <is>
          <t>01.01.2026</t>
        </is>
      </c>
      <c r="F15" s="8" t="inlineStr">
        <is>
          <t>Haftalık FM çarpan</t>
        </is>
      </c>
    </row>
    <row r="16">
      <c r="A16" s="7" t="inlineStr">
        <is>
          <t>pvf_senaryoTemkinli</t>
        </is>
      </c>
      <c r="B16" s="75" t="n">
        <v>0.85</v>
      </c>
      <c r="C16" s="7" t="inlineStr">
        <is>
          <t>oran</t>
        </is>
      </c>
      <c r="D16" s="7" t="inlineStr">
        <is>
          <t>Senaryo motoru</t>
        </is>
      </c>
      <c r="E16" s="7" t="inlineStr">
        <is>
          <t>01.01.2026</t>
        </is>
      </c>
      <c r="F16" s="8" t="inlineStr">
        <is>
          <t>Temkinli çarpan</t>
        </is>
      </c>
    </row>
    <row r="17">
      <c r="A17" s="7" t="inlineStr">
        <is>
          <t>pvf_senaryoBaz</t>
        </is>
      </c>
      <c r="B17" s="75" t="n">
        <v>1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Baz çarpan</t>
        </is>
      </c>
    </row>
    <row r="18">
      <c r="A18" s="7" t="inlineStr">
        <is>
          <t>pvf_senaryoIyimser</t>
        </is>
      </c>
      <c r="B18" s="75" t="n">
        <v>1.15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İyimser çarpan</t>
        </is>
      </c>
    </row>
    <row r="19">
      <c r="A19" s="7" t="inlineStr">
        <is>
          <t>pvf_tornadoOran</t>
        </is>
      </c>
      <c r="B19" s="75" t="n">
        <v>0.08</v>
      </c>
      <c r="C19" s="7" t="inlineStr">
        <is>
          <t>oran</t>
        </is>
      </c>
      <c r="D19" s="7" t="inlineStr">
        <is>
          <t>Duyarlılık</t>
        </is>
      </c>
      <c r="E19" s="7" t="inlineStr">
        <is>
          <t>01.01.2026</t>
        </is>
      </c>
      <c r="F19" s="8" t="inlineStr">
        <is>
          <t>Tornado etki oranı</t>
        </is>
      </c>
    </row>
    <row r="20">
      <c r="A20" s="7" t="inlineStr">
        <is>
          <t>pvf_yuzdelikOran</t>
        </is>
      </c>
      <c r="B20" s="75" t="n">
        <v>0.9</v>
      </c>
      <c r="C20" s="7" t="inlineStr">
        <is>
          <t>oran</t>
        </is>
      </c>
      <c r="D20" s="7" t="inlineStr">
        <is>
          <t>İstatistik kuralı</t>
        </is>
      </c>
      <c r="E20" s="7" t="inlineStr">
        <is>
          <t>01.01.2026</t>
        </is>
      </c>
      <c r="F20" s="8" t="inlineStr">
        <is>
          <t>PERCENTILE oranı</t>
        </is>
      </c>
    </row>
    <row r="21">
      <c r="A21" s="7" t="inlineStr">
        <is>
          <t>pvf_olcekHedef</t>
        </is>
      </c>
      <c r="B21" s="16" t="n">
        <v>20000</v>
      </c>
      <c r="C21" s="7" t="inlineStr">
        <is>
          <t>satir</t>
        </is>
      </c>
      <c r="D21" s="7" t="inlineStr">
        <is>
          <t>Manda A3 Ö1</t>
        </is>
      </c>
      <c r="E21" s="7" t="inlineStr">
        <is>
          <t>01.01.2026</t>
        </is>
      </c>
      <c r="F21" s="8" t="inlineStr">
        <is>
          <t>Ölçek sözleşmesi</t>
        </is>
      </c>
    </row>
    <row r="22">
      <c r="A22" s="7" t="inlineStr">
        <is>
          <t>pvf_azamiFm</t>
        </is>
      </c>
      <c r="B22" s="16" t="n">
        <v>12</v>
      </c>
      <c r="C22" s="7" t="inlineStr">
        <is>
          <t>saat</t>
        </is>
      </c>
      <c r="D22" s="7" t="inlineStr">
        <is>
          <t>İç politika — uç değer</t>
        </is>
      </c>
      <c r="E22" s="7" t="inlineStr">
        <is>
          <t>01.01.2026</t>
        </is>
      </c>
      <c r="F22" s="8" t="inlineStr">
        <is>
          <t>Azami günlük FM</t>
        </is>
      </c>
    </row>
    <row r="23">
      <c r="A23" s="7" t="inlineStr">
        <is>
          <t>pvf_kaliteTaban</t>
        </is>
      </c>
      <c r="B23" s="16" t="n">
        <v>100</v>
      </c>
      <c r="C23" s="7" t="inlineStr">
        <is>
          <t>puan</t>
        </is>
      </c>
      <c r="D23" s="7" t="inlineStr">
        <is>
          <t>Kalite modeli</t>
        </is>
      </c>
      <c r="E23" s="7" t="inlineStr">
        <is>
          <t>01.01.2026</t>
        </is>
      </c>
      <c r="F23" s="8" t="inlineStr">
        <is>
          <t>Kalite taban puanı</t>
        </is>
      </c>
    </row>
    <row r="24">
      <c r="A24" s="7" t="inlineStr">
        <is>
          <t>pvf_kaliteCeza</t>
        </is>
      </c>
      <c r="B24" s="16" t="n">
        <v>10</v>
      </c>
      <c r="C24" s="7" t="inlineStr">
        <is>
          <t>puan</t>
        </is>
      </c>
      <c r="D24" s="7" t="inlineStr">
        <is>
          <t>Kalite modeli</t>
        </is>
      </c>
      <c r="E24" s="7" t="inlineStr">
        <is>
          <t>01.01.2026</t>
        </is>
      </c>
      <c r="F24" s="8" t="inlineStr">
        <is>
          <t>Yetim/geçiş/zincir cezası</t>
        </is>
      </c>
    </row>
    <row r="25">
      <c r="A25" s="7" t="inlineStr">
        <is>
          <t>pvf_kaliteSapma</t>
        </is>
      </c>
      <c r="B25" s="16" t="n">
        <v>2</v>
      </c>
      <c r="C25" s="7" t="inlineStr">
        <is>
          <t>puan</t>
        </is>
      </c>
      <c r="D25" s="7" t="inlineStr">
        <is>
          <t>Kalite modeli</t>
        </is>
      </c>
      <c r="E25" s="7" t="inlineStr">
        <is>
          <t>01.01.2026</t>
        </is>
      </c>
      <c r="F25" s="8" t="inlineStr">
        <is>
          <t>Sapma cezası</t>
        </is>
      </c>
    </row>
    <row r="26">
      <c r="A26" s="7" t="inlineStr">
        <is>
          <t>pvf_durumHaritasi</t>
        </is>
      </c>
      <c r="B26" s="15" t="inlineStr">
        <is>
          <t>AYARLAR durum tablosu</t>
        </is>
      </c>
      <c r="C26" s="7" t="inlineStr">
        <is>
          <t>metin</t>
        </is>
      </c>
      <c r="D26" s="7" t="inlineStr">
        <is>
          <t>SPEC akis.durum_haritasi</t>
        </is>
      </c>
      <c r="E26" s="7" t="inlineStr">
        <is>
          <t>01.01.2026</t>
        </is>
      </c>
      <c r="F26" s="8" t="inlineStr">
        <is>
          <t>Durum makinesi kaynağı</t>
        </is>
      </c>
    </row>
    <row r="27">
      <c r="A27" s="7" t="inlineStr">
        <is>
          <t>pvf_kuyrukOzeti_metin</t>
        </is>
      </c>
      <c r="B27" s="15" t="inlineStr">
        <is>
          <t>KUYRUKLAR canlı özet</t>
        </is>
      </c>
      <c r="C27" s="7" t="inlineStr">
        <is>
          <t>metin</t>
        </is>
      </c>
      <c r="D27" s="7" t="inlineStr">
        <is>
          <t>A05 kuyruk</t>
        </is>
      </c>
      <c r="E27" s="7" t="inlineStr">
        <is>
          <t>01.01.2026</t>
        </is>
      </c>
      <c r="F27" s="8" t="inlineStr">
        <is>
          <t>Kuyruk görünümü</t>
        </is>
      </c>
    </row>
    <row r="28">
      <c r="A28" s="7" t="inlineStr">
        <is>
          <t>pvf_kapaliDusum_metin</t>
        </is>
      </c>
      <c r="B28" s="15" t="inlineStr">
        <is>
          <t>kapali kategori kuyruktan düşer</t>
        </is>
      </c>
      <c r="C28" s="7" t="inlineStr">
        <is>
          <t>metin</t>
        </is>
      </c>
      <c r="D28" s="7" t="inlineStr">
        <is>
          <t>A06</t>
        </is>
      </c>
      <c r="E28" s="7" t="inlineStr">
        <is>
          <t>01.01.2026</t>
        </is>
      </c>
      <c r="F28" s="8" t="inlineStr">
        <is>
          <t>Kapalı düşüm kuralı</t>
        </is>
      </c>
    </row>
    <row r="29">
      <c r="A29" s="7" t="inlineStr">
        <is>
          <t>pvf_kanitRaporu_metin</t>
        </is>
      </c>
      <c r="B29" s="15" t="inlineStr">
        <is>
          <t>KANIT_RAPORU çıktısı</t>
        </is>
      </c>
      <c r="C29" s="7" t="inlineStr">
        <is>
          <t>metin</t>
        </is>
      </c>
      <c r="D29" s="7" t="inlineStr">
        <is>
          <t>A4 kanıt</t>
        </is>
      </c>
      <c r="E29" s="7" t="inlineStr">
        <is>
          <t>01.01.2026</t>
        </is>
      </c>
      <c r="F29" s="8" t="inlineStr">
        <is>
          <t>Kanıt raporu</t>
        </is>
      </c>
    </row>
    <row r="30">
      <c r="A30" s="7" t="inlineStr">
        <is>
          <t>pvf_dosyaSurumu</t>
        </is>
      </c>
      <c r="B30" s="15" t="inlineStr">
        <is>
          <t>1.0.0</t>
        </is>
      </c>
      <c r="C30" s="7" t="inlineStr">
        <is>
          <t>metin</t>
        </is>
      </c>
      <c r="D30" s="7" t="inlineStr">
        <is>
          <t>Sürüm yönetimi</t>
        </is>
      </c>
      <c r="E30" s="7" t="inlineStr">
        <is>
          <t>01.01.2026</t>
        </is>
      </c>
      <c r="F30" s="8" t="inlineStr">
        <is>
          <t>Ürün sürümü</t>
        </is>
      </c>
    </row>
    <row r="31">
      <c r="A31" s="7" t="inlineStr">
        <is>
          <t>pvf_firmaUnvan</t>
        </is>
      </c>
      <c r="B31" s="15" t="inlineStr">
        <is>
          <t>Örnek Üretim A.Ş.</t>
        </is>
      </c>
      <c r="C31" s="7" t="inlineStr">
        <is>
          <t>metin</t>
        </is>
      </c>
      <c r="D31" s="7" t="inlineStr">
        <is>
          <t>Kullanıcı girişi</t>
        </is>
      </c>
      <c r="E31" s="7" t="inlineStr">
        <is>
          <t>01.01.2026</t>
        </is>
      </c>
      <c r="F31" s="8" t="inlineStr">
        <is>
          <t>Firma</t>
        </is>
      </c>
    </row>
    <row r="32">
      <c r="A32" s="7" t="inlineStr">
        <is>
          <t>pvf_aktifYil</t>
        </is>
      </c>
      <c r="B32" s="16" t="n">
        <v>2026</v>
      </c>
      <c r="C32" s="7" t="inlineStr">
        <is>
          <t>yil</t>
        </is>
      </c>
      <c r="D32" s="7" t="inlineStr">
        <is>
          <t>KURALLAR</t>
        </is>
      </c>
      <c r="E32" s="7" t="inlineStr">
        <is>
          <t>01.01.2026</t>
        </is>
      </c>
      <c r="F32" s="8" t="inlineStr">
        <is>
          <t>Aktif hesap yılı</t>
        </is>
      </c>
    </row>
    <row r="33">
      <c r="H33" s="5" t="inlineStr">
        <is>
          <t>Durum Haritası</t>
        </is>
      </c>
    </row>
    <row r="34" ht="30" customHeight="1">
      <c r="H34" s="14" t="inlineStr">
        <is>
          <t>durum_id</t>
        </is>
      </c>
      <c r="I34" s="14" t="inlineStr">
        <is>
          <t>durum_adi</t>
        </is>
      </c>
      <c r="J34" s="14" t="inlineStr">
        <is>
          <t>sira</t>
        </is>
      </c>
      <c r="K34" s="14" t="inlineStr">
        <is>
          <t>izinli_sonraki_durumlar</t>
        </is>
      </c>
      <c r="L34" s="14" t="inlineStr">
        <is>
          <t>kategori</t>
        </is>
      </c>
    </row>
    <row r="35">
      <c r="H35" s="7" t="inlineStr">
        <is>
          <t>TASLAK</t>
        </is>
      </c>
      <c r="I35" s="7" t="inlineStr">
        <is>
          <t>Taslak</t>
        </is>
      </c>
      <c r="J35" s="21" t="n">
        <v>1</v>
      </c>
      <c r="K35" s="7" t="inlineStr">
        <is>
          <t>KONTROL|RED</t>
        </is>
      </c>
      <c r="L35" s="7" t="inlineStr">
        <is>
          <t>acik</t>
        </is>
      </c>
    </row>
    <row r="36">
      <c r="H36" s="7" t="inlineStr">
        <is>
          <t>KONTROL</t>
        </is>
      </c>
      <c r="I36" s="7" t="inlineStr">
        <is>
          <t>Kontrol</t>
        </is>
      </c>
      <c r="J36" s="21" t="n">
        <v>2</v>
      </c>
      <c r="K36" s="7" t="inlineStr">
        <is>
          <t>ONAY|TASLAK|RED</t>
        </is>
      </c>
      <c r="L36" s="7" t="inlineStr">
        <is>
          <t>acik</t>
        </is>
      </c>
    </row>
    <row r="37">
      <c r="H37" s="7" t="inlineStr">
        <is>
          <t>ONAY</t>
        </is>
      </c>
      <c r="I37" s="7" t="inlineStr">
        <is>
          <t>Onay</t>
        </is>
      </c>
      <c r="J37" s="21" t="n">
        <v>3</v>
      </c>
      <c r="K37" s="7" t="inlineStr">
        <is>
          <t>ARSIV</t>
        </is>
      </c>
      <c r="L37" s="7" t="inlineStr">
        <is>
          <t>acik</t>
        </is>
      </c>
    </row>
    <row r="38">
      <c r="H38" s="7" t="inlineStr">
        <is>
          <t>ARSIV</t>
        </is>
      </c>
      <c r="I38" s="7" t="inlineStr">
        <is>
          <t>Arşiv</t>
        </is>
      </c>
      <c r="J38" s="21" t="n">
        <v>4</v>
      </c>
      <c r="K38" s="7" t="inlineStr"/>
      <c r="L38" s="7" t="inlineStr">
        <is>
          <t>kapali</t>
        </is>
      </c>
    </row>
    <row r="39">
      <c r="H39" s="7" t="inlineStr">
        <is>
          <t>RED</t>
        </is>
      </c>
      <c r="I39" s="7" t="inlineStr">
        <is>
          <t>Red</t>
        </is>
      </c>
      <c r="J39" s="21" t="n">
        <v>5</v>
      </c>
      <c r="K39" s="7" t="inlineStr"/>
      <c r="L39" s="7" t="inlineStr">
        <is>
          <t>kapali</t>
        </is>
      </c>
    </row>
    <row r="40"/>
    <row r="41"/>
    <row r="42">
      <c r="H42" s="22" t="inlineStr">
        <is>
          <t>Motor Çıktıları</t>
        </is>
      </c>
    </row>
    <row r="43">
      <c r="H43" s="20" t="inlineStr">
        <is>
          <t>anahtar</t>
        </is>
      </c>
      <c r="I43" s="20" t="inlineStr">
        <is>
          <t>deger</t>
        </is>
      </c>
    </row>
    <row r="44">
      <c r="H44" s="7" t="inlineStr">
        <is>
          <t>pvf_acikAdet</t>
        </is>
      </c>
      <c r="I44" s="8">
        <f>HESAP!C16</f>
        <v/>
      </c>
    </row>
    <row r="45">
      <c r="H45" s="7" t="inlineStr">
        <is>
          <t>pvf_toplamFm</t>
        </is>
      </c>
      <c r="I45" s="8">
        <f>HESAP!C8</f>
        <v/>
      </c>
    </row>
    <row r="46">
      <c r="H46" s="7" t="inlineStr">
        <is>
          <t>pvf_gunlukAsim</t>
        </is>
      </c>
      <c r="I46" s="8">
        <f>HESAP!C28</f>
        <v/>
      </c>
    </row>
    <row r="47">
      <c r="H47" s="7" t="inlineStr">
        <is>
          <t>pvf_fmMaliyet</t>
        </is>
      </c>
      <c r="I47" s="8">
        <f>HESAP!C30</f>
        <v/>
      </c>
    </row>
    <row r="48">
      <c r="H48" s="7" t="inlineStr">
        <is>
          <t>pvf_yetimKayit</t>
        </is>
      </c>
      <c r="I48" s="8">
        <f>HESAP!C19</f>
        <v/>
      </c>
    </row>
    <row r="49">
      <c r="H49" s="7" t="inlineStr">
        <is>
          <t>pvf_gecersizGecis</t>
        </is>
      </c>
      <c r="I49" s="8">
        <f>HESAP!C20</f>
        <v/>
      </c>
    </row>
    <row r="50">
      <c r="H50" s="7" t="inlineStr">
        <is>
          <t>pvf_zincirKirik</t>
        </is>
      </c>
      <c r="I50" s="8">
        <f>HESAP!C21</f>
        <v/>
      </c>
    </row>
    <row r="51">
      <c r="H51" s="7" t="inlineStr">
        <is>
          <t>pvf_asimAdet</t>
        </is>
      </c>
      <c r="I51" s="8">
        <f>HESAP!C53</f>
        <v/>
      </c>
    </row>
    <row r="52">
      <c r="H52" s="7" t="inlineStr">
        <is>
          <t>pvf_yasKova</t>
        </is>
      </c>
      <c r="I52" s="8">
        <f>HESAP!C49</f>
        <v/>
      </c>
    </row>
    <row r="53">
      <c r="H53" s="7" t="inlineStr">
        <is>
          <t>pvf_gunlukFmOrt</t>
        </is>
      </c>
      <c r="I53" s="8">
        <f>HESAP!C27</f>
        <v/>
      </c>
    </row>
    <row r="54">
      <c r="H54" s="7" t="inlineStr">
        <is>
          <t>pvf_fmSapma</t>
        </is>
      </c>
      <c r="I54" s="8">
        <f>HESAP!C33</f>
        <v/>
      </c>
    </row>
    <row r="55">
      <c r="H55" s="7" t="inlineStr">
        <is>
          <t>pvf_tahminAralik</t>
        </is>
      </c>
      <c r="I55" s="8">
        <f>HESAP!C43</f>
        <v/>
      </c>
    </row>
    <row r="56">
      <c r="H56" s="7" t="inlineStr">
        <is>
          <t>pvf_senaryoKarsilastirma</t>
        </is>
      </c>
      <c r="I56" s="8">
        <f>HESAP!C37</f>
        <v/>
      </c>
    </row>
    <row r="57">
      <c r="H57" s="7" t="inlineStr">
        <is>
          <t>pvf_tornadoZirve</t>
        </is>
      </c>
      <c r="I57" s="8">
        <f>HESAP!C38</f>
        <v/>
      </c>
    </row>
    <row r="58">
      <c r="H58" s="7" t="inlineStr">
        <is>
          <t>pvf_hhi</t>
        </is>
      </c>
      <c r="I58" s="8">
        <f>HESAP!C39</f>
        <v/>
      </c>
    </row>
    <row r="59">
      <c r="H59" s="7" t="inlineStr">
        <is>
          <t>pvf_kaliteSkor</t>
        </is>
      </c>
      <c r="I59" s="8">
        <f>HESAP!C40</f>
        <v/>
      </c>
    </row>
    <row r="60">
      <c r="H60" s="7" t="inlineStr">
        <is>
          <t>pvf_yuzdelikP90</t>
        </is>
      </c>
      <c r="I60" s="8">
        <f>HESAP!C44</f>
        <v/>
      </c>
    </row>
    <row r="61">
      <c r="H61" s="7" t="inlineStr">
        <is>
          <t>pvf_senaryoMotor</t>
        </is>
      </c>
      <c r="I61" s="8">
        <f>HESAP!C50</f>
        <v/>
      </c>
    </row>
    <row r="62">
      <c r="H62" s="7" t="inlineStr">
        <is>
          <t>pvf_kapaliDusum</t>
        </is>
      </c>
      <c r="I62" s="8">
        <f>HESAP!C17</f>
        <v/>
      </c>
    </row>
    <row r="63">
      <c r="H63" s="7" t="inlineStr">
        <is>
          <t>pvf_kuyrukOzeti</t>
        </is>
      </c>
      <c r="I63" s="8">
        <f>HESAP!C48</f>
        <v/>
      </c>
    </row>
    <row r="64">
      <c r="H64" s="7" t="inlineStr">
        <is>
          <t>pvf_kanitRaporu</t>
        </is>
      </c>
      <c r="I64" s="8">
        <f>_xlfn.TEXTJOIN(" | ",TRUE,"Açık",HESAP!C16,"Yetim",HESAP!C19,"Zincir",HESAP!C21,"FM",HESAP!C8,"Aşım",HESAP!C53)</f>
        <v/>
      </c>
    </row>
    <row r="65">
      <c r="H65" s="7" t="inlineStr">
        <is>
          <t>pvf_sonrakiKimlik</t>
        </is>
      </c>
      <c r="I65" s="8">
        <f>"PER-"&amp;TEXT(COUNTA(tblPersonel[PersonelId])+1,"00000")</f>
        <v/>
      </c>
    </row>
    <row r="66">
      <c r="H66" s="7" t="inlineStr">
        <is>
          <t>pvf_haftalikFm</t>
        </is>
      </c>
      <c r="I66" s="8">
        <f>HESAP!C32</f>
        <v/>
      </c>
    </row>
    <row r="67">
      <c r="H67" s="7" t="inlineStr">
        <is>
          <t>pvf_sinirAdet</t>
        </is>
      </c>
      <c r="I67" s="8">
        <f>HESAP!C52</f>
        <v/>
      </c>
    </row>
    <row r="68">
      <c r="H68" s="7" t="inlineStr">
        <is>
          <t>pvf_kuralYilMatris</t>
        </is>
      </c>
      <c r="I68" s="8">
        <f>_xlfn.TEXTJOIN(" | ",TRUE,"PVF-001..005","2025-2027",pvf_aktifYil)</f>
        <v/>
      </c>
    </row>
    <row r="69"/>
    <row r="70">
      <c r="H70" s="22" t="inlineStr">
        <is>
          <t>Yorumlar</t>
        </is>
      </c>
    </row>
    <row r="71">
      <c r="H71" s="7" t="inlineStr">
        <is>
          <t>pvf_yorumGunluk</t>
        </is>
      </c>
      <c r="I71" s="8">
        <f>_xlfn.TEXTJOIN(" ",TRUE,"Günlük FM ort",TEXT(pvf_gunlukFmOrt,"0.0"),"saat")</f>
        <v/>
      </c>
    </row>
    <row r="72">
      <c r="H72" s="7" t="inlineStr">
        <is>
          <t>pvf_yorumHaftalik</t>
        </is>
      </c>
      <c r="I72" s="8">
        <f>_xlfn.TEXTJOIN(" ",TRUE,"Haftalık FM proxy",TEXT(pvf_haftalikFm,"0.0"),"saat")</f>
        <v/>
      </c>
    </row>
    <row r="73">
      <c r="H73" s="7" t="inlineStr">
        <is>
          <t>pvf_yorumSapma</t>
        </is>
      </c>
      <c r="I73" s="8">
        <f>_xlfn.TEXTJOIN(" ",TRUE,"FM sapma",TEXT(pvf_fmSapma,"0.00"),"saat")</f>
        <v/>
      </c>
    </row>
    <row r="74">
      <c r="H74" s="7" t="inlineStr">
        <is>
          <t>pvf_yorumTornado</t>
        </is>
      </c>
      <c r="I74" s="8">
        <f>_xlfn.TEXTJOIN(" ",TRUE,"Tornado zirve",TEXT(pvf_tornadoZirve,"0.00"),"saat")</f>
        <v/>
      </c>
    </row>
    <row r="75">
      <c r="H75" s="7" t="inlineStr">
        <is>
          <t>pvf_yorumSenaryo</t>
        </is>
      </c>
      <c r="I75" s="8">
        <f>_xlfn.TEXTJOIN(" ",TRUE,"Senaryo farkı",TEXT(pvf_senaryoKarsilastirma,"0.00"))</f>
        <v/>
      </c>
    </row>
    <row r="76">
      <c r="H76" s="7" t="inlineStr">
        <is>
          <t>pvf_yorumHhi</t>
        </is>
      </c>
      <c r="I76" s="8">
        <f>_xlfn.TEXTJOIN(" ",TRUE,"Yoğunlaşma HHI",TEXT(pvf_hhi,"0.0%"))</f>
        <v/>
      </c>
    </row>
    <row r="77">
      <c r="H77" s="7" t="inlineStr">
        <is>
          <t>pvf_yorumKalite</t>
        </is>
      </c>
      <c r="I77" s="8">
        <f>_xlfn.TEXTJOIN(" ",TRUE,"Kalite skoru",pvf_kaliteSkor)</f>
        <v/>
      </c>
    </row>
    <row r="78">
      <c r="H78" s="7" t="inlineStr">
        <is>
          <t>pvf_yorumSenMotor</t>
        </is>
      </c>
      <c r="I78" s="8">
        <f>_xlfn.TEXTJOIN(" ",TRUE,"Senaryo motoru",pvf_senaryoMotor)</f>
        <v/>
      </c>
    </row>
    <row r="79">
      <c r="H79" s="7" t="inlineStr">
        <is>
          <t>pvf_yorumTahmin</t>
        </is>
      </c>
      <c r="I79" s="8">
        <f>_xlfn.TEXTJOIN(" ",TRUE,"Tahmin aralık",TEXT(pvf_tahminAralik,"0.00"),"saat")</f>
        <v/>
      </c>
    </row>
    <row r="80">
      <c r="H80" s="7" t="inlineStr">
        <is>
          <t>pvf_yorumP90</t>
        </is>
      </c>
      <c r="I80" s="8">
        <f>_xlfn.TEXTJOIN(" ",TRUE,"P90 FM",TEXT(pvf_yuzdelikP90,"0.00"),"saat")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4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90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7" t="inlineStr">
        <is>
          <t>KILAVUZ — Puantaj-Vardiya-Fazla Mesai Kanıt Sistemi</t>
        </is>
      </c>
    </row>
    <row r="2"/>
    <row r="3" ht="22" customHeight="1">
      <c r="A3" s="208" t="inlineStr">
        <is>
          <t>Kullanım Kılavuzu</t>
        </is>
      </c>
    </row>
    <row r="4"/>
    <row r="5">
      <c r="A5" s="8" t="inlineStr">
        <is>
          <t>1. PERSONEL sayfasına personel kartı ekleyin; sonraki kimliği kullanın.</t>
        </is>
      </c>
    </row>
    <row r="6">
      <c r="A6" s="8" t="inlineStr">
        <is>
          <t>2. AKIS sayfasına her günün giriş/çıkış, planlı vardiya ve FM satırını yazın.</t>
        </is>
      </c>
    </row>
    <row r="7">
      <c r="A7" s="8" t="inlineStr">
        <is>
          <t>3. Önceki durum boş bırakılırsa geçiş uyarısı çalışmaz; bilinçli geçişte doldurun.</t>
        </is>
      </c>
    </row>
    <row r="8">
      <c r="A8" s="8" t="inlineStr">
        <is>
          <t>4. Geçersiz geçiş engellenmez — görünür uyarı üretir (makrosuz kural).</t>
        </is>
      </c>
    </row>
    <row r="9">
      <c r="A9" s="8" t="inlineStr">
        <is>
          <t>5. Kapalı durumlar (Arşiv/Red) açık kuyruklardan düşer.</t>
        </is>
      </c>
    </row>
    <row r="10">
      <c r="A10" s="8" t="inlineStr">
        <is>
          <t>6. raporTarihi AYARLAR'dadır; TODAY kullanılmaz. Yaşlandırma puantaj tarihine göredir.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KANIT_RAPORU sayfasını PDF olarak yazdırabilirsiniz.</t>
        </is>
      </c>
    </row>
    <row r="13">
      <c r="A13" s="8" t="inlineStr">
        <is>
          <t>9.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dataValidations count="9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2026-08-11T11:36:31Z</dcterms:created>
  <dcterms:modified xmlns:dcterms="http://purl.org/dc/terms/" xmlns:xsi="http://www.w3.org/2001/XMLSchema-instance" xsi:type="dcterms:W3CDTF">2026-09-25T21:23:31Z</dcterms:modified>
</cp:coreProperties>
</file>