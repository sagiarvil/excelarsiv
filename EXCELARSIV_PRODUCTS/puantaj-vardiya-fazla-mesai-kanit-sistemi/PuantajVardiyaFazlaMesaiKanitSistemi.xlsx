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ERSONEL" sheetId="2" state="visible" r:id="rId2"/>
    <sheet name="AKIS" sheetId="3" state="visible" r:id="rId3"/>
    <sheet name="KUYRUKLAR" sheetId="4" state="visible" r:id="rId4"/>
    <sheet name="HESAP" sheetId="5" state="visible" r:id="rId5"/>
    <sheet name="PANO" sheetId="6" state="visible" r:id="rId6"/>
    <sheet name="KURALLAR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5">'PANO'!$A$1:$N$40</definedName>
    <definedName name="_xlnm.Print_Area" localSheetId="8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₺ #,##0;[Red](₺ #,##0);-"/>
    <numFmt numFmtId="167" formatCode="0&quot; gün&quot;"/>
    <numFmt numFmtId="168" formatCode="0.0%;[Red](0.0%);-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8" fontId="9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8" fontId="15" fillId="0" borderId="0" applyAlignment="1" pivotButton="0" quotePrefix="0" xfId="0">
      <alignment horizontal="left" vertical="center"/>
    </xf>
    <xf numFmtId="168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Fazla Mesai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Departman FM Payı</a:t>
            </a:r>
          </a:p>
        </rich>
      </tx>
    </title>
    <plotArea>
      <pieChart>
        <varyColors val="1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Kuyruk FM Saat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'PANO'!$A$29:$A$31</f>
            </numRef>
          </cat>
          <val>
            <numRef>
              <f>'PANO'!$B$29:$B$31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FM Trend (örnek)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'PANO'!$G$29:$G$34</f>
            </numRef>
          </cat>
          <val>
            <numRef>
              <f>'PANO'!$H$29:$H$34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Departman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'PANO'!$M$29:$M$31</f>
            </numRef>
          </cat>
          <val>
            <numRef>
              <f>'PANO'!$N$29:$N$31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71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Puantaj-Vardiya-Fazla Mesai Kanıt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PERSONEL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Personel kartları — her kaydın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3" ht="20" customHeight="1">
      <c r="A3" s="10" t="inlineStr">
        <is>
          <t>Puantaj satırları — durum makinesi + yetim + geçersiz geçiş + zincir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18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19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18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19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18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19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18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19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18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19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18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19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18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19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18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19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18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19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18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19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18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19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18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19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18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19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18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19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18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19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18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19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18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19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18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19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18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19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18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19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18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19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18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19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18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19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18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19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18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19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18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19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18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19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18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19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18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19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18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19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18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19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18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19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18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19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18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19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18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19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18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19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18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19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18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19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18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19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18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19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18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19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18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19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18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19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18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19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18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19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18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19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18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19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18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19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18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19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18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19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18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19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18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19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18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19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18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19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18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19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18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19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18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19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18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19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18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19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18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19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18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19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18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19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18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19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18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19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18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19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18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19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18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19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18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19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18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19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18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19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18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19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18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19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18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19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18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19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18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19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18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19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18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19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18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19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18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19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18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19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18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19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18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19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18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19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18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19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18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19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18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19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18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19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18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19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18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19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18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19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18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19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18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19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18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19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18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19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18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19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18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19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18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19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18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19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18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19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18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19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18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19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18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19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18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19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18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19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18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19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18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19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18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19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18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19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18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19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18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19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18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19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18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19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18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19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18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19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18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19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18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19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18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19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18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19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18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19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18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19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18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19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18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19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18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19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18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19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18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19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18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19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18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19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18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19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18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19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18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19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18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19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18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19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18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19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18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19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18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19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18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19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18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19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18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19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18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19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18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19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18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19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18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19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18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19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18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19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18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19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18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19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18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19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18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19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18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19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18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19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18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19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18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19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18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19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18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19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18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19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18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19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18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19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18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19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18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19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18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19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18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19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18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19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18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19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18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19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18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19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18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19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18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19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18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19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18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19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18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19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18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19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18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19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18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19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18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19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18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19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18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19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18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19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18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19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18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19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18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19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18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19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18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19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18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19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18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19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18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19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18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19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18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19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18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19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18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19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18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19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18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19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18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19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18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19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18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19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18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19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18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19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18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19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18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19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18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19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18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19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18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19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18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19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18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19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18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19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18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19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18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19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18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19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18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19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18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19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18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19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18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19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18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19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18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19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18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19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18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19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18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19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18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19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18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19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18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19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18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19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18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19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18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19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18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19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18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19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18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19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18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19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18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19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18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19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18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19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18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19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18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19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18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19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18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19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18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19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18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19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18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19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18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19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18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19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18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19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18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19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18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19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18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19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18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19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18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19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18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19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18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19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18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19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18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19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18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19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18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19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Durum bazlı canlı kuyruk — kapalı kayıtlar düşer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5">
      <c r="A15" s="13" t="inlineStr">
        <is>
          <t>Kuyruk Özeti</t>
        </is>
      </c>
      <c r="B15" s="8">
        <f>pvf_kuyrukOzeti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24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25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5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5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5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5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26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26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5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5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5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5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26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26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27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27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27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8" t="inlineStr">
        <is>
          <t>Karar Destek Paneli</t>
        </is>
      </c>
      <c r="C3" s="12" t="inlineStr">
        <is>
          <t>Rapor Tarihi</t>
        </is>
      </c>
      <c r="D3" s="29">
        <f>raporTarihi</f>
        <v/>
      </c>
    </row>
    <row r="4">
      <c r="A4" s="5" t="inlineStr">
        <is>
          <t>KARAR</t>
        </is>
      </c>
      <c r="B4" s="30">
        <f>IF(COUNTA(tblAkis[PuantajId])=0,"VERİ YOK",IF(pvf_asimAdet&gt;0,"AŞIM",IF(OR(pvf_sinirAdet&gt;0,pvf_gunlukAsim&gt;0),"SINIR","UYGUN")))</f>
        <v/>
      </c>
    </row>
    <row r="6">
      <c r="A6" s="31" t="inlineStr">
        <is>
          <t>Açık Kuyruk Adet</t>
        </is>
      </c>
      <c r="B6" s="32">
        <f>pvf_acikAdet</f>
        <v/>
      </c>
      <c r="D6" s="22" t="inlineStr">
        <is>
          <t>Modül Yorumları</t>
        </is>
      </c>
    </row>
    <row r="7">
      <c r="A7" s="31" t="inlineStr">
        <is>
          <t>Taslak Adet</t>
        </is>
      </c>
      <c r="B7" s="32">
        <f>COUNTIFS(tblAkis[Durum],"TASLAK",tblAkis[KayitDolu],"&gt;0")</f>
        <v/>
      </c>
      <c r="D7" s="8">
        <f>pvf_yorumGunluk</f>
        <v/>
      </c>
    </row>
    <row r="8">
      <c r="A8" s="31" t="inlineStr">
        <is>
          <t>Kontrol Adet</t>
        </is>
      </c>
      <c r="B8" s="32">
        <f>COUNTIFS(tblAkis[Durum],"KONTROL",tblAkis[KayitDolu],"&gt;0")</f>
        <v/>
      </c>
      <c r="D8" s="8">
        <f>pvf_yorumHaftalik</f>
        <v/>
      </c>
    </row>
    <row r="9">
      <c r="A9" s="31" t="inlineStr">
        <is>
          <t>Onay Adet</t>
        </is>
      </c>
      <c r="B9" s="32">
        <f>COUNTIFS(tblAkis[Durum],"ONAY",tblAkis[KayitDolu],"&gt;0")</f>
        <v/>
      </c>
      <c r="D9" s="8">
        <f>pvf_yorumSapma</f>
        <v/>
      </c>
    </row>
    <row r="10">
      <c r="A10" s="31" t="inlineStr">
        <is>
          <t>Toplam FM Saat</t>
        </is>
      </c>
      <c r="B10" s="32">
        <f>pvf_toplamFm</f>
        <v/>
      </c>
      <c r="D10" s="8">
        <f>pvf_yorumTornado</f>
        <v/>
      </c>
    </row>
    <row r="11">
      <c r="A11" s="31" t="inlineStr">
        <is>
          <t>FM Maliyet</t>
        </is>
      </c>
      <c r="B11" s="33">
        <f>pvf_fmMaliyet</f>
        <v/>
      </c>
      <c r="D11" s="8">
        <f>pvf_yorumSenaryo</f>
        <v/>
      </c>
    </row>
    <row r="12">
      <c r="A12" s="31" t="inlineStr">
        <is>
          <t>Yetim Kayıt</t>
        </is>
      </c>
      <c r="B12" s="32">
        <f>pvf_yetimKayit</f>
        <v/>
      </c>
      <c r="D12" s="8">
        <f>pvf_yorumHhi</f>
        <v/>
      </c>
    </row>
    <row r="13">
      <c r="A13" s="31" t="inlineStr">
        <is>
          <t>Geçersiz Geçiş</t>
        </is>
      </c>
      <c r="B13" s="32">
        <f>pvf_gecersizGecis</f>
        <v/>
      </c>
      <c r="D13" s="8">
        <f>pvf_yorumKalite</f>
        <v/>
      </c>
    </row>
    <row r="14">
      <c r="A14" s="31" t="inlineStr">
        <is>
          <t>Zincir Kırık</t>
        </is>
      </c>
      <c r="B14" s="32">
        <f>pvf_zincirKirik</f>
        <v/>
      </c>
      <c r="D14" s="8">
        <f>pvf_yorumSenMotor</f>
        <v/>
      </c>
    </row>
    <row r="15">
      <c r="A15" s="31" t="inlineStr">
        <is>
          <t>Yaş Kova Özeti</t>
        </is>
      </c>
      <c r="B15" s="34">
        <f>pvf_yasKova</f>
        <v/>
      </c>
      <c r="D15" s="8">
        <f>pvf_yorumTahmin</f>
        <v/>
      </c>
    </row>
    <row r="16">
      <c r="A16" s="31" t="inlineStr">
        <is>
          <t>Günlük FM Ort.</t>
        </is>
      </c>
      <c r="B16" s="32">
        <f>pvf_gunlukFmOrt</f>
        <v/>
      </c>
      <c r="D16" s="8">
        <f>pvf_yorumP90</f>
        <v/>
      </c>
    </row>
    <row r="17">
      <c r="A17" s="31" t="inlineStr">
        <is>
          <t>Tahmin Aralık</t>
        </is>
      </c>
      <c r="B17" s="32">
        <f>pvf_tahminAralik</f>
        <v/>
      </c>
    </row>
    <row r="18">
      <c r="A18" s="31" t="inlineStr">
        <is>
          <t>Senaryo Farkı</t>
        </is>
      </c>
      <c r="B18" s="32">
        <f>pvf_senaryoKarsilastirma</f>
        <v/>
      </c>
    </row>
    <row r="19">
      <c r="A19" s="31" t="inlineStr">
        <is>
          <t>Tornado Zirve</t>
        </is>
      </c>
      <c r="B19" s="32">
        <f>pvf_tornadoZirve</f>
        <v/>
      </c>
    </row>
    <row r="20">
      <c r="A20" s="31" t="inlineStr">
        <is>
          <t>HHI Yoğunlaşma</t>
        </is>
      </c>
      <c r="B20" s="35">
        <f>pvf_hhi</f>
        <v/>
      </c>
    </row>
    <row r="21">
      <c r="A21" s="31" t="inlineStr">
        <is>
          <t>Kalite Skoru</t>
        </is>
      </c>
      <c r="B21" s="32">
        <f>pvf_kaliteSkor</f>
        <v/>
      </c>
    </row>
    <row r="22">
      <c r="A22" s="31" t="inlineStr">
        <is>
          <t>P90 Yüzdelik</t>
        </is>
      </c>
      <c r="B22" s="32">
        <f>pvf_yuzdelikP90</f>
        <v/>
      </c>
    </row>
    <row r="23">
      <c r="A23" s="31" t="inlineStr">
        <is>
          <t>Kapalı Düşüm</t>
        </is>
      </c>
      <c r="B23" s="32">
        <f>pvf_kapaliDusum</f>
        <v/>
      </c>
    </row>
    <row r="24">
      <c r="A24" s="31" t="inlineStr">
        <is>
          <t>Haftalık FM</t>
        </is>
      </c>
      <c r="B24" s="32">
        <f>pvf_haftalikFm</f>
        <v/>
      </c>
    </row>
    <row r="25">
      <c r="A25" s="31" t="inlineStr">
        <is>
          <t>FM Sapma</t>
        </is>
      </c>
      <c r="B25" s="32">
        <f>pvf_fmSapma</f>
        <v/>
      </c>
    </row>
    <row r="27">
      <c r="A27" s="22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FM Saat</t>
        </is>
      </c>
      <c r="J28" s="7" t="inlineStr">
        <is>
          <t>Senaryo</t>
        </is>
      </c>
      <c r="K28" s="7" t="inlineStr">
        <is>
          <t>FM Saat</t>
        </is>
      </c>
      <c r="M28" s="7" t="inlineStr">
        <is>
          <t>Departman</t>
        </is>
      </c>
      <c r="N28" s="7" t="inlineStr">
        <is>
          <t>FM</t>
        </is>
      </c>
    </row>
    <row r="29">
      <c r="A29" s="7" t="inlineStr">
        <is>
          <t>Durum Taslak</t>
        </is>
      </c>
      <c r="B29" s="21" t="n">
        <v>6</v>
      </c>
      <c r="D29" s="7" t="inlineStr">
        <is>
          <t>0-7</t>
        </is>
      </c>
      <c r="E29" s="21" t="n">
        <v>7</v>
      </c>
      <c r="G29" s="21" t="n">
        <v>1</v>
      </c>
      <c r="H29" s="21" t="n">
        <v>12</v>
      </c>
      <c r="J29" s="7" t="inlineStr">
        <is>
          <t>Temkinli</t>
        </is>
      </c>
      <c r="K29" s="21" t="n">
        <v>38</v>
      </c>
      <c r="M29" s="7" t="inlineStr">
        <is>
          <t>Üretim</t>
        </is>
      </c>
      <c r="N29" s="21" t="n">
        <v>22</v>
      </c>
    </row>
    <row r="30">
      <c r="A30" s="7" t="inlineStr">
        <is>
          <t>Durum Kontrol</t>
        </is>
      </c>
      <c r="B30" s="21" t="n">
        <v>8</v>
      </c>
      <c r="D30" s="7" t="inlineStr">
        <is>
          <t>8-30</t>
        </is>
      </c>
      <c r="E30" s="21" t="n">
        <v>8</v>
      </c>
      <c r="G30" s="21" t="n">
        <v>2</v>
      </c>
      <c r="H30" s="21" t="n">
        <v>14</v>
      </c>
      <c r="J30" s="7" t="inlineStr">
        <is>
          <t>Baz</t>
        </is>
      </c>
      <c r="K30" s="21" t="n">
        <v>45</v>
      </c>
      <c r="M30" s="7" t="inlineStr">
        <is>
          <t>Lojistik</t>
        </is>
      </c>
      <c r="N30" s="21" t="n">
        <v>14</v>
      </c>
    </row>
    <row r="31">
      <c r="A31" s="7" t="inlineStr">
        <is>
          <t>Durum Onay</t>
        </is>
      </c>
      <c r="B31" s="21" t="n">
        <v>5</v>
      </c>
      <c r="D31" s="7" t="inlineStr">
        <is>
          <t>31-60</t>
        </is>
      </c>
      <c r="E31" s="21" t="n">
        <v>6</v>
      </c>
      <c r="G31" s="21" t="n">
        <v>3</v>
      </c>
      <c r="H31" s="21" t="n">
        <v>16</v>
      </c>
      <c r="J31" s="7" t="inlineStr">
        <is>
          <t>İyimser</t>
        </is>
      </c>
      <c r="K31" s="21" t="n">
        <v>52</v>
      </c>
      <c r="M31" s="7" t="inlineStr">
        <is>
          <t>Satış</t>
        </is>
      </c>
      <c r="N31" s="21" t="n">
        <v>8</v>
      </c>
    </row>
    <row r="32">
      <c r="A32" s="7" t="inlineStr">
        <is>
          <t>Durum Arşiv</t>
        </is>
      </c>
      <c r="B32" s="21" t="n">
        <v>5</v>
      </c>
      <c r="D32" s="7" t="inlineStr">
        <is>
          <t>60+</t>
        </is>
      </c>
      <c r="E32" s="21" t="n">
        <v>7</v>
      </c>
      <c r="G32" s="21" t="n">
        <v>4</v>
      </c>
      <c r="H32" s="21" t="n">
        <v>18</v>
      </c>
      <c r="M32" s="7" t="inlineStr">
        <is>
          <t>Bakım</t>
        </is>
      </c>
      <c r="N32" s="21" t="n">
        <v>6</v>
      </c>
    </row>
    <row r="33">
      <c r="A33" s="7" t="inlineStr">
        <is>
          <t>Durum Red</t>
        </is>
      </c>
      <c r="B33" s="21" t="n">
        <v>4</v>
      </c>
      <c r="G33" s="21" t="n">
        <v>5</v>
      </c>
      <c r="H33" s="21" t="n">
        <v>20</v>
      </c>
    </row>
    <row r="34">
      <c r="G34" s="21" t="n">
        <v>6</v>
      </c>
      <c r="H34" s="21" t="n">
        <v>22</v>
      </c>
    </row>
    <row r="35">
      <c r="G35" s="21" t="n">
        <v>7</v>
      </c>
      <c r="H35" s="21" t="n">
        <v>24</v>
      </c>
    </row>
    <row r="36">
      <c r="G36" s="21" t="n">
        <v>8</v>
      </c>
      <c r="H36" s="21" t="n">
        <v>26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6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1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&amp;LPuantaj-Vardiya-Fazla Mesai Kanıt Sistemi | Pano | 1.0.0&amp;CExcelArşiv&amp;RSayfa &amp;P / &amp;N</oddFooter>
    <evenHeader/>
    <evenFooter>&amp;LPuantaj-Vardiya-Fazla Mesai Kanıt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PVF-001..005 kural tablosu — 2025 / 2026 / 2027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36" t="n">
        <v>1.5</v>
      </c>
      <c r="E8" s="36" t="n">
        <v>1.5</v>
      </c>
      <c r="F8" s="36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36" t="n">
        <v>1.25</v>
      </c>
      <c r="E9" s="36" t="n">
        <v>1.25</v>
      </c>
      <c r="F9" s="36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vakalar — beklenen karar ve fark kontrolü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Puantaj / Fazla Mesai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29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25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29">
        <f>raporTarihi</f>
        <v/>
      </c>
    </row>
    <row r="33">
      <c r="A33" s="7" t="inlineStr">
        <is>
          <t>Kaşe / imza</t>
        </is>
      </c>
      <c r="B33" s="15" t="inlineStr"/>
    </row>
    <row r="36">
      <c r="A36" s="39" t="inlineStr">
        <is>
          <t>SHA-256 sevk anında KANIT/SEVK_KARARI.md ve denetim raporlarına yazılır; alıcı indirdiği dosyayı parmak iziyle doğrular.</t>
        </is>
      </c>
    </row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L1"/>
    <mergeCell ref="A3:J3"/>
    <mergeCell ref="A36:H36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0" t="inlineStr">
        <is>
          <t>Canlı Kontrol Paneli</t>
        </is>
      </c>
    </row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25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0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8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durum haritası (A01/A06)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36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36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36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36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36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36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36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36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Puantaj-Vardiya-Fazla Mesai Kanıt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8" t="inlineStr">
        <is>
          <t>Kullanım Kılavuzu</t>
        </is>
      </c>
    </row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2026-08-11T11:36:31Z</dcterms:created>
  <dcterms:modified xsi:type="dcterms:W3CDTF">2026-08-11T11:36:32Z</dcterms:modified>
</cp:coreProperties>
</file>