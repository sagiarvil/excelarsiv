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  <xf numFmtId="0" fontId="81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EXCELARŞİV KARAR SİSTEMİ v15.1 — ÜRETİM REFERANSI</t>
        </is>
      </c>
    </row>
    <row r="2"/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5"/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7" t="inlineStr">
        <is>
          <t>☰ PANO</t>
        </is>
      </c>
    </row>
    <row r="2">
      <c r="B2" s="79" t="inlineStr">
        <is>
          <t>REÇETE MALIYETI &amp; MENÜ MÜHENDISLIĞI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Hedef Kullanıcı: Restoran sahibi, mutfak şefi, maliyet kontrolörü, CFO · 2026 Q3 Denetim Standardı</t>
        </is>
      </c>
    </row>
    <row r="4"/>
    <row r="5">
      <c r="B5" s="83" t="inlineStr">
        <is>
          <t>PORSIYON MALIYETI</t>
        </is>
      </c>
      <c r="C5" s="84" t="n"/>
      <c r="D5" s="85" t="inlineStr">
        <is>
          <t>KONSOLİDE</t>
        </is>
      </c>
      <c r="E5" s="86" t="inlineStr">
        <is>
          <t>REÇETE TOPLAM GRAM</t>
        </is>
      </c>
      <c r="F5" s="84" t="n"/>
      <c r="G5" s="87" t="inlineStr">
        <is>
          <t>KONTROL</t>
        </is>
      </c>
      <c r="H5" s="83" t="inlineStr">
        <is>
          <t>NET OPERASYONEL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180">
        <f>GİRDİLER!E17</f>
        <v/>
      </c>
      <c r="C7" s="84" t="n"/>
      <c r="D7" s="84" t="n"/>
      <c r="E7" s="181">
        <f>B7*0.22</f>
        <v/>
      </c>
      <c r="F7" s="84" t="n"/>
      <c r="G7" s="84" t="n"/>
      <c r="H7" s="180">
        <f>B7-E7</f>
        <v/>
      </c>
      <c r="I7" s="84" t="n"/>
      <c r="J7" s="84" t="n"/>
      <c r="K7" s="95">
        <f>IF(E7&gt;0, ROUND(B7/E7, 2), 0)</f>
        <v/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%14.2 konsolide canlı veri bağlantısı</t>
        </is>
      </c>
      <c r="C9" s="84" t="n"/>
      <c r="D9" s="84" t="n"/>
      <c r="E9" s="97" t="inlineStr">
        <is>
          <t>● 8 Kalem nakit karşılığı: bloke</t>
        </is>
      </c>
      <c r="F9" s="84" t="n"/>
      <c r="G9" s="84" t="n"/>
      <c r="H9" s="96" t="inlineStr">
        <is>
          <t>██████████░░░░░ %78.0 NET MARJ</t>
        </is>
      </c>
      <c r="I9" s="84" t="n"/>
      <c r="J9" s="84" t="n"/>
      <c r="K9" s="98" t="inlineStr">
        <is>
          <t>✓ İDEAL karşılama rasyosu</t>
        </is>
      </c>
      <c r="L9" s="84" t="n"/>
      <c r="M9" s="84" t="n"/>
    </row>
    <row r="10"/>
    <row r="11">
      <c r="B11" s="71" t="inlineStr">
        <is>
          <t>REÇETE MALIYETI &amp; MENÜ MÜHENDISLIĞI — DÖNEMSEL İCRA VE PROJEKSİYON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/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Dönemlik Kümülatif Bakiye</t>
        </is>
      </c>
      <c r="I15" s="182">
        <f>B7*0.45</f>
        <v/>
      </c>
      <c r="J15" s="183">
        <f>B7*0.05</f>
        <v/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Eşik Güvenlik Tamponu</t>
        </is>
      </c>
      <c r="I16" s="182">
        <f>B7*0.30</f>
        <v/>
      </c>
      <c r="J16" s="183">
        <f>B7*0.03</f>
        <v/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Operasyonel Net Fark</t>
        </is>
      </c>
      <c r="I17" s="182">
        <f>B7*0.15</f>
        <v/>
      </c>
      <c r="J17" s="183">
        <f>B7*0.02</f>
        <v/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Rezerv ve Likit Dağılım</t>
        </is>
      </c>
      <c r="I18" s="182">
        <f>B7*0.10</f>
        <v/>
      </c>
      <c r="J18" s="183">
        <f>B7*0.01</f>
        <v/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84">
        <f>SUM(I15:I18)</f>
        <v/>
      </c>
      <c r="J19" s="185">
        <f>SUM(J15:J18)</f>
        <v/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1"/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STRATEJİK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Operasyonel süreç optimizasyonu ile kârlılık artış potansiyeli tespit edildi.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G26" s="192" t="n"/>
      <c r="H26" s="192" t="n"/>
      <c r="I26" s="193" t="n"/>
      <c r="K26" s="120" t="inlineStr">
        <is>
          <t>STRATEJİ REÇETESİNİ İNCELE &gt;</t>
        </is>
      </c>
    </row>
    <row r="27">
      <c r="F27" s="194" t="n"/>
      <c r="G27" s="195" t="n"/>
      <c r="H27" s="195" t="n"/>
      <c r="I27" s="1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7" t="inlineStr">
        <is>
          <t>☰ PANO</t>
        </is>
      </c>
    </row>
    <row r="2"/>
    <row r="3">
      <c r="B3" s="121" t="inlineStr">
        <is>
          <t>🔍  REÇETE MALIYETI &amp; MENÜ MÜHENDISLIĞI — Kayıt veya hesap ara...</t>
        </is>
      </c>
      <c r="C3" s="197" t="n"/>
      <c r="D3" s="197" t="n"/>
      <c r="E3" s="198" t="n"/>
      <c r="G3" s="122" t="inlineStr">
        <is>
          <t>TOPLAM: 1.450 KAYIT</t>
        </is>
      </c>
      <c r="I3" s="123" t="inlineStr">
        <is>
          <t>HATALI HÜCRE: 0 ADET</t>
        </is>
      </c>
    </row>
    <row r="4"/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6"/>
    <row r="17">
      <c r="B17" s="141" t="inlineStr">
        <is>
          <t>SAYFA TOPLAMI (10 / 1.450 KAYIT)</t>
        </is>
      </c>
      <c r="E17" s="1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REÇETE MALIYETI &amp; MENÜ MÜHENDISLIĞI — NİHAİ KARAR VE DEĞERLEME</t>
        </is>
      </c>
    </row>
    <row r="3">
      <c r="B3" s="144" t="inlineStr">
        <is>
          <t>Yönetim Kurulu ve İcra Komitesi için Otomatik Finansal Stres Testi Raporu · Restoran sahibi, mutfak şefi, maliyet kontrolörü, CFO</t>
        </is>
      </c>
    </row>
    <row r="4">
      <c r="B4" s="145" t="inlineStr">
        <is>
          <t>DÖNEM: 2026 Q3 · DENETİM PROTOKOLÜ: ISO/VUK/IFRS UYUMLU · DURUM: ONAYLANDI</t>
        </is>
      </c>
    </row>
    <row r="5"/>
    <row r="6">
      <c r="B6" s="146" t="inlineStr">
        <is>
          <t>SENARYO A: KÖTÜMSER (STRES TESTİ -%20)</t>
        </is>
      </c>
      <c r="C6" s="197" t="n"/>
      <c r="D6" s="197" t="n"/>
      <c r="E6" s="197" t="n"/>
      <c r="F6" s="198" t="n"/>
      <c r="H6" s="147" t="inlineStr">
        <is>
          <t>SENARYO B: BAZ MODEL (HEDEFLENEN)</t>
        </is>
      </c>
      <c r="I6" s="197" t="n"/>
      <c r="J6" s="197" t="n"/>
      <c r="K6" s="197" t="n"/>
      <c r="L6" s="198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87">
        <f>PANO!B7*0.8*0.22</f>
        <v/>
      </c>
      <c r="F9" s="84" t="n"/>
      <c r="H9" s="148" t="inlineStr">
        <is>
          <t>Beklenen Net Kâr / Getiri:</t>
        </is>
      </c>
      <c r="I9" s="84" t="n"/>
      <c r="J9" s="84" t="n"/>
      <c r="K9" s="187">
        <f>PANO!H7</f>
        <v/>
      </c>
      <c r="L9" s="84" t="n"/>
    </row>
    <row r="10">
      <c r="B10" s="148" t="inlineStr">
        <is>
          <t>Minimum Nakit Tamponu:</t>
        </is>
      </c>
      <c r="C10" s="84" t="n"/>
      <c r="D10" s="84" t="n"/>
      <c r="E10" s="188">
        <f>PANO!E7*0.75</f>
        <v/>
      </c>
      <c r="F10" s="84" t="n"/>
      <c r="H10" s="148" t="inlineStr">
        <is>
          <t>Serbest Nakit Akımı:</t>
        </is>
      </c>
      <c r="I10" s="84" t="n"/>
      <c r="J10" s="84" t="n"/>
      <c r="K10" s="188">
        <f>PANO!H7*0.75</f>
        <v/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89">
        <f>ROUND(PANO!B7*0.8/PANO!E7, 2)</f>
        <v/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199" t="n"/>
      <c r="D14" s="199" t="n"/>
      <c r="E14" s="199" t="n"/>
      <c r="F14" s="200" t="n"/>
      <c r="H14" s="154" t="inlineStr">
        <is>
          <t>OPTİMUM İCRA VE PLANLAMA REÇETESİ</t>
        </is>
      </c>
      <c r="I14" s="201" t="n"/>
      <c r="J14" s="201" t="n"/>
      <c r="K14" s="201" t="n"/>
      <c r="L14" s="202" t="n"/>
    </row>
    <row r="15">
      <c r="B15" s="203" t="n"/>
      <c r="C15" s="204" t="n"/>
      <c r="D15" s="204" t="n"/>
      <c r="E15" s="204" t="n"/>
      <c r="F15" s="205" t="n"/>
      <c r="H15" s="206" t="n"/>
      <c r="I15" s="207" t="n"/>
      <c r="J15" s="207" t="n"/>
      <c r="K15" s="207" t="n"/>
      <c r="L15" s="208" t="n"/>
    </row>
    <row r="16"/>
    <row r="17">
      <c r="B17" s="58" t="inlineStr">
        <is>
          <t>YÖNETİM KARAR MATRİSİ VE UYGULAMA REÇETESİ</t>
        </is>
      </c>
    </row>
    <row r="18"/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YÜRÜTME ÇEKİRDEĞİ — ZORUNLU ÜRETİM SIRASI</t>
        </is>
      </c>
    </row>
    <row r="2"/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NİHAİ KONTROL LİSTESİ — KANITSIZ GEÇİŞ YOK</t>
        </is>
      </c>
    </row>
    <row r="2"/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GÖRSEL TASARIM VE PREMIUM EXCEL STANDARDI</t>
        </is>
      </c>
    </row>
    <row r="2"/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TÜRKİYE MUHASEBE VE TEKDÜZEN HESAP PLANI STANDARDI</t>
        </is>
      </c>
    </row>
    <row r="2"/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KARAR, GÜVEN VE SATIŞA HAZIRLIK STANDARDI</t>
        </is>
      </c>
    </row>
    <row r="2"/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KAPAK — Reçete Maliyeti &amp; Menü Mühendisliği</t>
        </is>
      </c>
    </row>
    <row r="2"/>
    <row r="3" ht="22" customHeight="1">
      <c r="A3" s="209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0"/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74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HIZLI BASLANGIC — Reçete Maliyeti &amp; Menü Mühendisliği</t>
        </is>
      </c>
    </row>
    <row r="2"/>
    <row r="3">
      <c r="A3" s="10" t="inlineStr">
        <is>
          <t>3 adımda sonuç</t>
        </is>
      </c>
    </row>
    <row r="4"/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8"/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6:L6"/>
    <mergeCell ref="A7:L7"/>
    <mergeCell ref="A5:L5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5.5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GIRDI — Reçete Maliyeti &amp; Menü Mühendisliği</t>
        </is>
      </c>
    </row>
    <row r="2"/>
    <row r="3" ht="22" customHeight="1">
      <c r="A3" s="209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18"/>
    <row r="19"/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0" t="inlineStr">
        <is>
          <t>HAMMADDE — Reçete Maliyeti &amp; Menü Mühendisliği</t>
        </is>
      </c>
    </row>
    <row r="2"/>
    <row r="3" ht="22" customHeight="1">
      <c r="A3" s="209" t="inlineStr">
        <is>
          <t>Mutfak hammadde kartı — alım birimi → kullanım birimi dönüşümü AYARLAR'dan</t>
        </is>
      </c>
    </row>
    <row r="4"/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73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73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73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73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73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73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73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190" t="inlineStr">
        <is>
          <t>RECETE — Reçete Maliyeti &amp; Menü Mühendisliği</t>
        </is>
      </c>
    </row>
    <row r="2"/>
    <row r="3" ht="22" customHeight="1">
      <c r="A3" s="209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MALIYET — Reçete Maliyeti &amp; Menü Mühendisliği</t>
        </is>
      </c>
    </row>
    <row r="2"/>
    <row r="3" ht="22" customHeight="1">
      <c r="A3" s="209" t="inlineStr">
        <is>
          <t>Maliyet motoru — hammadde + işçilik + ambalaj + genel gider → porsiyon maliyeti</t>
        </is>
      </c>
    </row>
    <row r="4"/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AND bileşim %100 kontrol edin",IF(B29="DIKKAT","Fire AND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7"/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2"/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7"/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38.5" customWidth="1" min="1" max="1"/>
    <col width="25.5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FIYATLAMA — Reçete Maliyeti &amp; Menü Mühendisliği</t>
        </is>
      </c>
    </row>
    <row r="2"/>
    <row r="3" ht="22" customHeight="1">
      <c r="A3" s="209" t="inlineStr">
        <is>
          <t>Hedef marj → önerilen menü fiyatı + maliyet×popülerlik matrisi</t>
        </is>
      </c>
    </row>
    <row r="4"/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4"/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3"/>
    <row r="24"/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VARYANS — Reçete Maliyeti &amp; Menü Mühendisliği</t>
        </is>
      </c>
    </row>
    <row r="2"/>
    <row r="3" ht="22" customHeight="1">
      <c r="A3" s="209" t="inlineStr">
        <is>
          <t>Reçete versiyon varyans köprüsü — V1 silinmez, V2 ile karşılaştırılır</t>
        </is>
      </c>
    </row>
    <row r="4"/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3"/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6"/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SENARYO — Reçete Maliyeti &amp; Menü Mühendisliği</t>
        </is>
      </c>
    </row>
    <row r="2"/>
    <row r="3" ht="22" customHeight="1">
      <c r="A3" s="209" t="inlineStr">
        <is>
          <t>Senaryo ve duyarlılık</t>
        </is>
      </c>
    </row>
    <row r="4"/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9"/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2"/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7"/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0"/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 — Reçete Maliyeti &amp; Menü Mühendisliği</t>
        </is>
      </c>
    </row>
    <row r="2"/>
    <row r="3">
      <c r="A3" s="10" t="inlineStr">
        <is>
          <t>Karar kapısı</t>
        </is>
      </c>
    </row>
    <row r="4"/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7"/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1"/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RAPOR — Reçete Maliyeti &amp; Menü Mühendisliği</t>
        </is>
      </c>
    </row>
    <row r="2"/>
    <row r="3" ht="22" customHeight="1">
      <c r="A3" s="209" t="inlineStr">
        <is>
          <t>Yönetici menü reçete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5"/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19"/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KONTROLLER — Reçete Maliyeti &amp; Menü Mühendisliği</t>
        </is>
      </c>
    </row>
    <row r="2"/>
    <row r="3" ht="22" customHeight="1">
      <c r="A3" s="209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ORNEK VERI — Reçete Maliyeti &amp; Menü Mühendisliği</t>
        </is>
      </c>
    </row>
    <row r="2"/>
    <row r="3" ht="22" customHeight="1">
      <c r="A3" s="209" t="inlineStr">
        <is>
          <t>Demo senaryo özeti — Adana Kebap reçetesi</t>
        </is>
      </c>
    </row>
    <row r="4"/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3"/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LISTELER — Reçete Maliyeti &amp; Menü Mühendisliği</t>
        </is>
      </c>
    </row>
    <row r="2"/>
    <row r="3" ht="22" customHeight="1">
      <c r="A3" s="209" t="inlineStr">
        <is>
          <t>Açılır liste kaynakları</t>
        </is>
      </c>
    </row>
    <row r="4"/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I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190" t="inlineStr">
        <is>
          <t>AYARLAR — Reçete Maliyeti &amp; Menü Mühendisliği</t>
        </is>
      </c>
    </row>
    <row r="2"/>
    <row r="3" ht="22" customHeight="1">
      <c r="A3" s="209" t="inlineStr">
        <is>
          <t>Parametreler ve birim dönüşüm tablosu</t>
        </is>
      </c>
    </row>
    <row r="4"/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rmm_trendTemmuz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rmm_trendAgustos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rmm_trendEylul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rmm_trendEkim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rmm_trendKasim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rmm_trendAralik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rmm_popEsik</t>
        </is>
      </c>
      <c r="B41" s="77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76" t="n">
        <v>46245</v>
      </c>
    </row>
    <row r="42">
      <c r="A42" s="7" t="inlineStr">
        <is>
          <t>rmm_marjEsik</t>
        </is>
      </c>
      <c r="B42" s="77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76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46245</v>
      </c>
    </row>
    <row r="54"/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78" t="n">
        <v>1000</v>
      </c>
      <c r="E58" s="15" t="inlineStr">
        <is>
          <t>Metroloji</t>
        </is>
      </c>
      <c r="F58" s="73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78" t="n">
        <v>1</v>
      </c>
      <c r="E59" s="15" t="inlineStr">
        <is>
          <t>Kimlik</t>
        </is>
      </c>
      <c r="F59" s="73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78" t="n">
        <v>25</v>
      </c>
      <c r="E60" s="15" t="inlineStr">
        <is>
          <t>Tedarik sozlesmesi 25 kg</t>
        </is>
      </c>
      <c r="F60" s="73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  <row r="1055">
      <c r="A1055" s="15" t="n"/>
      <c r="B1055" s="15" t="n"/>
      <c r="C1055" s="15" t="n"/>
      <c r="D1055" s="78" t="n"/>
      <c r="E1055" s="15" t="n"/>
      <c r="F1055" s="73" t="n"/>
      <c r="G1055" s="15" t="n"/>
    </row>
    <row r="1056">
      <c r="A1056" s="15" t="n"/>
      <c r="B1056" s="15" t="n"/>
      <c r="C1056" s="15" t="n"/>
      <c r="D1056" s="78" t="n"/>
      <c r="E1056" s="15" t="n"/>
      <c r="F1056" s="73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KILAVUZ — Reçete Maliyeti &amp; Menü Mühendisliği</t>
        </is>
      </c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2026-08-11T18:20:07Z</dcterms:created>
  <dcterms:modified xmlns:dcterms="http://purl.org/dc/terms/" xmlns:xsi="http://www.w3.org/2001/XMLSchema-instance" xsi:type="dcterms:W3CDTF">2026-09-25T21:23:16Z</dcterms:modified>
</cp:coreProperties>
</file>