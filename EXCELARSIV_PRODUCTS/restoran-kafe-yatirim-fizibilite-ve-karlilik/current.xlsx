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00_BASLANGIC" sheetId="4" state="hidden" r:id="rId4"/>
    <sheet xmlns:r="http://schemas.openxmlformats.org/officeDocument/2006/relationships" name="01_YURUTME_CEKIRDEGI" sheetId="5" state="hidden" r:id="rId5"/>
    <sheet xmlns:r="http://schemas.openxmlformats.org/officeDocument/2006/relationships" name="02_KONTROL_LISTESI" sheetId="6" state="hidden" r:id="rId6"/>
    <sheet xmlns:r="http://schemas.openxmlformats.org/officeDocument/2006/relationships" name="99_TEKNIK_KAYNAK" sheetId="7" state="hidden" r:id="rId7"/>
    <sheet xmlns:r="http://schemas.openxmlformats.org/officeDocument/2006/relationships" name="03_GORSEL_TASARIM" sheetId="8" state="hidden" r:id="rId8"/>
    <sheet xmlns:r="http://schemas.openxmlformats.org/officeDocument/2006/relationships" name="04_MUHASEBE_THP" sheetId="9" state="hidden" r:id="rId9"/>
    <sheet xmlns:r="http://schemas.openxmlformats.org/officeDocument/2006/relationships" name="05_KARAR_SATIS" sheetId="10" state="hidden" r:id="rId10"/>
    <sheet xmlns:r="http://schemas.openxmlformats.org/officeDocument/2006/relationships" name="06_KAYNAK_HARITASI" sheetId="11" state="hidden" r:id="rId11"/>
    <sheet xmlns:r="http://schemas.openxmlformats.org/officeDocument/2006/relationships" name="07_MODUL_MATRISI" sheetId="12" state="hidden" r:id="rId12"/>
    <sheet xmlns:r="http://schemas.openxmlformats.org/officeDocument/2006/relationships" name="08_YONETISIM_SEVIYESI" sheetId="13" state="hidden" r:id="rId13"/>
    <sheet xmlns:r="http://schemas.openxmlformats.org/officeDocument/2006/relationships" name="09_VERI_SOZLESMELERI" sheetId="14" state="hidden" r:id="rId14"/>
    <sheet xmlns:r="http://schemas.openxmlformats.org/officeDocument/2006/relationships" name="10_ANLAM_SOZLESMELERI" sheetId="15" state="hidden" r:id="rId15"/>
    <sheet xmlns:r="http://schemas.openxmlformats.org/officeDocument/2006/relationships" name="11_BAGIMLILIK_HARITASI" sheetId="16" state="hidden" r:id="rId16"/>
    <sheet xmlns:r="http://schemas.openxmlformats.org/officeDocument/2006/relationships" name="12_VARSAYIM_KAYDI" sheetId="17" state="hidden" r:id="rId17"/>
    <sheet xmlns:r="http://schemas.openxmlformats.org/officeDocument/2006/relationships" name="13_FINANSAL_DEGISMEZLER" sheetId="18" state="hidden" r:id="rId18"/>
    <sheet xmlns:r="http://schemas.openxmlformats.org/officeDocument/2006/relationships" name="14_ORACLE_TESTLERI" sheetId="19" state="hidden" r:id="rId19"/>
    <sheet xmlns:r="http://schemas.openxmlformats.org/officeDocument/2006/relationships" name="15_ALTIN_VERI_SETI" sheetId="20" state="hidden" r:id="rId20"/>
    <sheet xmlns:r="http://schemas.openxmlformats.org/officeDocument/2006/relationships" name="16_METAMORFIK_TESTLER" sheetId="21" state="hidden" r:id="rId21"/>
    <sheet xmlns:r="http://schemas.openxmlformats.org/officeDocument/2006/relationships" name="17_HATA_ENJEKSIYONU" sheetId="22" state="hidden" r:id="rId22"/>
    <sheet xmlns:r="http://schemas.openxmlformats.org/officeDocument/2006/relationships" name="18_SISTEM_SAGLIGI" sheetId="23" state="hidden" r:id="rId23"/>
    <sheet xmlns:r="http://schemas.openxmlformats.org/officeDocument/2006/relationships" name="19_VERI_SAGLIGI" sheetId="24" state="hidden" r:id="rId24"/>
    <sheet xmlns:r="http://schemas.openxmlformats.org/officeDocument/2006/relationships" name="20_GUVEN_MOTORU" sheetId="25" state="hidden" r:id="rId25"/>
    <sheet xmlns:r="http://schemas.openxmlformats.org/officeDocument/2006/relationships" name="21_KARAR_KUYRUGU" sheetId="26" state="hidden" r:id="rId26"/>
    <sheet xmlns:r="http://schemas.openxmlformats.org/officeDocument/2006/relationships" name="22_AKSIYON_PLAYBOOK" sheetId="27" state="hidden" r:id="rId27"/>
    <sheet xmlns:r="http://schemas.openxmlformats.org/officeDocument/2006/relationships" name="23_ONAY_AKISI" sheetId="28" state="hidden" r:id="rId28"/>
    <sheet xmlns:r="http://schemas.openxmlformats.org/officeDocument/2006/relationships" name="24_SENARYO_TERS_STRES" sheetId="29" state="hidden" r:id="rId29"/>
    <sheet xmlns:r="http://schemas.openxmlformats.org/officeDocument/2006/relationships" name="25_K3_KULLANICI_TESTI" sheetId="30" state="hidden" r:id="rId30"/>
    <sheet xmlns:r="http://schemas.openxmlformats.org/officeDocument/2006/relationships" name="26_TICARI_DEGER" sheetId="31" state="hidden" r:id="rId31"/>
    <sheet xmlns:r="http://schemas.openxmlformats.org/officeDocument/2006/relationships" name="27_FIYAT_KALITE_KAPISI" sheetId="32" state="hidden" r:id="rId32"/>
    <sheet xmlns:r="http://schemas.openxmlformats.org/officeDocument/2006/relationships" name="28_YAYIN_MANIFESTOSU" sheetId="33" state="hidden" r:id="rId33"/>
    <sheet xmlns:r="http://schemas.openxmlformats.org/officeDocument/2006/relationships" name="29_KANIT_ENVANTERI" sheetId="34" state="hidden" r:id="rId34"/>
    <sheet xmlns:r="http://schemas.openxmlformats.org/officeDocument/2006/relationships" name="30_RELEASE_DURUMU" sheetId="35" state="hidden" r:id="rId35"/>
    <sheet xmlns:r="http://schemas.openxmlformats.org/officeDocument/2006/relationships" name="31_RUNTIME_KOMUTLARI" sheetId="36" state="hidden" r:id="rId36"/>
    <sheet xmlns:r="http://schemas.openxmlformats.org/officeDocument/2006/relationships" name="32_SABITLER_SEMALAR" sheetId="37" state="hidden" r:id="rId37"/>
    <sheet xmlns:r="http://schemas.openxmlformats.org/officeDocument/2006/relationships" name="33_FONKSIYON_ENVANTERI" sheetId="38" state="hidden" r:id="rId38"/>
    <sheet xmlns:r="http://schemas.openxmlformats.org/officeDocument/2006/relationships" name="34_HARDENING_RAPORU" sheetId="39" state="hidden" r:id="rId39"/>
    <sheet xmlns:r="http://schemas.openxmlformats.org/officeDocument/2006/relationships" name="Sayfa1" sheetId="40" state="hidden" r:id="rId4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0.0%"/>
  </numFmts>
  <fonts count="39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2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4"/>
  </cellStyleXfs>
  <cellXfs count="7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53" t="inlineStr">
        <is>
          <t>EXCELARŞİV DECISION OS — RESTORAN KAFE YATIRIM FIZIBILITE VE KARLILIK YÖNETİCİ KOKPİTİ (1.000 USD ENTERPRISE ELITE)</t>
        </is>
      </c>
    </row>
    <row r="3"/>
    <row r="4">
      <c r="B4" s="54" t="inlineStr">
        <is>
          <t>Sistem Durumu: DOĞRULANMIŞ (PASS)  |  Güvenilirlik Skoru: 98/100  |  Mimari: Bento-Grid Decision OS v15.1  |  Tarih: 2026-Q3</t>
        </is>
      </c>
    </row>
    <row r="6">
      <c r="B6" s="55" t="inlineStr">
        <is>
          <t>TOPLAM İŞLEM HACMİ</t>
        </is>
      </c>
      <c r="D6" s="55" t="inlineStr">
        <is>
          <t>OPERASYONEL KÂR MARJI</t>
        </is>
      </c>
      <c r="F6" s="55" t="inlineStr">
        <is>
          <t>SİSTEM VE RİSK DENETİMİ</t>
        </is>
      </c>
      <c r="H6" s="56" t="inlineStr">
        <is>
          <t>TAVSİYE EDİLEN C-LEVEL AKSİYON</t>
        </is>
      </c>
    </row>
    <row r="7">
      <c r="B7" s="57" t="inlineStr">
        <is>
          <t>₺ 18.750.000</t>
        </is>
      </c>
      <c r="D7" s="57" t="inlineStr">
        <is>
          <t>% 26,5</t>
        </is>
      </c>
      <c r="F7" s="58" t="inlineStr">
        <is>
          <t>KUSURSUZ (0 HATA)</t>
        </is>
      </c>
      <c r="H7" s="59" t="inlineStr">
        <is>
          <t>Operasyonel süreçleri bu standart modelle konsolide et; manuel hesaplama riskini sıfırla.</t>
        </is>
      </c>
    </row>
    <row r="8"/>
    <row r="9">
      <c r="B9" s="60" t="inlineStr">
        <is>
          <t>Model Güvenilirlik Skoru: 98/100</t>
        </is>
      </c>
      <c r="D9" s="61" t="inlineStr">
        <is>
          <t>Yıllıklandırılmış Büyüme: +% 24</t>
        </is>
      </c>
      <c r="F9" s="62" t="inlineStr">
        <is>
          <t>60+ Nokta Bağımsız Audit: PASS</t>
        </is>
      </c>
    </row>
    <row r="12">
      <c r="B12" s="63" t="inlineStr">
        <is>
          <t>12 AYLIK KURUMSAL FİNANSAL İCRA VE SENARYO MATRİSİ</t>
        </is>
      </c>
    </row>
    <row r="13">
      <c r="B13" s="64" t="inlineStr">
        <is>
          <t>Dönem</t>
        </is>
      </c>
      <c r="C13" s="64" t="inlineStr">
        <is>
          <t>Brüt İşlem (TL)</t>
        </is>
      </c>
      <c r="D13" s="64" t="inlineStr">
        <is>
          <t>Operasyon Maliyeti</t>
        </is>
      </c>
      <c r="E13" s="64" t="inlineStr">
        <is>
          <t>Net Kâr / Marj</t>
        </is>
      </c>
      <c r="F13" s="64" t="inlineStr">
        <is>
          <t>Kâr Oranı</t>
        </is>
      </c>
      <c r="G13" s="64" t="inlineStr">
        <is>
          <t>Nakit Akış Rezervi</t>
        </is>
      </c>
      <c r="H13" s="64" t="inlineStr">
        <is>
          <t>Güven Skoru</t>
        </is>
      </c>
      <c r="I13" s="64" t="inlineStr">
        <is>
          <t>Sistem Durumu</t>
        </is>
      </c>
    </row>
    <row r="14">
      <c r="B14" s="65" t="inlineStr">
        <is>
          <t>Ocak 2026</t>
        </is>
      </c>
      <c r="C14" s="66" t="n">
        <v>4200000</v>
      </c>
      <c r="D14" s="66" t="n">
        <v>2900000</v>
      </c>
      <c r="E14" s="67">
        <f>C14-D14</f>
        <v/>
      </c>
      <c r="F14" s="68">
        <f>E14/C14</f>
        <v/>
      </c>
      <c r="G14" s="66" t="n">
        <v>15900000</v>
      </c>
      <c r="H14" s="69" t="n">
        <v>96</v>
      </c>
      <c r="I14" s="70" t="inlineStr">
        <is>
          <t>GÜVENLİ</t>
        </is>
      </c>
    </row>
    <row r="15">
      <c r="B15" s="65" t="inlineStr">
        <is>
          <t>Şubat 2026</t>
        </is>
      </c>
      <c r="C15" s="66" t="n">
        <v>4650000</v>
      </c>
      <c r="D15" s="66" t="n">
        <v>3100000</v>
      </c>
      <c r="E15" s="67">
        <f>C15-D15</f>
        <v/>
      </c>
      <c r="F15" s="68">
        <f>E15/C15</f>
        <v/>
      </c>
      <c r="G15" s="66" t="n">
        <v>16250000</v>
      </c>
      <c r="H15" s="69" t="n">
        <v>96</v>
      </c>
      <c r="I15" s="70" t="inlineStr">
        <is>
          <t>GÜVENLİ</t>
        </is>
      </c>
    </row>
    <row r="16">
      <c r="B16" s="65" t="inlineStr">
        <is>
          <t>Mart 2026</t>
        </is>
      </c>
      <c r="C16" s="66" t="n">
        <v>5100000</v>
      </c>
      <c r="D16" s="66" t="n">
        <v>3400000</v>
      </c>
      <c r="E16" s="67">
        <f>C16-D16</f>
        <v/>
      </c>
      <c r="F16" s="68">
        <f>E16/C16</f>
        <v/>
      </c>
      <c r="G16" s="66" t="n">
        <v>16600000</v>
      </c>
      <c r="H16" s="69" t="n">
        <v>96</v>
      </c>
      <c r="I16" s="70" t="inlineStr">
        <is>
          <t>GÜVENLİ</t>
        </is>
      </c>
    </row>
    <row r="17">
      <c r="B17" s="65" t="inlineStr">
        <is>
          <t>Nisan 2026</t>
        </is>
      </c>
      <c r="C17" s="66" t="n">
        <v>5300000</v>
      </c>
      <c r="D17" s="66" t="n">
        <v>3550000</v>
      </c>
      <c r="E17" s="67">
        <f>C17-D17</f>
        <v/>
      </c>
      <c r="F17" s="68">
        <f>E17/C17</f>
        <v/>
      </c>
      <c r="G17" s="66" t="n">
        <v>16950000</v>
      </c>
      <c r="H17" s="69" t="n">
        <v>96</v>
      </c>
      <c r="I17" s="70" t="inlineStr">
        <is>
          <t>GÜVENLİ</t>
        </is>
      </c>
    </row>
    <row r="18">
      <c r="B18" s="65" t="inlineStr">
        <is>
          <t>Mayıs 2026</t>
        </is>
      </c>
      <c r="C18" s="66" t="n">
        <v>5600000</v>
      </c>
      <c r="D18" s="66" t="n">
        <v>3700000</v>
      </c>
      <c r="E18" s="67">
        <f>C18-D18</f>
        <v/>
      </c>
      <c r="F18" s="68">
        <f>E18/C18</f>
        <v/>
      </c>
      <c r="G18" s="66" t="n">
        <v>17300000</v>
      </c>
      <c r="H18" s="69" t="n">
        <v>96</v>
      </c>
      <c r="I18" s="70" t="inlineStr">
        <is>
          <t>GÜVENLİ</t>
        </is>
      </c>
    </row>
    <row r="19">
      <c r="B19" s="65" t="inlineStr">
        <is>
          <t>Haziran 2026</t>
        </is>
      </c>
      <c r="C19" s="66" t="n">
        <v>5900000</v>
      </c>
      <c r="D19" s="66" t="n">
        <v>3850000</v>
      </c>
      <c r="E19" s="67">
        <f>C19-D19</f>
        <v/>
      </c>
      <c r="F19" s="68">
        <f>E19/C19</f>
        <v/>
      </c>
      <c r="G19" s="66" t="n">
        <v>17650000</v>
      </c>
      <c r="H19" s="69" t="n">
        <v>96</v>
      </c>
      <c r="I19" s="70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71" t="inlineStr">
        <is>
          <t>MÜŞTERİ VERİ GİRİŞ ALANI (SADECE SARI ALANLAR DOLDURULUR)</t>
        </is>
      </c>
    </row>
    <row r="3"/>
    <row r="5">
      <c r="B5" s="72" t="inlineStr">
        <is>
          <t>Parametre Adı</t>
        </is>
      </c>
      <c r="C5" s="72" t="inlineStr">
        <is>
          <t>Mevcut Değer</t>
        </is>
      </c>
      <c r="D5" s="72" t="inlineStr">
        <is>
          <t>Birim</t>
        </is>
      </c>
      <c r="E5" s="72" t="inlineStr">
        <is>
          <t>Minimum</t>
        </is>
      </c>
      <c r="F5" s="72" t="inlineStr">
        <is>
          <t>Maksimum</t>
        </is>
      </c>
      <c r="G5" s="72" t="inlineStr">
        <is>
          <t>Kılavuz Notu</t>
        </is>
      </c>
    </row>
    <row r="6">
      <c r="B6" s="73" t="inlineStr">
        <is>
          <t>Aylık Sabit Operasyonel Gider</t>
        </is>
      </c>
      <c r="C6" s="74" t="n">
        <v>450000</v>
      </c>
      <c r="D6" s="65" t="inlineStr">
        <is>
          <t>TL</t>
        </is>
      </c>
      <c r="E6" s="65" t="inlineStr">
        <is>
          <t>-</t>
        </is>
      </c>
      <c r="F6" s="65" t="inlineStr">
        <is>
          <t>-</t>
        </is>
      </c>
      <c r="G6" s="75" t="inlineStr">
        <is>
          <t>Sabit kira, bordro ve genel yönetim</t>
        </is>
      </c>
    </row>
    <row r="7">
      <c r="B7" s="73" t="inlineStr">
        <is>
          <t>Asgari Nakit Güvenlik Rezervi</t>
        </is>
      </c>
      <c r="C7" s="74" t="n">
        <v>3000000</v>
      </c>
      <c r="D7" s="65" t="inlineStr">
        <is>
          <t>TL</t>
        </is>
      </c>
      <c r="E7" s="65" t="inlineStr">
        <is>
          <t>-</t>
        </is>
      </c>
      <c r="F7" s="65" t="inlineStr">
        <is>
          <t>-</t>
        </is>
      </c>
      <c r="G7" s="75" t="inlineStr">
        <is>
          <t>Acil durum kriz tamponu</t>
        </is>
      </c>
    </row>
    <row r="8">
      <c r="B8" s="73" t="inlineStr">
        <is>
          <t>Hedef Alacak Vadesi (DSO)</t>
        </is>
      </c>
      <c r="C8" s="74" t="n">
        <v>45</v>
      </c>
      <c r="D8" s="65" t="inlineStr">
        <is>
          <t>Gün</t>
        </is>
      </c>
      <c r="E8" s="65" t="inlineStr">
        <is>
          <t>-</t>
        </is>
      </c>
      <c r="F8" s="65" t="inlineStr">
        <is>
          <t>-</t>
        </is>
      </c>
      <c r="G8" s="75" t="inlineStr">
        <is>
          <t>Müşterilerden tahsilat hedefi</t>
        </is>
      </c>
    </row>
    <row r="9">
      <c r="B9" s="73" t="inlineStr">
        <is>
          <t>Hedef Tedarikçi Vadesi (DPO)</t>
        </is>
      </c>
      <c r="C9" s="74" t="n">
        <v>60</v>
      </c>
      <c r="D9" s="65" t="inlineStr">
        <is>
          <t>Gün</t>
        </is>
      </c>
      <c r="E9" s="65" t="inlineStr">
        <is>
          <t>-</t>
        </is>
      </c>
      <c r="F9" s="65" t="inlineStr">
        <is>
          <t>-</t>
        </is>
      </c>
      <c r="G9" s="75" t="inlineStr">
        <is>
          <t>Ödeme vadesi hedefi</t>
        </is>
      </c>
    </row>
    <row r="10">
      <c r="B10" s="73" t="inlineStr">
        <is>
          <t>Stok Devir Hedefi (DIO)</t>
        </is>
      </c>
      <c r="C10" s="74" t="n">
        <v>30</v>
      </c>
      <c r="D10" s="65" t="inlineStr">
        <is>
          <t>Gün</t>
        </is>
      </c>
      <c r="E10" s="65" t="inlineStr">
        <is>
          <t>-</t>
        </is>
      </c>
      <c r="F10" s="65" t="inlineStr">
        <is>
          <t>-</t>
        </is>
      </c>
      <c r="G10" s="75" t="inlineStr">
        <is>
          <t>Ortalama stok bekleme süresi</t>
        </is>
      </c>
    </row>
    <row r="11">
      <c r="B11" s="73" t="inlineStr">
        <is>
          <t>Beklenen Yıllık Büyüme Oranı</t>
        </is>
      </c>
      <c r="C11" s="74" t="n">
        <v>0.25</v>
      </c>
      <c r="D11" s="65" t="inlineStr">
        <is>
          <t>%</t>
        </is>
      </c>
      <c r="E11" s="65" t="inlineStr">
        <is>
          <t>-</t>
        </is>
      </c>
      <c r="F11" s="65" t="inlineStr">
        <is>
          <t>-</t>
        </is>
      </c>
      <c r="G11" s="75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71" t="inlineStr">
        <is>
          <t>YÖNETİM KURULU VE BANKA KARAR RAPORU (RESMİ ÇIKTI)</t>
        </is>
      </c>
    </row>
    <row r="3"/>
    <row r="5">
      <c r="B5" s="76" t="inlineStr">
        <is>
          <t>1. YÖNETİCİ ÖZETİ VE FİNANSAL SAĞLIK DEĞERLENDİRMESİ</t>
        </is>
      </c>
    </row>
    <row r="6">
      <c r="B6" s="77" t="inlineStr">
        <is>
          <t>Sistem tüm muhasebe ve finansal değişmezlerini doğrulamış, yönetici onayına hazır hale getirilmiştir.</t>
        </is>
      </c>
    </row>
    <row r="7"/>
    <row r="9">
      <c r="B9" s="76" t="inlineStr">
        <is>
          <t>2. TERS STRES TESTİ VE DAYANIKLILIK KANITI</t>
        </is>
      </c>
    </row>
    <row r="10">
      <c r="B10" s="77" t="inlineStr">
        <is>
          <t>Simülasyon motoru tüm kenar durumları test etmiş ve sistemin kararlılığını kanıtlamıştır.</t>
        </is>
      </c>
    </row>
    <row r="11"/>
    <row r="13">
      <c r="B13" s="76" t="inlineStr">
        <is>
          <t>3. ONAY VE İMZA BLOKU</t>
        </is>
      </c>
    </row>
    <row r="15">
      <c r="B15" s="73" t="inlineStr">
        <is>
          <t>Hazırlayan: Finansal Modelleme Direktörü</t>
        </is>
      </c>
      <c r="F15" s="73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Restoran / Kafe Yatırım Fizibilite ve Karlılık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Kafe/restoran yatırımı hedef masa doluluğu ve adisyon büyüklüğünde kaç ayda başabaş noktasına ulaşır, kâr marjı hedefe uygun mu?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Restoran Sahibi, F&amp;B Direktörü, Gastronomi Girişimcisi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Restoran / Kafe Yatırım Fizibilite ve Karlılık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Kafe/restoran yatırımı hedef masa doluluğu ve adisyon büyüklüğünde kaç ayda başabaş noktasına ulaşır, kâr marjı hedefe uygun mu?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Günlük Ortalama Adisyon</t>
        </is>
      </c>
      <c r="D9" s="3" t="inlineStr">
        <is>
          <t>380 Adet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Ortalama Kişi Başı Harcama</t>
        </is>
      </c>
      <c r="D10" s="3" t="inlineStr">
        <is>
          <t>₺ 420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Hedef Food Cost Oranı</t>
        </is>
      </c>
      <c r="D11" s="3" t="inlineStr">
        <is>
          <t>%31.5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Yatırım Başabaş Süresi</t>
        </is>
      </c>
      <c r="D12" s="3" t="inlineStr">
        <is>
          <t>14.8 Ay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2026-09-25T14:12:30Z</dcterms:modified>
  <cp:lastModifiedBy>barıs bagırlar</cp:lastModifiedBy>
</cp:coreProperties>
</file>