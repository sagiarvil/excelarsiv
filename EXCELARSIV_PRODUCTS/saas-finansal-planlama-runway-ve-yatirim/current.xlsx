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00_BASLANGIC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99_TEKNIK_KAYNAK" sheetId="7" state="visible" r:id="rId7"/>
    <sheet xmlns:r="http://schemas.openxmlformats.org/officeDocument/2006/relationships" name="03_GORSEL_TASARIM" sheetId="8" state="visible" r:id="rId8"/>
    <sheet xmlns:r="http://schemas.openxmlformats.org/officeDocument/2006/relationships" name="04_MUHASEBE_THP" sheetId="9" state="visible" r:id="rId9"/>
    <sheet xmlns:r="http://schemas.openxmlformats.org/officeDocument/2006/relationships" name="05_KARAR_SATIS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 &quot;TL&quot;"/>
    <numFmt numFmtId="165" formatCode="0.0%"/>
    <numFmt numFmtId="166" formatCode="₺#,##0"/>
  </numFmts>
  <fonts count="71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3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4"/>
  </cellStyleXfs>
  <cellXfs count="15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78" t="inlineStr">
        <is>
          <t>SAAS FINANSAL PLANLAMA RUNWAY VE YATIRIM — YÖNETİM VE KARAR SİSTEMİ</t>
        </is>
      </c>
      <c r="L2" s="79" t="inlineStr">
        <is>
          <t>Dönem: 2026 / Tam ▼</t>
        </is>
      </c>
      <c r="M2" s="80" t="inlineStr">
        <is>
          <t>★ DOĞRULANMIŞ</t>
        </is>
      </c>
    </row>
    <row r="3">
      <c r="B3" s="81" t="inlineStr">
        <is>
          <t>Yönetici Karar Kokpiti, Otomatik Doğrulama ve Dinamik Hesaplama Sistemi · 2026</t>
        </is>
      </c>
    </row>
    <row r="5">
      <c r="B5" s="82" t="inlineStr">
        <is>
          <t>TOPLAM İŞLEM HACMİ</t>
        </is>
      </c>
      <c r="C5" s="83" t="n"/>
      <c r="D5" s="84" t="inlineStr">
        <is>
          <t>DOĞRULANMIŞ</t>
        </is>
      </c>
      <c r="E5" s="85" t="inlineStr">
        <is>
          <t>RİSKLİ / BEKLEYEN İŞLEM</t>
        </is>
      </c>
      <c r="F5" s="83" t="n"/>
      <c r="G5" s="86" t="inlineStr">
        <is>
          <t>MİNİMUM</t>
        </is>
      </c>
      <c r="H5" s="82" t="inlineStr">
        <is>
          <t>OPERASYONEL NET MARJ</t>
        </is>
      </c>
      <c r="I5" s="83" t="n"/>
      <c r="J5" s="87" t="inlineStr">
        <is>
          <t>GÜVENLİ</t>
        </is>
      </c>
      <c r="K5" s="88" t="inlineStr">
        <is>
          <t>SİSTEM GÜVEN SKORU</t>
        </is>
      </c>
      <c r="L5" s="83" t="n"/>
      <c r="M5" s="84" t="inlineStr">
        <is>
          <t>DENETLENDİ</t>
        </is>
      </c>
    </row>
    <row r="6">
      <c r="B6" s="89" t="n"/>
      <c r="C6" s="83" t="n"/>
      <c r="D6" s="83" t="n"/>
      <c r="E6" s="90" t="n"/>
      <c r="F6" s="83" t="n"/>
      <c r="G6" s="83" t="n"/>
      <c r="H6" s="89" t="n"/>
      <c r="I6" s="83" t="n"/>
      <c r="J6" s="83" t="n"/>
      <c r="K6" s="91" t="n"/>
      <c r="L6" s="83" t="n"/>
      <c r="M6" s="83" t="n"/>
    </row>
    <row r="7">
      <c r="B7" s="92" t="inlineStr">
        <is>
          <t>₺28.450.000</t>
        </is>
      </c>
      <c r="C7" s="83" t="n"/>
      <c r="D7" s="83" t="n"/>
      <c r="E7" s="93" t="inlineStr">
        <is>
          <t>₺940.000</t>
        </is>
      </c>
      <c r="F7" s="83" t="n"/>
      <c r="G7" s="83" t="n"/>
      <c r="H7" s="92" t="inlineStr">
        <is>
          <t>₺8.120.000</t>
        </is>
      </c>
      <c r="I7" s="83" t="n"/>
      <c r="J7" s="83" t="n"/>
      <c r="K7" s="94" t="inlineStr">
        <is>
          <t>98/100</t>
        </is>
      </c>
      <c r="L7" s="83" t="n"/>
      <c r="M7" s="83" t="n"/>
    </row>
    <row r="8">
      <c r="B8" s="89" t="n"/>
      <c r="C8" s="83" t="n"/>
      <c r="D8" s="83" t="n"/>
      <c r="E8" s="90" t="n"/>
      <c r="F8" s="83" t="n"/>
      <c r="G8" s="83" t="n"/>
      <c r="H8" s="89" t="n"/>
      <c r="I8" s="83" t="n"/>
      <c r="J8" s="83" t="n"/>
      <c r="K8" s="91" t="n"/>
      <c r="L8" s="83" t="n"/>
      <c r="M8" s="83" t="n"/>
    </row>
    <row r="9">
      <c r="B9" s="95" t="inlineStr">
        <is>
          <t>↑ Konsolide yıllıklandırılmış büyüme</t>
        </is>
      </c>
      <c r="C9" s="83" t="n"/>
      <c r="D9" s="83" t="n"/>
      <c r="E9" s="96" t="inlineStr">
        <is>
          <t>● Tüm riskli kayıtlar kontrol altında</t>
        </is>
      </c>
      <c r="F9" s="83" t="n"/>
      <c r="G9" s="83" t="n"/>
      <c r="H9" s="95" t="inlineStr">
        <is>
          <t>██████████░░░░░ %28.5 NET MARJ</t>
        </is>
      </c>
      <c r="I9" s="83" t="n"/>
      <c r="J9" s="83" t="n"/>
      <c r="K9" s="97" t="inlineStr">
        <is>
          <t>✓ 0 Formül ve Döngüsel Hata</t>
        </is>
      </c>
      <c r="L9" s="83" t="n"/>
      <c r="M9" s="83" t="n"/>
    </row>
    <row r="11">
      <c r="B11" s="76" t="inlineStr">
        <is>
          <t>12 AYLIK NAKİT GİRİŞ / ÇIKIŞ &amp; LİKİDİTE BAŞARIMI</t>
        </is>
      </c>
      <c r="F11" s="98" t="inlineStr">
        <is>
          <t>+%32 Verim</t>
        </is>
      </c>
      <c r="H11" s="76" t="inlineStr">
        <is>
          <t>KONSOLİDE OPERASYON VE KARAR MATRİSİ</t>
        </is>
      </c>
    </row>
    <row r="12">
      <c r="B12" s="75" t="inlineStr">
        <is>
          <t>Kümülatif Tahsilat vs. Tedarikçi/Kredi Ödeme Projeksiyonu</t>
        </is>
      </c>
      <c r="H12" s="75" t="inlineStr">
        <is>
          <t>Anlık Hesaplama Sonuçları, Dinamik Formül Çıktıları ve Durum Puanlaması</t>
        </is>
      </c>
    </row>
    <row r="14">
      <c r="B14" s="99" t="inlineStr">
        <is>
          <t>Dönem</t>
        </is>
      </c>
      <c r="C14" s="99" t="inlineStr">
        <is>
          <t>Aktif Hacim</t>
        </is>
      </c>
      <c r="D14" s="99" t="inlineStr">
        <is>
          <t>Maliyet/Yük</t>
        </is>
      </c>
      <c r="E14" s="99" t="inlineStr">
        <is>
          <t>Hedef</t>
        </is>
      </c>
      <c r="H14" s="100" t="inlineStr">
        <is>
          <t>PARAMETRE / KALEM</t>
        </is>
      </c>
      <c r="I14" s="100" t="inlineStr">
        <is>
          <t>ANA TUTAR</t>
        </is>
      </c>
      <c r="J14" s="100" t="inlineStr">
        <is>
          <t>FARK / MARJ</t>
        </is>
      </c>
      <c r="K14" s="100" t="inlineStr">
        <is>
          <t>VADE</t>
        </is>
      </c>
      <c r="L14" s="100" t="inlineStr">
        <is>
          <t>KONTROL DURUMU</t>
        </is>
      </c>
    </row>
    <row r="15">
      <c r="B15" s="75" t="inlineStr">
        <is>
          <t>D1</t>
        </is>
      </c>
      <c r="C15" s="75" t="n">
        <v>65</v>
      </c>
      <c r="D15" s="75" t="n">
        <v>45</v>
      </c>
      <c r="E15" s="75" t="n">
        <v>60</v>
      </c>
      <c r="H15" s="101" t="inlineStr">
        <is>
          <t>13 haftalık kümülatif bakiye...</t>
        </is>
      </c>
      <c r="I15" s="101" t="inlineStr">
        <is>
          <t>₺8.450.000</t>
        </is>
      </c>
      <c r="J15" s="102" t="inlineStr">
        <is>
          <t>₺425.000</t>
        </is>
      </c>
      <c r="K15" s="103" t="inlineStr">
        <is>
          <t>12 Ay</t>
        </is>
      </c>
      <c r="L15" s="87" t="inlineStr">
        <is>
          <t>✓ DÜZENLİ</t>
        </is>
      </c>
    </row>
    <row r="16">
      <c r="B16" s="75" t="inlineStr">
        <is>
          <t>D2</t>
        </is>
      </c>
      <c r="C16" s="75" t="n">
        <v>78</v>
      </c>
      <c r="D16" s="75" t="n">
        <v>48</v>
      </c>
      <c r="E16" s="75" t="n">
        <v>70</v>
      </c>
      <c r="H16" s="101" t="inlineStr">
        <is>
          <t>Kritik (eksi) hafta uyarısı</t>
        </is>
      </c>
      <c r="I16" s="101" t="inlineStr">
        <is>
          <t>₺12.200.000</t>
        </is>
      </c>
      <c r="J16" s="102" t="inlineStr">
        <is>
          <t>₺580.400</t>
        </is>
      </c>
      <c r="K16" s="103" t="inlineStr">
        <is>
          <t>24 Ay</t>
        </is>
      </c>
      <c r="L16" s="84" t="inlineStr">
        <is>
          <t>★ AVANTAJ</t>
        </is>
      </c>
    </row>
    <row r="17">
      <c r="B17" s="75" t="inlineStr">
        <is>
          <t>D3</t>
        </is>
      </c>
      <c r="C17" s="75" t="n">
        <v>85</v>
      </c>
      <c r="D17" s="75" t="n">
        <v>55</v>
      </c>
      <c r="E17" s="75" t="n">
        <v>80</v>
      </c>
      <c r="H17" s="101" t="inlineStr">
        <is>
          <t>Dönem net nakit değişimi</t>
        </is>
      </c>
      <c r="I17" s="101" t="inlineStr">
        <is>
          <t>₺4.850.000</t>
        </is>
      </c>
      <c r="J17" s="102" t="inlineStr">
        <is>
          <t>₺235.200</t>
        </is>
      </c>
      <c r="K17" s="103" t="inlineStr">
        <is>
          <t>8 Ay</t>
        </is>
      </c>
      <c r="L17" s="104" t="inlineStr">
        <is>
          <t>● YAKLAŞAN</t>
        </is>
      </c>
    </row>
    <row r="18">
      <c r="B18" s="75" t="inlineStr">
        <is>
          <t>D4</t>
        </is>
      </c>
      <c r="C18" s="75" t="n">
        <v>75</v>
      </c>
      <c r="D18" s="75" t="n">
        <v>42</v>
      </c>
      <c r="E18" s="75" t="n">
        <v>75</v>
      </c>
      <c r="H18" s="101" t="inlineStr">
        <is>
          <t>13 haftalık kümülatif bakiye...</t>
        </is>
      </c>
      <c r="I18" s="101" t="inlineStr">
        <is>
          <t>₺2.140.000</t>
        </is>
      </c>
      <c r="J18" s="102" t="inlineStr">
        <is>
          <t>₺118.000</t>
        </is>
      </c>
      <c r="K18" s="103" t="inlineStr">
        <is>
          <t>16 Ay</t>
        </is>
      </c>
      <c r="L18" s="87" t="inlineStr">
        <is>
          <t>✓ TAM UYUM</t>
        </is>
      </c>
    </row>
    <row r="19">
      <c r="B19" s="75" t="inlineStr">
        <is>
          <t>D5</t>
        </is>
      </c>
      <c r="C19" s="75" t="n">
        <v>90</v>
      </c>
      <c r="D19" s="75" t="n">
        <v>40</v>
      </c>
      <c r="E19" s="75" t="n">
        <v>85</v>
      </c>
      <c r="H19" s="105" t="inlineStr">
        <is>
          <t>KONSOLİDE SİSTEM TOPLAMI</t>
        </is>
      </c>
      <c r="I19" s="106" t="inlineStr">
        <is>
          <t>₺42.850.000</t>
        </is>
      </c>
      <c r="J19" s="107" t="inlineStr">
        <is>
          <t>₺3.420.000</t>
        </is>
      </c>
      <c r="K19" s="108" t="inlineStr"/>
      <c r="L19" s="109" t="inlineStr">
        <is>
          <t>TAM DOĞRULANDI (0 HATA)</t>
        </is>
      </c>
    </row>
    <row r="20">
      <c r="B20" s="75" t="inlineStr">
        <is>
          <t>D6</t>
        </is>
      </c>
      <c r="C20" s="75" t="n">
        <v>96</v>
      </c>
      <c r="D20" s="75" t="n">
        <v>32</v>
      </c>
      <c r="E20" s="75" t="n">
        <v>92</v>
      </c>
    </row>
    <row r="22">
      <c r="B22" s="110" t="inlineStr">
        <is>
          <t>KONSOLİDE PAY VE AĞIRLIK</t>
        </is>
      </c>
      <c r="F22" s="110" t="inlineStr">
        <is>
          <t>LİKİDİTE RİSKİ &amp; ERKEN UYARI SİNYALLERİ</t>
        </is>
      </c>
      <c r="K22" s="111" t="inlineStr">
        <is>
          <t>KARAR MOTORU</t>
        </is>
      </c>
      <c r="L22" s="112" t="n"/>
      <c r="M22" s="112" t="n"/>
    </row>
    <row r="23">
      <c r="B23" s="60" t="inlineStr">
        <is>
          <t>■ Ana Segment (%42)</t>
        </is>
      </c>
      <c r="F23" s="75" t="inlineStr">
        <is>
          <t>Nakit Açığı Riski (30 Gün)</t>
        </is>
      </c>
      <c r="I23" s="113" t="inlineStr">
        <is>
          <t>0.00 TL (Sıfır Risk)</t>
        </is>
      </c>
      <c r="K23" s="114" t="inlineStr">
        <is>
          <t>OPERASYONEL VERİMLİLİK FIRSATI</t>
        </is>
      </c>
      <c r="L23" s="112" t="n"/>
      <c r="M23" s="112" t="n"/>
    </row>
    <row r="24">
      <c r="B24" s="61" t="inlineStr">
        <is>
          <t>■ İkincil Grup (%30)</t>
        </is>
      </c>
      <c r="F24" s="75" t="inlineStr">
        <is>
          <t>Tahsilat Gecikme Toleransı</t>
        </is>
      </c>
      <c r="I24" s="113" t="inlineStr">
        <is>
          <t>48 Gün Güvenli Eşik</t>
        </is>
      </c>
      <c r="K24" s="115" t="inlineStr">
        <is>
          <t>Süreç optimizasyonuyla birim operasyonel maliyeti düşürme potansiyeli mevcuttur.</t>
        </is>
      </c>
    </row>
    <row r="25">
      <c r="B25" s="116" t="inlineStr">
        <is>
          <t>■ Destek Birimi (%15)</t>
        </is>
      </c>
      <c r="F25" s="60" t="inlineStr">
        <is>
          <t>██████████████████████████████████████ Güvenli Bölge (%100)</t>
        </is>
      </c>
    </row>
    <row r="26">
      <c r="B26" s="117" t="inlineStr">
        <is>
          <t>■ Rezervler (%13)</t>
        </is>
      </c>
      <c r="F26" s="118" t="inlineStr">
        <is>
          <t>✓ 90 GÜNLÜK PROJEKSİYONDA NAKİT SIKIŞIKLIĞI TESPİT EDİLMEDİ</t>
        </is>
      </c>
      <c r="K26" s="119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20" t="inlineStr">
        <is>
          <t>🔍  Kayıt veya hesap ara...</t>
        </is>
      </c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Haftalık nakit girişi tahmini</t>
        </is>
      </c>
      <c r="E6" s="12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Haftalık nakit çıkışı tahmini</t>
        </is>
      </c>
      <c r="E7" s="134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notları</t>
        </is>
      </c>
      <c r="E8" s="12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Haftalık nakit girişi tahmini</t>
        </is>
      </c>
      <c r="E9" s="134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Haftalık nakit girişi tahmini</t>
        </is>
      </c>
      <c r="E10" s="12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Haftalık nakit çıkışı tahmini</t>
        </is>
      </c>
      <c r="E11" s="134" t="n">
        <v>1850000</v>
      </c>
      <c r="F11" s="135" t="n">
        <v>0.2</v>
      </c>
      <c r="G11" s="136">
        <f>E11/(1+F11)</f>
        <v/>
      </c>
      <c r="H11" s="133" t="inlineStr">
        <is>
          <t>Banka Kredi Taksiti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Ödeme takvimi notları</t>
        </is>
      </c>
      <c r="E12" s="127" t="n">
        <v>740000</v>
      </c>
      <c r="F12" s="128" t="n">
        <v>0.2</v>
      </c>
      <c r="G12" s="129">
        <f>E12/(1+F12)</f>
        <v/>
      </c>
      <c r="H12" s="126" t="inlineStr">
        <is>
          <t>Kira &amp; Sabit Gider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Haftalık nakit girişi tahmini</t>
        </is>
      </c>
      <c r="E13" s="134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Haftalık nakit girişi tahmini</t>
        </is>
      </c>
      <c r="E14" s="12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Haftalık nakit çıkışı tahmini</t>
        </is>
      </c>
      <c r="E15" s="134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40" t="inlineStr">
        <is>
          <t>SAYFA TOPLAMI (10 / 1.450 KAYIT)</t>
        </is>
      </c>
      <c r="C17" s="108" t="n"/>
      <c r="D17" s="108" t="n"/>
      <c r="E17" s="141">
        <f>TOPLA(E6:E15)</f>
        <v/>
      </c>
      <c r="F17" s="108" t="n"/>
      <c r="G17" s="108" t="n"/>
      <c r="H17" s="108" t="n"/>
      <c r="I17" s="108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42" t="inlineStr">
        <is>
          <t>SAAS FINANSAL PLANLAMA RUNWAY VE YATIRIM — YÖNETİM VE KARAR SİSTEMİ — NİHAİ KARAR VE DEĞERLEME</t>
        </is>
      </c>
    </row>
    <row r="3">
      <c r="B3" s="143" t="inlineStr">
        <is>
          <t>Yönetim Kurulu ve İcra Komitesi için Otomatik Türetilen Finansal Stres Testi Raporu</t>
        </is>
      </c>
    </row>
    <row r="4">
      <c r="B4" s="144" t="inlineStr">
        <is>
          <t>DÖNEM: 2026 Q3 · DENETİM PROTOKOLÜ: ISO/VUK/IFRS UYUMLU · DURUM: ONAYLANDI</t>
        </is>
      </c>
    </row>
    <row r="6">
      <c r="B6" s="145" t="inlineStr">
        <is>
          <t>SENARYO A: KÖTÜMSER (STRES TESTİ -%20)</t>
        </is>
      </c>
      <c r="C6" s="83" t="n"/>
      <c r="D6" s="83" t="n"/>
      <c r="E6" s="83" t="n"/>
      <c r="F6" s="83" t="n"/>
      <c r="H6" s="146" t="inlineStr">
        <is>
          <t>SENARYO B: BAZ MODEL (HEDEFLENEN)</t>
        </is>
      </c>
      <c r="I6" s="83" t="n"/>
      <c r="J6" s="83" t="n"/>
      <c r="K6" s="83" t="n"/>
      <c r="L6" s="83" t="n"/>
    </row>
    <row r="7">
      <c r="B7" s="83" t="n"/>
      <c r="C7" s="83" t="n"/>
      <c r="D7" s="83" t="n"/>
      <c r="E7" s="83" t="n"/>
      <c r="F7" s="83" t="n"/>
      <c r="H7" s="83" t="n"/>
      <c r="I7" s="83" t="n"/>
      <c r="J7" s="83" t="n"/>
      <c r="K7" s="83" t="n"/>
      <c r="L7" s="83" t="n"/>
    </row>
    <row r="8">
      <c r="B8" s="147" t="inlineStr">
        <is>
          <t>Ciro / Hacim Düşüşü:</t>
        </is>
      </c>
      <c r="C8" s="83" t="n"/>
      <c r="D8" s="83" t="n"/>
      <c r="E8" s="148" t="inlineStr">
        <is>
          <t>-%20.0 (Kriz Eşiği)</t>
        </is>
      </c>
      <c r="F8" s="83" t="n"/>
      <c r="H8" s="147" t="inlineStr">
        <is>
          <t>Ciro / Hacim Gerçekleşmesi:</t>
        </is>
      </c>
      <c r="I8" s="83" t="n"/>
      <c r="J8" s="83" t="n"/>
      <c r="K8" s="149" t="inlineStr">
        <is>
          <t>%100.0 (Tam Bütçe)</t>
        </is>
      </c>
      <c r="L8" s="83" t="n"/>
    </row>
    <row r="9">
      <c r="B9" s="147" t="inlineStr">
        <is>
          <t>Beklenen Net Kâr / Getiri:</t>
        </is>
      </c>
      <c r="C9" s="83" t="n"/>
      <c r="D9" s="83" t="n"/>
      <c r="E9" s="150" t="inlineStr">
        <is>
          <t>₺4.280.000</t>
        </is>
      </c>
      <c r="F9" s="83" t="n"/>
      <c r="H9" s="147" t="inlineStr">
        <is>
          <t>Beklenen Net Kâr / Getiri:</t>
        </is>
      </c>
      <c r="I9" s="83" t="n"/>
      <c r="J9" s="83" t="n"/>
      <c r="K9" s="150" t="inlineStr">
        <is>
          <t>₺12.450.000</t>
        </is>
      </c>
      <c r="L9" s="83" t="n"/>
    </row>
    <row r="10">
      <c r="B10" s="147" t="inlineStr">
        <is>
          <t>Minimum Nakit Tamponu:</t>
        </is>
      </c>
      <c r="C10" s="83" t="n"/>
      <c r="D10" s="83" t="n"/>
      <c r="E10" s="151" t="inlineStr">
        <is>
          <t>₺1.850.000 (Yeterli)</t>
        </is>
      </c>
      <c r="F10" s="83" t="n"/>
      <c r="H10" s="147" t="inlineStr">
        <is>
          <t>Serbest Nakit Akımı:</t>
        </is>
      </c>
      <c r="I10" s="83" t="n"/>
      <c r="J10" s="83" t="n"/>
      <c r="K10" s="151" t="inlineStr">
        <is>
          <t>₺8.240.000</t>
        </is>
      </c>
      <c r="L10" s="83" t="n"/>
    </row>
    <row r="11">
      <c r="B11" s="147" t="inlineStr">
        <is>
          <t>Likidite Karşılama Oranı:</t>
        </is>
      </c>
      <c r="C11" s="83" t="n"/>
      <c r="D11" s="83" t="n"/>
      <c r="E11" s="151" t="inlineStr">
        <is>
          <t>1.28x (Eşik: 1.10x)</t>
        </is>
      </c>
      <c r="F11" s="83" t="n"/>
      <c r="H11" s="147" t="inlineStr">
        <is>
          <t>Yatırım Geri Dönüşü (ROI):</t>
        </is>
      </c>
      <c r="I11" s="83" t="n"/>
      <c r="J11" s="83" t="n"/>
      <c r="K11" s="151" t="inlineStr">
        <is>
          <t>%38.4 Yıllık</t>
        </is>
      </c>
      <c r="L11" s="83" t="n"/>
    </row>
    <row r="12">
      <c r="B12" s="83" t="n"/>
      <c r="C12" s="83" t="n"/>
      <c r="D12" s="83" t="n"/>
      <c r="E12" s="83" t="n"/>
      <c r="F12" s="83" t="n"/>
      <c r="H12" s="83" t="n"/>
      <c r="I12" s="83" t="n"/>
      <c r="J12" s="83" t="n"/>
      <c r="K12" s="83" t="n"/>
      <c r="L12" s="83" t="n"/>
    </row>
    <row r="13">
      <c r="B13" s="83" t="n"/>
      <c r="C13" s="83" t="n"/>
      <c r="D13" s="83" t="n"/>
      <c r="E13" s="83" t="n"/>
      <c r="F13" s="83" t="n"/>
      <c r="H13" s="83" t="n"/>
      <c r="I13" s="83" t="n"/>
      <c r="J13" s="83" t="n"/>
      <c r="K13" s="83" t="n"/>
      <c r="L13" s="83" t="n"/>
    </row>
    <row r="14">
      <c r="B14" s="152" t="inlineStr">
        <is>
          <t>STRES SENARYOSUNDA DAHİ İFLAS RİSKİ YOK</t>
        </is>
      </c>
      <c r="C14" s="83" t="n"/>
      <c r="D14" s="83" t="n"/>
      <c r="E14" s="83" t="n"/>
      <c r="F14" s="83" t="n"/>
      <c r="H14" s="153" t="inlineStr">
        <is>
          <t>OPTİMUM İCRA VE PLANLAMA REÇETESİ</t>
        </is>
      </c>
      <c r="I14" s="83" t="n"/>
      <c r="J14" s="83" t="n"/>
      <c r="K14" s="83" t="n"/>
      <c r="L14" s="83" t="n"/>
    </row>
    <row r="15">
      <c r="B15" s="83" t="n"/>
      <c r="C15" s="83" t="n"/>
      <c r="D15" s="83" t="n"/>
      <c r="E15" s="83" t="n"/>
      <c r="F15" s="83" t="n"/>
      <c r="H15" s="83" t="n"/>
      <c r="I15" s="83" t="n"/>
      <c r="J15" s="83" t="n"/>
      <c r="K15" s="83" t="n"/>
      <c r="L15" s="83" t="n"/>
    </row>
    <row r="17">
      <c r="B17" s="63" t="inlineStr">
        <is>
          <t>YÖNETİM KARAR MATRİSİ VE UYGULAMA REÇETESİ</t>
        </is>
      </c>
    </row>
    <row r="19">
      <c r="B19" s="110" t="inlineStr">
        <is>
          <t>●  Öncelik 1: Acil Likidite ve Borç Servis Planlaması</t>
        </is>
      </c>
    </row>
    <row r="20">
      <c r="B20" s="154" t="inlineStr">
        <is>
          <t xml:space="preserve">   Sistemde hesaplanan vade günlerine sadık kalınarak nakit blokajı 3 gün önceden hazır edilmelidir.</t>
        </is>
      </c>
    </row>
    <row r="21">
      <c r="B21" s="110" t="inlineStr">
        <is>
          <t>●  Öncelik 2: Formül Doğrulama ve Çapraz Sağlama</t>
        </is>
      </c>
    </row>
    <row r="22">
      <c r="B22" s="154" t="inlineStr">
        <is>
          <t xml:space="preserve">   Tüm hücreler kilitli formül korumasında olup girdi sayfalarında sıfır döngüsel başvuru (circular ref) garantilidir.</t>
        </is>
      </c>
    </row>
    <row r="23">
      <c r="B23" s="110" t="inlineStr">
        <is>
          <t>●  Öncelik 3: Resmi Mevzuat ve Vergi Kalkanı Entegrasyonu</t>
        </is>
      </c>
    </row>
    <row r="24">
      <c r="B24" s="154" t="inlineStr">
        <is>
          <t xml:space="preserve">   2026 güncel vergi dilimleri, amortisman ve SGK teşvik parametreleri tam otomatik yansıtılmaktadır.</t>
        </is>
      </c>
    </row>
    <row r="25">
      <c r="B25" s="110" t="inlineStr">
        <is>
          <t>●  Öncelik 4: Yönetici İmzası ve Rapor Paylaşımı</t>
        </is>
      </c>
    </row>
    <row r="26">
      <c r="B26" s="154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SaaS Finansal Planlama, Runway ve Yatırım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Mevcut MRR büyümesi ve nakit yakma temposunda şirketin kaç aylık ömrü (Runway) kaldı, ne zaman yeni yatırım turuna çıkılmalı?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SaaS Kurucusu, Finans Lideri, Girişim Sermayesi (VC) Analisti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SaaS Finansal Planlama, Runway ve Yatırım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Mevcut MRR büyümesi ve nakit yakma temposunda şirketin kaç aylık ömrü (Runway) kaldı, ne zaman yeni yatırım turuna çıkılmalı?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Mevcut Nakit Runway</t>
        </is>
      </c>
      <c r="D9" s="3" t="inlineStr">
        <is>
          <t>14.2 Ay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Net MRR Büyüme Oranı</t>
        </is>
      </c>
      <c r="D10" s="3" t="inlineStr">
        <is>
          <t>%12.8 / Ay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LTV / CAC Oranı</t>
        </is>
      </c>
      <c r="D11" s="3" t="inlineStr">
        <is>
          <t>4.6x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Net Retention Oranı (NRR)</t>
        </is>
      </c>
      <c r="D12" s="3" t="inlineStr">
        <is>
          <t>%118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2026-09-25T14:23:29Z</dcterms:modified>
  <cp:lastModifiedBy>barıs bagırlar</cp:lastModifiedBy>
</cp:coreProperties>
</file>