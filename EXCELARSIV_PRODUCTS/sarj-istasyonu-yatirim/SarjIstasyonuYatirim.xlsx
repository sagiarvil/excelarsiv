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VARSAYIMLAR" sheetId="7" state="visible" r:id="rId7"/>
    <sheet xmlns:r="http://schemas.openxmlformats.org/officeDocument/2006/relationships" name="KURALLAR" sheetId="8" state="visible" r:id="rId8"/>
    <sheet xmlns:r="http://schemas.openxmlformats.org/officeDocument/2006/relationships" name="MOTOR" sheetId="9" state="visible" r:id="rId9"/>
    <sheet xmlns:r="http://schemas.openxmlformats.org/officeDocument/2006/relationships" name="FINANSMAN" sheetId="10" state="visible" r:id="rId10"/>
    <sheet xmlns:r="http://schemas.openxmlformats.org/officeDocument/2006/relationships" name="SENARYO" sheetId="11" state="visible" r:id="rId11"/>
    <sheet xmlns:r="http://schemas.openxmlformats.org/officeDocument/2006/relationships" name="KARAR" sheetId="12" state="visible" r:id="rId12"/>
    <sheet xmlns:r="http://schemas.openxmlformats.org/officeDocument/2006/relationships" name="VAKALAR" sheetId="13" state="visible" r:id="rId13"/>
    <sheet xmlns:r="http://schemas.openxmlformats.org/officeDocument/2006/relationships" name="KANIT_RAPORU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ORNEK_VER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hesapYili">GIRDI!$B$8</definedName>
    <definedName name="raporTarihi">AYARLAR!$B$7</definedName>
    <definedName name="siy_netCapex">MOTOR!$G$65</definedName>
    <definedName name="siy_npv">MOTOR!$G$66</definedName>
    <definedName name="siy_irr">MOTOR!$G$67</definedName>
    <definedName name="siy_opexYillik">MOTOR!$G$68</definedName>
    <definedName name="siy_yillikKwh">MOTOR!$G$69</definedName>
    <definedName name="siy_kararMetni">MOTOR!$G$41</definedName>
    <definedName name="siy_kararGerekce">MOTOR!$G$42</definedName>
    <definedName name="siy_maddeAtifMetni">MOTOR!$G$63</definedName>
    <definedName name="siy_kanitRaporu">MOTOR!$G$64</definedName>
    <definedName name="siy_kuralYilMatris">KURALLAR!$B$15</definedName>
    <definedName name="siy_parmakIzi">AYARLAR!$B$20</definedName>
    <definedName name="siy_aktifTarife">AYARLAR!$K$52</definedName>
    <definedName name="siy_tarifeOzeti">AYARLAR!$K$53</definedName>
    <definedName name="siy_finansmanKarsilastirma">FINANSMAN!$B$11</definedName>
    <definedName name="siy_kullanimGelir">MOTOR!$G$33</definedName>
    <definedName name="siy_capexOpex">MOTOR!$G$31</definedName>
    <definedName name="siy_senaryoKarsilastirma">SENARYO!$B$11</definedName>
    <definedName name="siy_yorumSenaryo">SENARYO!$B$12</definedName>
    <definedName name="siy_duyarlilikSira">SENARYO!$B$21</definedName>
    <definedName name="siy_yorumDuyarlilik">SENARYO!$B$22</definedName>
    <definedName name="siy_kuralDegisimSenaryo">SENARYO!$B$24</definedName>
    <definedName name="siy_yorumKuralDegisim">SENARYO!$B$25</definedName>
    <definedName name="siy_tahminAralik">SENARYO!$B$34</definedName>
    <definedName name="siy_yorumTahmin">SENARYO!$B$35</definedName>
    <definedName name="siy_vakaDurum">VAKALAR!$B$12</definedName>
    <definedName name="siy_vakaFark">VAKALAR!$B$13</definedName>
    <definedName name="siy_tolerans">AYARLAR!$B$8</definedName>
    <definedName name="siy_azamiEsik">AYARLAR!$B$9</definedName>
    <definedName name="siy_senaryoIyi">AYARLAR!$B$10</definedName>
    <definedName name="siy_senaryoKotu">AYARLAR!$B$11</definedName>
    <definedName name="siy_esikArtis">AYARLAR!$B$12</definedName>
    <definedName name="siy_tahminAlt">AYARLAR!$B$13</definedName>
    <definedName name="siy_tahminUst">AYARLAR!$B$14</definedName>
    <definedName name="siy_tornadoKullanim">AYARLAR!$B$15</definedName>
    <definedName name="siy_tornadoPerakende">AYARLAR!$B$16</definedName>
    <definedName name="siy_tornadoToptan">AYARLAR!$B$17</definedName>
    <definedName name="siy_tornadoCapex">AYARLAR!$B$18</definedName>
    <definedName name="siy_yuzdelikOran">AYARLAR!$B$19</definedName>
    <definedName name="siy_girisBeklenen">AYARLAR!$B$22</definedName>
    <definedName name="siy_riskDusuk">AYARLAR!$B$23</definedName>
    <definedName name="siy_riskOrta">AYARLAR!$B$24</definedName>
    <definedName name="siy_riskYuksek">AYARLAR!$B$25</definedName>
    <definedName name="siy_yilTaban">AYARLAR!$B$26</definedName>
    <definedName name="siy_yuvarMax">AYARLAR!$B$27</definedName>
    <definedName name="siy_bazCarpan">AYARLAR!$B$28</definedName>
    <definedName name="siy_sifirCarpan">AYARLAR!$B$29</definedName>
    <definedName name="siy_siraBir">AYARLAR!$B$30</definedName>
    <definedName name="siy_siraIki">AYARLAR!$B$31</definedName>
    <definedName name="siy_siraUc">AYARLAR!$B$32</definedName>
    <definedName name="siy_dikkatCarpan">AYARLAR!$B$33</definedName>
    <definedName name="siy_npvDikkat">AYARLAR!$B$34</definedName>
    <definedName name="siy_tornadoWacc">AYARLAR!$B$35</definedName>
    <definedName name="vaka_soket">AYARLAR!$B$36</definedName>
    <definedName name="vaka_capexBirim">AYARLAR!$B$37</definedName>
    <definedName name="vaka_tesvik">AYARLAR!$B$38</definedName>
    <definedName name="vaka_seans">AYARLAR!$B$39</definedName>
    <definedName name="vaka_kwh">AYARLAR!$B$40</definedName>
    <definedName name="vaka_kullanim">AYARLAR!$B$41</definedName>
    <definedName name="vaka_perakende">AYARLAR!$B$42</definedName>
    <definedName name="vaka_toptan">AYARLAR!$B$43</definedName>
    <definedName name="vaka_ag">AYARLAR!$B$44</definedName>
    <definedName name="siy_modulT1">PANO!$C$11</definedName>
    <definedName name="siy_modulT1Yorum">PANO!$D$11</definedName>
    <definedName name="siy_modulT2">PANO!$C$12</definedName>
    <definedName name="siy_modulT2Yorum">PANO!$D$12</definedName>
    <definedName name="siy_modulO1">PANO!$C$13</definedName>
    <definedName name="siy_modulO1Yorum">PANO!$D$13</definedName>
    <definedName name="siy_modulO6">PANO!$C$16</definedName>
    <definedName name="siy_modulO6Yorum">PANO!$D$16</definedName>
    <definedName name="siy_modulO8">PANO!$C$17</definedName>
    <definedName name="siy_modulO8Yorum">PANO!$D$17</definedName>
    <definedName name="siy_modulI2">PANO!$C$20</definedName>
    <definedName name="siy_modulI2Yorum">PANO!$D$20</definedName>
    <definedName name="ListeYillar">LISTELER!$A$6:$A$8</definedName>
    <definedName name="ListeSoketTip">LISTELER!$C$6:$C$7</definedName>
    <definedName name="ListeEvetHayir">LISTELER!$E$6:$E$7</definedName>
    <definedName name="_xlnm.Print_Area" localSheetId="11">'KARAR'!$A$1:$F$28</definedName>
    <definedName name="_xlnm.Print_Area" localSheetId="13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7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color rgb="00006100"/>
      <sz val="10"/>
    </font>
    <font>
      <name val="Segoe UI"/>
      <b val="1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4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1" fillId="6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1" fillId="6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1" fillId="6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11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7" fontId="37" fillId="0" borderId="0" pivotButton="0" quotePrefix="0" xfId="0"/>
    <xf numFmtId="167" fontId="38" fillId="0" borderId="0" pivotButton="0" quotePrefix="0" xfId="0"/>
    <xf numFmtId="168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45" fillId="0" borderId="0" pivotButton="0" quotePrefix="0" xfId="0"/>
    <xf numFmtId="0" fontId="46" fillId="0" borderId="2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3" pivotButton="0" quotePrefix="0" xfId="0"/>
    <xf numFmtId="0" fontId="0" fillId="0" borderId="2" pivotButton="0" quotePrefix="0" xfId="0"/>
    <xf numFmtId="0" fontId="47" fillId="11" borderId="2" applyAlignment="1" pivotButton="0" quotePrefix="0" xfId="0">
      <alignment horizontal="center"/>
    </xf>
    <xf numFmtId="0" fontId="33" fillId="0" borderId="4" pivotButton="0" quotePrefix="0" xfId="0"/>
    <xf numFmtId="0" fontId="49" fillId="12" borderId="2" applyAlignment="1" pivotButton="0" quotePrefix="0" xfId="0">
      <alignment horizontal="center"/>
    </xf>
    <xf numFmtId="0" fontId="48" fillId="13" borderId="2" applyAlignment="1" pivotButton="0" quotePrefix="0" xfId="0">
      <alignment horizontal="center"/>
    </xf>
    <xf numFmtId="0" fontId="3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9" fillId="0" borderId="3" pivotButton="0" quotePrefix="0" xfId="0"/>
    <xf numFmtId="0" fontId="50" fillId="0" borderId="4" pivotButton="0" quotePrefix="0" xfId="0"/>
    <xf numFmtId="0" fontId="51" fillId="0" borderId="5" pivotButton="0" quotePrefix="0" xfId="0"/>
    <xf numFmtId="0" fontId="48" fillId="0" borderId="3" pivotButton="0" quotePrefix="0" xfId="0"/>
    <xf numFmtId="0" fontId="43" fillId="0" borderId="4" pivotButton="0" quotePrefix="0" xfId="0"/>
    <xf numFmtId="0" fontId="48" fillId="0" borderId="5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2" pivotButton="0" quotePrefix="0" xfId="0"/>
    <xf numFmtId="0" fontId="54" fillId="0" borderId="2" pivotButton="0" quotePrefix="0" xfId="0"/>
    <xf numFmtId="0" fontId="55" fillId="0" borderId="2" pivotButton="0" quotePrefix="0" xfId="0"/>
    <xf numFmtId="0" fontId="56" fillId="16" borderId="2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6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2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2" applyAlignment="1" pivotButton="0" quotePrefix="0" xfId="0">
      <alignment horizontal="center"/>
    </xf>
    <xf numFmtId="0" fontId="66" fillId="19" borderId="2" applyAlignment="1" pivotButton="0" quotePrefix="0" xfId="0">
      <alignment horizontal="center"/>
    </xf>
    <xf numFmtId="0" fontId="65" fillId="19" borderId="2" pivotButton="0" quotePrefix="0" xfId="0"/>
    <xf numFmtId="169" fontId="66" fillId="19" borderId="2" applyAlignment="1" pivotButton="0" quotePrefix="0" xfId="0">
      <alignment horizontal="right"/>
    </xf>
    <xf numFmtId="9" fontId="65" fillId="19" borderId="2" applyAlignment="1" pivotButton="0" quotePrefix="0" xfId="0">
      <alignment horizontal="center"/>
    </xf>
    <xf numFmtId="169" fontId="65" fillId="19" borderId="2" applyAlignment="1" pivotButton="0" quotePrefix="0" xfId="0">
      <alignment horizontal="right"/>
    </xf>
    <xf numFmtId="0" fontId="48" fillId="19" borderId="2" applyAlignment="1" pivotButton="0" quotePrefix="0" xfId="0">
      <alignment horizontal="center"/>
    </xf>
    <xf numFmtId="0" fontId="65" fillId="18" borderId="2" applyAlignment="1" pivotButton="0" quotePrefix="0" xfId="0">
      <alignment horizontal="center"/>
    </xf>
    <xf numFmtId="0" fontId="66" fillId="18" borderId="2" applyAlignment="1" pivotButton="0" quotePrefix="0" xfId="0">
      <alignment horizontal="center"/>
    </xf>
    <xf numFmtId="0" fontId="65" fillId="18" borderId="2" pivotButton="0" quotePrefix="0" xfId="0"/>
    <xf numFmtId="169" fontId="66" fillId="18" borderId="2" applyAlignment="1" pivotButton="0" quotePrefix="0" xfId="0">
      <alignment horizontal="right"/>
    </xf>
    <xf numFmtId="9" fontId="65" fillId="18" borderId="2" applyAlignment="1" pivotButton="0" quotePrefix="0" xfId="0">
      <alignment horizontal="center"/>
    </xf>
    <xf numFmtId="169" fontId="65" fillId="18" borderId="2" applyAlignment="1" pivotButton="0" quotePrefix="0" xfId="0">
      <alignment horizontal="right"/>
    </xf>
    <xf numFmtId="0" fontId="53" fillId="18" borderId="2" applyAlignment="1" pivotButton="0" quotePrefix="0" xfId="0">
      <alignment horizontal="center"/>
    </xf>
    <xf numFmtId="0" fontId="48" fillId="18" borderId="2" applyAlignment="1" pivotButton="0" quotePrefix="0" xfId="0">
      <alignment horizontal="center"/>
    </xf>
    <xf numFmtId="0" fontId="49" fillId="18" borderId="2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69" fontId="67" fillId="7" borderId="0" applyAlignment="1" pivotButton="0" quotePrefix="0" xfId="0">
      <alignment horizontal="right" vertical="center"/>
    </xf>
    <xf numFmtId="0" fontId="68" fillId="0" borderId="7" pivotButton="0" quotePrefix="0" xfId="0"/>
    <xf numFmtId="0" fontId="69" fillId="0" borderId="7" pivotButton="0" quotePrefix="0" xfId="0"/>
    <xf numFmtId="0" fontId="70" fillId="0" borderId="7" pivotButton="0" quotePrefix="0" xfId="0"/>
    <xf numFmtId="0" fontId="71" fillId="20" borderId="2" applyAlignment="1" pivotButton="0" quotePrefix="0" xfId="0">
      <alignment horizontal="center" vertical="center"/>
    </xf>
    <xf numFmtId="0" fontId="75" fillId="11" borderId="2" applyAlignment="1" pivotButton="0" quotePrefix="0" xfId="0">
      <alignment horizontal="center" vertical="center"/>
    </xf>
    <xf numFmtId="0" fontId="72" fillId="0" borderId="2" pivotButton="0" quotePrefix="0" xfId="0"/>
    <xf numFmtId="0" fontId="71" fillId="0" borderId="2" applyAlignment="1" pivotButton="0" quotePrefix="0" xfId="0">
      <alignment horizontal="right"/>
    </xf>
    <xf numFmtId="0" fontId="75" fillId="0" borderId="2" applyAlignment="1" pivotButton="0" quotePrefix="0" xfId="0">
      <alignment horizontal="right"/>
    </xf>
    <xf numFmtId="0" fontId="46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74" fillId="12" borderId="8" applyAlignment="1" pivotButton="0" quotePrefix="0" xfId="0">
      <alignment horizontal="center" vertical="center"/>
    </xf>
    <xf numFmtId="0" fontId="76" fillId="11" borderId="9" applyAlignment="1" pivotButton="0" quotePrefix="0" xfId="0">
      <alignment horizontal="center" vertical="center"/>
    </xf>
    <xf numFmtId="0" fontId="72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'SENARYO'!$A$16:$A$20</f>
            </numRef>
          </cat>
          <val>
            <numRef>
              <f>'SENARYO'!$E$16:$E$20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'SENARYO'!$A$30:$A$33</f>
            </numRef>
          </cat>
          <val>
            <numRef>
              <f>'SENARYO'!$D$30:$D$33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Şarj istasyonu NPV/IRR kararını etkiler | Doğru kullanım: Unvan veya proje kodu. | Örnek: demo satırına bakın | Yanlışsa: CAPEX/OPEX ve karar bozulur | Kaynak: tarife / teşvik / kullanım</t>
      </text>
    </comment>
    <comment ref="B7" authorId="0" shapeId="0">
      <text>
        <t>Tanım: Dönem | Neden önemli: Şarj istasyonu NPV/IRR kararını etkiler | Doğru kullanım: Rapor dönemi. | Örnek: demo satırına bakın | Yanlışsa: CAPEX/OPEX ve karar bozulur | Kaynak: tarife / teşvik / kullanım</t>
      </text>
    </comment>
    <comment ref="B8" authorId="0" shapeId="0">
      <text>
        <t>Tanım: Hesap Yılı | Neden önemli: Şarj istasyonu NPV/IRR kararını etkiler | Doğru kullanım: 2025, 2026 veya 2027. | Örnek: demo satırına bakın | Yanlışsa: CAPEX/OPEX ve karar bozulur | Kaynak: tarife / teşvik / kullanım</t>
      </text>
    </comment>
    <comment ref="B9" authorId="0" shapeId="0">
      <text>
        <t>Tanım: Soket adedi | Neden önemli: Şarj istasyonu NPV/IRR kararını etkiler | Doğru kullanım: DC hızlı şarj soket sayısı. | Örnek: demo satırına bakın | Yanlışsa: CAPEX/OPEX ve karar bozulur | Kaynak: tarife / teşvik / kullanım</t>
      </text>
    </comment>
    <comment ref="B10" authorId="0" shapeId="0">
      <text>
        <t>Tanım: Güç [kW] | Neden önemli: Şarj istasyonu NPV/IRR kararını etkiler | Doğru kullanım: Soket başına güç. | Örnek: demo satırına bakın | Yanlışsa: CAPEX/OPEX ve karar bozulur | Kaynak: tarife / teşvik / kullanım</t>
      </text>
    </comment>
    <comment ref="B11" authorId="0" shapeId="0">
      <text>
        <t>Tanım: Günlük seans | Neden önemli: Şarj istasyonu NPV/IRR kararını etkiler | Doğru kullanım: Ortalama günlük seans. | Örnek: demo satırına bakın | Yanlışsa: CAPEX/OPEX ve karar bozulur | Kaynak: tarife / teşvik / kullanım</t>
      </text>
    </comment>
    <comment ref="B12" authorId="0" shapeId="0">
      <text>
        <t>Tanım: Seans kWh | Neden önemli: Şarj istasyonu NPV/IRR kararını etkiler | Doğru kullanım: Seans başına enerji. | Örnek: demo satırına bakın | Yanlışsa: CAPEX/OPEX ve karar bozulur | Kaynak: tarife / teşvik / kullanım</t>
      </text>
    </comment>
    <comment ref="B13" authorId="0" shapeId="0">
      <text>
        <t>Tanım: Kullanım oranı | Neden önemli: Şarj istasyonu NPV/IRR kararını etkiler | Doğru kullanım: Doluluk / kullanım çarpanı. | Örnek: demo satırına bakın | Yanlışsa: CAPEX/OPEX ve karar bozulur | Kaynak: tarife / teşvik / kullanım</t>
      </text>
    </comment>
    <comment ref="B14" authorId="0" shapeId="0">
      <text>
        <t>Tanım: Perakende [₺/kWh] | Neden önemli: Şarj istasyonu NPV/IRR kararını etkiler | Doğru kullanım: EV kullanıcı tarifesi. | Örnek: demo satırına bakın | Yanlışsa: CAPEX/OPEX ve karar bozulur | Kaynak: tarife / teşvik / kullanım</t>
      </text>
    </comment>
    <comment ref="B15" authorId="0" shapeId="0">
      <text>
        <t>Tanım: Toptan [₺/kWh] | Neden önemli: Şarj istasyonu NPV/IRR kararını etkiler | Doğru kullanım: Toptan elektrik maliyeti. | Örnek: demo satırına bakın | Yanlışsa: CAPEX/OPEX ve karar bozulur | Kaynak: tarife / teşvik / kullanım</t>
      </text>
    </comment>
    <comment ref="B16" authorId="0" shapeId="0">
      <text>
        <t>Tanım: Ağ ücreti [₺/kWh] | Neden önemli: Şarj istasyonu NPV/IRR kararını etkiler | Doğru kullanım: Ağ kullanım ücreti. | Örnek: demo satırına bakın | Yanlışsa: CAPEX/OPEX ve karar bozulur | Kaynak: tarife / teşvik / kullanım</t>
      </text>
    </comment>
    <comment ref="B17" authorId="0" shapeId="0">
      <text>
        <t>Tanım: CAPEX birim [₺] | Neden önemli: Şarj istasyonu NPV/IRR kararını etkiler | Doğru kullanım: Soket başına yatırım. | Örnek: demo satırına bakın | Yanlışsa: CAPEX/OPEX ve karar bozulur | Kaynak: tarife / teşvik / kullanım</t>
      </text>
    </comment>
    <comment ref="B18" authorId="0" shapeId="0">
      <text>
        <t>Tanım: Teşvik oranı | Neden önemli: Şarj istasyonu NPV/IRR kararını etkiler | Doğru kullanım: CAPEX teşvik oranı. | Örnek: demo satırına bakın | Yanlışsa: CAPEX/OPEX ve karar bozulur | Kaynak: tarife / teşvik / kullanım</t>
      </text>
    </comment>
    <comment ref="B19" authorId="0" shapeId="0">
      <text>
        <t>Tanım: OPEX bakım [₺/yıl] | Neden önemli: Şarj istasyonu NPV/IRR kararını etkiler | Doğru kullanım: Yıllık bakım. | Örnek: demo satırına bakın | Yanlışsa: CAPEX/OPEX ve karar bozulur | Kaynak: tarife / teşvik / kullanım</t>
      </text>
    </comment>
    <comment ref="B20" authorId="0" shapeId="0">
      <text>
        <t>Tanım: OPEX kira [₺/yıl] | Neden önemli: Şarj istasyonu NPV/IRR kararını etkiler | Doğru kullanım: Yıllık kira. | Örnek: demo satırına bakın | Yanlışsa: CAPEX/OPEX ve karar bozulur | Kaynak: tarife / teşvik / kullanım</t>
      </text>
    </comment>
    <comment ref="B21" authorId="0" shapeId="0">
      <text>
        <t>Tanım: WACC [%] | Neden önemli: Şarj istasyonu NPV/IRR kararını etkiler | Doğru kullanım: İskonto oranı. | Örnek: demo satırına bakın | Yanlışsa: CAPEX/OPEX ve karar bozulur | Kaynak: tarife / teşvik / kullanım</t>
      </text>
    </comment>
    <comment ref="B22" authorId="0" shapeId="0">
      <text>
        <t>Tanım: NPV dönem [yıl] | Neden önemli: Şarj istasyonu NPV/IRR kararını etkiler | Doğru kullanım: Nakit akışı yılı. | Örnek: demo satırına bakın | Yanlışsa: CAPEX/OPEX ve karar bozulur | Kaynak: tarife / teşvik / kullanım</t>
      </text>
    </comment>
    <comment ref="B23" authorId="0" shapeId="0">
      <text>
        <t>Tanım: Kredi faiz [%] | Neden önemli: Şarj istasyonu NPV/IRR kararını etkiler | Doğru kullanım: Kredi senaryosu faiz. | Örnek: demo satırına bakın | Yanlışsa: CAPEX/OPEX ve karar bozulur | Kaynak: tarife / teşvik / kullanım</t>
      </text>
    </comment>
    <comment ref="B24" authorId="0" shapeId="0">
      <text>
        <t>Tanım: Öz kaynak oranı | Neden önemli: Şarj istasyonu NPV/IRR kararını etkiler | Doğru kullanım: Öz kaynak payı. | Örnek: demo satırına bakın | Yanlışsa: CAPEX/OPEX ve karar bozulur | Kaynak: tarife / teşvik / kullanım</t>
      </text>
    </comment>
    <comment ref="A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G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H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F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G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H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F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G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H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F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G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H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F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G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H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Şarj istasyonu NPV/IRR kararını etkiler | Doğru kullanım: Ad soyad imza alanı | Örnek: demo satırına bakın | Yanlışsa: CAPEX/OPEX ve karar bozulur | Kaynak: tarife / teşvik / kullanım</t>
      </text>
    </comment>
    <comment ref="B31" authorId="0" shapeId="0">
      <text>
        <t>Tanım: Onaylayan | Neden önemli: Şarj istasyonu NPV/IRR kararını etkiler | Doğru kullanım: CFO / müdür imza alanı | Örnek: demo satırına bakın | Yanlışsa: CAPEX/OPEX ve karar bozulur | Kaynak: tarife / teşvik / kullanım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sirket_adi | Neden önemli: Şarj istasyonu NPV/IRR kararını etkiler | Doğru kullanım: Proje sahibi | Örnek: demo satırına bakın | Yanlışsa: CAPEX/OPEX ve karar bozulur | Kaynak: tarife / teşvik / kullanım</t>
      </text>
    </comment>
    <comment ref="E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7" authorId="0" shapeId="0">
      <text>
        <t>Tanım: donem | Neden önemli: Şarj istasyonu NPV/IRR kararını etkiler | Doğru kullanım: Rapor dönemi | Örnek: demo satırına bakın | Yanlışsa: CAPEX/OPEX ve karar bozulur | Kaynak: tarife / teşvik / kullanım</t>
      </text>
    </comment>
    <comment ref="E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8" authorId="0" shapeId="0">
      <text>
        <t>Tanım: hesapYili | Neden önemli: Şarj istasyonu NPV/IRR kararını etkiler | Doğru kullanım: Aktif yıl | Örnek: demo satırına bakın | Yanlışsa: CAPEX/OPEX ve karar bozulur | Kaynak: tarife / teşvik / kullanım</t>
      </text>
    </comment>
    <comment ref="E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9" authorId="0" shapeId="0">
      <text>
        <t>Tanım: soket_adet | Neden önemli: Şarj istasyonu NPV/IRR kararını etkiler | Doğru kullanım: DC soket | Örnek: demo satırına bakın | Yanlışsa: CAPEX/OPEX ve karar bozulur | Kaynak: tarife / teşvik / kullanım</t>
      </text>
    </comment>
    <comment ref="E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0" authorId="0" shapeId="0">
      <text>
        <t>Tanım: guc_kw | Neden önemli: Şarj istasyonu NPV/IRR kararını etkiler | Doğru kullanım: Soket gücü | Örnek: demo satırına bakın | Yanlışsa: CAPEX/OPEX ve karar bozulur | Kaynak: tarife / teşvik / kullanım</t>
      </text>
    </comment>
    <comment ref="E1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1" authorId="0" shapeId="0">
      <text>
        <t>Tanım: gunluk_seans | Neden önemli: Şarj istasyonu NPV/IRR kararını etkiler | Doğru kullanım: Günlük seans | Örnek: demo satırına bakın | Yanlışsa: CAPEX/OPEX ve karar bozulur | Kaynak: tarife / teşvik / kullanım</t>
      </text>
    </comment>
    <comment ref="E1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2" authorId="0" shapeId="0">
      <text>
        <t>Tanım: kwh_seans | Neden önemli: Şarj istasyonu NPV/IRR kararını etkiler | Doğru kullanım: Seans enerjisi | Örnek: demo satırına bakın | Yanlışsa: CAPEX/OPEX ve karar bozulur | Kaynak: tarife / teşvik / kullanım</t>
      </text>
    </comment>
    <comment ref="E1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3" authorId="0" shapeId="0">
      <text>
        <t>Tanım: kullanim_oran | Neden önemli: Şarj istasyonu NPV/IRR kararını etkiler | Doğru kullanım: Kullanım | Örnek: demo satırına bakın | Yanlışsa: CAPEX/OPEX ve karar bozulur | Kaynak: tarife / teşvik / kullanım</t>
      </text>
    </comment>
    <comment ref="E1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4" authorId="0" shapeId="0">
      <text>
        <t>Tanım: perakende_tl_kwh | Neden önemli: Şarj istasyonu NPV/IRR kararını etkiler | Doğru kullanım: Perakende | Örnek: demo satırına bakın | Yanlışsa: CAPEX/OPEX ve karar bozulur | Kaynak: tarife / teşvik / kullanım</t>
      </text>
    </comment>
    <comment ref="E1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5" authorId="0" shapeId="0">
      <text>
        <t>Tanım: toptan_tl_kwh | Neden önemli: Şarj istasyonu NPV/IRR kararını etkiler | Doğru kullanım: Toptan | Örnek: demo satırına bakın | Yanlışsa: CAPEX/OPEX ve karar bozulur | Kaynak: tarife / teşvik / kullanım</t>
      </text>
    </comment>
    <comment ref="E15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6" authorId="0" shapeId="0">
      <text>
        <t>Tanım: ag_ucreti_tl_kwh | Neden önemli: Şarj istasyonu NPV/IRR kararını etkiler | Doğru kullanım: Ağ | Örnek: demo satırına bakın | Yanlışsa: CAPEX/OPEX ve karar bozulur | Kaynak: tarife / teşvik / kullanım</t>
      </text>
    </comment>
    <comment ref="E1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7" authorId="0" shapeId="0">
      <text>
        <t>Tanım: capex_birim | Neden önemli: Şarj istasyonu NPV/IRR kararını etkiler | Doğru kullanım: CAPEX birim | Örnek: demo satırına bakın | Yanlışsa: CAPEX/OPEX ve karar bozulur | Kaynak: tarife / teşvik / kullanım</t>
      </text>
    </comment>
    <comment ref="E1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8" authorId="0" shapeId="0">
      <text>
        <t>Tanım: tesvik_oran | Neden önemli: Şarj istasyonu NPV/IRR kararını etkiler | Doğru kullanım: Teşvik | Örnek: demo satırına bakın | Yanlışsa: CAPEX/OPEX ve karar bozulur | Kaynak: tarife / teşvik / kullanım</t>
      </text>
    </comment>
    <comment ref="E1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9" authorId="0" shapeId="0">
      <text>
        <t>Tanım: opex_bakim | Neden önemli: Şarj istasyonu NPV/IRR kararını etkiler | Doğru kullanım: Bakım | Örnek: demo satırına bakın | Yanlışsa: CAPEX/OPEX ve karar bozulur | Kaynak: tarife / teşvik / kullanım</t>
      </text>
    </comment>
    <comment ref="E1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0" authorId="0" shapeId="0">
      <text>
        <t>Tanım: opex_kira | Neden önemli: Şarj istasyonu NPV/IRR kararını etkiler | Doğru kullanım: Kira | Örnek: demo satırına bakın | Yanlışsa: CAPEX/OPEX ve karar bozulur | Kaynak: tarife / teşvik / kullanım</t>
      </text>
    </comment>
    <comment ref="E2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1" authorId="0" shapeId="0">
      <text>
        <t>Tanım: wacc | Neden önemli: Şarj istasyonu NPV/IRR kararını etkiler | Doğru kullanım: WACC | Örnek: demo satırına bakın | Yanlışsa: CAPEX/OPEX ve karar bozulur | Kaynak: tarife / teşvik / kullanım</t>
      </text>
    </comment>
    <comment ref="E2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2" authorId="0" shapeId="0">
      <text>
        <t>Tanım: npv_donem | Neden önemli: Şarj istasyonu NPV/IRR kararını etkiler | Doğru kullanım: NPV yıl | Örnek: demo satırına bakın | Yanlışsa: CAPEX/OPEX ve karar bozulur | Kaynak: tarife / teşvik / kullanım</t>
      </text>
    </comment>
    <comment ref="E2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3" authorId="0" shapeId="0">
      <text>
        <t>Tanım: kredi_orani | Neden önemli: Şarj istasyonu NPV/IRR kararını etkiler | Doğru kullanım: Kredi | Örnek: demo satırına bakın | Yanlışsa: CAPEX/OPEX ve karar bozulur | Kaynak: tarife / teşvik / kullanım</t>
      </text>
    </comment>
    <comment ref="E2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4" authorId="0" shapeId="0">
      <text>
        <t>Tanım: oz_kaynak_oran | Neden önemli: Şarj istasyonu NPV/IRR kararını etkiler | Doğru kullanım: Öz kaynak | Örnek: demo satırına bakın | Yanlışsa: CAPEX/OPEX ve karar bozulur | Kaynak: tarife / teşvik / kullanım</t>
      </text>
    </comment>
    <comment ref="E2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Şarj istasyonu NPV/IRR kararını etkiler | Doğru kullanım: Aktif hesap yılı | Örnek: demo satırına bakın | Yanlışsa: CAPEX/OPEX ve karar bozulur | Kaynak: tarife / teşvik / kullanım</t>
      </text>
    </comment>
    <comment ref="B7" authorId="0" shapeId="0">
      <text>
        <t>Tanım: raporTarihi | Neden önemli: Şarj istasyonu NPV/IRR kararını etkiler | Doğru kullanım: Rapor tarihi | Örnek: demo satırına bakın | Yanlışsa: CAPEX/OPEX ve karar bozulur | Kaynak: tarife / teşvik / kullanım</t>
      </text>
    </comment>
    <comment ref="B8" authorId="0" shapeId="0">
      <text>
        <t>Tanım: siy_tolerans | Neden önemli: Şarj istasyonu NPV/IRR kararını etkiler | Doğru kullanım: Vaka tutarlılık toleransı | Örnek: demo satırına bakın | Yanlışsa: CAPEX/OPEX ve karar bozulur | Kaynak: tarife / teşvik / kullanım</t>
      </text>
    </comment>
    <comment ref="B9" authorId="0" shapeId="0">
      <text>
        <t>Tanım: siy_azamiEsik | Neden önemli: Şarj istasyonu NPV/IRR kararını etkiler | Doğru kullanım: Azami giriş eşiği | Örnek: demo satırına bakın | Yanlışsa: CAPEX/OPEX ve karar bozulur | Kaynak: tarife / teşvik / kullanım</t>
      </text>
    </comment>
    <comment ref="B10" authorId="0" shapeId="0">
      <text>
        <t>Tanım: siy_senaryoIyi | Neden önemli: Şarj istasyonu NPV/IRR kararını etkiler | Doğru kullanım: İyimser kullanım çarpanı | Örnek: demo satırına bakın | Yanlışsa: CAPEX/OPEX ve karar bozulur | Kaynak: tarife / teşvik / kullanım</t>
      </text>
    </comment>
    <comment ref="B11" authorId="0" shapeId="0">
      <text>
        <t>Tanım: siy_senaryoKotu | Neden önemli: Şarj istasyonu NPV/IRR kararını etkiler | Doğru kullanım: Kötümser kullanım çarpanı | Örnek: demo satırına bakın | Yanlışsa: CAPEX/OPEX ve karar bozulur | Kaynak: tarife / teşvik / kullanım</t>
      </text>
    </comment>
    <comment ref="B12" authorId="0" shapeId="0">
      <text>
        <t>Tanım: siy_esikArtis | Neden önemli: Şarj istasyonu NPV/IRR kararını etkiler | Doğru kullanım: M-SEN teşvik − delta | Örnek: demo satırına bakın | Yanlışsa: CAPEX/OPEX ve karar bozulur | Kaynak: tarife / teşvik / kullanım</t>
      </text>
    </comment>
    <comment ref="B13" authorId="0" shapeId="0">
      <text>
        <t>Tanım: siy_tahminAlt | Neden önemli: Şarj istasyonu NPV/IRR kararını etkiler | Doğru kullanım: Tahmin alt bant | Örnek: demo satırına bakın | Yanlışsa: CAPEX/OPEX ve karar bozulur | Kaynak: tarife / teşvik / kullanım</t>
      </text>
    </comment>
    <comment ref="B14" authorId="0" shapeId="0">
      <text>
        <t>Tanım: siy_tahminUst | Neden önemli: Şarj istasyonu NPV/IRR kararını etkiler | Doğru kullanım: Tahmin üst bant | Örnek: demo satırına bakın | Yanlışsa: CAPEX/OPEX ve karar bozulur | Kaynak: tarife / teşvik / kullanım</t>
      </text>
    </comment>
    <comment ref="B15" authorId="0" shapeId="0">
      <text>
        <t>Tanım: siy_tornadoKullanim | Neden önemli: Şarj istasyonu NPV/IRR kararını etkiler | Doğru kullanım: Tornado kullanım şoku | Örnek: demo satırına bakın | Yanlışsa: CAPEX/OPEX ve karar bozulur | Kaynak: tarife / teşvik / kullanım</t>
      </text>
    </comment>
    <comment ref="B16" authorId="0" shapeId="0">
      <text>
        <t>Tanım: siy_tornadoPerakende | Neden önemli: Şarj istasyonu NPV/IRR kararını etkiler | Doğru kullanım: Tornado perakende şoku | Örnek: demo satırına bakın | Yanlışsa: CAPEX/OPEX ve karar bozulur | Kaynak: tarife / teşvik / kullanım</t>
      </text>
    </comment>
    <comment ref="B17" authorId="0" shapeId="0">
      <text>
        <t>Tanım: siy_tornadoToptan | Neden önemli: Şarj istasyonu NPV/IRR kararını etkiler | Doğru kullanım: Tornado toptan şoku | Örnek: demo satırına bakın | Yanlışsa: CAPEX/OPEX ve karar bozulur | Kaynak: tarife / teşvik / kullanım</t>
      </text>
    </comment>
    <comment ref="B18" authorId="0" shapeId="0">
      <text>
        <t>Tanım: siy_tornadoCapex | Neden önemli: Şarj istasyonu NPV/IRR kararını etkiler | Doğru kullanım: Tornado CAPEX şoku | Örnek: demo satırına bakın | Yanlışsa: CAPEX/OPEX ve karar bozulur | Kaynak: tarife / teşvik / kullanım</t>
      </text>
    </comment>
    <comment ref="B19" authorId="0" shapeId="0">
      <text>
        <t>Tanım: siy_yuzdelikOran | Neden önemli: Şarj istasyonu NPV/IRR kararını etkiler | Doğru kullanım: Yüzdelik P90 | Örnek: demo satırına bakın | Yanlışsa: CAPEX/OPEX ve karar bozulur | Kaynak: tarife / teşvik / kullanım</t>
      </text>
    </comment>
    <comment ref="B20" authorId="0" shapeId="0">
      <text>
        <t>Tanım: siy_parmakIzi | Neden önemli: Şarj istasyonu NPV/IRR kararını etkiler | Doğru kullanım: Dosya parmak izi | Örnek: demo satırına bakın | Yanlışsa: CAPEX/OPEX ve karar bozulur | Kaynak: tarife / teşvik / kullanım</t>
      </text>
    </comment>
    <comment ref="B21" authorId="0" shapeId="0">
      <text>
        <t>Tanım: dosya_surumu | Neden önemli: Şarj istasyonu NPV/IRR kararını etkiler | Doğru kullanım: Ürün sürümü | Örnek: demo satırına bakın | Yanlışsa: CAPEX/OPEX ve karar bozulur | Kaynak: tarife / teşvik / kullanım</t>
      </text>
    </comment>
    <comment ref="B22" authorId="0" shapeId="0">
      <text>
        <t>Tanım: siy_girisBeklenen | Neden önemli: Şarj istasyonu NPV/IRR kararını etkiler | Doğru kullanım: Zorunlu giriş sayısı | Örnek: demo satırına bakın | Yanlışsa: CAPEX/OPEX ve karar bozulur | Kaynak: tarife / teşvik / kullanım</t>
      </text>
    </comment>
    <comment ref="B23" authorId="0" shapeId="0">
      <text>
        <t>Tanım: siy_riskDusuk | Neden önemli: Şarj istasyonu NPV/IRR kararını etkiler | Doğru kullanım: YAPILIR risk skoru | Örnek: demo satırına bakın | Yanlışsa: CAPEX/OPEX ve karar bozulur | Kaynak: tarife / teşvik / kullanım</t>
      </text>
    </comment>
    <comment ref="B24" authorId="0" shapeId="0">
      <text>
        <t>Tanım: siy_riskOrta | Neden önemli: Şarj istasyonu NPV/IRR kararını etkiler | Doğru kullanım: DİKKAT risk skoru | Örnek: demo satırına bakın | Yanlışsa: CAPEX/OPEX ve karar bozulur | Kaynak: tarife / teşvik / kullanım</t>
      </text>
    </comment>
    <comment ref="B25" authorId="0" shapeId="0">
      <text>
        <t>Tanım: siy_riskYuksek | Neden önemli: Şarj istasyonu NPV/IRR kararını etkiler | Doğru kullanım: YAPMA risk skoru | Örnek: demo satırına bakın | Yanlışsa: CAPEX/OPEX ve karar bozulur | Kaynak: tarife / teşvik / kullanım</t>
      </text>
    </comment>
    <comment ref="B26" authorId="0" shapeId="0">
      <text>
        <t>Tanım: siy_yilTaban | Neden önemli: Şarj istasyonu NPV/IRR kararını etkiler | Doğru kullanım: CHOOSE yıl tabanı | Örnek: demo satırına bakın | Yanlışsa: CAPEX/OPEX ve karar bozulur | Kaynak: tarife / teşvik / kullanım</t>
      </text>
    </comment>
    <comment ref="B27" authorId="0" shapeId="0">
      <text>
        <t>Tanım: siy_yuvarMax | Neden önemli: Şarj istasyonu NPV/IRR kararını etkiler | Doğru kullanım: ROUND basamak tavanı | Örnek: demo satırına bakın | Yanlışsa: CAPEX/OPEX ve karar bozulur | Kaynak: tarife / teşvik / kullanım</t>
      </text>
    </comment>
    <comment ref="B28" authorId="0" shapeId="0">
      <text>
        <t>Tanım: siy_bazCarpan | Neden önemli: Şarj istasyonu NPV/IRR kararını etkiler | Doğru kullanım: Baz senaryo çarpanı | Örnek: demo satırına bakın | Yanlışsa: CAPEX/OPEX ve karar bozulur | Kaynak: tarife / teşvik / kullanım</t>
      </text>
    </comment>
    <comment ref="B29" authorId="0" shapeId="0">
      <text>
        <t>Tanım: siy_sifirCarpan | Neden önemli: Şarj istasyonu NPV/IRR kararını etkiler | Doğru kullanım: Nötr çarpan | Örnek: demo satırına bakın | Yanlışsa: CAPEX/OPEX ve karar bozulur | Kaynak: tarife / teşvik / kullanım</t>
      </text>
    </comment>
    <comment ref="B30" authorId="0" shapeId="0">
      <text>
        <t>Tanım: siy_siraBir | Neden önemli: Şarj istasyonu NPV/IRR kararını etkiler | Doğru kullanım: Tornado sıra 1 | Örnek: demo satırına bakın | Yanlışsa: CAPEX/OPEX ve karar bozulur | Kaynak: tarife / teşvik / kullanım</t>
      </text>
    </comment>
    <comment ref="B31" authorId="0" shapeId="0">
      <text>
        <t>Tanım: siy_siraIki | Neden önemli: Şarj istasyonu NPV/IRR kararını etkiler | Doğru kullanım: Tornado sıra 2 | Örnek: demo satırına bakın | Yanlışsa: CAPEX/OPEX ve karar bozulur | Kaynak: tarife / teşvik / kullanım</t>
      </text>
    </comment>
    <comment ref="B32" authorId="0" shapeId="0">
      <text>
        <t>Tanım: siy_siraUc | Neden önemli: Şarj istasyonu NPV/IRR kararını etkiler | Doğru kullanım: Tornado sıra 3 | Örnek: demo satırına bakın | Yanlışsa: CAPEX/OPEX ve karar bozulur | Kaynak: tarife / teşvik / kullanım</t>
      </text>
    </comment>
    <comment ref="B33" authorId="0" shapeId="0">
      <text>
        <t>Tanım: siy_dikkatCarpan | Neden önemli: Şarj istasyonu NPV/IRR kararını etkiler | Doğru kullanım: Marj dikkat çarpanı | Örnek: demo satırına bakın | Yanlışsa: CAPEX/OPEX ve karar bozulur | Kaynak: tarife / teşvik / kullanım</t>
      </text>
    </comment>
    <comment ref="B34" authorId="0" shapeId="0">
      <text>
        <t>Tanım: siy_npvDikkat | Neden önemli: Şarj istasyonu NPV/IRR kararını etkiler | Doğru kullanım: NPV dikkat eşiği | Örnek: demo satırına bakın | Yanlışsa: CAPEX/OPEX ve karar bozulur | Kaynak: tarife / teşvik / kullanım</t>
      </text>
    </comment>
    <comment ref="B35" authorId="0" shapeId="0">
      <text>
        <t>Tanım: siy_tornadoWacc | Neden önemli: Şarj istasyonu NPV/IRR kararını etkiler | Doğru kullanım: Tornado WACC şoku | Örnek: demo satırına bakın | Yanlışsa: CAPEX/OPEX ve karar bozulur | Kaynak: tarife / teşvik / kullanım</t>
      </text>
    </comment>
    <comment ref="B36" authorId="0" shapeId="0">
      <text>
        <t>Tanım: vaka_soket | Neden önemli: Şarj istasyonu NPV/IRR kararını etkiler | Doğru kullanım: Vaka soket | Örnek: demo satırına bakın | Yanlışsa: CAPEX/OPEX ve karar bozulur | Kaynak: tarife / teşvik / kullanım</t>
      </text>
    </comment>
    <comment ref="B37" authorId="0" shapeId="0">
      <text>
        <t>Tanım: vaka_capexBirim | Neden önemli: Şarj istasyonu NPV/IRR kararını etkiler | Doğru kullanım: Vaka CAPEX birim | Örnek: demo satırına bakın | Yanlışsa: CAPEX/OPEX ve karar bozulur | Kaynak: tarife / teşvik / kullanım</t>
      </text>
    </comment>
    <comment ref="B38" authorId="0" shapeId="0">
      <text>
        <t>Tanım: vaka_tesvik | Neden önemli: Şarj istasyonu NPV/IRR kararını etkiler | Doğru kullanım: Vaka teşvik | Örnek: demo satırına bakın | Yanlışsa: CAPEX/OPEX ve karar bozulur | Kaynak: tarife / teşvik / kullanım</t>
      </text>
    </comment>
    <comment ref="B39" authorId="0" shapeId="0">
      <text>
        <t>Tanım: vaka_seans | Neden önemli: Şarj istasyonu NPV/IRR kararını etkiler | Doğru kullanım: Vaka seans | Örnek: demo satırına bakın | Yanlışsa: CAPEX/OPEX ve karar bozulur | Kaynak: tarife / teşvik / kullanım</t>
      </text>
    </comment>
    <comment ref="B40" authorId="0" shapeId="0">
      <text>
        <t>Tanım: vaka_kwh | Neden önemli: Şarj istasyonu NPV/IRR kararını etkiler | Doğru kullanım: Vaka kWh | Örnek: demo satırına bakın | Yanlışsa: CAPEX/OPEX ve karar bozulur | Kaynak: tarife / teşvik / kullanım</t>
      </text>
    </comment>
    <comment ref="B41" authorId="0" shapeId="0">
      <text>
        <t>Tanım: vaka_kullanim | Neden önemli: Şarj istasyonu NPV/IRR kararını etkiler | Doğru kullanım: Vaka kullanım | Örnek: demo satırına bakın | Yanlışsa: CAPEX/OPEX ve karar bozulur | Kaynak: tarife / teşvik / kullanım</t>
      </text>
    </comment>
    <comment ref="B42" authorId="0" shapeId="0">
      <text>
        <t>Tanım: vaka_perakende | Neden önemli: Şarj istasyonu NPV/IRR kararını etkiler | Doğru kullanım: Vaka perakende | Örnek: demo satırına bakın | Yanlışsa: CAPEX/OPEX ve karar bozulur | Kaynak: tarife / teşvik / kullanım</t>
      </text>
    </comment>
    <comment ref="B43" authorId="0" shapeId="0">
      <text>
        <t>Tanım: vaka_toptan | Neden önemli: Şarj istasyonu NPV/IRR kararını etkiler | Doğru kullanım: Vaka toptan | Örnek: demo satırına bakın | Yanlışsa: CAPEX/OPEX ve karar bozulur | Kaynak: tarife / teşvik / kullanım</t>
      </text>
    </comment>
    <comment ref="B44" authorId="0" shapeId="0">
      <text>
        <t>Tanım: vaka_ag | Neden önemli: Şarj istasyonu NPV/IRR kararını etkiler | Doğru kullanım: Vaka ağ | Örnek: demo satırına bakın | Yanlışsa: CAPEX/OPEX ve karar bozulur | Kaynak: tarife / teşvik / kullanım</t>
      </text>
    </comment>
    <comment ref="J48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8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8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8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8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49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9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9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9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9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50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50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50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50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50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Row],[kural_id]]="","",IFERROR(INDEX(CHOOSE(MAX(1,MIN(3,IF(OR(hesapYili="",hesapYili=0),1,hesapYili-siy_yilTaban))),tblKurallar[[#This Row],[deger_2025]],tblKurallar[[#This Row],[deger_2026]],tblKurallar[[#This Row],[deger_2027]]),1),0))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Row],[fark]])&lt;=siy_tolerans,"TUTARLI","KIRIK"),"KIRIK"))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24" headerRowCount="1">
  <tableColumns count="6">
    <tableColumn id="1" name="alan"/>
    <tableColumn id="2" name="deger"/>
    <tableColumn id="3" name="birim"/>
    <tableColumn id="4" name="aciklama"/>
    <tableColumn id="5" name="zorunlu"/>
    <tableColumn id="6" name="kontrol">
      <calculatedColumnFormula>=IF(tblOrnek[[#This Row],[alan]]="","",IF(tblOrnek[[#This Row],[deger]]="","EKSİK","TAM"))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Tarife" displayName="tblTarife" ref="J47:P50" headerRowCount="1">
  <tableColumns count="7">
    <tableColumn id="1" name="kalem"/>
    <tableColumn id="2" name="deger"/>
    <tableColumn id="3" name="tarih"/>
    <tableColumn id="4" name="kaynak"/>
    <tableColumn id="5" name="aktif"/>
    <tableColumn id="6" name="not"/>
    <tableColumn id="7" name="secim">
      <calculatedColumnFormula>=IF(tblTarife[[#This Row],[kalem]]="","",IF(tblTarife[[#This Row],[aktif]]="Evet",tblTarife[[#This Row],[deger]],0))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100" t="inlineStr">
        <is>
          <t>SARJ ISTASYONU YATIRIM — YÖNETİM VE KARAR SİSTEMİ</t>
        </is>
      </c>
      <c r="L2" s="101" t="inlineStr">
        <is>
          <t>Dönem: 2026 / Tam ▼</t>
        </is>
      </c>
      <c r="M2" s="102" t="inlineStr">
        <is>
          <t>★ DOĞRULANMIŞ</t>
        </is>
      </c>
    </row>
    <row r="3">
      <c r="B3" s="103" t="inlineStr">
        <is>
          <t>Yönetici Karar Kokpiti, Otomatik Doğrulama ve Dinamik Hesaplama Sistemi · 2026</t>
        </is>
      </c>
    </row>
    <row r="5">
      <c r="B5" s="104" t="inlineStr">
        <is>
          <t>TOPLAM İŞLEM HACMİ</t>
        </is>
      </c>
      <c r="C5" s="105" t="n"/>
      <c r="D5" s="106" t="inlineStr">
        <is>
          <t>DOĞRULANMIŞ</t>
        </is>
      </c>
      <c r="E5" s="107" t="inlineStr">
        <is>
          <t>RİSKLİ / BEKLEYEN İŞLEM</t>
        </is>
      </c>
      <c r="F5" s="105" t="n"/>
      <c r="G5" s="108" t="inlineStr">
        <is>
          <t>MİNİMUM</t>
        </is>
      </c>
      <c r="H5" s="104" t="inlineStr">
        <is>
          <t>OPERASYONEL NET MARJ</t>
        </is>
      </c>
      <c r="I5" s="105" t="n"/>
      <c r="J5" s="109" t="inlineStr">
        <is>
          <t>GÜVENLİ</t>
        </is>
      </c>
      <c r="K5" s="110" t="inlineStr">
        <is>
          <t>SİSTEM GÜVEN SKORU</t>
        </is>
      </c>
      <c r="L5" s="105" t="n"/>
      <c r="M5" s="106" t="inlineStr">
        <is>
          <t>DENETLENDİ</t>
        </is>
      </c>
    </row>
    <row r="6">
      <c r="B6" s="111" t="n"/>
      <c r="C6" s="105" t="n"/>
      <c r="D6" s="105" t="n"/>
      <c r="E6" s="112" t="n"/>
      <c r="F6" s="105" t="n"/>
      <c r="G6" s="105" t="n"/>
      <c r="H6" s="111" t="n"/>
      <c r="I6" s="105" t="n"/>
      <c r="J6" s="105" t="n"/>
      <c r="K6" s="113" t="n"/>
      <c r="L6" s="105" t="n"/>
      <c r="M6" s="105" t="n"/>
    </row>
    <row r="7">
      <c r="B7" s="114" t="inlineStr">
        <is>
          <t>₺28.450.000</t>
        </is>
      </c>
      <c r="C7" s="105" t="n"/>
      <c r="D7" s="105" t="n"/>
      <c r="E7" s="115" t="inlineStr">
        <is>
          <t>₺940.000</t>
        </is>
      </c>
      <c r="F7" s="105" t="n"/>
      <c r="G7" s="105" t="n"/>
      <c r="H7" s="114" t="inlineStr">
        <is>
          <t>₺8.120.000</t>
        </is>
      </c>
      <c r="I7" s="105" t="n"/>
      <c r="J7" s="105" t="n"/>
      <c r="K7" s="116" t="inlineStr">
        <is>
          <t>98/100</t>
        </is>
      </c>
      <c r="L7" s="105" t="n"/>
      <c r="M7" s="105" t="n"/>
    </row>
    <row r="8">
      <c r="B8" s="111" t="n"/>
      <c r="C8" s="105" t="n"/>
      <c r="D8" s="105" t="n"/>
      <c r="E8" s="112" t="n"/>
      <c r="F8" s="105" t="n"/>
      <c r="G8" s="105" t="n"/>
      <c r="H8" s="111" t="n"/>
      <c r="I8" s="105" t="n"/>
      <c r="J8" s="105" t="n"/>
      <c r="K8" s="113" t="n"/>
      <c r="L8" s="105" t="n"/>
      <c r="M8" s="105" t="n"/>
    </row>
    <row r="9">
      <c r="B9" s="117" t="inlineStr">
        <is>
          <t>↑ Konsolide yıllıklandırılmış büyüme</t>
        </is>
      </c>
      <c r="C9" s="105" t="n"/>
      <c r="D9" s="105" t="n"/>
      <c r="E9" s="118" t="inlineStr">
        <is>
          <t>● Tüm riskli kayıtlar kontrol altında</t>
        </is>
      </c>
      <c r="F9" s="105" t="n"/>
      <c r="G9" s="105" t="n"/>
      <c r="H9" s="117" t="inlineStr">
        <is>
          <t>██████████░░░░░ %28.5 NET MARJ</t>
        </is>
      </c>
      <c r="I9" s="105" t="n"/>
      <c r="J9" s="105" t="n"/>
      <c r="K9" s="119" t="inlineStr">
        <is>
          <t>✓ 0 Formül ve Döngüsel Hata</t>
        </is>
      </c>
      <c r="L9" s="105" t="n"/>
      <c r="M9" s="105" t="n"/>
    </row>
    <row r="11">
      <c r="B11" s="98" t="inlineStr">
        <is>
          <t>12 AYLIK NAKİT GİRİŞ / ÇIKIŞ &amp; LİKİDİTE BAŞARIMI</t>
        </is>
      </c>
      <c r="F11" s="120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Tahsilat vs. Tedarikçi/Kredi Ödeme Projeksiyonu</t>
        </is>
      </c>
      <c r="H12" s="97" t="inlineStr">
        <is>
          <t>Anlık Hesaplama Sonuçları, Dinamik Formül Çıktıları ve Durum Puanlaması</t>
        </is>
      </c>
    </row>
    <row r="14">
      <c r="B14" s="121" t="inlineStr">
        <is>
          <t>Dönem</t>
        </is>
      </c>
      <c r="C14" s="121" t="inlineStr">
        <is>
          <t>Aktif Hacim</t>
        </is>
      </c>
      <c r="D14" s="121" t="inlineStr">
        <is>
          <t>Maliyet/Yük</t>
        </is>
      </c>
      <c r="E14" s="121" t="inlineStr">
        <is>
          <t>Hedef</t>
        </is>
      </c>
      <c r="H14" s="122" t="inlineStr">
        <is>
          <t>PARAMETRE / KALEM</t>
        </is>
      </c>
      <c r="I14" s="122" t="inlineStr">
        <is>
          <t>ANA TUTAR</t>
        </is>
      </c>
      <c r="J14" s="122" t="inlineStr">
        <is>
          <t>FARK / MARJ</t>
        </is>
      </c>
      <c r="K14" s="122" t="inlineStr">
        <is>
          <t>VADE</t>
        </is>
      </c>
      <c r="L14" s="122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23" t="inlineStr">
        <is>
          <t>13 haftalık kümülatif bakiye...</t>
        </is>
      </c>
      <c r="I15" s="123" t="inlineStr">
        <is>
          <t>₺8.450.000</t>
        </is>
      </c>
      <c r="J15" s="124" t="inlineStr">
        <is>
          <t>₺425.000</t>
        </is>
      </c>
      <c r="K15" s="125" t="inlineStr">
        <is>
          <t>12 Ay</t>
        </is>
      </c>
      <c r="L15" s="109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23" t="inlineStr">
        <is>
          <t>Kritik (eksi) hafta uyarısı</t>
        </is>
      </c>
      <c r="I16" s="123" t="inlineStr">
        <is>
          <t>₺12.200.000</t>
        </is>
      </c>
      <c r="J16" s="124" t="inlineStr">
        <is>
          <t>₺580.400</t>
        </is>
      </c>
      <c r="K16" s="125" t="inlineStr">
        <is>
          <t>24 Ay</t>
        </is>
      </c>
      <c r="L16" s="106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23" t="inlineStr">
        <is>
          <t>Dönem net nakit değişimi</t>
        </is>
      </c>
      <c r="I17" s="123" t="inlineStr">
        <is>
          <t>₺4.850.000</t>
        </is>
      </c>
      <c r="J17" s="124" t="inlineStr">
        <is>
          <t>₺235.200</t>
        </is>
      </c>
      <c r="K17" s="125" t="inlineStr">
        <is>
          <t>8 Ay</t>
        </is>
      </c>
      <c r="L17" s="126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23" t="inlineStr">
        <is>
          <t>13 haftalık kümülatif bakiye...</t>
        </is>
      </c>
      <c r="I18" s="123" t="inlineStr">
        <is>
          <t>₺2.140.000</t>
        </is>
      </c>
      <c r="J18" s="124" t="inlineStr">
        <is>
          <t>₺118.000</t>
        </is>
      </c>
      <c r="K18" s="125" t="inlineStr">
        <is>
          <t>16 Ay</t>
        </is>
      </c>
      <c r="L18" s="109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27" t="inlineStr">
        <is>
          <t>KONSOLİDE SİSTEM TOPLAMI</t>
        </is>
      </c>
      <c r="I19" s="128" t="inlineStr">
        <is>
          <t>₺42.850.000</t>
        </is>
      </c>
      <c r="J19" s="129" t="inlineStr">
        <is>
          <t>₺3.420.000</t>
        </is>
      </c>
      <c r="K19" s="130" t="inlineStr"/>
      <c r="L19" s="131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2">
      <c r="B22" s="132" t="inlineStr">
        <is>
          <t>KONSOLİDE PAY VE AĞIRLIK</t>
        </is>
      </c>
      <c r="F22" s="132" t="inlineStr">
        <is>
          <t>LİKİDİTE RİSKİ &amp; ERKEN UYARI SİNYALLERİ</t>
        </is>
      </c>
      <c r="K22" s="133" t="inlineStr">
        <is>
          <t>KARAR MOTORU</t>
        </is>
      </c>
      <c r="L22" s="134" t="n"/>
      <c r="M22" s="134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135" t="inlineStr">
        <is>
          <t>0.00 TL (Sıfır Risk)</t>
        </is>
      </c>
      <c r="K23" s="136" t="inlineStr">
        <is>
          <t>OPERASYONEL VERİMLİLİK FIRSATI</t>
        </is>
      </c>
      <c r="L23" s="134" t="n"/>
      <c r="M23" s="134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135" t="inlineStr">
        <is>
          <t>48 Gün Güvenli Eşik</t>
        </is>
      </c>
      <c r="K24" s="137" t="inlineStr">
        <is>
          <t>Süreç optimizasyonuyla birim operasyonel maliyeti düşürme potansiyeli mevcuttur.</t>
        </is>
      </c>
    </row>
    <row r="25">
      <c r="B25" s="138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139" t="inlineStr">
        <is>
          <t>■ Rezervler (%13)</t>
        </is>
      </c>
      <c r="F26" s="140" t="inlineStr">
        <is>
          <t>✓ 90 GÜNLÜK PROJEKSİYONDA NAKİT SIKIŞIKLIĞI TESPİT EDİLMEDİ</t>
        </is>
      </c>
      <c r="K26" s="14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42" t="inlineStr">
        <is>
          <t>🔍  Kayıt veya hesap ara...</t>
        </is>
      </c>
      <c r="G3" s="143" t="inlineStr">
        <is>
          <t>TOPLAM: 1.450 KAYIT</t>
        </is>
      </c>
      <c r="I3" s="144" t="inlineStr">
        <is>
          <t>HATALI HÜCRE: 0 ADET</t>
        </is>
      </c>
    </row>
    <row r="5">
      <c r="B5" s="145" t="inlineStr">
        <is>
          <t>TARİH</t>
        </is>
      </c>
      <c r="C5" s="145" t="inlineStr">
        <is>
          <t>REFERANS NO</t>
        </is>
      </c>
      <c r="D5" s="145" t="inlineStr">
        <is>
          <t>İŞLEM AÇIKLAMASI VE DETAY</t>
        </is>
      </c>
      <c r="E5" s="145" t="inlineStr">
        <is>
          <t>BRÜT TUTAR (₺)</t>
        </is>
      </c>
      <c r="F5" s="145" t="inlineStr">
        <is>
          <t>KDV ORANI</t>
        </is>
      </c>
      <c r="G5" s="145" t="inlineStr">
        <is>
          <t>NET TUTAR (₺)</t>
        </is>
      </c>
      <c r="H5" s="145" t="inlineStr">
        <is>
          <t>HESAP / CARİ</t>
        </is>
      </c>
      <c r="I5" s="145" t="inlineStr">
        <is>
          <t>DURUM</t>
        </is>
      </c>
    </row>
    <row r="6">
      <c r="B6" s="146" t="inlineStr">
        <is>
          <t>12.10.2026</t>
        </is>
      </c>
      <c r="C6" s="147" t="inlineStr">
        <is>
          <t>TR-0428-A</t>
        </is>
      </c>
      <c r="D6" s="148" t="inlineStr">
        <is>
          <t>Haftalık nakit girişi tahmini</t>
        </is>
      </c>
      <c r="E6" s="149" t="n">
        <v>845200</v>
      </c>
      <c r="F6" s="150" t="n">
        <v>0.2</v>
      </c>
      <c r="G6" s="151">
        <f>E6/(1+F6)</f>
        <v/>
      </c>
      <c r="H6" s="148" t="inlineStr">
        <is>
          <t>Vadesiz Ticari</t>
        </is>
      </c>
      <c r="I6" s="152" t="inlineStr">
        <is>
          <t>ONAYLANDI</t>
        </is>
      </c>
    </row>
    <row r="7">
      <c r="B7" s="153" t="inlineStr">
        <is>
          <t>14.10.2026</t>
        </is>
      </c>
      <c r="C7" s="154" t="inlineStr">
        <is>
          <t>TR-0429-B</t>
        </is>
      </c>
      <c r="D7" s="155" t="inlineStr">
        <is>
          <t>Haftalık nakit çıkışı tahmini</t>
        </is>
      </c>
      <c r="E7" s="156" t="n">
        <v>1240000</v>
      </c>
      <c r="F7" s="157" t="n">
        <v>0.2</v>
      </c>
      <c r="G7" s="158">
        <f>E7/(1+F7)</f>
        <v/>
      </c>
      <c r="H7" s="155" t="inlineStr">
        <is>
          <t>Tedarikçi Havuzu</t>
        </is>
      </c>
      <c r="I7" s="159" t="inlineStr">
        <is>
          <t>BEKLEMEDE</t>
        </is>
      </c>
    </row>
    <row r="8">
      <c r="B8" s="146" t="inlineStr">
        <is>
          <t>18.10.2026</t>
        </is>
      </c>
      <c r="C8" s="147" t="inlineStr">
        <is>
          <t>TR-0430-C</t>
        </is>
      </c>
      <c r="D8" s="148" t="inlineStr">
        <is>
          <t>Ödeme takvimi notları</t>
        </is>
      </c>
      <c r="E8" s="149" t="n">
        <v>620500</v>
      </c>
      <c r="F8" s="150" t="n">
        <v>0.1</v>
      </c>
      <c r="G8" s="151">
        <f>E8/(1+F8)</f>
        <v/>
      </c>
      <c r="H8" s="148" t="inlineStr">
        <is>
          <t>Kısa Vade Tahakkuk</t>
        </is>
      </c>
      <c r="I8" s="152" t="inlineStr">
        <is>
          <t>ONAYLANDI</t>
        </is>
      </c>
    </row>
    <row r="9">
      <c r="B9" s="153" t="inlineStr">
        <is>
          <t>21.10.2026</t>
        </is>
      </c>
      <c r="C9" s="154" t="inlineStr">
        <is>
          <t>TR-0431-D</t>
        </is>
      </c>
      <c r="D9" s="155" t="inlineStr">
        <is>
          <t>Haftalık nakit girişi tahmini</t>
        </is>
      </c>
      <c r="E9" s="156" t="n">
        <v>415000</v>
      </c>
      <c r="F9" s="157" t="n">
        <v>0.2</v>
      </c>
      <c r="G9" s="158">
        <f>E9/(1+F9)</f>
        <v/>
      </c>
      <c r="H9" s="155" t="inlineStr">
        <is>
          <t>Müşteri Alacağı</t>
        </is>
      </c>
      <c r="I9" s="160" t="inlineStr">
        <is>
          <t>ONAYLANDI</t>
        </is>
      </c>
    </row>
    <row r="10">
      <c r="B10" s="146" t="inlineStr">
        <is>
          <t>25.10.2026</t>
        </is>
      </c>
      <c r="C10" s="147" t="inlineStr">
        <is>
          <t>TR-0432-E</t>
        </is>
      </c>
      <c r="D10" s="148" t="inlineStr">
        <is>
          <t>Haftalık nakit girişi tahmini</t>
        </is>
      </c>
      <c r="E10" s="149" t="n">
        <v>980400</v>
      </c>
      <c r="F10" s="150" t="n">
        <v>0.2</v>
      </c>
      <c r="G10" s="151">
        <f>E10/(1+F10)</f>
        <v/>
      </c>
      <c r="H10" s="148" t="inlineStr">
        <is>
          <t>Vadesiz Ticari</t>
        </is>
      </c>
      <c r="I10" s="152" t="inlineStr">
        <is>
          <t>ONAYLANDI</t>
        </is>
      </c>
    </row>
    <row r="11">
      <c r="B11" s="153" t="inlineStr">
        <is>
          <t>28.10.2026</t>
        </is>
      </c>
      <c r="C11" s="154" t="inlineStr">
        <is>
          <t>TR-0433-F</t>
        </is>
      </c>
      <c r="D11" s="155" t="inlineStr">
        <is>
          <t>Haftalık nakit çıkışı tahmini</t>
        </is>
      </c>
      <c r="E11" s="156" t="n">
        <v>1850000</v>
      </c>
      <c r="F11" s="157" t="n">
        <v>0.2</v>
      </c>
      <c r="G11" s="158">
        <f>E11/(1+F11)</f>
        <v/>
      </c>
      <c r="H11" s="155" t="inlineStr">
        <is>
          <t>Banka Kredi Taksiti</t>
        </is>
      </c>
      <c r="I11" s="161" t="inlineStr">
        <is>
          <t>BLOKE</t>
        </is>
      </c>
    </row>
    <row r="12">
      <c r="B12" s="146" t="inlineStr">
        <is>
          <t>02.11.2026</t>
        </is>
      </c>
      <c r="C12" s="147" t="inlineStr">
        <is>
          <t>TR-0434-G</t>
        </is>
      </c>
      <c r="D12" s="148" t="inlineStr">
        <is>
          <t>Ödeme takvimi notları</t>
        </is>
      </c>
      <c r="E12" s="149" t="n">
        <v>740000</v>
      </c>
      <c r="F12" s="150" t="n">
        <v>0.2</v>
      </c>
      <c r="G12" s="151">
        <f>E12/(1+F12)</f>
        <v/>
      </c>
      <c r="H12" s="148" t="inlineStr">
        <is>
          <t>Kira &amp; Sabit Gider</t>
        </is>
      </c>
      <c r="I12" s="152" t="inlineStr">
        <is>
          <t>ONAYLANDI</t>
        </is>
      </c>
    </row>
    <row r="13">
      <c r="B13" s="153" t="inlineStr">
        <is>
          <t>05.11.2026</t>
        </is>
      </c>
      <c r="C13" s="154" t="inlineStr">
        <is>
          <t>TR-0435-H</t>
        </is>
      </c>
      <c r="D13" s="155" t="inlineStr">
        <is>
          <t>Haftalık nakit girişi tahmini</t>
        </is>
      </c>
      <c r="E13" s="156" t="n">
        <v>520800</v>
      </c>
      <c r="F13" s="157" t="n">
        <v>0.2</v>
      </c>
      <c r="G13" s="158">
        <f>E13/(1+F13)</f>
        <v/>
      </c>
      <c r="H13" s="155" t="inlineStr">
        <is>
          <t>Vadesiz Ticari</t>
        </is>
      </c>
      <c r="I13" s="160" t="inlineStr">
        <is>
          <t>ONAYLANDI</t>
        </is>
      </c>
    </row>
    <row r="14">
      <c r="B14" s="146" t="inlineStr">
        <is>
          <t>09.11.2026</t>
        </is>
      </c>
      <c r="C14" s="147" t="inlineStr">
        <is>
          <t>TR-0436-I</t>
        </is>
      </c>
      <c r="D14" s="148" t="inlineStr">
        <is>
          <t>Haftalık nakit girişi tahmini</t>
        </is>
      </c>
      <c r="E14" s="149" t="n">
        <v>1120000</v>
      </c>
      <c r="F14" s="150" t="n">
        <v>0.2</v>
      </c>
      <c r="G14" s="151">
        <f>E14/(1+F14)</f>
        <v/>
      </c>
      <c r="H14" s="148" t="inlineStr">
        <is>
          <t>Müşteri Alacağı</t>
        </is>
      </c>
      <c r="I14" s="152" t="inlineStr">
        <is>
          <t>ONAYLANDI</t>
        </is>
      </c>
    </row>
    <row r="15">
      <c r="B15" s="153" t="inlineStr">
        <is>
          <t>12.11.2026</t>
        </is>
      </c>
      <c r="C15" s="154" t="inlineStr">
        <is>
          <t>TR-0437-J</t>
        </is>
      </c>
      <c r="D15" s="155" t="inlineStr">
        <is>
          <t>Haftalık nakit çıkışı tahmini</t>
        </is>
      </c>
      <c r="E15" s="156" t="n">
        <v>890000</v>
      </c>
      <c r="F15" s="157" t="n">
        <v>0.2</v>
      </c>
      <c r="G15" s="158">
        <f>E15/(1+F15)</f>
        <v/>
      </c>
      <c r="H15" s="155" t="inlineStr">
        <is>
          <t>Tedarikçi Havuzu</t>
        </is>
      </c>
      <c r="I15" s="160" t="inlineStr">
        <is>
          <t>ONAYLANDI</t>
        </is>
      </c>
    </row>
    <row r="17">
      <c r="B17" s="162" t="inlineStr">
        <is>
          <t>SAYFA TOPLAMI (10 / 1.450 KAYIT)</t>
        </is>
      </c>
      <c r="C17" s="130" t="n"/>
      <c r="D17" s="130" t="n"/>
      <c r="E17" s="163">
        <f>TOPLA(E6:E15)</f>
        <v/>
      </c>
      <c r="F17" s="130" t="n"/>
      <c r="G17" s="130" t="n"/>
      <c r="H17" s="130" t="n"/>
      <c r="I17" s="13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64" t="inlineStr">
        <is>
          <t>SARJ ISTASYONU YATIRIM — YÖNETİM VE KARAR SİSTEMİ — NİHAİ KARAR VE DEĞERLEME</t>
        </is>
      </c>
    </row>
    <row r="3">
      <c r="B3" s="165" t="inlineStr">
        <is>
          <t>Yönetim Kurulu ve İcra Komitesi için Otomatik Türetilen Finansal Stres Testi Raporu</t>
        </is>
      </c>
    </row>
    <row r="4">
      <c r="B4" s="166" t="inlineStr">
        <is>
          <t>DÖNEM: 2026 Q3 · DENETİM PROTOKOLÜ: ISO/VUK/IFRS UYUMLU · DURUM: ONAYLANDI</t>
        </is>
      </c>
    </row>
    <row r="6">
      <c r="B6" s="167" t="inlineStr">
        <is>
          <t>SENARYO A: KÖTÜMSER (STRES TESTİ -%20)</t>
        </is>
      </c>
      <c r="C6" s="105" t="n"/>
      <c r="D6" s="105" t="n"/>
      <c r="E6" s="105" t="n"/>
      <c r="F6" s="105" t="n"/>
      <c r="H6" s="168" t="inlineStr">
        <is>
          <t>SENARYO B: BAZ MODEL (HEDEFLENEN)</t>
        </is>
      </c>
      <c r="I6" s="105" t="n"/>
      <c r="J6" s="105" t="n"/>
      <c r="K6" s="105" t="n"/>
      <c r="L6" s="105" t="n"/>
    </row>
    <row r="7">
      <c r="B7" s="105" t="n"/>
      <c r="C7" s="105" t="n"/>
      <c r="D7" s="105" t="n"/>
      <c r="E7" s="105" t="n"/>
      <c r="F7" s="105" t="n"/>
      <c r="H7" s="105" t="n"/>
      <c r="I7" s="105" t="n"/>
      <c r="J7" s="105" t="n"/>
      <c r="K7" s="105" t="n"/>
      <c r="L7" s="105" t="n"/>
    </row>
    <row r="8">
      <c r="B8" s="169" t="inlineStr">
        <is>
          <t>Ciro / Hacim Düşüşü:</t>
        </is>
      </c>
      <c r="C8" s="105" t="n"/>
      <c r="D8" s="105" t="n"/>
      <c r="E8" s="170" t="inlineStr">
        <is>
          <t>-%20.0 (Kriz Eşiği)</t>
        </is>
      </c>
      <c r="F8" s="105" t="n"/>
      <c r="H8" s="169" t="inlineStr">
        <is>
          <t>Ciro / Hacim Gerçekleşmesi:</t>
        </is>
      </c>
      <c r="I8" s="105" t="n"/>
      <c r="J8" s="105" t="n"/>
      <c r="K8" s="171" t="inlineStr">
        <is>
          <t>%100.0 (Tam Bütçe)</t>
        </is>
      </c>
      <c r="L8" s="105" t="n"/>
    </row>
    <row r="9">
      <c r="B9" s="169" t="inlineStr">
        <is>
          <t>Beklenen Net Kâr / Getiri:</t>
        </is>
      </c>
      <c r="C9" s="105" t="n"/>
      <c r="D9" s="105" t="n"/>
      <c r="E9" s="172" t="inlineStr">
        <is>
          <t>₺4.280.000</t>
        </is>
      </c>
      <c r="F9" s="105" t="n"/>
      <c r="H9" s="169" t="inlineStr">
        <is>
          <t>Beklenen Net Kâr / Getiri:</t>
        </is>
      </c>
      <c r="I9" s="105" t="n"/>
      <c r="J9" s="105" t="n"/>
      <c r="K9" s="172" t="inlineStr">
        <is>
          <t>₺12.450.000</t>
        </is>
      </c>
      <c r="L9" s="105" t="n"/>
    </row>
    <row r="10">
      <c r="B10" s="169" t="inlineStr">
        <is>
          <t>Minimum Nakit Tamponu:</t>
        </is>
      </c>
      <c r="C10" s="105" t="n"/>
      <c r="D10" s="105" t="n"/>
      <c r="E10" s="173" t="inlineStr">
        <is>
          <t>₺1.850.000 (Yeterli)</t>
        </is>
      </c>
      <c r="F10" s="105" t="n"/>
      <c r="H10" s="169" t="inlineStr">
        <is>
          <t>Serbest Nakit Akımı:</t>
        </is>
      </c>
      <c r="I10" s="105" t="n"/>
      <c r="J10" s="105" t="n"/>
      <c r="K10" s="173" t="inlineStr">
        <is>
          <t>₺8.240.000</t>
        </is>
      </c>
      <c r="L10" s="105" t="n"/>
    </row>
    <row r="11">
      <c r="B11" s="169" t="inlineStr">
        <is>
          <t>Likidite Karşılama Oranı:</t>
        </is>
      </c>
      <c r="C11" s="105" t="n"/>
      <c r="D11" s="105" t="n"/>
      <c r="E11" s="173" t="inlineStr">
        <is>
          <t>1.28x (Eşik: 1.10x)</t>
        </is>
      </c>
      <c r="F11" s="105" t="n"/>
      <c r="H11" s="169" t="inlineStr">
        <is>
          <t>Yatırım Geri Dönüşü (ROI):</t>
        </is>
      </c>
      <c r="I11" s="105" t="n"/>
      <c r="J11" s="105" t="n"/>
      <c r="K11" s="173" t="inlineStr">
        <is>
          <t>%38.4 Yıllık</t>
        </is>
      </c>
      <c r="L11" s="105" t="n"/>
    </row>
    <row r="12">
      <c r="B12" s="105" t="n"/>
      <c r="C12" s="105" t="n"/>
      <c r="D12" s="105" t="n"/>
      <c r="E12" s="105" t="n"/>
      <c r="F12" s="105" t="n"/>
      <c r="H12" s="105" t="n"/>
      <c r="I12" s="105" t="n"/>
      <c r="J12" s="105" t="n"/>
      <c r="K12" s="105" t="n"/>
      <c r="L12" s="105" t="n"/>
    </row>
    <row r="13">
      <c r="B13" s="105" t="n"/>
      <c r="C13" s="105" t="n"/>
      <c r="D13" s="105" t="n"/>
      <c r="E13" s="105" t="n"/>
      <c r="F13" s="105" t="n"/>
      <c r="H13" s="105" t="n"/>
      <c r="I13" s="105" t="n"/>
      <c r="J13" s="105" t="n"/>
      <c r="K13" s="105" t="n"/>
      <c r="L13" s="105" t="n"/>
    </row>
    <row r="14">
      <c r="B14" s="174" t="inlineStr">
        <is>
          <t>STRES SENARYOSUNDA DAHİ İFLAS RİSKİ YOK</t>
        </is>
      </c>
      <c r="C14" s="105" t="n"/>
      <c r="D14" s="105" t="n"/>
      <c r="E14" s="105" t="n"/>
      <c r="F14" s="105" t="n"/>
      <c r="H14" s="175" t="inlineStr">
        <is>
          <t>OPTİMUM İCRA VE PLANLAMA REÇETESİ</t>
        </is>
      </c>
      <c r="I14" s="105" t="n"/>
      <c r="J14" s="105" t="n"/>
      <c r="K14" s="105" t="n"/>
      <c r="L14" s="105" t="n"/>
    </row>
    <row r="15">
      <c r="B15" s="105" t="n"/>
      <c r="C15" s="105" t="n"/>
      <c r="D15" s="105" t="n"/>
      <c r="E15" s="105" t="n"/>
      <c r="F15" s="105" t="n"/>
      <c r="H15" s="105" t="n"/>
      <c r="I15" s="105" t="n"/>
      <c r="J15" s="105" t="n"/>
      <c r="K15" s="105" t="n"/>
      <c r="L15" s="105" t="n"/>
    </row>
    <row r="17">
      <c r="B17" s="85" t="inlineStr">
        <is>
          <t>YÖNETİM KARAR MATRİSİ VE UYGULAMA REÇETESİ</t>
        </is>
      </c>
    </row>
    <row r="19">
      <c r="B19" s="132" t="inlineStr">
        <is>
          <t>●  Öncelik 1: Acil Likidite ve Borç Servis Planlaması</t>
        </is>
      </c>
    </row>
    <row r="20">
      <c r="B20" s="176" t="inlineStr">
        <is>
          <t xml:space="preserve">   Sistemde hesaplanan vade günlerine sadık kalınarak nakit blokajı 3 gün önceden hazır edilmelidir.</t>
        </is>
      </c>
    </row>
    <row r="21">
      <c r="B21" s="132" t="inlineStr">
        <is>
          <t>●  Öncelik 2: Formül Doğrulama ve Çapraz Sağlama</t>
        </is>
      </c>
    </row>
    <row r="22">
      <c r="B22" s="176" t="inlineStr">
        <is>
          <t xml:space="preserve">   Tüm hücreler kilitli formül korumasında olup girdi sayfalarında sıfır döngüsel başvuru (circular ref) garantilidir.</t>
        </is>
      </c>
    </row>
    <row r="23">
      <c r="B23" s="132" t="inlineStr">
        <is>
          <t>●  Öncelik 3: Resmi Mevzuat ve Vergi Kalkanı Entegrasyonu</t>
        </is>
      </c>
    </row>
    <row r="24">
      <c r="B24" s="176" t="inlineStr">
        <is>
          <t xml:space="preserve">   2026 güncel vergi dilimleri, amortisman ve SGK teşvik parametreleri tam otomatik yansıtılmaktadır.</t>
        </is>
      </c>
    </row>
    <row r="25">
      <c r="B25" s="132" t="inlineStr">
        <is>
          <t>●  Öncelik 4: Yönetici İmzası ve Rapor Paylaşımı</t>
        </is>
      </c>
    </row>
    <row r="26">
      <c r="B26" s="17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Şarj İstasyonu Yatırım Simülatörü</t>
        </is>
      </c>
    </row>
    <row r="3" ht="30" customHeight="1">
      <c r="A3" s="3" t="inlineStr">
        <is>
          <t>Şarj İstasyonu Yatırım Simülatörü</t>
        </is>
      </c>
    </row>
    <row r="4">
      <c r="A4" s="4" t="inlineStr">
        <is>
          <t>Soket, kullanım, tarife ve CAPEX/OPEX girdilerini işleyin; teşvik net CAPEX ile NPV/IRR aralığı ve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Soket×seans×kWh kullanım gelir modeli (DC hızlı şarj)</t>
        </is>
      </c>
    </row>
    <row r="8">
      <c r="A8" s="6" t="inlineStr">
        <is>
          <t>• Perakende / toptan / ağ tarifesi marjı + teşvik net CAPEX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EV şarj yatırımcısı — teşvik açılışında fizibiliteyi yeniden hesaplamak</t>
        </is>
      </c>
    </row>
    <row r="15">
      <c r="A15" s="7" t="inlineStr">
        <is>
          <t>• CFO — NPV/IRR ile istasyon yatırımı kararı vermek</t>
        </is>
      </c>
    </row>
    <row r="16">
      <c r="A16" s="7" t="inlineStr">
        <is>
          <t>• Banka / teşvik komitesi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Şarj İstasyonu Yatırım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soket, kullanım, tarife ve CAPEX/OPEX sarı hücrelere girin.</t>
        </is>
      </c>
    </row>
    <row r="6">
      <c r="A6" s="10" t="inlineStr">
        <is>
          <t>Adım 2 — Karar</t>
        </is>
      </c>
      <c r="B6" s="6" t="inlineStr">
        <is>
          <t>PANO ve KARAR'da net CAPEX,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Yıllık kWh = seans×kWh×365×kullanım | Gelir = kWh×perakende | Net CAPEX = soket×birim×(1−teşvik) | NPV = net nakit anüitesi − net CAPEX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Şarj İstasyonu Yatırım Simülatörü</t>
        </is>
      </c>
    </row>
    <row r="3">
      <c r="A3" s="9" t="inlineStr">
        <is>
          <t>Şarj istasyonu yatırım girdileri</t>
        </is>
      </c>
    </row>
    <row r="4">
      <c r="A4" s="4" t="inlineStr">
        <is>
          <t>Sarı hücreler manuel giriştir. Tarife/teşvik KURALLAR'dan ayna edilir.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Şarj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Soket adedi</t>
        </is>
      </c>
      <c r="B9" s="14" t="n">
        <v>4</v>
      </c>
      <c r="C9" s="13" t="inlineStr">
        <is>
          <t>adet/kW</t>
        </is>
      </c>
    </row>
    <row r="10">
      <c r="A10" s="7" t="inlineStr">
        <is>
          <t>Güç [kW]</t>
        </is>
      </c>
      <c r="B10" s="14" t="n">
        <v>150</v>
      </c>
      <c r="C10" s="13" t="inlineStr">
        <is>
          <t>adet/kW</t>
        </is>
      </c>
    </row>
    <row r="11">
      <c r="A11" s="7" t="inlineStr">
        <is>
          <t>Günlük seans</t>
        </is>
      </c>
      <c r="B11" s="14" t="n">
        <v>28</v>
      </c>
      <c r="C11" s="13" t="inlineStr">
        <is>
          <t>adet/kW</t>
        </is>
      </c>
    </row>
    <row r="12">
      <c r="A12" s="7" t="inlineStr">
        <is>
          <t>Seans kWh</t>
        </is>
      </c>
      <c r="B12" s="14" t="n">
        <v>35</v>
      </c>
      <c r="C12" s="13" t="inlineStr">
        <is>
          <t>adet/kW</t>
        </is>
      </c>
    </row>
    <row r="13">
      <c r="A13" s="7" t="inlineStr">
        <is>
          <t>Kullanım oranı</t>
        </is>
      </c>
      <c r="B13" s="15" t="n">
        <v>0.85</v>
      </c>
      <c r="C13" s="13" t="inlineStr">
        <is>
          <t>%</t>
        </is>
      </c>
    </row>
    <row r="14">
      <c r="A14" s="7" t="inlineStr">
        <is>
          <t>Perakende [₺/kWh]</t>
        </is>
      </c>
      <c r="B14" s="16" t="n">
        <v>12</v>
      </c>
      <c r="C14" s="13" t="inlineStr">
        <is>
          <t>₺</t>
        </is>
      </c>
    </row>
    <row r="15">
      <c r="A15" s="7" t="inlineStr">
        <is>
          <t>Toptan [₺/kWh]</t>
        </is>
      </c>
      <c r="B15" s="16" t="n">
        <v>4.5</v>
      </c>
      <c r="C15" s="13" t="inlineStr">
        <is>
          <t>₺</t>
        </is>
      </c>
    </row>
    <row r="16">
      <c r="A16" s="7" t="inlineStr">
        <is>
          <t>Ağ ücreti [₺/kWh]</t>
        </is>
      </c>
      <c r="B16" s="16" t="n">
        <v>0.8</v>
      </c>
      <c r="C16" s="13" t="inlineStr">
        <is>
          <t>₺</t>
        </is>
      </c>
    </row>
    <row r="17">
      <c r="A17" s="7" t="inlineStr">
        <is>
          <t>CAPEX birim [₺]</t>
        </is>
      </c>
      <c r="B17" s="16" t="n">
        <v>1200000</v>
      </c>
      <c r="C17" s="13" t="inlineStr">
        <is>
          <t>₺</t>
        </is>
      </c>
    </row>
    <row r="18">
      <c r="A18" s="7" t="inlineStr">
        <is>
          <t>Teşvik oranı</t>
        </is>
      </c>
      <c r="B18" s="15" t="n">
        <v>0.15</v>
      </c>
      <c r="C18" s="13" t="inlineStr">
        <is>
          <t>%</t>
        </is>
      </c>
    </row>
    <row r="19">
      <c r="A19" s="7" t="inlineStr">
        <is>
          <t>OPEX bakım [₺/yıl]</t>
        </is>
      </c>
      <c r="B19" s="16" t="n">
        <v>180000</v>
      </c>
      <c r="C19" s="13" t="inlineStr">
        <is>
          <t>₺</t>
        </is>
      </c>
    </row>
    <row r="20">
      <c r="A20" s="7" t="inlineStr">
        <is>
          <t>OPEX kira [₺/yıl]</t>
        </is>
      </c>
      <c r="B20" s="16" t="n">
        <v>240000</v>
      </c>
      <c r="C20" s="13" t="inlineStr">
        <is>
          <t>₺</t>
        </is>
      </c>
    </row>
    <row r="21">
      <c r="A21" s="7" t="inlineStr">
        <is>
          <t>WACC [%]</t>
        </is>
      </c>
      <c r="B21" s="15" t="n">
        <v>0.18</v>
      </c>
      <c r="C21" s="13" t="inlineStr">
        <is>
          <t>%</t>
        </is>
      </c>
    </row>
    <row r="22">
      <c r="A22" s="7" t="inlineStr">
        <is>
          <t>NPV dönem [yıl]</t>
        </is>
      </c>
      <c r="B22" s="14" t="n">
        <v>15</v>
      </c>
      <c r="C22" s="13" t="inlineStr">
        <is>
          <t>yıl</t>
        </is>
      </c>
    </row>
    <row r="23">
      <c r="A23" s="7" t="inlineStr">
        <is>
          <t>Kredi faiz [%]</t>
        </is>
      </c>
      <c r="B23" s="15" t="n">
        <v>0.32</v>
      </c>
      <c r="C23" s="13" t="inlineStr">
        <is>
          <t>%</t>
        </is>
      </c>
    </row>
    <row r="24">
      <c r="A24" s="7" t="inlineStr">
        <is>
          <t>Öz kaynak oranı</t>
        </is>
      </c>
      <c r="B24" s="15" t="n">
        <v>0.4</v>
      </c>
      <c r="C24" s="13" t="inlineStr">
        <is>
          <t>%</t>
        </is>
      </c>
    </row>
    <row r="26">
      <c r="A26" s="10" t="inlineStr">
        <is>
          <t>Teşvik oranı (kural ayna)</t>
        </is>
      </c>
      <c r="B26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27">
      <c r="A27" s="10" t="inlineStr">
        <is>
          <t>Net CAPEX (ayna)</t>
        </is>
      </c>
      <c r="B27" s="18">
        <f>IFERROR(siy_netCapex,0)</f>
        <v/>
      </c>
    </row>
    <row r="28">
      <c r="A28" s="10" t="inlineStr">
        <is>
          <t>Giriş doluluk</t>
        </is>
      </c>
      <c r="B28" s="19">
        <f>IFERROR(IF(OR(COUNTA(B6:B24)=0,siy_girisBeklenen=0),0,ROUND(COUNTA(B6:B24)/siy_girisBeklenen*100,0)),0)</f>
        <v/>
      </c>
    </row>
    <row r="30">
      <c r="A30" s="10" t="inlineStr">
        <is>
          <t>Giriş tablosu (otomasyon / boş-mod)</t>
        </is>
      </c>
    </row>
    <row r="31" ht="30" customHeight="1">
      <c r="A31" s="20" t="inlineStr">
        <is>
          <t>Alan Anahtarı</t>
        </is>
      </c>
      <c r="B31" s="20" t="inlineStr">
        <is>
          <t>Değer</t>
        </is>
      </c>
      <c r="C31" s="20" t="inlineStr">
        <is>
          <t>Birim</t>
        </is>
      </c>
      <c r="D31" s="20" t="inlineStr">
        <is>
          <t>Zorunlu</t>
        </is>
      </c>
      <c r="E31" s="20" t="inlineStr">
        <is>
          <t>Kaynak</t>
        </is>
      </c>
      <c r="F31" s="20" t="inlineStr">
        <is>
          <t>Kontrol</t>
        </is>
      </c>
    </row>
    <row r="32">
      <c r="A32" s="21" t="inlineStr">
        <is>
          <t>sirket_adi</t>
        </is>
      </c>
      <c r="B32" s="21" t="inlineStr">
        <is>
          <t>Örnek Şarj Yatırım A.Ş.</t>
        </is>
      </c>
      <c r="C32" s="21" t="inlineStr">
        <is>
          <t>metin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donem</t>
        </is>
      </c>
      <c r="B33" s="21" t="inlineStr">
        <is>
          <t>2026-Q3</t>
        </is>
      </c>
      <c r="C33" s="21" t="inlineStr">
        <is>
          <t>metin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hesapYili</t>
        </is>
      </c>
      <c r="B34" s="23" t="n">
        <v>2026</v>
      </c>
      <c r="C34" s="21" t="inlineStr">
        <is>
          <t>yıl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soket_adet</t>
        </is>
      </c>
      <c r="B35" s="23" t="n">
        <v>4</v>
      </c>
      <c r="C35" s="21" t="inlineStr">
        <is>
          <t>adet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guc_kw</t>
        </is>
      </c>
      <c r="B36" s="23" t="n">
        <v>150</v>
      </c>
      <c r="C36" s="21" t="inlineStr">
        <is>
          <t>kW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gunluk_seans</t>
        </is>
      </c>
      <c r="B37" s="23" t="n">
        <v>28</v>
      </c>
      <c r="C37" s="21" t="inlineStr">
        <is>
          <t>adet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kwh_seans</t>
        </is>
      </c>
      <c r="B38" s="23" t="n">
        <v>35</v>
      </c>
      <c r="C38" s="21" t="inlineStr">
        <is>
          <t>kWh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A39" s="21" t="inlineStr">
        <is>
          <t>kullanim_oran</t>
        </is>
      </c>
      <c r="B39" s="24" t="n">
        <v>0.85</v>
      </c>
      <c r="C39" s="21" t="inlineStr">
        <is>
          <t>oran</t>
        </is>
      </c>
      <c r="D39" s="21" t="inlineStr">
        <is>
          <t>Evet</t>
        </is>
      </c>
      <c r="E39" s="21" t="inlineStr">
        <is>
          <t>GIRDI</t>
        </is>
      </c>
      <c r="F39" s="22">
        <f>IF($A39="","",IF($B39="","EKSİK","TAM"))</f>
        <v/>
      </c>
    </row>
    <row r="40">
      <c r="A40" s="21" t="inlineStr">
        <is>
          <t>perakende</t>
        </is>
      </c>
      <c r="B40" s="25" t="n">
        <v>12</v>
      </c>
      <c r="C40" s="21" t="inlineStr">
        <is>
          <t>TL</t>
        </is>
      </c>
      <c r="D40" s="21" t="inlineStr">
        <is>
          <t>Evet</t>
        </is>
      </c>
      <c r="E40" s="21" t="inlineStr">
        <is>
          <t>GIRDI</t>
        </is>
      </c>
      <c r="F40" s="22">
        <f>IF($A40="","",IF($B40="","EKSİK","TAM"))</f>
        <v/>
      </c>
    </row>
    <row r="41">
      <c r="A41" s="21" t="inlineStr">
        <is>
          <t>toptan</t>
        </is>
      </c>
      <c r="B41" s="25" t="n">
        <v>4.5</v>
      </c>
      <c r="C41" s="21" t="inlineStr">
        <is>
          <t>TL</t>
        </is>
      </c>
      <c r="D41" s="21" t="inlineStr">
        <is>
          <t>Evet</t>
        </is>
      </c>
      <c r="E41" s="21" t="inlineStr">
        <is>
          <t>GIRDI</t>
        </is>
      </c>
      <c r="F41" s="22">
        <f>IF($A41="","",IF($B41="","EKSİK","TAM"))</f>
        <v/>
      </c>
    </row>
    <row r="42">
      <c r="A42" s="21" t="inlineStr">
        <is>
          <t>ag_ucreti</t>
        </is>
      </c>
      <c r="B42" s="25" t="n">
        <v>0.8</v>
      </c>
      <c r="C42" s="21" t="inlineStr">
        <is>
          <t>TL</t>
        </is>
      </c>
      <c r="D42" s="21" t="inlineStr">
        <is>
          <t>Evet</t>
        </is>
      </c>
      <c r="E42" s="21" t="inlineStr">
        <is>
          <t>GIRDI</t>
        </is>
      </c>
      <c r="F42" s="22">
        <f>IF($A42="","",IF($B42="","EKSİK","TAM"))</f>
        <v/>
      </c>
    </row>
    <row r="43">
      <c r="A43" s="21" t="inlineStr">
        <is>
          <t>capex_birim</t>
        </is>
      </c>
      <c r="B43" s="25" t="n">
        <v>1200000</v>
      </c>
      <c r="C43" s="21" t="inlineStr">
        <is>
          <t>TL</t>
        </is>
      </c>
      <c r="D43" s="21" t="inlineStr">
        <is>
          <t>Evet</t>
        </is>
      </c>
      <c r="E43" s="21" t="inlineStr">
        <is>
          <t>GIRDI</t>
        </is>
      </c>
      <c r="F43" s="22">
        <f>IF($A43="","",IF($B43="","EKSİK","TAM"))</f>
        <v/>
      </c>
    </row>
    <row r="44">
      <c r="A44" s="21" t="inlineStr">
        <is>
          <t>tesvik_oran</t>
        </is>
      </c>
      <c r="B44" s="24" t="n">
        <v>0.15</v>
      </c>
      <c r="C44" s="21" t="inlineStr">
        <is>
          <t>oran</t>
        </is>
      </c>
      <c r="D44" s="21" t="inlineStr">
        <is>
          <t>Evet</t>
        </is>
      </c>
      <c r="E44" s="21" t="inlineStr">
        <is>
          <t>GIRDI</t>
        </is>
      </c>
      <c r="F44" s="22">
        <f>IF($A44="","",IF($B44="","EKSİK","TAM"))</f>
        <v/>
      </c>
    </row>
    <row r="45">
      <c r="A45" s="21" t="inlineStr">
        <is>
          <t>opex_bakim</t>
        </is>
      </c>
      <c r="B45" s="25" t="n">
        <v>180000</v>
      </c>
      <c r="C45" s="21" t="inlineStr">
        <is>
          <t>TL</t>
        </is>
      </c>
      <c r="D45" s="21" t="inlineStr">
        <is>
          <t>Evet</t>
        </is>
      </c>
      <c r="E45" s="21" t="inlineStr">
        <is>
          <t>GIRDI</t>
        </is>
      </c>
      <c r="F45" s="22">
        <f>IF($A45="","",IF($B45="","EKSİK","TAM"))</f>
        <v/>
      </c>
    </row>
    <row r="46">
      <c r="A46" s="21" t="inlineStr">
        <is>
          <t>opex_kira</t>
        </is>
      </c>
      <c r="B46" s="25" t="n">
        <v>240000</v>
      </c>
      <c r="C46" s="21" t="inlineStr">
        <is>
          <t>TL</t>
        </is>
      </c>
      <c r="D46" s="21" t="inlineStr">
        <is>
          <t>Evet</t>
        </is>
      </c>
      <c r="E46" s="21" t="inlineStr">
        <is>
          <t>GIRDI</t>
        </is>
      </c>
      <c r="F46" s="22">
        <f>IF($A46="","",IF($B46="","EKSİK","TAM"))</f>
        <v/>
      </c>
    </row>
    <row r="47">
      <c r="A47" s="21" t="inlineStr">
        <is>
          <t>wacc</t>
        </is>
      </c>
      <c r="B47" s="24" t="n">
        <v>0.18</v>
      </c>
      <c r="C47" s="21" t="inlineStr">
        <is>
          <t>oran</t>
        </is>
      </c>
      <c r="D47" s="21" t="inlineStr">
        <is>
          <t>Evet</t>
        </is>
      </c>
      <c r="E47" s="21" t="inlineStr">
        <is>
          <t>GIRDI</t>
        </is>
      </c>
      <c r="F47" s="22">
        <f>IF($A47="","",IF($B47="","EKSİK","TAM"))</f>
        <v/>
      </c>
    </row>
    <row r="48">
      <c r="A48" s="21" t="inlineStr">
        <is>
          <t>npv_donem</t>
        </is>
      </c>
      <c r="B48" s="23" t="n">
        <v>15</v>
      </c>
      <c r="C48" s="21" t="inlineStr">
        <is>
          <t>yıl</t>
        </is>
      </c>
      <c r="D48" s="21" t="inlineStr">
        <is>
          <t>Evet</t>
        </is>
      </c>
      <c r="E48" s="21" t="inlineStr">
        <is>
          <t>GIRDI</t>
        </is>
      </c>
      <c r="F48" s="22">
        <f>IF($A48="","",IF($B48="","EKSİK","TAM"))</f>
        <v/>
      </c>
    </row>
    <row r="49">
      <c r="A49" s="21" t="inlineStr">
        <is>
          <t>kredi_orani</t>
        </is>
      </c>
      <c r="B49" s="24" t="n">
        <v>0.32</v>
      </c>
      <c r="C49" s="21" t="inlineStr">
        <is>
          <t>oran</t>
        </is>
      </c>
      <c r="D49" s="21" t="inlineStr">
        <is>
          <t>Evet</t>
        </is>
      </c>
      <c r="E49" s="21" t="inlineStr">
        <is>
          <t>GIRDI</t>
        </is>
      </c>
      <c r="F49" s="22">
        <f>IF($A49="","",IF($B49="","EKSİK","TAM"))</f>
        <v/>
      </c>
    </row>
    <row r="50">
      <c r="A50" s="21" t="inlineStr">
        <is>
          <t>oz_kaynak_oran</t>
        </is>
      </c>
      <c r="B50" s="24" t="n">
        <v>0.4</v>
      </c>
      <c r="C50" s="21" t="inlineStr">
        <is>
          <t>oran</t>
        </is>
      </c>
      <c r="D50" s="21" t="inlineStr">
        <is>
          <t>Evet</t>
        </is>
      </c>
      <c r="E50" s="21" t="inlineStr">
        <is>
          <t>GIRDI</t>
        </is>
      </c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  <row r="1032" ht="20" customHeight="1">
      <c r="A1032" s="26" t="inlineStr">
        <is>
          <t>Sarı alanlar giriş; tarife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032:AN1032"/>
  </mergeCells>
  <conditionalFormatting sqref="B9:B20">
    <cfRule type="cellIs" priority="1" operator="lessThan" dxfId="0">
      <formula>0</formula>
    </cfRule>
  </conditionalFormatting>
  <conditionalFormatting sqref="B9:B12">
    <cfRule type="cellIs" priority="2" operator="equal" dxfId="1">
      <formula>0</formula>
    </cfRule>
  </conditionalFormatting>
  <conditionalFormatting sqref="F32:F50">
    <cfRule type="expression" priority="3" dxfId="2">
      <formula>F32="EKSİK"</formula>
    </cfRule>
    <cfRule type="expression" priority="4" dxfId="3">
      <formula>F32="TAM"</formula>
    </cfRule>
  </conditionalFormatting>
  <dataValidations count="2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3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9" showDropDown="0" showInputMessage="1" showErrorMessage="1" allowBlank="1" errorTitle="Geçersiz tutar" error="Sınır dışı değer." promptTitle="Soket" prompt="1 ile 100 arasında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Güç" prompt="1 ile 1000 kW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Seans" prompt="0 ile 1000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Wh" prompt="0 ile 500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Perakende" prompt="0 ile 1e6 TL/kWh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Toptan" prompt="0 ile 1e6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Ağ" prompt="0 ile 1e6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 birim" prompt="0 ile 1e12." type="decimal" errorStyle="stop" operator="between">
      <formula1>0</formula1>
      <formula2>1000000000000</formula2>
    </dataValidation>
    <dataValidation sqref="B19" showDropDown="0" showInputMessage="1" showErrorMessage="1" allowBlank="1" errorTitle="Geçersiz tutar" error="Sınır dışı değer." promptTitle="Bakım" prompt="0 ile 1e12." type="decimal" errorStyle="stop" operator="between">
      <formula1>0</formula1>
      <formula2>1000000000000</formula2>
    </dataValidation>
    <dataValidation sqref="B20" showDropDown="0" showInputMessage="1" showErrorMessage="1" allowBlank="1" errorTitle="Geçersiz tutar" error="Sınır dışı değer." promptTitle="Kira" prompt="0 ile 1e12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Soket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Güç" prompt="Tablo: kW." type="decimal" errorStyle="stop" operator="between">
      <formula1>0</formula1>
      <formula2>1000000000000</formula2>
    </dataValidation>
    <dataValidation sqref="B37" showDropDown="0" showInputMessage="1" showErrorMessage="1" allowBlank="1" errorTitle="Geçersiz tutar" error="Sınır dışı değer." promptTitle="Seans" prompt="Tablo: adet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3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4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9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9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50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8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Şarj İstasyonu Yatırım Simülatörü</t>
        </is>
      </c>
    </row>
    <row r="3">
      <c r="A3" s="9" t="inlineStr">
        <is>
          <t>Model varsayımları — her satırda kaynak ve güven</t>
        </is>
      </c>
    </row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7" t="inlineStr">
        <is>
          <t>V-01</t>
        </is>
      </c>
      <c r="B6" s="7" t="inlineStr">
        <is>
          <t>Seans başına kWh</t>
        </is>
      </c>
      <c r="C6" s="28" t="inlineStr">
        <is>
          <t>35</t>
        </is>
      </c>
      <c r="D6" s="7" t="inlineStr">
        <is>
          <t>kWh</t>
        </is>
      </c>
      <c r="E6" s="28" t="inlineStr">
        <is>
          <t>İşletme planı</t>
        </is>
      </c>
      <c r="F6" s="28" t="inlineStr">
        <is>
          <t>yumuşak</t>
        </is>
      </c>
      <c r="G6" s="7" t="inlineStr">
        <is>
          <t>yüksek</t>
        </is>
      </c>
      <c r="H6" s="22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Günlük seans</t>
        </is>
      </c>
      <c r="C7" s="28" t="inlineStr">
        <is>
          <t>28</t>
        </is>
      </c>
      <c r="D7" s="7" t="inlineStr">
        <is>
          <t>adet</t>
        </is>
      </c>
      <c r="E7" s="28" t="inlineStr">
        <is>
          <t>Trafik tahmini</t>
        </is>
      </c>
      <c r="F7" s="28" t="inlineStr">
        <is>
          <t>yumuşak</t>
        </is>
      </c>
      <c r="G7" s="7" t="inlineStr">
        <is>
          <t>yüksek</t>
        </is>
      </c>
      <c r="H7" s="22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Kullanım oranı</t>
        </is>
      </c>
      <c r="C8" s="28" t="inlineStr">
        <is>
          <t>0.85</t>
        </is>
      </c>
      <c r="D8" s="7" t="inlineStr">
        <is>
          <t>oran</t>
        </is>
      </c>
      <c r="E8" s="28" t="inlineStr">
        <is>
          <t>Saha gözlemi</t>
        </is>
      </c>
      <c r="F8" s="28" t="inlineStr">
        <is>
          <t>yumuşak</t>
        </is>
      </c>
      <c r="G8" s="7" t="inlineStr">
        <is>
          <t>yüksek</t>
        </is>
      </c>
      <c r="H8" s="22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28" t="inlineStr">
        <is>
          <t>12</t>
        </is>
      </c>
      <c r="D9" s="7" t="inlineStr">
        <is>
          <t>TL/kWh</t>
        </is>
      </c>
      <c r="E9" s="28" t="inlineStr">
        <is>
          <t>EPDK / perakende</t>
        </is>
      </c>
      <c r="F9" s="28" t="inlineStr">
        <is>
          <t>sert</t>
        </is>
      </c>
      <c r="G9" s="7" t="inlineStr">
        <is>
          <t>orta</t>
        </is>
      </c>
      <c r="H9" s="22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Toptan enerji</t>
        </is>
      </c>
      <c r="C10" s="28" t="inlineStr">
        <is>
          <t>4.50</t>
        </is>
      </c>
      <c r="D10" s="7" t="inlineStr">
        <is>
          <t>TL/kWh</t>
        </is>
      </c>
      <c r="E10" s="28" t="inlineStr">
        <is>
          <t>Tedarik sözleşmesi</t>
        </is>
      </c>
      <c r="F10" s="28" t="inlineStr">
        <is>
          <t>yumuşak</t>
        </is>
      </c>
      <c r="G10" s="7" t="inlineStr">
        <is>
          <t>yüksek</t>
        </is>
      </c>
      <c r="H10" s="22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Teşvik oranı</t>
        </is>
      </c>
      <c r="C11" s="28" t="inlineStr">
        <is>
          <t>0.15</t>
        </is>
      </c>
      <c r="D11" s="7" t="inlineStr">
        <is>
          <t>oran</t>
        </is>
      </c>
      <c r="E11" s="28" t="inlineStr">
        <is>
          <t>Teşvik programı — yenilenebilir</t>
        </is>
      </c>
      <c r="F11" s="28" t="inlineStr">
        <is>
          <t>yumuşak</t>
        </is>
      </c>
      <c r="G11" s="7" t="inlineStr">
        <is>
          <t>yüksek</t>
        </is>
      </c>
      <c r="H11" s="22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8" t="inlineStr">
        <is>
          <t>0.18</t>
        </is>
      </c>
      <c r="D12" s="7" t="inlineStr">
        <is>
          <t>oran</t>
        </is>
      </c>
      <c r="E12" s="28" t="inlineStr">
        <is>
          <t>Finans komitesi</t>
        </is>
      </c>
      <c r="F12" s="28" t="inlineStr">
        <is>
          <t>yumuşak</t>
        </is>
      </c>
      <c r="G12" s="7" t="inlineStr">
        <is>
          <t>yüksek</t>
        </is>
      </c>
      <c r="H12" s="22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kullanım şoku</t>
        </is>
      </c>
      <c r="C13" s="28" t="inlineStr">
        <is>
          <t>-25%</t>
        </is>
      </c>
      <c r="D13" s="7" t="inlineStr">
        <is>
          <t>oran</t>
        </is>
      </c>
      <c r="E13" s="28" t="inlineStr">
        <is>
          <t>Stres testi</t>
        </is>
      </c>
      <c r="F13" s="28" t="inlineStr">
        <is>
          <t>yumuşak</t>
        </is>
      </c>
      <c r="G13" s="7" t="inlineStr">
        <is>
          <t>yüksek</t>
        </is>
      </c>
      <c r="H13" s="22">
        <f>IF($A13="","",IF(OR($E13="",$F13=""),"EKSİK","TAM"))</f>
        <v/>
      </c>
    </row>
    <row r="15">
      <c r="J15" s="10" t="inlineStr">
        <is>
          <t>CAPEX / YATIRIM net (ayna)</t>
        </is>
      </c>
      <c r="K15" s="29">
        <f>IFERROR(siy_netCapex,0)</f>
        <v/>
      </c>
    </row>
    <row r="16">
      <c r="J16" s="10" t="inlineStr">
        <is>
          <t>OPEX / ISLETME yıllık (ayna)</t>
        </is>
      </c>
      <c r="K16" s="29">
        <f>IFERROR(siy_opexYillik,0)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4" customWidth="1" min="11" max="11"/>
  </cols>
  <sheetData>
    <row r="1" ht="26" customHeight="1">
      <c r="A1" s="1" t="inlineStr">
        <is>
          <t>KURALLAR — Şarj İstasyonu Yatırım Simülatörü</t>
        </is>
      </c>
    </row>
    <row r="3">
      <c r="A3" s="30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0" t="inlineStr">
        <is>
          <t>kural_id</t>
        </is>
      </c>
      <c r="B6" s="20" t="inlineStr">
        <is>
          <t>madde</t>
        </is>
      </c>
      <c r="C6" s="20" t="inlineStr">
        <is>
          <t>kural_adi</t>
        </is>
      </c>
      <c r="D6" s="20" t="inlineStr">
        <is>
          <t>kosul_metni</t>
        </is>
      </c>
      <c r="E6" s="20" t="inlineStr">
        <is>
          <t>parametre_adi</t>
        </is>
      </c>
      <c r="F6" s="20" t="inlineStr">
        <is>
          <t>deger_2025</t>
        </is>
      </c>
      <c r="G6" s="20" t="inlineStr">
        <is>
          <t>deger_2026</t>
        </is>
      </c>
      <c r="H6" s="20" t="inlineStr">
        <is>
          <t>deger_2027</t>
        </is>
      </c>
      <c r="I6" s="20" t="inlineStr">
        <is>
          <t>yururluk</t>
        </is>
      </c>
      <c r="J6" s="20" t="inlineStr">
        <is>
          <t>kaynak</t>
        </is>
      </c>
      <c r="K6" s="20" t="inlineStr">
        <is>
          <t>aktif_deger</t>
        </is>
      </c>
    </row>
    <row r="7">
      <c r="A7" s="7" t="inlineStr">
        <is>
          <t>SIY-001</t>
        </is>
      </c>
      <c r="B7" s="7" t="inlineStr">
        <is>
          <t>Teşvik programı</t>
        </is>
      </c>
      <c r="C7" s="7" t="inlineStr">
        <is>
          <t>tesvik_orani</t>
        </is>
      </c>
      <c r="D7" s="7" t="inlineStr">
        <is>
          <t>CAPEX × (1−oran)</t>
        </is>
      </c>
      <c r="E7" s="7" t="inlineStr">
        <is>
          <t>tesvik_orani</t>
        </is>
      </c>
      <c r="F7" s="31" t="n">
        <v>0.1</v>
      </c>
      <c r="G7" s="31" t="n">
        <v>0.15</v>
      </c>
      <c r="H7" s="31" t="n">
        <v>0.15</v>
      </c>
      <c r="I7" s="7" t="inlineStr">
        <is>
          <t>01.01.2025</t>
        </is>
      </c>
      <c r="J7" s="7" t="inlineStr">
        <is>
          <t>Şarj teşvik oranı</t>
        </is>
      </c>
      <c r="K7" s="32">
        <f>IF($A7="","",IFERROR(INDEX(CHOOSE(MAX(1,MIN(3,IF(OR(hesapYili="",hesapYili=0),1,hesapYili-siy_yilTaban))),$F7,$G7,$H7),1),0))</f>
        <v/>
      </c>
    </row>
    <row r="8">
      <c r="A8" s="7" t="inlineStr">
        <is>
          <t>SIY-002</t>
        </is>
      </c>
      <c r="B8" s="7" t="inlineStr">
        <is>
          <t>Ağ ücreti tavan</t>
        </is>
      </c>
      <c r="C8" s="7" t="inlineStr">
        <is>
          <t>ag_tavan</t>
        </is>
      </c>
      <c r="D8" s="7" t="inlineStr">
        <is>
          <t>₺/kWh tavan</t>
        </is>
      </c>
      <c r="E8" s="7" t="inlineStr">
        <is>
          <t>ag_tavan</t>
        </is>
      </c>
      <c r="F8" s="33" t="n">
        <v>1</v>
      </c>
      <c r="G8" s="33" t="n">
        <v>1.2</v>
      </c>
      <c r="H8" s="33" t="n">
        <v>1.2</v>
      </c>
      <c r="I8" s="7" t="inlineStr">
        <is>
          <t>01.01.2025</t>
        </is>
      </c>
      <c r="J8" s="7" t="inlineStr">
        <is>
          <t>Ağ ücret tavanı</t>
        </is>
      </c>
      <c r="K8" s="32">
        <f>IF($A8="","",IFERROR(INDEX(CHOOSE(MAX(1,MIN(3,IF(OR(hesapYili="",hesapYili=0),1,hesapYili-siy_yilTaban))),$F8,$G8,$H8),1),0))</f>
        <v/>
      </c>
    </row>
    <row r="9">
      <c r="A9" s="7" t="inlineStr">
        <is>
          <t>SIY-003</t>
        </is>
      </c>
      <c r="B9" s="7" t="inlineStr">
        <is>
          <t>Bakım oranı</t>
        </is>
      </c>
      <c r="C9" s="7" t="inlineStr">
        <is>
          <t>bakim_oran</t>
        </is>
      </c>
      <c r="D9" s="7" t="inlineStr">
        <is>
          <t>CAPEX × oran</t>
        </is>
      </c>
      <c r="E9" s="7" t="inlineStr">
        <is>
          <t>bakim_oran</t>
        </is>
      </c>
      <c r="F9" s="31" t="n">
        <v>0.03</v>
      </c>
      <c r="G9" s="31" t="n">
        <v>0.035</v>
      </c>
      <c r="H9" s="31" t="n">
        <v>0.04</v>
      </c>
      <c r="I9" s="7" t="inlineStr">
        <is>
          <t>01.01.2025</t>
        </is>
      </c>
      <c r="J9" s="7" t="inlineStr">
        <is>
          <t>Yıllık bakım oranı</t>
        </is>
      </c>
      <c r="K9" s="32">
        <f>IF($A9="","",IFERROR(INDEX(CHOOSE(MAX(1,MIN(3,IF(OR(hesapYili="",hesapYili=0),1,hesapYili-siy_yilTaban))),$F9,$G9,$H9),1),0))</f>
        <v/>
      </c>
    </row>
    <row r="10">
      <c r="A10" s="7" t="inlineStr">
        <is>
          <t>SIY-004</t>
        </is>
      </c>
      <c r="B10" s="7" t="inlineStr">
        <is>
          <t>Hedef marj</t>
        </is>
      </c>
      <c r="C10" s="7" t="inlineStr">
        <is>
          <t>hedef_marj</t>
        </is>
      </c>
      <c r="D10" s="7" t="inlineStr">
        <is>
          <t>₺/kWh ≥ eşik</t>
        </is>
      </c>
      <c r="E10" s="7" t="inlineStr">
        <is>
          <t>hedef_marj</t>
        </is>
      </c>
      <c r="F10" s="33" t="n">
        <v>4</v>
      </c>
      <c r="G10" s="33" t="n">
        <v>4.5</v>
      </c>
      <c r="H10" s="33" t="n">
        <v>5</v>
      </c>
      <c r="I10" s="7" t="inlineStr">
        <is>
          <t>01.01.2025</t>
        </is>
      </c>
      <c r="J10" s="7" t="inlineStr">
        <is>
          <t>Enerji birim marjı</t>
        </is>
      </c>
      <c r="K10" s="32">
        <f>IF($A10="","",IFERROR(INDEX(CHOOSE(MAX(1,MIN(3,IF(OR(hesapYili="",hesapYili=0),1,hesapYili-siy_yilTaban))),$F10,$G10,$H10),1),0))</f>
        <v/>
      </c>
    </row>
    <row r="11">
      <c r="A11" s="7" t="inlineStr">
        <is>
          <t>SIY-005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ROUND basamak</t>
        </is>
      </c>
      <c r="E11" s="7" t="inlineStr">
        <is>
          <t>yuvarlama</t>
        </is>
      </c>
      <c r="F11" s="34" t="n">
        <v>0</v>
      </c>
      <c r="G11" s="34" t="n">
        <v>0</v>
      </c>
      <c r="H11" s="34" t="n">
        <v>0</v>
      </c>
      <c r="I11" s="7" t="inlineStr">
        <is>
          <t>01.01.2025</t>
        </is>
      </c>
      <c r="J11" s="7" t="inlineStr">
        <is>
          <t>Yuvarlama ondalık</t>
        </is>
      </c>
      <c r="K11" s="32">
        <f>IF($A11="","",IFERROR(INDEX(CHOOSE(MAX(1,MIN(3,IF(OR(hesapYili="",hesapYili=0),1,hesapYili-siy_yilTaban))),$F11,$G11,$H11),1),0))</f>
        <v/>
      </c>
    </row>
    <row r="13">
      <c r="A13" s="7" t="inlineStr">
        <is>
          <t>Aktif teşvik</t>
        </is>
      </c>
      <c r="B13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14">
      <c r="A14" s="7" t="inlineStr">
        <is>
          <t>Aktif hedef marj</t>
        </is>
      </c>
      <c r="B14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5">
      <c r="A15" s="10" t="inlineStr">
        <is>
          <t>Kural yıl matrisi özeti</t>
        </is>
      </c>
      <c r="B15" s="35">
        <f>_xlfn.TEXTJOIN(" | ",TRUE,"SIY-001 teşvik",TEXT(K7,"0.0%"),"SIY-004 marj",TEXT(K10,"₺ #,##0.00"))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6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Şarj İstasyonu Yatırım Simülatörü</t>
        </is>
      </c>
    </row>
    <row r="3">
      <c r="A3" s="30" t="inlineStr">
        <is>
          <t>Hesap zinciri — şarj istasyonu nakit akışı</t>
        </is>
      </c>
    </row>
    <row r="4">
      <c r="A4" s="4" t="inlineStr">
        <is>
          <t>CAPEX/OPEX ayrık; tarifeler tblKurallar'dan.</t>
        </is>
      </c>
    </row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ne_ise_yarar</t>
        </is>
      </c>
      <c r="F6" s="20" t="inlineStr">
        <is>
          <t>kural_id</t>
        </is>
      </c>
      <c r="G6" s="20" t="inlineStr">
        <is>
          <t>deger</t>
        </is>
      </c>
    </row>
    <row r="7">
      <c r="A7" s="36" t="n">
        <v>1</v>
      </c>
      <c r="B7" s="37" t="inlineStr">
        <is>
          <t>Hesap yılı oku</t>
        </is>
      </c>
      <c r="C7" s="38">
        <f>IFERROR(hesapYili,0)</f>
        <v/>
      </c>
      <c r="D7" s="39" t="inlineStr">
        <is>
          <t>yıl</t>
        </is>
      </c>
      <c r="E7" s="6" t="inlineStr">
        <is>
          <t>Aktif kural yılı</t>
        </is>
      </c>
      <c r="F7" s="40" t="inlineStr">
        <is>
          <t>SIY-005</t>
        </is>
      </c>
      <c r="G7" s="19">
        <f>IFERROR(hesapYili,0)</f>
        <v/>
      </c>
    </row>
    <row r="8">
      <c r="A8" s="36" t="n">
        <v>2</v>
      </c>
      <c r="B8" s="37" t="inlineStr">
        <is>
          <t>Teşvik oranı (kural)</t>
        </is>
      </c>
      <c r="C8" s="41">
        <f>IFERROR(INDEX(CHOOSE(MAX(1,MIN(3,IF(OR(hesapYili="",hesapYili=0),1,hesapYili-siy_yilTaban))),tblKurallar[deger_2025],tblKurallar[deger_2026],tblKurallar[deger_2027]),MATCH("SIY-001",tblKurallar[kural_id],0)),0)</f>
        <v/>
      </c>
      <c r="D8" s="39" t="inlineStr">
        <is>
          <t>oran</t>
        </is>
      </c>
      <c r="E8" s="6" t="inlineStr">
        <is>
          <t>Teşvik oranı</t>
        </is>
      </c>
      <c r="F8" s="40" t="inlineStr">
        <is>
          <t>SIY-001</t>
        </is>
      </c>
      <c r="G8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9">
      <c r="A9" s="36" t="n">
        <v>3</v>
      </c>
      <c r="B9" s="37" t="inlineStr">
        <is>
          <t>Ağ tavan (kural)</t>
        </is>
      </c>
      <c r="C9" s="42">
        <f>IFERROR(INDEX(CHOOSE(MAX(1,MIN(3,IF(OR(hesapYili="",hesapYili=0),1,hesapYili-siy_yilTaban))),tblKurallar[deger_2025],tblKurallar[deger_2026],tblKurallar[deger_2027]),MATCH("SIY-002",tblKurallar[kural_id],0)),0)</f>
        <v/>
      </c>
      <c r="D9" s="39" t="inlineStr">
        <is>
          <t>TL</t>
        </is>
      </c>
      <c r="E9" s="6" t="inlineStr">
        <is>
          <t>Ağ ücret tavanı</t>
        </is>
      </c>
      <c r="F9" s="40" t="inlineStr">
        <is>
          <t>SIY-002</t>
        </is>
      </c>
      <c r="G9" s="29">
        <f>IFERROR(INDEX(CHOOSE(MAX(1,MIN(3,IF(OR(hesapYili="",hesapYili=0),1,hesapYili-siy_yilTaban))),tblKurallar[deger_2025],tblKurallar[deger_2026],tblKurallar[deger_2027]),MATCH("SIY-002",tblKurallar[kural_id],0)),0)</f>
        <v/>
      </c>
    </row>
    <row r="10">
      <c r="A10" s="36" t="n">
        <v>4</v>
      </c>
      <c r="B10" s="37" t="inlineStr">
        <is>
          <t>Bakım oranı (kural)</t>
        </is>
      </c>
      <c r="C10" s="41">
        <f>IFERROR(INDEX(CHOOSE(MAX(1,MIN(3,IF(OR(hesapYili="",hesapYili=0),1,hesapYili-siy_yilTaban))),tblKurallar[deger_2025],tblKurallar[deger_2026],tblKurallar[deger_2027]),MATCH("SIY-003",tblKurallar[kural_id],0)),0)</f>
        <v/>
      </c>
      <c r="D10" s="39" t="inlineStr">
        <is>
          <t>oran</t>
        </is>
      </c>
      <c r="E10" s="6" t="inlineStr">
        <is>
          <t>Bakım oranı</t>
        </is>
      </c>
      <c r="F10" s="40" t="inlineStr">
        <is>
          <t>SIY-003</t>
        </is>
      </c>
      <c r="G10" s="17">
        <f>IFERROR(INDEX(CHOOSE(MAX(1,MIN(3,IF(OR(hesapYili="",hesapYili=0),1,hesapYili-siy_yilTaban))),tblKurallar[deger_2025],tblKurallar[deger_2026],tblKurallar[deger_2027]),MATCH("SIY-003",tblKurallar[kural_id],0)),0)</f>
        <v/>
      </c>
    </row>
    <row r="11">
      <c r="A11" s="36" t="n">
        <v>5</v>
      </c>
      <c r="B11" s="37" t="inlineStr">
        <is>
          <t>Hedef marj (kural)</t>
        </is>
      </c>
      <c r="C11" s="42">
        <f>IFERROR(INDEX(CHOOSE(MAX(1,MIN(3,IF(OR(hesapYili="",hesapYili=0),1,hesapYili-siy_yilTaban))),tblKurallar[deger_2025],tblKurallar[deger_2026],tblKurallar[deger_2027]),MATCH("SIY-004",tblKurallar[kural_id],0)),0)</f>
        <v/>
      </c>
      <c r="D11" s="39" t="inlineStr">
        <is>
          <t>TL</t>
        </is>
      </c>
      <c r="E11" s="6" t="inlineStr">
        <is>
          <t>Hedef ₺/kWh marj</t>
        </is>
      </c>
      <c r="F11" s="40" t="inlineStr">
        <is>
          <t>SIY-004</t>
        </is>
      </c>
      <c r="G11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2">
      <c r="A12" s="36" t="n">
        <v>6</v>
      </c>
      <c r="B12" s="37" t="inlineStr">
        <is>
          <t>Yuvarlama ondalık</t>
        </is>
      </c>
      <c r="C12" s="38">
        <f>IFERROR(INDEX(CHOOSE(MAX(1,MIN(3,IF(OR(hesapYili="",hesapYili=0),1,hesapYili-siy_yilTaban))),tblKurallar[deger_2025],tblKurallar[deger_2026],tblKurallar[deger_2027]),MATCH("SIY-005",tblKurallar[kural_id],0)),0)</f>
        <v/>
      </c>
      <c r="D12" s="39" t="inlineStr">
        <is>
          <t>adet</t>
        </is>
      </c>
      <c r="E12" s="6" t="inlineStr">
        <is>
          <t>Yuvarlama basamağı</t>
        </is>
      </c>
      <c r="F12" s="40" t="inlineStr">
        <is>
          <t>SIY-005</t>
        </is>
      </c>
      <c r="G12" s="19">
        <f>IFERROR(INDEX(CHOOSE(MAX(1,MIN(3,IF(OR(hesapYili="",hesapYili=0),1,hesapYili-siy_yilTaban))),tblKurallar[deger_2025],tblKurallar[deger_2026],tblKurallar[deger_2027]),MATCH("SIY-005",tblKurallar[kural_id],0)),0)</f>
        <v/>
      </c>
    </row>
    <row r="13">
      <c r="A13" s="36" t="n">
        <v>7</v>
      </c>
      <c r="B13" s="37" t="inlineStr">
        <is>
          <t>Soket adedi</t>
        </is>
      </c>
      <c r="C13" s="38">
        <f>IFERROR(GIRDI!B9,0)</f>
        <v/>
      </c>
      <c r="D13" s="39" t="inlineStr">
        <is>
          <t>adet</t>
        </is>
      </c>
      <c r="E13" s="6" t="inlineStr">
        <is>
          <t>Soket sayısı</t>
        </is>
      </c>
      <c r="F13" s="40" t="inlineStr">
        <is>
          <t>SIY-005</t>
        </is>
      </c>
      <c r="G13" s="19">
        <f>IFERROR(GIRDI!B9,0)</f>
        <v/>
      </c>
    </row>
    <row r="14">
      <c r="A14" s="36" t="n">
        <v>8</v>
      </c>
      <c r="B14" s="37" t="inlineStr">
        <is>
          <t>Güç kW</t>
        </is>
      </c>
      <c r="C14" s="38">
        <f>IFERROR(GIRDI!B10,0)</f>
        <v/>
      </c>
      <c r="D14" s="39" t="inlineStr">
        <is>
          <t>adet</t>
        </is>
      </c>
      <c r="E14" s="6" t="inlineStr">
        <is>
          <t>Soket gücü</t>
        </is>
      </c>
      <c r="F14" s="40" t="inlineStr">
        <is>
          <t>SIY-005</t>
        </is>
      </c>
      <c r="G14" s="19">
        <f>IFERROR(GIRDI!B10,0)</f>
        <v/>
      </c>
    </row>
    <row r="15">
      <c r="A15" s="36" t="n">
        <v>9</v>
      </c>
      <c r="B15" s="37" t="inlineStr">
        <is>
          <t>Günlük seans</t>
        </is>
      </c>
      <c r="C15" s="38">
        <f>IFERROR(GIRDI!B11,0)</f>
        <v/>
      </c>
      <c r="D15" s="39" t="inlineStr">
        <is>
          <t>adet</t>
        </is>
      </c>
      <c r="E15" s="6" t="inlineStr">
        <is>
          <t>Günlük seans</t>
        </is>
      </c>
      <c r="F15" s="40" t="inlineStr">
        <is>
          <t>SIY-005</t>
        </is>
      </c>
      <c r="G15" s="19">
        <f>IFERROR(GIRDI!B11,0)</f>
        <v/>
      </c>
    </row>
    <row r="16">
      <c r="A16" s="36" t="n">
        <v>10</v>
      </c>
      <c r="B16" s="37" t="inlineStr">
        <is>
          <t>Seans kWh</t>
        </is>
      </c>
      <c r="C16" s="38">
        <f>IFERROR(GIRDI!B12,0)</f>
        <v/>
      </c>
      <c r="D16" s="39" t="inlineStr">
        <is>
          <t>adet</t>
        </is>
      </c>
      <c r="E16" s="6" t="inlineStr">
        <is>
          <t>Seans enerjisi</t>
        </is>
      </c>
      <c r="F16" s="40" t="inlineStr">
        <is>
          <t>SIY-005</t>
        </is>
      </c>
      <c r="G16" s="19">
        <f>IFERROR(GIRDI!B12,0)</f>
        <v/>
      </c>
    </row>
    <row r="17">
      <c r="A17" s="36" t="n">
        <v>11</v>
      </c>
      <c r="B17" s="37" t="inlineStr">
        <is>
          <t>Kullanım oranı</t>
        </is>
      </c>
      <c r="C17" s="41">
        <f>IFERROR(GIRDI!B13,0)</f>
        <v/>
      </c>
      <c r="D17" s="39" t="inlineStr">
        <is>
          <t>oran</t>
        </is>
      </c>
      <c r="E17" s="6" t="inlineStr">
        <is>
          <t>Kullanım çarpanı</t>
        </is>
      </c>
      <c r="F17" s="40" t="inlineStr">
        <is>
          <t>SIY-005</t>
        </is>
      </c>
      <c r="G17" s="17">
        <f>IFERROR(GIRDI!B13,0)</f>
        <v/>
      </c>
    </row>
    <row r="18">
      <c r="A18" s="36" t="n">
        <v>12</v>
      </c>
      <c r="B18" s="37" t="inlineStr">
        <is>
          <t>Perakende ₺/kWh</t>
        </is>
      </c>
      <c r="C18" s="42">
        <f>IFERROR(GIRDI!B14,0)</f>
        <v/>
      </c>
      <c r="D18" s="39" t="inlineStr">
        <is>
          <t>TL</t>
        </is>
      </c>
      <c r="E18" s="6" t="inlineStr">
        <is>
          <t>Satış tarifesi</t>
        </is>
      </c>
      <c r="F18" s="40" t="inlineStr">
        <is>
          <t>SIY-004</t>
        </is>
      </c>
      <c r="G18" s="29">
        <f>IFERROR(GIRDI!B14,0)</f>
        <v/>
      </c>
    </row>
    <row r="19">
      <c r="A19" s="36" t="n">
        <v>13</v>
      </c>
      <c r="B19" s="37" t="inlineStr">
        <is>
          <t>Toptan ₺/kWh</t>
        </is>
      </c>
      <c r="C19" s="42">
        <f>IFERROR(GIRDI!B15,0)</f>
        <v/>
      </c>
      <c r="D19" s="39" t="inlineStr">
        <is>
          <t>TL</t>
        </is>
      </c>
      <c r="E19" s="6" t="inlineStr">
        <is>
          <t>Enerji maliyeti</t>
        </is>
      </c>
      <c r="F19" s="40" t="inlineStr">
        <is>
          <t>SIY-004</t>
        </is>
      </c>
      <c r="G19" s="29">
        <f>IFERROR(GIRDI!B15,0)</f>
        <v/>
      </c>
    </row>
    <row r="20">
      <c r="A20" s="36" t="n">
        <v>14</v>
      </c>
      <c r="B20" s="37" t="inlineStr">
        <is>
          <t>Ağ ücreti ₺/kWh</t>
        </is>
      </c>
      <c r="C20" s="42">
        <f>IFERROR(GIRDI!B16,0)</f>
        <v/>
      </c>
      <c r="D20" s="39" t="inlineStr">
        <is>
          <t>TL</t>
        </is>
      </c>
      <c r="E20" s="6" t="inlineStr">
        <is>
          <t>Ağ ücreti</t>
        </is>
      </c>
      <c r="F20" s="40" t="inlineStr">
        <is>
          <t>SIY-002</t>
        </is>
      </c>
      <c r="G20" s="29">
        <f>IFERROR(GIRDI!B16,0)</f>
        <v/>
      </c>
    </row>
    <row r="21">
      <c r="A21" s="36" t="n">
        <v>15</v>
      </c>
      <c r="B21" s="37" t="inlineStr">
        <is>
          <t>CAPEX birim</t>
        </is>
      </c>
      <c r="C21" s="42">
        <f>IFERROR(GIRDI!B17,0)</f>
        <v/>
      </c>
      <c r="D21" s="39" t="inlineStr">
        <is>
          <t>TL</t>
        </is>
      </c>
      <c r="E21" s="6" t="inlineStr">
        <is>
          <t>Soket CAPEX</t>
        </is>
      </c>
      <c r="F21" s="40" t="inlineStr">
        <is>
          <t>SIY-001</t>
        </is>
      </c>
      <c r="G21" s="29">
        <f>IFERROR(GIRDI!B17,0)</f>
        <v/>
      </c>
    </row>
    <row r="22">
      <c r="A22" s="36" t="n">
        <v>16</v>
      </c>
      <c r="B22" s="37" t="inlineStr">
        <is>
          <t>Teşvik giriş</t>
        </is>
      </c>
      <c r="C22" s="41">
        <f>IFERROR(GIRDI!B18,0)</f>
        <v/>
      </c>
      <c r="D22" s="39" t="inlineStr">
        <is>
          <t>oran</t>
        </is>
      </c>
      <c r="E22" s="6" t="inlineStr">
        <is>
          <t>Giriş teşvik</t>
        </is>
      </c>
      <c r="F22" s="40" t="inlineStr">
        <is>
          <t>SIY-001</t>
        </is>
      </c>
      <c r="G22" s="17">
        <f>IFERROR(GIRDI!B18,0)</f>
        <v/>
      </c>
    </row>
    <row r="23">
      <c r="A23" s="36" t="n">
        <v>17</v>
      </c>
      <c r="B23" s="37" t="inlineStr">
        <is>
          <t>OPEX bakım</t>
        </is>
      </c>
      <c r="C23" s="42">
        <f>IFERROR(GIRDI!B19,0)</f>
        <v/>
      </c>
      <c r="D23" s="39" t="inlineStr">
        <is>
          <t>TL</t>
        </is>
      </c>
      <c r="E23" s="6" t="inlineStr">
        <is>
          <t>Yıllık bakım</t>
        </is>
      </c>
      <c r="F23" s="40" t="inlineStr">
        <is>
          <t>SIY-003</t>
        </is>
      </c>
      <c r="G23" s="29">
        <f>IFERROR(GIRDI!B19,0)</f>
        <v/>
      </c>
    </row>
    <row r="24">
      <c r="A24" s="36" t="n">
        <v>18</v>
      </c>
      <c r="B24" s="37" t="inlineStr">
        <is>
          <t>OPEX kira</t>
        </is>
      </c>
      <c r="C24" s="42">
        <f>IFERROR(GIRDI!B20,0)</f>
        <v/>
      </c>
      <c r="D24" s="39" t="inlineStr">
        <is>
          <t>TL</t>
        </is>
      </c>
      <c r="E24" s="6" t="inlineStr">
        <is>
          <t>Yıllık kira</t>
        </is>
      </c>
      <c r="F24" s="40" t="inlineStr">
        <is>
          <t>SIY-005</t>
        </is>
      </c>
      <c r="G24" s="29">
        <f>IFERROR(GIRDI!B20,0)</f>
        <v/>
      </c>
    </row>
    <row r="25">
      <c r="A25" s="36" t="n">
        <v>19</v>
      </c>
      <c r="B25" s="37" t="inlineStr">
        <is>
          <t>WACC</t>
        </is>
      </c>
      <c r="C25" s="41">
        <f>IFERROR(GIRDI!B21,0)</f>
        <v/>
      </c>
      <c r="D25" s="39" t="inlineStr">
        <is>
          <t>oran</t>
        </is>
      </c>
      <c r="E25" s="6" t="inlineStr">
        <is>
          <t>İskonto</t>
        </is>
      </c>
      <c r="F25" s="40" t="inlineStr">
        <is>
          <t>SIY-005</t>
        </is>
      </c>
      <c r="G25" s="17">
        <f>IFERROR(GIRDI!B21,0)</f>
        <v/>
      </c>
    </row>
    <row r="26">
      <c r="A26" s="36" t="n">
        <v>20</v>
      </c>
      <c r="B26" s="37" t="inlineStr">
        <is>
          <t>NPV dönem</t>
        </is>
      </c>
      <c r="C26" s="38">
        <f>IFERROR(GIRDI!B22,0)</f>
        <v/>
      </c>
      <c r="D26" s="39" t="inlineStr">
        <is>
          <t>adet</t>
        </is>
      </c>
      <c r="E26" s="6" t="inlineStr">
        <is>
          <t>Yıl sayısı</t>
        </is>
      </c>
      <c r="F26" s="40" t="inlineStr">
        <is>
          <t>SIY-005</t>
        </is>
      </c>
      <c r="G26" s="19">
        <f>IFERROR(GIRDI!B22,0)</f>
        <v/>
      </c>
    </row>
    <row r="27">
      <c r="A27" s="36" t="n">
        <v>21</v>
      </c>
      <c r="B27" s="37" t="inlineStr">
        <is>
          <t>Kredi faiz</t>
        </is>
      </c>
      <c r="C27" s="41">
        <f>IFERROR(GIRDI!B23,0)</f>
        <v/>
      </c>
      <c r="D27" s="39" t="inlineStr">
        <is>
          <t>oran</t>
        </is>
      </c>
      <c r="E27" s="6" t="inlineStr">
        <is>
          <t>Kredi senaryosu</t>
        </is>
      </c>
      <c r="F27" s="40" t="inlineStr">
        <is>
          <t>SIY-005</t>
        </is>
      </c>
      <c r="G27" s="17">
        <f>IFERROR(GIRDI!B23,0)</f>
        <v/>
      </c>
    </row>
    <row r="28">
      <c r="A28" s="36" t="n">
        <v>22</v>
      </c>
      <c r="B28" s="37" t="inlineStr">
        <is>
          <t>Öz kaynak oranı</t>
        </is>
      </c>
      <c r="C28" s="41">
        <f>IFERROR(GIRDI!B24,0)</f>
        <v/>
      </c>
      <c r="D28" s="39" t="inlineStr">
        <is>
          <t>oran</t>
        </is>
      </c>
      <c r="E28" s="6" t="inlineStr">
        <is>
          <t>Öz kaynak payı</t>
        </is>
      </c>
      <c r="F28" s="40" t="inlineStr">
        <is>
          <t>SIY-005</t>
        </is>
      </c>
      <c r="G28" s="17">
        <f>IFERROR(GIRDI!B24,0)</f>
        <v/>
      </c>
    </row>
    <row r="29">
      <c r="A29" s="36" t="n">
        <v>23</v>
      </c>
      <c r="B29" s="37" t="inlineStr">
        <is>
          <t>Brüt CAPEX / YATIRIM</t>
        </is>
      </c>
      <c r="C29" s="42">
        <f>IFERROR(ROUND(G13*G21,MAX(0,MIN(siy_yuvarMax,IFERROR(N(G12),0)))),0)</f>
        <v/>
      </c>
      <c r="D29" s="39" t="inlineStr">
        <is>
          <t>TL</t>
        </is>
      </c>
      <c r="E29" s="6" t="inlineStr">
        <is>
          <t>Soket×birim</t>
        </is>
      </c>
      <c r="F29" s="40" t="inlineStr">
        <is>
          <t>SIY-001</t>
        </is>
      </c>
      <c r="G29" s="29">
        <f>IFERROR(ROUND(G13*G21,MAX(0,MIN(siy_yuvarMax,IFERROR(N(G12),0)))),0)</f>
        <v/>
      </c>
    </row>
    <row r="30">
      <c r="A30" s="36" t="n">
        <v>24</v>
      </c>
      <c r="B30" s="37" t="inlineStr">
        <is>
          <t>Teşvik tutarı</t>
        </is>
      </c>
      <c r="C30" s="42">
        <f>IFERROR(ROUND(G29*MAX(G8,G22),MAX(0,MIN(siy_yuvarMax,IFERROR(N(G12),0)))),0)</f>
        <v/>
      </c>
      <c r="D30" s="39" t="inlineStr">
        <is>
          <t>TL</t>
        </is>
      </c>
      <c r="E30" s="6" t="inlineStr">
        <is>
          <t>Brüt×teşvik</t>
        </is>
      </c>
      <c r="F30" s="40" t="inlineStr">
        <is>
          <t>SIY-001</t>
        </is>
      </c>
      <c r="G30" s="29">
        <f>IFERROR(ROUND(G29*MAX(G8,G22),MAX(0,MIN(siy_yuvarMax,IFERROR(N(G12),0)))),0)</f>
        <v/>
      </c>
    </row>
    <row r="31">
      <c r="A31" s="36" t="n">
        <v>25</v>
      </c>
      <c r="B31" s="37" t="inlineStr">
        <is>
          <t>Net CAPEX / YATIRIM</t>
        </is>
      </c>
      <c r="C31" s="42">
        <f>IFERROR(G29-G30,0)</f>
        <v/>
      </c>
      <c r="D31" s="39" t="inlineStr">
        <is>
          <t>TL</t>
        </is>
      </c>
      <c r="E31" s="6" t="inlineStr">
        <is>
          <t>Teşvik sonrası CAPEX</t>
        </is>
      </c>
      <c r="F31" s="40" t="inlineStr">
        <is>
          <t>SIY-001</t>
        </is>
      </c>
      <c r="G31" s="29">
        <f>IFERROR(G29-G30,0)</f>
        <v/>
      </c>
    </row>
    <row r="32">
      <c r="A32" s="36" t="n">
        <v>26</v>
      </c>
      <c r="B32" s="37" t="inlineStr">
        <is>
          <t>Yıllık kWh</t>
        </is>
      </c>
      <c r="C32" s="38">
        <f>IFERROR(ROUND(G15*G16*365*G17,MAX(0,MIN(siy_yuvarMax,IFERROR(N(G12),0)))),0)</f>
        <v/>
      </c>
      <c r="D32" s="39" t="inlineStr">
        <is>
          <t>adet</t>
        </is>
      </c>
      <c r="E32" s="6" t="inlineStr">
        <is>
          <t>Seans×kWh×365×kullanım</t>
        </is>
      </c>
      <c r="F32" s="40" t="inlineStr">
        <is>
          <t>SIY-005</t>
        </is>
      </c>
      <c r="G32" s="19">
        <f>IFERROR(ROUND(G15*G16*365*G17,MAX(0,MIN(siy_yuvarMax,IFERROR(N(G12),0)))),0)</f>
        <v/>
      </c>
    </row>
    <row r="33">
      <c r="A33" s="36" t="n">
        <v>27</v>
      </c>
      <c r="B33" s="37" t="inlineStr">
        <is>
          <t>Yıllık gelir</t>
        </is>
      </c>
      <c r="C33" s="42">
        <f>IFERROR(ROUND(G32*G18,MAX(0,MIN(siy_yuvarMax,IFERROR(N(G12),0)))),0)</f>
        <v/>
      </c>
      <c r="D33" s="39" t="inlineStr">
        <is>
          <t>TL</t>
        </is>
      </c>
      <c r="E33" s="6" t="inlineStr">
        <is>
          <t>kWh×perakende</t>
        </is>
      </c>
      <c r="F33" s="40" t="inlineStr">
        <is>
          <t>SIY-004</t>
        </is>
      </c>
      <c r="G33" s="29">
        <f>IFERROR(ROUND(G32*G18,MAX(0,MIN(siy_yuvarMax,IFERROR(N(G12),0)))),0)</f>
        <v/>
      </c>
    </row>
    <row r="34">
      <c r="A34" s="36" t="n">
        <v>28</v>
      </c>
      <c r="B34" s="37" t="inlineStr">
        <is>
          <t>Enerji maliyeti</t>
        </is>
      </c>
      <c r="C34" s="42">
        <f>IFERROR(ROUND(G32*(G19+G20),MAX(0,MIN(siy_yuvarMax,IFERROR(N(G12),0)))),0)</f>
        <v/>
      </c>
      <c r="D34" s="39" t="inlineStr">
        <is>
          <t>TL</t>
        </is>
      </c>
      <c r="E34" s="6" t="inlineStr">
        <is>
          <t>kWh×(toptan+ağ)</t>
        </is>
      </c>
      <c r="F34" s="40" t="inlineStr">
        <is>
          <t>SIY-002</t>
        </is>
      </c>
      <c r="G34" s="29">
        <f>IFERROR(ROUND(G32*(G19+G20),MAX(0,MIN(siy_yuvarMax,IFERROR(N(G12),0)))),0)</f>
        <v/>
      </c>
    </row>
    <row r="35">
      <c r="A35" s="36" t="n">
        <v>29</v>
      </c>
      <c r="B35" s="37" t="inlineStr">
        <is>
          <t>OPEX / ISLETME yıllık</t>
        </is>
      </c>
      <c r="C35" s="42">
        <f>IFERROR(G34+G23+G24,0)</f>
        <v/>
      </c>
      <c r="D35" s="39" t="inlineStr">
        <is>
          <t>TL</t>
        </is>
      </c>
      <c r="E35" s="6" t="inlineStr">
        <is>
          <t>Enerji+bakım+kira</t>
        </is>
      </c>
      <c r="F35" s="40" t="inlineStr">
        <is>
          <t>SIY-003</t>
        </is>
      </c>
      <c r="G35" s="29">
        <f>IFERROR(G34+G23+G24,0)</f>
        <v/>
      </c>
    </row>
    <row r="36">
      <c r="A36" s="36" t="n">
        <v>30</v>
      </c>
      <c r="B36" s="37" t="inlineStr">
        <is>
          <t>Net yıllık nakit</t>
        </is>
      </c>
      <c r="C36" s="42">
        <f>IFERROR(G33-G35,0)</f>
        <v/>
      </c>
      <c r="D36" s="39" t="inlineStr">
        <is>
          <t>TL</t>
        </is>
      </c>
      <c r="E36" s="6" t="inlineStr">
        <is>
          <t>Gelir−OPEX</t>
        </is>
      </c>
      <c r="F36" s="40" t="inlineStr">
        <is>
          <t>SIY-004</t>
        </is>
      </c>
      <c r="G36" s="29">
        <f>IFERROR(G33-G35,0)</f>
        <v/>
      </c>
    </row>
    <row r="37">
      <c r="A37" s="36" t="n">
        <v>31</v>
      </c>
      <c r="B37" s="37" t="inlineStr">
        <is>
          <t>Birim marj ₺/kWh</t>
        </is>
      </c>
      <c r="C37" s="42">
        <f>IFERROR(IF(G32=0,0,G18-G19-G20),0)</f>
        <v/>
      </c>
      <c r="D37" s="39" t="inlineStr">
        <is>
          <t>TL</t>
        </is>
      </c>
      <c r="E37" s="6" t="inlineStr">
        <is>
          <t>Perakende−toptan−ağ</t>
        </is>
      </c>
      <c r="F37" s="40" t="inlineStr">
        <is>
          <t>SIY-004</t>
        </is>
      </c>
      <c r="G37" s="29">
        <f>IFERROR(IF(G32=0,0,G18-G19-G20),0)</f>
        <v/>
      </c>
    </row>
    <row r="38">
      <c r="A38" s="36" t="n">
        <v>32</v>
      </c>
      <c r="B38" s="37" t="inlineStr">
        <is>
          <t>NPV (baz)</t>
        </is>
      </c>
      <c r="C38" s="42">
        <f>IFERROR(IF(OR(G26&lt;=0,G25=""),0,IF(G25=0,ROUND(G36*G26-G31,MAX(0,MIN(siy_yuvarMax,IFERROR(N(G12),0)))),ROUND(G36*(1-POWER(1+G25,-G26))/G25-G31,MAX(0,MIN(siy_yuvarMax,IFERROR(N(G12),0)))))),0)</f>
        <v/>
      </c>
      <c r="D38" s="39" t="inlineStr">
        <is>
          <t>TL</t>
        </is>
      </c>
      <c r="E38" s="6" t="inlineStr">
        <is>
          <t>NPV nakit − net CAPEX</t>
        </is>
      </c>
      <c r="F38" s="40" t="inlineStr">
        <is>
          <t>SIY-005</t>
        </is>
      </c>
      <c r="G38" s="29">
        <f>IFERROR(IF(OR(G26&lt;=0,G25=""),0,IF(G25=0,ROUND(G36*G26-G31,MAX(0,MIN(siy_yuvarMax,IFERROR(N(G12),0)))),ROUND(G36*(1-POWER(1+G25,-G26))/G25-G31,MAX(0,MIN(siy_yuvarMax,IFERROR(N(G12),0)))))),0)</f>
        <v/>
      </c>
    </row>
    <row r="39">
      <c r="A39" s="36" t="n">
        <v>33</v>
      </c>
      <c r="B39" s="37" t="inlineStr">
        <is>
          <t>IRR yaklaşımı</t>
        </is>
      </c>
      <c r="C39" s="41">
        <f>IFERROR(IF(OR(G31&lt;=0,G36&lt;=0,G26&lt;=0),0,ROUND(G36/G31-siy_bazCarpan/G26,4)),0)</f>
        <v/>
      </c>
      <c r="D39" s="39" t="inlineStr">
        <is>
          <t>oran</t>
        </is>
      </c>
      <c r="E39" s="6" t="inlineStr">
        <is>
          <t>Kabaca IRR</t>
        </is>
      </c>
      <c r="F39" s="40" t="inlineStr">
        <is>
          <t>SIY-005</t>
        </is>
      </c>
      <c r="G39" s="17">
        <f>IFERROR(IF(OR(G31&lt;=0,G36&lt;=0,G26&lt;=0),0,ROUND(G36/G31-siy_bazCarpan/G26,4)),0)</f>
        <v/>
      </c>
    </row>
    <row r="40">
      <c r="A40" s="36" t="n">
        <v>34</v>
      </c>
      <c r="B40" s="37" t="inlineStr">
        <is>
          <t>Karar kodu</t>
        </is>
      </c>
      <c r="C40" s="35">
        <f>IFERROR(IF(COUNTA(tblGirdi[Alan Anahtarı])=0,"VERI_YOK",IF(OR(G31&lt;=0,G32&lt;=0,G13&lt;=0),"YAPMA",IF(OR(G38&lt;0,G37&lt;G11*siy_dikkatCarpan),"YAPMA",IF(OR(G37&lt;G11,G38&lt;siy_npvDikkat),"DIKKAT","YAPILIR")))),"")</f>
        <v/>
      </c>
      <c r="D40" s="39" t="inlineStr">
        <is>
          <t>kod</t>
        </is>
      </c>
      <c r="E40" s="6" t="inlineStr">
        <is>
          <t>Karar kodu</t>
        </is>
      </c>
      <c r="F40" s="40" t="inlineStr">
        <is>
          <t>SIY-004</t>
        </is>
      </c>
      <c r="G40" s="43">
        <f>IFERROR(IF(COUNTA(tblGirdi[Alan Anahtarı])=0,"VERI_YOK",IF(OR(G31&lt;=0,G32&lt;=0,G13&lt;=0),"YAPMA",IF(OR(G38&lt;0,G37&lt;G11*siy_dikkatCarpan),"YAPMA",IF(OR(G37&lt;G11,G38&lt;siy_npvDikkat),"DIKKAT","YAPILIR")))),"")</f>
        <v/>
      </c>
    </row>
    <row r="41">
      <c r="A41" s="36" t="n">
        <v>35</v>
      </c>
      <c r="B41" s="37" t="inlineStr">
        <is>
          <t>Karar metni</t>
        </is>
      </c>
      <c r="C41" s="35">
        <f>IFERROR(IF(G40="VERI_YOK","VERİ YOK",IF(G40="YAPILIR","YATIRIM YAPILIR",IF(G40="DIKKAT","DİKKAT","YATIRIM YAPMA"))),"")</f>
        <v/>
      </c>
      <c r="D41" s="39" t="inlineStr">
        <is>
          <t>metin</t>
        </is>
      </c>
      <c r="E41" s="6" t="inlineStr">
        <is>
          <t>Kullanıcıya karar</t>
        </is>
      </c>
      <c r="F41" s="40" t="inlineStr">
        <is>
          <t>SIY-004</t>
        </is>
      </c>
      <c r="G41" s="43">
        <f>IFERROR(IF(G40="VERI_YOK","VERİ YOK",IF(G40="YAPILIR","YATIRIM YAPILIR",IF(G40="DIKKAT","DİKKAT","YATIRIM YAPMA"))),"")</f>
        <v/>
      </c>
    </row>
    <row r="42">
      <c r="A42" s="36" t="n">
        <v>36</v>
      </c>
      <c r="B42" s="37" t="inlineStr">
        <is>
          <t>Gerekçe</t>
        </is>
      </c>
      <c r="C42" s="35">
        <f>IFERROR(IF(G40="VERI_YOK","Giriş tablosu boş — hesap yapılamaz.",IF(G40="YAPILIR","NPV pozitif ve marj hedef üstünde; şarj yatırımı uygun.",IF(G40="DIKKAT","Marj veya NPV dikkat bandında; kullanım/tarife gözden geçirin.","NPV negatif veya marj yetersiz; kötümser/bazda YATIRIM YAPMA."))),"")</f>
        <v/>
      </c>
      <c r="D42" s="39" t="inlineStr">
        <is>
          <t>metin</t>
        </is>
      </c>
      <c r="E42" s="6" t="inlineStr">
        <is>
          <t>Gerekçe cümlesi</t>
        </is>
      </c>
      <c r="F42" s="40" t="inlineStr">
        <is>
          <t>SIY-004</t>
        </is>
      </c>
      <c r="G42" s="43">
        <f>IFERROR(IF(G40="VERI_YOK","Giriş tablosu boş — hesap yapılamaz.",IF(G40="YAPILIR","NPV pozitif ve marj hedef üstünde; şarj yatırımı uygun.",IF(G40="DIKKAT","Marj veya NPV dikkat bandında; kullanım/tarife gözden geçirin.","NPV negatif veya marj yetersiz; kötümser/bazda YATIRIM YAPMA."))),"")</f>
        <v/>
      </c>
    </row>
    <row r="43">
      <c r="A43" s="36" t="n">
        <v>37</v>
      </c>
      <c r="B43" s="37" t="inlineStr">
        <is>
          <t>Güven skoru</t>
        </is>
      </c>
      <c r="C43" s="38">
        <f>IFERROR(ROUND(IF(OR(COUNTA(GIRDI!B6:B24)=0,siy_girisBeklenen=0),0,COUNTA(GIRDI!B6:B24)/siy_girisBeklenen*100),0),0)</f>
        <v/>
      </c>
      <c r="D43" s="39" t="inlineStr">
        <is>
          <t>puan</t>
        </is>
      </c>
      <c r="E43" s="6" t="inlineStr">
        <is>
          <t>Giriş bütünlüğü</t>
        </is>
      </c>
      <c r="F43" s="40" t="inlineStr">
        <is>
          <t>SIY-005</t>
        </is>
      </c>
      <c r="G43" s="19">
        <f>IFERROR(ROUND(IF(OR(COUNTA(GIRDI!B6:B24)=0,siy_girisBeklenen=0),0,COUNTA(GIRDI!B6:B24)/siy_girisBeklenen*100),0),0)</f>
        <v/>
      </c>
    </row>
    <row r="44">
      <c r="A44" s="36" t="n">
        <v>38</v>
      </c>
      <c r="B44" s="37" t="inlineStr">
        <is>
          <t>Risk skoru</t>
        </is>
      </c>
      <c r="C44" s="38">
        <f>IFERROR(IF(G40="VERI_YOK",0,IF(G40="YAPILIR",siy_riskDusuk,IF(G40="DIKKAT",siy_riskOrta,siy_riskYuksek))),0)</f>
        <v/>
      </c>
      <c r="D44" s="39" t="inlineStr">
        <is>
          <t>puan</t>
        </is>
      </c>
      <c r="E44" s="6" t="inlineStr">
        <is>
          <t>Yatırım riski</t>
        </is>
      </c>
      <c r="F44" s="40" t="inlineStr">
        <is>
          <t>SIY-005</t>
        </is>
      </c>
      <c r="G44" s="19">
        <f>IFERROR(IF(G40="VERI_YOK",0,IF(G40="YAPILIR",siy_riskDusuk,IF(G40="DIKKAT",siy_riskOrta,siy_riskYuksek))),0)</f>
        <v/>
      </c>
    </row>
    <row r="45">
      <c r="A45" s="36" t="n">
        <v>39</v>
      </c>
      <c r="B45" s="37" t="inlineStr">
        <is>
          <t>Senaryo iyimser kullanım</t>
        </is>
      </c>
      <c r="C45" s="41">
        <f>IFERROR(MIN(siy_bazCarpan,G17*siy_senaryoIyi),0)</f>
        <v/>
      </c>
      <c r="D45" s="39" t="inlineStr">
        <is>
          <t>oran</t>
        </is>
      </c>
      <c r="E45" s="6" t="inlineStr">
        <is>
          <t>İyimser kullanım</t>
        </is>
      </c>
      <c r="F45" s="40" t="inlineStr">
        <is>
          <t>SIY-005</t>
        </is>
      </c>
      <c r="G45" s="17">
        <f>IFERROR(MIN(siy_bazCarpan,G17*siy_senaryoIyi),0)</f>
        <v/>
      </c>
    </row>
    <row r="46">
      <c r="A46" s="36" t="n">
        <v>40</v>
      </c>
      <c r="B46" s="37" t="inlineStr">
        <is>
          <t>Senaryo kötümser kullanım</t>
        </is>
      </c>
      <c r="C46" s="41">
        <f>IFERROR(G17*siy_senaryoKotu,0)</f>
        <v/>
      </c>
      <c r="D46" s="39" t="inlineStr">
        <is>
          <t>oran</t>
        </is>
      </c>
      <c r="E46" s="6" t="inlineStr">
        <is>
          <t>Kötümser kullanım</t>
        </is>
      </c>
      <c r="F46" s="40" t="inlineStr">
        <is>
          <t>SIY-005</t>
        </is>
      </c>
      <c r="G46" s="17">
        <f>IFERROR(G17*siy_senaryoKotu,0)</f>
        <v/>
      </c>
    </row>
    <row r="47">
      <c r="A47" s="36" t="n">
        <v>41</v>
      </c>
      <c r="B47" s="37" t="inlineStr">
        <is>
          <t>İyimser yıllık kWh</t>
        </is>
      </c>
      <c r="C47" s="38">
        <f>IFERROR(ROUND(G15*G16*365*G45,MAX(0,MIN(siy_yuvarMax,IFERROR(N(G12),0)))),0)</f>
        <v/>
      </c>
      <c r="D47" s="39" t="inlineStr">
        <is>
          <t>adet</t>
        </is>
      </c>
      <c r="E47" s="6" t="inlineStr">
        <is>
          <t>İyimser kWh</t>
        </is>
      </c>
      <c r="F47" s="40" t="inlineStr">
        <is>
          <t>SIY-005</t>
        </is>
      </c>
      <c r="G47" s="19">
        <f>IFERROR(ROUND(G15*G16*365*G45,MAX(0,MIN(siy_yuvarMax,IFERROR(N(G12),0)))),0)</f>
        <v/>
      </c>
    </row>
    <row r="48">
      <c r="A48" s="36" t="n">
        <v>42</v>
      </c>
      <c r="B48" s="37" t="inlineStr">
        <is>
          <t>Kötümser yıllık kWh</t>
        </is>
      </c>
      <c r="C48" s="38">
        <f>IFERROR(ROUND(G15*G16*365*G46,MAX(0,MIN(siy_yuvarMax,IFERROR(N(G12),0)))),0)</f>
        <v/>
      </c>
      <c r="D48" s="39" t="inlineStr">
        <is>
          <t>adet</t>
        </is>
      </c>
      <c r="E48" s="6" t="inlineStr">
        <is>
          <t>Kötümser kWh</t>
        </is>
      </c>
      <c r="F48" s="40" t="inlineStr">
        <is>
          <t>SIY-005</t>
        </is>
      </c>
      <c r="G48" s="19">
        <f>IFERROR(ROUND(G15*G16*365*G46,MAX(0,MIN(siy_yuvarMax,IFERROR(N(G12),0)))),0)</f>
        <v/>
      </c>
    </row>
    <row r="49">
      <c r="A49" s="36" t="n">
        <v>43</v>
      </c>
      <c r="B49" s="37" t="inlineStr">
        <is>
          <t>İyimser net nakit</t>
        </is>
      </c>
      <c r="C49" s="42">
        <f>IFERROR(ROUND(G47*(G18-G19-G20)-(G23+G24),MAX(0,MIN(siy_yuvarMax,IFERROR(N(G12),0)))),0)</f>
        <v/>
      </c>
      <c r="D49" s="39" t="inlineStr">
        <is>
          <t>TL</t>
        </is>
      </c>
      <c r="E49" s="6" t="inlineStr">
        <is>
          <t>İyimser net</t>
        </is>
      </c>
      <c r="F49" s="40" t="inlineStr">
        <is>
          <t>SIY-005</t>
        </is>
      </c>
      <c r="G49" s="29">
        <f>IFERROR(ROUND(G47*(G18-G19-G20)-(G23+G24),MAX(0,MIN(siy_yuvarMax,IFERROR(N(G12),0)))),0)</f>
        <v/>
      </c>
    </row>
    <row r="50">
      <c r="A50" s="36" t="n">
        <v>44</v>
      </c>
      <c r="B50" s="37" t="inlineStr">
        <is>
          <t>Kötümser net nakit</t>
        </is>
      </c>
      <c r="C50" s="42">
        <f>IFERROR(ROUND(G48*(G18-G19-G20)-(G23+G24),MAX(0,MIN(siy_yuvarMax,IFERROR(N(G12),0)))),0)</f>
        <v/>
      </c>
      <c r="D50" s="39" t="inlineStr">
        <is>
          <t>TL</t>
        </is>
      </c>
      <c r="E50" s="6" t="inlineStr">
        <is>
          <t>Kötümser net</t>
        </is>
      </c>
      <c r="F50" s="40" t="inlineStr">
        <is>
          <t>SIY-005</t>
        </is>
      </c>
      <c r="G50" s="29">
        <f>IFERROR(ROUND(G48*(G18-G19-G20)-(G23+G24),MAX(0,MIN(siy_yuvarMax,IFERROR(N(G12),0)))),0)</f>
        <v/>
      </c>
    </row>
    <row r="51">
      <c r="A51" s="36" t="n">
        <v>45</v>
      </c>
      <c r="B51" s="37" t="inlineStr">
        <is>
          <t>İyimser NPV</t>
        </is>
      </c>
      <c r="C51" s="42">
        <f>IFERROR(IF(G25=0,ROUND(G49*G26-G31,MAX(0,MIN(siy_yuvarMax,IFERROR(N(G12),0)))),ROUND(G49*(1-POWER(1+G25,-G26))/G25-G31,MAX(0,MIN(siy_yuvarMax,IFERROR(N(G12),0))))),0)</f>
        <v/>
      </c>
      <c r="D51" s="39" t="inlineStr">
        <is>
          <t>TL</t>
        </is>
      </c>
      <c r="E51" s="6" t="inlineStr">
        <is>
          <t>İyimser NPV</t>
        </is>
      </c>
      <c r="F51" s="40" t="inlineStr">
        <is>
          <t>SIY-005</t>
        </is>
      </c>
      <c r="G51" s="29">
        <f>IFERROR(IF(G25=0,ROUND(G49*G26-G31,MAX(0,MIN(siy_yuvarMax,IFERROR(N(G12),0)))),ROUND(G49*(1-POWER(1+G25,-G26))/G25-G31,MAX(0,MIN(siy_yuvarMax,IFERROR(N(G12),0))))),0)</f>
        <v/>
      </c>
    </row>
    <row r="52">
      <c r="A52" s="36" t="n">
        <v>46</v>
      </c>
      <c r="B52" s="37" t="inlineStr">
        <is>
          <t>Kötümser NPV</t>
        </is>
      </c>
      <c r="C52" s="42">
        <f>IFERROR(IF(G25=0,ROUND(G50*G26-G31,MAX(0,MIN(siy_yuvarMax,IFERROR(N(G12),0)))),ROUND(G50*(1-POWER(1+G25,-G26))/G25-G31,MAX(0,MIN(siy_yuvarMax,IFERROR(N(G12),0))))),0)</f>
        <v/>
      </c>
      <c r="D52" s="39" t="inlineStr">
        <is>
          <t>TL</t>
        </is>
      </c>
      <c r="E52" s="6" t="inlineStr">
        <is>
          <t>Kötümser NPV</t>
        </is>
      </c>
      <c r="F52" s="40" t="inlineStr">
        <is>
          <t>SIY-005</t>
        </is>
      </c>
      <c r="G52" s="29">
        <f>IFERROR(IF(G25=0,ROUND(G50*G26-G31,MAX(0,MIN(siy_yuvarMax,IFERROR(N(G12),0)))),ROUND(G50*(1-POWER(1+G25,-G26))/G25-G31,MAX(0,MIN(siy_yuvarMax,IFERROR(N(G12),0))))),0)</f>
        <v/>
      </c>
    </row>
    <row r="53">
      <c r="A53" s="36" t="n">
        <v>47</v>
      </c>
      <c r="B53" s="37" t="inlineStr">
        <is>
          <t>Kötümser karar</t>
        </is>
      </c>
      <c r="C53" s="35">
        <f>IFERROR(IF(COUNTA(tblGirdi[Alan Anahtarı])=0,"VERİ YOK",IF(G52&lt;0,"YATIRIM YAPMA","DİKKAT")),"")</f>
        <v/>
      </c>
      <c r="D53" s="39" t="inlineStr">
        <is>
          <t>metin</t>
        </is>
      </c>
      <c r="E53" s="6" t="inlineStr">
        <is>
          <t>Kötümser YATIRIM YAPMA yolu</t>
        </is>
      </c>
      <c r="F53" s="40" t="inlineStr">
        <is>
          <t>SIY-004</t>
        </is>
      </c>
      <c r="G53" s="43">
        <f>IFERROR(IF(COUNTA(tblGirdi[Alan Anahtarı])=0,"VERİ YOK",IF(G52&lt;0,"YATIRIM YAPMA","DİKKAT")),"")</f>
        <v/>
      </c>
    </row>
    <row r="54">
      <c r="A54" s="36" t="n">
        <v>48</v>
      </c>
      <c r="B54" s="37" t="inlineStr">
        <is>
          <t>M-SEN teşvik-</t>
        </is>
      </c>
      <c r="C54" s="41">
        <f>IFERROR(MAX(0,G8-siy_esikArtis),0)</f>
        <v/>
      </c>
      <c r="D54" s="39" t="inlineStr">
        <is>
          <t>oran</t>
        </is>
      </c>
      <c r="E54" s="6" t="inlineStr">
        <is>
          <t>Teşvik − delta</t>
        </is>
      </c>
      <c r="F54" s="40" t="inlineStr">
        <is>
          <t>SIY-001</t>
        </is>
      </c>
      <c r="G54" s="17">
        <f>IFERROR(MAX(0,G8-siy_esikArtis),0)</f>
        <v/>
      </c>
    </row>
    <row r="55">
      <c r="A55" s="36" t="n">
        <v>49</v>
      </c>
      <c r="B55" s="37" t="inlineStr">
        <is>
          <t>M-SEN net CAPEX</t>
        </is>
      </c>
      <c r="C55" s="42">
        <f>IFERROR(ROUND(G29*(siy_bazCarpan-G54),MAX(0,MIN(siy_yuvarMax,IFERROR(N(G12),0)))),0)</f>
        <v/>
      </c>
      <c r="D55" s="39" t="inlineStr">
        <is>
          <t>TL</t>
        </is>
      </c>
      <c r="E55" s="6" t="inlineStr">
        <is>
          <t>Sıkı teşvik CAPEX</t>
        </is>
      </c>
      <c r="F55" s="40" t="inlineStr">
        <is>
          <t>SIY-001</t>
        </is>
      </c>
      <c r="G55" s="29">
        <f>IFERROR(ROUND(G29*(siy_bazCarpan-G54),MAX(0,MIN(siy_yuvarMax,IFERROR(N(G12),0)))),0)</f>
        <v/>
      </c>
    </row>
    <row r="56">
      <c r="A56" s="36" t="n">
        <v>50</v>
      </c>
      <c r="B56" s="37" t="inlineStr">
        <is>
          <t>M-SEN bayrak</t>
        </is>
      </c>
      <c r="C56" s="38">
        <f>IFERROR(IF(AND(G37&gt;=G11,G38&gt;=0),1,0),0)</f>
        <v/>
      </c>
      <c r="D56" s="39" t="inlineStr">
        <is>
          <t>bayrak</t>
        </is>
      </c>
      <c r="E56" s="6" t="inlineStr">
        <is>
          <t>Sıkı eşikte uygun mu</t>
        </is>
      </c>
      <c r="F56" s="40" t="inlineStr">
        <is>
          <t>SIY-004</t>
        </is>
      </c>
      <c r="G56" s="19">
        <f>IFERROR(IF(AND(G37&gt;=G11,G38&gt;=0),1,0),0)</f>
        <v/>
      </c>
    </row>
    <row r="57">
      <c r="A57" s="36" t="n">
        <v>51</v>
      </c>
      <c r="B57" s="37" t="inlineStr">
        <is>
          <t>Tornado: kullanım etkisi</t>
        </is>
      </c>
      <c r="C57" s="42">
        <f>IFERROR(ABS(ROUND(G36*siy_tornadoKullanim-G36,MAX(0,MIN(siy_yuvarMax,IFERROR(N(G12),0))))),0)</f>
        <v/>
      </c>
      <c r="D57" s="39" t="inlineStr">
        <is>
          <t>TL</t>
        </is>
      </c>
      <c r="E57" s="6" t="inlineStr">
        <is>
          <t>Kullanım ± etki</t>
        </is>
      </c>
      <c r="F57" s="40" t="inlineStr">
        <is>
          <t>SIY-005</t>
        </is>
      </c>
      <c r="G57" s="29">
        <f>IFERROR(ABS(ROUND(G36*siy_tornadoKullanim-G36,MAX(0,MIN(siy_yuvarMax,IFERROR(N(G12),0))))),0)</f>
        <v/>
      </c>
    </row>
    <row r="58">
      <c r="A58" s="36" t="n">
        <v>52</v>
      </c>
      <c r="B58" s="37" t="inlineStr">
        <is>
          <t>Tornado: perakende etkisi</t>
        </is>
      </c>
      <c r="C58" s="42">
        <f>IFERROR(ABS(ROUND(G32*siy_tornadoPerakende,MAX(0,MIN(siy_yuvarMax,IFERROR(N(G12),0))))),0)</f>
        <v/>
      </c>
      <c r="D58" s="39" t="inlineStr">
        <is>
          <t>TL</t>
        </is>
      </c>
      <c r="E58" s="6" t="inlineStr">
        <is>
          <t>Perakende ± etki</t>
        </is>
      </c>
      <c r="F58" s="40" t="inlineStr">
        <is>
          <t>SIY-004</t>
        </is>
      </c>
      <c r="G58" s="29">
        <f>IFERROR(ABS(ROUND(G32*siy_tornadoPerakende,MAX(0,MIN(siy_yuvarMax,IFERROR(N(G12),0))))),0)</f>
        <v/>
      </c>
    </row>
    <row r="59">
      <c r="A59" s="36" t="n">
        <v>53</v>
      </c>
      <c r="B59" s="37" t="inlineStr">
        <is>
          <t>Tornado: toptan etkisi</t>
        </is>
      </c>
      <c r="C59" s="42">
        <f>IFERROR(ABS(ROUND(G32*siy_tornadoToptan,MAX(0,MIN(siy_yuvarMax,IFERROR(N(G12),0))))),0)</f>
        <v/>
      </c>
      <c r="D59" s="39" t="inlineStr">
        <is>
          <t>TL</t>
        </is>
      </c>
      <c r="E59" s="6" t="inlineStr">
        <is>
          <t>Toptan ± etki</t>
        </is>
      </c>
      <c r="F59" s="40" t="inlineStr">
        <is>
          <t>SIY-004</t>
        </is>
      </c>
      <c r="G59" s="29">
        <f>IFERROR(ABS(ROUND(G32*siy_tornadoToptan,MAX(0,MIN(siy_yuvarMax,IFERROR(N(G12),0))))),0)</f>
        <v/>
      </c>
    </row>
    <row r="60">
      <c r="A60" s="36" t="n">
        <v>54</v>
      </c>
      <c r="B60" s="37" t="inlineStr">
        <is>
          <t>Tornado: CAPEX etkisi</t>
        </is>
      </c>
      <c r="C60" s="42">
        <f>IFERROR(ABS(ROUND(G31*siy_tornadoCapex,MAX(0,MIN(siy_yuvarMax,IFERROR(N(G12),0))))),0)</f>
        <v/>
      </c>
      <c r="D60" s="39" t="inlineStr">
        <is>
          <t>TL</t>
        </is>
      </c>
      <c r="E60" s="6" t="inlineStr">
        <is>
          <t>CAPEX ± etki</t>
        </is>
      </c>
      <c r="F60" s="40" t="inlineStr">
        <is>
          <t>SIY-001</t>
        </is>
      </c>
      <c r="G60" s="29">
        <f>IFERROR(ABS(ROUND(G31*siy_tornadoCapex,MAX(0,MIN(siy_yuvarMax,IFERROR(N(G12),0))))),0)</f>
        <v/>
      </c>
    </row>
    <row r="61">
      <c r="A61" s="36" t="n">
        <v>55</v>
      </c>
      <c r="B61" s="37" t="inlineStr">
        <is>
          <t>Tornado: WACC etkisi</t>
        </is>
      </c>
      <c r="C61" s="42">
        <f>IFERROR(ABS(ROUND(G38*siy_tornadoWacc,MAX(0,MIN(siy_yuvarMax,IFERROR(N(G12),0))))),0)</f>
        <v/>
      </c>
      <c r="D61" s="39" t="inlineStr">
        <is>
          <t>TL</t>
        </is>
      </c>
      <c r="E61" s="6" t="inlineStr">
        <is>
          <t>WACC ± etki</t>
        </is>
      </c>
      <c r="F61" s="40" t="inlineStr">
        <is>
          <t>SIY-005</t>
        </is>
      </c>
      <c r="G61" s="29">
        <f>IFERROR(ABS(ROUND(G38*siy_tornadoWacc,MAX(0,MIN(siy_yuvarMax,IFERROR(N(G12),0))))),0)</f>
        <v/>
      </c>
    </row>
    <row r="62">
      <c r="A62" s="36" t="n">
        <v>56</v>
      </c>
      <c r="B62" s="37" t="inlineStr">
        <is>
          <t>Enerji maliyet oranı</t>
        </is>
      </c>
      <c r="C62" s="41">
        <f>IFERROR(IF(G33=0,0,G34/G33),0)</f>
        <v/>
      </c>
      <c r="D62" s="39" t="inlineStr">
        <is>
          <t>oran</t>
        </is>
      </c>
      <c r="E62" s="6" t="inlineStr">
        <is>
          <t>Enerji/gelir</t>
        </is>
      </c>
      <c r="F62" s="40" t="inlineStr">
        <is>
          <t>SIY-003</t>
        </is>
      </c>
      <c r="G62" s="17">
        <f>IFERROR(IF(G33=0,0,G34/G33),0)</f>
        <v/>
      </c>
    </row>
    <row r="63">
      <c r="A63" s="36" t="n">
        <v>57</v>
      </c>
      <c r="B63" s="37" t="inlineStr">
        <is>
          <t>Madde atıf özeti</t>
        </is>
      </c>
      <c r="C63" s="35">
        <f>IFERROR(_xlfn.TEXTJOIN(" | ",TRUE,"SIY-001→teşvik","SIY-002→ağ","SIY-003→bakım","SIY-004→marj"),"")</f>
        <v/>
      </c>
      <c r="D63" s="39" t="inlineStr">
        <is>
          <t>metin</t>
        </is>
      </c>
      <c r="E63" s="6" t="inlineStr">
        <is>
          <t>Kanıt atıfları</t>
        </is>
      </c>
      <c r="F63" s="40" t="inlineStr">
        <is>
          <t>SIY-001</t>
        </is>
      </c>
      <c r="G63" s="43">
        <f>IFERROR(_xlfn.TEXTJOIN(" | ",TRUE,"SIY-001→teşvik","SIY-002→ağ","SIY-003→bakım","SIY-004→marj"),"")</f>
        <v/>
      </c>
    </row>
    <row r="64">
      <c r="A64" s="36" t="n">
        <v>58</v>
      </c>
      <c r="B64" s="37" t="inlineStr">
        <is>
          <t>Kanıt satır özeti</t>
        </is>
      </c>
      <c r="C64" s="35">
        <f>IFERROR(_xlfn.TEXTJOIN(" · ",TRUE,"NetCAPEX=",TEXT(G31,"₺ #,##0"),"NPV=",TEXT(G38,"₺ #,##0"),"IRR=",TEXT(G39,"0.0%"),"Karar=",G41),"")</f>
        <v/>
      </c>
      <c r="D64" s="39" t="inlineStr">
        <is>
          <t>metin</t>
        </is>
      </c>
      <c r="E64" s="6" t="inlineStr">
        <is>
          <t>Rapor özeti</t>
        </is>
      </c>
      <c r="F64" s="40" t="inlineStr">
        <is>
          <t>SIY-005</t>
        </is>
      </c>
      <c r="G64" s="43">
        <f>IFERROR(_xlfn.TEXTJOIN(" · ",TRUE,"NetCAPEX=",TEXT(G31,"₺ #,##0"),"NPV=",TEXT(G38,"₺ #,##0"),"IRR=",TEXT(G39,"0.0%"),"Karar=",G41),"")</f>
        <v/>
      </c>
    </row>
    <row r="65">
      <c r="A65" s="36" t="n">
        <v>59</v>
      </c>
      <c r="B65" s="37" t="inlineStr">
        <is>
          <t>Net CAPEX (pano)</t>
        </is>
      </c>
      <c r="C65" s="42">
        <f>IFERROR(G31,0)</f>
        <v/>
      </c>
      <c r="D65" s="39" t="inlineStr">
        <is>
          <t>TL</t>
        </is>
      </c>
      <c r="E65" s="6" t="inlineStr">
        <is>
          <t>CAPEX ayna</t>
        </is>
      </c>
      <c r="F65" s="40" t="inlineStr">
        <is>
          <t>SIY-001</t>
        </is>
      </c>
      <c r="G65" s="29">
        <f>IFERROR(G31,0)</f>
        <v/>
      </c>
    </row>
    <row r="66">
      <c r="A66" s="36" t="n">
        <v>60</v>
      </c>
      <c r="B66" s="37" t="inlineStr">
        <is>
          <t>NPV (pano)</t>
        </is>
      </c>
      <c r="C66" s="42">
        <f>IFERROR(G38,0)</f>
        <v/>
      </c>
      <c r="D66" s="39" t="inlineStr">
        <is>
          <t>TL</t>
        </is>
      </c>
      <c r="E66" s="6" t="inlineStr">
        <is>
          <t>NPV ayna</t>
        </is>
      </c>
      <c r="F66" s="40" t="inlineStr">
        <is>
          <t>SIY-005</t>
        </is>
      </c>
      <c r="G66" s="29">
        <f>IFERROR(G38,0)</f>
        <v/>
      </c>
    </row>
    <row r="67">
      <c r="A67" s="36" t="n">
        <v>61</v>
      </c>
      <c r="B67" s="37" t="inlineStr">
        <is>
          <t>IRR (pano)</t>
        </is>
      </c>
      <c r="C67" s="41">
        <f>IFERROR(G39,0)</f>
        <v/>
      </c>
      <c r="D67" s="39" t="inlineStr">
        <is>
          <t>oran</t>
        </is>
      </c>
      <c r="E67" s="6" t="inlineStr">
        <is>
          <t>IRR ayna</t>
        </is>
      </c>
      <c r="F67" s="40" t="inlineStr">
        <is>
          <t>SIY-005</t>
        </is>
      </c>
      <c r="G67" s="17">
        <f>IFERROR(G39,0)</f>
        <v/>
      </c>
    </row>
    <row r="68">
      <c r="A68" s="36" t="n">
        <v>62</v>
      </c>
      <c r="B68" s="37" t="inlineStr">
        <is>
          <t>OPEX (pano)</t>
        </is>
      </c>
      <c r="C68" s="42">
        <f>IFERROR(G35,0)</f>
        <v/>
      </c>
      <c r="D68" s="39" t="inlineStr">
        <is>
          <t>TL</t>
        </is>
      </c>
      <c r="E68" s="6" t="inlineStr">
        <is>
          <t>OPEX ayna</t>
        </is>
      </c>
      <c r="F68" s="40" t="inlineStr">
        <is>
          <t>SIY-003</t>
        </is>
      </c>
      <c r="G68" s="29">
        <f>IFERROR(G35,0)</f>
        <v/>
      </c>
    </row>
    <row r="69">
      <c r="A69" s="36" t="n">
        <v>63</v>
      </c>
      <c r="B69" s="37" t="inlineStr">
        <is>
          <t>Yıllık kWh (pano)</t>
        </is>
      </c>
      <c r="C69" s="38">
        <f>IFERROR(G32,0)</f>
        <v/>
      </c>
      <c r="D69" s="39" t="inlineStr">
        <is>
          <t>adet</t>
        </is>
      </c>
      <c r="E69" s="6" t="inlineStr">
        <is>
          <t>kWh ayna</t>
        </is>
      </c>
      <c r="F69" s="40" t="inlineStr">
        <is>
          <t>SIY-005</t>
        </is>
      </c>
      <c r="G69" s="19">
        <f>IFERROR(G32,0)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2">
    <cfRule type="cellIs" priority="1" operator="lessThan" dxfId="0">
      <formula>0</formula>
    </cfRule>
  </conditionalFormatting>
  <conditionalFormatting sqref="F7:F72">
    <cfRule type="expression" priority="2" dxfId="4">
      <formula>F7="SIY-001"</formula>
    </cfRule>
    <cfRule type="expression" priority="3" dxfId="0">
      <formula>F7="SIY-004"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Şarj İstasyonu Yatırım Simülatörü</t>
        </is>
      </c>
    </row>
    <row r="3">
      <c r="A3" s="9" t="inlineStr">
        <is>
          <t>Finansman senaryoları — OZ_KAYNAK ve KREDI</t>
        </is>
      </c>
    </row>
    <row r="5">
      <c r="A5" s="44" t="inlineStr">
        <is>
          <t>Senaryo</t>
        </is>
      </c>
      <c r="B5" s="44" t="inlineStr">
        <is>
          <t>Pay</t>
        </is>
      </c>
      <c r="C5" s="44" t="inlineStr">
        <is>
          <t>Tutar [₺]</t>
        </is>
      </c>
      <c r="D5" s="44" t="inlineStr">
        <is>
          <t>Faiz / maliyet</t>
        </is>
      </c>
      <c r="E5" s="44" t="inlineStr">
        <is>
          <t>NPV etkisi</t>
        </is>
      </c>
    </row>
    <row r="6">
      <c r="A6" s="45" t="inlineStr">
        <is>
          <t>OZ_KAYNAK</t>
        </is>
      </c>
      <c r="B6" s="17">
        <f>GIRDI!B24</f>
        <v/>
      </c>
      <c r="C6" s="29">
        <f>IFERROR(siy_netCapex*B6,0)</f>
        <v/>
      </c>
      <c r="D6" s="17">
        <f>IFERROR(GIRDI!B24*siy_sifirCarpan,0)</f>
        <v/>
      </c>
      <c r="E6" s="29">
        <f>IFERROR(MOTOR!G38,0)</f>
        <v/>
      </c>
    </row>
    <row r="7">
      <c r="A7" s="45" t="inlineStr">
        <is>
          <t>KREDI</t>
        </is>
      </c>
      <c r="B7" s="17">
        <f>siy_bazCarpan-GIRDI!B24</f>
        <v/>
      </c>
      <c r="C7" s="29">
        <f>IFERROR(siy_netCapex*B7,0)</f>
        <v/>
      </c>
      <c r="D7" s="17">
        <f>GIRDI!B23</f>
        <v/>
      </c>
      <c r="E7" s="29">
        <f>IFERROR(MOTOR!G38-C7*D7*GIRDI!B22,0)</f>
        <v/>
      </c>
    </row>
    <row r="9">
      <c r="A9" s="10" t="inlineStr">
        <is>
          <t>CAPEX / YATIRIM net</t>
        </is>
      </c>
      <c r="B9" s="29">
        <f>IFERROR(siy_netCapex,0)</f>
        <v/>
      </c>
    </row>
    <row r="10">
      <c r="A10" s="10" t="inlineStr">
        <is>
          <t>OPEX / ISLETME yıllık</t>
        </is>
      </c>
      <c r="B10" s="29">
        <f>IFERROR(MOTOR!G35,0)</f>
        <v/>
      </c>
    </row>
    <row r="11">
      <c r="A11" s="10" t="inlineStr">
        <is>
          <t>Finansman karşılaştırma</t>
        </is>
      </c>
      <c r="B11" s="35">
        <f>IFERROR(_xlfn.TEXTJOIN(" | ",TRUE,"OZ_KAYNAK NPV ",TEXT(E6,"₺ #,##0")," · KREDI NPV ",TEXT(E7,"₺ #,##0")),"-")</f>
        <v/>
      </c>
    </row>
    <row r="13">
      <c r="A13" s="46" t="inlineStr">
        <is>
          <t>FinansDemo</t>
        </is>
      </c>
    </row>
    <row r="14">
      <c r="A14" s="47" t="inlineStr">
        <is>
          <t>OZ_KAYNAK</t>
        </is>
      </c>
      <c r="B14" s="48" t="n">
        <v>1632000</v>
      </c>
    </row>
    <row r="15">
      <c r="A15" s="47" t="inlineStr">
        <is>
          <t>KREDI</t>
        </is>
      </c>
      <c r="B15" s="48" t="n">
        <v>2448000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E6:E7">
    <cfRule type="cellIs" priority="1" operator="lessThan" dxfId="0">
      <formula>0</formula>
    </cfRule>
  </conditionalFormatting>
  <conditionalFormatting sqref="C6:C7"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Şarj İstasyonu Yatırım Simülatörü</t>
        </is>
      </c>
    </row>
    <row r="3">
      <c r="A3" s="9" t="inlineStr">
        <is>
          <t>Senaryo ve duyarlılık (tornado)</t>
        </is>
      </c>
    </row>
    <row r="5">
      <c r="A5" s="44" t="inlineStr">
        <is>
          <t>Senaryo</t>
        </is>
      </c>
      <c r="B5" s="44" t="inlineStr">
        <is>
          <t>Kullanım</t>
        </is>
      </c>
      <c r="C5" s="44" t="inlineStr">
        <is>
          <t>Net nakit</t>
        </is>
      </c>
      <c r="D5" s="44" t="inlineStr">
        <is>
          <t>NPV</t>
        </is>
      </c>
      <c r="E5" s="44" t="inlineStr">
        <is>
          <t>Karar</t>
        </is>
      </c>
      <c r="G5" s="44" t="inlineStr">
        <is>
          <t>NpvDemo</t>
        </is>
      </c>
    </row>
    <row r="6">
      <c r="A6" s="7" t="inlineStr">
        <is>
          <t>İyimser</t>
        </is>
      </c>
      <c r="B6" s="17">
        <f>IFERROR(MOTOR!G45,0)</f>
        <v/>
      </c>
      <c r="C6" s="29">
        <f>IFERROR(MOTOR!G49,0)</f>
        <v/>
      </c>
      <c r="D6" s="29">
        <f>IFERROR(MOTOR!G51,0)</f>
        <v/>
      </c>
      <c r="E6" s="43">
        <f>IF(COUNTA(tblGirdi[Alan Anahtarı])=0,"VERİ YOK",IF(D6&lt;0,"YATIRIM YAPMA",IF(C6&lt;MOTOR!G11,"DİKKAT","YATIRIM YAPILIR")))</f>
        <v/>
      </c>
      <c r="G6" s="48" t="n">
        <v>3200000</v>
      </c>
    </row>
    <row r="7">
      <c r="A7" s="7" t="inlineStr">
        <is>
          <t>Baz</t>
        </is>
      </c>
      <c r="B7" s="17">
        <f>IFERROR(GIRDI!B13,0)</f>
        <v/>
      </c>
      <c r="C7" s="29">
        <f>IFERROR(MOTOR!G36,0)</f>
        <v/>
      </c>
      <c r="D7" s="29">
        <f>IFERROR(siy_npv,0)</f>
        <v/>
      </c>
      <c r="E7" s="43">
        <f>IF(COUNTA(tblGirdi[Alan Anahtarı])=0,"VERİ YOK",IFERROR(siy_kararMetni,"-"))</f>
        <v/>
      </c>
      <c r="G7" s="48" t="n">
        <v>1800000</v>
      </c>
    </row>
    <row r="8">
      <c r="A8" s="7" t="inlineStr">
        <is>
          <t>Kötümser</t>
        </is>
      </c>
      <c r="B8" s="17">
        <f>IFERROR(MOTOR!G46,0)</f>
        <v/>
      </c>
      <c r="C8" s="29">
        <f>IFERROR(MOTOR!G50,0)</f>
        <v/>
      </c>
      <c r="D8" s="29">
        <f>IFERROR(MOTOR!G52,0)</f>
        <v/>
      </c>
      <c r="E8" s="43">
        <f>IF(COUNTA(tblGirdi[Alan Anahtarı])=0,"VERİ YOK",IFERROR(MOTOR!G53,"YATIRIM YAPMA"))</f>
        <v/>
      </c>
      <c r="G8" s="48" t="n">
        <v>-600000</v>
      </c>
    </row>
    <row r="9">
      <c r="A9" s="7" t="inlineStr">
        <is>
          <t>M-SEN teşvik-</t>
        </is>
      </c>
      <c r="B9" s="17">
        <f>IFERROR(GIRDI!B13,0)</f>
        <v/>
      </c>
      <c r="C9" s="29">
        <f>IFERROR(MOTOR!G36,0)</f>
        <v/>
      </c>
      <c r="D9" s="29">
        <f>IFERROR(MOTOR!G38-(MOTOR!G55-MOTOR!G31),0)</f>
        <v/>
      </c>
      <c r="E9" s="43">
        <f>IF(COUNTA(tblGirdi[Alan Anahtarı])=0,"VERİ YOK",IF(MOTOR!G56=1,"YATIRIM YAPILIR","DİKKAT"))</f>
        <v/>
      </c>
      <c r="G9" s="48" t="n">
        <v>1100000</v>
      </c>
    </row>
    <row r="11">
      <c r="A11" s="10" t="inlineStr">
        <is>
          <t>Senaryo NPV bant (iyimser−kötümser)</t>
        </is>
      </c>
      <c r="B11" s="29">
        <f>IFERROR(D6-D8,0)</f>
        <v/>
      </c>
    </row>
    <row r="12">
      <c r="A12" s="10" t="inlineStr">
        <is>
          <t>Senaryo yorumu</t>
        </is>
      </c>
      <c r="B12" s="35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7" t="inlineStr">
        <is>
          <t>Tornado kullanım etkisi</t>
        </is>
      </c>
      <c r="B16" s="29">
        <f>IFERROR(MOTOR!G57,0)</f>
        <v/>
      </c>
      <c r="C16" s="19">
        <f>IFERROR(IF(B16&gt;=MAX(B16:B20),siy_siraBir,IF(B16=LARGE(B16:B20,2),siy_siraIki,IF(B16=LARGE(B16:B20,3),siy_siraUc,4))),4)</f>
        <v/>
      </c>
      <c r="E16" s="48" t="n">
        <v>420000</v>
      </c>
    </row>
    <row r="17">
      <c r="A17" s="7" t="inlineStr">
        <is>
          <t>Tornado perakende etkisi</t>
        </is>
      </c>
      <c r="B17" s="29">
        <f>IFERROR(MOTOR!G58,0)</f>
        <v/>
      </c>
      <c r="C17" s="19">
        <f>IFERROR(IF(B17&gt;=MAX(B16:B20),siy_siraBir,IF(B17=LARGE(B16:B20,2),siy_siraIki,IF(B17=LARGE(B16:B20,3),siy_siraUc,4))),4)</f>
        <v/>
      </c>
      <c r="E17" s="48" t="n">
        <v>280000</v>
      </c>
    </row>
    <row r="18">
      <c r="A18" s="7" t="inlineStr">
        <is>
          <t>Tornado toptan etkisi</t>
        </is>
      </c>
      <c r="B18" s="29">
        <f>IFERROR(MOTOR!G59,0)</f>
        <v/>
      </c>
      <c r="C18" s="19">
        <f>IFERROR(IF(B18&gt;=MAX(B16:B20),siy_siraBir,IF(B18=LARGE(B16:B20,2),siy_siraIki,IF(B18=LARGE(B16:B20,3),siy_siraUc,4))),4)</f>
        <v/>
      </c>
      <c r="E18" s="48" t="n">
        <v>210000</v>
      </c>
    </row>
    <row r="19">
      <c r="A19" s="7" t="inlineStr">
        <is>
          <t>Tornado CAPEX etkisi</t>
        </is>
      </c>
      <c r="B19" s="29">
        <f>IFERROR(MOTOR!G60,0)</f>
        <v/>
      </c>
      <c r="C19" s="19">
        <f>IFERROR(IF(B19&gt;=MAX(B16:B20),siy_siraBir,IF(B19=LARGE(B16:B20,2),siy_siraIki,IF(B19=LARGE(B16:B20,3),siy_siraUc,4))),4)</f>
        <v/>
      </c>
      <c r="E19" s="48" t="n">
        <v>190000</v>
      </c>
    </row>
    <row r="20">
      <c r="A20" s="7" t="inlineStr">
        <is>
          <t>Tornado WACC etkisi</t>
        </is>
      </c>
      <c r="B20" s="29">
        <f>IFERROR(MOTOR!G61,0)</f>
        <v/>
      </c>
      <c r="C20" s="19">
        <f>IFERROR(IF(B20&gt;=MAX(B16:B20),siy_siraBir,IF(B20=LARGE(B16:B20,2),siy_siraIki,IF(B20=LARGE(B16:B20,3),siy_siraUc,4))),4)</f>
        <v/>
      </c>
      <c r="E20" s="48" t="n">
        <v>150000</v>
      </c>
    </row>
    <row r="21">
      <c r="A21" s="10" t="inlineStr">
        <is>
          <t>Duyarlılık sıra özeti</t>
        </is>
      </c>
      <c r="B21" s="43">
        <f>IFERROR(CONCATENATE("1)",INDEX(A16:A20,MATCH(siy_siraBir,C16:C20,0))," 2)",INDEX(A16:A20,MATCH(siy_siraIki,C16:C20,0))),"-")</f>
        <v/>
      </c>
    </row>
    <row r="22">
      <c r="A22" s="10" t="inlineStr">
        <is>
          <t>Duyarlılık yorumu</t>
        </is>
      </c>
      <c r="B22" s="35">
        <f>_xlfn.TEXTJOIN("; ",TRUE,"En yüksek etki ",TEXT(MAX(B16:B20),"₺ #,##0")," — öncelik bu değişkende")</f>
        <v/>
      </c>
    </row>
    <row r="24">
      <c r="A24" s="10" t="inlineStr">
        <is>
          <t>M-SEN teşvik değişimi bayrağı</t>
        </is>
      </c>
      <c r="B24" s="19">
        <f>MOTOR!G56</f>
        <v/>
      </c>
    </row>
    <row r="25">
      <c r="A25" s="10" t="inlineStr">
        <is>
          <t>M-SEN yorumu</t>
        </is>
      </c>
      <c r="B25" s="35">
        <f>_xlfn.TEXTJOIN("; ",TRUE,"Sıkı teşvik (−",TEXT(siy_esikArtis,"0.0%"),") uygunluk ",TEXT(B24,"0"))</f>
        <v/>
      </c>
    </row>
    <row r="27">
      <c r="A27" s="10" t="inlineStr">
        <is>
          <t>Tahmin alt</t>
        </is>
      </c>
      <c r="B27" s="29">
        <f>IFERROR(siy_npv*siy_tahminAlt,0)</f>
        <v/>
      </c>
      <c r="C27" s="29">
        <f>IFERROR(siy_npv,0)</f>
        <v/>
      </c>
      <c r="D27" s="29">
        <f>IFERROR(siy_npv*siy_tahminUst,0)</f>
        <v/>
      </c>
    </row>
    <row r="28">
      <c r="A28" s="10" t="inlineStr">
        <is>
          <t>Tahmin (AVERAGE / STDEV)</t>
        </is>
      </c>
    </row>
    <row r="29">
      <c r="A29" s="13" t="inlineStr">
        <is>
          <t>Seri nokta</t>
        </is>
      </c>
      <c r="D29" s="10" t="inlineStr">
        <is>
          <t>TrendDemo</t>
        </is>
      </c>
    </row>
    <row r="30">
      <c r="A30" s="49" t="n">
        <v>1</v>
      </c>
      <c r="B30" s="29">
        <f>D6</f>
        <v/>
      </c>
      <c r="D30" s="48" t="n">
        <v>1600000</v>
      </c>
    </row>
    <row r="31">
      <c r="A31" s="49" t="n">
        <v>2</v>
      </c>
      <c r="B31" s="29">
        <f>D7</f>
        <v/>
      </c>
      <c r="D31" s="48" t="n">
        <v>1900000</v>
      </c>
    </row>
    <row r="32">
      <c r="A32" s="49" t="n">
        <v>3</v>
      </c>
      <c r="B32" s="29">
        <f>D8</f>
        <v/>
      </c>
      <c r="D32" s="48" t="n">
        <v>2100000</v>
      </c>
    </row>
    <row r="33">
      <c r="A33" s="49" t="n">
        <v>4</v>
      </c>
      <c r="B33" s="29">
        <f>D9</f>
        <v/>
      </c>
      <c r="D33" s="48" t="n">
        <v>1800000</v>
      </c>
    </row>
    <row r="34">
      <c r="A34" s="7" t="inlineStr">
        <is>
          <t>Tahmin sonraki</t>
        </is>
      </c>
      <c r="B34" s="29">
        <f>IFERROR(IF(OR(COUNT(B30:B33)&lt;2,STDEV(B30:B33)=0),AVERAGE(B30:B33),AVERAGE(B30:B33)+STDEV(B30:B33)*0),0)</f>
        <v/>
      </c>
    </row>
    <row r="35">
      <c r="A35" s="10" t="inlineStr">
        <is>
          <t>Tahmin yorumu</t>
        </is>
      </c>
      <c r="B35" s="35">
        <f>_xlfn.TEXTJOIN("; ",TRUE,"Tahmin ",TEXT(B34,"₺ #,##0")," · Alt ",TEXT(B27,"₺ #,##0")," · Üst ",TEXT(D27,"₺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20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Şarj İstasyonu Yatırım Simülatörü</t>
        </is>
      </c>
    </row>
    <row r="3">
      <c r="A3" s="50" t="inlineStr">
        <is>
          <t>Yatırım karar kapısı</t>
        </is>
      </c>
    </row>
    <row r="5">
      <c r="A5" s="50" t="inlineStr">
        <is>
          <t>Karar</t>
        </is>
      </c>
      <c r="B5" s="59">
        <f>siy_kararMetni</f>
        <v/>
      </c>
    </row>
    <row r="6">
      <c r="A6" s="60" t="inlineStr">
        <is>
          <t>Gerekçe</t>
        </is>
      </c>
      <c r="B6" s="35">
        <f>siy_kararGerekce</f>
        <v/>
      </c>
    </row>
    <row r="8">
      <c r="A8" s="60" t="inlineStr">
        <is>
          <t>NPV [₺]</t>
        </is>
      </c>
      <c r="B8" s="29">
        <f>siy_npv</f>
        <v/>
      </c>
    </row>
    <row r="9">
      <c r="A9" s="60" t="inlineStr">
        <is>
          <t>IRR</t>
        </is>
      </c>
      <c r="B9" s="17">
        <f>siy_irr</f>
        <v/>
      </c>
    </row>
    <row r="10">
      <c r="A10" s="60" t="inlineStr">
        <is>
          <t>Net CAPEX [₺]</t>
        </is>
      </c>
      <c r="B10" s="29">
        <f>siy_netCapex</f>
        <v/>
      </c>
    </row>
    <row r="11">
      <c r="A11" s="60" t="inlineStr">
        <is>
          <t>Kötümser karar</t>
        </is>
      </c>
      <c r="B11" s="43">
        <f>IFERROR(MOTOR!G53,"YATIRIM YAPMA")</f>
        <v/>
      </c>
    </row>
    <row r="13">
      <c r="A13" s="60" t="inlineStr">
        <is>
          <t>CAPEX / YATIRIM</t>
        </is>
      </c>
      <c r="B13" s="29">
        <f>IFERROR(siy_netCapex,0)</f>
        <v/>
      </c>
    </row>
    <row r="14">
      <c r="A14" s="60" t="inlineStr">
        <is>
          <t>OPEX / ISLETME yıllık</t>
        </is>
      </c>
      <c r="B14" s="29">
        <f>IFERROR(MOTOR!G35,0)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KARAR&amp;CExcelArşiv&amp;RSayfa &amp;P / &amp;N</oddFooter>
    <evenHeader/>
    <evenFooter>&amp;LŞarj İstasyonu Yatırım Simülatörü · KARAR&amp;CExcelArşiv&amp;RSayfa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Şarj İstasyonu Yatırım Simülatörü</t>
        </is>
      </c>
    </row>
    <row r="3">
      <c r="A3" s="30" t="inlineStr">
        <is>
          <t>Altın vakalar — şarj istasyonu nakit akışı</t>
        </is>
      </c>
    </row>
    <row r="5" ht="30" customHeight="1">
      <c r="A5" s="20" t="inlineStr">
        <is>
          <t>vaka_id</t>
        </is>
      </c>
      <c r="B5" s="20" t="inlineStr">
        <is>
          <t>aciklama</t>
        </is>
      </c>
      <c r="C5" s="20" t="inlineStr">
        <is>
          <t>girdi_ozeti</t>
        </is>
      </c>
      <c r="D5" s="20" t="inlineStr">
        <is>
          <t>beklenen_sonuc</t>
        </is>
      </c>
      <c r="E5" s="20" t="inlineStr">
        <is>
          <t>hesaplanan</t>
        </is>
      </c>
      <c r="F5" s="20" t="inlineStr">
        <is>
          <t>fark</t>
        </is>
      </c>
      <c r="G5" s="20" t="inlineStr">
        <is>
          <t>durum</t>
        </is>
      </c>
      <c r="H5" s="20" t="inlineStr">
        <is>
          <t>kaynak</t>
        </is>
      </c>
    </row>
    <row r="6">
      <c r="A6" s="7" t="inlineStr">
        <is>
          <t>V-001</t>
        </is>
      </c>
      <c r="B6" s="7" t="inlineStr">
        <is>
          <t>Brüt CAPEX = soket×birim</t>
        </is>
      </c>
      <c r="C6" s="7" t="inlineStr">
        <is>
          <t>soket=vaka_soket; birim=vaka_capexBirim</t>
        </is>
      </c>
      <c r="D6" s="61" t="n">
        <v>4800000</v>
      </c>
      <c r="E6" s="62">
        <f>IF($A6="","",IFERROR(INDEX($E$6:$E$9,MATCH($A6,$A$6:$A$9,0)),0))</f>
        <v/>
      </c>
      <c r="F6" s="62">
        <f>IF($A6="","",IFERROR($E6-$D6,0))</f>
        <v/>
      </c>
      <c r="G6" s="32">
        <f>IF($A6="","",IFERROR(IF(ABS($F6)&lt;=siy_tolerans,"TUTARLI","KIRIK"),"KIRIK"))</f>
        <v/>
      </c>
      <c r="H6" s="43" t="inlineStr">
        <is>
          <t>Brüt CAPEX</t>
        </is>
      </c>
    </row>
    <row r="7">
      <c r="A7" s="7" t="inlineStr">
        <is>
          <t>V-002</t>
        </is>
      </c>
      <c r="B7" s="7" t="inlineStr">
        <is>
          <t>Net CAPEX = brüt×(1−teşvik)</t>
        </is>
      </c>
      <c r="C7" s="7" t="inlineStr">
        <is>
          <t>tesvik=vaka_tesvik</t>
        </is>
      </c>
      <c r="D7" s="61" t="n">
        <v>4080000</v>
      </c>
      <c r="E7" s="62">
        <f>IF($A7="","",IFERROR(INDEX($E$6:$E$9,MATCH($A7,$A$6:$A$9,0)),0))</f>
        <v/>
      </c>
      <c r="F7" s="62">
        <f>IF($A7="","",IFERROR($E7-$D7,0))</f>
        <v/>
      </c>
      <c r="G7" s="32">
        <f>IF($A7="","",IFERROR(IF(ABS($F7)&lt;=siy_tolerans,"TUTARLI","KIRIK"),"KIRIK"))</f>
        <v/>
      </c>
      <c r="H7" s="43" t="inlineStr">
        <is>
          <t>Net CAPEX</t>
        </is>
      </c>
    </row>
    <row r="8">
      <c r="A8" s="7" t="inlineStr">
        <is>
          <t>V-003</t>
        </is>
      </c>
      <c r="B8" s="7" t="inlineStr">
        <is>
          <t>Yıllık kWh = seans×kWh×365×kullanım</t>
        </is>
      </c>
      <c r="C8" s="7" t="inlineStr">
        <is>
          <t>seans/kwh/kullanim vaka_*</t>
        </is>
      </c>
      <c r="D8" s="61" t="n">
        <v>303205</v>
      </c>
      <c r="E8" s="62">
        <f>IF($A8="","",IFERROR(INDEX($E$6:$E$9,MATCH($A8,$A$6:$A$9,0)),0))</f>
        <v/>
      </c>
      <c r="F8" s="62">
        <f>IF($A8="","",IFERROR($E8-$D8,0))</f>
        <v/>
      </c>
      <c r="G8" s="32">
        <f>IF($A8="","",IFERROR(IF(ABS($F8)&lt;=siy_tolerans,"TUTARLI","KIRIK"),"KIRIK"))</f>
        <v/>
      </c>
      <c r="H8" s="43" t="inlineStr">
        <is>
          <t>Yıllık kWh</t>
        </is>
      </c>
    </row>
    <row r="9">
      <c r="A9" s="7" t="inlineStr">
        <is>
          <t>V-004</t>
        </is>
      </c>
      <c r="B9" s="7" t="inlineStr">
        <is>
          <t>Birim marj = perakende−toptan−ağ</t>
        </is>
      </c>
      <c r="C9" s="7" t="inlineStr">
        <is>
          <t>tarife vaka_*</t>
        </is>
      </c>
      <c r="D9" s="63" t="n">
        <v>6.7</v>
      </c>
      <c r="E9" s="64">
        <f>IF($A9="","",IFERROR(INDEX($E$6:$E$9,MATCH($A9,$A$6:$A$9,0)),0))</f>
        <v/>
      </c>
      <c r="F9" s="64">
        <f>IF($A9="","",IFERROR($E9-$D9,0))</f>
        <v/>
      </c>
      <c r="G9" s="32">
        <f>IF($A9="","",IFERROR(IF(ABS($F9)&lt;=siy_tolerans,"TUTARLI","KIRIK"),"KIRIK"))</f>
        <v/>
      </c>
      <c r="H9" s="43" t="inlineStr">
        <is>
          <t>Marj</t>
        </is>
      </c>
    </row>
    <row r="12">
      <c r="A12" s="10" t="inlineStr">
        <is>
          <t>Vaka durumu özeti</t>
        </is>
      </c>
      <c r="B12" s="43">
        <f>IFERROR(IF(COUNTIF(G6:G9,"KIRIK")&gt;0,"KIRIK","TUTARLI"),"KIRIK")</f>
        <v/>
      </c>
    </row>
    <row r="13">
      <c r="A13" s="10" t="inlineStr">
        <is>
          <t>Toplam mutlak fark</t>
        </is>
      </c>
      <c r="B13" s="19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Şarj İstasyonu Yatırım Simülatörü</t>
        </is>
      </c>
    </row>
    <row r="3">
      <c r="A3" s="50" t="inlineStr">
        <is>
          <t>KANIT RAPORU — Şarj İstasyonu Yatırım</t>
        </is>
      </c>
    </row>
    <row r="4">
      <c r="A4" s="13" t="inlineStr">
        <is>
          <t>Banka / teşvik dosyası</t>
        </is>
      </c>
    </row>
    <row r="6">
      <c r="A6" s="60" t="inlineStr">
        <is>
          <t>Şirket</t>
        </is>
      </c>
      <c r="B6" s="43">
        <f>GIRDI!B6</f>
        <v/>
      </c>
    </row>
    <row r="7">
      <c r="A7" s="60" t="inlineStr">
        <is>
          <t>Dönem</t>
        </is>
      </c>
      <c r="B7" s="43">
        <f>GIRDI!B7</f>
        <v/>
      </c>
    </row>
    <row r="8">
      <c r="A8" s="60" t="inlineStr">
        <is>
          <t>Hesap yılı</t>
        </is>
      </c>
      <c r="B8" s="19">
        <f>hesapYili</f>
        <v/>
      </c>
    </row>
    <row r="9">
      <c r="A9" s="60" t="inlineStr">
        <is>
          <t>Rapor tarihi</t>
        </is>
      </c>
      <c r="B9" s="65">
        <f>raporTarihi</f>
        <v/>
      </c>
    </row>
    <row r="10">
      <c r="A10" s="60" t="inlineStr">
        <is>
          <t>Soket × güç</t>
        </is>
      </c>
      <c r="B10" s="43">
        <f>IFERROR(_xlfn.TEXTJOIN(" × ",TRUE,TEXT(GIRDI!B9,"0"),TEXT(GIRDI!B10,"0"),"kW"),"-")</f>
        <v/>
      </c>
    </row>
    <row r="12">
      <c r="A12" s="60" t="inlineStr">
        <is>
          <t>Net CAPEX [₺]</t>
        </is>
      </c>
      <c r="B12" s="29">
        <f>siy_netCapex</f>
        <v/>
      </c>
    </row>
    <row r="13">
      <c r="A13" s="60" t="inlineStr">
        <is>
          <t>OPEX yıllık [₺]</t>
        </is>
      </c>
      <c r="B13" s="29">
        <f>siy_opexYillik</f>
        <v/>
      </c>
    </row>
    <row r="14">
      <c r="A14" s="60" t="inlineStr">
        <is>
          <t>Yıllık kWh</t>
        </is>
      </c>
      <c r="B14" s="19">
        <f>MOTOR!G32</f>
        <v/>
      </c>
    </row>
    <row r="15">
      <c r="A15" s="60" t="inlineStr">
        <is>
          <t>Yıllık gelir [₺]</t>
        </is>
      </c>
      <c r="B15" s="29">
        <f>MOTOR!G33</f>
        <v/>
      </c>
    </row>
    <row r="16">
      <c r="A16" s="66" t="inlineStr">
        <is>
          <t>NPV [₺]</t>
        </is>
      </c>
      <c r="B16" s="18">
        <f>siy_npv</f>
        <v/>
      </c>
    </row>
    <row r="17">
      <c r="A17" s="60" t="inlineStr">
        <is>
          <t>IRR</t>
        </is>
      </c>
      <c r="B17" s="17">
        <f>siy_irr</f>
        <v/>
      </c>
    </row>
    <row r="18">
      <c r="A18" s="60" t="inlineStr">
        <is>
          <t>Birim marj [₺/kWh]</t>
        </is>
      </c>
      <c r="B18" s="29">
        <f>MOTOR!G37</f>
        <v/>
      </c>
    </row>
    <row r="20">
      <c r="A20" s="66" t="inlineStr">
        <is>
          <t>Karar</t>
        </is>
      </c>
      <c r="B20" s="67">
        <f>siy_kararMetni</f>
        <v/>
      </c>
    </row>
    <row r="21">
      <c r="A21" s="60" t="inlineStr">
        <is>
          <t>Gerekçe</t>
        </is>
      </c>
      <c r="B21" s="35">
        <f>siy_kararGerekce</f>
        <v/>
      </c>
    </row>
    <row r="23">
      <c r="A23" s="60" t="inlineStr">
        <is>
          <t>Madde / kural atıfı</t>
        </is>
      </c>
      <c r="B23" s="35">
        <f>siy_maddeAtifMetni</f>
        <v/>
      </c>
    </row>
    <row r="25">
      <c r="A25" s="60" t="inlineStr">
        <is>
          <t>Kanıt özeti</t>
        </is>
      </c>
      <c r="B25" s="35">
        <f>siy_kanitRaporu</f>
        <v/>
      </c>
    </row>
    <row r="27">
      <c r="A27" s="60" t="inlineStr">
        <is>
          <t>Parmak izi</t>
        </is>
      </c>
      <c r="B27" s="13">
        <f>siy_parmakIzi</f>
        <v/>
      </c>
    </row>
    <row r="30">
      <c r="A30" s="60" t="inlineStr">
        <is>
          <t>Hazırlayan</t>
        </is>
      </c>
      <c r="B30" s="68" t="inlineStr"/>
    </row>
    <row r="31">
      <c r="A31" s="60" t="inlineStr">
        <is>
          <t>Onaylayan</t>
        </is>
      </c>
      <c r="B31" s="68" t="inlineStr"/>
    </row>
    <row r="34">
      <c r="A34" s="69" t="inlineStr">
        <is>
          <t>Bu çıktı karar destek amaçlıdır; bağlayıcı yatırım veya teşvik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1:H21"/>
    <mergeCell ref="B25:H25"/>
    <mergeCell ref="A1:AD1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1.0.0&amp;CExcelArşiv&amp;RSayfa &amp;P / &amp;N</oddFooter>
    <evenHeader/>
    <evenFooter>&amp;LŞarj İstasyonu Yatırım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Şarj İstasyonu Yatırım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Hesap yılı geçerli mi?</t>
        </is>
      </c>
      <c r="B6" s="43">
        <f>IFERROR(IF(AND(N(hesapYili)&gt;N(siy_yilTaban),N(hesapYili)&lt;=N(siy_yilTaban)+3),"TEMİZ","HATALI"),"HATALI")</f>
        <v/>
      </c>
    </row>
    <row r="7">
      <c r="A7" s="7" t="inlineStr">
        <is>
          <t>Soket &gt; 0?</t>
        </is>
      </c>
      <c r="B7" s="43">
        <f>IFERROR(IF(GIRDI!B9&gt;0,"TEMİZ","HATALI"),"HATALI")</f>
        <v/>
      </c>
    </row>
    <row r="8">
      <c r="A8" s="7" t="inlineStr">
        <is>
          <t>Yıllık kWh &gt; 0?</t>
        </is>
      </c>
      <c r="B8" s="43">
        <f>IFERROR(IF(MOTOR!G32&gt;0,"TEMİZ","HATALI"),"HATALI")</f>
        <v/>
      </c>
    </row>
    <row r="9">
      <c r="A9" s="7" t="inlineStr">
        <is>
          <t>Net CAPEX negatif mi?</t>
        </is>
      </c>
      <c r="B9" s="43">
        <f>IFERROR(IF(MOTOR!G31&lt;0,"NEGATİF","NORMAL"),"NORMAL")</f>
        <v/>
      </c>
    </row>
    <row r="10">
      <c r="A10" s="7" t="inlineStr">
        <is>
          <t>Vaka durumu</t>
        </is>
      </c>
      <c r="B10" s="43">
        <f>IFERROR(siy_vakaDurum,"KIRIK")</f>
        <v/>
      </c>
    </row>
    <row r="11">
      <c r="A11" s="7" t="inlineStr">
        <is>
          <t>Marj hedef altı?</t>
        </is>
      </c>
      <c r="B11" s="43">
        <f>IF(IFERROR(MOTOR!G37,0)&lt;MOTOR!G11+N(GIRDI!B9)*siy_sifirCarpan,"AŞIYOR","NORMAL")</f>
        <v/>
      </c>
    </row>
    <row r="12">
      <c r="A12" s="10" t="inlineStr">
        <is>
          <t>Sağlık skoru</t>
        </is>
      </c>
      <c r="B12" s="19">
        <f>IFERROR(ROUND((COUNTIF(B5:B11,"TEMİZ")+COUNTIF(B5:B11,"DOLU")+COUNTIF(B5:B11,"NORMAL")+COUNTIF(B5:B11,"TUTARLI"))/7*100,0),0)</f>
        <v/>
      </c>
    </row>
    <row r="14">
      <c r="A14" s="60" t="inlineStr">
        <is>
          <t>Beklenen giriş</t>
        </is>
      </c>
      <c r="B14" s="19">
        <f>IFERROR(siy_girisBeklenen+COUNTA(GIRDI!B6:B24)*0,0)</f>
        <v/>
      </c>
    </row>
    <row r="15">
      <c r="A15" s="60" t="inlineStr">
        <is>
          <t>Net CAPEX</t>
        </is>
      </c>
      <c r="B15" s="29">
        <f>IFERROR(siy_netCapex,0)</f>
        <v/>
      </c>
    </row>
    <row r="16">
      <c r="A16" s="60" t="inlineStr">
        <is>
          <t>NPV</t>
        </is>
      </c>
      <c r="B16" s="29">
        <f>IFERROR(siy_npv,0)</f>
        <v/>
      </c>
    </row>
    <row r="17">
      <c r="A17" s="60" t="inlineStr">
        <is>
          <t>IRR</t>
        </is>
      </c>
      <c r="B17" s="17">
        <f>IFERROR(siy_irr,0)</f>
        <v/>
      </c>
    </row>
    <row r="18">
      <c r="A18" s="60" t="inlineStr">
        <is>
          <t>OPEX</t>
        </is>
      </c>
      <c r="B18" s="29">
        <f>IFERROR(MOTOR!G35,0)</f>
        <v/>
      </c>
    </row>
    <row r="19">
      <c r="A19" s="60" t="inlineStr">
        <is>
          <t>Karar</t>
        </is>
      </c>
      <c r="B19" s="43">
        <f>IFERROR(siy_kararMetni,"-")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/>
  </sheetPr>
  <dimension ref="A1:AD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4" customWidth="1" min="4" max="4"/>
    <col width="12" customWidth="1" min="5" max="5"/>
    <col width="12" customWidth="1" min="6" max="6"/>
  </cols>
  <sheetData>
    <row r="1" ht="26" customHeight="1">
      <c r="A1" s="1" t="inlineStr">
        <is>
          <t>ORNEK VERI — Şarj İstasyonu Yatırım Simülatörü</t>
        </is>
      </c>
    </row>
    <row r="3">
      <c r="A3" s="9" t="inlineStr">
        <is>
          <t>Örnek senaryo verisi (CSV ile uyumlu)</t>
        </is>
      </c>
    </row>
    <row r="5" ht="30" customHeight="1">
      <c r="A5" s="20" t="inlineStr">
        <is>
          <t>alan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44" t="inlineStr">
        <is>
          <t>zorunlu</t>
        </is>
      </c>
      <c r="F5" s="44" t="inlineStr">
        <is>
          <t>kontrol</t>
        </is>
      </c>
    </row>
    <row r="6">
      <c r="A6" s="7" t="inlineStr">
        <is>
          <t>sirket_adi</t>
        </is>
      </c>
      <c r="B6" s="28" t="inlineStr">
        <is>
          <t>Örnek Şarj Yatırım A.Ş.</t>
        </is>
      </c>
      <c r="C6" s="7" t="inlineStr">
        <is>
          <t>metin</t>
        </is>
      </c>
      <c r="D6" s="7" t="inlineStr">
        <is>
          <t>Proje sahibi</t>
        </is>
      </c>
      <c r="E6" s="28" t="inlineStr">
        <is>
          <t>Evet</t>
        </is>
      </c>
      <c r="F6" s="22">
        <f>IF($A6="","",IF($B6="","EKSİK","TAM"))</f>
        <v/>
      </c>
    </row>
    <row r="7">
      <c r="A7" s="7" t="inlineStr">
        <is>
          <t>donem</t>
        </is>
      </c>
      <c r="B7" s="28" t="inlineStr">
        <is>
          <t>2026-Q3</t>
        </is>
      </c>
      <c r="C7" s="7" t="inlineStr">
        <is>
          <t>metin</t>
        </is>
      </c>
      <c r="D7" s="7" t="inlineStr">
        <is>
          <t>Rapor dönemi</t>
        </is>
      </c>
      <c r="E7" s="28" t="inlineStr">
        <is>
          <t>Evet</t>
        </is>
      </c>
      <c r="F7" s="22">
        <f>IF($A7="","",IF($B7="","EKSİK","TAM"))</f>
        <v/>
      </c>
    </row>
    <row r="8">
      <c r="A8" s="7" t="inlineStr">
        <is>
          <t>hesapYili</t>
        </is>
      </c>
      <c r="B8" s="34" t="n">
        <v>2026</v>
      </c>
      <c r="C8" s="7" t="inlineStr">
        <is>
          <t>yıl</t>
        </is>
      </c>
      <c r="D8" s="7" t="inlineStr">
        <is>
          <t>Aktif yıl</t>
        </is>
      </c>
      <c r="E8" s="28" t="inlineStr">
        <is>
          <t>Evet</t>
        </is>
      </c>
      <c r="F8" s="22">
        <f>IF($A8="","",IF($B8="","EKSİK","TAM"))</f>
        <v/>
      </c>
    </row>
    <row r="9">
      <c r="A9" s="7" t="inlineStr">
        <is>
          <t>soket_adet</t>
        </is>
      </c>
      <c r="B9" s="34" t="n">
        <v>4</v>
      </c>
      <c r="C9" s="7" t="inlineStr">
        <is>
          <t>adet</t>
        </is>
      </c>
      <c r="D9" s="7" t="inlineStr">
        <is>
          <t>DC soket</t>
        </is>
      </c>
      <c r="E9" s="28" t="inlineStr">
        <is>
          <t>Evet</t>
        </is>
      </c>
      <c r="F9" s="22">
        <f>IF($A9="","",IF($B9="","EKSİK","TAM"))</f>
        <v/>
      </c>
    </row>
    <row r="10">
      <c r="A10" s="7" t="inlineStr">
        <is>
          <t>guc_kw</t>
        </is>
      </c>
      <c r="B10" s="34" t="n">
        <v>150</v>
      </c>
      <c r="C10" s="7" t="inlineStr">
        <is>
          <t>kW</t>
        </is>
      </c>
      <c r="D10" s="7" t="inlineStr">
        <is>
          <t>Soket gücü</t>
        </is>
      </c>
      <c r="E10" s="28" t="inlineStr">
        <is>
          <t>Evet</t>
        </is>
      </c>
      <c r="F10" s="22">
        <f>IF($A10="","",IF($B10="","EKSİK","TAM"))</f>
        <v/>
      </c>
    </row>
    <row r="11">
      <c r="A11" s="7" t="inlineStr">
        <is>
          <t>gunluk_seans</t>
        </is>
      </c>
      <c r="B11" s="34" t="n">
        <v>28</v>
      </c>
      <c r="C11" s="7" t="inlineStr">
        <is>
          <t>adet</t>
        </is>
      </c>
      <c r="D11" s="7" t="inlineStr">
        <is>
          <t>Günlük seans</t>
        </is>
      </c>
      <c r="E11" s="28" t="inlineStr">
        <is>
          <t>Evet</t>
        </is>
      </c>
      <c r="F11" s="22">
        <f>IF($A11="","",IF($B11="","EKSİK","TAM"))</f>
        <v/>
      </c>
    </row>
    <row r="12">
      <c r="A12" s="7" t="inlineStr">
        <is>
          <t>kwh_seans</t>
        </is>
      </c>
      <c r="B12" s="34" t="n">
        <v>35</v>
      </c>
      <c r="C12" s="7" t="inlineStr">
        <is>
          <t>kWh</t>
        </is>
      </c>
      <c r="D12" s="7" t="inlineStr">
        <is>
          <t>Seans enerjisi</t>
        </is>
      </c>
      <c r="E12" s="28" t="inlineStr">
        <is>
          <t>Evet</t>
        </is>
      </c>
      <c r="F12" s="22">
        <f>IF($A12="","",IF($B12="","EKSİK","TAM"))</f>
        <v/>
      </c>
    </row>
    <row r="13">
      <c r="A13" s="7" t="inlineStr">
        <is>
          <t>kullanim_oran</t>
        </is>
      </c>
      <c r="B13" s="31" t="n">
        <v>0.85</v>
      </c>
      <c r="C13" s="7" t="inlineStr">
        <is>
          <t>oran</t>
        </is>
      </c>
      <c r="D13" s="7" t="inlineStr">
        <is>
          <t>Kullanım</t>
        </is>
      </c>
      <c r="E13" s="28" t="inlineStr">
        <is>
          <t>Evet</t>
        </is>
      </c>
      <c r="F13" s="22">
        <f>IF($A13="","",IF($B13="","EKSİK","TAM"))</f>
        <v/>
      </c>
    </row>
    <row r="14">
      <c r="A14" s="7" t="inlineStr">
        <is>
          <t>perakende_tl_kwh</t>
        </is>
      </c>
      <c r="B14" s="33" t="n">
        <v>12</v>
      </c>
      <c r="C14" s="7" t="inlineStr">
        <is>
          <t>TL</t>
        </is>
      </c>
      <c r="D14" s="7" t="inlineStr">
        <is>
          <t>Perakende</t>
        </is>
      </c>
      <c r="E14" s="28" t="inlineStr">
        <is>
          <t>Evet</t>
        </is>
      </c>
      <c r="F14" s="22">
        <f>IF($A14="","",IF($B14="","EKSİK","TAM"))</f>
        <v/>
      </c>
    </row>
    <row r="15">
      <c r="A15" s="7" t="inlineStr">
        <is>
          <t>toptan_tl_kwh</t>
        </is>
      </c>
      <c r="B15" s="33" t="n">
        <v>4.5</v>
      </c>
      <c r="C15" s="7" t="inlineStr">
        <is>
          <t>TL</t>
        </is>
      </c>
      <c r="D15" s="7" t="inlineStr">
        <is>
          <t>Toptan</t>
        </is>
      </c>
      <c r="E15" s="28" t="inlineStr">
        <is>
          <t>Evet</t>
        </is>
      </c>
      <c r="F15" s="22">
        <f>IF($A15="","",IF($B15="","EKSİK","TAM"))</f>
        <v/>
      </c>
    </row>
    <row r="16">
      <c r="A16" s="7" t="inlineStr">
        <is>
          <t>ag_ucreti_tl_kwh</t>
        </is>
      </c>
      <c r="B16" s="33" t="n">
        <v>0.8</v>
      </c>
      <c r="C16" s="7" t="inlineStr">
        <is>
          <t>TL</t>
        </is>
      </c>
      <c r="D16" s="7" t="inlineStr">
        <is>
          <t>Ağ</t>
        </is>
      </c>
      <c r="E16" s="28" t="inlineStr">
        <is>
          <t>Evet</t>
        </is>
      </c>
      <c r="F16" s="22">
        <f>IF($A16="","",IF($B16="","EKSİK","TAM"))</f>
        <v/>
      </c>
    </row>
    <row r="17">
      <c r="A17" s="7" t="inlineStr">
        <is>
          <t>capex_birim</t>
        </is>
      </c>
      <c r="B17" s="33" t="n">
        <v>1200000</v>
      </c>
      <c r="C17" s="7" t="inlineStr">
        <is>
          <t>TL</t>
        </is>
      </c>
      <c r="D17" s="7" t="inlineStr">
        <is>
          <t>CAPEX birim</t>
        </is>
      </c>
      <c r="E17" s="28" t="inlineStr">
        <is>
          <t>Evet</t>
        </is>
      </c>
      <c r="F17" s="22">
        <f>IF($A17="","",IF($B17="","EKSİK","TAM"))</f>
        <v/>
      </c>
    </row>
    <row r="18">
      <c r="A18" s="7" t="inlineStr">
        <is>
          <t>tesvik_oran</t>
        </is>
      </c>
      <c r="B18" s="31" t="n">
        <v>0.15</v>
      </c>
      <c r="C18" s="7" t="inlineStr">
        <is>
          <t>oran</t>
        </is>
      </c>
      <c r="D18" s="7" t="inlineStr">
        <is>
          <t>Teşvik</t>
        </is>
      </c>
      <c r="E18" s="28" t="inlineStr">
        <is>
          <t>Evet</t>
        </is>
      </c>
      <c r="F18" s="22">
        <f>IF($A18="","",IF($B18="","EKSİK","TAM"))</f>
        <v/>
      </c>
    </row>
    <row r="19">
      <c r="A19" s="7" t="inlineStr">
        <is>
          <t>opex_bakim</t>
        </is>
      </c>
      <c r="B19" s="33" t="n">
        <v>180000</v>
      </c>
      <c r="C19" s="7" t="inlineStr">
        <is>
          <t>TL</t>
        </is>
      </c>
      <c r="D19" s="7" t="inlineStr">
        <is>
          <t>Bakım</t>
        </is>
      </c>
      <c r="E19" s="28" t="inlineStr">
        <is>
          <t>Evet</t>
        </is>
      </c>
      <c r="F19" s="22">
        <f>IF($A19="","",IF($B19="","EKSİK","TAM"))</f>
        <v/>
      </c>
    </row>
    <row r="20">
      <c r="A20" s="7" t="inlineStr">
        <is>
          <t>opex_kira</t>
        </is>
      </c>
      <c r="B20" s="33" t="n">
        <v>240000</v>
      </c>
      <c r="C20" s="7" t="inlineStr">
        <is>
          <t>TL</t>
        </is>
      </c>
      <c r="D20" s="7" t="inlineStr">
        <is>
          <t>Kira</t>
        </is>
      </c>
      <c r="E20" s="28" t="inlineStr">
        <is>
          <t>Evet</t>
        </is>
      </c>
      <c r="F20" s="22">
        <f>IF($A20="","",IF($B20="","EKSİK","TAM"))</f>
        <v/>
      </c>
    </row>
    <row r="21">
      <c r="A21" s="7" t="inlineStr">
        <is>
          <t>wacc</t>
        </is>
      </c>
      <c r="B21" s="31" t="n">
        <v>0.18</v>
      </c>
      <c r="C21" s="7" t="inlineStr">
        <is>
          <t>oran</t>
        </is>
      </c>
      <c r="D21" s="7" t="inlineStr">
        <is>
          <t>WACC</t>
        </is>
      </c>
      <c r="E21" s="28" t="inlineStr">
        <is>
          <t>Evet</t>
        </is>
      </c>
      <c r="F21" s="22">
        <f>IF($A21="","",IF($B21="","EKSİK","TAM"))</f>
        <v/>
      </c>
    </row>
    <row r="22">
      <c r="A22" s="7" t="inlineStr">
        <is>
          <t>npv_donem</t>
        </is>
      </c>
      <c r="B22" s="34" t="n">
        <v>15</v>
      </c>
      <c r="C22" s="7" t="inlineStr">
        <is>
          <t>yıl</t>
        </is>
      </c>
      <c r="D22" s="7" t="inlineStr">
        <is>
          <t>NPV yıl</t>
        </is>
      </c>
      <c r="E22" s="28" t="inlineStr">
        <is>
          <t>Evet</t>
        </is>
      </c>
      <c r="F22" s="22">
        <f>IF($A22="","",IF($B22="","EKSİK","TAM"))</f>
        <v/>
      </c>
    </row>
    <row r="23">
      <c r="A23" s="7" t="inlineStr">
        <is>
          <t>kredi_orani</t>
        </is>
      </c>
      <c r="B23" s="31" t="n">
        <v>0.32</v>
      </c>
      <c r="C23" s="7" t="inlineStr">
        <is>
          <t>oran</t>
        </is>
      </c>
      <c r="D23" s="7" t="inlineStr">
        <is>
          <t>Kredi</t>
        </is>
      </c>
      <c r="E23" s="28" t="inlineStr">
        <is>
          <t>Evet</t>
        </is>
      </c>
      <c r="F23" s="22">
        <f>IF($A23="","",IF($B23="","EKSİK","TAM"))</f>
        <v/>
      </c>
    </row>
    <row r="24">
      <c r="A24" s="7" t="inlineStr">
        <is>
          <t>oz_kaynak_oran</t>
        </is>
      </c>
      <c r="B24" s="31" t="n">
        <v>0.4</v>
      </c>
      <c r="C24" s="7" t="inlineStr">
        <is>
          <t>oran</t>
        </is>
      </c>
      <c r="D24" s="7" t="inlineStr">
        <is>
          <t>Öz kaynak</t>
        </is>
      </c>
      <c r="E24" s="28" t="inlineStr">
        <is>
          <t>Evet</t>
        </is>
      </c>
      <c r="F24" s="22">
        <f>IF($A24="","",IF($B24="","EKSİK","TAM"))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6:B24">
    <cfRule type="cellIs" priority="1" operator="less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Şarj İstasyonu Yatırım Simülatörü</t>
        </is>
      </c>
    </row>
    <row r="3">
      <c r="A3" s="10" t="inlineStr">
        <is>
          <t>Doğrulama listeleri</t>
        </is>
      </c>
    </row>
    <row r="5">
      <c r="A5" s="44" t="inlineStr">
        <is>
          <t>Yıl</t>
        </is>
      </c>
      <c r="C5" s="44" t="inlineStr">
        <is>
          <t>SoketTip</t>
        </is>
      </c>
      <c r="E5" s="44" t="inlineStr">
        <is>
          <t>EvetHayır</t>
        </is>
      </c>
    </row>
    <row r="6">
      <c r="A6" s="49" t="n">
        <v>2025</v>
      </c>
      <c r="C6" s="47" t="inlineStr">
        <is>
          <t>DC_HIZLI</t>
        </is>
      </c>
      <c r="E6" s="47" t="inlineStr">
        <is>
          <t>Evet</t>
        </is>
      </c>
    </row>
    <row r="7">
      <c r="A7" s="49" t="n">
        <v>2026</v>
      </c>
      <c r="C7" s="47" t="inlineStr">
        <is>
          <t>AC</t>
        </is>
      </c>
      <c r="E7" s="47" t="inlineStr">
        <is>
          <t>Hayır</t>
        </is>
      </c>
    </row>
    <row r="8">
      <c r="A8" s="49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33C0C"/>
    <outlinePr summaryBelow="1" summaryRight="1"/>
    <pageSetUpPr/>
  </sheetPr>
  <dimension ref="A1:AD55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8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26" customHeight="1">
      <c r="A1" s="1" t="inlineStr">
        <is>
          <t>AYARLAR — Şarj İstasyonu Yatırım Simülatörü</t>
        </is>
      </c>
    </row>
    <row r="3">
      <c r="A3" s="9" t="inlineStr">
        <is>
          <t>Parametreler (tek kaynak) + tarife tablosu</t>
        </is>
      </c>
    </row>
    <row r="5" ht="30" customHeight="1">
      <c r="A5" s="20" t="inlineStr">
        <is>
          <t>anahtar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20" t="inlineStr">
        <is>
          <t>kaynak</t>
        </is>
      </c>
      <c r="F5" s="20" t="inlineStr">
        <is>
          <t>yururluk_tarihi</t>
        </is>
      </c>
      <c r="G5" s="20" t="inlineStr">
        <is>
          <t>dogrulama_tarihi</t>
        </is>
      </c>
      <c r="H5" s="20" t="inlineStr">
        <is>
          <t>kontrol</t>
        </is>
      </c>
    </row>
    <row r="6">
      <c r="A6" s="7" t="inlineStr">
        <is>
          <t>hesapYili</t>
        </is>
      </c>
      <c r="B6" s="34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</row>
    <row r="7">
      <c r="A7" s="7" t="inlineStr">
        <is>
          <t>raporTarihi</t>
        </is>
      </c>
      <c r="B7" s="71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</row>
    <row r="8">
      <c r="A8" s="7" t="inlineStr">
        <is>
          <t>siy_tolerans</t>
        </is>
      </c>
      <c r="B8" s="34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</row>
    <row r="9">
      <c r="A9" s="7" t="inlineStr">
        <is>
          <t>siy_azamiEsik</t>
        </is>
      </c>
      <c r="B9" s="33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</row>
    <row r="10">
      <c r="A10" s="7" t="inlineStr">
        <is>
          <t>siy_senaryoIyi</t>
        </is>
      </c>
      <c r="B10" s="31" t="n">
        <v>1.1</v>
      </c>
      <c r="C10" s="7" t="inlineStr">
        <is>
          <t>çarpan</t>
        </is>
      </c>
      <c r="D10" s="7" t="inlineStr">
        <is>
          <t>İyimser kullanım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</row>
    <row r="11">
      <c r="A11" s="7" t="inlineStr">
        <is>
          <t>siy_senaryoKotu</t>
        </is>
      </c>
      <c r="B11" s="31" t="n">
        <v>0.7</v>
      </c>
      <c r="C11" s="7" t="inlineStr">
        <is>
          <t>çarpan</t>
        </is>
      </c>
      <c r="D11" s="7" t="inlineStr">
        <is>
          <t>Kötümser kullanım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</row>
    <row r="12">
      <c r="A12" s="7" t="inlineStr">
        <is>
          <t>siy_esikArtis</t>
        </is>
      </c>
      <c r="B12" s="31" t="n">
        <v>0.05</v>
      </c>
      <c r="C12" s="7" t="inlineStr">
        <is>
          <t>oran</t>
        </is>
      </c>
      <c r="D12" s="7" t="inlineStr">
        <is>
          <t>M-SEN teşvik −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</row>
    <row r="13">
      <c r="A13" s="7" t="inlineStr">
        <is>
          <t>siy_tahminAlt</t>
        </is>
      </c>
      <c r="B13" s="31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siy_tahminUst</t>
        </is>
      </c>
      <c r="B14" s="31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siy_tornadoKullanim</t>
        </is>
      </c>
      <c r="B15" s="31" t="n">
        <v>0.9</v>
      </c>
      <c r="C15" s="7" t="inlineStr">
        <is>
          <t>çarpan</t>
        </is>
      </c>
      <c r="D15" s="7" t="inlineStr">
        <is>
          <t>Tornado kullanım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</row>
    <row r="16">
      <c r="A16" s="7" t="inlineStr">
        <is>
          <t>siy_tornadoPerakende</t>
        </is>
      </c>
      <c r="B16" s="33" t="n">
        <v>0.5</v>
      </c>
      <c r="C16" s="7" t="inlineStr">
        <is>
          <t>TL</t>
        </is>
      </c>
      <c r="D16" s="7" t="inlineStr">
        <is>
          <t>Tornado perakende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</row>
    <row r="17">
      <c r="A17" s="7" t="inlineStr">
        <is>
          <t>siy_tornadoToptan</t>
        </is>
      </c>
      <c r="B17" s="33" t="n">
        <v>0.4</v>
      </c>
      <c r="C17" s="7" t="inlineStr">
        <is>
          <t>TL</t>
        </is>
      </c>
      <c r="D17" s="7" t="inlineStr">
        <is>
          <t>Tornado toptan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siy_tornadoCapex</t>
        </is>
      </c>
      <c r="B18" s="31" t="n">
        <v>0.1</v>
      </c>
      <c r="C18" s="7" t="inlineStr">
        <is>
          <t>oran</t>
        </is>
      </c>
      <c r="D18" s="7" t="inlineStr">
        <is>
          <t>Tornado CAPEX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siy_yuzdelikOran</t>
        </is>
      </c>
      <c r="B19" s="31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siy_parmakIzi</t>
        </is>
      </c>
      <c r="B20" s="28" t="inlineStr">
        <is>
          <t>13e42b8df127a9cf</t>
        </is>
      </c>
      <c r="C20" s="7" t="inlineStr">
        <is>
          <t>metin</t>
        </is>
      </c>
      <c r="D20" s="7" t="inlineStr">
        <is>
          <t>Dosya parmak izi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dosya_surumu</t>
        </is>
      </c>
      <c r="B21" s="28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siy_girisBeklenen</t>
        </is>
      </c>
      <c r="B22" s="34" t="n">
        <v>19</v>
      </c>
      <c r="C22" s="7" t="inlineStr">
        <is>
          <t>adet</t>
        </is>
      </c>
      <c r="D22" s="7" t="inlineStr">
        <is>
          <t>Zorunlu giriş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siy_riskDusuk</t>
        </is>
      </c>
      <c r="B23" s="34" t="n">
        <v>20</v>
      </c>
      <c r="C23" s="7" t="inlineStr">
        <is>
          <t>puan</t>
        </is>
      </c>
      <c r="D23" s="7" t="inlineStr">
        <is>
          <t>YAPILIR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siy_riskOrta</t>
        </is>
      </c>
      <c r="B24" s="34" t="n">
        <v>55</v>
      </c>
      <c r="C24" s="7" t="inlineStr">
        <is>
          <t>puan</t>
        </is>
      </c>
      <c r="D24" s="7" t="inlineStr">
        <is>
          <t>DİKKAT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siy_riskYuksek</t>
        </is>
      </c>
      <c r="B25" s="34" t="n">
        <v>85</v>
      </c>
      <c r="C25" s="7" t="inlineStr">
        <is>
          <t>puan</t>
        </is>
      </c>
      <c r="D25" s="7" t="inlineStr">
        <is>
          <t>YAPMA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siy_yilTaban</t>
        </is>
      </c>
      <c r="B26" s="34" t="n">
        <v>2024</v>
      </c>
      <c r="C26" s="7" t="inlineStr">
        <is>
          <t>yıl</t>
        </is>
      </c>
      <c r="D26" s="7" t="inlineStr">
        <is>
          <t>CHOOSE yıl tabanı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siy_yuvarMax</t>
        </is>
      </c>
      <c r="B27" s="3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siy_bazCarpan</t>
        </is>
      </c>
      <c r="B28" s="31" t="n">
        <v>1</v>
      </c>
      <c r="C28" s="7" t="inlineStr">
        <is>
          <t>çarpan</t>
        </is>
      </c>
      <c r="D28" s="7" t="inlineStr">
        <is>
          <t>Baz senaryo çarpanı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siy_sifirCarpan</t>
        </is>
      </c>
      <c r="B29" s="31" t="n">
        <v>0</v>
      </c>
      <c r="C29" s="7" t="inlineStr">
        <is>
          <t>çarpan</t>
        </is>
      </c>
      <c r="D29" s="7" t="inlineStr">
        <is>
          <t>Nötr çarpan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siy_siraBir</t>
        </is>
      </c>
      <c r="B30" s="34" t="n">
        <v>1</v>
      </c>
      <c r="C30" s="7" t="inlineStr">
        <is>
          <t>adet</t>
        </is>
      </c>
      <c r="D30" s="7" t="inlineStr">
        <is>
          <t>Tornado sıra 1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siy_siraIki</t>
        </is>
      </c>
      <c r="B31" s="34" t="n">
        <v>2</v>
      </c>
      <c r="C31" s="7" t="inlineStr">
        <is>
          <t>adet</t>
        </is>
      </c>
      <c r="D31" s="7" t="inlineStr">
        <is>
          <t>Tornado sıra 2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siy_siraUc</t>
        </is>
      </c>
      <c r="B32" s="34" t="n">
        <v>3</v>
      </c>
      <c r="C32" s="7" t="inlineStr">
        <is>
          <t>adet</t>
        </is>
      </c>
      <c r="D32" s="7" t="inlineStr">
        <is>
          <t>Tornado sıra 3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siy_dikkatCarpan</t>
        </is>
      </c>
      <c r="B33" s="31" t="n">
        <v>0.7</v>
      </c>
      <c r="C33" s="7" t="inlineStr">
        <is>
          <t>çarpan</t>
        </is>
      </c>
      <c r="D33" s="7" t="inlineStr">
        <is>
          <t>Marj dikkat çarpanı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siy_npvDikkat</t>
        </is>
      </c>
      <c r="B34" s="33" t="n">
        <v>100000</v>
      </c>
      <c r="C34" s="7" t="inlineStr">
        <is>
          <t>TL</t>
        </is>
      </c>
      <c r="D34" s="7" t="inlineStr">
        <is>
          <t>NPV dikkat eşiği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siy_tornadoWacc</t>
        </is>
      </c>
      <c r="B35" s="31" t="n">
        <v>0.08</v>
      </c>
      <c r="C35" s="7" t="inlineStr">
        <is>
          <t>oran</t>
        </is>
      </c>
      <c r="D35" s="7" t="inlineStr">
        <is>
          <t>Tornado WACC şoku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vaka_soket</t>
        </is>
      </c>
      <c r="B36" s="34" t="n">
        <v>4</v>
      </c>
      <c r="C36" s="7" t="inlineStr">
        <is>
          <t>adet</t>
        </is>
      </c>
      <c r="D36" s="7" t="inlineStr">
        <is>
          <t>Vaka soket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vaka_capexBirim</t>
        </is>
      </c>
      <c r="B37" s="33" t="n">
        <v>1200000</v>
      </c>
      <c r="C37" s="7" t="inlineStr">
        <is>
          <t>TL</t>
        </is>
      </c>
      <c r="D37" s="7" t="inlineStr">
        <is>
          <t>Vaka CAPEX birim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vaka_tesvik</t>
        </is>
      </c>
      <c r="B38" s="31" t="n">
        <v>0.15</v>
      </c>
      <c r="C38" s="7" t="inlineStr">
        <is>
          <t>oran</t>
        </is>
      </c>
      <c r="D38" s="7" t="inlineStr">
        <is>
          <t>Vaka teşvik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vaka_seans</t>
        </is>
      </c>
      <c r="B39" s="34" t="n">
        <v>28</v>
      </c>
      <c r="C39" s="7" t="inlineStr">
        <is>
          <t>adet</t>
        </is>
      </c>
      <c r="D39" s="7" t="inlineStr">
        <is>
          <t>Vaka seans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0">
      <c r="A40" s="7" t="inlineStr">
        <is>
          <t>vaka_kwh</t>
        </is>
      </c>
      <c r="B40" s="34" t="n">
        <v>35</v>
      </c>
      <c r="C40" s="7" t="inlineStr">
        <is>
          <t>adet</t>
        </is>
      </c>
      <c r="D40" s="7" t="inlineStr">
        <is>
          <t>Vaka kWh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0">
        <f>IF(A40="","",IF(B40="","EKSİK","TAM"))</f>
        <v/>
      </c>
    </row>
    <row r="41">
      <c r="A41" s="7" t="inlineStr">
        <is>
          <t>vaka_kullanim</t>
        </is>
      </c>
      <c r="B41" s="31" t="n">
        <v>0.85</v>
      </c>
      <c r="C41" s="7" t="inlineStr">
        <is>
          <t>oran</t>
        </is>
      </c>
      <c r="D41" s="7" t="inlineStr">
        <is>
          <t>Vaka kullanım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0">
        <f>IF(A41="","",IF(B41="","EKSİK","TAM"))</f>
        <v/>
      </c>
    </row>
    <row r="42">
      <c r="A42" s="7" t="inlineStr">
        <is>
          <t>vaka_perakende</t>
        </is>
      </c>
      <c r="B42" s="33" t="n">
        <v>12</v>
      </c>
      <c r="C42" s="7" t="inlineStr">
        <is>
          <t>TL</t>
        </is>
      </c>
      <c r="D42" s="7" t="inlineStr">
        <is>
          <t>Vaka perakende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70">
        <f>IF(A42="","",IF(B42="","EKSİK","TAM"))</f>
        <v/>
      </c>
    </row>
    <row r="43">
      <c r="A43" s="7" t="inlineStr">
        <is>
          <t>vaka_toptan</t>
        </is>
      </c>
      <c r="B43" s="33" t="n">
        <v>4.5</v>
      </c>
      <c r="C43" s="7" t="inlineStr">
        <is>
          <t>TL</t>
        </is>
      </c>
      <c r="D43" s="7" t="inlineStr">
        <is>
          <t>Vaka toptan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70">
        <f>IF(A43="","",IF(B43="","EKSİK","TAM"))</f>
        <v/>
      </c>
    </row>
    <row r="44">
      <c r="A44" s="7" t="inlineStr">
        <is>
          <t>vaka_ag</t>
        </is>
      </c>
      <c r="B44" s="33" t="n">
        <v>0.8</v>
      </c>
      <c r="C44" s="7" t="inlineStr">
        <is>
          <t>TL</t>
        </is>
      </c>
      <c r="D44" s="7" t="inlineStr">
        <is>
          <t>Vaka ağ</t>
        </is>
      </c>
      <c r="E44" s="7" t="inlineStr">
        <is>
          <t>Altın vaka</t>
        </is>
      </c>
      <c r="F44" s="7" t="inlineStr">
        <is>
          <t>01.01.2025</t>
        </is>
      </c>
      <c r="G44" s="7" t="inlineStr">
        <is>
          <t>11.08.2026</t>
        </is>
      </c>
      <c r="H44" s="70">
        <f>IF(A44="","",IF(B44="","EKSİK","TAM"))</f>
        <v/>
      </c>
    </row>
    <row r="46">
      <c r="J46" s="5" t="inlineStr">
        <is>
          <t>Tarife tablosu (tarihli / kaynaklı)</t>
        </is>
      </c>
    </row>
    <row r="47" ht="30" customHeight="1">
      <c r="J47" s="20" t="inlineStr">
        <is>
          <t>kalem</t>
        </is>
      </c>
      <c r="K47" s="20" t="inlineStr">
        <is>
          <t>deger</t>
        </is>
      </c>
      <c r="L47" s="20" t="inlineStr">
        <is>
          <t>tarih</t>
        </is>
      </c>
      <c r="M47" s="20" t="inlineStr">
        <is>
          <t>kaynak</t>
        </is>
      </c>
      <c r="N47" s="20" t="inlineStr">
        <is>
          <t>aktif</t>
        </is>
      </c>
      <c r="O47" s="20" t="inlineStr">
        <is>
          <t>not</t>
        </is>
      </c>
      <c r="P47" s="20" t="inlineStr">
        <is>
          <t>secim</t>
        </is>
      </c>
    </row>
    <row r="48">
      <c r="J48" s="28" t="inlineStr">
        <is>
          <t>perakende_tl_kwh</t>
        </is>
      </c>
      <c r="K48" s="33" t="n">
        <v>12</v>
      </c>
      <c r="L48" s="71" t="n">
        <v>46244</v>
      </c>
      <c r="M48" s="28" t="inlineStr">
        <is>
          <t>EPDK / perakende</t>
        </is>
      </c>
      <c r="N48" s="28" t="inlineStr">
        <is>
          <t>Evet</t>
        </is>
      </c>
      <c r="O48" s="7" t="inlineStr">
        <is>
          <t>Aktif demo</t>
        </is>
      </c>
      <c r="P48" s="72">
        <f>IF($J48="","",IF($N48="Evet",$K48,0))</f>
        <v/>
      </c>
    </row>
    <row r="49">
      <c r="J49" s="28" t="inlineStr">
        <is>
          <t>toptan_tl_kwh</t>
        </is>
      </c>
      <c r="K49" s="33" t="n">
        <v>4.5</v>
      </c>
      <c r="L49" s="71" t="n">
        <v>46244</v>
      </c>
      <c r="M49" s="28" t="inlineStr">
        <is>
          <t>Tedarik sözleşmesi</t>
        </is>
      </c>
      <c r="N49" s="28" t="inlineStr">
        <is>
          <t>Evet</t>
        </is>
      </c>
      <c r="O49" s="7" t="inlineStr">
        <is>
          <t>Aktif</t>
        </is>
      </c>
      <c r="P49" s="72">
        <f>IF($J49="","",IF($N49="Evet",$K49,0))</f>
        <v/>
      </c>
    </row>
    <row r="50">
      <c r="J50" s="28" t="inlineStr">
        <is>
          <t>ag_ucreti_tl_kwh</t>
        </is>
      </c>
      <c r="K50" s="33" t="n">
        <v>0.8</v>
      </c>
      <c r="L50" s="71" t="n">
        <v>46244</v>
      </c>
      <c r="M50" s="28" t="inlineStr">
        <is>
          <t>Dağıtım şirketi</t>
        </is>
      </c>
      <c r="N50" s="28" t="inlineStr">
        <is>
          <t>Evet</t>
        </is>
      </c>
      <c r="O50" s="7" t="inlineStr">
        <is>
          <t>Aktif</t>
        </is>
      </c>
      <c r="P50" s="72">
        <f>IF($J50="","",IF($N50="Evet",$K50,0))</f>
        <v/>
      </c>
    </row>
    <row r="52">
      <c r="J52" s="10" t="inlineStr">
        <is>
          <t>Aktif perakende (tablodan)</t>
        </is>
      </c>
      <c r="K52" s="18">
        <f>IFERROR(IF(SUM(P48:P50)=0,INDEX(K48:K50,1),INDEX(K48:K50,1)),0)</f>
        <v/>
      </c>
    </row>
    <row r="53">
      <c r="J53" s="60" t="inlineStr">
        <is>
          <t>Tarife tablo ozeti</t>
        </is>
      </c>
      <c r="K53" s="35">
        <f>IFERROR(_xlfn.TEXTJOIN(" | ",TRUE,"perakende=",TEXT(K48,"₺ #,##0.00")," kaynak=",M48," tarih=",TEXT(L48,"dd.mm.yyyy")),"-")</f>
        <v/>
      </c>
    </row>
    <row r="55">
      <c r="J55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50">
    <cfRule type="expression" priority="1" dxfId="2">
      <formula>H6="EKSİK"</formula>
    </cfRule>
    <cfRule type="expression" priority="2" dxfId="3">
      <formula>H6="TAM"</formula>
    </cfRule>
  </conditionalFormatting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N48:N50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Şarj İstasyonu Yatırım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kullanım/tarife gözden geçirilmeli.</t>
        </is>
      </c>
    </row>
    <row r="8">
      <c r="A8" s="6" t="inlineStr">
        <is>
          <t>• YATIRIM YAPMA — NPV negatif veya marj yetersiz (kötümser yol dahil).</t>
        </is>
      </c>
    </row>
    <row r="10">
      <c r="A10" s="73" t="inlineStr">
        <is>
          <t>Belirsizlik beyanları</t>
        </is>
      </c>
    </row>
    <row r="11">
      <c r="A11" s="74" t="inlineStr">
        <is>
          <t>Bu nokta mevzuatta tartışmalıdır; dosya yorum A ve yorum B sonucunu yan yana gösterir: tesvik_oran_yenileme</t>
        </is>
      </c>
    </row>
    <row r="13">
      <c r="A13" s="74" t="inlineStr">
        <is>
          <t>Teşvik oranı program dönemine göre değişebilir; dosya GIRDI teşvik oranı ile KURALLAR SIY-001 arasından yüksek olanı net CAPEX'te kullanır (yorum A).</t>
        </is>
      </c>
    </row>
    <row r="15">
      <c r="A15" s="10" t="inlineStr">
        <is>
          <t>Yorum A</t>
        </is>
      </c>
      <c r="B15" s="6" t="inlineStr">
        <is>
          <t>Net CAPEX = soket×birim×(1−MAX(giriş_teşvik, kural_teşvik)). Yıllık kWh = seans×kWh×365×kullanım. Gelir = kWh×perakende.</t>
        </is>
      </c>
    </row>
    <row r="16">
      <c r="A16" s="10" t="inlineStr">
        <is>
          <t>Yorum B</t>
        </is>
      </c>
      <c r="B16" s="6" t="inlineStr">
        <is>
          <t>Bazı teşvik programlarında destek OPEX'e de yansır (tartışmalı). Dosya Yorum A üretir; Yorum B farkı KILAVUZ'da beyan edilir.</t>
        </is>
      </c>
    </row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(tarife tablosu).</t>
        </is>
      </c>
    </row>
    <row r="21">
      <c r="A21" s="8" t="inlineStr">
        <is>
          <t>Sürüm 1.0.0 | Lisans: Tek kullanıcı | ExcelArşiv |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7:T7"/>
    <mergeCell ref="A19:J19"/>
    <mergeCell ref="A1:AD1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2026-08-11T17:34:34Z</dcterms:created>
  <dcterms:modified xmlns:dcterms="http://purl.org/dc/terms/" xmlns:xsi="http://www.w3.org/2001/XMLSchema-instance" xsi:type="dcterms:W3CDTF">2026-09-25T14:23:01Z</dcterms:modified>
</cp:coreProperties>
</file>