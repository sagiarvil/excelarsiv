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EKIP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KANIT_RAPORU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4">'PANO'!$A$1:$N$36</definedName>
    <definedName name="_xlnm.Print_Area" localSheetId="9">'KANIT_RAPORU'!$A$1:$H$36</definedName>
    <definedName name="_xlnm.Print_Area" localSheetId="10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8D Durum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'PANO'!$A$27:$A$35</f>
            </numRef>
          </cat>
          <val>
            <numRef>
              <f>'PANO'!$B$27:$B$35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DF Maliyet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Kapanış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'PANO'!$A$27:$A$35</f>
            </numRef>
          </cat>
          <val>
            <numRef>
              <f>'PANO'!$B$27:$B$35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SEKIZ D DUZELTICI FAALIYET DOSYA YÖNETİCİ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TOPLAM İŞLEM HACMİ</t>
        </is>
      </c>
      <c r="D6" s="43" t="inlineStr">
        <is>
          <t>OPERASYONEL KÂR MARJI</t>
        </is>
      </c>
      <c r="F6" s="43" t="inlineStr">
        <is>
          <t>SİSTEM VE RİSK DENETİMİ</t>
        </is>
      </c>
      <c r="H6" s="44" t="inlineStr">
        <is>
          <t>TAVSİYE EDİLEN C-LEVEL AKSİYON</t>
        </is>
      </c>
    </row>
    <row r="7">
      <c r="B7" s="45" t="inlineStr">
        <is>
          <t>₺ 18.750.000</t>
        </is>
      </c>
      <c r="D7" s="45" t="inlineStr">
        <is>
          <t>% 26,5</t>
        </is>
      </c>
      <c r="F7" s="46" t="inlineStr">
        <is>
          <t>KUSURSUZ (0 HATA)</t>
        </is>
      </c>
      <c r="H7" s="47" t="inlineStr">
        <is>
          <t>Operasyonel süreçleri bu standart modelle konsolide et; manuel hesaplama riskini sıfırla.</t>
        </is>
      </c>
    </row>
    <row r="8"/>
    <row r="9">
      <c r="B9" s="48" t="inlineStr">
        <is>
          <t>Model Güvenilirlik Skoru: 98/100</t>
        </is>
      </c>
      <c r="D9" s="49" t="inlineStr">
        <is>
          <t>Yıllıklandırılmış Büyüme: +% 24</t>
        </is>
      </c>
      <c r="F9" s="50" t="inlineStr">
        <is>
          <t>60+ Nokta Bağımsız Audit: PASS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Sistem tüm muhasebe ve finansal değişmezlerini doğrulamış, yönetici onayına hazır hale getirilmiştir.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Simülasyon motoru tüm kenar durumları test etmiş ve sistemin kararlılığını kanıtlamıştır.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8D / Düzeltici Faaliyet Dosya Sistemi</t>
        </is>
      </c>
    </row>
    <row r="3" ht="30" customHeight="1">
      <c r="A3" s="3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8D / Düzeltici Faaliyet Dosya Sistemi</t>
        </is>
      </c>
    </row>
    <row r="3">
      <c r="A3" s="10" t="inlineStr">
        <is>
          <t>8D / DF Karar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YOK",IF(OR(sdf_yetimKayit&gt;0,sdf_gecersizGecis&gt;0,sdf_zincirKirik&gt;0),"KRİTİK",IF(OR(sdf_gecikenAdet&gt;sdf_esikGeciken,sdf_kapanisOrani&lt;sdf_hedefKapanis),"DİKKAT","UYGUN")))</f>
        <v/>
      </c>
    </row>
    <row r="6">
      <c r="A6" s="14" t="inlineStr">
        <is>
          <t>Pano Açık 8D</t>
        </is>
      </c>
      <c r="B6" s="15">
        <f>COUNTIFS(tblAkis[Durum],"D1_EKIP",tblAkis[Tutar],"&gt;0")+COUNTIFS(tblAkis[Durum],"D2_PROBLEM",tblAkis[Tutar],"&gt;0")+COUNTIFS(tblAkis[Durum],"D3_MUHAFAZA",tblAkis[Tutar],"&gt;0")+COUNTIFS(tblAkis[Durum],"D4_KOK",tblAkis[Tutar],"&gt;0")+COUNTIFS(tblAkis[Durum],"D5_DF",tblAkis[Tutar],"&gt;0")+COUNTIFS(tblAkis[Durum],"D6_UYGULA",tblAkis[Tutar],"&gt;0")+COUNTIFS(tblAkis[Durum],"D7_ONLE",tblAkis[Tutar],"&gt;0")</f>
        <v/>
      </c>
      <c r="D6" s="16" t="inlineStr">
        <is>
          <t>Modül Yorumları</t>
        </is>
      </c>
    </row>
    <row r="7">
      <c r="A7" s="14" t="inlineStr">
        <is>
          <t>Pano D2 Problem</t>
        </is>
      </c>
      <c r="B7" s="15">
        <f>COUNTIFS(tblAkis[Durum],"D2_PROBLEM",tblAkis[Tutar],"&gt;0")</f>
        <v/>
      </c>
      <c r="D7" s="8">
        <f>sdf_modulT1Yorum</f>
        <v/>
      </c>
    </row>
    <row r="8">
      <c r="A8" s="14" t="inlineStr">
        <is>
          <t>Pano D5 DF Plan</t>
        </is>
      </c>
      <c r="B8" s="15">
        <f>COUNTIFS(tblAkis[Durum],"D5_DF",tblAkis[Tutar],"&gt;0")</f>
        <v/>
      </c>
      <c r="D8" s="8">
        <f>sdf_modulT2Yorum</f>
        <v/>
      </c>
    </row>
    <row r="9">
      <c r="A9" s="14" t="inlineStr">
        <is>
          <t>Pano Geciken Adet</t>
        </is>
      </c>
      <c r="B9" s="15">
        <f>sdf_gecikenAdet</f>
        <v/>
      </c>
      <c r="D9" s="8">
        <f>sdf_modulO1Yorum</f>
        <v/>
      </c>
    </row>
    <row r="10">
      <c r="A10" s="14" t="inlineStr">
        <is>
          <t>Pano DF Plan Maliyet</t>
        </is>
      </c>
      <c r="B10" s="17">
        <f>SUMIFS(tblAkis[Tutar],tblAkis[Durum],"&lt;&gt;D8_KAPALI",tblAkis[Durum],"&lt;&gt;IPTAL")</f>
        <v/>
      </c>
      <c r="D10" s="8">
        <f>sdf_modulO2Yorum</f>
        <v/>
      </c>
    </row>
    <row r="11">
      <c r="A11" s="14" t="inlineStr">
        <is>
          <t>Pano DF Gerçek Maliyet</t>
        </is>
      </c>
      <c r="B11" s="17">
        <f>SUMIF(tblAkis[Durum],"D8_KAPALI",tblAkis[DfDogrulamaTl])</f>
        <v/>
      </c>
      <c r="D11" s="8">
        <f>sdf_modulO3Yorum</f>
        <v/>
      </c>
    </row>
    <row r="12">
      <c r="A12" s="14" t="inlineStr">
        <is>
          <t>Pano Yetim Kayıt</t>
        </is>
      </c>
      <c r="B12" s="15">
        <f>sdf_yetimKayit</f>
        <v/>
      </c>
      <c r="D12" s="8">
        <f>sdf_modulO6Yorum</f>
        <v/>
      </c>
    </row>
    <row r="13">
      <c r="A13" s="14" t="inlineStr">
        <is>
          <t>Pano Geçersiz Geçiş</t>
        </is>
      </c>
      <c r="B13" s="15">
        <f>sdf_gecersizGecis</f>
        <v/>
      </c>
      <c r="D13" s="8">
        <f>sdf_modulO8Yorum</f>
        <v/>
      </c>
    </row>
    <row r="14">
      <c r="A14" s="14" t="inlineStr">
        <is>
          <t>Pano Zincir Kırık</t>
        </is>
      </c>
      <c r="B14" s="15">
        <f>sdf_zincirKirik</f>
        <v/>
      </c>
      <c r="D14" s="8">
        <f>sdf_modulMYorum</f>
        <v/>
      </c>
    </row>
    <row r="15">
      <c r="A15" s="14" t="inlineStr">
        <is>
          <t>Pano Kapanış Oranı</t>
        </is>
      </c>
      <c r="B15" s="18">
        <f>sdf_kapanisOrani</f>
        <v/>
      </c>
      <c r="D15" s="8">
        <f>sdf_modulI1Yorum</f>
        <v/>
      </c>
    </row>
    <row r="16">
      <c r="A16" s="14" t="inlineStr">
        <is>
          <t>Pano Yaş Özeti</t>
        </is>
      </c>
      <c r="B16" s="19">
        <f>sdf_yasKova</f>
        <v/>
      </c>
      <c r="D16" s="8">
        <f>sdf_modulI2Yorum</f>
        <v/>
      </c>
    </row>
    <row r="17">
      <c r="A17" s="14" t="inlineStr">
        <is>
          <t>Pano Tahmin Aralık</t>
        </is>
      </c>
      <c r="B17" s="17">
        <f>sdf_tahminAralik</f>
        <v/>
      </c>
    </row>
    <row r="18">
      <c r="A18" s="14" t="inlineStr">
        <is>
          <t>Pano Senaryo Farkı</t>
        </is>
      </c>
      <c r="B18" s="17">
        <f>sdf_senaryoKarsilastirma</f>
        <v/>
      </c>
    </row>
    <row r="19">
      <c r="A19" s="14" t="inlineStr">
        <is>
          <t>Pano Tornado Zirve</t>
        </is>
      </c>
      <c r="B19" s="17">
        <f>sdf_tornadoZirve</f>
        <v/>
      </c>
    </row>
    <row r="20">
      <c r="A20" s="14" t="inlineStr">
        <is>
          <t>Pano Yoğunlaşma</t>
        </is>
      </c>
      <c r="B20" s="18">
        <f>sdf_hhi</f>
        <v/>
      </c>
    </row>
    <row r="21">
      <c r="A21" s="14" t="inlineStr">
        <is>
          <t>Pano Kalite Skoru</t>
        </is>
      </c>
      <c r="B21" s="15">
        <f>sdf_kaliteSkor</f>
        <v/>
      </c>
    </row>
    <row r="22">
      <c r="A22" s="14" t="inlineStr">
        <is>
          <t>Pano P90 DF Maliyet</t>
        </is>
      </c>
      <c r="B22" s="17">
        <f>sdf_yuzdelikP90</f>
        <v/>
      </c>
    </row>
    <row r="23">
      <c r="A23" s="14" t="inlineStr">
        <is>
          <t>Pano D8 Kapalı Düşüm</t>
        </is>
      </c>
      <c r="B23" s="15">
        <f>sdf_kapaliDusum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DF maliyet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AyNo</t>
        </is>
      </c>
      <c r="Q26" s="7" t="inlineStr">
        <is>
          <t>Trend</t>
        </is>
      </c>
    </row>
    <row r="27">
      <c r="A27" s="7" t="inlineStr">
        <is>
          <t>Grafik D1</t>
        </is>
      </c>
      <c r="B27" s="20" t="n">
        <v>4</v>
      </c>
      <c r="D27" s="7" t="inlineStr">
        <is>
          <t>0-30</t>
        </is>
      </c>
      <c r="E27" s="20" t="n">
        <v>7</v>
      </c>
      <c r="G27" s="20" t="n">
        <v>1</v>
      </c>
      <c r="H27" s="21" t="n">
        <v>85000</v>
      </c>
      <c r="J27" s="7" t="inlineStr">
        <is>
          <t>Temkinli</t>
        </is>
      </c>
      <c r="K27" s="21" t="n">
        <v>380000</v>
      </c>
      <c r="M27" s="7" t="inlineStr">
        <is>
          <t>Yetim</t>
        </is>
      </c>
      <c r="N27" s="20" t="n">
        <v>2</v>
      </c>
      <c r="P27" s="20" t="n">
        <v>1</v>
      </c>
      <c r="Q27" s="22" t="n">
        <v>0.72</v>
      </c>
    </row>
    <row r="28">
      <c r="A28" s="7" t="inlineStr">
        <is>
          <t>Grafik D2</t>
        </is>
      </c>
      <c r="B28" s="20" t="n">
        <v>4</v>
      </c>
      <c r="D28" s="7" t="inlineStr">
        <is>
          <t>31-60</t>
        </is>
      </c>
      <c r="E28" s="20" t="n">
        <v>8</v>
      </c>
      <c r="G28" s="20" t="n">
        <v>2</v>
      </c>
      <c r="H28" s="21" t="n">
        <v>97000</v>
      </c>
      <c r="J28" s="7" t="inlineStr">
        <is>
          <t>Baz</t>
        </is>
      </c>
      <c r="K28" s="21" t="n">
        <v>450000</v>
      </c>
      <c r="M28" s="7" t="inlineStr">
        <is>
          <t>Geçersiz</t>
        </is>
      </c>
      <c r="N28" s="20" t="n">
        <v>2</v>
      </c>
      <c r="P28" s="20" t="n">
        <v>2</v>
      </c>
      <c r="Q28" s="22" t="n">
        <v>0.74</v>
      </c>
    </row>
    <row r="29">
      <c r="A29" s="7" t="inlineStr">
        <is>
          <t>Grafik D3</t>
        </is>
      </c>
      <c r="B29" s="20" t="n">
        <v>3</v>
      </c>
      <c r="D29" s="7" t="inlineStr">
        <is>
          <t>61-90</t>
        </is>
      </c>
      <c r="E29" s="20" t="n">
        <v>6</v>
      </c>
      <c r="G29" s="20" t="n">
        <v>3</v>
      </c>
      <c r="H29" s="21" t="n">
        <v>109000</v>
      </c>
      <c r="J29" s="7" t="inlineStr">
        <is>
          <t>İyimser</t>
        </is>
      </c>
      <c r="K29" s="21" t="n">
        <v>520000</v>
      </c>
      <c r="M29" s="7" t="inlineStr">
        <is>
          <t>Zincir</t>
        </is>
      </c>
      <c r="N29" s="20" t="n">
        <v>2</v>
      </c>
      <c r="P29" s="20" t="n">
        <v>3</v>
      </c>
      <c r="Q29" s="22" t="n">
        <v>0.78</v>
      </c>
    </row>
    <row r="30">
      <c r="A30" s="7" t="inlineStr">
        <is>
          <t>Grafik D4</t>
        </is>
      </c>
      <c r="B30" s="20" t="n">
        <v>4</v>
      </c>
      <c r="D30" s="7" t="inlineStr">
        <is>
          <t>90+</t>
        </is>
      </c>
      <c r="E30" s="20" t="n">
        <v>7</v>
      </c>
      <c r="G30" s="20" t="n">
        <v>4</v>
      </c>
      <c r="H30" s="21" t="n">
        <v>121000</v>
      </c>
      <c r="M30" s="7" t="inlineStr">
        <is>
          <t>Geciken</t>
        </is>
      </c>
      <c r="N30" s="20" t="n">
        <v>9</v>
      </c>
      <c r="P30" s="20" t="n">
        <v>4</v>
      </c>
      <c r="Q30" s="22" t="n">
        <v>0.8</v>
      </c>
    </row>
    <row r="31">
      <c r="A31" s="7" t="inlineStr">
        <is>
          <t>Grafik D5</t>
        </is>
      </c>
      <c r="B31" s="20" t="n">
        <v>4</v>
      </c>
      <c r="G31" s="20" t="n">
        <v>5</v>
      </c>
      <c r="H31" s="21" t="n">
        <v>133000</v>
      </c>
      <c r="P31" s="20" t="n">
        <v>5</v>
      </c>
      <c r="Q31" s="22" t="n">
        <v>0.82</v>
      </c>
    </row>
    <row r="32">
      <c r="A32" s="7" t="inlineStr">
        <is>
          <t>Grafik D6</t>
        </is>
      </c>
      <c r="B32" s="20" t="n">
        <v>3</v>
      </c>
      <c r="G32" s="20" t="n">
        <v>6</v>
      </c>
      <c r="H32" s="21" t="n">
        <v>145000</v>
      </c>
      <c r="P32" s="20" t="n">
        <v>6</v>
      </c>
      <c r="Q32" s="22" t="n">
        <v>0.85</v>
      </c>
    </row>
    <row r="33">
      <c r="A33" s="7" t="inlineStr">
        <is>
          <t>Grafik D7</t>
        </is>
      </c>
      <c r="B33" s="20" t="n">
        <v>3</v>
      </c>
      <c r="G33" s="20" t="n">
        <v>7</v>
      </c>
      <c r="H33" s="21" t="n">
        <v>157000</v>
      </c>
    </row>
    <row r="34">
      <c r="A34" s="7" t="inlineStr">
        <is>
          <t>Grafik D8</t>
        </is>
      </c>
      <c r="B34" s="20" t="n">
        <v>3</v>
      </c>
      <c r="G34" s="20" t="n">
        <v>8</v>
      </c>
      <c r="H34" s="21" t="n">
        <v>169000</v>
      </c>
    </row>
    <row r="35">
      <c r="A35" s="7" t="inlineStr">
        <is>
          <t>Grafik Iptal</t>
        </is>
      </c>
      <c r="B35" s="20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</conditionalFormatting>
  <conditionalFormatting sqref="B7">
    <cfRule type="cellIs" priority="6" operator="greaterThan" dxfId="3">
      <formula>0</formula>
    </cfRule>
  </conditionalFormatting>
  <conditionalFormatting sqref="B8">
    <cfRule type="cellIs" priority="7" operator="greaterThan" dxfId="3">
      <formula>0</formula>
    </cfRule>
  </conditionalFormatting>
  <conditionalFormatting sqref="B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B11">
    <cfRule type="cellIs" priority="10" operator="greaterThan" dxfId="3">
      <formula>0</formula>
    </cfRule>
  </conditionalFormatting>
  <conditionalFormatting sqref="B12">
    <cfRule type="cellIs" priority="11" operator="greaterThan" dxfId="3">
      <formula>0</formula>
    </cfRule>
  </conditionalFormatting>
  <conditionalFormatting sqref="B13">
    <cfRule type="cellIs" priority="12" operator="greaterThan" dxfId="3">
      <formula>0</formula>
    </cfRule>
  </conditionalFormatting>
  <conditionalFormatting sqref="B14">
    <cfRule type="cellIs" priority="13" operator="greaterThan" dxfId="3">
      <formula>0</formula>
    </cfRule>
  </conditionalFormatting>
  <conditionalFormatting sqref="B15">
    <cfRule type="cellIs" priority="14" operator="greaterThan" dxfId="3">
      <formula>0</formula>
    </cfRule>
  </conditionalFormatting>
  <conditionalFormatting sqref="B16">
    <cfRule type="cellIs" priority="15" operator="greaterThan" dxfId="3">
      <formula>0</formula>
    </cfRule>
  </conditionalFormatting>
  <conditionalFormatting sqref="B17">
    <cfRule type="cellIs" priority="16" operator="greaterThan" dxfId="3">
      <formula>0</formula>
    </cfRule>
  </conditionalFormatting>
  <conditionalFormatting sqref="B18">
    <cfRule type="cellIs" priority="17" operator="greaterThan" dxfId="3">
      <formula>0</formula>
    </cfRule>
  </conditionalFormatting>
  <conditionalFormatting sqref="B19">
    <cfRule type="cellIs" priority="18" operator="greaterThan" dxfId="3">
      <formula>0</formula>
    </cfRule>
  </conditionalFormatting>
  <conditionalFormatting sqref="B20">
    <cfRule type="cellIs" priority="19" operator="greaterThan" dxfId="3">
      <formula>0</formula>
    </cfRule>
  </conditionalFormatting>
  <conditionalFormatting sqref="B21">
    <cfRule type="cellIs" priority="20" operator="greaterThan" dxfId="3">
      <formula>0</formula>
    </cfRule>
  </conditionalFormatting>
  <conditionalFormatting sqref="B22">
    <cfRule type="cellIs" priority="21" operator="greaterThan" dxfId="3">
      <formula>0</formula>
    </cfRule>
  </conditionalFormatting>
  <conditionalFormatting sqref="B23">
    <cfRule type="cellIs" priority="2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Pano | 1.0.0&amp;CExcelArşiv&amp;RSayfa &amp;P / &amp;N</oddFooter>
    <evenHeader/>
    <evenFooter>&amp;L8D / Düzeltici Faaliyet Dosya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EKIP — 8D / Düzeltici Faaliyet Dosya Sistemi</t>
        </is>
      </c>
    </row>
    <row r="3" ht="20" customHeight="1">
      <c r="A3" s="23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8D / Düzeltici Faaliyet Dosya Sistemi</t>
        </is>
      </c>
    </row>
    <row r="3" ht="20" customHeight="1">
      <c r="A3" s="23" t="inlineStr">
        <is>
          <t>8D dosya satırları — D1–D8 durum makinesi + yetim + geçersiz geçiş + DF maliyet zinciri</t>
        </is>
      </c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8D / Düzeltici Faaliyet Dosya Sistemi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8D / Düzeltici Faaliyet Dosya Sistemi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14" customWidth="1" min="4" max="4"/>
    <col width="26" customWidth="1" min="5" max="5"/>
  </cols>
  <sheetData>
    <row r="1" ht="26" customHeight="1">
      <c r="A1" s="1" t="inlineStr">
        <is>
          <t>KANIT RAPORU — 8D / Düzeltici Faaliyet Dosya Sistemi</t>
        </is>
      </c>
    </row>
    <row r="3" ht="28" customHeight="1">
      <c r="A3" s="38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L1"/>
    <mergeCell ref="A3:J3"/>
    <mergeCell ref="B30:H30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8D / Düzeltici Faaliyet Dosya Sistemi</t>
        </is>
      </c>
    </row>
    <row r="3" ht="28" customHeight="1">
      <c r="A3" s="38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8D / Düzeltici Faaliyet Dosya Sistemi</t>
        </is>
      </c>
    </row>
    <row r="3">
      <c r="A3" s="40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8D / Düzeltici Faaliyet Dosya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8D / Düzeltici Faaliyet Dosya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8D / Düzeltici Faaliyet Dosya Sistemi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8D / Düzeltici Faaliyet Dosya Sistemi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2026-09-25T14:12:15Z</dcterms:modified>
</cp:coreProperties>
</file>